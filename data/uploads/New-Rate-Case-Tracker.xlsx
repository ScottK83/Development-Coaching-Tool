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apsonline-my.sharepoint.com/personal/scott_knight_aps_com/Documents/Desktop/"/>
    </mc:Choice>
  </mc:AlternateContent>
  <xr:revisionPtr revIDLastSave="2274" documentId="8_{EC185CD8-0763-4398-96D5-E6D39ABAE3CF}" xr6:coauthVersionLast="47" xr6:coauthVersionMax="47" xr10:uidLastSave="{1D88E97A-5F2C-4CC8-A56A-E66B52E5B78F}"/>
  <bookViews>
    <workbookView xWindow="-120" yWindow="-120" windowWidth="29040" windowHeight="15720" firstSheet="3" activeTab="3" xr2:uid="{C13719E5-3E34-4A51-A8E3-25119CBEDD7C}"/>
  </bookViews>
  <sheets>
    <sheet name="Docketed Comments" sheetId="1" r:id="rId1"/>
    <sheet name="Associates_Call_List_PQ" sheetId="2" state="hidden" r:id="rId2"/>
    <sheet name="tblAssociates" sheetId="6" state="hidden" r:id="rId3"/>
    <sheet name="Associates" sheetId="3" r:id="rId4"/>
    <sheet name="Summary" sheetId="4" r:id="rId5"/>
  </sheets>
  <definedNames>
    <definedName name="ExternalData_1" localSheetId="1" hidden="1">Associates_Call_List_PQ!$A$1:$V$995</definedName>
    <definedName name="ExternalData_1" localSheetId="2" hidden="1">tblAssociates!$A$1:$Z$1147</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8" i="3" l="1"/>
  <c r="G796" i="3"/>
  <c r="A2" i="4" a="1"/>
  <c r="B5" i="4"/>
  <c r="C5" i="4"/>
  <c r="E5" i="4"/>
  <c r="F5" i="4"/>
  <c r="B6" i="4"/>
  <c r="C6" i="4"/>
  <c r="E6" i="4"/>
  <c r="F6" i="4"/>
  <c r="B7" i="4"/>
  <c r="C7" i="4"/>
  <c r="E7" i="4"/>
  <c r="F7" i="4"/>
  <c r="B8" i="4"/>
  <c r="C8" i="4"/>
  <c r="E8" i="4"/>
  <c r="F8" i="4"/>
  <c r="B9" i="4"/>
  <c r="C9" i="4"/>
  <c r="E9" i="4"/>
  <c r="F9" i="4"/>
  <c r="B10" i="4"/>
  <c r="C10" i="4"/>
  <c r="E10" i="4"/>
  <c r="F10" i="4"/>
  <c r="B11" i="4"/>
  <c r="C11" i="4"/>
  <c r="E11" i="4"/>
  <c r="F11" i="4"/>
  <c r="B12" i="4"/>
  <c r="C12" i="4"/>
  <c r="E12" i="4"/>
  <c r="F12" i="4"/>
  <c r="B13" i="4"/>
  <c r="C13" i="4"/>
  <c r="E13" i="4"/>
  <c r="F13" i="4"/>
  <c r="I13" i="4" l="1"/>
  <c r="J13" i="4"/>
  <c r="K13" i="4"/>
  <c r="L13" i="4"/>
  <c r="M13" i="4"/>
  <c r="N13" i="4"/>
  <c r="I12" i="4"/>
  <c r="J12" i="4"/>
  <c r="K12" i="4"/>
  <c r="L12" i="4"/>
  <c r="M12" i="4"/>
  <c r="N12" i="4"/>
  <c r="I11" i="4"/>
  <c r="J11" i="4"/>
  <c r="K11" i="4"/>
  <c r="L11" i="4"/>
  <c r="M11" i="4"/>
  <c r="N11" i="4"/>
  <c r="I10" i="4"/>
  <c r="J10" i="4"/>
  <c r="K10" i="4"/>
  <c r="L10" i="4"/>
  <c r="M10" i="4"/>
  <c r="N10" i="4"/>
  <c r="I9" i="4"/>
  <c r="J9" i="4"/>
  <c r="K9" i="4"/>
  <c r="L9" i="4"/>
  <c r="M9" i="4"/>
  <c r="N9" i="4"/>
  <c r="I8" i="4"/>
  <c r="J8" i="4"/>
  <c r="K8" i="4"/>
  <c r="L8" i="4"/>
  <c r="M8" i="4"/>
  <c r="N8" i="4"/>
  <c r="I7" i="4"/>
  <c r="J7" i="4"/>
  <c r="K7" i="4"/>
  <c r="L7" i="4"/>
  <c r="M7" i="4"/>
  <c r="N7" i="4"/>
  <c r="I6" i="4"/>
  <c r="J6" i="4"/>
  <c r="K6" i="4"/>
  <c r="L6" i="4"/>
  <c r="M6" i="4"/>
  <c r="N6" i="4"/>
  <c r="I5" i="4"/>
  <c r="J5" i="4"/>
  <c r="K5" i="4"/>
  <c r="L5" i="4"/>
  <c r="M5" i="4"/>
  <c r="N5" i="4"/>
  <c r="A2" i="4"/>
  <c r="I4" i="4"/>
  <c r="M4" i="4"/>
  <c r="L4" i="4"/>
  <c r="K4" i="4"/>
  <c r="N4" i="4"/>
  <c r="J4" i="4"/>
  <c r="F4" i="4"/>
  <c r="E4" i="4"/>
  <c r="C4" i="4"/>
  <c r="B4" i="4"/>
  <c r="B3" i="3"/>
  <c r="C3" i="3"/>
  <c r="D3" i="3"/>
  <c r="E3" i="3"/>
  <c r="F3" i="3"/>
  <c r="G3" i="3"/>
  <c r="H3" i="3"/>
  <c r="I3" i="3"/>
  <c r="J3" i="3"/>
  <c r="K3" i="3"/>
  <c r="L3" i="3"/>
  <c r="M3" i="3"/>
  <c r="N3" i="3"/>
  <c r="O3" i="3"/>
  <c r="P3" i="3"/>
  <c r="Q3" i="3"/>
  <c r="R3" i="3"/>
  <c r="S3" i="3"/>
  <c r="T3" i="3"/>
  <c r="U3" i="3"/>
  <c r="B4" i="3"/>
  <c r="C4" i="3"/>
  <c r="D4" i="3"/>
  <c r="E4" i="3"/>
  <c r="F4" i="3"/>
  <c r="G4" i="3"/>
  <c r="H4" i="3"/>
  <c r="I4" i="3"/>
  <c r="J4" i="3"/>
  <c r="K4" i="3"/>
  <c r="L4" i="3"/>
  <c r="M4" i="3"/>
  <c r="N4" i="3"/>
  <c r="O4" i="3"/>
  <c r="P4" i="3"/>
  <c r="Q4" i="3"/>
  <c r="R4" i="3"/>
  <c r="S4" i="3"/>
  <c r="T4" i="3"/>
  <c r="U4" i="3"/>
  <c r="B5" i="3"/>
  <c r="C5" i="3"/>
  <c r="D5" i="3"/>
  <c r="E5" i="3"/>
  <c r="F5" i="3"/>
  <c r="G5" i="3"/>
  <c r="H5" i="3"/>
  <c r="I5" i="3"/>
  <c r="J5" i="3"/>
  <c r="K5" i="3"/>
  <c r="L5" i="3"/>
  <c r="M5" i="3"/>
  <c r="N5" i="3"/>
  <c r="O5" i="3"/>
  <c r="P5" i="3"/>
  <c r="Q5" i="3"/>
  <c r="R5" i="3"/>
  <c r="S5" i="3"/>
  <c r="T5" i="3"/>
  <c r="U5" i="3"/>
  <c r="B6" i="3"/>
  <c r="C6" i="3"/>
  <c r="D6" i="3"/>
  <c r="E6" i="3"/>
  <c r="F6" i="3"/>
  <c r="G6" i="3"/>
  <c r="H6" i="3"/>
  <c r="I6" i="3"/>
  <c r="J6" i="3"/>
  <c r="K6" i="3"/>
  <c r="L6" i="3"/>
  <c r="M6" i="3"/>
  <c r="N6" i="3"/>
  <c r="O6" i="3"/>
  <c r="P6" i="3"/>
  <c r="Q6" i="3"/>
  <c r="R6" i="3"/>
  <c r="S6" i="3"/>
  <c r="T6" i="3"/>
  <c r="B7" i="3"/>
  <c r="C7" i="3"/>
  <c r="D7" i="3"/>
  <c r="E7" i="3"/>
  <c r="G7" i="3"/>
  <c r="H7" i="3"/>
  <c r="I7" i="3"/>
  <c r="J7" i="3"/>
  <c r="K7" i="3"/>
  <c r="L7" i="3"/>
  <c r="M7" i="3"/>
  <c r="N7" i="3"/>
  <c r="O7" i="3"/>
  <c r="P7" i="3"/>
  <c r="Q7" i="3"/>
  <c r="R7" i="3"/>
  <c r="S7" i="3"/>
  <c r="T7" i="3"/>
  <c r="U7" i="3"/>
  <c r="B8" i="3"/>
  <c r="C8" i="3"/>
  <c r="D8" i="3"/>
  <c r="E8" i="3"/>
  <c r="F8" i="3"/>
  <c r="G8" i="3"/>
  <c r="H8" i="3"/>
  <c r="I8" i="3"/>
  <c r="J8" i="3"/>
  <c r="K8" i="3"/>
  <c r="L8" i="3"/>
  <c r="M8" i="3"/>
  <c r="N8" i="3"/>
  <c r="O8" i="3"/>
  <c r="P8" i="3"/>
  <c r="Q8" i="3"/>
  <c r="R8" i="3"/>
  <c r="S8" i="3"/>
  <c r="T8" i="3"/>
  <c r="U8" i="3"/>
  <c r="B9" i="3"/>
  <c r="C9" i="3"/>
  <c r="D9" i="3"/>
  <c r="E9" i="3"/>
  <c r="F9" i="3"/>
  <c r="G9" i="3"/>
  <c r="H9" i="3"/>
  <c r="I9" i="3"/>
  <c r="J9" i="3"/>
  <c r="K9" i="3"/>
  <c r="L9" i="3"/>
  <c r="M9" i="3"/>
  <c r="N9" i="3"/>
  <c r="O9" i="3"/>
  <c r="P9" i="3"/>
  <c r="Q9" i="3"/>
  <c r="R9" i="3"/>
  <c r="S9" i="3"/>
  <c r="T9" i="3"/>
  <c r="U9" i="3"/>
  <c r="B10" i="3"/>
  <c r="C10" i="3"/>
  <c r="D10" i="3"/>
  <c r="E10" i="3"/>
  <c r="F10" i="3"/>
  <c r="G10" i="3"/>
  <c r="H10" i="3"/>
  <c r="J10" i="3"/>
  <c r="K10" i="3"/>
  <c r="L10" i="3"/>
  <c r="M10" i="3"/>
  <c r="N10" i="3"/>
  <c r="O10" i="3"/>
  <c r="P10" i="3"/>
  <c r="Q10" i="3"/>
  <c r="R10" i="3"/>
  <c r="S10" i="3"/>
  <c r="T10" i="3"/>
  <c r="U10" i="3"/>
  <c r="B11" i="3"/>
  <c r="C11" i="3"/>
  <c r="D11" i="3"/>
  <c r="E11" i="3"/>
  <c r="F11" i="3"/>
  <c r="G11" i="3"/>
  <c r="H11" i="3"/>
  <c r="I11" i="3"/>
  <c r="J11" i="3"/>
  <c r="K11" i="3"/>
  <c r="L11" i="3"/>
  <c r="M11" i="3"/>
  <c r="N11" i="3"/>
  <c r="O11" i="3"/>
  <c r="P11" i="3"/>
  <c r="Q11" i="3"/>
  <c r="R11" i="3"/>
  <c r="S11" i="3"/>
  <c r="T11" i="3"/>
  <c r="U11" i="3"/>
  <c r="B12" i="3"/>
  <c r="C12" i="3"/>
  <c r="D12" i="3"/>
  <c r="E12" i="3"/>
  <c r="F12" i="3"/>
  <c r="G12" i="3"/>
  <c r="H12" i="3"/>
  <c r="I12" i="3"/>
  <c r="J12" i="3"/>
  <c r="K12" i="3"/>
  <c r="L12" i="3"/>
  <c r="M12" i="3"/>
  <c r="N12" i="3"/>
  <c r="O12" i="3"/>
  <c r="P12" i="3"/>
  <c r="Q12" i="3"/>
  <c r="R12" i="3"/>
  <c r="S12" i="3"/>
  <c r="T12" i="3"/>
  <c r="U12" i="3"/>
  <c r="B13" i="3"/>
  <c r="C13" i="3"/>
  <c r="D13" i="3"/>
  <c r="E13" i="3"/>
  <c r="F13" i="3"/>
  <c r="G13" i="3"/>
  <c r="H13" i="3"/>
  <c r="I13" i="3"/>
  <c r="J13" i="3"/>
  <c r="K13" i="3"/>
  <c r="L13" i="3"/>
  <c r="M13" i="3"/>
  <c r="N13" i="3"/>
  <c r="O13" i="3"/>
  <c r="P13" i="3"/>
  <c r="Q13" i="3"/>
  <c r="R13" i="3"/>
  <c r="S13" i="3"/>
  <c r="T13" i="3"/>
  <c r="U13" i="3"/>
  <c r="B14" i="3"/>
  <c r="C14" i="3"/>
  <c r="D14" i="3"/>
  <c r="E14" i="3"/>
  <c r="F14" i="3"/>
  <c r="G14" i="3"/>
  <c r="H14" i="3"/>
  <c r="I14" i="3"/>
  <c r="J14" i="3"/>
  <c r="K14" i="3"/>
  <c r="L14" i="3"/>
  <c r="M14" i="3"/>
  <c r="N14" i="3"/>
  <c r="O14" i="3"/>
  <c r="P14" i="3"/>
  <c r="Q14" i="3"/>
  <c r="R14" i="3"/>
  <c r="S14" i="3"/>
  <c r="T14" i="3"/>
  <c r="U14" i="3"/>
  <c r="B15" i="3"/>
  <c r="C15" i="3"/>
  <c r="D15" i="3"/>
  <c r="E15" i="3"/>
  <c r="F15" i="3"/>
  <c r="G15" i="3"/>
  <c r="H15" i="3"/>
  <c r="I15" i="3"/>
  <c r="J15" i="3"/>
  <c r="K15" i="3"/>
  <c r="L15" i="3"/>
  <c r="M15" i="3"/>
  <c r="N15" i="3"/>
  <c r="O15" i="3"/>
  <c r="P15" i="3"/>
  <c r="Q15" i="3"/>
  <c r="R15" i="3"/>
  <c r="S15" i="3"/>
  <c r="T15" i="3"/>
  <c r="U15" i="3"/>
  <c r="B16" i="3"/>
  <c r="C16" i="3"/>
  <c r="D16" i="3"/>
  <c r="E16" i="3"/>
  <c r="F16" i="3"/>
  <c r="G16" i="3"/>
  <c r="H16" i="3"/>
  <c r="I16" i="3"/>
  <c r="J16" i="3"/>
  <c r="K16" i="3"/>
  <c r="L16" i="3"/>
  <c r="M16" i="3"/>
  <c r="N16" i="3"/>
  <c r="O16" i="3"/>
  <c r="P16" i="3"/>
  <c r="Q16" i="3"/>
  <c r="R16" i="3"/>
  <c r="S16" i="3"/>
  <c r="T16" i="3"/>
  <c r="B17" i="3"/>
  <c r="C17" i="3"/>
  <c r="D17" i="3"/>
  <c r="E17" i="3"/>
  <c r="F17" i="3"/>
  <c r="G17" i="3"/>
  <c r="H17" i="3"/>
  <c r="I17" i="3"/>
  <c r="J17" i="3"/>
  <c r="K17" i="3"/>
  <c r="L17" i="3"/>
  <c r="M17" i="3"/>
  <c r="N17" i="3"/>
  <c r="O17" i="3"/>
  <c r="P17" i="3"/>
  <c r="Q17" i="3"/>
  <c r="R17" i="3"/>
  <c r="S17" i="3"/>
  <c r="T17" i="3"/>
  <c r="U17" i="3"/>
  <c r="B18" i="3"/>
  <c r="C18" i="3"/>
  <c r="D18" i="3"/>
  <c r="E18" i="3"/>
  <c r="F18" i="3"/>
  <c r="G18" i="3"/>
  <c r="H18" i="3"/>
  <c r="I18" i="3"/>
  <c r="J18" i="3"/>
  <c r="K18" i="3"/>
  <c r="L18" i="3"/>
  <c r="M18" i="3"/>
  <c r="N18" i="3"/>
  <c r="O18" i="3"/>
  <c r="P18" i="3"/>
  <c r="Q18" i="3"/>
  <c r="R18" i="3"/>
  <c r="S18" i="3"/>
  <c r="T18" i="3"/>
  <c r="U18" i="3"/>
  <c r="B19" i="3"/>
  <c r="C19" i="3"/>
  <c r="D19" i="3"/>
  <c r="E19" i="3"/>
  <c r="F19" i="3"/>
  <c r="G19" i="3"/>
  <c r="H19" i="3"/>
  <c r="I19" i="3"/>
  <c r="J19" i="3"/>
  <c r="K19" i="3"/>
  <c r="L19" i="3"/>
  <c r="M19" i="3"/>
  <c r="N19" i="3"/>
  <c r="O19" i="3"/>
  <c r="P19" i="3"/>
  <c r="Q19" i="3"/>
  <c r="R19" i="3"/>
  <c r="S19" i="3"/>
  <c r="T19" i="3"/>
  <c r="U19" i="3"/>
  <c r="B20" i="3"/>
  <c r="C20" i="3"/>
  <c r="D20" i="3"/>
  <c r="E20" i="3"/>
  <c r="F20" i="3"/>
  <c r="G20" i="3"/>
  <c r="H20" i="3"/>
  <c r="I20" i="3"/>
  <c r="J20" i="3"/>
  <c r="K20" i="3"/>
  <c r="L20" i="3"/>
  <c r="M20" i="3"/>
  <c r="N20" i="3"/>
  <c r="O20" i="3"/>
  <c r="P20" i="3"/>
  <c r="Q20" i="3"/>
  <c r="R20" i="3"/>
  <c r="S20" i="3"/>
  <c r="T20" i="3"/>
  <c r="U20" i="3"/>
  <c r="B21" i="3"/>
  <c r="C21" i="3"/>
  <c r="D21" i="3"/>
  <c r="E21" i="3"/>
  <c r="F21" i="3"/>
  <c r="G21" i="3"/>
  <c r="H21" i="3"/>
  <c r="I21" i="3"/>
  <c r="J21" i="3"/>
  <c r="K21" i="3"/>
  <c r="L21" i="3"/>
  <c r="M21" i="3"/>
  <c r="N21" i="3"/>
  <c r="O21" i="3"/>
  <c r="P21" i="3"/>
  <c r="Q21" i="3"/>
  <c r="R21" i="3"/>
  <c r="S21" i="3"/>
  <c r="T21" i="3"/>
  <c r="U21" i="3"/>
  <c r="B22" i="3"/>
  <c r="C22" i="3"/>
  <c r="D22" i="3"/>
  <c r="E22" i="3"/>
  <c r="F22" i="3"/>
  <c r="G22" i="3"/>
  <c r="H22" i="3"/>
  <c r="I22" i="3"/>
  <c r="J22" i="3"/>
  <c r="K22" i="3"/>
  <c r="L22" i="3"/>
  <c r="M22" i="3"/>
  <c r="N22" i="3"/>
  <c r="O22" i="3"/>
  <c r="P22" i="3"/>
  <c r="Q22" i="3"/>
  <c r="R22" i="3"/>
  <c r="S22" i="3"/>
  <c r="T22" i="3"/>
  <c r="B23" i="3"/>
  <c r="C23" i="3"/>
  <c r="D23" i="3"/>
  <c r="E23" i="3"/>
  <c r="F23" i="3"/>
  <c r="G23" i="3"/>
  <c r="H23" i="3"/>
  <c r="I23" i="3"/>
  <c r="J23" i="3"/>
  <c r="K23" i="3"/>
  <c r="L23" i="3"/>
  <c r="M23" i="3"/>
  <c r="N23" i="3"/>
  <c r="O23" i="3"/>
  <c r="P23" i="3"/>
  <c r="Q23" i="3"/>
  <c r="R23" i="3"/>
  <c r="S23" i="3"/>
  <c r="T23" i="3"/>
  <c r="U23" i="3"/>
  <c r="B24" i="3"/>
  <c r="C24" i="3"/>
  <c r="D24" i="3"/>
  <c r="E24" i="3"/>
  <c r="F24" i="3"/>
  <c r="G24" i="3"/>
  <c r="H24" i="3"/>
  <c r="I24" i="3"/>
  <c r="J24" i="3"/>
  <c r="K24" i="3"/>
  <c r="L24" i="3"/>
  <c r="M24" i="3"/>
  <c r="N24" i="3"/>
  <c r="O24" i="3"/>
  <c r="P24" i="3"/>
  <c r="Q24" i="3"/>
  <c r="R24" i="3"/>
  <c r="S24" i="3"/>
  <c r="T24" i="3"/>
  <c r="U24" i="3"/>
  <c r="B25" i="3"/>
  <c r="C25" i="3"/>
  <c r="D25" i="3"/>
  <c r="E25" i="3"/>
  <c r="F25" i="3"/>
  <c r="G25" i="3"/>
  <c r="H25" i="3"/>
  <c r="I25" i="3"/>
  <c r="J25" i="3"/>
  <c r="K25" i="3"/>
  <c r="L25" i="3"/>
  <c r="M25" i="3"/>
  <c r="N25" i="3"/>
  <c r="O25" i="3"/>
  <c r="P25" i="3"/>
  <c r="Q25" i="3"/>
  <c r="R25" i="3"/>
  <c r="S25" i="3"/>
  <c r="T25" i="3"/>
  <c r="U25" i="3"/>
  <c r="B26" i="3"/>
  <c r="C26" i="3"/>
  <c r="D26" i="3"/>
  <c r="E26" i="3"/>
  <c r="F26" i="3"/>
  <c r="G26" i="3"/>
  <c r="H26" i="3"/>
  <c r="I26" i="3"/>
  <c r="J26" i="3"/>
  <c r="K26" i="3"/>
  <c r="L26" i="3"/>
  <c r="M26" i="3"/>
  <c r="N26" i="3"/>
  <c r="O26" i="3"/>
  <c r="P26" i="3"/>
  <c r="Q26" i="3"/>
  <c r="R26" i="3"/>
  <c r="S26" i="3"/>
  <c r="T26" i="3"/>
  <c r="B27" i="3"/>
  <c r="C27" i="3"/>
  <c r="D27" i="3"/>
  <c r="E27" i="3"/>
  <c r="F27" i="3"/>
  <c r="G27" i="3"/>
  <c r="H27" i="3"/>
  <c r="I27" i="3"/>
  <c r="J27" i="3"/>
  <c r="K27" i="3"/>
  <c r="L27" i="3"/>
  <c r="M27" i="3"/>
  <c r="N27" i="3"/>
  <c r="O27" i="3"/>
  <c r="P27" i="3"/>
  <c r="Q27" i="3"/>
  <c r="R27" i="3"/>
  <c r="S27" i="3"/>
  <c r="T27" i="3"/>
  <c r="U27" i="3"/>
  <c r="B28" i="3"/>
  <c r="C28" i="3"/>
  <c r="D28" i="3"/>
  <c r="E28" i="3"/>
  <c r="F28" i="3"/>
  <c r="G28" i="3"/>
  <c r="H28" i="3"/>
  <c r="I28" i="3"/>
  <c r="J28" i="3"/>
  <c r="K28" i="3"/>
  <c r="L28" i="3"/>
  <c r="M28" i="3"/>
  <c r="N28" i="3"/>
  <c r="O28" i="3"/>
  <c r="P28" i="3"/>
  <c r="Q28" i="3"/>
  <c r="R28" i="3"/>
  <c r="S28" i="3"/>
  <c r="T28" i="3"/>
  <c r="U28" i="3"/>
  <c r="B29" i="3"/>
  <c r="C29" i="3"/>
  <c r="D29" i="3"/>
  <c r="E29" i="3"/>
  <c r="F29" i="3"/>
  <c r="G29" i="3"/>
  <c r="H29" i="3"/>
  <c r="I29" i="3"/>
  <c r="J29" i="3"/>
  <c r="K29" i="3"/>
  <c r="L29" i="3"/>
  <c r="M29" i="3"/>
  <c r="N29" i="3"/>
  <c r="O29" i="3"/>
  <c r="P29" i="3"/>
  <c r="Q29" i="3"/>
  <c r="R29" i="3"/>
  <c r="S29" i="3"/>
  <c r="T29" i="3"/>
  <c r="U29" i="3"/>
  <c r="B30" i="3"/>
  <c r="C30" i="3"/>
  <c r="D30" i="3"/>
  <c r="E30" i="3"/>
  <c r="F30" i="3"/>
  <c r="G30" i="3"/>
  <c r="H30" i="3"/>
  <c r="I30" i="3"/>
  <c r="J30" i="3"/>
  <c r="K30" i="3"/>
  <c r="L30" i="3"/>
  <c r="M30" i="3"/>
  <c r="N30" i="3"/>
  <c r="O30" i="3"/>
  <c r="P30" i="3"/>
  <c r="Q30" i="3"/>
  <c r="R30" i="3"/>
  <c r="S30" i="3"/>
  <c r="T30" i="3"/>
  <c r="B31" i="3"/>
  <c r="C31" i="3"/>
  <c r="D31" i="3"/>
  <c r="E31" i="3"/>
  <c r="F31" i="3"/>
  <c r="G31" i="3"/>
  <c r="H31" i="3"/>
  <c r="I31" i="3"/>
  <c r="J31" i="3"/>
  <c r="K31" i="3"/>
  <c r="L31" i="3"/>
  <c r="M31" i="3"/>
  <c r="N31" i="3"/>
  <c r="O31" i="3"/>
  <c r="P31" i="3"/>
  <c r="Q31" i="3"/>
  <c r="R31" i="3"/>
  <c r="S31" i="3"/>
  <c r="T31" i="3"/>
  <c r="U31" i="3"/>
  <c r="B32" i="3"/>
  <c r="C32" i="3"/>
  <c r="D32" i="3"/>
  <c r="E32" i="3"/>
  <c r="F32" i="3"/>
  <c r="G32" i="3"/>
  <c r="H32" i="3"/>
  <c r="I32" i="3"/>
  <c r="J32" i="3"/>
  <c r="K32" i="3"/>
  <c r="L32" i="3"/>
  <c r="M32" i="3"/>
  <c r="N32" i="3"/>
  <c r="O32" i="3"/>
  <c r="P32" i="3"/>
  <c r="Q32" i="3"/>
  <c r="R32" i="3"/>
  <c r="S32" i="3"/>
  <c r="T32" i="3"/>
  <c r="B33" i="3"/>
  <c r="C33" i="3"/>
  <c r="D33" i="3"/>
  <c r="E33" i="3"/>
  <c r="F33" i="3"/>
  <c r="G33" i="3"/>
  <c r="H33" i="3"/>
  <c r="I33" i="3"/>
  <c r="J33" i="3"/>
  <c r="K33" i="3"/>
  <c r="L33" i="3"/>
  <c r="M33" i="3"/>
  <c r="N33" i="3"/>
  <c r="O33" i="3"/>
  <c r="P33" i="3"/>
  <c r="Q33" i="3"/>
  <c r="R33" i="3"/>
  <c r="S33" i="3"/>
  <c r="T33" i="3"/>
  <c r="U33" i="3"/>
  <c r="B34" i="3"/>
  <c r="C34" i="3"/>
  <c r="D34" i="3"/>
  <c r="E34" i="3"/>
  <c r="F34" i="3"/>
  <c r="G34" i="3"/>
  <c r="H34" i="3"/>
  <c r="I34" i="3"/>
  <c r="J34" i="3"/>
  <c r="K34" i="3"/>
  <c r="L34" i="3"/>
  <c r="M34" i="3"/>
  <c r="N34" i="3"/>
  <c r="O34" i="3"/>
  <c r="P34" i="3"/>
  <c r="Q34" i="3"/>
  <c r="R34" i="3"/>
  <c r="S34" i="3"/>
  <c r="T34" i="3"/>
  <c r="U34" i="3"/>
  <c r="B35" i="3"/>
  <c r="C35" i="3"/>
  <c r="D35" i="3"/>
  <c r="E35" i="3"/>
  <c r="F35" i="3"/>
  <c r="G35" i="3"/>
  <c r="H35" i="3"/>
  <c r="I35" i="3"/>
  <c r="J35" i="3"/>
  <c r="K35" i="3"/>
  <c r="L35" i="3"/>
  <c r="M35" i="3"/>
  <c r="N35" i="3"/>
  <c r="O35" i="3"/>
  <c r="P35" i="3"/>
  <c r="Q35" i="3"/>
  <c r="R35" i="3"/>
  <c r="S35" i="3"/>
  <c r="T35" i="3"/>
  <c r="U35" i="3"/>
  <c r="B36" i="3"/>
  <c r="C36" i="3"/>
  <c r="D36" i="3"/>
  <c r="E36" i="3"/>
  <c r="F36" i="3"/>
  <c r="G36" i="3"/>
  <c r="H36" i="3"/>
  <c r="I36" i="3"/>
  <c r="J36" i="3"/>
  <c r="K36" i="3"/>
  <c r="L36" i="3"/>
  <c r="M36" i="3"/>
  <c r="N36" i="3"/>
  <c r="O36" i="3"/>
  <c r="P36" i="3"/>
  <c r="Q36" i="3"/>
  <c r="R36" i="3"/>
  <c r="S36" i="3"/>
  <c r="T36" i="3"/>
  <c r="U36" i="3"/>
  <c r="B37" i="3"/>
  <c r="C37" i="3"/>
  <c r="D37" i="3"/>
  <c r="E37" i="3"/>
  <c r="F37" i="3"/>
  <c r="G37" i="3"/>
  <c r="H37" i="3"/>
  <c r="I37" i="3"/>
  <c r="J37" i="3"/>
  <c r="K37" i="3"/>
  <c r="L37" i="3"/>
  <c r="M37" i="3"/>
  <c r="N37" i="3"/>
  <c r="O37" i="3"/>
  <c r="P37" i="3"/>
  <c r="Q37" i="3"/>
  <c r="R37" i="3"/>
  <c r="S37" i="3"/>
  <c r="T37" i="3"/>
  <c r="U37" i="3"/>
  <c r="B38" i="3"/>
  <c r="C38" i="3"/>
  <c r="D38" i="3"/>
  <c r="E38" i="3"/>
  <c r="F38" i="3"/>
  <c r="G38" i="3"/>
  <c r="H38" i="3"/>
  <c r="I38" i="3"/>
  <c r="J38" i="3"/>
  <c r="K38" i="3"/>
  <c r="L38" i="3"/>
  <c r="M38" i="3"/>
  <c r="N38" i="3"/>
  <c r="O38" i="3"/>
  <c r="P38" i="3"/>
  <c r="Q38" i="3"/>
  <c r="R38" i="3"/>
  <c r="S38" i="3"/>
  <c r="T38" i="3"/>
  <c r="U38" i="3"/>
  <c r="B39" i="3"/>
  <c r="C39" i="3"/>
  <c r="D39" i="3"/>
  <c r="E39" i="3"/>
  <c r="F39" i="3"/>
  <c r="G39" i="3"/>
  <c r="H39" i="3"/>
  <c r="I39" i="3"/>
  <c r="J39" i="3"/>
  <c r="K39" i="3"/>
  <c r="L39" i="3"/>
  <c r="M39" i="3"/>
  <c r="N39" i="3"/>
  <c r="O39" i="3"/>
  <c r="P39" i="3"/>
  <c r="Q39" i="3"/>
  <c r="R39" i="3"/>
  <c r="S39" i="3"/>
  <c r="T39" i="3"/>
  <c r="U39" i="3"/>
  <c r="B40" i="3"/>
  <c r="C40" i="3"/>
  <c r="D40" i="3"/>
  <c r="E40" i="3"/>
  <c r="F40" i="3"/>
  <c r="G40" i="3"/>
  <c r="H40" i="3"/>
  <c r="I40" i="3"/>
  <c r="J40" i="3"/>
  <c r="K40" i="3"/>
  <c r="L40" i="3"/>
  <c r="M40" i="3"/>
  <c r="N40" i="3"/>
  <c r="O40" i="3"/>
  <c r="P40" i="3"/>
  <c r="Q40" i="3"/>
  <c r="R40" i="3"/>
  <c r="S40" i="3"/>
  <c r="T40" i="3"/>
  <c r="B41" i="3"/>
  <c r="C41" i="3"/>
  <c r="D41" i="3"/>
  <c r="E41" i="3"/>
  <c r="F41" i="3"/>
  <c r="G41" i="3"/>
  <c r="H41" i="3"/>
  <c r="I41" i="3"/>
  <c r="J41" i="3"/>
  <c r="K41" i="3"/>
  <c r="L41" i="3"/>
  <c r="M41" i="3"/>
  <c r="N41" i="3"/>
  <c r="O41" i="3"/>
  <c r="P41" i="3"/>
  <c r="Q41" i="3"/>
  <c r="R41" i="3"/>
  <c r="S41" i="3"/>
  <c r="T41" i="3"/>
  <c r="U41" i="3"/>
  <c r="B42" i="3"/>
  <c r="C42" i="3"/>
  <c r="D42" i="3"/>
  <c r="E42" i="3"/>
  <c r="F42" i="3"/>
  <c r="G42" i="3"/>
  <c r="H42" i="3"/>
  <c r="I42" i="3"/>
  <c r="J42" i="3"/>
  <c r="K42" i="3"/>
  <c r="L42" i="3"/>
  <c r="M42" i="3"/>
  <c r="N42" i="3"/>
  <c r="O42" i="3"/>
  <c r="P42" i="3"/>
  <c r="Q42" i="3"/>
  <c r="R42" i="3"/>
  <c r="S42" i="3"/>
  <c r="T42" i="3"/>
  <c r="U42" i="3"/>
  <c r="B43" i="3"/>
  <c r="C43" i="3"/>
  <c r="D43" i="3"/>
  <c r="E43" i="3"/>
  <c r="F43" i="3"/>
  <c r="G43" i="3"/>
  <c r="H43" i="3"/>
  <c r="I43" i="3"/>
  <c r="J43" i="3"/>
  <c r="K43" i="3"/>
  <c r="L43" i="3"/>
  <c r="M43" i="3"/>
  <c r="N43" i="3"/>
  <c r="O43" i="3"/>
  <c r="P43" i="3"/>
  <c r="Q43" i="3"/>
  <c r="R43" i="3"/>
  <c r="S43" i="3"/>
  <c r="T43" i="3"/>
  <c r="U43" i="3"/>
  <c r="B44" i="3"/>
  <c r="C44" i="3"/>
  <c r="D44" i="3"/>
  <c r="E44" i="3"/>
  <c r="F44" i="3"/>
  <c r="G44" i="3"/>
  <c r="H44" i="3"/>
  <c r="I44" i="3"/>
  <c r="J44" i="3"/>
  <c r="K44" i="3"/>
  <c r="L44" i="3"/>
  <c r="M44" i="3"/>
  <c r="N44" i="3"/>
  <c r="O44" i="3"/>
  <c r="P44" i="3"/>
  <c r="Q44" i="3"/>
  <c r="R44" i="3"/>
  <c r="S44" i="3"/>
  <c r="T44" i="3"/>
  <c r="B45" i="3"/>
  <c r="C45" i="3"/>
  <c r="D45" i="3"/>
  <c r="E45" i="3"/>
  <c r="F45" i="3"/>
  <c r="G45" i="3"/>
  <c r="H45" i="3"/>
  <c r="I45" i="3"/>
  <c r="J45" i="3"/>
  <c r="K45" i="3"/>
  <c r="L45" i="3"/>
  <c r="M45" i="3"/>
  <c r="N45" i="3"/>
  <c r="O45" i="3"/>
  <c r="P45" i="3"/>
  <c r="Q45" i="3"/>
  <c r="R45" i="3"/>
  <c r="S45" i="3"/>
  <c r="T45" i="3"/>
  <c r="U45" i="3"/>
  <c r="B46" i="3"/>
  <c r="C46" i="3"/>
  <c r="D46" i="3"/>
  <c r="E46" i="3"/>
  <c r="F46" i="3"/>
  <c r="G46" i="3"/>
  <c r="H46" i="3"/>
  <c r="I46" i="3"/>
  <c r="J46" i="3"/>
  <c r="K46" i="3"/>
  <c r="L46" i="3"/>
  <c r="M46" i="3"/>
  <c r="N46" i="3"/>
  <c r="O46" i="3"/>
  <c r="P46" i="3"/>
  <c r="Q46" i="3"/>
  <c r="R46" i="3"/>
  <c r="S46" i="3"/>
  <c r="T46" i="3"/>
  <c r="U46" i="3"/>
  <c r="B47" i="3"/>
  <c r="C47" i="3"/>
  <c r="D47" i="3"/>
  <c r="E47" i="3"/>
  <c r="F47" i="3"/>
  <c r="G47" i="3"/>
  <c r="H47" i="3"/>
  <c r="I47" i="3"/>
  <c r="J47" i="3"/>
  <c r="K47" i="3"/>
  <c r="L47" i="3"/>
  <c r="M47" i="3"/>
  <c r="N47" i="3"/>
  <c r="O47" i="3"/>
  <c r="P47" i="3"/>
  <c r="Q47" i="3"/>
  <c r="R47" i="3"/>
  <c r="S47" i="3"/>
  <c r="T47" i="3"/>
  <c r="U47" i="3"/>
  <c r="B48" i="3"/>
  <c r="C48" i="3"/>
  <c r="D48" i="3"/>
  <c r="E48" i="3"/>
  <c r="F48" i="3"/>
  <c r="G48" i="3"/>
  <c r="H48" i="3"/>
  <c r="I48" i="3"/>
  <c r="J48" i="3"/>
  <c r="K48" i="3"/>
  <c r="L48" i="3"/>
  <c r="M48" i="3"/>
  <c r="N48" i="3"/>
  <c r="O48" i="3"/>
  <c r="P48" i="3"/>
  <c r="Q48" i="3"/>
  <c r="R48" i="3"/>
  <c r="S48" i="3"/>
  <c r="T48" i="3"/>
  <c r="U48" i="3"/>
  <c r="B49" i="3"/>
  <c r="C49" i="3"/>
  <c r="D49" i="3"/>
  <c r="E49" i="3"/>
  <c r="F49" i="3"/>
  <c r="G49" i="3"/>
  <c r="H49" i="3"/>
  <c r="I49" i="3"/>
  <c r="J49" i="3"/>
  <c r="K49" i="3"/>
  <c r="L49" i="3"/>
  <c r="M49" i="3"/>
  <c r="N49" i="3"/>
  <c r="O49" i="3"/>
  <c r="P49" i="3"/>
  <c r="Q49" i="3"/>
  <c r="R49" i="3"/>
  <c r="S49" i="3"/>
  <c r="T49" i="3"/>
  <c r="B50" i="3"/>
  <c r="C50" i="3"/>
  <c r="D50" i="3"/>
  <c r="E50" i="3"/>
  <c r="F50" i="3"/>
  <c r="G50" i="3"/>
  <c r="H50" i="3"/>
  <c r="I50" i="3"/>
  <c r="J50" i="3"/>
  <c r="K50" i="3"/>
  <c r="L50" i="3"/>
  <c r="M50" i="3"/>
  <c r="N50" i="3"/>
  <c r="O50" i="3"/>
  <c r="P50" i="3"/>
  <c r="Q50" i="3"/>
  <c r="R50" i="3"/>
  <c r="S50" i="3"/>
  <c r="T50" i="3"/>
  <c r="B51" i="3"/>
  <c r="C51" i="3"/>
  <c r="D51" i="3"/>
  <c r="E51" i="3"/>
  <c r="F51" i="3"/>
  <c r="G51" i="3"/>
  <c r="H51" i="3"/>
  <c r="I51" i="3"/>
  <c r="J51" i="3"/>
  <c r="K51" i="3"/>
  <c r="L51" i="3"/>
  <c r="M51" i="3"/>
  <c r="N51" i="3"/>
  <c r="O51" i="3"/>
  <c r="P51" i="3"/>
  <c r="Q51" i="3"/>
  <c r="R51" i="3"/>
  <c r="S51" i="3"/>
  <c r="T51" i="3"/>
  <c r="U51" i="3"/>
  <c r="B52" i="3"/>
  <c r="C52" i="3"/>
  <c r="D52" i="3"/>
  <c r="E52" i="3"/>
  <c r="F52" i="3"/>
  <c r="G52" i="3"/>
  <c r="H52" i="3"/>
  <c r="I52" i="3"/>
  <c r="J52" i="3"/>
  <c r="K52" i="3"/>
  <c r="L52" i="3"/>
  <c r="M52" i="3"/>
  <c r="N52" i="3"/>
  <c r="O52" i="3"/>
  <c r="P52" i="3"/>
  <c r="Q52" i="3"/>
  <c r="R52" i="3"/>
  <c r="S52" i="3"/>
  <c r="T52" i="3"/>
  <c r="U52" i="3"/>
  <c r="B53" i="3"/>
  <c r="C53" i="3"/>
  <c r="D53" i="3"/>
  <c r="E53" i="3"/>
  <c r="F53" i="3"/>
  <c r="G53" i="3"/>
  <c r="H53" i="3"/>
  <c r="I53" i="3"/>
  <c r="J53" i="3"/>
  <c r="K53" i="3"/>
  <c r="L53" i="3"/>
  <c r="M53" i="3"/>
  <c r="N53" i="3"/>
  <c r="O53" i="3"/>
  <c r="P53" i="3"/>
  <c r="Q53" i="3"/>
  <c r="R53" i="3"/>
  <c r="S53" i="3"/>
  <c r="T53" i="3"/>
  <c r="B54" i="3"/>
  <c r="C54" i="3"/>
  <c r="D54" i="3"/>
  <c r="E54" i="3"/>
  <c r="F54" i="3"/>
  <c r="G54" i="3"/>
  <c r="H54" i="3"/>
  <c r="I54" i="3"/>
  <c r="J54" i="3"/>
  <c r="K54" i="3"/>
  <c r="L54" i="3"/>
  <c r="M54" i="3"/>
  <c r="N54" i="3"/>
  <c r="O54" i="3"/>
  <c r="P54" i="3"/>
  <c r="Q54" i="3"/>
  <c r="R54" i="3"/>
  <c r="S54" i="3"/>
  <c r="T54" i="3"/>
  <c r="U54" i="3"/>
  <c r="B55" i="3"/>
  <c r="C55" i="3"/>
  <c r="D55" i="3"/>
  <c r="E55" i="3"/>
  <c r="F55" i="3"/>
  <c r="G55" i="3"/>
  <c r="H55" i="3"/>
  <c r="I55" i="3"/>
  <c r="J55" i="3"/>
  <c r="K55" i="3"/>
  <c r="L55" i="3"/>
  <c r="M55" i="3"/>
  <c r="N55" i="3"/>
  <c r="O55" i="3"/>
  <c r="P55" i="3"/>
  <c r="Q55" i="3"/>
  <c r="R55" i="3"/>
  <c r="S55" i="3"/>
  <c r="T55" i="3"/>
  <c r="U55" i="3"/>
  <c r="B56" i="3"/>
  <c r="C56" i="3"/>
  <c r="D56" i="3"/>
  <c r="E56" i="3"/>
  <c r="F56" i="3"/>
  <c r="G56" i="3"/>
  <c r="H56" i="3"/>
  <c r="I56" i="3"/>
  <c r="J56" i="3"/>
  <c r="K56" i="3"/>
  <c r="L56" i="3"/>
  <c r="M56" i="3"/>
  <c r="N56" i="3"/>
  <c r="O56" i="3"/>
  <c r="P56" i="3"/>
  <c r="Q56" i="3"/>
  <c r="R56" i="3"/>
  <c r="S56" i="3"/>
  <c r="T56" i="3"/>
  <c r="B57" i="3"/>
  <c r="C57" i="3"/>
  <c r="D57" i="3"/>
  <c r="E57" i="3"/>
  <c r="F57" i="3"/>
  <c r="G57" i="3"/>
  <c r="H57" i="3"/>
  <c r="I57" i="3"/>
  <c r="J57" i="3"/>
  <c r="K57" i="3"/>
  <c r="L57" i="3"/>
  <c r="M57" i="3"/>
  <c r="N57" i="3"/>
  <c r="O57" i="3"/>
  <c r="P57" i="3"/>
  <c r="Q57" i="3"/>
  <c r="R57" i="3"/>
  <c r="S57" i="3"/>
  <c r="T57" i="3"/>
  <c r="U57" i="3"/>
  <c r="B58" i="3"/>
  <c r="C58" i="3"/>
  <c r="D58" i="3"/>
  <c r="E58" i="3"/>
  <c r="F58" i="3"/>
  <c r="G58" i="3"/>
  <c r="H58" i="3"/>
  <c r="I58" i="3"/>
  <c r="J58" i="3"/>
  <c r="K58" i="3"/>
  <c r="L58" i="3"/>
  <c r="M58" i="3"/>
  <c r="N58" i="3"/>
  <c r="O58" i="3"/>
  <c r="P58" i="3"/>
  <c r="Q58" i="3"/>
  <c r="R58" i="3"/>
  <c r="S58" i="3"/>
  <c r="T58" i="3"/>
  <c r="B59" i="3"/>
  <c r="C59" i="3"/>
  <c r="D59" i="3"/>
  <c r="E59" i="3"/>
  <c r="F59" i="3"/>
  <c r="G59" i="3"/>
  <c r="H59" i="3"/>
  <c r="I59" i="3"/>
  <c r="J59" i="3"/>
  <c r="K59" i="3"/>
  <c r="L59" i="3"/>
  <c r="M59" i="3"/>
  <c r="N59" i="3"/>
  <c r="O59" i="3"/>
  <c r="P59" i="3"/>
  <c r="Q59" i="3"/>
  <c r="R59" i="3"/>
  <c r="S59" i="3"/>
  <c r="T59" i="3"/>
  <c r="U59" i="3"/>
  <c r="B60" i="3"/>
  <c r="C60" i="3"/>
  <c r="D60" i="3"/>
  <c r="E60" i="3"/>
  <c r="F60" i="3"/>
  <c r="G60" i="3"/>
  <c r="H60" i="3"/>
  <c r="I60" i="3"/>
  <c r="J60" i="3"/>
  <c r="K60" i="3"/>
  <c r="L60" i="3"/>
  <c r="M60" i="3"/>
  <c r="N60" i="3"/>
  <c r="O60" i="3"/>
  <c r="P60" i="3"/>
  <c r="Q60" i="3"/>
  <c r="R60" i="3"/>
  <c r="S60" i="3"/>
  <c r="T60" i="3"/>
  <c r="B61" i="3"/>
  <c r="C61" i="3"/>
  <c r="D61" i="3"/>
  <c r="E61" i="3"/>
  <c r="F61" i="3"/>
  <c r="G61" i="3"/>
  <c r="H61" i="3"/>
  <c r="I61" i="3"/>
  <c r="J61" i="3"/>
  <c r="K61" i="3"/>
  <c r="L61" i="3"/>
  <c r="M61" i="3"/>
  <c r="N61" i="3"/>
  <c r="O61" i="3"/>
  <c r="P61" i="3"/>
  <c r="Q61" i="3"/>
  <c r="R61" i="3"/>
  <c r="S61" i="3"/>
  <c r="T61" i="3"/>
  <c r="B62" i="3"/>
  <c r="C62" i="3"/>
  <c r="D62" i="3"/>
  <c r="E62" i="3"/>
  <c r="F62" i="3"/>
  <c r="G62" i="3"/>
  <c r="H62" i="3"/>
  <c r="I62" i="3"/>
  <c r="J62" i="3"/>
  <c r="K62" i="3"/>
  <c r="L62" i="3"/>
  <c r="M62" i="3"/>
  <c r="N62" i="3"/>
  <c r="O62" i="3"/>
  <c r="P62" i="3"/>
  <c r="Q62" i="3"/>
  <c r="R62" i="3"/>
  <c r="S62" i="3"/>
  <c r="T62" i="3"/>
  <c r="B63" i="3"/>
  <c r="C63" i="3"/>
  <c r="D63" i="3"/>
  <c r="E63" i="3"/>
  <c r="F63" i="3"/>
  <c r="G63" i="3"/>
  <c r="H63" i="3"/>
  <c r="I63" i="3"/>
  <c r="J63" i="3"/>
  <c r="K63" i="3"/>
  <c r="L63" i="3"/>
  <c r="M63" i="3"/>
  <c r="N63" i="3"/>
  <c r="O63" i="3"/>
  <c r="P63" i="3"/>
  <c r="Q63" i="3"/>
  <c r="R63" i="3"/>
  <c r="S63" i="3"/>
  <c r="T63" i="3"/>
  <c r="U63" i="3"/>
  <c r="B64" i="3"/>
  <c r="C64" i="3"/>
  <c r="D64" i="3"/>
  <c r="E64" i="3"/>
  <c r="F64" i="3"/>
  <c r="G64" i="3"/>
  <c r="H64" i="3"/>
  <c r="I64" i="3"/>
  <c r="J64" i="3"/>
  <c r="K64" i="3"/>
  <c r="L64" i="3"/>
  <c r="M64" i="3"/>
  <c r="N64" i="3"/>
  <c r="O64" i="3"/>
  <c r="P64" i="3"/>
  <c r="Q64" i="3"/>
  <c r="R64" i="3"/>
  <c r="S64" i="3"/>
  <c r="T64" i="3"/>
  <c r="B65" i="3"/>
  <c r="C65" i="3"/>
  <c r="D65" i="3"/>
  <c r="E65" i="3"/>
  <c r="F65" i="3"/>
  <c r="G65" i="3"/>
  <c r="H65" i="3"/>
  <c r="I65" i="3"/>
  <c r="J65" i="3"/>
  <c r="K65" i="3"/>
  <c r="L65" i="3"/>
  <c r="M65" i="3"/>
  <c r="N65" i="3"/>
  <c r="O65" i="3"/>
  <c r="P65" i="3"/>
  <c r="Q65" i="3"/>
  <c r="R65" i="3"/>
  <c r="S65" i="3"/>
  <c r="T65" i="3"/>
  <c r="B66" i="3"/>
  <c r="C66" i="3"/>
  <c r="D66" i="3"/>
  <c r="E66" i="3"/>
  <c r="F66" i="3"/>
  <c r="G66" i="3"/>
  <c r="H66" i="3"/>
  <c r="I66" i="3"/>
  <c r="J66" i="3"/>
  <c r="K66" i="3"/>
  <c r="L66" i="3"/>
  <c r="M66" i="3"/>
  <c r="N66" i="3"/>
  <c r="O66" i="3"/>
  <c r="P66" i="3"/>
  <c r="Q66" i="3"/>
  <c r="R66" i="3"/>
  <c r="S66" i="3"/>
  <c r="T66" i="3"/>
  <c r="U66" i="3"/>
  <c r="B67" i="3"/>
  <c r="C67" i="3"/>
  <c r="D67" i="3"/>
  <c r="E67" i="3"/>
  <c r="F67" i="3"/>
  <c r="G67" i="3"/>
  <c r="H67" i="3"/>
  <c r="I67" i="3"/>
  <c r="J67" i="3"/>
  <c r="K67" i="3"/>
  <c r="L67" i="3"/>
  <c r="M67" i="3"/>
  <c r="N67" i="3"/>
  <c r="O67" i="3"/>
  <c r="P67" i="3"/>
  <c r="Q67" i="3"/>
  <c r="R67" i="3"/>
  <c r="S67" i="3"/>
  <c r="T67" i="3"/>
  <c r="U67" i="3"/>
  <c r="B68" i="3"/>
  <c r="C68" i="3"/>
  <c r="D68" i="3"/>
  <c r="E68" i="3"/>
  <c r="F68" i="3"/>
  <c r="G68" i="3"/>
  <c r="H68" i="3"/>
  <c r="I68" i="3"/>
  <c r="J68" i="3"/>
  <c r="K68" i="3"/>
  <c r="L68" i="3"/>
  <c r="M68" i="3"/>
  <c r="N68" i="3"/>
  <c r="O68" i="3"/>
  <c r="P68" i="3"/>
  <c r="Q68" i="3"/>
  <c r="R68" i="3"/>
  <c r="S68" i="3"/>
  <c r="T68" i="3"/>
  <c r="U68" i="3"/>
  <c r="B69" i="3"/>
  <c r="C69" i="3"/>
  <c r="D69" i="3"/>
  <c r="E69" i="3"/>
  <c r="F69" i="3"/>
  <c r="G69" i="3"/>
  <c r="H69" i="3"/>
  <c r="I69" i="3"/>
  <c r="J69" i="3"/>
  <c r="K69" i="3"/>
  <c r="L69" i="3"/>
  <c r="M69" i="3"/>
  <c r="N69" i="3"/>
  <c r="O69" i="3"/>
  <c r="P69" i="3"/>
  <c r="Q69" i="3"/>
  <c r="R69" i="3"/>
  <c r="S69" i="3"/>
  <c r="T69" i="3"/>
  <c r="U69" i="3"/>
  <c r="B70" i="3"/>
  <c r="C70" i="3"/>
  <c r="D70" i="3"/>
  <c r="E70" i="3"/>
  <c r="F70" i="3"/>
  <c r="G70" i="3"/>
  <c r="H70" i="3"/>
  <c r="I70" i="3"/>
  <c r="J70" i="3"/>
  <c r="K70" i="3"/>
  <c r="L70" i="3"/>
  <c r="M70" i="3"/>
  <c r="N70" i="3"/>
  <c r="O70" i="3"/>
  <c r="P70" i="3"/>
  <c r="Q70" i="3"/>
  <c r="R70" i="3"/>
  <c r="S70" i="3"/>
  <c r="T70" i="3"/>
  <c r="B71" i="3"/>
  <c r="C71" i="3"/>
  <c r="D71" i="3"/>
  <c r="E71" i="3"/>
  <c r="F71" i="3"/>
  <c r="G71" i="3"/>
  <c r="H71" i="3"/>
  <c r="I71" i="3"/>
  <c r="J71" i="3"/>
  <c r="K71" i="3"/>
  <c r="L71" i="3"/>
  <c r="M71" i="3"/>
  <c r="N71" i="3"/>
  <c r="O71" i="3"/>
  <c r="P71" i="3"/>
  <c r="Q71" i="3"/>
  <c r="R71" i="3"/>
  <c r="S71" i="3"/>
  <c r="T71" i="3"/>
  <c r="U71" i="3"/>
  <c r="B72" i="3"/>
  <c r="C72" i="3"/>
  <c r="D72" i="3"/>
  <c r="E72" i="3"/>
  <c r="F72" i="3"/>
  <c r="G72" i="3"/>
  <c r="H72" i="3"/>
  <c r="I72" i="3"/>
  <c r="J72" i="3"/>
  <c r="K72" i="3"/>
  <c r="L72" i="3"/>
  <c r="M72" i="3"/>
  <c r="N72" i="3"/>
  <c r="O72" i="3"/>
  <c r="P72" i="3"/>
  <c r="Q72" i="3"/>
  <c r="R72" i="3"/>
  <c r="S72" i="3"/>
  <c r="T72" i="3"/>
  <c r="B73" i="3"/>
  <c r="C73" i="3"/>
  <c r="D73" i="3"/>
  <c r="E73" i="3"/>
  <c r="F73" i="3"/>
  <c r="G73" i="3"/>
  <c r="H73" i="3"/>
  <c r="I73" i="3"/>
  <c r="J73" i="3"/>
  <c r="K73" i="3"/>
  <c r="L73" i="3"/>
  <c r="M73" i="3"/>
  <c r="N73" i="3"/>
  <c r="O73" i="3"/>
  <c r="P73" i="3"/>
  <c r="Q73" i="3"/>
  <c r="R73" i="3"/>
  <c r="S73" i="3"/>
  <c r="T73" i="3"/>
  <c r="U73" i="3"/>
  <c r="B74" i="3"/>
  <c r="C74" i="3"/>
  <c r="D74" i="3"/>
  <c r="E74" i="3"/>
  <c r="F74" i="3"/>
  <c r="G74" i="3"/>
  <c r="H74" i="3"/>
  <c r="I74" i="3"/>
  <c r="J74" i="3"/>
  <c r="K74" i="3"/>
  <c r="L74" i="3"/>
  <c r="M74" i="3"/>
  <c r="N74" i="3"/>
  <c r="O74" i="3"/>
  <c r="Q74" i="3"/>
  <c r="S74" i="3"/>
  <c r="T74" i="3"/>
  <c r="B75" i="3"/>
  <c r="C75" i="3"/>
  <c r="D75" i="3"/>
  <c r="E75" i="3"/>
  <c r="F75" i="3"/>
  <c r="G75" i="3"/>
  <c r="H75" i="3"/>
  <c r="I75" i="3"/>
  <c r="J75" i="3"/>
  <c r="K75" i="3"/>
  <c r="L75" i="3"/>
  <c r="M75" i="3"/>
  <c r="N75" i="3"/>
  <c r="O75" i="3"/>
  <c r="P75" i="3"/>
  <c r="Q75" i="3"/>
  <c r="R75" i="3"/>
  <c r="S75" i="3"/>
  <c r="T75" i="3"/>
  <c r="U75" i="3"/>
  <c r="B76" i="3"/>
  <c r="C76" i="3"/>
  <c r="D76" i="3"/>
  <c r="E76" i="3"/>
  <c r="F76" i="3"/>
  <c r="G76" i="3"/>
  <c r="H76" i="3"/>
  <c r="I76" i="3"/>
  <c r="J76" i="3"/>
  <c r="K76" i="3"/>
  <c r="L76" i="3"/>
  <c r="M76" i="3"/>
  <c r="N76" i="3"/>
  <c r="O76" i="3"/>
  <c r="P76" i="3"/>
  <c r="Q76" i="3"/>
  <c r="R76" i="3"/>
  <c r="S76" i="3"/>
  <c r="T76" i="3"/>
  <c r="U76" i="3"/>
  <c r="B77" i="3"/>
  <c r="C77" i="3"/>
  <c r="D77" i="3"/>
  <c r="E77" i="3"/>
  <c r="F77" i="3"/>
  <c r="G77" i="3"/>
  <c r="H77" i="3"/>
  <c r="I77" i="3"/>
  <c r="J77" i="3"/>
  <c r="K77" i="3"/>
  <c r="L77" i="3"/>
  <c r="M77" i="3"/>
  <c r="N77" i="3"/>
  <c r="O77" i="3"/>
  <c r="P77" i="3"/>
  <c r="Q77" i="3"/>
  <c r="R77" i="3"/>
  <c r="S77" i="3"/>
  <c r="T77" i="3"/>
  <c r="U77" i="3"/>
  <c r="B78" i="3"/>
  <c r="C78" i="3"/>
  <c r="D78" i="3"/>
  <c r="E78" i="3"/>
  <c r="F78" i="3"/>
  <c r="G78" i="3"/>
  <c r="H78" i="3"/>
  <c r="I78" i="3"/>
  <c r="J78" i="3"/>
  <c r="K78" i="3"/>
  <c r="L78" i="3"/>
  <c r="M78" i="3"/>
  <c r="N78" i="3"/>
  <c r="O78" i="3"/>
  <c r="P78" i="3"/>
  <c r="Q78" i="3"/>
  <c r="R78" i="3"/>
  <c r="S78" i="3"/>
  <c r="T78" i="3"/>
  <c r="B79" i="3"/>
  <c r="C79" i="3"/>
  <c r="D79" i="3"/>
  <c r="E79" i="3"/>
  <c r="F79" i="3"/>
  <c r="G79" i="3"/>
  <c r="H79" i="3"/>
  <c r="I79" i="3"/>
  <c r="J79" i="3"/>
  <c r="K79" i="3"/>
  <c r="L79" i="3"/>
  <c r="M79" i="3"/>
  <c r="N79" i="3"/>
  <c r="O79" i="3"/>
  <c r="P79" i="3"/>
  <c r="Q79" i="3"/>
  <c r="R79" i="3"/>
  <c r="S79" i="3"/>
  <c r="T79" i="3"/>
  <c r="U79" i="3"/>
  <c r="B80" i="3"/>
  <c r="C80" i="3"/>
  <c r="D80" i="3"/>
  <c r="E80" i="3"/>
  <c r="F80" i="3"/>
  <c r="G80" i="3"/>
  <c r="H80" i="3"/>
  <c r="I80" i="3"/>
  <c r="J80" i="3"/>
  <c r="K80" i="3"/>
  <c r="L80" i="3"/>
  <c r="M80" i="3"/>
  <c r="N80" i="3"/>
  <c r="O80" i="3"/>
  <c r="P80" i="3"/>
  <c r="Q80" i="3"/>
  <c r="R80" i="3"/>
  <c r="S80" i="3"/>
  <c r="T80" i="3"/>
  <c r="B81" i="3"/>
  <c r="C81" i="3"/>
  <c r="D81" i="3"/>
  <c r="E81" i="3"/>
  <c r="F81" i="3"/>
  <c r="G81" i="3"/>
  <c r="H81" i="3"/>
  <c r="I81" i="3"/>
  <c r="J81" i="3"/>
  <c r="K81" i="3"/>
  <c r="L81" i="3"/>
  <c r="M81" i="3"/>
  <c r="N81" i="3"/>
  <c r="O81" i="3"/>
  <c r="P81" i="3"/>
  <c r="Q81" i="3"/>
  <c r="R81" i="3"/>
  <c r="S81" i="3"/>
  <c r="T81" i="3"/>
  <c r="U81" i="3"/>
  <c r="B82" i="3"/>
  <c r="C82" i="3"/>
  <c r="D82" i="3"/>
  <c r="E82" i="3"/>
  <c r="F82" i="3"/>
  <c r="G82" i="3"/>
  <c r="H82" i="3"/>
  <c r="I82" i="3"/>
  <c r="J82" i="3"/>
  <c r="K82" i="3"/>
  <c r="L82" i="3"/>
  <c r="M82" i="3"/>
  <c r="N82" i="3"/>
  <c r="O82" i="3"/>
  <c r="P82" i="3"/>
  <c r="Q82" i="3"/>
  <c r="R82" i="3"/>
  <c r="S82" i="3"/>
  <c r="T82" i="3"/>
  <c r="B83" i="3"/>
  <c r="C83" i="3"/>
  <c r="D83" i="3"/>
  <c r="E83" i="3"/>
  <c r="F83" i="3"/>
  <c r="G83" i="3"/>
  <c r="H83" i="3"/>
  <c r="I83" i="3"/>
  <c r="J83" i="3"/>
  <c r="K83" i="3"/>
  <c r="L83" i="3"/>
  <c r="M83" i="3"/>
  <c r="N83" i="3"/>
  <c r="O83" i="3"/>
  <c r="P83" i="3"/>
  <c r="Q83" i="3"/>
  <c r="R83" i="3"/>
  <c r="S83" i="3"/>
  <c r="T83" i="3"/>
  <c r="U83" i="3"/>
  <c r="B84" i="3"/>
  <c r="C84" i="3"/>
  <c r="D84" i="3"/>
  <c r="E84" i="3"/>
  <c r="F84" i="3"/>
  <c r="G84" i="3"/>
  <c r="H84" i="3"/>
  <c r="I84" i="3"/>
  <c r="J84" i="3"/>
  <c r="K84" i="3"/>
  <c r="L84" i="3"/>
  <c r="M84" i="3"/>
  <c r="N84" i="3"/>
  <c r="O84" i="3"/>
  <c r="P84" i="3"/>
  <c r="Q84" i="3"/>
  <c r="R84" i="3"/>
  <c r="S84" i="3"/>
  <c r="T84" i="3"/>
  <c r="B85" i="3"/>
  <c r="C85" i="3"/>
  <c r="D85" i="3"/>
  <c r="E85" i="3"/>
  <c r="F85" i="3"/>
  <c r="G85" i="3"/>
  <c r="H85" i="3"/>
  <c r="I85" i="3"/>
  <c r="J85" i="3"/>
  <c r="K85" i="3"/>
  <c r="L85" i="3"/>
  <c r="M85" i="3"/>
  <c r="N85" i="3"/>
  <c r="O85" i="3"/>
  <c r="P85" i="3"/>
  <c r="Q85" i="3"/>
  <c r="R85" i="3"/>
  <c r="S85" i="3"/>
  <c r="T85" i="3"/>
  <c r="U85" i="3"/>
  <c r="B86" i="3"/>
  <c r="C86" i="3"/>
  <c r="D86" i="3"/>
  <c r="E86" i="3"/>
  <c r="F86" i="3"/>
  <c r="G86" i="3"/>
  <c r="H86" i="3"/>
  <c r="I86" i="3"/>
  <c r="J86" i="3"/>
  <c r="K86" i="3"/>
  <c r="L86" i="3"/>
  <c r="M86" i="3"/>
  <c r="N86" i="3"/>
  <c r="O86" i="3"/>
  <c r="P86" i="3"/>
  <c r="Q86" i="3"/>
  <c r="R86" i="3"/>
  <c r="S86" i="3"/>
  <c r="T86" i="3"/>
  <c r="U86" i="3"/>
  <c r="B87" i="3"/>
  <c r="C87" i="3"/>
  <c r="D87" i="3"/>
  <c r="E87" i="3"/>
  <c r="F87" i="3"/>
  <c r="G87" i="3"/>
  <c r="H87" i="3"/>
  <c r="I87" i="3"/>
  <c r="J87" i="3"/>
  <c r="K87" i="3"/>
  <c r="L87" i="3"/>
  <c r="M87" i="3"/>
  <c r="N87" i="3"/>
  <c r="O87" i="3"/>
  <c r="P87" i="3"/>
  <c r="Q87" i="3"/>
  <c r="R87" i="3"/>
  <c r="S87" i="3"/>
  <c r="T87" i="3"/>
  <c r="U87" i="3"/>
  <c r="B88" i="3"/>
  <c r="C88" i="3"/>
  <c r="D88" i="3"/>
  <c r="E88" i="3"/>
  <c r="F88" i="3"/>
  <c r="G88" i="3"/>
  <c r="H88" i="3"/>
  <c r="I88" i="3"/>
  <c r="J88" i="3"/>
  <c r="K88" i="3"/>
  <c r="L88" i="3"/>
  <c r="M88" i="3"/>
  <c r="N88" i="3"/>
  <c r="O88" i="3"/>
  <c r="P88" i="3"/>
  <c r="Q88" i="3"/>
  <c r="R88" i="3"/>
  <c r="S88" i="3"/>
  <c r="T88" i="3"/>
  <c r="B89" i="3"/>
  <c r="C89" i="3"/>
  <c r="D89" i="3"/>
  <c r="E89" i="3"/>
  <c r="F89" i="3"/>
  <c r="G89" i="3"/>
  <c r="H89" i="3"/>
  <c r="I89" i="3"/>
  <c r="J89" i="3"/>
  <c r="K89" i="3"/>
  <c r="L89" i="3"/>
  <c r="M89" i="3"/>
  <c r="N89" i="3"/>
  <c r="O89" i="3"/>
  <c r="P89" i="3"/>
  <c r="Q89" i="3"/>
  <c r="R89" i="3"/>
  <c r="S89" i="3"/>
  <c r="T89" i="3"/>
  <c r="U89" i="3"/>
  <c r="B90" i="3"/>
  <c r="C90" i="3"/>
  <c r="D90" i="3"/>
  <c r="E90" i="3"/>
  <c r="F90" i="3"/>
  <c r="G90" i="3"/>
  <c r="H90" i="3"/>
  <c r="I90" i="3"/>
  <c r="J90" i="3"/>
  <c r="K90" i="3"/>
  <c r="L90" i="3"/>
  <c r="M90" i="3"/>
  <c r="N90" i="3"/>
  <c r="O90" i="3"/>
  <c r="P90" i="3"/>
  <c r="Q90" i="3"/>
  <c r="R90" i="3"/>
  <c r="S90" i="3"/>
  <c r="T90" i="3"/>
  <c r="B91" i="3"/>
  <c r="C91" i="3"/>
  <c r="D91" i="3"/>
  <c r="E91" i="3"/>
  <c r="F91" i="3"/>
  <c r="G91" i="3"/>
  <c r="H91" i="3"/>
  <c r="I91" i="3"/>
  <c r="J91" i="3"/>
  <c r="K91" i="3"/>
  <c r="L91" i="3"/>
  <c r="M91" i="3"/>
  <c r="N91" i="3"/>
  <c r="O91" i="3"/>
  <c r="P91" i="3"/>
  <c r="Q91" i="3"/>
  <c r="R91" i="3"/>
  <c r="S91" i="3"/>
  <c r="T91" i="3"/>
  <c r="U91" i="3"/>
  <c r="B92" i="3"/>
  <c r="C92" i="3"/>
  <c r="D92" i="3"/>
  <c r="E92" i="3"/>
  <c r="F92" i="3"/>
  <c r="G92" i="3"/>
  <c r="H92" i="3"/>
  <c r="I92" i="3"/>
  <c r="J92" i="3"/>
  <c r="K92" i="3"/>
  <c r="L92" i="3"/>
  <c r="M92" i="3"/>
  <c r="N92" i="3"/>
  <c r="O92" i="3"/>
  <c r="P92" i="3"/>
  <c r="Q92" i="3"/>
  <c r="R92" i="3"/>
  <c r="S92" i="3"/>
  <c r="T92" i="3"/>
  <c r="U92" i="3"/>
  <c r="B93" i="3"/>
  <c r="C93" i="3"/>
  <c r="D93" i="3"/>
  <c r="E93" i="3"/>
  <c r="F93" i="3"/>
  <c r="G93" i="3"/>
  <c r="H93" i="3"/>
  <c r="I93" i="3"/>
  <c r="J93" i="3"/>
  <c r="K93" i="3"/>
  <c r="L93" i="3"/>
  <c r="M93" i="3"/>
  <c r="N93" i="3"/>
  <c r="O93" i="3"/>
  <c r="P93" i="3"/>
  <c r="Q93" i="3"/>
  <c r="R93" i="3"/>
  <c r="S93" i="3"/>
  <c r="T93" i="3"/>
  <c r="U93" i="3"/>
  <c r="B94" i="3"/>
  <c r="C94" i="3"/>
  <c r="D94" i="3"/>
  <c r="E94" i="3"/>
  <c r="F94" i="3"/>
  <c r="G94" i="3"/>
  <c r="H94" i="3"/>
  <c r="I94" i="3"/>
  <c r="J94" i="3"/>
  <c r="K94" i="3"/>
  <c r="L94" i="3"/>
  <c r="M94" i="3"/>
  <c r="N94" i="3"/>
  <c r="O94" i="3"/>
  <c r="P94" i="3"/>
  <c r="Q94" i="3"/>
  <c r="R94" i="3"/>
  <c r="S94" i="3"/>
  <c r="T94" i="3"/>
  <c r="U94" i="3"/>
  <c r="B95" i="3"/>
  <c r="C95" i="3"/>
  <c r="D95" i="3"/>
  <c r="E95" i="3"/>
  <c r="F95" i="3"/>
  <c r="G95" i="3"/>
  <c r="H95" i="3"/>
  <c r="I95" i="3"/>
  <c r="J95" i="3"/>
  <c r="K95" i="3"/>
  <c r="L95" i="3"/>
  <c r="M95" i="3"/>
  <c r="N95" i="3"/>
  <c r="O95" i="3"/>
  <c r="P95" i="3"/>
  <c r="Q95" i="3"/>
  <c r="R95" i="3"/>
  <c r="S95" i="3"/>
  <c r="T95" i="3"/>
  <c r="U95" i="3"/>
  <c r="B96" i="3"/>
  <c r="C96" i="3"/>
  <c r="D96" i="3"/>
  <c r="E96" i="3"/>
  <c r="F96" i="3"/>
  <c r="G96" i="3"/>
  <c r="H96" i="3"/>
  <c r="I96" i="3"/>
  <c r="J96" i="3"/>
  <c r="K96" i="3"/>
  <c r="L96" i="3"/>
  <c r="M96" i="3"/>
  <c r="N96" i="3"/>
  <c r="O96" i="3"/>
  <c r="P96" i="3"/>
  <c r="Q96" i="3"/>
  <c r="R96" i="3"/>
  <c r="S96" i="3"/>
  <c r="T96" i="3"/>
  <c r="B97" i="3"/>
  <c r="C97" i="3"/>
  <c r="D97" i="3"/>
  <c r="E97" i="3"/>
  <c r="F97" i="3"/>
  <c r="G97" i="3"/>
  <c r="H97" i="3"/>
  <c r="I97" i="3"/>
  <c r="J97" i="3"/>
  <c r="K97" i="3"/>
  <c r="L97" i="3"/>
  <c r="M97" i="3"/>
  <c r="N97" i="3"/>
  <c r="O97" i="3"/>
  <c r="P97" i="3"/>
  <c r="Q97" i="3"/>
  <c r="R97" i="3"/>
  <c r="S97" i="3"/>
  <c r="T97" i="3"/>
  <c r="U97" i="3"/>
  <c r="B98" i="3"/>
  <c r="C98" i="3"/>
  <c r="D98" i="3"/>
  <c r="E98" i="3"/>
  <c r="F98" i="3"/>
  <c r="G98" i="3"/>
  <c r="H98" i="3"/>
  <c r="I98" i="3"/>
  <c r="J98" i="3"/>
  <c r="K98" i="3"/>
  <c r="L98" i="3"/>
  <c r="M98" i="3"/>
  <c r="N98" i="3"/>
  <c r="O98" i="3"/>
  <c r="P98" i="3"/>
  <c r="Q98" i="3"/>
  <c r="R98" i="3"/>
  <c r="S98" i="3"/>
  <c r="T98" i="3"/>
  <c r="B99" i="3"/>
  <c r="C99" i="3"/>
  <c r="D99" i="3"/>
  <c r="E99" i="3"/>
  <c r="F99" i="3"/>
  <c r="G99" i="3"/>
  <c r="H99" i="3"/>
  <c r="I99" i="3"/>
  <c r="J99" i="3"/>
  <c r="K99" i="3"/>
  <c r="L99" i="3"/>
  <c r="M99" i="3"/>
  <c r="N99" i="3"/>
  <c r="O99" i="3"/>
  <c r="P99" i="3"/>
  <c r="Q99" i="3"/>
  <c r="R99" i="3"/>
  <c r="S99" i="3"/>
  <c r="T99" i="3"/>
  <c r="U99" i="3"/>
  <c r="B100" i="3"/>
  <c r="C100" i="3"/>
  <c r="D100" i="3"/>
  <c r="E100" i="3"/>
  <c r="F100" i="3"/>
  <c r="G100" i="3"/>
  <c r="H100" i="3"/>
  <c r="I100" i="3"/>
  <c r="J100" i="3"/>
  <c r="K100" i="3"/>
  <c r="L100" i="3"/>
  <c r="M100" i="3"/>
  <c r="N100" i="3"/>
  <c r="O100" i="3"/>
  <c r="P100" i="3"/>
  <c r="Q100" i="3"/>
  <c r="R100" i="3"/>
  <c r="T100" i="3"/>
  <c r="B101" i="3"/>
  <c r="C101" i="3"/>
  <c r="D101" i="3"/>
  <c r="E101" i="3"/>
  <c r="F101" i="3"/>
  <c r="G101" i="3"/>
  <c r="H101" i="3"/>
  <c r="I101" i="3"/>
  <c r="J101" i="3"/>
  <c r="K101" i="3"/>
  <c r="L101" i="3"/>
  <c r="M101" i="3"/>
  <c r="N101" i="3"/>
  <c r="O101" i="3"/>
  <c r="P101" i="3"/>
  <c r="Q101" i="3"/>
  <c r="R101" i="3"/>
  <c r="S101" i="3"/>
  <c r="T101" i="3"/>
  <c r="U101" i="3"/>
  <c r="B102" i="3"/>
  <c r="C102" i="3"/>
  <c r="D102" i="3"/>
  <c r="E102" i="3"/>
  <c r="F102" i="3"/>
  <c r="G102" i="3"/>
  <c r="H102" i="3"/>
  <c r="I102" i="3"/>
  <c r="J102" i="3"/>
  <c r="K102" i="3"/>
  <c r="L102" i="3"/>
  <c r="M102" i="3"/>
  <c r="N102" i="3"/>
  <c r="O102" i="3"/>
  <c r="P102" i="3"/>
  <c r="Q102" i="3"/>
  <c r="R102" i="3"/>
  <c r="S102" i="3"/>
  <c r="T102" i="3"/>
  <c r="B103" i="3"/>
  <c r="C103" i="3"/>
  <c r="D103" i="3"/>
  <c r="E103" i="3"/>
  <c r="F103" i="3"/>
  <c r="G103" i="3"/>
  <c r="H103" i="3"/>
  <c r="I103" i="3"/>
  <c r="J103" i="3"/>
  <c r="K103" i="3"/>
  <c r="L103" i="3"/>
  <c r="M103" i="3"/>
  <c r="N103" i="3"/>
  <c r="O103" i="3"/>
  <c r="P103" i="3"/>
  <c r="Q103" i="3"/>
  <c r="R103" i="3"/>
  <c r="S103" i="3"/>
  <c r="T103" i="3"/>
  <c r="U103" i="3"/>
  <c r="B104" i="3"/>
  <c r="C104" i="3"/>
  <c r="D104" i="3"/>
  <c r="E104" i="3"/>
  <c r="F104" i="3"/>
  <c r="G104" i="3"/>
  <c r="H104" i="3"/>
  <c r="I104" i="3"/>
  <c r="J104" i="3"/>
  <c r="K104" i="3"/>
  <c r="L104" i="3"/>
  <c r="M104" i="3"/>
  <c r="N104" i="3"/>
  <c r="O104" i="3"/>
  <c r="P104" i="3"/>
  <c r="Q104" i="3"/>
  <c r="R104" i="3"/>
  <c r="S104" i="3"/>
  <c r="T104" i="3"/>
  <c r="B105" i="3"/>
  <c r="C105" i="3"/>
  <c r="D105" i="3"/>
  <c r="E105" i="3"/>
  <c r="F105" i="3"/>
  <c r="G105" i="3"/>
  <c r="H105" i="3"/>
  <c r="I105" i="3"/>
  <c r="J105" i="3"/>
  <c r="K105" i="3"/>
  <c r="L105" i="3"/>
  <c r="M105" i="3"/>
  <c r="N105" i="3"/>
  <c r="O105" i="3"/>
  <c r="P105" i="3"/>
  <c r="Q105" i="3"/>
  <c r="R105" i="3"/>
  <c r="S105" i="3"/>
  <c r="T105" i="3"/>
  <c r="U105" i="3"/>
  <c r="B106" i="3"/>
  <c r="C106" i="3"/>
  <c r="D106" i="3"/>
  <c r="E106" i="3"/>
  <c r="F106" i="3"/>
  <c r="G106" i="3"/>
  <c r="H106" i="3"/>
  <c r="I106" i="3"/>
  <c r="J106" i="3"/>
  <c r="K106" i="3"/>
  <c r="L106" i="3"/>
  <c r="M106" i="3"/>
  <c r="N106" i="3"/>
  <c r="O106" i="3"/>
  <c r="P106" i="3"/>
  <c r="Q106" i="3"/>
  <c r="R106" i="3"/>
  <c r="S106" i="3"/>
  <c r="T106" i="3"/>
  <c r="B107" i="3"/>
  <c r="C107" i="3"/>
  <c r="D107" i="3"/>
  <c r="E107" i="3"/>
  <c r="F107" i="3"/>
  <c r="G107" i="3"/>
  <c r="H107" i="3"/>
  <c r="I107" i="3"/>
  <c r="J107" i="3"/>
  <c r="K107" i="3"/>
  <c r="L107" i="3"/>
  <c r="M107" i="3"/>
  <c r="N107" i="3"/>
  <c r="O107" i="3"/>
  <c r="P107" i="3"/>
  <c r="Q107" i="3"/>
  <c r="R107" i="3"/>
  <c r="S107" i="3"/>
  <c r="T107" i="3"/>
  <c r="U107" i="3"/>
  <c r="B108" i="3"/>
  <c r="C108" i="3"/>
  <c r="D108" i="3"/>
  <c r="E108" i="3"/>
  <c r="F108" i="3"/>
  <c r="G108" i="3"/>
  <c r="H108" i="3"/>
  <c r="I108" i="3"/>
  <c r="J108" i="3"/>
  <c r="K108" i="3"/>
  <c r="L108" i="3"/>
  <c r="M108" i="3"/>
  <c r="N108" i="3"/>
  <c r="O108" i="3"/>
  <c r="P108" i="3"/>
  <c r="Q108" i="3"/>
  <c r="R108" i="3"/>
  <c r="S108" i="3"/>
  <c r="T108" i="3"/>
  <c r="B109" i="3"/>
  <c r="C109" i="3"/>
  <c r="D109" i="3"/>
  <c r="E109" i="3"/>
  <c r="F109" i="3"/>
  <c r="G109" i="3"/>
  <c r="H109" i="3"/>
  <c r="I109" i="3"/>
  <c r="J109" i="3"/>
  <c r="K109" i="3"/>
  <c r="L109" i="3"/>
  <c r="M109" i="3"/>
  <c r="N109" i="3"/>
  <c r="O109" i="3"/>
  <c r="P109" i="3"/>
  <c r="Q109" i="3"/>
  <c r="R109" i="3"/>
  <c r="S109" i="3"/>
  <c r="T109" i="3"/>
  <c r="U109" i="3"/>
  <c r="B110" i="3"/>
  <c r="C110" i="3"/>
  <c r="D110" i="3"/>
  <c r="E110" i="3"/>
  <c r="F110" i="3"/>
  <c r="G110" i="3"/>
  <c r="H110" i="3"/>
  <c r="I110" i="3"/>
  <c r="J110" i="3"/>
  <c r="K110" i="3"/>
  <c r="L110" i="3"/>
  <c r="M110" i="3"/>
  <c r="N110" i="3"/>
  <c r="O110" i="3"/>
  <c r="P110" i="3"/>
  <c r="Q110" i="3"/>
  <c r="R110" i="3"/>
  <c r="S110" i="3"/>
  <c r="T110" i="3"/>
  <c r="U110" i="3"/>
  <c r="B111" i="3"/>
  <c r="C111" i="3"/>
  <c r="D111" i="3"/>
  <c r="E111" i="3"/>
  <c r="F111" i="3"/>
  <c r="G111" i="3"/>
  <c r="H111" i="3"/>
  <c r="I111" i="3"/>
  <c r="J111" i="3"/>
  <c r="K111" i="3"/>
  <c r="L111" i="3"/>
  <c r="M111" i="3"/>
  <c r="N111" i="3"/>
  <c r="O111" i="3"/>
  <c r="P111" i="3"/>
  <c r="Q111" i="3"/>
  <c r="R111" i="3"/>
  <c r="S111" i="3"/>
  <c r="T111" i="3"/>
  <c r="U111" i="3"/>
  <c r="B112" i="3"/>
  <c r="C112" i="3"/>
  <c r="D112" i="3"/>
  <c r="E112" i="3"/>
  <c r="F112" i="3"/>
  <c r="G112" i="3"/>
  <c r="H112" i="3"/>
  <c r="I112" i="3"/>
  <c r="J112" i="3"/>
  <c r="K112" i="3"/>
  <c r="L112" i="3"/>
  <c r="M112" i="3"/>
  <c r="N112" i="3"/>
  <c r="O112" i="3"/>
  <c r="P112" i="3"/>
  <c r="Q112" i="3"/>
  <c r="R112" i="3"/>
  <c r="S112" i="3"/>
  <c r="T112" i="3"/>
  <c r="B113" i="3"/>
  <c r="C113" i="3"/>
  <c r="D113" i="3"/>
  <c r="E113" i="3"/>
  <c r="F113" i="3"/>
  <c r="G113" i="3"/>
  <c r="H113" i="3"/>
  <c r="I113" i="3"/>
  <c r="J113" i="3"/>
  <c r="K113" i="3"/>
  <c r="L113" i="3"/>
  <c r="M113" i="3"/>
  <c r="N113" i="3"/>
  <c r="O113" i="3"/>
  <c r="P113" i="3"/>
  <c r="Q113" i="3"/>
  <c r="R113" i="3"/>
  <c r="S113" i="3"/>
  <c r="T113" i="3"/>
  <c r="U113" i="3"/>
  <c r="B114" i="3"/>
  <c r="C114" i="3"/>
  <c r="D114" i="3"/>
  <c r="E114" i="3"/>
  <c r="F114" i="3"/>
  <c r="G114" i="3"/>
  <c r="H114" i="3"/>
  <c r="I114" i="3"/>
  <c r="J114" i="3"/>
  <c r="K114" i="3"/>
  <c r="L114" i="3"/>
  <c r="M114" i="3"/>
  <c r="N114" i="3"/>
  <c r="O114" i="3"/>
  <c r="P114" i="3"/>
  <c r="Q114" i="3"/>
  <c r="R114" i="3"/>
  <c r="S114" i="3"/>
  <c r="T114" i="3"/>
  <c r="B115" i="3"/>
  <c r="C115" i="3"/>
  <c r="D115" i="3"/>
  <c r="E115" i="3"/>
  <c r="F115" i="3"/>
  <c r="G115" i="3"/>
  <c r="H115" i="3"/>
  <c r="I115" i="3"/>
  <c r="J115" i="3"/>
  <c r="K115" i="3"/>
  <c r="L115" i="3"/>
  <c r="M115" i="3"/>
  <c r="N115" i="3"/>
  <c r="O115" i="3"/>
  <c r="P115" i="3"/>
  <c r="Q115" i="3"/>
  <c r="R115" i="3"/>
  <c r="S115" i="3"/>
  <c r="T115" i="3"/>
  <c r="U115" i="3"/>
  <c r="B116" i="3"/>
  <c r="C116" i="3"/>
  <c r="D116" i="3"/>
  <c r="E116" i="3"/>
  <c r="F116" i="3"/>
  <c r="G116" i="3"/>
  <c r="H116" i="3"/>
  <c r="I116" i="3"/>
  <c r="J116" i="3"/>
  <c r="K116" i="3"/>
  <c r="L116" i="3"/>
  <c r="M116" i="3"/>
  <c r="N116" i="3"/>
  <c r="O116" i="3"/>
  <c r="P116" i="3"/>
  <c r="Q116" i="3"/>
  <c r="R116" i="3"/>
  <c r="S116" i="3"/>
  <c r="T116" i="3"/>
  <c r="B117" i="3"/>
  <c r="C117" i="3"/>
  <c r="D117" i="3"/>
  <c r="E117" i="3"/>
  <c r="F117" i="3"/>
  <c r="G117" i="3"/>
  <c r="H117" i="3"/>
  <c r="I117" i="3"/>
  <c r="J117" i="3"/>
  <c r="K117" i="3"/>
  <c r="L117" i="3"/>
  <c r="M117" i="3"/>
  <c r="N117" i="3"/>
  <c r="O117" i="3"/>
  <c r="P117" i="3"/>
  <c r="Q117" i="3"/>
  <c r="R117" i="3"/>
  <c r="S117" i="3"/>
  <c r="T117" i="3"/>
  <c r="B118" i="3"/>
  <c r="C118" i="3"/>
  <c r="D118" i="3"/>
  <c r="E118" i="3"/>
  <c r="F118" i="3"/>
  <c r="G118" i="3"/>
  <c r="H118" i="3"/>
  <c r="I118" i="3"/>
  <c r="J118" i="3"/>
  <c r="K118" i="3"/>
  <c r="L118" i="3"/>
  <c r="M118" i="3"/>
  <c r="N118" i="3"/>
  <c r="O118" i="3"/>
  <c r="P118" i="3"/>
  <c r="Q118" i="3"/>
  <c r="R118" i="3"/>
  <c r="S118" i="3"/>
  <c r="T118" i="3"/>
  <c r="B119" i="3"/>
  <c r="C119" i="3"/>
  <c r="D119" i="3"/>
  <c r="E119" i="3"/>
  <c r="F119" i="3"/>
  <c r="G119" i="3"/>
  <c r="H119" i="3"/>
  <c r="I119" i="3"/>
  <c r="J119" i="3"/>
  <c r="K119" i="3"/>
  <c r="L119" i="3"/>
  <c r="M119" i="3"/>
  <c r="N119" i="3"/>
  <c r="O119" i="3"/>
  <c r="P119" i="3"/>
  <c r="Q119" i="3"/>
  <c r="R119" i="3"/>
  <c r="S119" i="3"/>
  <c r="T119" i="3"/>
  <c r="U119" i="3"/>
  <c r="B120" i="3"/>
  <c r="C120" i="3"/>
  <c r="D120" i="3"/>
  <c r="E120" i="3"/>
  <c r="F120" i="3"/>
  <c r="G120" i="3"/>
  <c r="H120" i="3"/>
  <c r="I120" i="3"/>
  <c r="J120" i="3"/>
  <c r="K120" i="3"/>
  <c r="L120" i="3"/>
  <c r="M120" i="3"/>
  <c r="N120" i="3"/>
  <c r="O120" i="3"/>
  <c r="P120" i="3"/>
  <c r="Q120" i="3"/>
  <c r="R120" i="3"/>
  <c r="S120" i="3"/>
  <c r="T120" i="3"/>
  <c r="U120" i="3"/>
  <c r="B121" i="3"/>
  <c r="C121" i="3"/>
  <c r="D121" i="3"/>
  <c r="E121" i="3"/>
  <c r="F121" i="3"/>
  <c r="G121" i="3"/>
  <c r="H121" i="3"/>
  <c r="I121" i="3"/>
  <c r="J121" i="3"/>
  <c r="K121" i="3"/>
  <c r="L121" i="3"/>
  <c r="M121" i="3"/>
  <c r="N121" i="3"/>
  <c r="O121" i="3"/>
  <c r="P121" i="3"/>
  <c r="Q121" i="3"/>
  <c r="R121" i="3"/>
  <c r="S121" i="3"/>
  <c r="T121" i="3"/>
  <c r="U121" i="3"/>
  <c r="B122" i="3"/>
  <c r="C122" i="3"/>
  <c r="D122" i="3"/>
  <c r="E122" i="3"/>
  <c r="F122" i="3"/>
  <c r="G122" i="3"/>
  <c r="H122" i="3"/>
  <c r="I122" i="3"/>
  <c r="J122" i="3"/>
  <c r="K122" i="3"/>
  <c r="L122" i="3"/>
  <c r="M122" i="3"/>
  <c r="N122" i="3"/>
  <c r="O122" i="3"/>
  <c r="P122" i="3"/>
  <c r="Q122" i="3"/>
  <c r="R122" i="3"/>
  <c r="S122" i="3"/>
  <c r="T122" i="3"/>
  <c r="B123" i="3"/>
  <c r="C123" i="3"/>
  <c r="D123" i="3"/>
  <c r="E123" i="3"/>
  <c r="F123" i="3"/>
  <c r="G123" i="3"/>
  <c r="H123" i="3"/>
  <c r="I123" i="3"/>
  <c r="J123" i="3"/>
  <c r="K123" i="3"/>
  <c r="L123" i="3"/>
  <c r="M123" i="3"/>
  <c r="N123" i="3"/>
  <c r="O123" i="3"/>
  <c r="P123" i="3"/>
  <c r="Q123" i="3"/>
  <c r="R123" i="3"/>
  <c r="S123" i="3"/>
  <c r="T123" i="3"/>
  <c r="U123" i="3"/>
  <c r="B124" i="3"/>
  <c r="C124" i="3"/>
  <c r="D124" i="3"/>
  <c r="E124" i="3"/>
  <c r="F124" i="3"/>
  <c r="G124" i="3"/>
  <c r="H124" i="3"/>
  <c r="I124" i="3"/>
  <c r="J124" i="3"/>
  <c r="K124" i="3"/>
  <c r="L124" i="3"/>
  <c r="M124" i="3"/>
  <c r="N124" i="3"/>
  <c r="O124" i="3"/>
  <c r="P124" i="3"/>
  <c r="Q124" i="3"/>
  <c r="R124" i="3"/>
  <c r="S124" i="3"/>
  <c r="T124" i="3"/>
  <c r="B125" i="3"/>
  <c r="C125" i="3"/>
  <c r="D125" i="3"/>
  <c r="E125" i="3"/>
  <c r="F125" i="3"/>
  <c r="G125" i="3"/>
  <c r="H125" i="3"/>
  <c r="I125" i="3"/>
  <c r="J125" i="3"/>
  <c r="K125" i="3"/>
  <c r="L125" i="3"/>
  <c r="M125" i="3"/>
  <c r="N125" i="3"/>
  <c r="O125" i="3"/>
  <c r="P125" i="3"/>
  <c r="Q125" i="3"/>
  <c r="R125" i="3"/>
  <c r="S125" i="3"/>
  <c r="T125" i="3"/>
  <c r="U125" i="3"/>
  <c r="B126" i="3"/>
  <c r="C126" i="3"/>
  <c r="D126" i="3"/>
  <c r="E126" i="3"/>
  <c r="F126" i="3"/>
  <c r="G126" i="3"/>
  <c r="H126" i="3"/>
  <c r="I126" i="3"/>
  <c r="J126" i="3"/>
  <c r="K126" i="3"/>
  <c r="L126" i="3"/>
  <c r="M126" i="3"/>
  <c r="N126" i="3"/>
  <c r="O126" i="3"/>
  <c r="P126" i="3"/>
  <c r="Q126" i="3"/>
  <c r="R126" i="3"/>
  <c r="S126" i="3"/>
  <c r="T126" i="3"/>
  <c r="B127" i="3"/>
  <c r="C127" i="3"/>
  <c r="D127" i="3"/>
  <c r="E127" i="3"/>
  <c r="F127" i="3"/>
  <c r="G127" i="3"/>
  <c r="H127" i="3"/>
  <c r="I127" i="3"/>
  <c r="J127" i="3"/>
  <c r="K127" i="3"/>
  <c r="L127" i="3"/>
  <c r="M127" i="3"/>
  <c r="N127" i="3"/>
  <c r="O127" i="3"/>
  <c r="P127" i="3"/>
  <c r="Q127" i="3"/>
  <c r="R127" i="3"/>
  <c r="S127" i="3"/>
  <c r="T127" i="3"/>
  <c r="B128" i="3"/>
  <c r="C128" i="3"/>
  <c r="D128" i="3"/>
  <c r="E128" i="3"/>
  <c r="F128" i="3"/>
  <c r="G128" i="3"/>
  <c r="H128" i="3"/>
  <c r="I128" i="3"/>
  <c r="J128" i="3"/>
  <c r="K128" i="3"/>
  <c r="L128" i="3"/>
  <c r="M128" i="3"/>
  <c r="N128" i="3"/>
  <c r="O128" i="3"/>
  <c r="P128" i="3"/>
  <c r="Q128" i="3"/>
  <c r="R128" i="3"/>
  <c r="S128" i="3"/>
  <c r="T128" i="3"/>
  <c r="B129" i="3"/>
  <c r="C129" i="3"/>
  <c r="D129" i="3"/>
  <c r="E129" i="3"/>
  <c r="F129" i="3"/>
  <c r="G129" i="3"/>
  <c r="H129" i="3"/>
  <c r="I129" i="3"/>
  <c r="J129" i="3"/>
  <c r="K129" i="3"/>
  <c r="L129" i="3"/>
  <c r="M129" i="3"/>
  <c r="N129" i="3"/>
  <c r="O129" i="3"/>
  <c r="P129" i="3"/>
  <c r="Q129" i="3"/>
  <c r="R129" i="3"/>
  <c r="S129" i="3"/>
  <c r="T129" i="3"/>
  <c r="U129" i="3"/>
  <c r="B130" i="3"/>
  <c r="C130" i="3"/>
  <c r="D130" i="3"/>
  <c r="E130" i="3"/>
  <c r="F130" i="3"/>
  <c r="G130" i="3"/>
  <c r="H130" i="3"/>
  <c r="I130" i="3"/>
  <c r="J130" i="3"/>
  <c r="K130" i="3"/>
  <c r="L130" i="3"/>
  <c r="M130" i="3"/>
  <c r="N130" i="3"/>
  <c r="O130" i="3"/>
  <c r="P130" i="3"/>
  <c r="Q130" i="3"/>
  <c r="R130" i="3"/>
  <c r="S130" i="3"/>
  <c r="T130" i="3"/>
  <c r="B131" i="3"/>
  <c r="C131" i="3"/>
  <c r="D131" i="3"/>
  <c r="E131" i="3"/>
  <c r="F131" i="3"/>
  <c r="G131" i="3"/>
  <c r="H131" i="3"/>
  <c r="I131" i="3"/>
  <c r="J131" i="3"/>
  <c r="K131" i="3"/>
  <c r="L131" i="3"/>
  <c r="M131" i="3"/>
  <c r="N131" i="3"/>
  <c r="O131" i="3"/>
  <c r="P131" i="3"/>
  <c r="Q131" i="3"/>
  <c r="R131" i="3"/>
  <c r="S131" i="3"/>
  <c r="T131" i="3"/>
  <c r="U131" i="3"/>
  <c r="B132" i="3"/>
  <c r="C132" i="3"/>
  <c r="D132" i="3"/>
  <c r="E132" i="3"/>
  <c r="F132" i="3"/>
  <c r="G132" i="3"/>
  <c r="H132" i="3"/>
  <c r="I132" i="3"/>
  <c r="J132" i="3"/>
  <c r="K132" i="3"/>
  <c r="L132" i="3"/>
  <c r="M132" i="3"/>
  <c r="N132" i="3"/>
  <c r="O132" i="3"/>
  <c r="P132" i="3"/>
  <c r="Q132" i="3"/>
  <c r="R132" i="3"/>
  <c r="S132" i="3"/>
  <c r="T132" i="3"/>
  <c r="B133" i="3"/>
  <c r="C133" i="3"/>
  <c r="D133" i="3"/>
  <c r="E133" i="3"/>
  <c r="F133" i="3"/>
  <c r="G133" i="3"/>
  <c r="H133" i="3"/>
  <c r="I133" i="3"/>
  <c r="J133" i="3"/>
  <c r="K133" i="3"/>
  <c r="L133" i="3"/>
  <c r="M133" i="3"/>
  <c r="N133" i="3"/>
  <c r="O133" i="3"/>
  <c r="P133" i="3"/>
  <c r="Q133" i="3"/>
  <c r="R133" i="3"/>
  <c r="S133" i="3"/>
  <c r="T133" i="3"/>
  <c r="U133" i="3"/>
  <c r="B134" i="3"/>
  <c r="C134" i="3"/>
  <c r="D134" i="3"/>
  <c r="E134" i="3"/>
  <c r="F134" i="3"/>
  <c r="G134" i="3"/>
  <c r="H134" i="3"/>
  <c r="I134" i="3"/>
  <c r="J134" i="3"/>
  <c r="K134" i="3"/>
  <c r="L134" i="3"/>
  <c r="M134" i="3"/>
  <c r="N134" i="3"/>
  <c r="O134" i="3"/>
  <c r="P134" i="3"/>
  <c r="Q134" i="3"/>
  <c r="R134" i="3"/>
  <c r="S134" i="3"/>
  <c r="T134" i="3"/>
  <c r="B135" i="3"/>
  <c r="C135" i="3"/>
  <c r="D135" i="3"/>
  <c r="E135" i="3"/>
  <c r="F135" i="3"/>
  <c r="G135" i="3"/>
  <c r="H135" i="3"/>
  <c r="I135" i="3"/>
  <c r="J135" i="3"/>
  <c r="K135" i="3"/>
  <c r="L135" i="3"/>
  <c r="M135" i="3"/>
  <c r="N135" i="3"/>
  <c r="O135" i="3"/>
  <c r="P135" i="3"/>
  <c r="Q135" i="3"/>
  <c r="R135" i="3"/>
  <c r="S135" i="3"/>
  <c r="T135" i="3"/>
  <c r="U135" i="3"/>
  <c r="B136" i="3"/>
  <c r="C136" i="3"/>
  <c r="D136" i="3"/>
  <c r="E136" i="3"/>
  <c r="F136" i="3"/>
  <c r="G136" i="3"/>
  <c r="H136" i="3"/>
  <c r="I136" i="3"/>
  <c r="J136" i="3"/>
  <c r="K136" i="3"/>
  <c r="L136" i="3"/>
  <c r="M136" i="3"/>
  <c r="N136" i="3"/>
  <c r="O136" i="3"/>
  <c r="P136" i="3"/>
  <c r="Q136" i="3"/>
  <c r="R136" i="3"/>
  <c r="S136" i="3"/>
  <c r="T136" i="3"/>
  <c r="B137" i="3"/>
  <c r="C137" i="3"/>
  <c r="D137" i="3"/>
  <c r="E137" i="3"/>
  <c r="F137" i="3"/>
  <c r="G137" i="3"/>
  <c r="H137" i="3"/>
  <c r="I137" i="3"/>
  <c r="J137" i="3"/>
  <c r="K137" i="3"/>
  <c r="L137" i="3"/>
  <c r="M137" i="3"/>
  <c r="N137" i="3"/>
  <c r="O137" i="3"/>
  <c r="P137" i="3"/>
  <c r="Q137" i="3"/>
  <c r="R137" i="3"/>
  <c r="S137" i="3"/>
  <c r="T137" i="3"/>
  <c r="U137" i="3"/>
  <c r="B138" i="3"/>
  <c r="C138" i="3"/>
  <c r="D138" i="3"/>
  <c r="E138" i="3"/>
  <c r="F138" i="3"/>
  <c r="G138" i="3"/>
  <c r="H138" i="3"/>
  <c r="I138" i="3"/>
  <c r="J138" i="3"/>
  <c r="K138" i="3"/>
  <c r="L138" i="3"/>
  <c r="M138" i="3"/>
  <c r="N138" i="3"/>
  <c r="O138" i="3"/>
  <c r="P138" i="3"/>
  <c r="Q138" i="3"/>
  <c r="R138" i="3"/>
  <c r="S138" i="3"/>
  <c r="T138" i="3"/>
  <c r="B139" i="3"/>
  <c r="C139" i="3"/>
  <c r="D139" i="3"/>
  <c r="E139" i="3"/>
  <c r="F139" i="3"/>
  <c r="G139" i="3"/>
  <c r="H139" i="3"/>
  <c r="I139" i="3"/>
  <c r="J139" i="3"/>
  <c r="K139" i="3"/>
  <c r="L139" i="3"/>
  <c r="M139" i="3"/>
  <c r="N139" i="3"/>
  <c r="O139" i="3"/>
  <c r="P139" i="3"/>
  <c r="Q139" i="3"/>
  <c r="R139" i="3"/>
  <c r="S139" i="3"/>
  <c r="T139" i="3"/>
  <c r="U139" i="3"/>
  <c r="B140" i="3"/>
  <c r="C140" i="3"/>
  <c r="D140" i="3"/>
  <c r="E140" i="3"/>
  <c r="F140" i="3"/>
  <c r="G140" i="3"/>
  <c r="H140" i="3"/>
  <c r="I140" i="3"/>
  <c r="J140" i="3"/>
  <c r="K140" i="3"/>
  <c r="L140" i="3"/>
  <c r="M140" i="3"/>
  <c r="N140" i="3"/>
  <c r="O140" i="3"/>
  <c r="P140" i="3"/>
  <c r="Q140" i="3"/>
  <c r="R140" i="3"/>
  <c r="S140" i="3"/>
  <c r="T140" i="3"/>
  <c r="B141" i="3"/>
  <c r="C141" i="3"/>
  <c r="D141" i="3"/>
  <c r="E141" i="3"/>
  <c r="F141" i="3"/>
  <c r="G141" i="3"/>
  <c r="H141" i="3"/>
  <c r="I141" i="3"/>
  <c r="J141" i="3"/>
  <c r="K141" i="3"/>
  <c r="L141" i="3"/>
  <c r="M141" i="3"/>
  <c r="N141" i="3"/>
  <c r="O141" i="3"/>
  <c r="P141" i="3"/>
  <c r="Q141" i="3"/>
  <c r="R141" i="3"/>
  <c r="S141" i="3"/>
  <c r="T141" i="3"/>
  <c r="U141" i="3"/>
  <c r="B142" i="3"/>
  <c r="C142" i="3"/>
  <c r="D142" i="3"/>
  <c r="E142" i="3"/>
  <c r="F142" i="3"/>
  <c r="G142" i="3"/>
  <c r="H142" i="3"/>
  <c r="I142" i="3"/>
  <c r="J142" i="3"/>
  <c r="K142" i="3"/>
  <c r="L142" i="3"/>
  <c r="M142" i="3"/>
  <c r="N142" i="3"/>
  <c r="O142" i="3"/>
  <c r="P142" i="3"/>
  <c r="Q142" i="3"/>
  <c r="R142" i="3"/>
  <c r="S142" i="3"/>
  <c r="T142" i="3"/>
  <c r="B143" i="3"/>
  <c r="C143" i="3"/>
  <c r="D143" i="3"/>
  <c r="E143" i="3"/>
  <c r="F143" i="3"/>
  <c r="G143" i="3"/>
  <c r="H143" i="3"/>
  <c r="I143" i="3"/>
  <c r="J143" i="3"/>
  <c r="K143" i="3"/>
  <c r="L143" i="3"/>
  <c r="M143" i="3"/>
  <c r="N143" i="3"/>
  <c r="O143" i="3"/>
  <c r="P143" i="3"/>
  <c r="Q143" i="3"/>
  <c r="R143" i="3"/>
  <c r="S143" i="3"/>
  <c r="T143" i="3"/>
  <c r="U143" i="3"/>
  <c r="B144" i="3"/>
  <c r="C144" i="3"/>
  <c r="D144" i="3"/>
  <c r="E144" i="3"/>
  <c r="F144" i="3"/>
  <c r="G144" i="3"/>
  <c r="H144" i="3"/>
  <c r="I144" i="3"/>
  <c r="J144" i="3"/>
  <c r="K144" i="3"/>
  <c r="L144" i="3"/>
  <c r="M144" i="3"/>
  <c r="N144" i="3"/>
  <c r="O144" i="3"/>
  <c r="P144" i="3"/>
  <c r="Q144" i="3"/>
  <c r="R144" i="3"/>
  <c r="S144" i="3"/>
  <c r="T144" i="3"/>
  <c r="B145" i="3"/>
  <c r="C145" i="3"/>
  <c r="D145" i="3"/>
  <c r="E145" i="3"/>
  <c r="F145" i="3"/>
  <c r="G145" i="3"/>
  <c r="H145" i="3"/>
  <c r="I145" i="3"/>
  <c r="J145" i="3"/>
  <c r="K145" i="3"/>
  <c r="L145" i="3"/>
  <c r="M145" i="3"/>
  <c r="N145" i="3"/>
  <c r="O145" i="3"/>
  <c r="P145" i="3"/>
  <c r="Q145" i="3"/>
  <c r="R145" i="3"/>
  <c r="S145" i="3"/>
  <c r="T145" i="3"/>
  <c r="U145" i="3"/>
  <c r="B146" i="3"/>
  <c r="C146" i="3"/>
  <c r="D146" i="3"/>
  <c r="E146" i="3"/>
  <c r="F146" i="3"/>
  <c r="G146" i="3"/>
  <c r="H146" i="3"/>
  <c r="I146" i="3"/>
  <c r="J146" i="3"/>
  <c r="K146" i="3"/>
  <c r="L146" i="3"/>
  <c r="M146" i="3"/>
  <c r="N146" i="3"/>
  <c r="O146" i="3"/>
  <c r="P146" i="3"/>
  <c r="Q146" i="3"/>
  <c r="R146" i="3"/>
  <c r="S146" i="3"/>
  <c r="T146" i="3"/>
  <c r="B147" i="3"/>
  <c r="C147" i="3"/>
  <c r="D147" i="3"/>
  <c r="E147" i="3"/>
  <c r="F147" i="3"/>
  <c r="G147" i="3"/>
  <c r="H147" i="3"/>
  <c r="I147" i="3"/>
  <c r="J147" i="3"/>
  <c r="K147" i="3"/>
  <c r="L147" i="3"/>
  <c r="M147" i="3"/>
  <c r="N147" i="3"/>
  <c r="O147" i="3"/>
  <c r="P147" i="3"/>
  <c r="Q147" i="3"/>
  <c r="R147" i="3"/>
  <c r="S147" i="3"/>
  <c r="T147" i="3"/>
  <c r="U147" i="3"/>
  <c r="B148" i="3"/>
  <c r="C148" i="3"/>
  <c r="D148" i="3"/>
  <c r="E148" i="3"/>
  <c r="F148" i="3"/>
  <c r="G148" i="3"/>
  <c r="H148" i="3"/>
  <c r="I148" i="3"/>
  <c r="J148" i="3"/>
  <c r="K148" i="3"/>
  <c r="L148" i="3"/>
  <c r="M148" i="3"/>
  <c r="N148" i="3"/>
  <c r="O148" i="3"/>
  <c r="P148" i="3"/>
  <c r="Q148" i="3"/>
  <c r="R148" i="3"/>
  <c r="S148" i="3"/>
  <c r="T148" i="3"/>
  <c r="B149" i="3"/>
  <c r="C149" i="3"/>
  <c r="D149" i="3"/>
  <c r="E149" i="3"/>
  <c r="F149" i="3"/>
  <c r="G149" i="3"/>
  <c r="H149" i="3"/>
  <c r="I149" i="3"/>
  <c r="J149" i="3"/>
  <c r="K149" i="3"/>
  <c r="L149" i="3"/>
  <c r="M149" i="3"/>
  <c r="N149" i="3"/>
  <c r="O149" i="3"/>
  <c r="P149" i="3"/>
  <c r="Q149" i="3"/>
  <c r="R149" i="3"/>
  <c r="S149" i="3"/>
  <c r="T149" i="3"/>
  <c r="U149" i="3"/>
  <c r="B150" i="3"/>
  <c r="C150" i="3"/>
  <c r="D150" i="3"/>
  <c r="E150" i="3"/>
  <c r="F150" i="3"/>
  <c r="G150" i="3"/>
  <c r="H150" i="3"/>
  <c r="I150" i="3"/>
  <c r="J150" i="3"/>
  <c r="K150" i="3"/>
  <c r="L150" i="3"/>
  <c r="M150" i="3"/>
  <c r="N150" i="3"/>
  <c r="O150" i="3"/>
  <c r="P150" i="3"/>
  <c r="Q150" i="3"/>
  <c r="R150" i="3"/>
  <c r="S150" i="3"/>
  <c r="T150" i="3"/>
  <c r="B151" i="3"/>
  <c r="C151" i="3"/>
  <c r="D151" i="3"/>
  <c r="E151" i="3"/>
  <c r="F151" i="3"/>
  <c r="G151" i="3"/>
  <c r="H151" i="3"/>
  <c r="I151" i="3"/>
  <c r="J151" i="3"/>
  <c r="K151" i="3"/>
  <c r="L151" i="3"/>
  <c r="M151" i="3"/>
  <c r="N151" i="3"/>
  <c r="O151" i="3"/>
  <c r="P151" i="3"/>
  <c r="Q151" i="3"/>
  <c r="R151" i="3"/>
  <c r="S151" i="3"/>
  <c r="T151" i="3"/>
  <c r="U151" i="3"/>
  <c r="B152" i="3"/>
  <c r="C152" i="3"/>
  <c r="D152" i="3"/>
  <c r="E152" i="3"/>
  <c r="F152" i="3"/>
  <c r="G152" i="3"/>
  <c r="H152" i="3"/>
  <c r="I152" i="3"/>
  <c r="J152" i="3"/>
  <c r="K152" i="3"/>
  <c r="L152" i="3"/>
  <c r="M152" i="3"/>
  <c r="N152" i="3"/>
  <c r="O152" i="3"/>
  <c r="P152" i="3"/>
  <c r="Q152" i="3"/>
  <c r="R152" i="3"/>
  <c r="S152" i="3"/>
  <c r="T152" i="3"/>
  <c r="B153" i="3"/>
  <c r="C153" i="3"/>
  <c r="D153" i="3"/>
  <c r="E153" i="3"/>
  <c r="F153" i="3"/>
  <c r="G153" i="3"/>
  <c r="H153" i="3"/>
  <c r="I153" i="3"/>
  <c r="J153" i="3"/>
  <c r="K153" i="3"/>
  <c r="L153" i="3"/>
  <c r="M153" i="3"/>
  <c r="N153" i="3"/>
  <c r="O153" i="3"/>
  <c r="P153" i="3"/>
  <c r="Q153" i="3"/>
  <c r="R153" i="3"/>
  <c r="S153" i="3"/>
  <c r="T153" i="3"/>
  <c r="U153" i="3"/>
  <c r="B154" i="3"/>
  <c r="C154" i="3"/>
  <c r="D154" i="3"/>
  <c r="E154" i="3"/>
  <c r="F154" i="3"/>
  <c r="G154" i="3"/>
  <c r="H154" i="3"/>
  <c r="I154" i="3"/>
  <c r="J154" i="3"/>
  <c r="K154" i="3"/>
  <c r="L154" i="3"/>
  <c r="M154" i="3"/>
  <c r="N154" i="3"/>
  <c r="O154" i="3"/>
  <c r="P154" i="3"/>
  <c r="Q154" i="3"/>
  <c r="R154" i="3"/>
  <c r="S154" i="3"/>
  <c r="T154" i="3"/>
  <c r="B155" i="3"/>
  <c r="C155" i="3"/>
  <c r="D155" i="3"/>
  <c r="E155" i="3"/>
  <c r="F155" i="3"/>
  <c r="G155" i="3"/>
  <c r="H155" i="3"/>
  <c r="I155" i="3"/>
  <c r="J155" i="3"/>
  <c r="K155" i="3"/>
  <c r="L155" i="3"/>
  <c r="M155" i="3"/>
  <c r="N155" i="3"/>
  <c r="O155" i="3"/>
  <c r="P155" i="3"/>
  <c r="Q155" i="3"/>
  <c r="R155" i="3"/>
  <c r="S155" i="3"/>
  <c r="T155" i="3"/>
  <c r="U155" i="3"/>
  <c r="B156" i="3"/>
  <c r="C156" i="3"/>
  <c r="D156" i="3"/>
  <c r="E156" i="3"/>
  <c r="F156" i="3"/>
  <c r="G156" i="3"/>
  <c r="H156" i="3"/>
  <c r="I156" i="3"/>
  <c r="J156" i="3"/>
  <c r="K156" i="3"/>
  <c r="L156" i="3"/>
  <c r="M156" i="3"/>
  <c r="N156" i="3"/>
  <c r="O156" i="3"/>
  <c r="P156" i="3"/>
  <c r="Q156" i="3"/>
  <c r="R156" i="3"/>
  <c r="S156" i="3"/>
  <c r="T156" i="3"/>
  <c r="B157" i="3"/>
  <c r="C157" i="3"/>
  <c r="D157" i="3"/>
  <c r="E157" i="3"/>
  <c r="F157" i="3"/>
  <c r="G157" i="3"/>
  <c r="H157" i="3"/>
  <c r="I157" i="3"/>
  <c r="J157" i="3"/>
  <c r="K157" i="3"/>
  <c r="L157" i="3"/>
  <c r="M157" i="3"/>
  <c r="N157" i="3"/>
  <c r="O157" i="3"/>
  <c r="P157" i="3"/>
  <c r="Q157" i="3"/>
  <c r="R157" i="3"/>
  <c r="S157" i="3"/>
  <c r="T157" i="3"/>
  <c r="U157" i="3"/>
  <c r="B158" i="3"/>
  <c r="C158" i="3"/>
  <c r="D158" i="3"/>
  <c r="E158" i="3"/>
  <c r="F158" i="3"/>
  <c r="G158" i="3"/>
  <c r="H158" i="3"/>
  <c r="I158" i="3"/>
  <c r="J158" i="3"/>
  <c r="K158" i="3"/>
  <c r="L158" i="3"/>
  <c r="M158" i="3"/>
  <c r="N158" i="3"/>
  <c r="O158" i="3"/>
  <c r="P158" i="3"/>
  <c r="Q158" i="3"/>
  <c r="R158" i="3"/>
  <c r="S158" i="3"/>
  <c r="T158" i="3"/>
  <c r="B159" i="3"/>
  <c r="C159" i="3"/>
  <c r="D159" i="3"/>
  <c r="E159" i="3"/>
  <c r="F159" i="3"/>
  <c r="G159" i="3"/>
  <c r="H159" i="3"/>
  <c r="I159" i="3"/>
  <c r="J159" i="3"/>
  <c r="K159" i="3"/>
  <c r="L159" i="3"/>
  <c r="M159" i="3"/>
  <c r="N159" i="3"/>
  <c r="O159" i="3"/>
  <c r="P159" i="3"/>
  <c r="Q159" i="3"/>
  <c r="R159" i="3"/>
  <c r="S159" i="3"/>
  <c r="T159" i="3"/>
  <c r="U159" i="3"/>
  <c r="B160" i="3"/>
  <c r="C160" i="3"/>
  <c r="D160" i="3"/>
  <c r="E160" i="3"/>
  <c r="F160" i="3"/>
  <c r="G160" i="3"/>
  <c r="H160" i="3"/>
  <c r="I160" i="3"/>
  <c r="J160" i="3"/>
  <c r="K160" i="3"/>
  <c r="L160" i="3"/>
  <c r="M160" i="3"/>
  <c r="N160" i="3"/>
  <c r="O160" i="3"/>
  <c r="P160" i="3"/>
  <c r="Q160" i="3"/>
  <c r="R160" i="3"/>
  <c r="S160" i="3"/>
  <c r="T160" i="3"/>
  <c r="B161" i="3"/>
  <c r="C161" i="3"/>
  <c r="D161" i="3"/>
  <c r="E161" i="3"/>
  <c r="F161" i="3"/>
  <c r="G161" i="3"/>
  <c r="H161" i="3"/>
  <c r="I161" i="3"/>
  <c r="J161" i="3"/>
  <c r="K161" i="3"/>
  <c r="L161" i="3"/>
  <c r="M161" i="3"/>
  <c r="N161" i="3"/>
  <c r="O161" i="3"/>
  <c r="P161" i="3"/>
  <c r="Q161" i="3"/>
  <c r="R161" i="3"/>
  <c r="S161" i="3"/>
  <c r="T161" i="3"/>
  <c r="B162" i="3"/>
  <c r="C162" i="3"/>
  <c r="D162" i="3"/>
  <c r="E162" i="3"/>
  <c r="F162" i="3"/>
  <c r="G162" i="3"/>
  <c r="H162" i="3"/>
  <c r="I162" i="3"/>
  <c r="J162" i="3"/>
  <c r="K162" i="3"/>
  <c r="L162" i="3"/>
  <c r="M162" i="3"/>
  <c r="N162" i="3"/>
  <c r="O162" i="3"/>
  <c r="P162" i="3"/>
  <c r="Q162" i="3"/>
  <c r="R162" i="3"/>
  <c r="S162" i="3"/>
  <c r="T162" i="3"/>
  <c r="B163" i="3"/>
  <c r="C163" i="3"/>
  <c r="D163" i="3"/>
  <c r="E163" i="3"/>
  <c r="F163" i="3"/>
  <c r="G163" i="3"/>
  <c r="H163" i="3"/>
  <c r="I163" i="3"/>
  <c r="J163" i="3"/>
  <c r="K163" i="3"/>
  <c r="L163" i="3"/>
  <c r="M163" i="3"/>
  <c r="N163" i="3"/>
  <c r="O163" i="3"/>
  <c r="P163" i="3"/>
  <c r="Q163" i="3"/>
  <c r="R163" i="3"/>
  <c r="S163" i="3"/>
  <c r="T163" i="3"/>
  <c r="U163" i="3"/>
  <c r="B164" i="3"/>
  <c r="C164" i="3"/>
  <c r="D164" i="3"/>
  <c r="E164" i="3"/>
  <c r="F164" i="3"/>
  <c r="G164" i="3"/>
  <c r="H164" i="3"/>
  <c r="I164" i="3"/>
  <c r="J164" i="3"/>
  <c r="K164" i="3"/>
  <c r="L164" i="3"/>
  <c r="M164" i="3"/>
  <c r="N164" i="3"/>
  <c r="O164" i="3"/>
  <c r="P164" i="3"/>
  <c r="Q164" i="3"/>
  <c r="R164" i="3"/>
  <c r="S164" i="3"/>
  <c r="T164" i="3"/>
  <c r="B165" i="3"/>
  <c r="C165" i="3"/>
  <c r="D165" i="3"/>
  <c r="E165" i="3"/>
  <c r="F165" i="3"/>
  <c r="G165" i="3"/>
  <c r="H165" i="3"/>
  <c r="I165" i="3"/>
  <c r="J165" i="3"/>
  <c r="K165" i="3"/>
  <c r="L165" i="3"/>
  <c r="M165" i="3"/>
  <c r="N165" i="3"/>
  <c r="O165" i="3"/>
  <c r="P165" i="3"/>
  <c r="Q165" i="3"/>
  <c r="R165" i="3"/>
  <c r="S165" i="3"/>
  <c r="T165" i="3"/>
  <c r="U165" i="3"/>
  <c r="B166" i="3"/>
  <c r="C166" i="3"/>
  <c r="D166" i="3"/>
  <c r="E166" i="3"/>
  <c r="F166" i="3"/>
  <c r="G166" i="3"/>
  <c r="H166" i="3"/>
  <c r="I166" i="3"/>
  <c r="J166" i="3"/>
  <c r="K166" i="3"/>
  <c r="L166" i="3"/>
  <c r="M166" i="3"/>
  <c r="N166" i="3"/>
  <c r="O166" i="3"/>
  <c r="P166" i="3"/>
  <c r="Q166" i="3"/>
  <c r="R166" i="3"/>
  <c r="S166" i="3"/>
  <c r="T166" i="3"/>
  <c r="B167" i="3"/>
  <c r="C167" i="3"/>
  <c r="D167" i="3"/>
  <c r="E167" i="3"/>
  <c r="F167" i="3"/>
  <c r="G167" i="3"/>
  <c r="H167" i="3"/>
  <c r="I167" i="3"/>
  <c r="J167" i="3"/>
  <c r="K167" i="3"/>
  <c r="L167" i="3"/>
  <c r="M167" i="3"/>
  <c r="N167" i="3"/>
  <c r="O167" i="3"/>
  <c r="P167" i="3"/>
  <c r="Q167" i="3"/>
  <c r="R167" i="3"/>
  <c r="S167" i="3"/>
  <c r="T167" i="3"/>
  <c r="U167" i="3"/>
  <c r="B168" i="3"/>
  <c r="C168" i="3"/>
  <c r="D168" i="3"/>
  <c r="E168" i="3"/>
  <c r="F168" i="3"/>
  <c r="G168" i="3"/>
  <c r="H168" i="3"/>
  <c r="I168" i="3"/>
  <c r="J168" i="3"/>
  <c r="K168" i="3"/>
  <c r="L168" i="3"/>
  <c r="M168" i="3"/>
  <c r="N168" i="3"/>
  <c r="O168" i="3"/>
  <c r="P168" i="3"/>
  <c r="Q168" i="3"/>
  <c r="R168" i="3"/>
  <c r="S168" i="3"/>
  <c r="T168" i="3"/>
  <c r="B169" i="3"/>
  <c r="C169" i="3"/>
  <c r="D169" i="3"/>
  <c r="E169" i="3"/>
  <c r="F169" i="3"/>
  <c r="G169" i="3"/>
  <c r="H169" i="3"/>
  <c r="I169" i="3"/>
  <c r="J169" i="3"/>
  <c r="K169" i="3"/>
  <c r="L169" i="3"/>
  <c r="M169" i="3"/>
  <c r="N169" i="3"/>
  <c r="O169" i="3"/>
  <c r="P169" i="3"/>
  <c r="Q169" i="3"/>
  <c r="R169" i="3"/>
  <c r="S169" i="3"/>
  <c r="T169" i="3"/>
  <c r="B170" i="3"/>
  <c r="C170" i="3"/>
  <c r="D170" i="3"/>
  <c r="E170" i="3"/>
  <c r="F170" i="3"/>
  <c r="G170" i="3"/>
  <c r="H170" i="3"/>
  <c r="I170" i="3"/>
  <c r="J170" i="3"/>
  <c r="K170" i="3"/>
  <c r="L170" i="3"/>
  <c r="M170" i="3"/>
  <c r="N170" i="3"/>
  <c r="O170" i="3"/>
  <c r="P170" i="3"/>
  <c r="Q170" i="3"/>
  <c r="R170" i="3"/>
  <c r="S170" i="3"/>
  <c r="T170" i="3"/>
  <c r="B171" i="3"/>
  <c r="C171" i="3"/>
  <c r="D171" i="3"/>
  <c r="E171" i="3"/>
  <c r="F171" i="3"/>
  <c r="G171" i="3"/>
  <c r="H171" i="3"/>
  <c r="I171" i="3"/>
  <c r="J171" i="3"/>
  <c r="K171" i="3"/>
  <c r="L171" i="3"/>
  <c r="M171" i="3"/>
  <c r="N171" i="3"/>
  <c r="O171" i="3"/>
  <c r="P171" i="3"/>
  <c r="Q171" i="3"/>
  <c r="R171" i="3"/>
  <c r="S171" i="3"/>
  <c r="T171" i="3"/>
  <c r="U171" i="3"/>
  <c r="B172" i="3"/>
  <c r="C172" i="3"/>
  <c r="D172" i="3"/>
  <c r="E172" i="3"/>
  <c r="F172" i="3"/>
  <c r="G172" i="3"/>
  <c r="H172" i="3"/>
  <c r="I172" i="3"/>
  <c r="J172" i="3"/>
  <c r="K172" i="3"/>
  <c r="L172" i="3"/>
  <c r="M172" i="3"/>
  <c r="N172" i="3"/>
  <c r="O172" i="3"/>
  <c r="P172" i="3"/>
  <c r="Q172" i="3"/>
  <c r="R172" i="3"/>
  <c r="S172" i="3"/>
  <c r="T172" i="3"/>
  <c r="B173" i="3"/>
  <c r="C173" i="3"/>
  <c r="D173" i="3"/>
  <c r="E173" i="3"/>
  <c r="F173" i="3"/>
  <c r="G173" i="3"/>
  <c r="H173" i="3"/>
  <c r="I173" i="3"/>
  <c r="J173" i="3"/>
  <c r="K173" i="3"/>
  <c r="L173" i="3"/>
  <c r="M173" i="3"/>
  <c r="N173" i="3"/>
  <c r="O173" i="3"/>
  <c r="P173" i="3"/>
  <c r="Q173" i="3"/>
  <c r="R173" i="3"/>
  <c r="S173" i="3"/>
  <c r="T173" i="3"/>
  <c r="B174" i="3"/>
  <c r="C174" i="3"/>
  <c r="D174" i="3"/>
  <c r="E174" i="3"/>
  <c r="F174" i="3"/>
  <c r="G174" i="3"/>
  <c r="H174" i="3"/>
  <c r="I174" i="3"/>
  <c r="J174" i="3"/>
  <c r="K174" i="3"/>
  <c r="L174" i="3"/>
  <c r="M174" i="3"/>
  <c r="N174" i="3"/>
  <c r="O174" i="3"/>
  <c r="P174" i="3"/>
  <c r="Q174" i="3"/>
  <c r="R174" i="3"/>
  <c r="S174" i="3"/>
  <c r="T174" i="3"/>
  <c r="B175" i="3"/>
  <c r="C175" i="3"/>
  <c r="D175" i="3"/>
  <c r="E175" i="3"/>
  <c r="F175" i="3"/>
  <c r="G175" i="3"/>
  <c r="H175" i="3"/>
  <c r="I175" i="3"/>
  <c r="J175" i="3"/>
  <c r="K175" i="3"/>
  <c r="L175" i="3"/>
  <c r="M175" i="3"/>
  <c r="N175" i="3"/>
  <c r="O175" i="3"/>
  <c r="P175" i="3"/>
  <c r="Q175" i="3"/>
  <c r="R175" i="3"/>
  <c r="S175" i="3"/>
  <c r="T175" i="3"/>
  <c r="B176" i="3"/>
  <c r="C176" i="3"/>
  <c r="D176" i="3"/>
  <c r="E176" i="3"/>
  <c r="F176" i="3"/>
  <c r="G176" i="3"/>
  <c r="H176" i="3"/>
  <c r="I176" i="3"/>
  <c r="J176" i="3"/>
  <c r="K176" i="3"/>
  <c r="L176" i="3"/>
  <c r="M176" i="3"/>
  <c r="N176" i="3"/>
  <c r="O176" i="3"/>
  <c r="P176" i="3"/>
  <c r="Q176" i="3"/>
  <c r="R176" i="3"/>
  <c r="S176" i="3"/>
  <c r="T176" i="3"/>
  <c r="B177" i="3"/>
  <c r="C177" i="3"/>
  <c r="D177" i="3"/>
  <c r="E177" i="3"/>
  <c r="F177" i="3"/>
  <c r="G177" i="3"/>
  <c r="H177" i="3"/>
  <c r="I177" i="3"/>
  <c r="J177" i="3"/>
  <c r="K177" i="3"/>
  <c r="L177" i="3"/>
  <c r="M177" i="3"/>
  <c r="N177" i="3"/>
  <c r="O177" i="3"/>
  <c r="P177" i="3"/>
  <c r="Q177" i="3"/>
  <c r="R177" i="3"/>
  <c r="S177" i="3"/>
  <c r="T177" i="3"/>
  <c r="U177" i="3"/>
  <c r="B178" i="3"/>
  <c r="C178" i="3"/>
  <c r="D178" i="3"/>
  <c r="E178" i="3"/>
  <c r="F178" i="3"/>
  <c r="G178" i="3"/>
  <c r="H178" i="3"/>
  <c r="I178" i="3"/>
  <c r="J178" i="3"/>
  <c r="K178" i="3"/>
  <c r="L178" i="3"/>
  <c r="M178" i="3"/>
  <c r="N178" i="3"/>
  <c r="O178" i="3"/>
  <c r="P178" i="3"/>
  <c r="Q178" i="3"/>
  <c r="R178" i="3"/>
  <c r="S178" i="3"/>
  <c r="T178" i="3"/>
  <c r="B179" i="3"/>
  <c r="C179" i="3"/>
  <c r="D179" i="3"/>
  <c r="E179" i="3"/>
  <c r="F179" i="3"/>
  <c r="G179" i="3"/>
  <c r="H179" i="3"/>
  <c r="I179" i="3"/>
  <c r="J179" i="3"/>
  <c r="K179" i="3"/>
  <c r="L179" i="3"/>
  <c r="M179" i="3"/>
  <c r="N179" i="3"/>
  <c r="O179" i="3"/>
  <c r="P179" i="3"/>
  <c r="Q179" i="3"/>
  <c r="R179" i="3"/>
  <c r="S179" i="3"/>
  <c r="T179" i="3"/>
  <c r="U179" i="3"/>
  <c r="B180" i="3"/>
  <c r="C180" i="3"/>
  <c r="D180" i="3"/>
  <c r="E180" i="3"/>
  <c r="F180" i="3"/>
  <c r="G180" i="3"/>
  <c r="H180" i="3"/>
  <c r="I180" i="3"/>
  <c r="J180" i="3"/>
  <c r="K180" i="3"/>
  <c r="L180" i="3"/>
  <c r="M180" i="3"/>
  <c r="N180" i="3"/>
  <c r="O180" i="3"/>
  <c r="P180" i="3"/>
  <c r="Q180" i="3"/>
  <c r="R180" i="3"/>
  <c r="S180" i="3"/>
  <c r="T180" i="3"/>
  <c r="B181" i="3"/>
  <c r="C181" i="3"/>
  <c r="D181" i="3"/>
  <c r="E181" i="3"/>
  <c r="F181" i="3"/>
  <c r="G181" i="3"/>
  <c r="H181" i="3"/>
  <c r="I181" i="3"/>
  <c r="J181" i="3"/>
  <c r="K181" i="3"/>
  <c r="L181" i="3"/>
  <c r="M181" i="3"/>
  <c r="N181" i="3"/>
  <c r="O181" i="3"/>
  <c r="P181" i="3"/>
  <c r="Q181" i="3"/>
  <c r="R181" i="3"/>
  <c r="S181" i="3"/>
  <c r="T181" i="3"/>
  <c r="U181" i="3"/>
  <c r="B182" i="3"/>
  <c r="C182" i="3"/>
  <c r="D182" i="3"/>
  <c r="E182" i="3"/>
  <c r="F182" i="3"/>
  <c r="G182" i="3"/>
  <c r="H182" i="3"/>
  <c r="I182" i="3"/>
  <c r="J182" i="3"/>
  <c r="K182" i="3"/>
  <c r="L182" i="3"/>
  <c r="M182" i="3"/>
  <c r="N182" i="3"/>
  <c r="O182" i="3"/>
  <c r="P182" i="3"/>
  <c r="Q182" i="3"/>
  <c r="R182" i="3"/>
  <c r="S182" i="3"/>
  <c r="T182" i="3"/>
  <c r="B183" i="3"/>
  <c r="C183" i="3"/>
  <c r="D183" i="3"/>
  <c r="E183" i="3"/>
  <c r="F183" i="3"/>
  <c r="G183" i="3"/>
  <c r="H183" i="3"/>
  <c r="I183" i="3"/>
  <c r="J183" i="3"/>
  <c r="K183" i="3"/>
  <c r="L183" i="3"/>
  <c r="M183" i="3"/>
  <c r="N183" i="3"/>
  <c r="O183" i="3"/>
  <c r="P183" i="3"/>
  <c r="Q183" i="3"/>
  <c r="R183" i="3"/>
  <c r="S183" i="3"/>
  <c r="T183" i="3"/>
  <c r="U183" i="3"/>
  <c r="B184" i="3"/>
  <c r="C184" i="3"/>
  <c r="D184" i="3"/>
  <c r="E184" i="3"/>
  <c r="F184" i="3"/>
  <c r="G184" i="3"/>
  <c r="H184" i="3"/>
  <c r="I184" i="3"/>
  <c r="J184" i="3"/>
  <c r="K184" i="3"/>
  <c r="L184" i="3"/>
  <c r="M184" i="3"/>
  <c r="N184" i="3"/>
  <c r="O184" i="3"/>
  <c r="P184" i="3"/>
  <c r="Q184" i="3"/>
  <c r="R184" i="3"/>
  <c r="S184" i="3"/>
  <c r="T184" i="3"/>
  <c r="B185" i="3"/>
  <c r="C185" i="3"/>
  <c r="D185" i="3"/>
  <c r="E185" i="3"/>
  <c r="F185" i="3"/>
  <c r="G185" i="3"/>
  <c r="H185" i="3"/>
  <c r="I185" i="3"/>
  <c r="J185" i="3"/>
  <c r="K185" i="3"/>
  <c r="L185" i="3"/>
  <c r="M185" i="3"/>
  <c r="N185" i="3"/>
  <c r="O185" i="3"/>
  <c r="P185" i="3"/>
  <c r="Q185" i="3"/>
  <c r="R185" i="3"/>
  <c r="S185" i="3"/>
  <c r="T185" i="3"/>
  <c r="U185" i="3"/>
  <c r="B186" i="3"/>
  <c r="C186" i="3"/>
  <c r="D186" i="3"/>
  <c r="E186" i="3"/>
  <c r="F186" i="3"/>
  <c r="G186" i="3"/>
  <c r="H186" i="3"/>
  <c r="I186" i="3"/>
  <c r="J186" i="3"/>
  <c r="K186" i="3"/>
  <c r="L186" i="3"/>
  <c r="M186" i="3"/>
  <c r="N186" i="3"/>
  <c r="O186" i="3"/>
  <c r="P186" i="3"/>
  <c r="Q186" i="3"/>
  <c r="R186" i="3"/>
  <c r="S186" i="3"/>
  <c r="T186" i="3"/>
  <c r="B187" i="3"/>
  <c r="C187" i="3"/>
  <c r="D187" i="3"/>
  <c r="E187" i="3"/>
  <c r="F187" i="3"/>
  <c r="G187" i="3"/>
  <c r="H187" i="3"/>
  <c r="I187" i="3"/>
  <c r="J187" i="3"/>
  <c r="K187" i="3"/>
  <c r="L187" i="3"/>
  <c r="M187" i="3"/>
  <c r="N187" i="3"/>
  <c r="O187" i="3"/>
  <c r="P187" i="3"/>
  <c r="Q187" i="3"/>
  <c r="R187" i="3"/>
  <c r="S187" i="3"/>
  <c r="T187" i="3"/>
  <c r="B188" i="3"/>
  <c r="C188" i="3"/>
  <c r="D188" i="3"/>
  <c r="E188" i="3"/>
  <c r="F188" i="3"/>
  <c r="G188" i="3"/>
  <c r="H188" i="3"/>
  <c r="I188" i="3"/>
  <c r="J188" i="3"/>
  <c r="K188" i="3"/>
  <c r="L188" i="3"/>
  <c r="M188" i="3"/>
  <c r="N188" i="3"/>
  <c r="O188" i="3"/>
  <c r="P188" i="3"/>
  <c r="Q188" i="3"/>
  <c r="R188" i="3"/>
  <c r="S188" i="3"/>
  <c r="T188" i="3"/>
  <c r="B189" i="3"/>
  <c r="C189" i="3"/>
  <c r="D189" i="3"/>
  <c r="E189" i="3"/>
  <c r="F189" i="3"/>
  <c r="G189" i="3"/>
  <c r="H189" i="3"/>
  <c r="I189" i="3"/>
  <c r="J189" i="3"/>
  <c r="K189" i="3"/>
  <c r="L189" i="3"/>
  <c r="M189" i="3"/>
  <c r="N189" i="3"/>
  <c r="O189" i="3"/>
  <c r="P189" i="3"/>
  <c r="Q189" i="3"/>
  <c r="R189" i="3"/>
  <c r="S189" i="3"/>
  <c r="T189" i="3"/>
  <c r="U189" i="3"/>
  <c r="B190" i="3"/>
  <c r="C190" i="3"/>
  <c r="D190" i="3"/>
  <c r="E190" i="3"/>
  <c r="F190" i="3"/>
  <c r="G190" i="3"/>
  <c r="H190" i="3"/>
  <c r="I190" i="3"/>
  <c r="J190" i="3"/>
  <c r="K190" i="3"/>
  <c r="L190" i="3"/>
  <c r="M190" i="3"/>
  <c r="N190" i="3"/>
  <c r="O190" i="3"/>
  <c r="P190" i="3"/>
  <c r="Q190" i="3"/>
  <c r="R190" i="3"/>
  <c r="S190" i="3"/>
  <c r="T190" i="3"/>
  <c r="B191" i="3"/>
  <c r="C191" i="3"/>
  <c r="D191" i="3"/>
  <c r="E191" i="3"/>
  <c r="F191" i="3"/>
  <c r="G191" i="3"/>
  <c r="H191" i="3"/>
  <c r="I191" i="3"/>
  <c r="J191" i="3"/>
  <c r="K191" i="3"/>
  <c r="L191" i="3"/>
  <c r="M191" i="3"/>
  <c r="N191" i="3"/>
  <c r="O191" i="3"/>
  <c r="P191" i="3"/>
  <c r="Q191" i="3"/>
  <c r="R191" i="3"/>
  <c r="S191" i="3"/>
  <c r="T191" i="3"/>
  <c r="U191" i="3"/>
  <c r="B192" i="3"/>
  <c r="C192" i="3"/>
  <c r="D192" i="3"/>
  <c r="E192" i="3"/>
  <c r="F192" i="3"/>
  <c r="G192" i="3"/>
  <c r="H192" i="3"/>
  <c r="I192" i="3"/>
  <c r="J192" i="3"/>
  <c r="K192" i="3"/>
  <c r="L192" i="3"/>
  <c r="M192" i="3"/>
  <c r="N192" i="3"/>
  <c r="O192" i="3"/>
  <c r="P192" i="3"/>
  <c r="Q192" i="3"/>
  <c r="R192" i="3"/>
  <c r="S192" i="3"/>
  <c r="T192" i="3"/>
  <c r="B193" i="3"/>
  <c r="C193" i="3"/>
  <c r="D193" i="3"/>
  <c r="E193" i="3"/>
  <c r="F193" i="3"/>
  <c r="G193" i="3"/>
  <c r="H193" i="3"/>
  <c r="I193" i="3"/>
  <c r="J193" i="3"/>
  <c r="K193" i="3"/>
  <c r="L193" i="3"/>
  <c r="M193" i="3"/>
  <c r="N193" i="3"/>
  <c r="O193" i="3"/>
  <c r="P193" i="3"/>
  <c r="Q193" i="3"/>
  <c r="R193" i="3"/>
  <c r="S193" i="3"/>
  <c r="T193" i="3"/>
  <c r="U193" i="3"/>
  <c r="B194" i="3"/>
  <c r="C194" i="3"/>
  <c r="D194" i="3"/>
  <c r="E194" i="3"/>
  <c r="F194" i="3"/>
  <c r="G194" i="3"/>
  <c r="H194" i="3"/>
  <c r="I194" i="3"/>
  <c r="J194" i="3"/>
  <c r="K194" i="3"/>
  <c r="L194" i="3"/>
  <c r="M194" i="3"/>
  <c r="N194" i="3"/>
  <c r="O194" i="3"/>
  <c r="P194" i="3"/>
  <c r="Q194" i="3"/>
  <c r="R194" i="3"/>
  <c r="S194" i="3"/>
  <c r="T194" i="3"/>
  <c r="B195" i="3"/>
  <c r="C195" i="3"/>
  <c r="D195" i="3"/>
  <c r="E195" i="3"/>
  <c r="F195" i="3"/>
  <c r="G195" i="3"/>
  <c r="H195" i="3"/>
  <c r="I195" i="3"/>
  <c r="J195" i="3"/>
  <c r="K195" i="3"/>
  <c r="L195" i="3"/>
  <c r="M195" i="3"/>
  <c r="N195" i="3"/>
  <c r="O195" i="3"/>
  <c r="P195" i="3"/>
  <c r="Q195" i="3"/>
  <c r="R195" i="3"/>
  <c r="S195" i="3"/>
  <c r="T195" i="3"/>
  <c r="U195" i="3"/>
  <c r="B196" i="3"/>
  <c r="C196" i="3"/>
  <c r="D196" i="3"/>
  <c r="E196" i="3"/>
  <c r="F196" i="3"/>
  <c r="G196" i="3"/>
  <c r="H196" i="3"/>
  <c r="I196" i="3"/>
  <c r="J196" i="3"/>
  <c r="K196" i="3"/>
  <c r="L196" i="3"/>
  <c r="M196" i="3"/>
  <c r="N196" i="3"/>
  <c r="O196" i="3"/>
  <c r="P196" i="3"/>
  <c r="Q196" i="3"/>
  <c r="R196" i="3"/>
  <c r="S196" i="3"/>
  <c r="T196" i="3"/>
  <c r="B197" i="3"/>
  <c r="C197" i="3"/>
  <c r="D197" i="3"/>
  <c r="E197" i="3"/>
  <c r="F197" i="3"/>
  <c r="G197" i="3"/>
  <c r="H197" i="3"/>
  <c r="I197" i="3"/>
  <c r="J197" i="3"/>
  <c r="K197" i="3"/>
  <c r="L197" i="3"/>
  <c r="M197" i="3"/>
  <c r="N197" i="3"/>
  <c r="O197" i="3"/>
  <c r="P197" i="3"/>
  <c r="Q197" i="3"/>
  <c r="R197" i="3"/>
  <c r="S197" i="3"/>
  <c r="T197" i="3"/>
  <c r="U197" i="3"/>
  <c r="B198" i="3"/>
  <c r="C198" i="3"/>
  <c r="D198" i="3"/>
  <c r="E198" i="3"/>
  <c r="F198" i="3"/>
  <c r="G198" i="3"/>
  <c r="H198" i="3"/>
  <c r="I198" i="3"/>
  <c r="J198" i="3"/>
  <c r="K198" i="3"/>
  <c r="L198" i="3"/>
  <c r="M198" i="3"/>
  <c r="N198" i="3"/>
  <c r="O198" i="3"/>
  <c r="P198" i="3"/>
  <c r="Q198" i="3"/>
  <c r="R198" i="3"/>
  <c r="S198" i="3"/>
  <c r="T198" i="3"/>
  <c r="B199" i="3"/>
  <c r="C199" i="3"/>
  <c r="D199" i="3"/>
  <c r="E199" i="3"/>
  <c r="F199" i="3"/>
  <c r="G199" i="3"/>
  <c r="H199" i="3"/>
  <c r="I199" i="3"/>
  <c r="J199" i="3"/>
  <c r="K199" i="3"/>
  <c r="L199" i="3"/>
  <c r="M199" i="3"/>
  <c r="N199" i="3"/>
  <c r="O199" i="3"/>
  <c r="P199" i="3"/>
  <c r="Q199" i="3"/>
  <c r="R199" i="3"/>
  <c r="S199" i="3"/>
  <c r="T199" i="3"/>
  <c r="U199" i="3"/>
  <c r="B200" i="3"/>
  <c r="C200" i="3"/>
  <c r="D200" i="3"/>
  <c r="E200" i="3"/>
  <c r="F200" i="3"/>
  <c r="G200" i="3"/>
  <c r="H200" i="3"/>
  <c r="I200" i="3"/>
  <c r="J200" i="3"/>
  <c r="K200" i="3"/>
  <c r="L200" i="3"/>
  <c r="M200" i="3"/>
  <c r="N200" i="3"/>
  <c r="O200" i="3"/>
  <c r="P200" i="3"/>
  <c r="Q200" i="3"/>
  <c r="R200" i="3"/>
  <c r="S200" i="3"/>
  <c r="T200" i="3"/>
  <c r="B201" i="3"/>
  <c r="C201" i="3"/>
  <c r="D201" i="3"/>
  <c r="E201" i="3"/>
  <c r="F201" i="3"/>
  <c r="G201" i="3"/>
  <c r="H201" i="3"/>
  <c r="I201" i="3"/>
  <c r="J201" i="3"/>
  <c r="K201" i="3"/>
  <c r="L201" i="3"/>
  <c r="M201" i="3"/>
  <c r="N201" i="3"/>
  <c r="O201" i="3"/>
  <c r="P201" i="3"/>
  <c r="Q201" i="3"/>
  <c r="R201" i="3"/>
  <c r="S201" i="3"/>
  <c r="T201" i="3"/>
  <c r="U201" i="3"/>
  <c r="B202" i="3"/>
  <c r="C202" i="3"/>
  <c r="D202" i="3"/>
  <c r="E202" i="3"/>
  <c r="F202" i="3"/>
  <c r="G202" i="3"/>
  <c r="H202" i="3"/>
  <c r="I202" i="3"/>
  <c r="J202" i="3"/>
  <c r="K202" i="3"/>
  <c r="L202" i="3"/>
  <c r="M202" i="3"/>
  <c r="N202" i="3"/>
  <c r="O202" i="3"/>
  <c r="P202" i="3"/>
  <c r="Q202" i="3"/>
  <c r="R202" i="3"/>
  <c r="S202" i="3"/>
  <c r="T202" i="3"/>
  <c r="B203" i="3"/>
  <c r="C203" i="3"/>
  <c r="D203" i="3"/>
  <c r="E203" i="3"/>
  <c r="F203" i="3"/>
  <c r="G203" i="3"/>
  <c r="H203" i="3"/>
  <c r="I203" i="3"/>
  <c r="J203" i="3"/>
  <c r="K203" i="3"/>
  <c r="L203" i="3"/>
  <c r="M203" i="3"/>
  <c r="N203" i="3"/>
  <c r="O203" i="3"/>
  <c r="P203" i="3"/>
  <c r="Q203" i="3"/>
  <c r="R203" i="3"/>
  <c r="S203" i="3"/>
  <c r="T203" i="3"/>
  <c r="U203" i="3"/>
  <c r="B204" i="3"/>
  <c r="C204" i="3"/>
  <c r="D204" i="3"/>
  <c r="E204" i="3"/>
  <c r="F204" i="3"/>
  <c r="G204" i="3"/>
  <c r="H204" i="3"/>
  <c r="I204" i="3"/>
  <c r="J204" i="3"/>
  <c r="K204" i="3"/>
  <c r="L204" i="3"/>
  <c r="M204" i="3"/>
  <c r="N204" i="3"/>
  <c r="O204" i="3"/>
  <c r="P204" i="3"/>
  <c r="Q204" i="3"/>
  <c r="R204" i="3"/>
  <c r="S204" i="3"/>
  <c r="T204" i="3"/>
  <c r="B205" i="3"/>
  <c r="C205" i="3"/>
  <c r="D205" i="3"/>
  <c r="E205" i="3"/>
  <c r="F205" i="3"/>
  <c r="G205" i="3"/>
  <c r="H205" i="3"/>
  <c r="I205" i="3"/>
  <c r="J205" i="3"/>
  <c r="K205" i="3"/>
  <c r="L205" i="3"/>
  <c r="M205" i="3"/>
  <c r="N205" i="3"/>
  <c r="O205" i="3"/>
  <c r="P205" i="3"/>
  <c r="Q205" i="3"/>
  <c r="R205" i="3"/>
  <c r="S205" i="3"/>
  <c r="T205" i="3"/>
  <c r="U205" i="3"/>
  <c r="B206" i="3"/>
  <c r="C206" i="3"/>
  <c r="D206" i="3"/>
  <c r="E206" i="3"/>
  <c r="F206" i="3"/>
  <c r="G206" i="3"/>
  <c r="H206" i="3"/>
  <c r="I206" i="3"/>
  <c r="J206" i="3"/>
  <c r="K206" i="3"/>
  <c r="L206" i="3"/>
  <c r="M206" i="3"/>
  <c r="N206" i="3"/>
  <c r="O206" i="3"/>
  <c r="P206" i="3"/>
  <c r="Q206" i="3"/>
  <c r="R206" i="3"/>
  <c r="S206" i="3"/>
  <c r="T206" i="3"/>
  <c r="B207" i="3"/>
  <c r="C207" i="3"/>
  <c r="D207" i="3"/>
  <c r="E207" i="3"/>
  <c r="F207" i="3"/>
  <c r="G207" i="3"/>
  <c r="H207" i="3"/>
  <c r="I207" i="3"/>
  <c r="J207" i="3"/>
  <c r="K207" i="3"/>
  <c r="L207" i="3"/>
  <c r="M207" i="3"/>
  <c r="N207" i="3"/>
  <c r="O207" i="3"/>
  <c r="P207" i="3"/>
  <c r="Q207" i="3"/>
  <c r="R207" i="3"/>
  <c r="S207" i="3"/>
  <c r="T207" i="3"/>
  <c r="U207" i="3"/>
  <c r="B208" i="3"/>
  <c r="C208" i="3"/>
  <c r="D208" i="3"/>
  <c r="E208" i="3"/>
  <c r="F208" i="3"/>
  <c r="G208" i="3"/>
  <c r="H208" i="3"/>
  <c r="I208" i="3"/>
  <c r="J208" i="3"/>
  <c r="K208" i="3"/>
  <c r="L208" i="3"/>
  <c r="M208" i="3"/>
  <c r="N208" i="3"/>
  <c r="O208" i="3"/>
  <c r="P208" i="3"/>
  <c r="Q208" i="3"/>
  <c r="R208" i="3"/>
  <c r="S208" i="3"/>
  <c r="T208" i="3"/>
  <c r="B209" i="3"/>
  <c r="C209" i="3"/>
  <c r="D209" i="3"/>
  <c r="E209" i="3"/>
  <c r="F209" i="3"/>
  <c r="G209" i="3"/>
  <c r="H209" i="3"/>
  <c r="I209" i="3"/>
  <c r="J209" i="3"/>
  <c r="K209" i="3"/>
  <c r="L209" i="3"/>
  <c r="M209" i="3"/>
  <c r="N209" i="3"/>
  <c r="O209" i="3"/>
  <c r="P209" i="3"/>
  <c r="Q209" i="3"/>
  <c r="R209" i="3"/>
  <c r="S209" i="3"/>
  <c r="T209" i="3"/>
  <c r="U209" i="3"/>
  <c r="B210" i="3"/>
  <c r="C210" i="3"/>
  <c r="D210" i="3"/>
  <c r="E210" i="3"/>
  <c r="F210" i="3"/>
  <c r="G210" i="3"/>
  <c r="H210" i="3"/>
  <c r="I210" i="3"/>
  <c r="J210" i="3"/>
  <c r="K210" i="3"/>
  <c r="L210" i="3"/>
  <c r="M210" i="3"/>
  <c r="N210" i="3"/>
  <c r="O210" i="3"/>
  <c r="P210" i="3"/>
  <c r="Q210" i="3"/>
  <c r="R210" i="3"/>
  <c r="S210" i="3"/>
  <c r="T210" i="3"/>
  <c r="B211" i="3"/>
  <c r="C211" i="3"/>
  <c r="D211" i="3"/>
  <c r="E211" i="3"/>
  <c r="F211" i="3"/>
  <c r="G211" i="3"/>
  <c r="H211" i="3"/>
  <c r="I211" i="3"/>
  <c r="J211" i="3"/>
  <c r="K211" i="3"/>
  <c r="L211" i="3"/>
  <c r="M211" i="3"/>
  <c r="N211" i="3"/>
  <c r="O211" i="3"/>
  <c r="P211" i="3"/>
  <c r="Q211" i="3"/>
  <c r="R211" i="3"/>
  <c r="S211" i="3"/>
  <c r="T211" i="3"/>
  <c r="U211" i="3"/>
  <c r="B212" i="3"/>
  <c r="C212" i="3"/>
  <c r="D212" i="3"/>
  <c r="E212" i="3"/>
  <c r="F212" i="3"/>
  <c r="G212" i="3"/>
  <c r="H212" i="3"/>
  <c r="I212" i="3"/>
  <c r="J212" i="3"/>
  <c r="K212" i="3"/>
  <c r="L212" i="3"/>
  <c r="M212" i="3"/>
  <c r="N212" i="3"/>
  <c r="O212" i="3"/>
  <c r="P212" i="3"/>
  <c r="Q212" i="3"/>
  <c r="R212" i="3"/>
  <c r="S212" i="3"/>
  <c r="T212" i="3"/>
  <c r="B213" i="3"/>
  <c r="C213" i="3"/>
  <c r="D213" i="3"/>
  <c r="E213" i="3"/>
  <c r="F213" i="3"/>
  <c r="G213" i="3"/>
  <c r="H213" i="3"/>
  <c r="I213" i="3"/>
  <c r="J213" i="3"/>
  <c r="K213" i="3"/>
  <c r="L213" i="3"/>
  <c r="M213" i="3"/>
  <c r="N213" i="3"/>
  <c r="O213" i="3"/>
  <c r="P213" i="3"/>
  <c r="Q213" i="3"/>
  <c r="R213" i="3"/>
  <c r="S213" i="3"/>
  <c r="T213" i="3"/>
  <c r="U213" i="3"/>
  <c r="B214" i="3"/>
  <c r="C214" i="3"/>
  <c r="D214" i="3"/>
  <c r="E214" i="3"/>
  <c r="F214" i="3"/>
  <c r="G214" i="3"/>
  <c r="H214" i="3"/>
  <c r="I214" i="3"/>
  <c r="J214" i="3"/>
  <c r="K214" i="3"/>
  <c r="L214" i="3"/>
  <c r="M214" i="3"/>
  <c r="N214" i="3"/>
  <c r="O214" i="3"/>
  <c r="P214" i="3"/>
  <c r="Q214" i="3"/>
  <c r="R214" i="3"/>
  <c r="S214" i="3"/>
  <c r="T214" i="3"/>
  <c r="B215" i="3"/>
  <c r="C215" i="3"/>
  <c r="D215" i="3"/>
  <c r="E215" i="3"/>
  <c r="F215" i="3"/>
  <c r="G215" i="3"/>
  <c r="H215" i="3"/>
  <c r="I215" i="3"/>
  <c r="J215" i="3"/>
  <c r="K215" i="3"/>
  <c r="L215" i="3"/>
  <c r="M215" i="3"/>
  <c r="N215" i="3"/>
  <c r="O215" i="3"/>
  <c r="P215" i="3"/>
  <c r="Q215" i="3"/>
  <c r="R215" i="3"/>
  <c r="S215" i="3"/>
  <c r="T215" i="3"/>
  <c r="B216" i="3"/>
  <c r="C216" i="3"/>
  <c r="D216" i="3"/>
  <c r="E216" i="3"/>
  <c r="F216" i="3"/>
  <c r="G216" i="3"/>
  <c r="H216" i="3"/>
  <c r="I216" i="3"/>
  <c r="J216" i="3"/>
  <c r="K216" i="3"/>
  <c r="L216" i="3"/>
  <c r="M216" i="3"/>
  <c r="N216" i="3"/>
  <c r="O216" i="3"/>
  <c r="P216" i="3"/>
  <c r="Q216" i="3"/>
  <c r="R216" i="3"/>
  <c r="S216" i="3"/>
  <c r="T216" i="3"/>
  <c r="B217" i="3"/>
  <c r="C217" i="3"/>
  <c r="D217" i="3"/>
  <c r="E217" i="3"/>
  <c r="F217" i="3"/>
  <c r="G217" i="3"/>
  <c r="H217" i="3"/>
  <c r="I217" i="3"/>
  <c r="J217" i="3"/>
  <c r="K217" i="3"/>
  <c r="L217" i="3"/>
  <c r="M217" i="3"/>
  <c r="N217" i="3"/>
  <c r="O217" i="3"/>
  <c r="P217" i="3"/>
  <c r="Q217" i="3"/>
  <c r="R217" i="3"/>
  <c r="S217" i="3"/>
  <c r="T217" i="3"/>
  <c r="U217" i="3"/>
  <c r="B218" i="3"/>
  <c r="C218" i="3"/>
  <c r="D218" i="3"/>
  <c r="E218" i="3"/>
  <c r="F218" i="3"/>
  <c r="G218" i="3"/>
  <c r="H218" i="3"/>
  <c r="I218" i="3"/>
  <c r="J218" i="3"/>
  <c r="K218" i="3"/>
  <c r="L218" i="3"/>
  <c r="M218" i="3"/>
  <c r="N218" i="3"/>
  <c r="O218" i="3"/>
  <c r="P218" i="3"/>
  <c r="Q218" i="3"/>
  <c r="R218" i="3"/>
  <c r="S218" i="3"/>
  <c r="T218" i="3"/>
  <c r="B219" i="3"/>
  <c r="C219" i="3"/>
  <c r="D219" i="3"/>
  <c r="E219" i="3"/>
  <c r="F219" i="3"/>
  <c r="G219" i="3"/>
  <c r="H219" i="3"/>
  <c r="I219" i="3"/>
  <c r="J219" i="3"/>
  <c r="K219" i="3"/>
  <c r="L219" i="3"/>
  <c r="M219" i="3"/>
  <c r="N219" i="3"/>
  <c r="O219" i="3"/>
  <c r="P219" i="3"/>
  <c r="Q219" i="3"/>
  <c r="R219" i="3"/>
  <c r="S219" i="3"/>
  <c r="T219" i="3"/>
  <c r="U219" i="3"/>
  <c r="B220" i="3"/>
  <c r="C220" i="3"/>
  <c r="D220" i="3"/>
  <c r="E220" i="3"/>
  <c r="F220" i="3"/>
  <c r="G220" i="3"/>
  <c r="H220" i="3"/>
  <c r="I220" i="3"/>
  <c r="J220" i="3"/>
  <c r="K220" i="3"/>
  <c r="L220" i="3"/>
  <c r="M220" i="3"/>
  <c r="N220" i="3"/>
  <c r="O220" i="3"/>
  <c r="P220" i="3"/>
  <c r="Q220" i="3"/>
  <c r="R220" i="3"/>
  <c r="S220" i="3"/>
  <c r="T220" i="3"/>
  <c r="B221" i="3"/>
  <c r="C221" i="3"/>
  <c r="D221" i="3"/>
  <c r="E221" i="3"/>
  <c r="F221" i="3"/>
  <c r="G221" i="3"/>
  <c r="H221" i="3"/>
  <c r="I221" i="3"/>
  <c r="J221" i="3"/>
  <c r="K221" i="3"/>
  <c r="L221" i="3"/>
  <c r="M221" i="3"/>
  <c r="N221" i="3"/>
  <c r="O221" i="3"/>
  <c r="P221" i="3"/>
  <c r="Q221" i="3"/>
  <c r="R221" i="3"/>
  <c r="S221" i="3"/>
  <c r="T221" i="3"/>
  <c r="U221" i="3"/>
  <c r="B222" i="3"/>
  <c r="C222" i="3"/>
  <c r="D222" i="3"/>
  <c r="E222" i="3"/>
  <c r="F222" i="3"/>
  <c r="G222" i="3"/>
  <c r="H222" i="3"/>
  <c r="I222" i="3"/>
  <c r="J222" i="3"/>
  <c r="K222" i="3"/>
  <c r="L222" i="3"/>
  <c r="M222" i="3"/>
  <c r="N222" i="3"/>
  <c r="O222" i="3"/>
  <c r="P222" i="3"/>
  <c r="Q222" i="3"/>
  <c r="R222" i="3"/>
  <c r="S222" i="3"/>
  <c r="T222" i="3"/>
  <c r="B223" i="3"/>
  <c r="C223" i="3"/>
  <c r="D223" i="3"/>
  <c r="E223" i="3"/>
  <c r="F223" i="3"/>
  <c r="G223" i="3"/>
  <c r="H223" i="3"/>
  <c r="I223" i="3"/>
  <c r="J223" i="3"/>
  <c r="K223" i="3"/>
  <c r="L223" i="3"/>
  <c r="M223" i="3"/>
  <c r="N223" i="3"/>
  <c r="O223" i="3"/>
  <c r="P223" i="3"/>
  <c r="Q223" i="3"/>
  <c r="R223" i="3"/>
  <c r="S223" i="3"/>
  <c r="T223" i="3"/>
  <c r="U223" i="3"/>
  <c r="B224" i="3"/>
  <c r="C224" i="3"/>
  <c r="D224" i="3"/>
  <c r="E224" i="3"/>
  <c r="F224" i="3"/>
  <c r="G224" i="3"/>
  <c r="H224" i="3"/>
  <c r="I224" i="3"/>
  <c r="J224" i="3"/>
  <c r="K224" i="3"/>
  <c r="L224" i="3"/>
  <c r="M224" i="3"/>
  <c r="N224" i="3"/>
  <c r="O224" i="3"/>
  <c r="P224" i="3"/>
  <c r="Q224" i="3"/>
  <c r="R224" i="3"/>
  <c r="S224" i="3"/>
  <c r="T224" i="3"/>
  <c r="B225" i="3"/>
  <c r="C225" i="3"/>
  <c r="D225" i="3"/>
  <c r="E225" i="3"/>
  <c r="F225" i="3"/>
  <c r="G225" i="3"/>
  <c r="H225" i="3"/>
  <c r="I225" i="3"/>
  <c r="J225" i="3"/>
  <c r="K225" i="3"/>
  <c r="L225" i="3"/>
  <c r="M225" i="3"/>
  <c r="N225" i="3"/>
  <c r="O225" i="3"/>
  <c r="P225" i="3"/>
  <c r="Q225" i="3"/>
  <c r="R225" i="3"/>
  <c r="S225" i="3"/>
  <c r="T225" i="3"/>
  <c r="B226" i="3"/>
  <c r="C226" i="3"/>
  <c r="D226" i="3"/>
  <c r="E226" i="3"/>
  <c r="F226" i="3"/>
  <c r="G226" i="3"/>
  <c r="H226" i="3"/>
  <c r="I226" i="3"/>
  <c r="J226" i="3"/>
  <c r="K226" i="3"/>
  <c r="L226" i="3"/>
  <c r="M226" i="3"/>
  <c r="N226" i="3"/>
  <c r="O226" i="3"/>
  <c r="P226" i="3"/>
  <c r="Q226" i="3"/>
  <c r="R226" i="3"/>
  <c r="S226" i="3"/>
  <c r="T226" i="3"/>
  <c r="B227" i="3"/>
  <c r="C227" i="3"/>
  <c r="D227" i="3"/>
  <c r="E227" i="3"/>
  <c r="F227" i="3"/>
  <c r="G227" i="3"/>
  <c r="H227" i="3"/>
  <c r="I227" i="3"/>
  <c r="J227" i="3"/>
  <c r="K227" i="3"/>
  <c r="L227" i="3"/>
  <c r="M227" i="3"/>
  <c r="N227" i="3"/>
  <c r="O227" i="3"/>
  <c r="P227" i="3"/>
  <c r="Q227" i="3"/>
  <c r="R227" i="3"/>
  <c r="S227" i="3"/>
  <c r="T227" i="3"/>
  <c r="U227" i="3"/>
  <c r="B228" i="3"/>
  <c r="C228" i="3"/>
  <c r="D228" i="3"/>
  <c r="E228" i="3"/>
  <c r="F228" i="3"/>
  <c r="G228" i="3"/>
  <c r="H228" i="3"/>
  <c r="I228" i="3"/>
  <c r="J228" i="3"/>
  <c r="K228" i="3"/>
  <c r="L228" i="3"/>
  <c r="M228" i="3"/>
  <c r="N228" i="3"/>
  <c r="O228" i="3"/>
  <c r="P228" i="3"/>
  <c r="Q228" i="3"/>
  <c r="R228" i="3"/>
  <c r="S228" i="3"/>
  <c r="T228" i="3"/>
  <c r="U228" i="3"/>
  <c r="B229" i="3"/>
  <c r="C229" i="3"/>
  <c r="D229" i="3"/>
  <c r="E229" i="3"/>
  <c r="F229" i="3"/>
  <c r="G229" i="3"/>
  <c r="H229" i="3"/>
  <c r="I229" i="3"/>
  <c r="J229" i="3"/>
  <c r="K229" i="3"/>
  <c r="L229" i="3"/>
  <c r="M229" i="3"/>
  <c r="N229" i="3"/>
  <c r="O229" i="3"/>
  <c r="P229" i="3"/>
  <c r="Q229" i="3"/>
  <c r="R229" i="3"/>
  <c r="S229" i="3"/>
  <c r="T229" i="3"/>
  <c r="B230" i="3"/>
  <c r="C230" i="3"/>
  <c r="D230" i="3"/>
  <c r="E230" i="3"/>
  <c r="F230" i="3"/>
  <c r="G230" i="3"/>
  <c r="H230" i="3"/>
  <c r="I230" i="3"/>
  <c r="J230" i="3"/>
  <c r="K230" i="3"/>
  <c r="L230" i="3"/>
  <c r="M230" i="3"/>
  <c r="N230" i="3"/>
  <c r="O230" i="3"/>
  <c r="P230" i="3"/>
  <c r="Q230" i="3"/>
  <c r="R230" i="3"/>
  <c r="S230" i="3"/>
  <c r="T230" i="3"/>
  <c r="U230" i="3"/>
  <c r="B231" i="3"/>
  <c r="C231" i="3"/>
  <c r="D231" i="3"/>
  <c r="E231" i="3"/>
  <c r="F231" i="3"/>
  <c r="G231" i="3"/>
  <c r="H231" i="3"/>
  <c r="I231" i="3"/>
  <c r="J231" i="3"/>
  <c r="K231" i="3"/>
  <c r="L231" i="3"/>
  <c r="M231" i="3"/>
  <c r="N231" i="3"/>
  <c r="O231" i="3"/>
  <c r="P231" i="3"/>
  <c r="Q231" i="3"/>
  <c r="R231" i="3"/>
  <c r="S231" i="3"/>
  <c r="T231" i="3"/>
  <c r="U231" i="3"/>
  <c r="B232" i="3"/>
  <c r="C232" i="3"/>
  <c r="D232" i="3"/>
  <c r="E232" i="3"/>
  <c r="F232" i="3"/>
  <c r="G232" i="3"/>
  <c r="H232" i="3"/>
  <c r="I232" i="3"/>
  <c r="J232" i="3"/>
  <c r="K232" i="3"/>
  <c r="L232" i="3"/>
  <c r="M232" i="3"/>
  <c r="N232" i="3"/>
  <c r="O232" i="3"/>
  <c r="P232" i="3"/>
  <c r="Q232" i="3"/>
  <c r="R232" i="3"/>
  <c r="S232" i="3"/>
  <c r="T232" i="3"/>
  <c r="U232" i="3"/>
  <c r="B233" i="3"/>
  <c r="C233" i="3"/>
  <c r="D233" i="3"/>
  <c r="E233" i="3"/>
  <c r="F233" i="3"/>
  <c r="G233" i="3"/>
  <c r="H233" i="3"/>
  <c r="I233" i="3"/>
  <c r="J233" i="3"/>
  <c r="K233" i="3"/>
  <c r="L233" i="3"/>
  <c r="M233" i="3"/>
  <c r="N233" i="3"/>
  <c r="O233" i="3"/>
  <c r="P233" i="3"/>
  <c r="Q233" i="3"/>
  <c r="R233" i="3"/>
  <c r="S233" i="3"/>
  <c r="T233" i="3"/>
  <c r="U233" i="3"/>
  <c r="B234" i="3"/>
  <c r="C234" i="3"/>
  <c r="D234" i="3"/>
  <c r="E234" i="3"/>
  <c r="F234" i="3"/>
  <c r="G234" i="3"/>
  <c r="H234" i="3"/>
  <c r="I234" i="3"/>
  <c r="J234" i="3"/>
  <c r="K234" i="3"/>
  <c r="L234" i="3"/>
  <c r="M234" i="3"/>
  <c r="N234" i="3"/>
  <c r="O234" i="3"/>
  <c r="P234" i="3"/>
  <c r="Q234" i="3"/>
  <c r="R234" i="3"/>
  <c r="S234" i="3"/>
  <c r="T234" i="3"/>
  <c r="B235" i="3"/>
  <c r="C235" i="3"/>
  <c r="D235" i="3"/>
  <c r="E235" i="3"/>
  <c r="F235" i="3"/>
  <c r="G235" i="3"/>
  <c r="H235" i="3"/>
  <c r="I235" i="3"/>
  <c r="J235" i="3"/>
  <c r="K235" i="3"/>
  <c r="L235" i="3"/>
  <c r="M235" i="3"/>
  <c r="N235" i="3"/>
  <c r="O235" i="3"/>
  <c r="P235" i="3"/>
  <c r="Q235" i="3"/>
  <c r="R235" i="3"/>
  <c r="S235" i="3"/>
  <c r="T235" i="3"/>
  <c r="U235" i="3"/>
  <c r="B236" i="3"/>
  <c r="C236" i="3"/>
  <c r="D236" i="3"/>
  <c r="E236" i="3"/>
  <c r="F236" i="3"/>
  <c r="G236" i="3"/>
  <c r="H236" i="3"/>
  <c r="I236" i="3"/>
  <c r="J236" i="3"/>
  <c r="K236" i="3"/>
  <c r="L236" i="3"/>
  <c r="M236" i="3"/>
  <c r="N236" i="3"/>
  <c r="O236" i="3"/>
  <c r="P236" i="3"/>
  <c r="Q236" i="3"/>
  <c r="R236" i="3"/>
  <c r="S236" i="3"/>
  <c r="T236" i="3"/>
  <c r="B237" i="3"/>
  <c r="C237" i="3"/>
  <c r="D237" i="3"/>
  <c r="E237" i="3"/>
  <c r="F237" i="3"/>
  <c r="G237" i="3"/>
  <c r="H237" i="3"/>
  <c r="I237" i="3"/>
  <c r="J237" i="3"/>
  <c r="K237" i="3"/>
  <c r="L237" i="3"/>
  <c r="M237" i="3"/>
  <c r="N237" i="3"/>
  <c r="O237" i="3"/>
  <c r="P237" i="3"/>
  <c r="Q237" i="3"/>
  <c r="R237" i="3"/>
  <c r="S237" i="3"/>
  <c r="T237" i="3"/>
  <c r="B238" i="3"/>
  <c r="C238" i="3"/>
  <c r="D238" i="3"/>
  <c r="E238" i="3"/>
  <c r="F238" i="3"/>
  <c r="G238" i="3"/>
  <c r="H238" i="3"/>
  <c r="I238" i="3"/>
  <c r="J238" i="3"/>
  <c r="K238" i="3"/>
  <c r="L238" i="3"/>
  <c r="M238" i="3"/>
  <c r="N238" i="3"/>
  <c r="O238" i="3"/>
  <c r="P238" i="3"/>
  <c r="Q238" i="3"/>
  <c r="R238" i="3"/>
  <c r="S238" i="3"/>
  <c r="T238" i="3"/>
  <c r="U238" i="3"/>
  <c r="B239" i="3"/>
  <c r="C239" i="3"/>
  <c r="D239" i="3"/>
  <c r="E239" i="3"/>
  <c r="F239" i="3"/>
  <c r="G239" i="3"/>
  <c r="H239" i="3"/>
  <c r="I239" i="3"/>
  <c r="J239" i="3"/>
  <c r="K239" i="3"/>
  <c r="L239" i="3"/>
  <c r="M239" i="3"/>
  <c r="N239" i="3"/>
  <c r="O239" i="3"/>
  <c r="P239" i="3"/>
  <c r="Q239" i="3"/>
  <c r="R239" i="3"/>
  <c r="S239" i="3"/>
  <c r="T239" i="3"/>
  <c r="U239" i="3"/>
  <c r="B240" i="3"/>
  <c r="C240" i="3"/>
  <c r="D240" i="3"/>
  <c r="E240" i="3"/>
  <c r="F240" i="3"/>
  <c r="G240" i="3"/>
  <c r="H240" i="3"/>
  <c r="I240" i="3"/>
  <c r="J240" i="3"/>
  <c r="K240" i="3"/>
  <c r="L240" i="3"/>
  <c r="M240" i="3"/>
  <c r="N240" i="3"/>
  <c r="O240" i="3"/>
  <c r="P240" i="3"/>
  <c r="Q240" i="3"/>
  <c r="R240" i="3"/>
  <c r="S240" i="3"/>
  <c r="T240" i="3"/>
  <c r="U240" i="3"/>
  <c r="B241" i="3"/>
  <c r="C241" i="3"/>
  <c r="D241" i="3"/>
  <c r="E241" i="3"/>
  <c r="F241" i="3"/>
  <c r="G241" i="3"/>
  <c r="H241" i="3"/>
  <c r="I241" i="3"/>
  <c r="J241" i="3"/>
  <c r="K241" i="3"/>
  <c r="L241" i="3"/>
  <c r="M241" i="3"/>
  <c r="N241" i="3"/>
  <c r="O241" i="3"/>
  <c r="P241" i="3"/>
  <c r="Q241" i="3"/>
  <c r="R241" i="3"/>
  <c r="S241" i="3"/>
  <c r="T241" i="3"/>
  <c r="U241" i="3"/>
  <c r="B242" i="3"/>
  <c r="C242" i="3"/>
  <c r="D242" i="3"/>
  <c r="E242" i="3"/>
  <c r="F242" i="3"/>
  <c r="G242" i="3"/>
  <c r="H242" i="3"/>
  <c r="I242" i="3"/>
  <c r="J242" i="3"/>
  <c r="K242" i="3"/>
  <c r="L242" i="3"/>
  <c r="M242" i="3"/>
  <c r="N242" i="3"/>
  <c r="O242" i="3"/>
  <c r="P242" i="3"/>
  <c r="Q242" i="3"/>
  <c r="R242" i="3"/>
  <c r="S242" i="3"/>
  <c r="T242" i="3"/>
  <c r="U242" i="3"/>
  <c r="B243" i="3"/>
  <c r="C243" i="3"/>
  <c r="D243" i="3"/>
  <c r="E243" i="3"/>
  <c r="F243" i="3"/>
  <c r="G243" i="3"/>
  <c r="H243" i="3"/>
  <c r="I243" i="3"/>
  <c r="J243" i="3"/>
  <c r="K243" i="3"/>
  <c r="L243" i="3"/>
  <c r="M243" i="3"/>
  <c r="N243" i="3"/>
  <c r="O243" i="3"/>
  <c r="P243" i="3"/>
  <c r="Q243" i="3"/>
  <c r="R243" i="3"/>
  <c r="S243" i="3"/>
  <c r="T243" i="3"/>
  <c r="U243" i="3"/>
  <c r="B244" i="3"/>
  <c r="C244" i="3"/>
  <c r="D244" i="3"/>
  <c r="E244" i="3"/>
  <c r="F244" i="3"/>
  <c r="G244" i="3"/>
  <c r="H244" i="3"/>
  <c r="I244" i="3"/>
  <c r="J244" i="3"/>
  <c r="K244" i="3"/>
  <c r="L244" i="3"/>
  <c r="M244" i="3"/>
  <c r="N244" i="3"/>
  <c r="O244" i="3"/>
  <c r="P244" i="3"/>
  <c r="Q244" i="3"/>
  <c r="R244" i="3"/>
  <c r="S244" i="3"/>
  <c r="T244" i="3"/>
  <c r="U244" i="3"/>
  <c r="B245" i="3"/>
  <c r="C245" i="3"/>
  <c r="D245" i="3"/>
  <c r="E245" i="3"/>
  <c r="F245" i="3"/>
  <c r="G245" i="3"/>
  <c r="H245" i="3"/>
  <c r="I245" i="3"/>
  <c r="J245" i="3"/>
  <c r="K245" i="3"/>
  <c r="L245" i="3"/>
  <c r="M245" i="3"/>
  <c r="N245" i="3"/>
  <c r="O245" i="3"/>
  <c r="P245" i="3"/>
  <c r="Q245" i="3"/>
  <c r="R245" i="3"/>
  <c r="S245" i="3"/>
  <c r="T245" i="3"/>
  <c r="U245" i="3"/>
  <c r="B246" i="3"/>
  <c r="C246" i="3"/>
  <c r="D246" i="3"/>
  <c r="E246" i="3"/>
  <c r="F246" i="3"/>
  <c r="G246" i="3"/>
  <c r="H246" i="3"/>
  <c r="I246" i="3"/>
  <c r="J246" i="3"/>
  <c r="K246" i="3"/>
  <c r="L246" i="3"/>
  <c r="M246" i="3"/>
  <c r="N246" i="3"/>
  <c r="O246" i="3"/>
  <c r="P246" i="3"/>
  <c r="Q246" i="3"/>
  <c r="R246" i="3"/>
  <c r="S246" i="3"/>
  <c r="T246" i="3"/>
  <c r="U246" i="3"/>
  <c r="B247" i="3"/>
  <c r="C247" i="3"/>
  <c r="D247" i="3"/>
  <c r="E247" i="3"/>
  <c r="F247" i="3"/>
  <c r="G247" i="3"/>
  <c r="H247" i="3"/>
  <c r="I247" i="3"/>
  <c r="J247" i="3"/>
  <c r="K247" i="3"/>
  <c r="L247" i="3"/>
  <c r="M247" i="3"/>
  <c r="N247" i="3"/>
  <c r="O247" i="3"/>
  <c r="P247" i="3"/>
  <c r="Q247" i="3"/>
  <c r="R247" i="3"/>
  <c r="S247" i="3"/>
  <c r="T247" i="3"/>
  <c r="U247" i="3"/>
  <c r="B248" i="3"/>
  <c r="C248" i="3"/>
  <c r="D248" i="3"/>
  <c r="E248" i="3"/>
  <c r="F248" i="3"/>
  <c r="G248" i="3"/>
  <c r="H248" i="3"/>
  <c r="I248" i="3"/>
  <c r="J248" i="3"/>
  <c r="K248" i="3"/>
  <c r="L248" i="3"/>
  <c r="M248" i="3"/>
  <c r="N248" i="3"/>
  <c r="O248" i="3"/>
  <c r="P248" i="3"/>
  <c r="Q248" i="3"/>
  <c r="R248" i="3"/>
  <c r="S248" i="3"/>
  <c r="T248" i="3"/>
  <c r="U248" i="3"/>
  <c r="B249" i="3"/>
  <c r="C249" i="3"/>
  <c r="D249" i="3"/>
  <c r="E249" i="3"/>
  <c r="F249" i="3"/>
  <c r="G249" i="3"/>
  <c r="H249" i="3"/>
  <c r="I249" i="3"/>
  <c r="J249" i="3"/>
  <c r="K249" i="3"/>
  <c r="L249" i="3"/>
  <c r="M249" i="3"/>
  <c r="N249" i="3"/>
  <c r="O249" i="3"/>
  <c r="P249" i="3"/>
  <c r="Q249" i="3"/>
  <c r="R249" i="3"/>
  <c r="S249" i="3"/>
  <c r="T249" i="3"/>
  <c r="U249" i="3"/>
  <c r="B250" i="3"/>
  <c r="C250" i="3"/>
  <c r="D250" i="3"/>
  <c r="E250" i="3"/>
  <c r="F250" i="3"/>
  <c r="G250" i="3"/>
  <c r="H250" i="3"/>
  <c r="I250" i="3"/>
  <c r="J250" i="3"/>
  <c r="K250" i="3"/>
  <c r="L250" i="3"/>
  <c r="M250" i="3"/>
  <c r="N250" i="3"/>
  <c r="O250" i="3"/>
  <c r="P250" i="3"/>
  <c r="Q250" i="3"/>
  <c r="R250" i="3"/>
  <c r="S250" i="3"/>
  <c r="T250" i="3"/>
  <c r="U250" i="3"/>
  <c r="B251" i="3"/>
  <c r="C251" i="3"/>
  <c r="D251" i="3"/>
  <c r="E251" i="3"/>
  <c r="F251" i="3"/>
  <c r="G251" i="3"/>
  <c r="H251" i="3"/>
  <c r="I251" i="3"/>
  <c r="J251" i="3"/>
  <c r="K251" i="3"/>
  <c r="L251" i="3"/>
  <c r="M251" i="3"/>
  <c r="N251" i="3"/>
  <c r="O251" i="3"/>
  <c r="P251" i="3"/>
  <c r="Q251" i="3"/>
  <c r="R251" i="3"/>
  <c r="S251" i="3"/>
  <c r="T251" i="3"/>
  <c r="B252" i="3"/>
  <c r="C252" i="3"/>
  <c r="D252" i="3"/>
  <c r="E252" i="3"/>
  <c r="F252" i="3"/>
  <c r="G252" i="3"/>
  <c r="H252" i="3"/>
  <c r="I252" i="3"/>
  <c r="J252" i="3"/>
  <c r="K252" i="3"/>
  <c r="L252" i="3"/>
  <c r="M252" i="3"/>
  <c r="N252" i="3"/>
  <c r="O252" i="3"/>
  <c r="P252" i="3"/>
  <c r="Q252" i="3"/>
  <c r="R252" i="3"/>
  <c r="S252" i="3"/>
  <c r="T252" i="3"/>
  <c r="U252" i="3"/>
  <c r="B253" i="3"/>
  <c r="C253" i="3"/>
  <c r="D253" i="3"/>
  <c r="E253" i="3"/>
  <c r="F253" i="3"/>
  <c r="G253" i="3"/>
  <c r="H253" i="3"/>
  <c r="I253" i="3"/>
  <c r="J253" i="3"/>
  <c r="K253" i="3"/>
  <c r="L253" i="3"/>
  <c r="M253" i="3"/>
  <c r="N253" i="3"/>
  <c r="O253" i="3"/>
  <c r="P253" i="3"/>
  <c r="Q253" i="3"/>
  <c r="R253" i="3"/>
  <c r="S253" i="3"/>
  <c r="T253" i="3"/>
  <c r="U253" i="3"/>
  <c r="B254" i="3"/>
  <c r="C254" i="3"/>
  <c r="D254" i="3"/>
  <c r="E254" i="3"/>
  <c r="F254" i="3"/>
  <c r="G254" i="3"/>
  <c r="H254" i="3"/>
  <c r="I254" i="3"/>
  <c r="J254" i="3"/>
  <c r="K254" i="3"/>
  <c r="L254" i="3"/>
  <c r="M254" i="3"/>
  <c r="N254" i="3"/>
  <c r="O254" i="3"/>
  <c r="P254" i="3"/>
  <c r="Q254" i="3"/>
  <c r="R254" i="3"/>
  <c r="S254" i="3"/>
  <c r="T254" i="3"/>
  <c r="B255" i="3"/>
  <c r="C255" i="3"/>
  <c r="D255" i="3"/>
  <c r="E255" i="3"/>
  <c r="F255" i="3"/>
  <c r="G255" i="3"/>
  <c r="H255" i="3"/>
  <c r="I255" i="3"/>
  <c r="J255" i="3"/>
  <c r="K255" i="3"/>
  <c r="L255" i="3"/>
  <c r="M255" i="3"/>
  <c r="N255" i="3"/>
  <c r="O255" i="3"/>
  <c r="P255" i="3"/>
  <c r="Q255" i="3"/>
  <c r="R255" i="3"/>
  <c r="S255" i="3"/>
  <c r="T255" i="3"/>
  <c r="B256" i="3"/>
  <c r="C256" i="3"/>
  <c r="D256" i="3"/>
  <c r="E256" i="3"/>
  <c r="F256" i="3"/>
  <c r="G256" i="3"/>
  <c r="H256" i="3"/>
  <c r="I256" i="3"/>
  <c r="J256" i="3"/>
  <c r="K256" i="3"/>
  <c r="L256" i="3"/>
  <c r="M256" i="3"/>
  <c r="N256" i="3"/>
  <c r="O256" i="3"/>
  <c r="P256" i="3"/>
  <c r="Q256" i="3"/>
  <c r="R256" i="3"/>
  <c r="S256" i="3"/>
  <c r="T256" i="3"/>
  <c r="B257" i="3"/>
  <c r="C257" i="3"/>
  <c r="D257" i="3"/>
  <c r="E257" i="3"/>
  <c r="F257" i="3"/>
  <c r="G257" i="3"/>
  <c r="H257" i="3"/>
  <c r="I257" i="3"/>
  <c r="J257" i="3"/>
  <c r="K257" i="3"/>
  <c r="L257" i="3"/>
  <c r="M257" i="3"/>
  <c r="N257" i="3"/>
  <c r="O257" i="3"/>
  <c r="P257" i="3"/>
  <c r="Q257" i="3"/>
  <c r="R257" i="3"/>
  <c r="S257" i="3"/>
  <c r="T257" i="3"/>
  <c r="U257" i="3"/>
  <c r="B258" i="3"/>
  <c r="C258" i="3"/>
  <c r="D258" i="3"/>
  <c r="E258" i="3"/>
  <c r="F258" i="3"/>
  <c r="G258" i="3"/>
  <c r="H258" i="3"/>
  <c r="I258" i="3"/>
  <c r="J258" i="3"/>
  <c r="K258" i="3"/>
  <c r="L258" i="3"/>
  <c r="M258" i="3"/>
  <c r="N258" i="3"/>
  <c r="O258" i="3"/>
  <c r="P258" i="3"/>
  <c r="Q258" i="3"/>
  <c r="R258" i="3"/>
  <c r="S258" i="3"/>
  <c r="T258" i="3"/>
  <c r="U258" i="3"/>
  <c r="B259" i="3"/>
  <c r="C259" i="3"/>
  <c r="D259" i="3"/>
  <c r="E259" i="3"/>
  <c r="F259" i="3"/>
  <c r="G259" i="3"/>
  <c r="H259" i="3"/>
  <c r="I259" i="3"/>
  <c r="J259" i="3"/>
  <c r="K259" i="3"/>
  <c r="L259" i="3"/>
  <c r="M259" i="3"/>
  <c r="N259" i="3"/>
  <c r="O259" i="3"/>
  <c r="P259" i="3"/>
  <c r="Q259" i="3"/>
  <c r="R259" i="3"/>
  <c r="S259" i="3"/>
  <c r="T259" i="3"/>
  <c r="U259" i="3"/>
  <c r="B260" i="3"/>
  <c r="C260" i="3"/>
  <c r="D260" i="3"/>
  <c r="E260" i="3"/>
  <c r="F260" i="3"/>
  <c r="G260" i="3"/>
  <c r="H260" i="3"/>
  <c r="I260" i="3"/>
  <c r="J260" i="3"/>
  <c r="K260" i="3"/>
  <c r="L260" i="3"/>
  <c r="M260" i="3"/>
  <c r="N260" i="3"/>
  <c r="O260" i="3"/>
  <c r="P260" i="3"/>
  <c r="Q260" i="3"/>
  <c r="R260" i="3"/>
  <c r="S260" i="3"/>
  <c r="T260" i="3"/>
  <c r="U260" i="3"/>
  <c r="B261" i="3"/>
  <c r="C261" i="3"/>
  <c r="D261" i="3"/>
  <c r="E261" i="3"/>
  <c r="F261" i="3"/>
  <c r="G261" i="3"/>
  <c r="H261" i="3"/>
  <c r="I261" i="3"/>
  <c r="J261" i="3"/>
  <c r="K261" i="3"/>
  <c r="L261" i="3"/>
  <c r="M261" i="3"/>
  <c r="N261" i="3"/>
  <c r="O261" i="3"/>
  <c r="P261" i="3"/>
  <c r="Q261" i="3"/>
  <c r="R261" i="3"/>
  <c r="S261" i="3"/>
  <c r="T261" i="3"/>
  <c r="U261" i="3"/>
  <c r="B262" i="3"/>
  <c r="C262" i="3"/>
  <c r="D262" i="3"/>
  <c r="E262" i="3"/>
  <c r="F262" i="3"/>
  <c r="G262" i="3"/>
  <c r="H262" i="3"/>
  <c r="I262" i="3"/>
  <c r="J262" i="3"/>
  <c r="K262" i="3"/>
  <c r="L262" i="3"/>
  <c r="M262" i="3"/>
  <c r="N262" i="3"/>
  <c r="O262" i="3"/>
  <c r="P262" i="3"/>
  <c r="Q262" i="3"/>
  <c r="R262" i="3"/>
  <c r="S262" i="3"/>
  <c r="T262" i="3"/>
  <c r="U262" i="3"/>
  <c r="B263" i="3"/>
  <c r="C263" i="3"/>
  <c r="D263" i="3"/>
  <c r="E263" i="3"/>
  <c r="F263" i="3"/>
  <c r="G263" i="3"/>
  <c r="H263" i="3"/>
  <c r="I263" i="3"/>
  <c r="J263" i="3"/>
  <c r="K263" i="3"/>
  <c r="L263" i="3"/>
  <c r="M263" i="3"/>
  <c r="N263" i="3"/>
  <c r="O263" i="3"/>
  <c r="P263" i="3"/>
  <c r="Q263" i="3"/>
  <c r="R263" i="3"/>
  <c r="S263" i="3"/>
  <c r="T263" i="3"/>
  <c r="U263" i="3"/>
  <c r="B264" i="3"/>
  <c r="C264" i="3"/>
  <c r="D264" i="3"/>
  <c r="E264" i="3"/>
  <c r="F264" i="3"/>
  <c r="G264" i="3"/>
  <c r="H264" i="3"/>
  <c r="I264" i="3"/>
  <c r="J264" i="3"/>
  <c r="K264" i="3"/>
  <c r="L264" i="3"/>
  <c r="M264" i="3"/>
  <c r="N264" i="3"/>
  <c r="O264" i="3"/>
  <c r="P264" i="3"/>
  <c r="Q264" i="3"/>
  <c r="R264" i="3"/>
  <c r="S264" i="3"/>
  <c r="T264" i="3"/>
  <c r="B265" i="3"/>
  <c r="C265" i="3"/>
  <c r="D265" i="3"/>
  <c r="E265" i="3"/>
  <c r="F265" i="3"/>
  <c r="G265" i="3"/>
  <c r="H265" i="3"/>
  <c r="I265" i="3"/>
  <c r="J265" i="3"/>
  <c r="K265" i="3"/>
  <c r="L265" i="3"/>
  <c r="M265" i="3"/>
  <c r="N265" i="3"/>
  <c r="O265" i="3"/>
  <c r="P265" i="3"/>
  <c r="Q265" i="3"/>
  <c r="R265" i="3"/>
  <c r="S265" i="3"/>
  <c r="T265" i="3"/>
  <c r="U265" i="3"/>
  <c r="B266" i="3"/>
  <c r="C266" i="3"/>
  <c r="D266" i="3"/>
  <c r="E266" i="3"/>
  <c r="F266" i="3"/>
  <c r="G266" i="3"/>
  <c r="H266" i="3"/>
  <c r="I266" i="3"/>
  <c r="J266" i="3"/>
  <c r="K266" i="3"/>
  <c r="L266" i="3"/>
  <c r="M266" i="3"/>
  <c r="N266" i="3"/>
  <c r="O266" i="3"/>
  <c r="P266" i="3"/>
  <c r="Q266" i="3"/>
  <c r="R266" i="3"/>
  <c r="S266" i="3"/>
  <c r="T266" i="3"/>
  <c r="U266" i="3"/>
  <c r="B267" i="3"/>
  <c r="C267" i="3"/>
  <c r="D267" i="3"/>
  <c r="E267" i="3"/>
  <c r="F267" i="3"/>
  <c r="G267" i="3"/>
  <c r="H267" i="3"/>
  <c r="I267" i="3"/>
  <c r="J267" i="3"/>
  <c r="K267" i="3"/>
  <c r="L267" i="3"/>
  <c r="M267" i="3"/>
  <c r="N267" i="3"/>
  <c r="O267" i="3"/>
  <c r="P267" i="3"/>
  <c r="Q267" i="3"/>
  <c r="R267" i="3"/>
  <c r="S267" i="3"/>
  <c r="T267" i="3"/>
  <c r="B268" i="3"/>
  <c r="C268" i="3"/>
  <c r="D268" i="3"/>
  <c r="E268" i="3"/>
  <c r="F268" i="3"/>
  <c r="G268" i="3"/>
  <c r="H268" i="3"/>
  <c r="I268" i="3"/>
  <c r="J268" i="3"/>
  <c r="K268" i="3"/>
  <c r="L268" i="3"/>
  <c r="M268" i="3"/>
  <c r="N268" i="3"/>
  <c r="O268" i="3"/>
  <c r="P268" i="3"/>
  <c r="Q268" i="3"/>
  <c r="R268" i="3"/>
  <c r="S268" i="3"/>
  <c r="T268" i="3"/>
  <c r="B269" i="3"/>
  <c r="C269" i="3"/>
  <c r="D269" i="3"/>
  <c r="E269" i="3"/>
  <c r="F269" i="3"/>
  <c r="G269" i="3"/>
  <c r="H269" i="3"/>
  <c r="I269" i="3"/>
  <c r="J269" i="3"/>
  <c r="K269" i="3"/>
  <c r="L269" i="3"/>
  <c r="M269" i="3"/>
  <c r="N269" i="3"/>
  <c r="O269" i="3"/>
  <c r="P269" i="3"/>
  <c r="Q269" i="3"/>
  <c r="R269" i="3"/>
  <c r="S269" i="3"/>
  <c r="T269" i="3"/>
  <c r="B270" i="3"/>
  <c r="C270" i="3"/>
  <c r="D270" i="3"/>
  <c r="E270" i="3"/>
  <c r="F270" i="3"/>
  <c r="G270" i="3"/>
  <c r="H270" i="3"/>
  <c r="I270" i="3"/>
  <c r="J270" i="3"/>
  <c r="K270" i="3"/>
  <c r="L270" i="3"/>
  <c r="M270" i="3"/>
  <c r="N270" i="3"/>
  <c r="O270" i="3"/>
  <c r="P270" i="3"/>
  <c r="Q270" i="3"/>
  <c r="R270" i="3"/>
  <c r="S270" i="3"/>
  <c r="T270" i="3"/>
  <c r="B271" i="3"/>
  <c r="C271" i="3"/>
  <c r="D271" i="3"/>
  <c r="E271" i="3"/>
  <c r="F271" i="3"/>
  <c r="G271" i="3"/>
  <c r="H271" i="3"/>
  <c r="I271" i="3"/>
  <c r="J271" i="3"/>
  <c r="K271" i="3"/>
  <c r="L271" i="3"/>
  <c r="M271" i="3"/>
  <c r="N271" i="3"/>
  <c r="O271" i="3"/>
  <c r="P271" i="3"/>
  <c r="Q271" i="3"/>
  <c r="R271" i="3"/>
  <c r="S271" i="3"/>
  <c r="T271" i="3"/>
  <c r="U271" i="3"/>
  <c r="B272" i="3"/>
  <c r="C272" i="3"/>
  <c r="D272" i="3"/>
  <c r="E272" i="3"/>
  <c r="F272" i="3"/>
  <c r="G272" i="3"/>
  <c r="H272" i="3"/>
  <c r="I272" i="3"/>
  <c r="J272" i="3"/>
  <c r="K272" i="3"/>
  <c r="L272" i="3"/>
  <c r="M272" i="3"/>
  <c r="N272" i="3"/>
  <c r="O272" i="3"/>
  <c r="P272" i="3"/>
  <c r="Q272" i="3"/>
  <c r="R272" i="3"/>
  <c r="S272" i="3"/>
  <c r="T272" i="3"/>
  <c r="B273" i="3"/>
  <c r="C273" i="3"/>
  <c r="D273" i="3"/>
  <c r="E273" i="3"/>
  <c r="F273" i="3"/>
  <c r="G273" i="3"/>
  <c r="H273" i="3"/>
  <c r="I273" i="3"/>
  <c r="J273" i="3"/>
  <c r="K273" i="3"/>
  <c r="L273" i="3"/>
  <c r="M273" i="3"/>
  <c r="N273" i="3"/>
  <c r="O273" i="3"/>
  <c r="P273" i="3"/>
  <c r="Q273" i="3"/>
  <c r="R273" i="3"/>
  <c r="S273" i="3"/>
  <c r="T273" i="3"/>
  <c r="B274" i="3"/>
  <c r="C274" i="3"/>
  <c r="D274" i="3"/>
  <c r="E274" i="3"/>
  <c r="F274" i="3"/>
  <c r="G274" i="3"/>
  <c r="H274" i="3"/>
  <c r="I274" i="3"/>
  <c r="J274" i="3"/>
  <c r="K274" i="3"/>
  <c r="L274" i="3"/>
  <c r="M274" i="3"/>
  <c r="N274" i="3"/>
  <c r="O274" i="3"/>
  <c r="P274" i="3"/>
  <c r="Q274" i="3"/>
  <c r="R274" i="3"/>
  <c r="S274" i="3"/>
  <c r="T274" i="3"/>
  <c r="B275" i="3"/>
  <c r="C275" i="3"/>
  <c r="D275" i="3"/>
  <c r="E275" i="3"/>
  <c r="F275" i="3"/>
  <c r="G275" i="3"/>
  <c r="H275" i="3"/>
  <c r="I275" i="3"/>
  <c r="J275" i="3"/>
  <c r="K275" i="3"/>
  <c r="L275" i="3"/>
  <c r="M275" i="3"/>
  <c r="N275" i="3"/>
  <c r="O275" i="3"/>
  <c r="P275" i="3"/>
  <c r="Q275" i="3"/>
  <c r="R275" i="3"/>
  <c r="S275" i="3"/>
  <c r="T275" i="3"/>
  <c r="U275" i="3"/>
  <c r="B276" i="3"/>
  <c r="C276" i="3"/>
  <c r="D276" i="3"/>
  <c r="E276" i="3"/>
  <c r="F276" i="3"/>
  <c r="G276" i="3"/>
  <c r="H276" i="3"/>
  <c r="I276" i="3"/>
  <c r="J276" i="3"/>
  <c r="K276" i="3"/>
  <c r="L276" i="3"/>
  <c r="M276" i="3"/>
  <c r="N276" i="3"/>
  <c r="O276" i="3"/>
  <c r="P276" i="3"/>
  <c r="Q276" i="3"/>
  <c r="R276" i="3"/>
  <c r="S276" i="3"/>
  <c r="T276" i="3"/>
  <c r="U276" i="3"/>
  <c r="B277" i="3"/>
  <c r="C277" i="3"/>
  <c r="D277" i="3"/>
  <c r="E277" i="3"/>
  <c r="F277" i="3"/>
  <c r="G277" i="3"/>
  <c r="H277" i="3"/>
  <c r="I277" i="3"/>
  <c r="J277" i="3"/>
  <c r="K277" i="3"/>
  <c r="L277" i="3"/>
  <c r="M277" i="3"/>
  <c r="N277" i="3"/>
  <c r="O277" i="3"/>
  <c r="P277" i="3"/>
  <c r="Q277" i="3"/>
  <c r="R277" i="3"/>
  <c r="S277" i="3"/>
  <c r="T277" i="3"/>
  <c r="U277" i="3"/>
  <c r="B278" i="3"/>
  <c r="C278" i="3"/>
  <c r="D278" i="3"/>
  <c r="E278" i="3"/>
  <c r="F278" i="3"/>
  <c r="G278" i="3"/>
  <c r="H278" i="3"/>
  <c r="I278" i="3"/>
  <c r="J278" i="3"/>
  <c r="K278" i="3"/>
  <c r="L278" i="3"/>
  <c r="M278" i="3"/>
  <c r="N278" i="3"/>
  <c r="O278" i="3"/>
  <c r="P278" i="3"/>
  <c r="Q278" i="3"/>
  <c r="R278" i="3"/>
  <c r="S278" i="3"/>
  <c r="T278" i="3"/>
  <c r="U278" i="3"/>
  <c r="B279" i="3"/>
  <c r="C279" i="3"/>
  <c r="D279" i="3"/>
  <c r="E279" i="3"/>
  <c r="F279" i="3"/>
  <c r="G279" i="3"/>
  <c r="H279" i="3"/>
  <c r="I279" i="3"/>
  <c r="J279" i="3"/>
  <c r="K279" i="3"/>
  <c r="L279" i="3"/>
  <c r="M279" i="3"/>
  <c r="N279" i="3"/>
  <c r="O279" i="3"/>
  <c r="P279" i="3"/>
  <c r="Q279" i="3"/>
  <c r="R279" i="3"/>
  <c r="S279" i="3"/>
  <c r="T279" i="3"/>
  <c r="U279" i="3"/>
  <c r="B280" i="3"/>
  <c r="C280" i="3"/>
  <c r="D280" i="3"/>
  <c r="E280" i="3"/>
  <c r="F280" i="3"/>
  <c r="G280" i="3"/>
  <c r="H280" i="3"/>
  <c r="I280" i="3"/>
  <c r="J280" i="3"/>
  <c r="K280" i="3"/>
  <c r="L280" i="3"/>
  <c r="M280" i="3"/>
  <c r="N280" i="3"/>
  <c r="O280" i="3"/>
  <c r="P280" i="3"/>
  <c r="Q280" i="3"/>
  <c r="R280" i="3"/>
  <c r="S280" i="3"/>
  <c r="T280" i="3"/>
  <c r="U280" i="3"/>
  <c r="B281" i="3"/>
  <c r="C281" i="3"/>
  <c r="D281" i="3"/>
  <c r="E281" i="3"/>
  <c r="F281" i="3"/>
  <c r="G281" i="3"/>
  <c r="H281" i="3"/>
  <c r="I281" i="3"/>
  <c r="J281" i="3"/>
  <c r="K281" i="3"/>
  <c r="L281" i="3"/>
  <c r="M281" i="3"/>
  <c r="N281" i="3"/>
  <c r="O281" i="3"/>
  <c r="P281" i="3"/>
  <c r="Q281" i="3"/>
  <c r="R281" i="3"/>
  <c r="S281" i="3"/>
  <c r="T281" i="3"/>
  <c r="U281" i="3"/>
  <c r="B282" i="3"/>
  <c r="C282" i="3"/>
  <c r="D282" i="3"/>
  <c r="E282" i="3"/>
  <c r="F282" i="3"/>
  <c r="G282" i="3"/>
  <c r="H282" i="3"/>
  <c r="I282" i="3"/>
  <c r="J282" i="3"/>
  <c r="K282" i="3"/>
  <c r="L282" i="3"/>
  <c r="M282" i="3"/>
  <c r="N282" i="3"/>
  <c r="O282" i="3"/>
  <c r="P282" i="3"/>
  <c r="Q282" i="3"/>
  <c r="R282" i="3"/>
  <c r="S282" i="3"/>
  <c r="T282" i="3"/>
  <c r="U282" i="3"/>
  <c r="B283" i="3"/>
  <c r="C283" i="3"/>
  <c r="D283" i="3"/>
  <c r="E283" i="3"/>
  <c r="F283" i="3"/>
  <c r="G283" i="3"/>
  <c r="H283" i="3"/>
  <c r="I283" i="3"/>
  <c r="J283" i="3"/>
  <c r="K283" i="3"/>
  <c r="L283" i="3"/>
  <c r="M283" i="3"/>
  <c r="N283" i="3"/>
  <c r="O283" i="3"/>
  <c r="P283" i="3"/>
  <c r="Q283" i="3"/>
  <c r="R283" i="3"/>
  <c r="S283" i="3"/>
  <c r="T283" i="3"/>
  <c r="B284" i="3"/>
  <c r="C284" i="3"/>
  <c r="D284" i="3"/>
  <c r="E284" i="3"/>
  <c r="F284" i="3"/>
  <c r="G284" i="3"/>
  <c r="H284" i="3"/>
  <c r="I284" i="3"/>
  <c r="J284" i="3"/>
  <c r="K284" i="3"/>
  <c r="L284" i="3"/>
  <c r="M284" i="3"/>
  <c r="N284" i="3"/>
  <c r="O284" i="3"/>
  <c r="P284" i="3"/>
  <c r="Q284" i="3"/>
  <c r="R284" i="3"/>
  <c r="S284" i="3"/>
  <c r="T284" i="3"/>
  <c r="U284" i="3"/>
  <c r="B285" i="3"/>
  <c r="C285" i="3"/>
  <c r="D285" i="3"/>
  <c r="E285" i="3"/>
  <c r="F285" i="3"/>
  <c r="G285" i="3"/>
  <c r="H285" i="3"/>
  <c r="I285" i="3"/>
  <c r="J285" i="3"/>
  <c r="K285" i="3"/>
  <c r="L285" i="3"/>
  <c r="M285" i="3"/>
  <c r="N285" i="3"/>
  <c r="O285" i="3"/>
  <c r="P285" i="3"/>
  <c r="Q285" i="3"/>
  <c r="S285" i="3"/>
  <c r="T285" i="3"/>
  <c r="B286" i="3"/>
  <c r="C286" i="3"/>
  <c r="D286" i="3"/>
  <c r="E286" i="3"/>
  <c r="F286" i="3"/>
  <c r="G286" i="3"/>
  <c r="H286" i="3"/>
  <c r="I286" i="3"/>
  <c r="J286" i="3"/>
  <c r="K286" i="3"/>
  <c r="L286" i="3"/>
  <c r="M286" i="3"/>
  <c r="N286" i="3"/>
  <c r="O286" i="3"/>
  <c r="P286" i="3"/>
  <c r="Q286" i="3"/>
  <c r="R286" i="3"/>
  <c r="S286" i="3"/>
  <c r="T286" i="3"/>
  <c r="B287" i="3"/>
  <c r="C287" i="3"/>
  <c r="D287" i="3"/>
  <c r="E287" i="3"/>
  <c r="F287" i="3"/>
  <c r="G287" i="3"/>
  <c r="H287" i="3"/>
  <c r="I287" i="3"/>
  <c r="J287" i="3"/>
  <c r="K287" i="3"/>
  <c r="L287" i="3"/>
  <c r="M287" i="3"/>
  <c r="N287" i="3"/>
  <c r="O287" i="3"/>
  <c r="P287" i="3"/>
  <c r="Q287" i="3"/>
  <c r="R287" i="3"/>
  <c r="S287" i="3"/>
  <c r="T287" i="3"/>
  <c r="U287" i="3"/>
  <c r="B288" i="3"/>
  <c r="C288" i="3"/>
  <c r="D288" i="3"/>
  <c r="E288" i="3"/>
  <c r="F288" i="3"/>
  <c r="G288" i="3"/>
  <c r="H288" i="3"/>
  <c r="I288" i="3"/>
  <c r="J288" i="3"/>
  <c r="K288" i="3"/>
  <c r="L288" i="3"/>
  <c r="M288" i="3"/>
  <c r="N288" i="3"/>
  <c r="O288" i="3"/>
  <c r="P288" i="3"/>
  <c r="Q288" i="3"/>
  <c r="R288" i="3"/>
  <c r="S288" i="3"/>
  <c r="T288" i="3"/>
  <c r="U288" i="3"/>
  <c r="B289" i="3"/>
  <c r="C289" i="3"/>
  <c r="D289" i="3"/>
  <c r="E289" i="3"/>
  <c r="F289" i="3"/>
  <c r="G289" i="3"/>
  <c r="H289" i="3"/>
  <c r="I289" i="3"/>
  <c r="J289" i="3"/>
  <c r="K289" i="3"/>
  <c r="L289" i="3"/>
  <c r="M289" i="3"/>
  <c r="N289" i="3"/>
  <c r="O289" i="3"/>
  <c r="P289" i="3"/>
  <c r="Q289" i="3"/>
  <c r="R289" i="3"/>
  <c r="S289" i="3"/>
  <c r="T289" i="3"/>
  <c r="U289" i="3"/>
  <c r="B290" i="3"/>
  <c r="C290" i="3"/>
  <c r="D290" i="3"/>
  <c r="E290" i="3"/>
  <c r="F290" i="3"/>
  <c r="G290" i="3"/>
  <c r="H290" i="3"/>
  <c r="I290" i="3"/>
  <c r="J290" i="3"/>
  <c r="K290" i="3"/>
  <c r="L290" i="3"/>
  <c r="M290" i="3"/>
  <c r="N290" i="3"/>
  <c r="O290" i="3"/>
  <c r="P290" i="3"/>
  <c r="Q290" i="3"/>
  <c r="R290" i="3"/>
  <c r="S290" i="3"/>
  <c r="T290" i="3"/>
  <c r="U290" i="3"/>
  <c r="B291" i="3"/>
  <c r="C291" i="3"/>
  <c r="D291" i="3"/>
  <c r="E291" i="3"/>
  <c r="F291" i="3"/>
  <c r="G291" i="3"/>
  <c r="H291" i="3"/>
  <c r="I291" i="3"/>
  <c r="J291" i="3"/>
  <c r="K291" i="3"/>
  <c r="L291" i="3"/>
  <c r="M291" i="3"/>
  <c r="N291" i="3"/>
  <c r="O291" i="3"/>
  <c r="P291" i="3"/>
  <c r="Q291" i="3"/>
  <c r="R291" i="3"/>
  <c r="S291" i="3"/>
  <c r="T291" i="3"/>
  <c r="U291" i="3"/>
  <c r="B292" i="3"/>
  <c r="C292" i="3"/>
  <c r="D292" i="3"/>
  <c r="E292" i="3"/>
  <c r="F292" i="3"/>
  <c r="G292" i="3"/>
  <c r="H292" i="3"/>
  <c r="I292" i="3"/>
  <c r="J292" i="3"/>
  <c r="K292" i="3"/>
  <c r="L292" i="3"/>
  <c r="M292" i="3"/>
  <c r="N292" i="3"/>
  <c r="O292" i="3"/>
  <c r="P292" i="3"/>
  <c r="Q292" i="3"/>
  <c r="R292" i="3"/>
  <c r="S292" i="3"/>
  <c r="T292" i="3"/>
  <c r="U292" i="3"/>
  <c r="B293" i="3"/>
  <c r="C293" i="3"/>
  <c r="D293" i="3"/>
  <c r="E293" i="3"/>
  <c r="F293" i="3"/>
  <c r="G293" i="3"/>
  <c r="H293" i="3"/>
  <c r="I293" i="3"/>
  <c r="J293" i="3"/>
  <c r="K293" i="3"/>
  <c r="L293" i="3"/>
  <c r="M293" i="3"/>
  <c r="N293" i="3"/>
  <c r="O293" i="3"/>
  <c r="P293" i="3"/>
  <c r="Q293" i="3"/>
  <c r="R293" i="3"/>
  <c r="S293" i="3"/>
  <c r="T293" i="3"/>
  <c r="B294" i="3"/>
  <c r="C294" i="3"/>
  <c r="D294" i="3"/>
  <c r="E294" i="3"/>
  <c r="F294" i="3"/>
  <c r="G294" i="3"/>
  <c r="H294" i="3"/>
  <c r="I294" i="3"/>
  <c r="J294" i="3"/>
  <c r="K294" i="3"/>
  <c r="L294" i="3"/>
  <c r="M294" i="3"/>
  <c r="N294" i="3"/>
  <c r="O294" i="3"/>
  <c r="P294" i="3"/>
  <c r="Q294" i="3"/>
  <c r="R294" i="3"/>
  <c r="S294" i="3"/>
  <c r="T294" i="3"/>
  <c r="B295" i="3"/>
  <c r="C295" i="3"/>
  <c r="D295" i="3"/>
  <c r="E295" i="3"/>
  <c r="F295" i="3"/>
  <c r="G295" i="3"/>
  <c r="H295" i="3"/>
  <c r="I295" i="3"/>
  <c r="J295" i="3"/>
  <c r="K295" i="3"/>
  <c r="L295" i="3"/>
  <c r="M295" i="3"/>
  <c r="N295" i="3"/>
  <c r="O295" i="3"/>
  <c r="P295" i="3"/>
  <c r="Q295" i="3"/>
  <c r="R295" i="3"/>
  <c r="S295" i="3"/>
  <c r="T295" i="3"/>
  <c r="U295" i="3"/>
  <c r="B296" i="3"/>
  <c r="C296" i="3"/>
  <c r="D296" i="3"/>
  <c r="E296" i="3"/>
  <c r="F296" i="3"/>
  <c r="G296" i="3"/>
  <c r="H296" i="3"/>
  <c r="I296" i="3"/>
  <c r="J296" i="3"/>
  <c r="K296" i="3"/>
  <c r="L296" i="3"/>
  <c r="M296" i="3"/>
  <c r="N296" i="3"/>
  <c r="O296" i="3"/>
  <c r="P296" i="3"/>
  <c r="Q296" i="3"/>
  <c r="R296" i="3"/>
  <c r="S296" i="3"/>
  <c r="T296" i="3"/>
  <c r="U296" i="3"/>
  <c r="B297" i="3"/>
  <c r="C297" i="3"/>
  <c r="D297" i="3"/>
  <c r="E297" i="3"/>
  <c r="F297" i="3"/>
  <c r="G297" i="3"/>
  <c r="H297" i="3"/>
  <c r="I297" i="3"/>
  <c r="J297" i="3"/>
  <c r="K297" i="3"/>
  <c r="L297" i="3"/>
  <c r="M297" i="3"/>
  <c r="N297" i="3"/>
  <c r="O297" i="3"/>
  <c r="P297" i="3"/>
  <c r="Q297" i="3"/>
  <c r="R297" i="3"/>
  <c r="S297" i="3"/>
  <c r="T297" i="3"/>
  <c r="U297" i="3"/>
  <c r="B298" i="3"/>
  <c r="C298" i="3"/>
  <c r="D298" i="3"/>
  <c r="E298" i="3"/>
  <c r="F298" i="3"/>
  <c r="G298" i="3"/>
  <c r="H298" i="3"/>
  <c r="I298" i="3"/>
  <c r="J298" i="3"/>
  <c r="K298" i="3"/>
  <c r="L298" i="3"/>
  <c r="M298" i="3"/>
  <c r="N298" i="3"/>
  <c r="O298" i="3"/>
  <c r="P298" i="3"/>
  <c r="Q298" i="3"/>
  <c r="R298" i="3"/>
  <c r="S298" i="3"/>
  <c r="T298" i="3"/>
  <c r="U298" i="3"/>
  <c r="B299" i="3"/>
  <c r="C299" i="3"/>
  <c r="D299" i="3"/>
  <c r="E299" i="3"/>
  <c r="F299" i="3"/>
  <c r="G299" i="3"/>
  <c r="H299" i="3"/>
  <c r="I299" i="3"/>
  <c r="J299" i="3"/>
  <c r="K299" i="3"/>
  <c r="L299" i="3"/>
  <c r="M299" i="3"/>
  <c r="N299" i="3"/>
  <c r="O299" i="3"/>
  <c r="P299" i="3"/>
  <c r="Q299" i="3"/>
  <c r="R299" i="3"/>
  <c r="S299" i="3"/>
  <c r="T299" i="3"/>
  <c r="B300" i="3"/>
  <c r="C300" i="3"/>
  <c r="D300" i="3"/>
  <c r="E300" i="3"/>
  <c r="F300" i="3"/>
  <c r="G300" i="3"/>
  <c r="H300" i="3"/>
  <c r="I300" i="3"/>
  <c r="J300" i="3"/>
  <c r="K300" i="3"/>
  <c r="L300" i="3"/>
  <c r="M300" i="3"/>
  <c r="N300" i="3"/>
  <c r="O300" i="3"/>
  <c r="P300" i="3"/>
  <c r="Q300" i="3"/>
  <c r="R300" i="3"/>
  <c r="S300" i="3"/>
  <c r="T300" i="3"/>
  <c r="U300" i="3"/>
  <c r="B301" i="3"/>
  <c r="C301" i="3"/>
  <c r="D301" i="3"/>
  <c r="E301" i="3"/>
  <c r="F301" i="3"/>
  <c r="G301" i="3"/>
  <c r="H301" i="3"/>
  <c r="I301" i="3"/>
  <c r="J301" i="3"/>
  <c r="K301" i="3"/>
  <c r="L301" i="3"/>
  <c r="M301" i="3"/>
  <c r="N301" i="3"/>
  <c r="O301" i="3"/>
  <c r="P301" i="3"/>
  <c r="Q301" i="3"/>
  <c r="R301" i="3"/>
  <c r="S301" i="3"/>
  <c r="T301" i="3"/>
  <c r="U301" i="3"/>
  <c r="B302" i="3"/>
  <c r="C302" i="3"/>
  <c r="D302" i="3"/>
  <c r="E302" i="3"/>
  <c r="F302" i="3"/>
  <c r="G302" i="3"/>
  <c r="H302" i="3"/>
  <c r="I302" i="3"/>
  <c r="J302" i="3"/>
  <c r="K302" i="3"/>
  <c r="L302" i="3"/>
  <c r="M302" i="3"/>
  <c r="N302" i="3"/>
  <c r="O302" i="3"/>
  <c r="P302" i="3"/>
  <c r="Q302" i="3"/>
  <c r="R302" i="3"/>
  <c r="S302" i="3"/>
  <c r="T302" i="3"/>
  <c r="U302" i="3"/>
  <c r="B303" i="3"/>
  <c r="C303" i="3"/>
  <c r="D303" i="3"/>
  <c r="E303" i="3"/>
  <c r="F303" i="3"/>
  <c r="G303" i="3"/>
  <c r="H303" i="3"/>
  <c r="I303" i="3"/>
  <c r="J303" i="3"/>
  <c r="K303" i="3"/>
  <c r="L303" i="3"/>
  <c r="M303" i="3"/>
  <c r="N303" i="3"/>
  <c r="O303" i="3"/>
  <c r="P303" i="3"/>
  <c r="Q303" i="3"/>
  <c r="R303" i="3"/>
  <c r="S303" i="3"/>
  <c r="T303" i="3"/>
  <c r="U303" i="3"/>
  <c r="B304" i="3"/>
  <c r="C304" i="3"/>
  <c r="D304" i="3"/>
  <c r="E304" i="3"/>
  <c r="F304" i="3"/>
  <c r="G304" i="3"/>
  <c r="H304" i="3"/>
  <c r="I304" i="3"/>
  <c r="J304" i="3"/>
  <c r="K304" i="3"/>
  <c r="L304" i="3"/>
  <c r="M304" i="3"/>
  <c r="N304" i="3"/>
  <c r="O304" i="3"/>
  <c r="P304" i="3"/>
  <c r="Q304" i="3"/>
  <c r="R304" i="3"/>
  <c r="S304" i="3"/>
  <c r="T304" i="3"/>
  <c r="U304" i="3"/>
  <c r="B305" i="3"/>
  <c r="C305" i="3"/>
  <c r="D305" i="3"/>
  <c r="E305" i="3"/>
  <c r="F305" i="3"/>
  <c r="G305" i="3"/>
  <c r="H305" i="3"/>
  <c r="I305" i="3"/>
  <c r="J305" i="3"/>
  <c r="K305" i="3"/>
  <c r="L305" i="3"/>
  <c r="M305" i="3"/>
  <c r="N305" i="3"/>
  <c r="O305" i="3"/>
  <c r="P305" i="3"/>
  <c r="Q305" i="3"/>
  <c r="R305" i="3"/>
  <c r="S305" i="3"/>
  <c r="T305" i="3"/>
  <c r="U305" i="3"/>
  <c r="B306" i="3"/>
  <c r="C306" i="3"/>
  <c r="D306" i="3"/>
  <c r="E306" i="3"/>
  <c r="F306" i="3"/>
  <c r="G306" i="3"/>
  <c r="H306" i="3"/>
  <c r="I306" i="3"/>
  <c r="J306" i="3"/>
  <c r="K306" i="3"/>
  <c r="L306" i="3"/>
  <c r="M306" i="3"/>
  <c r="N306" i="3"/>
  <c r="O306" i="3"/>
  <c r="P306" i="3"/>
  <c r="Q306" i="3"/>
  <c r="R306" i="3"/>
  <c r="S306" i="3"/>
  <c r="T306" i="3"/>
  <c r="U306" i="3"/>
  <c r="B307" i="3"/>
  <c r="C307" i="3"/>
  <c r="D307" i="3"/>
  <c r="E307" i="3"/>
  <c r="F307" i="3"/>
  <c r="G307" i="3"/>
  <c r="H307" i="3"/>
  <c r="I307" i="3"/>
  <c r="J307" i="3"/>
  <c r="K307" i="3"/>
  <c r="L307" i="3"/>
  <c r="M307" i="3"/>
  <c r="N307" i="3"/>
  <c r="O307" i="3"/>
  <c r="P307" i="3"/>
  <c r="Q307" i="3"/>
  <c r="R307" i="3"/>
  <c r="S307" i="3"/>
  <c r="T307" i="3"/>
  <c r="U307" i="3"/>
  <c r="B308" i="3"/>
  <c r="C308" i="3"/>
  <c r="D308" i="3"/>
  <c r="E308" i="3"/>
  <c r="F308" i="3"/>
  <c r="G308" i="3"/>
  <c r="I308" i="3"/>
  <c r="J308" i="3"/>
  <c r="K308" i="3"/>
  <c r="L308" i="3"/>
  <c r="M308" i="3"/>
  <c r="N308" i="3"/>
  <c r="O308" i="3"/>
  <c r="P308" i="3"/>
  <c r="Q308" i="3"/>
  <c r="R308" i="3"/>
  <c r="S308" i="3"/>
  <c r="T308" i="3"/>
  <c r="U308" i="3"/>
  <c r="B309" i="3"/>
  <c r="C309" i="3"/>
  <c r="D309" i="3"/>
  <c r="E309" i="3"/>
  <c r="F309" i="3"/>
  <c r="G309" i="3"/>
  <c r="H309" i="3"/>
  <c r="I309" i="3"/>
  <c r="J309" i="3"/>
  <c r="K309" i="3"/>
  <c r="L309" i="3"/>
  <c r="M309" i="3"/>
  <c r="N309" i="3"/>
  <c r="O309" i="3"/>
  <c r="P309" i="3"/>
  <c r="Q309" i="3"/>
  <c r="R309" i="3"/>
  <c r="S309" i="3"/>
  <c r="T309" i="3"/>
  <c r="U309" i="3"/>
  <c r="B310" i="3"/>
  <c r="C310" i="3"/>
  <c r="D310" i="3"/>
  <c r="E310" i="3"/>
  <c r="F310" i="3"/>
  <c r="G310" i="3"/>
  <c r="H310" i="3"/>
  <c r="I310" i="3"/>
  <c r="J310" i="3"/>
  <c r="K310" i="3"/>
  <c r="L310" i="3"/>
  <c r="M310" i="3"/>
  <c r="N310" i="3"/>
  <c r="O310" i="3"/>
  <c r="P310" i="3"/>
  <c r="Q310" i="3"/>
  <c r="R310" i="3"/>
  <c r="S310" i="3"/>
  <c r="T310" i="3"/>
  <c r="U310" i="3"/>
  <c r="B311" i="3"/>
  <c r="C311" i="3"/>
  <c r="D311" i="3"/>
  <c r="E311" i="3"/>
  <c r="F311" i="3"/>
  <c r="G311" i="3"/>
  <c r="H311" i="3"/>
  <c r="I311" i="3"/>
  <c r="J311" i="3"/>
  <c r="K311" i="3"/>
  <c r="L311" i="3"/>
  <c r="M311" i="3"/>
  <c r="N311" i="3"/>
  <c r="O311" i="3"/>
  <c r="P311" i="3"/>
  <c r="Q311" i="3"/>
  <c r="R311" i="3"/>
  <c r="S311" i="3"/>
  <c r="T311" i="3"/>
  <c r="U311" i="3"/>
  <c r="B312" i="3"/>
  <c r="C312" i="3"/>
  <c r="D312" i="3"/>
  <c r="E312" i="3"/>
  <c r="F312" i="3"/>
  <c r="G312" i="3"/>
  <c r="H312" i="3"/>
  <c r="I312" i="3"/>
  <c r="J312" i="3"/>
  <c r="K312" i="3"/>
  <c r="L312" i="3"/>
  <c r="M312" i="3"/>
  <c r="N312" i="3"/>
  <c r="O312" i="3"/>
  <c r="P312" i="3"/>
  <c r="Q312" i="3"/>
  <c r="S312" i="3"/>
  <c r="T312" i="3"/>
  <c r="B313" i="3"/>
  <c r="C313" i="3"/>
  <c r="D313" i="3"/>
  <c r="E313" i="3"/>
  <c r="F313" i="3"/>
  <c r="G313" i="3"/>
  <c r="H313" i="3"/>
  <c r="I313" i="3"/>
  <c r="J313" i="3"/>
  <c r="K313" i="3"/>
  <c r="L313" i="3"/>
  <c r="M313" i="3"/>
  <c r="N313" i="3"/>
  <c r="O313" i="3"/>
  <c r="P313" i="3"/>
  <c r="Q313" i="3"/>
  <c r="R313" i="3"/>
  <c r="S313" i="3"/>
  <c r="T313" i="3"/>
  <c r="U313" i="3"/>
  <c r="B314" i="3"/>
  <c r="C314" i="3"/>
  <c r="D314" i="3"/>
  <c r="E314" i="3"/>
  <c r="F314" i="3"/>
  <c r="G314" i="3"/>
  <c r="H314" i="3"/>
  <c r="I314" i="3"/>
  <c r="J314" i="3"/>
  <c r="K314" i="3"/>
  <c r="L314" i="3"/>
  <c r="M314" i="3"/>
  <c r="N314" i="3"/>
  <c r="O314" i="3"/>
  <c r="P314" i="3"/>
  <c r="Q314" i="3"/>
  <c r="R314" i="3"/>
  <c r="S314" i="3"/>
  <c r="T314" i="3"/>
  <c r="U314" i="3"/>
  <c r="B315" i="3"/>
  <c r="C315" i="3"/>
  <c r="D315" i="3"/>
  <c r="E315" i="3"/>
  <c r="F315" i="3"/>
  <c r="G315" i="3"/>
  <c r="H315" i="3"/>
  <c r="I315" i="3"/>
  <c r="J315" i="3"/>
  <c r="K315" i="3"/>
  <c r="L315" i="3"/>
  <c r="M315" i="3"/>
  <c r="N315" i="3"/>
  <c r="O315" i="3"/>
  <c r="P315" i="3"/>
  <c r="Q315" i="3"/>
  <c r="R315" i="3"/>
  <c r="S315" i="3"/>
  <c r="T315" i="3"/>
  <c r="B316" i="3"/>
  <c r="C316" i="3"/>
  <c r="D316" i="3"/>
  <c r="E316" i="3"/>
  <c r="F316" i="3"/>
  <c r="G316" i="3"/>
  <c r="H316" i="3"/>
  <c r="I316" i="3"/>
  <c r="J316" i="3"/>
  <c r="K316" i="3"/>
  <c r="L316" i="3"/>
  <c r="M316" i="3"/>
  <c r="N316" i="3"/>
  <c r="O316" i="3"/>
  <c r="P316" i="3"/>
  <c r="Q316" i="3"/>
  <c r="R316" i="3"/>
  <c r="S316" i="3"/>
  <c r="T316" i="3"/>
  <c r="U316" i="3"/>
  <c r="B317" i="3"/>
  <c r="C317" i="3"/>
  <c r="D317" i="3"/>
  <c r="E317" i="3"/>
  <c r="F317" i="3"/>
  <c r="G317" i="3"/>
  <c r="H317" i="3"/>
  <c r="I317" i="3"/>
  <c r="J317" i="3"/>
  <c r="K317" i="3"/>
  <c r="L317" i="3"/>
  <c r="M317" i="3"/>
  <c r="N317" i="3"/>
  <c r="O317" i="3"/>
  <c r="P317" i="3"/>
  <c r="Q317" i="3"/>
  <c r="R317" i="3"/>
  <c r="S317" i="3"/>
  <c r="T317" i="3"/>
  <c r="B318" i="3"/>
  <c r="C318" i="3"/>
  <c r="D318" i="3"/>
  <c r="E318" i="3"/>
  <c r="F318" i="3"/>
  <c r="G318" i="3"/>
  <c r="H318" i="3"/>
  <c r="I318" i="3"/>
  <c r="J318" i="3"/>
  <c r="K318" i="3"/>
  <c r="L318" i="3"/>
  <c r="M318" i="3"/>
  <c r="N318" i="3"/>
  <c r="O318" i="3"/>
  <c r="P318" i="3"/>
  <c r="Q318" i="3"/>
  <c r="R318" i="3"/>
  <c r="S318" i="3"/>
  <c r="T318" i="3"/>
  <c r="U318" i="3"/>
  <c r="B319" i="3"/>
  <c r="C319" i="3"/>
  <c r="D319" i="3"/>
  <c r="E319" i="3"/>
  <c r="F319" i="3"/>
  <c r="G319" i="3"/>
  <c r="H319" i="3"/>
  <c r="I319" i="3"/>
  <c r="J319" i="3"/>
  <c r="K319" i="3"/>
  <c r="L319" i="3"/>
  <c r="M319" i="3"/>
  <c r="N319" i="3"/>
  <c r="O319" i="3"/>
  <c r="P319" i="3"/>
  <c r="Q319" i="3"/>
  <c r="R319" i="3"/>
  <c r="S319" i="3"/>
  <c r="T319" i="3"/>
  <c r="B320" i="3"/>
  <c r="C320" i="3"/>
  <c r="D320" i="3"/>
  <c r="E320" i="3"/>
  <c r="F320" i="3"/>
  <c r="G320" i="3"/>
  <c r="H320" i="3"/>
  <c r="I320" i="3"/>
  <c r="J320" i="3"/>
  <c r="K320" i="3"/>
  <c r="L320" i="3"/>
  <c r="M320" i="3"/>
  <c r="N320" i="3"/>
  <c r="O320" i="3"/>
  <c r="P320" i="3"/>
  <c r="Q320" i="3"/>
  <c r="R320" i="3"/>
  <c r="S320" i="3"/>
  <c r="T320" i="3"/>
  <c r="U320" i="3"/>
  <c r="B321" i="3"/>
  <c r="C321" i="3"/>
  <c r="D321" i="3"/>
  <c r="E321" i="3"/>
  <c r="F321" i="3"/>
  <c r="G321" i="3"/>
  <c r="H321" i="3"/>
  <c r="I321" i="3"/>
  <c r="J321" i="3"/>
  <c r="K321" i="3"/>
  <c r="L321" i="3"/>
  <c r="M321" i="3"/>
  <c r="N321" i="3"/>
  <c r="O321" i="3"/>
  <c r="P321" i="3"/>
  <c r="Q321" i="3"/>
  <c r="R321" i="3"/>
  <c r="S321" i="3"/>
  <c r="T321" i="3"/>
  <c r="U321" i="3"/>
  <c r="B322" i="3"/>
  <c r="C322" i="3"/>
  <c r="D322" i="3"/>
  <c r="E322" i="3"/>
  <c r="F322" i="3"/>
  <c r="G322" i="3"/>
  <c r="H322" i="3"/>
  <c r="I322" i="3"/>
  <c r="J322" i="3"/>
  <c r="K322" i="3"/>
  <c r="L322" i="3"/>
  <c r="M322" i="3"/>
  <c r="N322" i="3"/>
  <c r="O322" i="3"/>
  <c r="P322" i="3"/>
  <c r="Q322" i="3"/>
  <c r="R322" i="3"/>
  <c r="S322" i="3"/>
  <c r="T322" i="3"/>
  <c r="U322" i="3"/>
  <c r="B323" i="3"/>
  <c r="C323" i="3"/>
  <c r="D323" i="3"/>
  <c r="E323" i="3"/>
  <c r="F323" i="3"/>
  <c r="G323" i="3"/>
  <c r="H323" i="3"/>
  <c r="I323" i="3"/>
  <c r="J323" i="3"/>
  <c r="K323" i="3"/>
  <c r="L323" i="3"/>
  <c r="M323" i="3"/>
  <c r="N323" i="3"/>
  <c r="O323" i="3"/>
  <c r="P323" i="3"/>
  <c r="Q323" i="3"/>
  <c r="R323" i="3"/>
  <c r="S323" i="3"/>
  <c r="T323" i="3"/>
  <c r="U323" i="3"/>
  <c r="B324" i="3"/>
  <c r="C324" i="3"/>
  <c r="D324" i="3"/>
  <c r="E324" i="3"/>
  <c r="F324" i="3"/>
  <c r="G324" i="3"/>
  <c r="H324" i="3"/>
  <c r="I324" i="3"/>
  <c r="J324" i="3"/>
  <c r="K324" i="3"/>
  <c r="L324" i="3"/>
  <c r="M324" i="3"/>
  <c r="N324" i="3"/>
  <c r="O324" i="3"/>
  <c r="P324" i="3"/>
  <c r="Q324" i="3"/>
  <c r="R324" i="3"/>
  <c r="S324" i="3"/>
  <c r="T324" i="3"/>
  <c r="U324" i="3"/>
  <c r="B325" i="3"/>
  <c r="C325" i="3"/>
  <c r="D325" i="3"/>
  <c r="E325" i="3"/>
  <c r="F325" i="3"/>
  <c r="G325" i="3"/>
  <c r="H325" i="3"/>
  <c r="I325" i="3"/>
  <c r="J325" i="3"/>
  <c r="K325" i="3"/>
  <c r="L325" i="3"/>
  <c r="M325" i="3"/>
  <c r="N325" i="3"/>
  <c r="O325" i="3"/>
  <c r="P325" i="3"/>
  <c r="Q325" i="3"/>
  <c r="R325" i="3"/>
  <c r="S325" i="3"/>
  <c r="T325" i="3"/>
  <c r="U325" i="3"/>
  <c r="B326" i="3"/>
  <c r="C326" i="3"/>
  <c r="D326" i="3"/>
  <c r="E326" i="3"/>
  <c r="F326" i="3"/>
  <c r="G326" i="3"/>
  <c r="H326" i="3"/>
  <c r="I326" i="3"/>
  <c r="J326" i="3"/>
  <c r="K326" i="3"/>
  <c r="L326" i="3"/>
  <c r="M326" i="3"/>
  <c r="N326" i="3"/>
  <c r="O326" i="3"/>
  <c r="P326" i="3"/>
  <c r="Q326" i="3"/>
  <c r="R326" i="3"/>
  <c r="S326" i="3"/>
  <c r="T326" i="3"/>
  <c r="U326" i="3"/>
  <c r="B327" i="3"/>
  <c r="C327" i="3"/>
  <c r="D327" i="3"/>
  <c r="E327" i="3"/>
  <c r="F327" i="3"/>
  <c r="G327" i="3"/>
  <c r="H327" i="3"/>
  <c r="I327" i="3"/>
  <c r="J327" i="3"/>
  <c r="K327" i="3"/>
  <c r="L327" i="3"/>
  <c r="M327" i="3"/>
  <c r="N327" i="3"/>
  <c r="O327" i="3"/>
  <c r="P327" i="3"/>
  <c r="Q327" i="3"/>
  <c r="R327" i="3"/>
  <c r="S327" i="3"/>
  <c r="T327" i="3"/>
  <c r="U327" i="3"/>
  <c r="B328" i="3"/>
  <c r="C328" i="3"/>
  <c r="D328" i="3"/>
  <c r="E328" i="3"/>
  <c r="F328" i="3"/>
  <c r="G328" i="3"/>
  <c r="H328" i="3"/>
  <c r="I328" i="3"/>
  <c r="J328" i="3"/>
  <c r="K328" i="3"/>
  <c r="L328" i="3"/>
  <c r="M328" i="3"/>
  <c r="N328" i="3"/>
  <c r="O328" i="3"/>
  <c r="P328" i="3"/>
  <c r="Q328" i="3"/>
  <c r="R328" i="3"/>
  <c r="S328" i="3"/>
  <c r="T328" i="3"/>
  <c r="U328" i="3"/>
  <c r="B329" i="3"/>
  <c r="C329" i="3"/>
  <c r="D329" i="3"/>
  <c r="E329" i="3"/>
  <c r="F329" i="3"/>
  <c r="G329" i="3"/>
  <c r="H329" i="3"/>
  <c r="I329" i="3"/>
  <c r="J329" i="3"/>
  <c r="K329" i="3"/>
  <c r="L329" i="3"/>
  <c r="M329" i="3"/>
  <c r="N329" i="3"/>
  <c r="O329" i="3"/>
  <c r="P329" i="3"/>
  <c r="Q329" i="3"/>
  <c r="R329" i="3"/>
  <c r="S329" i="3"/>
  <c r="T329" i="3"/>
  <c r="U329" i="3"/>
  <c r="B330" i="3"/>
  <c r="C330" i="3"/>
  <c r="D330" i="3"/>
  <c r="E330" i="3"/>
  <c r="F330" i="3"/>
  <c r="G330" i="3"/>
  <c r="H330" i="3"/>
  <c r="I330" i="3"/>
  <c r="J330" i="3"/>
  <c r="K330" i="3"/>
  <c r="L330" i="3"/>
  <c r="M330" i="3"/>
  <c r="N330" i="3"/>
  <c r="O330" i="3"/>
  <c r="P330" i="3"/>
  <c r="Q330" i="3"/>
  <c r="R330" i="3"/>
  <c r="S330" i="3"/>
  <c r="T330" i="3"/>
  <c r="B331" i="3"/>
  <c r="C331" i="3"/>
  <c r="D331" i="3"/>
  <c r="E331" i="3"/>
  <c r="F331" i="3"/>
  <c r="G331" i="3"/>
  <c r="H331" i="3"/>
  <c r="I331" i="3"/>
  <c r="J331" i="3"/>
  <c r="K331" i="3"/>
  <c r="L331" i="3"/>
  <c r="M331" i="3"/>
  <c r="N331" i="3"/>
  <c r="O331" i="3"/>
  <c r="P331" i="3"/>
  <c r="Q331" i="3"/>
  <c r="R331" i="3"/>
  <c r="S331" i="3"/>
  <c r="T331" i="3"/>
  <c r="U331" i="3"/>
  <c r="B332" i="3"/>
  <c r="C332" i="3"/>
  <c r="D332" i="3"/>
  <c r="E332" i="3"/>
  <c r="F332" i="3"/>
  <c r="G332" i="3"/>
  <c r="H332" i="3"/>
  <c r="I332" i="3"/>
  <c r="J332" i="3"/>
  <c r="K332" i="3"/>
  <c r="L332" i="3"/>
  <c r="M332" i="3"/>
  <c r="N332" i="3"/>
  <c r="O332" i="3"/>
  <c r="P332" i="3"/>
  <c r="Q332" i="3"/>
  <c r="R332" i="3"/>
  <c r="S332" i="3"/>
  <c r="T332" i="3"/>
  <c r="B333" i="3"/>
  <c r="C333" i="3"/>
  <c r="D333" i="3"/>
  <c r="E333" i="3"/>
  <c r="F333" i="3"/>
  <c r="G333" i="3"/>
  <c r="H333" i="3"/>
  <c r="I333" i="3"/>
  <c r="J333" i="3"/>
  <c r="K333" i="3"/>
  <c r="L333" i="3"/>
  <c r="M333" i="3"/>
  <c r="N333" i="3"/>
  <c r="O333" i="3"/>
  <c r="P333" i="3"/>
  <c r="Q333" i="3"/>
  <c r="R333" i="3"/>
  <c r="S333" i="3"/>
  <c r="T333" i="3"/>
  <c r="U333" i="3"/>
  <c r="B334" i="3"/>
  <c r="C334" i="3"/>
  <c r="D334" i="3"/>
  <c r="E334" i="3"/>
  <c r="F334" i="3"/>
  <c r="G334" i="3"/>
  <c r="H334" i="3"/>
  <c r="I334" i="3"/>
  <c r="J334" i="3"/>
  <c r="K334" i="3"/>
  <c r="L334" i="3"/>
  <c r="M334" i="3"/>
  <c r="N334" i="3"/>
  <c r="O334" i="3"/>
  <c r="P334" i="3"/>
  <c r="Q334" i="3"/>
  <c r="R334" i="3"/>
  <c r="S334" i="3"/>
  <c r="T334" i="3"/>
  <c r="U334" i="3"/>
  <c r="B335" i="3"/>
  <c r="C335" i="3"/>
  <c r="D335" i="3"/>
  <c r="E335" i="3"/>
  <c r="F335" i="3"/>
  <c r="G335" i="3"/>
  <c r="H335" i="3"/>
  <c r="I335" i="3"/>
  <c r="J335" i="3"/>
  <c r="K335" i="3"/>
  <c r="L335" i="3"/>
  <c r="M335" i="3"/>
  <c r="N335" i="3"/>
  <c r="O335" i="3"/>
  <c r="P335" i="3"/>
  <c r="Q335" i="3"/>
  <c r="R335" i="3"/>
  <c r="S335" i="3"/>
  <c r="T335" i="3"/>
  <c r="U335" i="3"/>
  <c r="B336" i="3"/>
  <c r="C336" i="3"/>
  <c r="D336" i="3"/>
  <c r="E336" i="3"/>
  <c r="F336" i="3"/>
  <c r="G336" i="3"/>
  <c r="H336" i="3"/>
  <c r="I336" i="3"/>
  <c r="J336" i="3"/>
  <c r="K336" i="3"/>
  <c r="L336" i="3"/>
  <c r="M336" i="3"/>
  <c r="N336" i="3"/>
  <c r="O336" i="3"/>
  <c r="P336" i="3"/>
  <c r="Q336" i="3"/>
  <c r="R336" i="3"/>
  <c r="S336" i="3"/>
  <c r="T336" i="3"/>
  <c r="B337" i="3"/>
  <c r="C337" i="3"/>
  <c r="D337" i="3"/>
  <c r="E337" i="3"/>
  <c r="F337" i="3"/>
  <c r="G337" i="3"/>
  <c r="H337" i="3"/>
  <c r="I337" i="3"/>
  <c r="J337" i="3"/>
  <c r="K337" i="3"/>
  <c r="L337" i="3"/>
  <c r="M337" i="3"/>
  <c r="N337" i="3"/>
  <c r="O337" i="3"/>
  <c r="P337" i="3"/>
  <c r="Q337" i="3"/>
  <c r="R337" i="3"/>
  <c r="S337" i="3"/>
  <c r="T337" i="3"/>
  <c r="B338" i="3"/>
  <c r="C338" i="3"/>
  <c r="D338" i="3"/>
  <c r="E338" i="3"/>
  <c r="F338" i="3"/>
  <c r="G338" i="3"/>
  <c r="H338" i="3"/>
  <c r="I338" i="3"/>
  <c r="J338" i="3"/>
  <c r="K338" i="3"/>
  <c r="L338" i="3"/>
  <c r="M338" i="3"/>
  <c r="N338" i="3"/>
  <c r="O338" i="3"/>
  <c r="P338" i="3"/>
  <c r="Q338" i="3"/>
  <c r="R338" i="3"/>
  <c r="S338" i="3"/>
  <c r="T338" i="3"/>
  <c r="B339" i="3"/>
  <c r="C339" i="3"/>
  <c r="D339" i="3"/>
  <c r="E339" i="3"/>
  <c r="F339" i="3"/>
  <c r="G339" i="3"/>
  <c r="H339" i="3"/>
  <c r="I339" i="3"/>
  <c r="J339" i="3"/>
  <c r="K339" i="3"/>
  <c r="L339" i="3"/>
  <c r="M339" i="3"/>
  <c r="N339" i="3"/>
  <c r="O339" i="3"/>
  <c r="P339" i="3"/>
  <c r="Q339" i="3"/>
  <c r="R339" i="3"/>
  <c r="S339" i="3"/>
  <c r="T339" i="3"/>
  <c r="U339" i="3"/>
  <c r="B340" i="3"/>
  <c r="C340" i="3"/>
  <c r="D340" i="3"/>
  <c r="E340" i="3"/>
  <c r="F340" i="3"/>
  <c r="G340" i="3"/>
  <c r="H340" i="3"/>
  <c r="I340" i="3"/>
  <c r="J340" i="3"/>
  <c r="K340" i="3"/>
  <c r="L340" i="3"/>
  <c r="M340" i="3"/>
  <c r="N340" i="3"/>
  <c r="O340" i="3"/>
  <c r="P340" i="3"/>
  <c r="Q340" i="3"/>
  <c r="R340" i="3"/>
  <c r="S340" i="3"/>
  <c r="T340" i="3"/>
  <c r="B341" i="3"/>
  <c r="C341" i="3"/>
  <c r="D341" i="3"/>
  <c r="E341" i="3"/>
  <c r="F341" i="3"/>
  <c r="G341" i="3"/>
  <c r="H341" i="3"/>
  <c r="I341" i="3"/>
  <c r="J341" i="3"/>
  <c r="K341" i="3"/>
  <c r="L341" i="3"/>
  <c r="M341" i="3"/>
  <c r="N341" i="3"/>
  <c r="O341" i="3"/>
  <c r="P341" i="3"/>
  <c r="Q341" i="3"/>
  <c r="R341" i="3"/>
  <c r="S341" i="3"/>
  <c r="T341" i="3"/>
  <c r="U341" i="3"/>
  <c r="B342" i="3"/>
  <c r="C342" i="3"/>
  <c r="D342" i="3"/>
  <c r="E342" i="3"/>
  <c r="F342" i="3"/>
  <c r="G342" i="3"/>
  <c r="H342" i="3"/>
  <c r="I342" i="3"/>
  <c r="J342" i="3"/>
  <c r="K342" i="3"/>
  <c r="L342" i="3"/>
  <c r="M342" i="3"/>
  <c r="N342" i="3"/>
  <c r="O342" i="3"/>
  <c r="P342" i="3"/>
  <c r="Q342" i="3"/>
  <c r="R342" i="3"/>
  <c r="S342" i="3"/>
  <c r="T342" i="3"/>
  <c r="U342" i="3"/>
  <c r="B343" i="3"/>
  <c r="C343" i="3"/>
  <c r="D343" i="3"/>
  <c r="E343" i="3"/>
  <c r="F343" i="3"/>
  <c r="G343" i="3"/>
  <c r="H343" i="3"/>
  <c r="I343" i="3"/>
  <c r="J343" i="3"/>
  <c r="K343" i="3"/>
  <c r="L343" i="3"/>
  <c r="M343" i="3"/>
  <c r="N343" i="3"/>
  <c r="O343" i="3"/>
  <c r="P343" i="3"/>
  <c r="Q343" i="3"/>
  <c r="R343" i="3"/>
  <c r="S343" i="3"/>
  <c r="T343" i="3"/>
  <c r="U343" i="3"/>
  <c r="B344" i="3"/>
  <c r="C344" i="3"/>
  <c r="D344" i="3"/>
  <c r="E344" i="3"/>
  <c r="F344" i="3"/>
  <c r="G344" i="3"/>
  <c r="H344" i="3"/>
  <c r="I344" i="3"/>
  <c r="J344" i="3"/>
  <c r="K344" i="3"/>
  <c r="L344" i="3"/>
  <c r="M344" i="3"/>
  <c r="N344" i="3"/>
  <c r="O344" i="3"/>
  <c r="P344" i="3"/>
  <c r="Q344" i="3"/>
  <c r="R344" i="3"/>
  <c r="S344" i="3"/>
  <c r="T344" i="3"/>
  <c r="U344" i="3"/>
  <c r="B345" i="3"/>
  <c r="C345" i="3"/>
  <c r="D345" i="3"/>
  <c r="E345" i="3"/>
  <c r="F345" i="3"/>
  <c r="G345" i="3"/>
  <c r="H345" i="3"/>
  <c r="I345" i="3"/>
  <c r="J345" i="3"/>
  <c r="K345" i="3"/>
  <c r="L345" i="3"/>
  <c r="M345" i="3"/>
  <c r="N345" i="3"/>
  <c r="O345" i="3"/>
  <c r="P345" i="3"/>
  <c r="Q345" i="3"/>
  <c r="R345" i="3"/>
  <c r="S345" i="3"/>
  <c r="T345" i="3"/>
  <c r="U345" i="3"/>
  <c r="B346" i="3"/>
  <c r="C346" i="3"/>
  <c r="D346" i="3"/>
  <c r="E346" i="3"/>
  <c r="F346" i="3"/>
  <c r="G346" i="3"/>
  <c r="H346" i="3"/>
  <c r="I346" i="3"/>
  <c r="J346" i="3"/>
  <c r="K346" i="3"/>
  <c r="L346" i="3"/>
  <c r="M346" i="3"/>
  <c r="N346" i="3"/>
  <c r="O346" i="3"/>
  <c r="P346" i="3"/>
  <c r="Q346" i="3"/>
  <c r="R346" i="3"/>
  <c r="S346" i="3"/>
  <c r="T346" i="3"/>
  <c r="U346" i="3"/>
  <c r="B347" i="3"/>
  <c r="C347" i="3"/>
  <c r="D347" i="3"/>
  <c r="E347" i="3"/>
  <c r="F347" i="3"/>
  <c r="G347" i="3"/>
  <c r="H347" i="3"/>
  <c r="I347" i="3"/>
  <c r="J347" i="3"/>
  <c r="K347" i="3"/>
  <c r="L347" i="3"/>
  <c r="M347" i="3"/>
  <c r="N347" i="3"/>
  <c r="O347" i="3"/>
  <c r="P347" i="3"/>
  <c r="Q347" i="3"/>
  <c r="R347" i="3"/>
  <c r="S347" i="3"/>
  <c r="T347" i="3"/>
  <c r="U347" i="3"/>
  <c r="B348" i="3"/>
  <c r="C348" i="3"/>
  <c r="D348" i="3"/>
  <c r="E348" i="3"/>
  <c r="F348" i="3"/>
  <c r="G348" i="3"/>
  <c r="H348" i="3"/>
  <c r="I348" i="3"/>
  <c r="J348" i="3"/>
  <c r="K348" i="3"/>
  <c r="L348" i="3"/>
  <c r="M348" i="3"/>
  <c r="N348" i="3"/>
  <c r="O348" i="3"/>
  <c r="P348" i="3"/>
  <c r="Q348" i="3"/>
  <c r="R348" i="3"/>
  <c r="S348" i="3"/>
  <c r="T348" i="3"/>
  <c r="B349" i="3"/>
  <c r="C349" i="3"/>
  <c r="D349" i="3"/>
  <c r="E349" i="3"/>
  <c r="F349" i="3"/>
  <c r="G349" i="3"/>
  <c r="H349" i="3"/>
  <c r="I349" i="3"/>
  <c r="J349" i="3"/>
  <c r="K349" i="3"/>
  <c r="L349" i="3"/>
  <c r="M349" i="3"/>
  <c r="N349" i="3"/>
  <c r="O349" i="3"/>
  <c r="P349" i="3"/>
  <c r="Q349" i="3"/>
  <c r="R349" i="3"/>
  <c r="S349" i="3"/>
  <c r="T349" i="3"/>
  <c r="B350" i="3"/>
  <c r="C350" i="3"/>
  <c r="D350" i="3"/>
  <c r="E350" i="3"/>
  <c r="F350" i="3"/>
  <c r="G350" i="3"/>
  <c r="H350" i="3"/>
  <c r="I350" i="3"/>
  <c r="J350" i="3"/>
  <c r="K350" i="3"/>
  <c r="L350" i="3"/>
  <c r="M350" i="3"/>
  <c r="N350" i="3"/>
  <c r="O350" i="3"/>
  <c r="P350" i="3"/>
  <c r="Q350" i="3"/>
  <c r="R350" i="3"/>
  <c r="S350" i="3"/>
  <c r="T350" i="3"/>
  <c r="U350" i="3"/>
  <c r="B351" i="3"/>
  <c r="C351" i="3"/>
  <c r="D351" i="3"/>
  <c r="E351" i="3"/>
  <c r="F351" i="3"/>
  <c r="G351" i="3"/>
  <c r="H351" i="3"/>
  <c r="I351" i="3"/>
  <c r="J351" i="3"/>
  <c r="K351" i="3"/>
  <c r="L351" i="3"/>
  <c r="M351" i="3"/>
  <c r="N351" i="3"/>
  <c r="O351" i="3"/>
  <c r="P351" i="3"/>
  <c r="Q351" i="3"/>
  <c r="R351" i="3"/>
  <c r="S351" i="3"/>
  <c r="T351" i="3"/>
  <c r="U351" i="3"/>
  <c r="B352" i="3"/>
  <c r="C352" i="3"/>
  <c r="D352" i="3"/>
  <c r="E352" i="3"/>
  <c r="F352" i="3"/>
  <c r="G352" i="3"/>
  <c r="H352" i="3"/>
  <c r="I352" i="3"/>
  <c r="J352" i="3"/>
  <c r="K352" i="3"/>
  <c r="L352" i="3"/>
  <c r="M352" i="3"/>
  <c r="N352" i="3"/>
  <c r="O352" i="3"/>
  <c r="P352" i="3"/>
  <c r="Q352" i="3"/>
  <c r="R352" i="3"/>
  <c r="S352" i="3"/>
  <c r="T352" i="3"/>
  <c r="U352" i="3"/>
  <c r="B353" i="3"/>
  <c r="C353" i="3"/>
  <c r="D353" i="3"/>
  <c r="E353" i="3"/>
  <c r="F353" i="3"/>
  <c r="G353" i="3"/>
  <c r="H353" i="3"/>
  <c r="I353" i="3"/>
  <c r="J353" i="3"/>
  <c r="K353" i="3"/>
  <c r="L353" i="3"/>
  <c r="M353" i="3"/>
  <c r="N353" i="3"/>
  <c r="O353" i="3"/>
  <c r="P353" i="3"/>
  <c r="Q353" i="3"/>
  <c r="R353" i="3"/>
  <c r="S353" i="3"/>
  <c r="T353" i="3"/>
  <c r="B354" i="3"/>
  <c r="C354" i="3"/>
  <c r="D354" i="3"/>
  <c r="E354" i="3"/>
  <c r="F354" i="3"/>
  <c r="G354" i="3"/>
  <c r="H354" i="3"/>
  <c r="I354" i="3"/>
  <c r="J354" i="3"/>
  <c r="K354" i="3"/>
  <c r="L354" i="3"/>
  <c r="M354" i="3"/>
  <c r="N354" i="3"/>
  <c r="O354" i="3"/>
  <c r="P354" i="3"/>
  <c r="Q354" i="3"/>
  <c r="R354" i="3"/>
  <c r="S354" i="3"/>
  <c r="T354" i="3"/>
  <c r="U354" i="3"/>
  <c r="B355" i="3"/>
  <c r="C355" i="3"/>
  <c r="D355" i="3"/>
  <c r="E355" i="3"/>
  <c r="F355" i="3"/>
  <c r="G355" i="3"/>
  <c r="H355" i="3"/>
  <c r="I355" i="3"/>
  <c r="J355" i="3"/>
  <c r="K355" i="3"/>
  <c r="L355" i="3"/>
  <c r="M355" i="3"/>
  <c r="N355" i="3"/>
  <c r="O355" i="3"/>
  <c r="P355" i="3"/>
  <c r="Q355" i="3"/>
  <c r="R355" i="3"/>
  <c r="S355" i="3"/>
  <c r="T355" i="3"/>
  <c r="U355" i="3"/>
  <c r="B356" i="3"/>
  <c r="C356" i="3"/>
  <c r="D356" i="3"/>
  <c r="E356" i="3"/>
  <c r="F356" i="3"/>
  <c r="G356" i="3"/>
  <c r="H356" i="3"/>
  <c r="I356" i="3"/>
  <c r="J356" i="3"/>
  <c r="K356" i="3"/>
  <c r="L356" i="3"/>
  <c r="M356" i="3"/>
  <c r="N356" i="3"/>
  <c r="O356" i="3"/>
  <c r="P356" i="3"/>
  <c r="Q356" i="3"/>
  <c r="R356" i="3"/>
  <c r="S356" i="3"/>
  <c r="T356" i="3"/>
  <c r="U356" i="3"/>
  <c r="B357" i="3"/>
  <c r="C357" i="3"/>
  <c r="D357" i="3"/>
  <c r="E357" i="3"/>
  <c r="F357" i="3"/>
  <c r="G357" i="3"/>
  <c r="H357" i="3"/>
  <c r="I357" i="3"/>
  <c r="J357" i="3"/>
  <c r="K357" i="3"/>
  <c r="L357" i="3"/>
  <c r="M357" i="3"/>
  <c r="N357" i="3"/>
  <c r="O357" i="3"/>
  <c r="P357" i="3"/>
  <c r="Q357" i="3"/>
  <c r="R357" i="3"/>
  <c r="S357" i="3"/>
  <c r="T357" i="3"/>
  <c r="U357" i="3"/>
  <c r="B358" i="3"/>
  <c r="C358" i="3"/>
  <c r="D358" i="3"/>
  <c r="E358" i="3"/>
  <c r="F358" i="3"/>
  <c r="G358" i="3"/>
  <c r="H358" i="3"/>
  <c r="I358" i="3"/>
  <c r="J358" i="3"/>
  <c r="K358" i="3"/>
  <c r="L358" i="3"/>
  <c r="M358" i="3"/>
  <c r="N358" i="3"/>
  <c r="O358" i="3"/>
  <c r="P358" i="3"/>
  <c r="Q358" i="3"/>
  <c r="R358" i="3"/>
  <c r="S358" i="3"/>
  <c r="T358" i="3"/>
  <c r="U358" i="3"/>
  <c r="B359" i="3"/>
  <c r="C359" i="3"/>
  <c r="D359" i="3"/>
  <c r="E359" i="3"/>
  <c r="F359" i="3"/>
  <c r="G359" i="3"/>
  <c r="H359" i="3"/>
  <c r="I359" i="3"/>
  <c r="J359" i="3"/>
  <c r="K359" i="3"/>
  <c r="L359" i="3"/>
  <c r="M359" i="3"/>
  <c r="N359" i="3"/>
  <c r="O359" i="3"/>
  <c r="P359" i="3"/>
  <c r="Q359" i="3"/>
  <c r="R359" i="3"/>
  <c r="S359" i="3"/>
  <c r="T359" i="3"/>
  <c r="U359" i="3"/>
  <c r="B360" i="3"/>
  <c r="C360" i="3"/>
  <c r="D360" i="3"/>
  <c r="E360" i="3"/>
  <c r="F360" i="3"/>
  <c r="G360" i="3"/>
  <c r="H360" i="3"/>
  <c r="I360" i="3"/>
  <c r="J360" i="3"/>
  <c r="K360" i="3"/>
  <c r="L360" i="3"/>
  <c r="M360" i="3"/>
  <c r="N360" i="3"/>
  <c r="O360" i="3"/>
  <c r="P360" i="3"/>
  <c r="Q360" i="3"/>
  <c r="R360" i="3"/>
  <c r="S360" i="3"/>
  <c r="T360" i="3"/>
  <c r="U360" i="3"/>
  <c r="B361" i="3"/>
  <c r="C361" i="3"/>
  <c r="D361" i="3"/>
  <c r="E361" i="3"/>
  <c r="F361" i="3"/>
  <c r="G361" i="3"/>
  <c r="H361" i="3"/>
  <c r="I361" i="3"/>
  <c r="J361" i="3"/>
  <c r="K361" i="3"/>
  <c r="L361" i="3"/>
  <c r="M361" i="3"/>
  <c r="N361" i="3"/>
  <c r="O361" i="3"/>
  <c r="P361" i="3"/>
  <c r="Q361" i="3"/>
  <c r="R361" i="3"/>
  <c r="S361" i="3"/>
  <c r="T361" i="3"/>
  <c r="U361" i="3"/>
  <c r="B362" i="3"/>
  <c r="C362" i="3"/>
  <c r="D362" i="3"/>
  <c r="E362" i="3"/>
  <c r="F362" i="3"/>
  <c r="G362" i="3"/>
  <c r="H362" i="3"/>
  <c r="I362" i="3"/>
  <c r="J362" i="3"/>
  <c r="K362" i="3"/>
  <c r="L362" i="3"/>
  <c r="M362" i="3"/>
  <c r="N362" i="3"/>
  <c r="O362" i="3"/>
  <c r="P362" i="3"/>
  <c r="Q362" i="3"/>
  <c r="R362" i="3"/>
  <c r="S362" i="3"/>
  <c r="T362" i="3"/>
  <c r="U362" i="3"/>
  <c r="B363" i="3"/>
  <c r="C363" i="3"/>
  <c r="D363" i="3"/>
  <c r="E363" i="3"/>
  <c r="F363" i="3"/>
  <c r="G363" i="3"/>
  <c r="H363" i="3"/>
  <c r="I363" i="3"/>
  <c r="J363" i="3"/>
  <c r="K363" i="3"/>
  <c r="L363" i="3"/>
  <c r="M363" i="3"/>
  <c r="N363" i="3"/>
  <c r="O363" i="3"/>
  <c r="P363" i="3"/>
  <c r="Q363" i="3"/>
  <c r="R363" i="3"/>
  <c r="S363" i="3"/>
  <c r="T363" i="3"/>
  <c r="U363" i="3"/>
  <c r="B364" i="3"/>
  <c r="C364" i="3"/>
  <c r="D364" i="3"/>
  <c r="E364" i="3"/>
  <c r="F364" i="3"/>
  <c r="G364" i="3"/>
  <c r="H364" i="3"/>
  <c r="I364" i="3"/>
  <c r="J364" i="3"/>
  <c r="K364" i="3"/>
  <c r="L364" i="3"/>
  <c r="M364" i="3"/>
  <c r="N364" i="3"/>
  <c r="O364" i="3"/>
  <c r="P364" i="3"/>
  <c r="Q364" i="3"/>
  <c r="R364" i="3"/>
  <c r="S364" i="3"/>
  <c r="T364" i="3"/>
  <c r="U364" i="3"/>
  <c r="B365" i="3"/>
  <c r="C365" i="3"/>
  <c r="D365" i="3"/>
  <c r="E365" i="3"/>
  <c r="F365" i="3"/>
  <c r="G365" i="3"/>
  <c r="H365" i="3"/>
  <c r="I365" i="3"/>
  <c r="J365" i="3"/>
  <c r="K365" i="3"/>
  <c r="L365" i="3"/>
  <c r="M365" i="3"/>
  <c r="N365" i="3"/>
  <c r="O365" i="3"/>
  <c r="P365" i="3"/>
  <c r="Q365" i="3"/>
  <c r="S365" i="3"/>
  <c r="T365" i="3"/>
  <c r="B366" i="3"/>
  <c r="C366" i="3"/>
  <c r="D366" i="3"/>
  <c r="E366" i="3"/>
  <c r="F366" i="3"/>
  <c r="G366" i="3"/>
  <c r="H366" i="3"/>
  <c r="I366" i="3"/>
  <c r="J366" i="3"/>
  <c r="K366" i="3"/>
  <c r="L366" i="3"/>
  <c r="M366" i="3"/>
  <c r="N366" i="3"/>
  <c r="O366" i="3"/>
  <c r="P366" i="3"/>
  <c r="Q366" i="3"/>
  <c r="R366" i="3"/>
  <c r="S366" i="3"/>
  <c r="T366" i="3"/>
  <c r="U366" i="3"/>
  <c r="B367" i="3"/>
  <c r="C367" i="3"/>
  <c r="D367" i="3"/>
  <c r="E367" i="3"/>
  <c r="F367" i="3"/>
  <c r="G367" i="3"/>
  <c r="H367" i="3"/>
  <c r="I367" i="3"/>
  <c r="J367" i="3"/>
  <c r="K367" i="3"/>
  <c r="L367" i="3"/>
  <c r="M367" i="3"/>
  <c r="N367" i="3"/>
  <c r="O367" i="3"/>
  <c r="P367" i="3"/>
  <c r="Q367" i="3"/>
  <c r="R367" i="3"/>
  <c r="S367" i="3"/>
  <c r="T367" i="3"/>
  <c r="B368" i="3"/>
  <c r="C368" i="3"/>
  <c r="D368" i="3"/>
  <c r="E368" i="3"/>
  <c r="F368" i="3"/>
  <c r="G368" i="3"/>
  <c r="H368" i="3"/>
  <c r="I368" i="3"/>
  <c r="J368" i="3"/>
  <c r="K368" i="3"/>
  <c r="L368" i="3"/>
  <c r="M368" i="3"/>
  <c r="N368" i="3"/>
  <c r="O368" i="3"/>
  <c r="P368" i="3"/>
  <c r="Q368" i="3"/>
  <c r="R368" i="3"/>
  <c r="S368" i="3"/>
  <c r="T368" i="3"/>
  <c r="U368" i="3"/>
  <c r="B369" i="3"/>
  <c r="C369" i="3"/>
  <c r="D369" i="3"/>
  <c r="E369" i="3"/>
  <c r="F369" i="3"/>
  <c r="G369" i="3"/>
  <c r="H369" i="3"/>
  <c r="I369" i="3"/>
  <c r="J369" i="3"/>
  <c r="K369" i="3"/>
  <c r="L369" i="3"/>
  <c r="M369" i="3"/>
  <c r="N369" i="3"/>
  <c r="O369" i="3"/>
  <c r="P369" i="3"/>
  <c r="Q369" i="3"/>
  <c r="R369" i="3"/>
  <c r="S369" i="3"/>
  <c r="T369" i="3"/>
  <c r="U369" i="3"/>
  <c r="B370" i="3"/>
  <c r="C370" i="3"/>
  <c r="D370" i="3"/>
  <c r="E370" i="3"/>
  <c r="F370" i="3"/>
  <c r="G370" i="3"/>
  <c r="H370" i="3"/>
  <c r="I370" i="3"/>
  <c r="J370" i="3"/>
  <c r="K370" i="3"/>
  <c r="L370" i="3"/>
  <c r="M370" i="3"/>
  <c r="N370" i="3"/>
  <c r="O370" i="3"/>
  <c r="P370" i="3"/>
  <c r="Q370" i="3"/>
  <c r="R370" i="3"/>
  <c r="S370" i="3"/>
  <c r="T370" i="3"/>
  <c r="B371" i="3"/>
  <c r="C371" i="3"/>
  <c r="D371" i="3"/>
  <c r="E371" i="3"/>
  <c r="F371" i="3"/>
  <c r="G371" i="3"/>
  <c r="H371" i="3"/>
  <c r="I371" i="3"/>
  <c r="J371" i="3"/>
  <c r="K371" i="3"/>
  <c r="L371" i="3"/>
  <c r="M371" i="3"/>
  <c r="N371" i="3"/>
  <c r="O371" i="3"/>
  <c r="P371" i="3"/>
  <c r="Q371" i="3"/>
  <c r="R371" i="3"/>
  <c r="S371" i="3"/>
  <c r="T371" i="3"/>
  <c r="U371" i="3"/>
  <c r="B372" i="3"/>
  <c r="C372" i="3"/>
  <c r="D372" i="3"/>
  <c r="E372" i="3"/>
  <c r="F372" i="3"/>
  <c r="G372" i="3"/>
  <c r="H372" i="3"/>
  <c r="I372" i="3"/>
  <c r="J372" i="3"/>
  <c r="K372" i="3"/>
  <c r="L372" i="3"/>
  <c r="M372" i="3"/>
  <c r="N372" i="3"/>
  <c r="O372" i="3"/>
  <c r="P372" i="3"/>
  <c r="Q372" i="3"/>
  <c r="R372" i="3"/>
  <c r="S372" i="3"/>
  <c r="T372" i="3"/>
  <c r="B373" i="3"/>
  <c r="C373" i="3"/>
  <c r="D373" i="3"/>
  <c r="E373" i="3"/>
  <c r="F373" i="3"/>
  <c r="G373" i="3"/>
  <c r="H373" i="3"/>
  <c r="I373" i="3"/>
  <c r="J373" i="3"/>
  <c r="K373" i="3"/>
  <c r="L373" i="3"/>
  <c r="M373" i="3"/>
  <c r="N373" i="3"/>
  <c r="O373" i="3"/>
  <c r="P373" i="3"/>
  <c r="Q373" i="3"/>
  <c r="R373" i="3"/>
  <c r="S373" i="3"/>
  <c r="T373" i="3"/>
  <c r="U373" i="3"/>
  <c r="B374" i="3"/>
  <c r="C374" i="3"/>
  <c r="D374" i="3"/>
  <c r="E374" i="3"/>
  <c r="F374" i="3"/>
  <c r="G374" i="3"/>
  <c r="H374" i="3"/>
  <c r="I374" i="3"/>
  <c r="J374" i="3"/>
  <c r="K374" i="3"/>
  <c r="L374" i="3"/>
  <c r="M374" i="3"/>
  <c r="N374" i="3"/>
  <c r="O374" i="3"/>
  <c r="P374" i="3"/>
  <c r="Q374" i="3"/>
  <c r="R374" i="3"/>
  <c r="S374" i="3"/>
  <c r="T374" i="3"/>
  <c r="U374" i="3"/>
  <c r="B375" i="3"/>
  <c r="C375" i="3"/>
  <c r="D375" i="3"/>
  <c r="E375" i="3"/>
  <c r="F375" i="3"/>
  <c r="G375" i="3"/>
  <c r="H375" i="3"/>
  <c r="I375" i="3"/>
  <c r="J375" i="3"/>
  <c r="K375" i="3"/>
  <c r="L375" i="3"/>
  <c r="M375" i="3"/>
  <c r="N375" i="3"/>
  <c r="O375" i="3"/>
  <c r="P375" i="3"/>
  <c r="Q375" i="3"/>
  <c r="R375" i="3"/>
  <c r="S375" i="3"/>
  <c r="T375" i="3"/>
  <c r="U375" i="3"/>
  <c r="B376" i="3"/>
  <c r="C376" i="3"/>
  <c r="D376" i="3"/>
  <c r="E376" i="3"/>
  <c r="F376" i="3"/>
  <c r="G376" i="3"/>
  <c r="H376" i="3"/>
  <c r="I376" i="3"/>
  <c r="J376" i="3"/>
  <c r="K376" i="3"/>
  <c r="L376" i="3"/>
  <c r="M376" i="3"/>
  <c r="N376" i="3"/>
  <c r="O376" i="3"/>
  <c r="P376" i="3"/>
  <c r="Q376" i="3"/>
  <c r="R376" i="3"/>
  <c r="S376" i="3"/>
  <c r="T376" i="3"/>
  <c r="U376" i="3"/>
  <c r="B377" i="3"/>
  <c r="C377" i="3"/>
  <c r="D377" i="3"/>
  <c r="E377" i="3"/>
  <c r="F377" i="3"/>
  <c r="G377" i="3"/>
  <c r="H377" i="3"/>
  <c r="I377" i="3"/>
  <c r="J377" i="3"/>
  <c r="K377" i="3"/>
  <c r="L377" i="3"/>
  <c r="M377" i="3"/>
  <c r="N377" i="3"/>
  <c r="O377" i="3"/>
  <c r="P377" i="3"/>
  <c r="Q377" i="3"/>
  <c r="R377" i="3"/>
  <c r="S377" i="3"/>
  <c r="T377" i="3"/>
  <c r="B378" i="3"/>
  <c r="C378" i="3"/>
  <c r="D378" i="3"/>
  <c r="E378" i="3"/>
  <c r="F378" i="3"/>
  <c r="G378" i="3"/>
  <c r="H378" i="3"/>
  <c r="I378" i="3"/>
  <c r="J378" i="3"/>
  <c r="K378" i="3"/>
  <c r="L378" i="3"/>
  <c r="M378" i="3"/>
  <c r="N378" i="3"/>
  <c r="O378" i="3"/>
  <c r="P378" i="3"/>
  <c r="Q378" i="3"/>
  <c r="R378" i="3"/>
  <c r="S378" i="3"/>
  <c r="T378" i="3"/>
  <c r="U378" i="3"/>
  <c r="B379" i="3"/>
  <c r="C379" i="3"/>
  <c r="D379" i="3"/>
  <c r="E379" i="3"/>
  <c r="F379" i="3"/>
  <c r="G379" i="3"/>
  <c r="H379" i="3"/>
  <c r="I379" i="3"/>
  <c r="J379" i="3"/>
  <c r="K379" i="3"/>
  <c r="L379" i="3"/>
  <c r="M379" i="3"/>
  <c r="N379" i="3"/>
  <c r="O379" i="3"/>
  <c r="P379" i="3"/>
  <c r="Q379" i="3"/>
  <c r="R379" i="3"/>
  <c r="S379" i="3"/>
  <c r="T379" i="3"/>
  <c r="U379" i="3"/>
  <c r="B380" i="3"/>
  <c r="C380" i="3"/>
  <c r="D380" i="3"/>
  <c r="E380" i="3"/>
  <c r="F380" i="3"/>
  <c r="G380" i="3"/>
  <c r="H380" i="3"/>
  <c r="I380" i="3"/>
  <c r="J380" i="3"/>
  <c r="K380" i="3"/>
  <c r="L380" i="3"/>
  <c r="M380" i="3"/>
  <c r="N380" i="3"/>
  <c r="O380" i="3"/>
  <c r="P380" i="3"/>
  <c r="Q380" i="3"/>
  <c r="R380" i="3"/>
  <c r="S380" i="3"/>
  <c r="T380" i="3"/>
  <c r="U380" i="3"/>
  <c r="B381" i="3"/>
  <c r="C381" i="3"/>
  <c r="D381" i="3"/>
  <c r="E381" i="3"/>
  <c r="F381" i="3"/>
  <c r="G381" i="3"/>
  <c r="H381" i="3"/>
  <c r="I381" i="3"/>
  <c r="J381" i="3"/>
  <c r="K381" i="3"/>
  <c r="L381" i="3"/>
  <c r="M381" i="3"/>
  <c r="N381" i="3"/>
  <c r="O381" i="3"/>
  <c r="P381" i="3"/>
  <c r="Q381" i="3"/>
  <c r="R381" i="3"/>
  <c r="S381" i="3"/>
  <c r="T381" i="3"/>
  <c r="U381" i="3"/>
  <c r="B382" i="3"/>
  <c r="C382" i="3"/>
  <c r="D382" i="3"/>
  <c r="E382" i="3"/>
  <c r="F382" i="3"/>
  <c r="G382" i="3"/>
  <c r="H382" i="3"/>
  <c r="I382" i="3"/>
  <c r="J382" i="3"/>
  <c r="K382" i="3"/>
  <c r="L382" i="3"/>
  <c r="M382" i="3"/>
  <c r="N382" i="3"/>
  <c r="O382" i="3"/>
  <c r="P382" i="3"/>
  <c r="Q382" i="3"/>
  <c r="R382" i="3"/>
  <c r="S382" i="3"/>
  <c r="T382" i="3"/>
  <c r="U382" i="3"/>
  <c r="B383" i="3"/>
  <c r="C383" i="3"/>
  <c r="D383" i="3"/>
  <c r="E383" i="3"/>
  <c r="F383" i="3"/>
  <c r="G383" i="3"/>
  <c r="H383" i="3"/>
  <c r="I383" i="3"/>
  <c r="J383" i="3"/>
  <c r="K383" i="3"/>
  <c r="L383" i="3"/>
  <c r="M383" i="3"/>
  <c r="N383" i="3"/>
  <c r="O383" i="3"/>
  <c r="P383" i="3"/>
  <c r="Q383" i="3"/>
  <c r="R383" i="3"/>
  <c r="S383" i="3"/>
  <c r="T383" i="3"/>
  <c r="U383" i="3"/>
  <c r="B384" i="3"/>
  <c r="C384" i="3"/>
  <c r="D384" i="3"/>
  <c r="E384" i="3"/>
  <c r="F384" i="3"/>
  <c r="G384" i="3"/>
  <c r="H384" i="3"/>
  <c r="I384" i="3"/>
  <c r="J384" i="3"/>
  <c r="K384" i="3"/>
  <c r="L384" i="3"/>
  <c r="M384" i="3"/>
  <c r="N384" i="3"/>
  <c r="O384" i="3"/>
  <c r="P384" i="3"/>
  <c r="Q384" i="3"/>
  <c r="R384" i="3"/>
  <c r="S384" i="3"/>
  <c r="T384" i="3"/>
  <c r="B385" i="3"/>
  <c r="C385" i="3"/>
  <c r="D385" i="3"/>
  <c r="E385" i="3"/>
  <c r="F385" i="3"/>
  <c r="G385" i="3"/>
  <c r="H385" i="3"/>
  <c r="I385" i="3"/>
  <c r="J385" i="3"/>
  <c r="K385" i="3"/>
  <c r="L385" i="3"/>
  <c r="M385" i="3"/>
  <c r="N385" i="3"/>
  <c r="O385" i="3"/>
  <c r="P385" i="3"/>
  <c r="Q385" i="3"/>
  <c r="R385" i="3"/>
  <c r="S385" i="3"/>
  <c r="T385" i="3"/>
  <c r="U385" i="3"/>
  <c r="B386" i="3"/>
  <c r="C386" i="3"/>
  <c r="D386" i="3"/>
  <c r="E386" i="3"/>
  <c r="F386" i="3"/>
  <c r="G386" i="3"/>
  <c r="H386" i="3"/>
  <c r="I386" i="3"/>
  <c r="J386" i="3"/>
  <c r="K386" i="3"/>
  <c r="L386" i="3"/>
  <c r="M386" i="3"/>
  <c r="N386" i="3"/>
  <c r="O386" i="3"/>
  <c r="P386" i="3"/>
  <c r="Q386" i="3"/>
  <c r="R386" i="3"/>
  <c r="S386" i="3"/>
  <c r="T386" i="3"/>
  <c r="U386" i="3"/>
  <c r="B387" i="3"/>
  <c r="C387" i="3"/>
  <c r="D387" i="3"/>
  <c r="E387" i="3"/>
  <c r="F387" i="3"/>
  <c r="G387" i="3"/>
  <c r="H387" i="3"/>
  <c r="I387" i="3"/>
  <c r="J387" i="3"/>
  <c r="K387" i="3"/>
  <c r="L387" i="3"/>
  <c r="M387" i="3"/>
  <c r="N387" i="3"/>
  <c r="O387" i="3"/>
  <c r="P387" i="3"/>
  <c r="Q387" i="3"/>
  <c r="R387" i="3"/>
  <c r="S387" i="3"/>
  <c r="T387" i="3"/>
  <c r="B388" i="3"/>
  <c r="C388" i="3"/>
  <c r="D388" i="3"/>
  <c r="E388" i="3"/>
  <c r="F388" i="3"/>
  <c r="G388" i="3"/>
  <c r="H388" i="3"/>
  <c r="I388" i="3"/>
  <c r="J388" i="3"/>
  <c r="K388" i="3"/>
  <c r="L388" i="3"/>
  <c r="M388" i="3"/>
  <c r="N388" i="3"/>
  <c r="O388" i="3"/>
  <c r="P388" i="3"/>
  <c r="Q388" i="3"/>
  <c r="R388" i="3"/>
  <c r="S388" i="3"/>
  <c r="T388" i="3"/>
  <c r="U388" i="3"/>
  <c r="B389" i="3"/>
  <c r="C389" i="3"/>
  <c r="D389" i="3"/>
  <c r="E389" i="3"/>
  <c r="F389" i="3"/>
  <c r="G389" i="3"/>
  <c r="H389" i="3"/>
  <c r="I389" i="3"/>
  <c r="J389" i="3"/>
  <c r="K389" i="3"/>
  <c r="L389" i="3"/>
  <c r="M389" i="3"/>
  <c r="N389" i="3"/>
  <c r="O389" i="3"/>
  <c r="P389" i="3"/>
  <c r="Q389" i="3"/>
  <c r="R389" i="3"/>
  <c r="S389" i="3"/>
  <c r="T389" i="3"/>
  <c r="U389" i="3"/>
  <c r="B390" i="3"/>
  <c r="C390" i="3"/>
  <c r="D390" i="3"/>
  <c r="E390" i="3"/>
  <c r="F390" i="3"/>
  <c r="G390" i="3"/>
  <c r="H390" i="3"/>
  <c r="I390" i="3"/>
  <c r="J390" i="3"/>
  <c r="K390" i="3"/>
  <c r="L390" i="3"/>
  <c r="M390" i="3"/>
  <c r="N390" i="3"/>
  <c r="O390" i="3"/>
  <c r="P390" i="3"/>
  <c r="Q390" i="3"/>
  <c r="R390" i="3"/>
  <c r="S390" i="3"/>
  <c r="T390" i="3"/>
  <c r="U390" i="3"/>
  <c r="B391" i="3"/>
  <c r="C391" i="3"/>
  <c r="D391" i="3"/>
  <c r="E391" i="3"/>
  <c r="F391" i="3"/>
  <c r="G391" i="3"/>
  <c r="H391" i="3"/>
  <c r="I391" i="3"/>
  <c r="J391" i="3"/>
  <c r="K391" i="3"/>
  <c r="L391" i="3"/>
  <c r="M391" i="3"/>
  <c r="N391" i="3"/>
  <c r="O391" i="3"/>
  <c r="P391" i="3"/>
  <c r="Q391" i="3"/>
  <c r="R391" i="3"/>
  <c r="S391" i="3"/>
  <c r="T391" i="3"/>
  <c r="B392" i="3"/>
  <c r="C392" i="3"/>
  <c r="D392" i="3"/>
  <c r="E392" i="3"/>
  <c r="F392" i="3"/>
  <c r="G392" i="3"/>
  <c r="H392" i="3"/>
  <c r="I392" i="3"/>
  <c r="J392" i="3"/>
  <c r="K392" i="3"/>
  <c r="L392" i="3"/>
  <c r="M392" i="3"/>
  <c r="N392" i="3"/>
  <c r="O392" i="3"/>
  <c r="P392" i="3"/>
  <c r="Q392" i="3"/>
  <c r="R392" i="3"/>
  <c r="S392" i="3"/>
  <c r="T392" i="3"/>
  <c r="U392" i="3"/>
  <c r="B393" i="3"/>
  <c r="C393" i="3"/>
  <c r="D393" i="3"/>
  <c r="E393" i="3"/>
  <c r="F393" i="3"/>
  <c r="G393" i="3"/>
  <c r="H393" i="3"/>
  <c r="I393" i="3"/>
  <c r="J393" i="3"/>
  <c r="K393" i="3"/>
  <c r="L393" i="3"/>
  <c r="M393" i="3"/>
  <c r="N393" i="3"/>
  <c r="O393" i="3"/>
  <c r="P393" i="3"/>
  <c r="Q393" i="3"/>
  <c r="R393" i="3"/>
  <c r="S393" i="3"/>
  <c r="T393" i="3"/>
  <c r="U393" i="3"/>
  <c r="B394" i="3"/>
  <c r="C394" i="3"/>
  <c r="D394" i="3"/>
  <c r="E394" i="3"/>
  <c r="F394" i="3"/>
  <c r="G394" i="3"/>
  <c r="H394" i="3"/>
  <c r="I394" i="3"/>
  <c r="J394" i="3"/>
  <c r="K394" i="3"/>
  <c r="L394" i="3"/>
  <c r="M394" i="3"/>
  <c r="N394" i="3"/>
  <c r="O394" i="3"/>
  <c r="P394" i="3"/>
  <c r="Q394" i="3"/>
  <c r="R394" i="3"/>
  <c r="S394" i="3"/>
  <c r="T394" i="3"/>
  <c r="U394" i="3"/>
  <c r="B395" i="3"/>
  <c r="C395" i="3"/>
  <c r="D395" i="3"/>
  <c r="E395" i="3"/>
  <c r="F395" i="3"/>
  <c r="G395" i="3"/>
  <c r="H395" i="3"/>
  <c r="I395" i="3"/>
  <c r="J395" i="3"/>
  <c r="K395" i="3"/>
  <c r="L395" i="3"/>
  <c r="M395" i="3"/>
  <c r="N395" i="3"/>
  <c r="O395" i="3"/>
  <c r="P395" i="3"/>
  <c r="Q395" i="3"/>
  <c r="R395" i="3"/>
  <c r="S395" i="3"/>
  <c r="T395" i="3"/>
  <c r="U395" i="3"/>
  <c r="B396" i="3"/>
  <c r="C396" i="3"/>
  <c r="D396" i="3"/>
  <c r="E396" i="3"/>
  <c r="F396" i="3"/>
  <c r="G396" i="3"/>
  <c r="H396" i="3"/>
  <c r="I396" i="3"/>
  <c r="J396" i="3"/>
  <c r="K396" i="3"/>
  <c r="L396" i="3"/>
  <c r="M396" i="3"/>
  <c r="N396" i="3"/>
  <c r="O396" i="3"/>
  <c r="P396" i="3"/>
  <c r="Q396" i="3"/>
  <c r="R396" i="3"/>
  <c r="S396" i="3"/>
  <c r="T396" i="3"/>
  <c r="U396" i="3"/>
  <c r="B397" i="3"/>
  <c r="C397" i="3"/>
  <c r="D397" i="3"/>
  <c r="E397" i="3"/>
  <c r="F397" i="3"/>
  <c r="G397" i="3"/>
  <c r="H397" i="3"/>
  <c r="I397" i="3"/>
  <c r="J397" i="3"/>
  <c r="K397" i="3"/>
  <c r="L397" i="3"/>
  <c r="M397" i="3"/>
  <c r="N397" i="3"/>
  <c r="O397" i="3"/>
  <c r="P397" i="3"/>
  <c r="Q397" i="3"/>
  <c r="R397" i="3"/>
  <c r="S397" i="3"/>
  <c r="T397" i="3"/>
  <c r="B398" i="3"/>
  <c r="C398" i="3"/>
  <c r="D398" i="3"/>
  <c r="E398" i="3"/>
  <c r="F398" i="3"/>
  <c r="G398" i="3"/>
  <c r="H398" i="3"/>
  <c r="I398" i="3"/>
  <c r="J398" i="3"/>
  <c r="K398" i="3"/>
  <c r="L398" i="3"/>
  <c r="M398" i="3"/>
  <c r="N398" i="3"/>
  <c r="O398" i="3"/>
  <c r="P398" i="3"/>
  <c r="Q398" i="3"/>
  <c r="R398" i="3"/>
  <c r="S398" i="3"/>
  <c r="T398" i="3"/>
  <c r="B399" i="3"/>
  <c r="C399" i="3"/>
  <c r="D399" i="3"/>
  <c r="E399" i="3"/>
  <c r="F399" i="3"/>
  <c r="G399" i="3"/>
  <c r="H399" i="3"/>
  <c r="I399" i="3"/>
  <c r="J399" i="3"/>
  <c r="K399" i="3"/>
  <c r="L399" i="3"/>
  <c r="M399" i="3"/>
  <c r="N399" i="3"/>
  <c r="O399" i="3"/>
  <c r="P399" i="3"/>
  <c r="Q399" i="3"/>
  <c r="R399" i="3"/>
  <c r="S399" i="3"/>
  <c r="T399" i="3"/>
  <c r="B400" i="3"/>
  <c r="C400" i="3"/>
  <c r="D400" i="3"/>
  <c r="E400" i="3"/>
  <c r="F400" i="3"/>
  <c r="G400" i="3"/>
  <c r="H400" i="3"/>
  <c r="I400" i="3"/>
  <c r="J400" i="3"/>
  <c r="K400" i="3"/>
  <c r="L400" i="3"/>
  <c r="M400" i="3"/>
  <c r="N400" i="3"/>
  <c r="O400" i="3"/>
  <c r="P400" i="3"/>
  <c r="Q400" i="3"/>
  <c r="R400" i="3"/>
  <c r="S400" i="3"/>
  <c r="T400" i="3"/>
  <c r="U400" i="3"/>
  <c r="B401" i="3"/>
  <c r="C401" i="3"/>
  <c r="D401" i="3"/>
  <c r="E401" i="3"/>
  <c r="F401" i="3"/>
  <c r="G401" i="3"/>
  <c r="H401" i="3"/>
  <c r="I401" i="3"/>
  <c r="J401" i="3"/>
  <c r="K401" i="3"/>
  <c r="L401" i="3"/>
  <c r="M401" i="3"/>
  <c r="N401" i="3"/>
  <c r="O401" i="3"/>
  <c r="P401" i="3"/>
  <c r="Q401" i="3"/>
  <c r="R401" i="3"/>
  <c r="S401" i="3"/>
  <c r="T401" i="3"/>
  <c r="B402" i="3"/>
  <c r="C402" i="3"/>
  <c r="D402" i="3"/>
  <c r="E402" i="3"/>
  <c r="F402" i="3"/>
  <c r="G402" i="3"/>
  <c r="H402" i="3"/>
  <c r="I402" i="3"/>
  <c r="J402" i="3"/>
  <c r="K402" i="3"/>
  <c r="L402" i="3"/>
  <c r="M402" i="3"/>
  <c r="N402" i="3"/>
  <c r="O402" i="3"/>
  <c r="P402" i="3"/>
  <c r="Q402" i="3"/>
  <c r="R402" i="3"/>
  <c r="S402" i="3"/>
  <c r="T402" i="3"/>
  <c r="U402" i="3"/>
  <c r="B403" i="3"/>
  <c r="C403" i="3"/>
  <c r="D403" i="3"/>
  <c r="E403" i="3"/>
  <c r="F403" i="3"/>
  <c r="G403" i="3"/>
  <c r="H403" i="3"/>
  <c r="I403" i="3"/>
  <c r="J403" i="3"/>
  <c r="K403" i="3"/>
  <c r="L403" i="3"/>
  <c r="M403" i="3"/>
  <c r="N403" i="3"/>
  <c r="O403" i="3"/>
  <c r="P403" i="3"/>
  <c r="Q403" i="3"/>
  <c r="R403" i="3"/>
  <c r="S403" i="3"/>
  <c r="T403" i="3"/>
  <c r="U403" i="3"/>
  <c r="B404" i="3"/>
  <c r="C404" i="3"/>
  <c r="D404" i="3"/>
  <c r="E404" i="3"/>
  <c r="F404" i="3"/>
  <c r="G404" i="3"/>
  <c r="H404" i="3"/>
  <c r="I404" i="3"/>
  <c r="J404" i="3"/>
  <c r="K404" i="3"/>
  <c r="L404" i="3"/>
  <c r="M404" i="3"/>
  <c r="N404" i="3"/>
  <c r="O404" i="3"/>
  <c r="P404" i="3"/>
  <c r="Q404" i="3"/>
  <c r="R404" i="3"/>
  <c r="S404" i="3"/>
  <c r="T404" i="3"/>
  <c r="U404" i="3"/>
  <c r="B405" i="3"/>
  <c r="C405" i="3"/>
  <c r="D405" i="3"/>
  <c r="E405" i="3"/>
  <c r="F405" i="3"/>
  <c r="G405" i="3"/>
  <c r="H405" i="3"/>
  <c r="I405" i="3"/>
  <c r="J405" i="3"/>
  <c r="K405" i="3"/>
  <c r="L405" i="3"/>
  <c r="M405" i="3"/>
  <c r="N405" i="3"/>
  <c r="O405" i="3"/>
  <c r="P405" i="3"/>
  <c r="Q405" i="3"/>
  <c r="R405" i="3"/>
  <c r="S405" i="3"/>
  <c r="T405" i="3"/>
  <c r="U405" i="3"/>
  <c r="B406" i="3"/>
  <c r="C406" i="3"/>
  <c r="D406" i="3"/>
  <c r="E406" i="3"/>
  <c r="F406" i="3"/>
  <c r="G406" i="3"/>
  <c r="H406" i="3"/>
  <c r="I406" i="3"/>
  <c r="J406" i="3"/>
  <c r="K406" i="3"/>
  <c r="L406" i="3"/>
  <c r="M406" i="3"/>
  <c r="N406" i="3"/>
  <c r="O406" i="3"/>
  <c r="P406" i="3"/>
  <c r="Q406" i="3"/>
  <c r="R406" i="3"/>
  <c r="S406" i="3"/>
  <c r="T406" i="3"/>
  <c r="B407" i="3"/>
  <c r="C407" i="3"/>
  <c r="D407" i="3"/>
  <c r="E407" i="3"/>
  <c r="F407" i="3"/>
  <c r="G407" i="3"/>
  <c r="H407" i="3"/>
  <c r="I407" i="3"/>
  <c r="J407" i="3"/>
  <c r="K407" i="3"/>
  <c r="L407" i="3"/>
  <c r="M407" i="3"/>
  <c r="N407" i="3"/>
  <c r="O407" i="3"/>
  <c r="P407" i="3"/>
  <c r="Q407" i="3"/>
  <c r="R407" i="3"/>
  <c r="S407" i="3"/>
  <c r="T407" i="3"/>
  <c r="B408" i="3"/>
  <c r="C408" i="3"/>
  <c r="D408" i="3"/>
  <c r="E408" i="3"/>
  <c r="F408" i="3"/>
  <c r="G408" i="3"/>
  <c r="H408" i="3"/>
  <c r="I408" i="3"/>
  <c r="J408" i="3"/>
  <c r="K408" i="3"/>
  <c r="L408" i="3"/>
  <c r="M408" i="3"/>
  <c r="N408" i="3"/>
  <c r="O408" i="3"/>
  <c r="P408" i="3"/>
  <c r="Q408" i="3"/>
  <c r="R408" i="3"/>
  <c r="S408" i="3"/>
  <c r="T408" i="3"/>
  <c r="U408" i="3"/>
  <c r="B409" i="3"/>
  <c r="C409" i="3"/>
  <c r="D409" i="3"/>
  <c r="E409" i="3"/>
  <c r="F409" i="3"/>
  <c r="G409" i="3"/>
  <c r="H409" i="3"/>
  <c r="I409" i="3"/>
  <c r="J409" i="3"/>
  <c r="K409" i="3"/>
  <c r="L409" i="3"/>
  <c r="M409" i="3"/>
  <c r="N409" i="3"/>
  <c r="O409" i="3"/>
  <c r="P409" i="3"/>
  <c r="Q409" i="3"/>
  <c r="R409" i="3"/>
  <c r="S409" i="3"/>
  <c r="T409" i="3"/>
  <c r="B410" i="3"/>
  <c r="C410" i="3"/>
  <c r="D410" i="3"/>
  <c r="E410" i="3"/>
  <c r="F410" i="3"/>
  <c r="G410" i="3"/>
  <c r="H410" i="3"/>
  <c r="I410" i="3"/>
  <c r="J410" i="3"/>
  <c r="K410" i="3"/>
  <c r="L410" i="3"/>
  <c r="M410" i="3"/>
  <c r="N410" i="3"/>
  <c r="O410" i="3"/>
  <c r="P410" i="3"/>
  <c r="Q410" i="3"/>
  <c r="R410" i="3"/>
  <c r="S410" i="3"/>
  <c r="T410" i="3"/>
  <c r="U410" i="3"/>
  <c r="B411" i="3"/>
  <c r="C411" i="3"/>
  <c r="D411" i="3"/>
  <c r="E411" i="3"/>
  <c r="F411" i="3"/>
  <c r="G411" i="3"/>
  <c r="H411" i="3"/>
  <c r="I411" i="3"/>
  <c r="J411" i="3"/>
  <c r="K411" i="3"/>
  <c r="L411" i="3"/>
  <c r="M411" i="3"/>
  <c r="N411" i="3"/>
  <c r="O411" i="3"/>
  <c r="P411" i="3"/>
  <c r="Q411" i="3"/>
  <c r="R411" i="3"/>
  <c r="S411" i="3"/>
  <c r="T411" i="3"/>
  <c r="U411" i="3"/>
  <c r="B412" i="3"/>
  <c r="C412" i="3"/>
  <c r="D412" i="3"/>
  <c r="E412" i="3"/>
  <c r="F412" i="3"/>
  <c r="G412" i="3"/>
  <c r="H412" i="3"/>
  <c r="I412" i="3"/>
  <c r="J412" i="3"/>
  <c r="K412" i="3"/>
  <c r="L412" i="3"/>
  <c r="M412" i="3"/>
  <c r="N412" i="3"/>
  <c r="O412" i="3"/>
  <c r="P412" i="3"/>
  <c r="Q412" i="3"/>
  <c r="R412" i="3"/>
  <c r="S412" i="3"/>
  <c r="T412" i="3"/>
  <c r="B413" i="3"/>
  <c r="C413" i="3"/>
  <c r="D413" i="3"/>
  <c r="E413" i="3"/>
  <c r="F413" i="3"/>
  <c r="G413" i="3"/>
  <c r="H413" i="3"/>
  <c r="I413" i="3"/>
  <c r="J413" i="3"/>
  <c r="K413" i="3"/>
  <c r="L413" i="3"/>
  <c r="M413" i="3"/>
  <c r="N413" i="3"/>
  <c r="O413" i="3"/>
  <c r="P413" i="3"/>
  <c r="Q413" i="3"/>
  <c r="R413" i="3"/>
  <c r="S413" i="3"/>
  <c r="T413" i="3"/>
  <c r="U413" i="3"/>
  <c r="B414" i="3"/>
  <c r="C414" i="3"/>
  <c r="D414" i="3"/>
  <c r="E414" i="3"/>
  <c r="F414" i="3"/>
  <c r="G414" i="3"/>
  <c r="H414" i="3"/>
  <c r="I414" i="3"/>
  <c r="J414" i="3"/>
  <c r="K414" i="3"/>
  <c r="L414" i="3"/>
  <c r="M414" i="3"/>
  <c r="N414" i="3"/>
  <c r="O414" i="3"/>
  <c r="P414" i="3"/>
  <c r="Q414" i="3"/>
  <c r="R414" i="3"/>
  <c r="S414" i="3"/>
  <c r="T414" i="3"/>
  <c r="U414" i="3"/>
  <c r="B415" i="3"/>
  <c r="C415" i="3"/>
  <c r="D415" i="3"/>
  <c r="E415" i="3"/>
  <c r="F415" i="3"/>
  <c r="G415" i="3"/>
  <c r="H415" i="3"/>
  <c r="I415" i="3"/>
  <c r="J415" i="3"/>
  <c r="K415" i="3"/>
  <c r="L415" i="3"/>
  <c r="M415" i="3"/>
  <c r="N415" i="3"/>
  <c r="O415" i="3"/>
  <c r="P415" i="3"/>
  <c r="Q415" i="3"/>
  <c r="R415" i="3"/>
  <c r="S415" i="3"/>
  <c r="T415" i="3"/>
  <c r="U415" i="3"/>
  <c r="B416" i="3"/>
  <c r="C416" i="3"/>
  <c r="D416" i="3"/>
  <c r="E416" i="3"/>
  <c r="F416" i="3"/>
  <c r="G416" i="3"/>
  <c r="H416" i="3"/>
  <c r="I416" i="3"/>
  <c r="J416" i="3"/>
  <c r="K416" i="3"/>
  <c r="L416" i="3"/>
  <c r="M416" i="3"/>
  <c r="N416" i="3"/>
  <c r="O416" i="3"/>
  <c r="P416" i="3"/>
  <c r="Q416" i="3"/>
  <c r="R416" i="3"/>
  <c r="S416" i="3"/>
  <c r="T416" i="3"/>
  <c r="U416" i="3"/>
  <c r="B417" i="3"/>
  <c r="C417" i="3"/>
  <c r="D417" i="3"/>
  <c r="E417" i="3"/>
  <c r="F417" i="3"/>
  <c r="G417" i="3"/>
  <c r="H417" i="3"/>
  <c r="I417" i="3"/>
  <c r="J417" i="3"/>
  <c r="K417" i="3"/>
  <c r="L417" i="3"/>
  <c r="M417" i="3"/>
  <c r="N417" i="3"/>
  <c r="O417" i="3"/>
  <c r="P417" i="3"/>
  <c r="Q417" i="3"/>
  <c r="R417" i="3"/>
  <c r="S417" i="3"/>
  <c r="T417" i="3"/>
  <c r="U417" i="3"/>
  <c r="B418" i="3"/>
  <c r="C418" i="3"/>
  <c r="D418" i="3"/>
  <c r="E418" i="3"/>
  <c r="F418" i="3"/>
  <c r="G418" i="3"/>
  <c r="H418" i="3"/>
  <c r="I418" i="3"/>
  <c r="J418" i="3"/>
  <c r="K418" i="3"/>
  <c r="L418" i="3"/>
  <c r="M418" i="3"/>
  <c r="N418" i="3"/>
  <c r="O418" i="3"/>
  <c r="P418" i="3"/>
  <c r="Q418" i="3"/>
  <c r="R418" i="3"/>
  <c r="S418" i="3"/>
  <c r="T418" i="3"/>
  <c r="U418" i="3"/>
  <c r="B419" i="3"/>
  <c r="C419" i="3"/>
  <c r="D419" i="3"/>
  <c r="E419" i="3"/>
  <c r="F419" i="3"/>
  <c r="G419" i="3"/>
  <c r="H419" i="3"/>
  <c r="I419" i="3"/>
  <c r="J419" i="3"/>
  <c r="K419" i="3"/>
  <c r="L419" i="3"/>
  <c r="M419" i="3"/>
  <c r="N419" i="3"/>
  <c r="O419" i="3"/>
  <c r="P419" i="3"/>
  <c r="Q419" i="3"/>
  <c r="R419" i="3"/>
  <c r="S419" i="3"/>
  <c r="T419" i="3"/>
  <c r="U419" i="3"/>
  <c r="B420" i="3"/>
  <c r="C420" i="3"/>
  <c r="D420" i="3"/>
  <c r="E420" i="3"/>
  <c r="F420" i="3"/>
  <c r="G420" i="3"/>
  <c r="H420" i="3"/>
  <c r="I420" i="3"/>
  <c r="J420" i="3"/>
  <c r="K420" i="3"/>
  <c r="L420" i="3"/>
  <c r="M420" i="3"/>
  <c r="N420" i="3"/>
  <c r="O420" i="3"/>
  <c r="P420" i="3"/>
  <c r="Q420" i="3"/>
  <c r="R420" i="3"/>
  <c r="S420" i="3"/>
  <c r="T420" i="3"/>
  <c r="U420" i="3"/>
  <c r="B421" i="3"/>
  <c r="C421" i="3"/>
  <c r="D421" i="3"/>
  <c r="E421" i="3"/>
  <c r="F421" i="3"/>
  <c r="G421" i="3"/>
  <c r="H421" i="3"/>
  <c r="I421" i="3"/>
  <c r="J421" i="3"/>
  <c r="K421" i="3"/>
  <c r="L421" i="3"/>
  <c r="M421" i="3"/>
  <c r="N421" i="3"/>
  <c r="O421" i="3"/>
  <c r="P421" i="3"/>
  <c r="Q421" i="3"/>
  <c r="R421" i="3"/>
  <c r="S421" i="3"/>
  <c r="T421" i="3"/>
  <c r="U421" i="3"/>
  <c r="B422" i="3"/>
  <c r="C422" i="3"/>
  <c r="D422" i="3"/>
  <c r="E422" i="3"/>
  <c r="F422" i="3"/>
  <c r="G422" i="3"/>
  <c r="H422" i="3"/>
  <c r="I422" i="3"/>
  <c r="J422" i="3"/>
  <c r="K422" i="3"/>
  <c r="L422" i="3"/>
  <c r="M422" i="3"/>
  <c r="N422" i="3"/>
  <c r="O422" i="3"/>
  <c r="P422" i="3"/>
  <c r="Q422" i="3"/>
  <c r="R422" i="3"/>
  <c r="S422" i="3"/>
  <c r="T422" i="3"/>
  <c r="U422" i="3"/>
  <c r="B423" i="3"/>
  <c r="C423" i="3"/>
  <c r="D423" i="3"/>
  <c r="E423" i="3"/>
  <c r="F423" i="3"/>
  <c r="G423" i="3"/>
  <c r="H423" i="3"/>
  <c r="I423" i="3"/>
  <c r="J423" i="3"/>
  <c r="K423" i="3"/>
  <c r="L423" i="3"/>
  <c r="M423" i="3"/>
  <c r="N423" i="3"/>
  <c r="O423" i="3"/>
  <c r="P423" i="3"/>
  <c r="Q423" i="3"/>
  <c r="R423" i="3"/>
  <c r="S423" i="3"/>
  <c r="T423" i="3"/>
  <c r="B424" i="3"/>
  <c r="C424" i="3"/>
  <c r="D424" i="3"/>
  <c r="E424" i="3"/>
  <c r="F424" i="3"/>
  <c r="G424" i="3"/>
  <c r="H424" i="3"/>
  <c r="I424" i="3"/>
  <c r="J424" i="3"/>
  <c r="K424" i="3"/>
  <c r="L424" i="3"/>
  <c r="M424" i="3"/>
  <c r="N424" i="3"/>
  <c r="O424" i="3"/>
  <c r="P424" i="3"/>
  <c r="Q424" i="3"/>
  <c r="R424" i="3"/>
  <c r="S424" i="3"/>
  <c r="T424" i="3"/>
  <c r="U424" i="3"/>
  <c r="B425" i="3"/>
  <c r="C425" i="3"/>
  <c r="D425" i="3"/>
  <c r="E425" i="3"/>
  <c r="F425" i="3"/>
  <c r="G425" i="3"/>
  <c r="I425" i="3"/>
  <c r="J425" i="3"/>
  <c r="K425" i="3"/>
  <c r="L425" i="3"/>
  <c r="M425" i="3"/>
  <c r="N425" i="3"/>
  <c r="O425" i="3"/>
  <c r="P425" i="3"/>
  <c r="Q425" i="3"/>
  <c r="R425" i="3"/>
  <c r="S425" i="3"/>
  <c r="T425" i="3"/>
  <c r="B426" i="3"/>
  <c r="C426" i="3"/>
  <c r="D426" i="3"/>
  <c r="E426" i="3"/>
  <c r="F426" i="3"/>
  <c r="G426" i="3"/>
  <c r="H426" i="3"/>
  <c r="I426" i="3"/>
  <c r="J426" i="3"/>
  <c r="K426" i="3"/>
  <c r="L426" i="3"/>
  <c r="M426" i="3"/>
  <c r="N426" i="3"/>
  <c r="O426" i="3"/>
  <c r="P426" i="3"/>
  <c r="Q426" i="3"/>
  <c r="R426" i="3"/>
  <c r="S426" i="3"/>
  <c r="T426" i="3"/>
  <c r="U426" i="3"/>
  <c r="B427" i="3"/>
  <c r="C427" i="3"/>
  <c r="D427" i="3"/>
  <c r="E427" i="3"/>
  <c r="F427" i="3"/>
  <c r="G427" i="3"/>
  <c r="H427" i="3"/>
  <c r="I427" i="3"/>
  <c r="J427" i="3"/>
  <c r="K427" i="3"/>
  <c r="L427" i="3"/>
  <c r="M427" i="3"/>
  <c r="N427" i="3"/>
  <c r="O427" i="3"/>
  <c r="P427" i="3"/>
  <c r="Q427" i="3"/>
  <c r="R427" i="3"/>
  <c r="S427" i="3"/>
  <c r="T427" i="3"/>
  <c r="U427" i="3"/>
  <c r="B428" i="3"/>
  <c r="C428" i="3"/>
  <c r="D428" i="3"/>
  <c r="E428" i="3"/>
  <c r="F428" i="3"/>
  <c r="G428" i="3"/>
  <c r="H428" i="3"/>
  <c r="I428" i="3"/>
  <c r="J428" i="3"/>
  <c r="K428" i="3"/>
  <c r="L428" i="3"/>
  <c r="M428" i="3"/>
  <c r="N428" i="3"/>
  <c r="O428" i="3"/>
  <c r="P428" i="3"/>
  <c r="Q428" i="3"/>
  <c r="R428" i="3"/>
  <c r="S428" i="3"/>
  <c r="T428" i="3"/>
  <c r="U428" i="3"/>
  <c r="B429" i="3"/>
  <c r="C429" i="3"/>
  <c r="D429" i="3"/>
  <c r="E429" i="3"/>
  <c r="F429" i="3"/>
  <c r="G429" i="3"/>
  <c r="H429" i="3"/>
  <c r="I429" i="3"/>
  <c r="J429" i="3"/>
  <c r="K429" i="3"/>
  <c r="L429" i="3"/>
  <c r="M429" i="3"/>
  <c r="N429" i="3"/>
  <c r="O429" i="3"/>
  <c r="P429" i="3"/>
  <c r="Q429" i="3"/>
  <c r="R429" i="3"/>
  <c r="S429" i="3"/>
  <c r="T429" i="3"/>
  <c r="U429" i="3"/>
  <c r="B430" i="3"/>
  <c r="C430" i="3"/>
  <c r="D430" i="3"/>
  <c r="E430" i="3"/>
  <c r="F430" i="3"/>
  <c r="G430" i="3"/>
  <c r="H430" i="3"/>
  <c r="I430" i="3"/>
  <c r="J430" i="3"/>
  <c r="K430" i="3"/>
  <c r="L430" i="3"/>
  <c r="M430" i="3"/>
  <c r="N430" i="3"/>
  <c r="O430" i="3"/>
  <c r="P430" i="3"/>
  <c r="Q430" i="3"/>
  <c r="R430" i="3"/>
  <c r="S430" i="3"/>
  <c r="T430" i="3"/>
  <c r="U430" i="3"/>
  <c r="B431" i="3"/>
  <c r="C431" i="3"/>
  <c r="D431" i="3"/>
  <c r="E431" i="3"/>
  <c r="F431" i="3"/>
  <c r="G431" i="3"/>
  <c r="H431" i="3"/>
  <c r="I431" i="3"/>
  <c r="J431" i="3"/>
  <c r="K431" i="3"/>
  <c r="L431" i="3"/>
  <c r="M431" i="3"/>
  <c r="N431" i="3"/>
  <c r="O431" i="3"/>
  <c r="P431" i="3"/>
  <c r="Q431" i="3"/>
  <c r="R431" i="3"/>
  <c r="S431" i="3"/>
  <c r="T431" i="3"/>
  <c r="U431" i="3"/>
  <c r="B432" i="3"/>
  <c r="C432" i="3"/>
  <c r="D432" i="3"/>
  <c r="E432" i="3"/>
  <c r="F432" i="3"/>
  <c r="G432" i="3"/>
  <c r="H432" i="3"/>
  <c r="I432" i="3"/>
  <c r="J432" i="3"/>
  <c r="K432" i="3"/>
  <c r="L432" i="3"/>
  <c r="M432" i="3"/>
  <c r="N432" i="3"/>
  <c r="O432" i="3"/>
  <c r="P432" i="3"/>
  <c r="Q432" i="3"/>
  <c r="R432" i="3"/>
  <c r="S432" i="3"/>
  <c r="T432" i="3"/>
  <c r="U432" i="3"/>
  <c r="B433" i="3"/>
  <c r="C433" i="3"/>
  <c r="D433" i="3"/>
  <c r="E433" i="3"/>
  <c r="F433" i="3"/>
  <c r="G433" i="3"/>
  <c r="H433" i="3"/>
  <c r="I433" i="3"/>
  <c r="J433" i="3"/>
  <c r="K433" i="3"/>
  <c r="L433" i="3"/>
  <c r="M433" i="3"/>
  <c r="N433" i="3"/>
  <c r="O433" i="3"/>
  <c r="P433" i="3"/>
  <c r="Q433" i="3"/>
  <c r="R433" i="3"/>
  <c r="S433" i="3"/>
  <c r="T433" i="3"/>
  <c r="U433" i="3"/>
  <c r="B434" i="3"/>
  <c r="C434" i="3"/>
  <c r="D434" i="3"/>
  <c r="E434" i="3"/>
  <c r="F434" i="3"/>
  <c r="G434" i="3"/>
  <c r="H434" i="3"/>
  <c r="I434" i="3"/>
  <c r="J434" i="3"/>
  <c r="K434" i="3"/>
  <c r="L434" i="3"/>
  <c r="M434" i="3"/>
  <c r="N434" i="3"/>
  <c r="O434" i="3"/>
  <c r="P434" i="3"/>
  <c r="Q434" i="3"/>
  <c r="R434" i="3"/>
  <c r="S434" i="3"/>
  <c r="T434" i="3"/>
  <c r="U434" i="3"/>
  <c r="B435" i="3"/>
  <c r="C435" i="3"/>
  <c r="D435" i="3"/>
  <c r="E435" i="3"/>
  <c r="F435" i="3"/>
  <c r="G435" i="3"/>
  <c r="H435" i="3"/>
  <c r="I435" i="3"/>
  <c r="J435" i="3"/>
  <c r="K435" i="3"/>
  <c r="L435" i="3"/>
  <c r="M435" i="3"/>
  <c r="N435" i="3"/>
  <c r="O435" i="3"/>
  <c r="P435" i="3"/>
  <c r="Q435" i="3"/>
  <c r="R435" i="3"/>
  <c r="S435" i="3"/>
  <c r="T435" i="3"/>
  <c r="U435" i="3"/>
  <c r="B436" i="3"/>
  <c r="C436" i="3"/>
  <c r="D436" i="3"/>
  <c r="E436" i="3"/>
  <c r="F436" i="3"/>
  <c r="G436" i="3"/>
  <c r="H436" i="3"/>
  <c r="I436" i="3"/>
  <c r="J436" i="3"/>
  <c r="K436" i="3"/>
  <c r="L436" i="3"/>
  <c r="M436" i="3"/>
  <c r="N436" i="3"/>
  <c r="O436" i="3"/>
  <c r="P436" i="3"/>
  <c r="Q436" i="3"/>
  <c r="R436" i="3"/>
  <c r="S436" i="3"/>
  <c r="T436" i="3"/>
  <c r="B437" i="3"/>
  <c r="C437" i="3"/>
  <c r="D437" i="3"/>
  <c r="E437" i="3"/>
  <c r="F437" i="3"/>
  <c r="G437" i="3"/>
  <c r="H437" i="3"/>
  <c r="I437" i="3"/>
  <c r="J437" i="3"/>
  <c r="K437" i="3"/>
  <c r="L437" i="3"/>
  <c r="M437" i="3"/>
  <c r="N437" i="3"/>
  <c r="O437" i="3"/>
  <c r="P437" i="3"/>
  <c r="Q437" i="3"/>
  <c r="R437" i="3"/>
  <c r="S437" i="3"/>
  <c r="T437" i="3"/>
  <c r="U437" i="3"/>
  <c r="B438" i="3"/>
  <c r="C438" i="3"/>
  <c r="D438" i="3"/>
  <c r="E438" i="3"/>
  <c r="F438" i="3"/>
  <c r="G438" i="3"/>
  <c r="H438" i="3"/>
  <c r="I438" i="3"/>
  <c r="J438" i="3"/>
  <c r="K438" i="3"/>
  <c r="L438" i="3"/>
  <c r="M438" i="3"/>
  <c r="N438" i="3"/>
  <c r="O438" i="3"/>
  <c r="P438" i="3"/>
  <c r="Q438" i="3"/>
  <c r="R438" i="3"/>
  <c r="S438" i="3"/>
  <c r="T438" i="3"/>
  <c r="U438" i="3"/>
  <c r="B439" i="3"/>
  <c r="C439" i="3"/>
  <c r="D439" i="3"/>
  <c r="E439" i="3"/>
  <c r="F439" i="3"/>
  <c r="G439" i="3"/>
  <c r="H439" i="3"/>
  <c r="I439" i="3"/>
  <c r="J439" i="3"/>
  <c r="K439" i="3"/>
  <c r="L439" i="3"/>
  <c r="M439" i="3"/>
  <c r="N439" i="3"/>
  <c r="O439" i="3"/>
  <c r="P439" i="3"/>
  <c r="Q439" i="3"/>
  <c r="R439" i="3"/>
  <c r="S439" i="3"/>
  <c r="T439" i="3"/>
  <c r="U439" i="3"/>
  <c r="B440" i="3"/>
  <c r="C440" i="3"/>
  <c r="D440" i="3"/>
  <c r="E440" i="3"/>
  <c r="F440" i="3"/>
  <c r="G440" i="3"/>
  <c r="H440" i="3"/>
  <c r="I440" i="3"/>
  <c r="J440" i="3"/>
  <c r="K440" i="3"/>
  <c r="L440" i="3"/>
  <c r="M440" i="3"/>
  <c r="N440" i="3"/>
  <c r="O440" i="3"/>
  <c r="P440" i="3"/>
  <c r="Q440" i="3"/>
  <c r="R440" i="3"/>
  <c r="S440" i="3"/>
  <c r="T440" i="3"/>
  <c r="U440" i="3"/>
  <c r="B441" i="3"/>
  <c r="C441" i="3"/>
  <c r="D441" i="3"/>
  <c r="E441" i="3"/>
  <c r="F441" i="3"/>
  <c r="G441" i="3"/>
  <c r="H441" i="3"/>
  <c r="I441" i="3"/>
  <c r="J441" i="3"/>
  <c r="K441" i="3"/>
  <c r="L441" i="3"/>
  <c r="M441" i="3"/>
  <c r="N441" i="3"/>
  <c r="O441" i="3"/>
  <c r="P441" i="3"/>
  <c r="Q441" i="3"/>
  <c r="R441" i="3"/>
  <c r="S441" i="3"/>
  <c r="T441" i="3"/>
  <c r="B442" i="3"/>
  <c r="C442" i="3"/>
  <c r="D442" i="3"/>
  <c r="E442" i="3"/>
  <c r="F442" i="3"/>
  <c r="G442" i="3"/>
  <c r="H442" i="3"/>
  <c r="I442" i="3"/>
  <c r="J442" i="3"/>
  <c r="K442" i="3"/>
  <c r="L442" i="3"/>
  <c r="M442" i="3"/>
  <c r="N442" i="3"/>
  <c r="O442" i="3"/>
  <c r="P442" i="3"/>
  <c r="Q442" i="3"/>
  <c r="R442" i="3"/>
  <c r="S442" i="3"/>
  <c r="T442" i="3"/>
  <c r="U442" i="3"/>
  <c r="B443" i="3"/>
  <c r="C443" i="3"/>
  <c r="D443" i="3"/>
  <c r="E443" i="3"/>
  <c r="F443" i="3"/>
  <c r="G443" i="3"/>
  <c r="H443" i="3"/>
  <c r="I443" i="3"/>
  <c r="J443" i="3"/>
  <c r="K443" i="3"/>
  <c r="L443" i="3"/>
  <c r="M443" i="3"/>
  <c r="N443" i="3"/>
  <c r="O443" i="3"/>
  <c r="P443" i="3"/>
  <c r="Q443" i="3"/>
  <c r="R443" i="3"/>
  <c r="S443" i="3"/>
  <c r="T443" i="3"/>
  <c r="U443" i="3"/>
  <c r="B444" i="3"/>
  <c r="C444" i="3"/>
  <c r="D444" i="3"/>
  <c r="E444" i="3"/>
  <c r="F444" i="3"/>
  <c r="G444" i="3"/>
  <c r="H444" i="3"/>
  <c r="I444" i="3"/>
  <c r="J444" i="3"/>
  <c r="K444" i="3"/>
  <c r="L444" i="3"/>
  <c r="M444" i="3"/>
  <c r="N444" i="3"/>
  <c r="O444" i="3"/>
  <c r="P444" i="3"/>
  <c r="Q444" i="3"/>
  <c r="R444" i="3"/>
  <c r="S444" i="3"/>
  <c r="T444" i="3"/>
  <c r="B445" i="3"/>
  <c r="C445" i="3"/>
  <c r="D445" i="3"/>
  <c r="E445" i="3"/>
  <c r="F445" i="3"/>
  <c r="G445" i="3"/>
  <c r="H445" i="3"/>
  <c r="I445" i="3"/>
  <c r="J445" i="3"/>
  <c r="K445" i="3"/>
  <c r="L445" i="3"/>
  <c r="M445" i="3"/>
  <c r="N445" i="3"/>
  <c r="O445" i="3"/>
  <c r="P445" i="3"/>
  <c r="Q445" i="3"/>
  <c r="R445" i="3"/>
  <c r="S445" i="3"/>
  <c r="T445" i="3"/>
  <c r="U445" i="3"/>
  <c r="B446" i="3"/>
  <c r="C446" i="3"/>
  <c r="D446" i="3"/>
  <c r="E446" i="3"/>
  <c r="F446" i="3"/>
  <c r="G446" i="3"/>
  <c r="H446" i="3"/>
  <c r="I446" i="3"/>
  <c r="J446" i="3"/>
  <c r="K446" i="3"/>
  <c r="L446" i="3"/>
  <c r="M446" i="3"/>
  <c r="N446" i="3"/>
  <c r="O446" i="3"/>
  <c r="P446" i="3"/>
  <c r="Q446" i="3"/>
  <c r="R446" i="3"/>
  <c r="S446" i="3"/>
  <c r="T446" i="3"/>
  <c r="U446" i="3"/>
  <c r="B447" i="3"/>
  <c r="C447" i="3"/>
  <c r="D447" i="3"/>
  <c r="E447" i="3"/>
  <c r="F447" i="3"/>
  <c r="G447" i="3"/>
  <c r="H447" i="3"/>
  <c r="I447" i="3"/>
  <c r="J447" i="3"/>
  <c r="K447" i="3"/>
  <c r="L447" i="3"/>
  <c r="M447" i="3"/>
  <c r="N447" i="3"/>
  <c r="O447" i="3"/>
  <c r="P447" i="3"/>
  <c r="Q447" i="3"/>
  <c r="R447" i="3"/>
  <c r="S447" i="3"/>
  <c r="T447" i="3"/>
  <c r="U447" i="3"/>
  <c r="B448" i="3"/>
  <c r="C448" i="3"/>
  <c r="D448" i="3"/>
  <c r="E448" i="3"/>
  <c r="F448" i="3"/>
  <c r="G448" i="3"/>
  <c r="H448" i="3"/>
  <c r="I448" i="3"/>
  <c r="J448" i="3"/>
  <c r="K448" i="3"/>
  <c r="L448" i="3"/>
  <c r="M448" i="3"/>
  <c r="N448" i="3"/>
  <c r="O448" i="3"/>
  <c r="P448" i="3"/>
  <c r="Q448" i="3"/>
  <c r="R448" i="3"/>
  <c r="S448" i="3"/>
  <c r="T448" i="3"/>
  <c r="U448" i="3"/>
  <c r="B449" i="3"/>
  <c r="C449" i="3"/>
  <c r="D449" i="3"/>
  <c r="E449" i="3"/>
  <c r="F449" i="3"/>
  <c r="G449" i="3"/>
  <c r="H449" i="3"/>
  <c r="I449" i="3"/>
  <c r="J449" i="3"/>
  <c r="K449" i="3"/>
  <c r="L449" i="3"/>
  <c r="M449" i="3"/>
  <c r="N449" i="3"/>
  <c r="O449" i="3"/>
  <c r="P449" i="3"/>
  <c r="Q449" i="3"/>
  <c r="R449" i="3"/>
  <c r="S449" i="3"/>
  <c r="T449" i="3"/>
  <c r="U449" i="3"/>
  <c r="B450" i="3"/>
  <c r="C450" i="3"/>
  <c r="D450" i="3"/>
  <c r="E450" i="3"/>
  <c r="F450" i="3"/>
  <c r="G450" i="3"/>
  <c r="H450" i="3"/>
  <c r="I450" i="3"/>
  <c r="J450" i="3"/>
  <c r="K450" i="3"/>
  <c r="L450" i="3"/>
  <c r="M450" i="3"/>
  <c r="N450" i="3"/>
  <c r="O450" i="3"/>
  <c r="P450" i="3"/>
  <c r="Q450" i="3"/>
  <c r="R450" i="3"/>
  <c r="S450" i="3"/>
  <c r="T450" i="3"/>
  <c r="U450" i="3"/>
  <c r="B451" i="3"/>
  <c r="C451" i="3"/>
  <c r="D451" i="3"/>
  <c r="E451" i="3"/>
  <c r="F451" i="3"/>
  <c r="G451" i="3"/>
  <c r="H451" i="3"/>
  <c r="I451" i="3"/>
  <c r="J451" i="3"/>
  <c r="K451" i="3"/>
  <c r="L451" i="3"/>
  <c r="M451" i="3"/>
  <c r="N451" i="3"/>
  <c r="O451" i="3"/>
  <c r="P451" i="3"/>
  <c r="Q451" i="3"/>
  <c r="R451" i="3"/>
  <c r="S451" i="3"/>
  <c r="T451" i="3"/>
  <c r="U451" i="3"/>
  <c r="B452" i="3"/>
  <c r="C452" i="3"/>
  <c r="D452" i="3"/>
  <c r="E452" i="3"/>
  <c r="F452" i="3"/>
  <c r="G452" i="3"/>
  <c r="H452" i="3"/>
  <c r="I452" i="3"/>
  <c r="J452" i="3"/>
  <c r="K452" i="3"/>
  <c r="L452" i="3"/>
  <c r="M452" i="3"/>
  <c r="N452" i="3"/>
  <c r="O452" i="3"/>
  <c r="P452" i="3"/>
  <c r="Q452" i="3"/>
  <c r="R452" i="3"/>
  <c r="S452" i="3"/>
  <c r="T452" i="3"/>
  <c r="U452" i="3"/>
  <c r="B453" i="3"/>
  <c r="C453" i="3"/>
  <c r="D453" i="3"/>
  <c r="E453" i="3"/>
  <c r="F453" i="3"/>
  <c r="G453" i="3"/>
  <c r="H453" i="3"/>
  <c r="I453" i="3"/>
  <c r="J453" i="3"/>
  <c r="K453" i="3"/>
  <c r="L453" i="3"/>
  <c r="M453" i="3"/>
  <c r="N453" i="3"/>
  <c r="O453" i="3"/>
  <c r="P453" i="3"/>
  <c r="Q453" i="3"/>
  <c r="R453" i="3"/>
  <c r="S453" i="3"/>
  <c r="T453" i="3"/>
  <c r="U453" i="3"/>
  <c r="B454" i="3"/>
  <c r="C454" i="3"/>
  <c r="D454" i="3"/>
  <c r="E454" i="3"/>
  <c r="F454" i="3"/>
  <c r="G454" i="3"/>
  <c r="H454" i="3"/>
  <c r="I454" i="3"/>
  <c r="J454" i="3"/>
  <c r="K454" i="3"/>
  <c r="L454" i="3"/>
  <c r="M454" i="3"/>
  <c r="N454" i="3"/>
  <c r="O454" i="3"/>
  <c r="P454" i="3"/>
  <c r="Q454" i="3"/>
  <c r="R454" i="3"/>
  <c r="S454" i="3"/>
  <c r="T454" i="3"/>
  <c r="U454" i="3"/>
  <c r="B455" i="3"/>
  <c r="C455" i="3"/>
  <c r="D455" i="3"/>
  <c r="E455" i="3"/>
  <c r="F455" i="3"/>
  <c r="G455" i="3"/>
  <c r="H455" i="3"/>
  <c r="I455" i="3"/>
  <c r="J455" i="3"/>
  <c r="K455" i="3"/>
  <c r="L455" i="3"/>
  <c r="M455" i="3"/>
  <c r="N455" i="3"/>
  <c r="O455" i="3"/>
  <c r="P455" i="3"/>
  <c r="Q455" i="3"/>
  <c r="R455" i="3"/>
  <c r="S455" i="3"/>
  <c r="T455" i="3"/>
  <c r="U455" i="3"/>
  <c r="B456" i="3"/>
  <c r="C456" i="3"/>
  <c r="D456" i="3"/>
  <c r="E456" i="3"/>
  <c r="F456" i="3"/>
  <c r="G456" i="3"/>
  <c r="H456" i="3"/>
  <c r="I456" i="3"/>
  <c r="J456" i="3"/>
  <c r="K456" i="3"/>
  <c r="L456" i="3"/>
  <c r="M456" i="3"/>
  <c r="N456" i="3"/>
  <c r="O456" i="3"/>
  <c r="P456" i="3"/>
  <c r="Q456" i="3"/>
  <c r="R456" i="3"/>
  <c r="S456" i="3"/>
  <c r="T456" i="3"/>
  <c r="U456" i="3"/>
  <c r="B457" i="3"/>
  <c r="C457" i="3"/>
  <c r="D457" i="3"/>
  <c r="E457" i="3"/>
  <c r="F457" i="3"/>
  <c r="G457" i="3"/>
  <c r="H457" i="3"/>
  <c r="I457" i="3"/>
  <c r="J457" i="3"/>
  <c r="K457" i="3"/>
  <c r="L457" i="3"/>
  <c r="M457" i="3"/>
  <c r="N457" i="3"/>
  <c r="O457" i="3"/>
  <c r="P457" i="3"/>
  <c r="Q457" i="3"/>
  <c r="R457" i="3"/>
  <c r="S457" i="3"/>
  <c r="T457" i="3"/>
  <c r="U457" i="3"/>
  <c r="B458" i="3"/>
  <c r="C458" i="3"/>
  <c r="D458" i="3"/>
  <c r="E458" i="3"/>
  <c r="F458" i="3"/>
  <c r="G458" i="3"/>
  <c r="H458" i="3"/>
  <c r="I458" i="3"/>
  <c r="J458" i="3"/>
  <c r="K458" i="3"/>
  <c r="L458" i="3"/>
  <c r="M458" i="3"/>
  <c r="N458" i="3"/>
  <c r="O458" i="3"/>
  <c r="P458" i="3"/>
  <c r="Q458" i="3"/>
  <c r="R458" i="3"/>
  <c r="S458" i="3"/>
  <c r="T458" i="3"/>
  <c r="U458" i="3"/>
  <c r="B459" i="3"/>
  <c r="C459" i="3"/>
  <c r="D459" i="3"/>
  <c r="E459" i="3"/>
  <c r="F459" i="3"/>
  <c r="G459" i="3"/>
  <c r="H459" i="3"/>
  <c r="I459" i="3"/>
  <c r="J459" i="3"/>
  <c r="K459" i="3"/>
  <c r="L459" i="3"/>
  <c r="M459" i="3"/>
  <c r="N459" i="3"/>
  <c r="O459" i="3"/>
  <c r="P459" i="3"/>
  <c r="Q459" i="3"/>
  <c r="R459" i="3"/>
  <c r="S459" i="3"/>
  <c r="T459" i="3"/>
  <c r="U459" i="3"/>
  <c r="B460" i="3"/>
  <c r="C460" i="3"/>
  <c r="D460" i="3"/>
  <c r="E460" i="3"/>
  <c r="F460" i="3"/>
  <c r="G460" i="3"/>
  <c r="H460" i="3"/>
  <c r="I460" i="3"/>
  <c r="J460" i="3"/>
  <c r="K460" i="3"/>
  <c r="L460" i="3"/>
  <c r="M460" i="3"/>
  <c r="N460" i="3"/>
  <c r="O460" i="3"/>
  <c r="P460" i="3"/>
  <c r="Q460" i="3"/>
  <c r="R460" i="3"/>
  <c r="S460" i="3"/>
  <c r="T460" i="3"/>
  <c r="U460" i="3"/>
  <c r="B461" i="3"/>
  <c r="C461" i="3"/>
  <c r="D461" i="3"/>
  <c r="E461" i="3"/>
  <c r="F461" i="3"/>
  <c r="G461" i="3"/>
  <c r="H461" i="3"/>
  <c r="I461" i="3"/>
  <c r="J461" i="3"/>
  <c r="K461" i="3"/>
  <c r="L461" i="3"/>
  <c r="M461" i="3"/>
  <c r="N461" i="3"/>
  <c r="O461" i="3"/>
  <c r="P461" i="3"/>
  <c r="Q461" i="3"/>
  <c r="R461" i="3"/>
  <c r="S461" i="3"/>
  <c r="T461" i="3"/>
  <c r="U461" i="3"/>
  <c r="B462" i="3"/>
  <c r="C462" i="3"/>
  <c r="D462" i="3"/>
  <c r="E462" i="3"/>
  <c r="F462" i="3"/>
  <c r="G462" i="3"/>
  <c r="H462" i="3"/>
  <c r="I462" i="3"/>
  <c r="J462" i="3"/>
  <c r="K462" i="3"/>
  <c r="L462" i="3"/>
  <c r="M462" i="3"/>
  <c r="N462" i="3"/>
  <c r="O462" i="3"/>
  <c r="P462" i="3"/>
  <c r="Q462" i="3"/>
  <c r="R462" i="3"/>
  <c r="S462" i="3"/>
  <c r="T462" i="3"/>
  <c r="U462" i="3"/>
  <c r="B463" i="3"/>
  <c r="C463" i="3"/>
  <c r="D463" i="3"/>
  <c r="E463" i="3"/>
  <c r="F463" i="3"/>
  <c r="G463" i="3"/>
  <c r="H463" i="3"/>
  <c r="I463" i="3"/>
  <c r="J463" i="3"/>
  <c r="K463" i="3"/>
  <c r="L463" i="3"/>
  <c r="M463" i="3"/>
  <c r="N463" i="3"/>
  <c r="O463" i="3"/>
  <c r="P463" i="3"/>
  <c r="Q463" i="3"/>
  <c r="R463" i="3"/>
  <c r="S463" i="3"/>
  <c r="T463" i="3"/>
  <c r="U463" i="3"/>
  <c r="B464" i="3"/>
  <c r="C464" i="3"/>
  <c r="D464" i="3"/>
  <c r="E464" i="3"/>
  <c r="F464" i="3"/>
  <c r="G464" i="3"/>
  <c r="H464" i="3"/>
  <c r="I464" i="3"/>
  <c r="J464" i="3"/>
  <c r="K464" i="3"/>
  <c r="L464" i="3"/>
  <c r="M464" i="3"/>
  <c r="N464" i="3"/>
  <c r="O464" i="3"/>
  <c r="P464" i="3"/>
  <c r="Q464" i="3"/>
  <c r="R464" i="3"/>
  <c r="S464" i="3"/>
  <c r="T464" i="3"/>
  <c r="U464" i="3"/>
  <c r="B465" i="3"/>
  <c r="C465" i="3"/>
  <c r="D465" i="3"/>
  <c r="E465" i="3"/>
  <c r="F465" i="3"/>
  <c r="G465" i="3"/>
  <c r="H465" i="3"/>
  <c r="I465" i="3"/>
  <c r="J465" i="3"/>
  <c r="K465" i="3"/>
  <c r="L465" i="3"/>
  <c r="M465" i="3"/>
  <c r="N465" i="3"/>
  <c r="O465" i="3"/>
  <c r="P465" i="3"/>
  <c r="Q465" i="3"/>
  <c r="R465" i="3"/>
  <c r="S465" i="3"/>
  <c r="T465" i="3"/>
  <c r="U465" i="3"/>
  <c r="B466" i="3"/>
  <c r="C466" i="3"/>
  <c r="D466" i="3"/>
  <c r="E466" i="3"/>
  <c r="F466" i="3"/>
  <c r="G466" i="3"/>
  <c r="H466" i="3"/>
  <c r="I466" i="3"/>
  <c r="J466" i="3"/>
  <c r="K466" i="3"/>
  <c r="L466" i="3"/>
  <c r="M466" i="3"/>
  <c r="N466" i="3"/>
  <c r="O466" i="3"/>
  <c r="P466" i="3"/>
  <c r="Q466" i="3"/>
  <c r="R466" i="3"/>
  <c r="S466" i="3"/>
  <c r="T466" i="3"/>
  <c r="U466" i="3"/>
  <c r="B467" i="3"/>
  <c r="C467" i="3"/>
  <c r="D467" i="3"/>
  <c r="E467" i="3"/>
  <c r="F467" i="3"/>
  <c r="G467" i="3"/>
  <c r="H467" i="3"/>
  <c r="I467" i="3"/>
  <c r="J467" i="3"/>
  <c r="K467" i="3"/>
  <c r="L467" i="3"/>
  <c r="M467" i="3"/>
  <c r="N467" i="3"/>
  <c r="O467" i="3"/>
  <c r="P467" i="3"/>
  <c r="Q467" i="3"/>
  <c r="R467" i="3"/>
  <c r="S467" i="3"/>
  <c r="T467" i="3"/>
  <c r="U467" i="3"/>
  <c r="B468" i="3"/>
  <c r="C468" i="3"/>
  <c r="D468" i="3"/>
  <c r="E468" i="3"/>
  <c r="F468" i="3"/>
  <c r="G468" i="3"/>
  <c r="H468" i="3"/>
  <c r="I468" i="3"/>
  <c r="J468" i="3"/>
  <c r="K468" i="3"/>
  <c r="L468" i="3"/>
  <c r="M468" i="3"/>
  <c r="N468" i="3"/>
  <c r="O468" i="3"/>
  <c r="P468" i="3"/>
  <c r="Q468" i="3"/>
  <c r="R468" i="3"/>
  <c r="S468" i="3"/>
  <c r="T468" i="3"/>
  <c r="U468" i="3"/>
  <c r="B469" i="3"/>
  <c r="C469" i="3"/>
  <c r="D469" i="3"/>
  <c r="E469" i="3"/>
  <c r="F469" i="3"/>
  <c r="G469" i="3"/>
  <c r="H469" i="3"/>
  <c r="I469" i="3"/>
  <c r="J469" i="3"/>
  <c r="K469" i="3"/>
  <c r="L469" i="3"/>
  <c r="M469" i="3"/>
  <c r="N469" i="3"/>
  <c r="O469" i="3"/>
  <c r="P469" i="3"/>
  <c r="Q469" i="3"/>
  <c r="R469" i="3"/>
  <c r="S469" i="3"/>
  <c r="T469" i="3"/>
  <c r="U469" i="3"/>
  <c r="B470" i="3"/>
  <c r="C470" i="3"/>
  <c r="D470" i="3"/>
  <c r="E470" i="3"/>
  <c r="F470" i="3"/>
  <c r="G470" i="3"/>
  <c r="H470" i="3"/>
  <c r="I470" i="3"/>
  <c r="J470" i="3"/>
  <c r="K470" i="3"/>
  <c r="L470" i="3"/>
  <c r="M470" i="3"/>
  <c r="N470" i="3"/>
  <c r="O470" i="3"/>
  <c r="P470" i="3"/>
  <c r="Q470" i="3"/>
  <c r="R470" i="3"/>
  <c r="S470" i="3"/>
  <c r="T470" i="3"/>
  <c r="U470" i="3"/>
  <c r="B471" i="3"/>
  <c r="C471" i="3"/>
  <c r="D471" i="3"/>
  <c r="E471" i="3"/>
  <c r="F471" i="3"/>
  <c r="G471" i="3"/>
  <c r="H471" i="3"/>
  <c r="I471" i="3"/>
  <c r="J471" i="3"/>
  <c r="K471" i="3"/>
  <c r="L471" i="3"/>
  <c r="M471" i="3"/>
  <c r="N471" i="3"/>
  <c r="O471" i="3"/>
  <c r="P471" i="3"/>
  <c r="Q471" i="3"/>
  <c r="R471" i="3"/>
  <c r="S471" i="3"/>
  <c r="T471" i="3"/>
  <c r="U471" i="3"/>
  <c r="B472" i="3"/>
  <c r="C472" i="3"/>
  <c r="D472" i="3"/>
  <c r="E472" i="3"/>
  <c r="F472" i="3"/>
  <c r="G472" i="3"/>
  <c r="H472" i="3"/>
  <c r="I472" i="3"/>
  <c r="J472" i="3"/>
  <c r="K472" i="3"/>
  <c r="L472" i="3"/>
  <c r="M472" i="3"/>
  <c r="N472" i="3"/>
  <c r="O472" i="3"/>
  <c r="P472" i="3"/>
  <c r="Q472" i="3"/>
  <c r="R472" i="3"/>
  <c r="S472" i="3"/>
  <c r="T472" i="3"/>
  <c r="U472" i="3"/>
  <c r="B473" i="3"/>
  <c r="C473" i="3"/>
  <c r="D473" i="3"/>
  <c r="E473" i="3"/>
  <c r="F473" i="3"/>
  <c r="G473" i="3"/>
  <c r="H473" i="3"/>
  <c r="I473" i="3"/>
  <c r="J473" i="3"/>
  <c r="K473" i="3"/>
  <c r="L473" i="3"/>
  <c r="M473" i="3"/>
  <c r="N473" i="3"/>
  <c r="O473" i="3"/>
  <c r="P473" i="3"/>
  <c r="Q473" i="3"/>
  <c r="R473" i="3"/>
  <c r="S473" i="3"/>
  <c r="T473" i="3"/>
  <c r="U473" i="3"/>
  <c r="B474" i="3"/>
  <c r="C474" i="3"/>
  <c r="D474" i="3"/>
  <c r="E474" i="3"/>
  <c r="F474" i="3"/>
  <c r="G474" i="3"/>
  <c r="H474" i="3"/>
  <c r="I474" i="3"/>
  <c r="J474" i="3"/>
  <c r="K474" i="3"/>
  <c r="L474" i="3"/>
  <c r="M474" i="3"/>
  <c r="N474" i="3"/>
  <c r="O474" i="3"/>
  <c r="P474" i="3"/>
  <c r="Q474" i="3"/>
  <c r="R474" i="3"/>
  <c r="S474" i="3"/>
  <c r="T474" i="3"/>
  <c r="U474" i="3"/>
  <c r="B475" i="3"/>
  <c r="C475" i="3"/>
  <c r="D475" i="3"/>
  <c r="E475" i="3"/>
  <c r="F475" i="3"/>
  <c r="G475" i="3"/>
  <c r="H475" i="3"/>
  <c r="I475" i="3"/>
  <c r="J475" i="3"/>
  <c r="K475" i="3"/>
  <c r="L475" i="3"/>
  <c r="M475" i="3"/>
  <c r="N475" i="3"/>
  <c r="O475" i="3"/>
  <c r="P475" i="3"/>
  <c r="Q475" i="3"/>
  <c r="R475" i="3"/>
  <c r="S475" i="3"/>
  <c r="T475" i="3"/>
  <c r="U475" i="3"/>
  <c r="B476" i="3"/>
  <c r="C476" i="3"/>
  <c r="D476" i="3"/>
  <c r="E476" i="3"/>
  <c r="F476" i="3"/>
  <c r="G476" i="3"/>
  <c r="H476" i="3"/>
  <c r="I476" i="3"/>
  <c r="J476" i="3"/>
  <c r="K476" i="3"/>
  <c r="L476" i="3"/>
  <c r="M476" i="3"/>
  <c r="N476" i="3"/>
  <c r="O476" i="3"/>
  <c r="P476" i="3"/>
  <c r="Q476" i="3"/>
  <c r="R476" i="3"/>
  <c r="S476" i="3"/>
  <c r="T476" i="3"/>
  <c r="U476" i="3"/>
  <c r="B477" i="3"/>
  <c r="C477" i="3"/>
  <c r="D477" i="3"/>
  <c r="E477" i="3"/>
  <c r="F477" i="3"/>
  <c r="G477" i="3"/>
  <c r="H477" i="3"/>
  <c r="I477" i="3"/>
  <c r="J477" i="3"/>
  <c r="K477" i="3"/>
  <c r="L477" i="3"/>
  <c r="M477" i="3"/>
  <c r="N477" i="3"/>
  <c r="O477" i="3"/>
  <c r="P477" i="3"/>
  <c r="Q477" i="3"/>
  <c r="R477" i="3"/>
  <c r="S477" i="3"/>
  <c r="T477" i="3"/>
  <c r="U477" i="3"/>
  <c r="B478" i="3"/>
  <c r="C478" i="3"/>
  <c r="D478" i="3"/>
  <c r="E478" i="3"/>
  <c r="F478" i="3"/>
  <c r="G478" i="3"/>
  <c r="H478" i="3"/>
  <c r="I478" i="3"/>
  <c r="J478" i="3"/>
  <c r="K478" i="3"/>
  <c r="L478" i="3"/>
  <c r="M478" i="3"/>
  <c r="N478" i="3"/>
  <c r="O478" i="3"/>
  <c r="P478" i="3"/>
  <c r="Q478" i="3"/>
  <c r="R478" i="3"/>
  <c r="S478" i="3"/>
  <c r="T478" i="3"/>
  <c r="U478" i="3"/>
  <c r="B479" i="3"/>
  <c r="C479" i="3"/>
  <c r="D479" i="3"/>
  <c r="E479" i="3"/>
  <c r="F479" i="3"/>
  <c r="G479" i="3"/>
  <c r="H479" i="3"/>
  <c r="I479" i="3"/>
  <c r="J479" i="3"/>
  <c r="K479" i="3"/>
  <c r="L479" i="3"/>
  <c r="M479" i="3"/>
  <c r="N479" i="3"/>
  <c r="O479" i="3"/>
  <c r="P479" i="3"/>
  <c r="Q479" i="3"/>
  <c r="R479" i="3"/>
  <c r="S479" i="3"/>
  <c r="T479" i="3"/>
  <c r="U479" i="3"/>
  <c r="B480" i="3"/>
  <c r="C480" i="3"/>
  <c r="D480" i="3"/>
  <c r="E480" i="3"/>
  <c r="F480" i="3"/>
  <c r="G480" i="3"/>
  <c r="H480" i="3"/>
  <c r="I480" i="3"/>
  <c r="J480" i="3"/>
  <c r="K480" i="3"/>
  <c r="L480" i="3"/>
  <c r="M480" i="3"/>
  <c r="N480" i="3"/>
  <c r="O480" i="3"/>
  <c r="P480" i="3"/>
  <c r="Q480" i="3"/>
  <c r="R480" i="3"/>
  <c r="S480" i="3"/>
  <c r="T480" i="3"/>
  <c r="U480" i="3"/>
  <c r="B481" i="3"/>
  <c r="C481" i="3"/>
  <c r="D481" i="3"/>
  <c r="E481" i="3"/>
  <c r="F481" i="3"/>
  <c r="G481" i="3"/>
  <c r="H481" i="3"/>
  <c r="I481" i="3"/>
  <c r="J481" i="3"/>
  <c r="K481" i="3"/>
  <c r="L481" i="3"/>
  <c r="M481" i="3"/>
  <c r="N481" i="3"/>
  <c r="O481" i="3"/>
  <c r="P481" i="3"/>
  <c r="Q481" i="3"/>
  <c r="R481" i="3"/>
  <c r="S481" i="3"/>
  <c r="T481" i="3"/>
  <c r="U481" i="3"/>
  <c r="B482" i="3"/>
  <c r="C482" i="3"/>
  <c r="D482" i="3"/>
  <c r="E482" i="3"/>
  <c r="F482" i="3"/>
  <c r="G482" i="3"/>
  <c r="H482" i="3"/>
  <c r="I482" i="3"/>
  <c r="J482" i="3"/>
  <c r="K482" i="3"/>
  <c r="L482" i="3"/>
  <c r="M482" i="3"/>
  <c r="N482" i="3"/>
  <c r="O482" i="3"/>
  <c r="P482" i="3"/>
  <c r="Q482" i="3"/>
  <c r="R482" i="3"/>
  <c r="S482" i="3"/>
  <c r="T482" i="3"/>
  <c r="U482" i="3"/>
  <c r="B483" i="3"/>
  <c r="C483" i="3"/>
  <c r="D483" i="3"/>
  <c r="E483" i="3"/>
  <c r="F483" i="3"/>
  <c r="G483" i="3"/>
  <c r="H483" i="3"/>
  <c r="I483" i="3"/>
  <c r="J483" i="3"/>
  <c r="K483" i="3"/>
  <c r="L483" i="3"/>
  <c r="M483" i="3"/>
  <c r="N483" i="3"/>
  <c r="O483" i="3"/>
  <c r="P483" i="3"/>
  <c r="Q483" i="3"/>
  <c r="R483" i="3"/>
  <c r="S483" i="3"/>
  <c r="T483" i="3"/>
  <c r="U483" i="3"/>
  <c r="B484" i="3"/>
  <c r="C484" i="3"/>
  <c r="D484" i="3"/>
  <c r="E484" i="3"/>
  <c r="F484" i="3"/>
  <c r="G484" i="3"/>
  <c r="H484" i="3"/>
  <c r="I484" i="3"/>
  <c r="J484" i="3"/>
  <c r="K484" i="3"/>
  <c r="L484" i="3"/>
  <c r="M484" i="3"/>
  <c r="N484" i="3"/>
  <c r="O484" i="3"/>
  <c r="P484" i="3"/>
  <c r="Q484" i="3"/>
  <c r="R484" i="3"/>
  <c r="S484" i="3"/>
  <c r="T484" i="3"/>
  <c r="U484" i="3"/>
  <c r="B485" i="3"/>
  <c r="C485" i="3"/>
  <c r="D485" i="3"/>
  <c r="E485" i="3"/>
  <c r="F485" i="3"/>
  <c r="G485" i="3"/>
  <c r="H485" i="3"/>
  <c r="I485" i="3"/>
  <c r="J485" i="3"/>
  <c r="K485" i="3"/>
  <c r="L485" i="3"/>
  <c r="M485" i="3"/>
  <c r="N485" i="3"/>
  <c r="O485" i="3"/>
  <c r="P485" i="3"/>
  <c r="Q485" i="3"/>
  <c r="R485" i="3"/>
  <c r="S485" i="3"/>
  <c r="T485" i="3"/>
  <c r="U485" i="3"/>
  <c r="B486" i="3"/>
  <c r="C486" i="3"/>
  <c r="D486" i="3"/>
  <c r="E486" i="3"/>
  <c r="F486" i="3"/>
  <c r="G486" i="3"/>
  <c r="H486" i="3"/>
  <c r="I486" i="3"/>
  <c r="J486" i="3"/>
  <c r="K486" i="3"/>
  <c r="L486" i="3"/>
  <c r="M486" i="3"/>
  <c r="N486" i="3"/>
  <c r="O486" i="3"/>
  <c r="P486" i="3"/>
  <c r="Q486" i="3"/>
  <c r="R486" i="3"/>
  <c r="S486" i="3"/>
  <c r="T486" i="3"/>
  <c r="U486" i="3"/>
  <c r="B487" i="3"/>
  <c r="C487" i="3"/>
  <c r="D487" i="3"/>
  <c r="E487" i="3"/>
  <c r="F487" i="3"/>
  <c r="G487" i="3"/>
  <c r="H487" i="3"/>
  <c r="I487" i="3"/>
  <c r="J487" i="3"/>
  <c r="K487" i="3"/>
  <c r="L487" i="3"/>
  <c r="M487" i="3"/>
  <c r="N487" i="3"/>
  <c r="O487" i="3"/>
  <c r="P487" i="3"/>
  <c r="Q487" i="3"/>
  <c r="R487" i="3"/>
  <c r="S487" i="3"/>
  <c r="T487" i="3"/>
  <c r="U487" i="3"/>
  <c r="B488" i="3"/>
  <c r="C488" i="3"/>
  <c r="D488" i="3"/>
  <c r="E488" i="3"/>
  <c r="F488" i="3"/>
  <c r="G488" i="3"/>
  <c r="H488" i="3"/>
  <c r="I488" i="3"/>
  <c r="J488" i="3"/>
  <c r="K488" i="3"/>
  <c r="L488" i="3"/>
  <c r="M488" i="3"/>
  <c r="N488" i="3"/>
  <c r="O488" i="3"/>
  <c r="P488" i="3"/>
  <c r="Q488" i="3"/>
  <c r="R488" i="3"/>
  <c r="S488" i="3"/>
  <c r="T488" i="3"/>
  <c r="U488" i="3"/>
  <c r="B489" i="3"/>
  <c r="C489" i="3"/>
  <c r="D489" i="3"/>
  <c r="E489" i="3"/>
  <c r="F489" i="3"/>
  <c r="G489" i="3"/>
  <c r="H489" i="3"/>
  <c r="I489" i="3"/>
  <c r="J489" i="3"/>
  <c r="K489" i="3"/>
  <c r="L489" i="3"/>
  <c r="M489" i="3"/>
  <c r="N489" i="3"/>
  <c r="O489" i="3"/>
  <c r="P489" i="3"/>
  <c r="Q489" i="3"/>
  <c r="R489" i="3"/>
  <c r="S489" i="3"/>
  <c r="T489" i="3"/>
  <c r="U489" i="3"/>
  <c r="B490" i="3"/>
  <c r="C490" i="3"/>
  <c r="D490" i="3"/>
  <c r="E490" i="3"/>
  <c r="F490" i="3"/>
  <c r="G490" i="3"/>
  <c r="H490" i="3"/>
  <c r="I490" i="3"/>
  <c r="J490" i="3"/>
  <c r="K490" i="3"/>
  <c r="L490" i="3"/>
  <c r="M490" i="3"/>
  <c r="N490" i="3"/>
  <c r="O490" i="3"/>
  <c r="P490" i="3"/>
  <c r="Q490" i="3"/>
  <c r="R490" i="3"/>
  <c r="S490" i="3"/>
  <c r="T490" i="3"/>
  <c r="U490" i="3"/>
  <c r="B491" i="3"/>
  <c r="C491" i="3"/>
  <c r="D491" i="3"/>
  <c r="E491" i="3"/>
  <c r="F491" i="3"/>
  <c r="G491" i="3"/>
  <c r="H491" i="3"/>
  <c r="I491" i="3"/>
  <c r="J491" i="3"/>
  <c r="K491" i="3"/>
  <c r="L491" i="3"/>
  <c r="M491" i="3"/>
  <c r="N491" i="3"/>
  <c r="O491" i="3"/>
  <c r="P491" i="3"/>
  <c r="Q491" i="3"/>
  <c r="R491" i="3"/>
  <c r="S491" i="3"/>
  <c r="T491" i="3"/>
  <c r="U491" i="3"/>
  <c r="B492" i="3"/>
  <c r="C492" i="3"/>
  <c r="D492" i="3"/>
  <c r="E492" i="3"/>
  <c r="F492" i="3"/>
  <c r="G492" i="3"/>
  <c r="H492" i="3"/>
  <c r="I492" i="3"/>
  <c r="J492" i="3"/>
  <c r="K492" i="3"/>
  <c r="L492" i="3"/>
  <c r="M492" i="3"/>
  <c r="N492" i="3"/>
  <c r="O492" i="3"/>
  <c r="P492" i="3"/>
  <c r="Q492" i="3"/>
  <c r="R492" i="3"/>
  <c r="S492" i="3"/>
  <c r="T492" i="3"/>
  <c r="U492" i="3"/>
  <c r="B493" i="3"/>
  <c r="C493" i="3"/>
  <c r="D493" i="3"/>
  <c r="E493" i="3"/>
  <c r="F493" i="3"/>
  <c r="G493" i="3"/>
  <c r="H493" i="3"/>
  <c r="I493" i="3"/>
  <c r="J493" i="3"/>
  <c r="K493" i="3"/>
  <c r="L493" i="3"/>
  <c r="M493" i="3"/>
  <c r="N493" i="3"/>
  <c r="O493" i="3"/>
  <c r="P493" i="3"/>
  <c r="Q493" i="3"/>
  <c r="R493" i="3"/>
  <c r="S493" i="3"/>
  <c r="T493" i="3"/>
  <c r="U493" i="3"/>
  <c r="B494" i="3"/>
  <c r="C494" i="3"/>
  <c r="D494" i="3"/>
  <c r="E494" i="3"/>
  <c r="F494" i="3"/>
  <c r="G494" i="3"/>
  <c r="H494" i="3"/>
  <c r="I494" i="3"/>
  <c r="J494" i="3"/>
  <c r="K494" i="3"/>
  <c r="L494" i="3"/>
  <c r="M494" i="3"/>
  <c r="N494" i="3"/>
  <c r="O494" i="3"/>
  <c r="P494" i="3"/>
  <c r="Q494" i="3"/>
  <c r="R494" i="3"/>
  <c r="S494" i="3"/>
  <c r="T494" i="3"/>
  <c r="U494" i="3"/>
  <c r="B495" i="3"/>
  <c r="C495" i="3"/>
  <c r="D495" i="3"/>
  <c r="E495" i="3"/>
  <c r="F495" i="3"/>
  <c r="G495" i="3"/>
  <c r="H495" i="3"/>
  <c r="I495" i="3"/>
  <c r="J495" i="3"/>
  <c r="K495" i="3"/>
  <c r="L495" i="3"/>
  <c r="M495" i="3"/>
  <c r="N495" i="3"/>
  <c r="O495" i="3"/>
  <c r="P495" i="3"/>
  <c r="Q495" i="3"/>
  <c r="R495" i="3"/>
  <c r="S495" i="3"/>
  <c r="T495" i="3"/>
  <c r="U495" i="3"/>
  <c r="B496" i="3"/>
  <c r="C496" i="3"/>
  <c r="D496" i="3"/>
  <c r="E496" i="3"/>
  <c r="F496" i="3"/>
  <c r="G496" i="3"/>
  <c r="H496" i="3"/>
  <c r="I496" i="3"/>
  <c r="J496" i="3"/>
  <c r="K496" i="3"/>
  <c r="L496" i="3"/>
  <c r="M496" i="3"/>
  <c r="N496" i="3"/>
  <c r="O496" i="3"/>
  <c r="P496" i="3"/>
  <c r="Q496" i="3"/>
  <c r="R496" i="3"/>
  <c r="S496" i="3"/>
  <c r="T496" i="3"/>
  <c r="U496" i="3"/>
  <c r="B497" i="3"/>
  <c r="C497" i="3"/>
  <c r="D497" i="3"/>
  <c r="E497" i="3"/>
  <c r="F497" i="3"/>
  <c r="G497" i="3"/>
  <c r="H497" i="3"/>
  <c r="I497" i="3"/>
  <c r="J497" i="3"/>
  <c r="K497" i="3"/>
  <c r="L497" i="3"/>
  <c r="M497" i="3"/>
  <c r="N497" i="3"/>
  <c r="O497" i="3"/>
  <c r="P497" i="3"/>
  <c r="Q497" i="3"/>
  <c r="R497" i="3"/>
  <c r="S497" i="3"/>
  <c r="T497" i="3"/>
  <c r="U497" i="3"/>
  <c r="B498" i="3"/>
  <c r="C498" i="3"/>
  <c r="D498" i="3"/>
  <c r="E498" i="3"/>
  <c r="F498" i="3"/>
  <c r="G498" i="3"/>
  <c r="H498" i="3"/>
  <c r="I498" i="3"/>
  <c r="J498" i="3"/>
  <c r="K498" i="3"/>
  <c r="L498" i="3"/>
  <c r="M498" i="3"/>
  <c r="N498" i="3"/>
  <c r="O498" i="3"/>
  <c r="P498" i="3"/>
  <c r="Q498" i="3"/>
  <c r="R498" i="3"/>
  <c r="S498" i="3"/>
  <c r="T498" i="3"/>
  <c r="U498" i="3"/>
  <c r="B499" i="3"/>
  <c r="C499" i="3"/>
  <c r="D499" i="3"/>
  <c r="E499" i="3"/>
  <c r="F499" i="3"/>
  <c r="G499" i="3"/>
  <c r="H499" i="3"/>
  <c r="I499" i="3"/>
  <c r="J499" i="3"/>
  <c r="K499" i="3"/>
  <c r="L499" i="3"/>
  <c r="M499" i="3"/>
  <c r="N499" i="3"/>
  <c r="O499" i="3"/>
  <c r="P499" i="3"/>
  <c r="Q499" i="3"/>
  <c r="R499" i="3"/>
  <c r="S499" i="3"/>
  <c r="T499" i="3"/>
  <c r="U499" i="3"/>
  <c r="B500" i="3"/>
  <c r="C500" i="3"/>
  <c r="D500" i="3"/>
  <c r="E500" i="3"/>
  <c r="F500" i="3"/>
  <c r="G500" i="3"/>
  <c r="H500" i="3"/>
  <c r="I500" i="3"/>
  <c r="J500" i="3"/>
  <c r="K500" i="3"/>
  <c r="L500" i="3"/>
  <c r="M500" i="3"/>
  <c r="N500" i="3"/>
  <c r="O500" i="3"/>
  <c r="P500" i="3"/>
  <c r="Q500" i="3"/>
  <c r="R500" i="3"/>
  <c r="S500" i="3"/>
  <c r="T500" i="3"/>
  <c r="U500" i="3"/>
  <c r="B501" i="3"/>
  <c r="C501" i="3"/>
  <c r="D501" i="3"/>
  <c r="E501" i="3"/>
  <c r="F501" i="3"/>
  <c r="G501" i="3"/>
  <c r="H501" i="3"/>
  <c r="I501" i="3"/>
  <c r="J501" i="3"/>
  <c r="K501" i="3"/>
  <c r="L501" i="3"/>
  <c r="M501" i="3"/>
  <c r="N501" i="3"/>
  <c r="O501" i="3"/>
  <c r="P501" i="3"/>
  <c r="Q501" i="3"/>
  <c r="R501" i="3"/>
  <c r="S501" i="3"/>
  <c r="T501" i="3"/>
  <c r="U501" i="3"/>
  <c r="B502" i="3"/>
  <c r="C502" i="3"/>
  <c r="D502" i="3"/>
  <c r="E502" i="3"/>
  <c r="F502" i="3"/>
  <c r="G502" i="3"/>
  <c r="H502" i="3"/>
  <c r="I502" i="3"/>
  <c r="J502" i="3"/>
  <c r="K502" i="3"/>
  <c r="L502" i="3"/>
  <c r="M502" i="3"/>
  <c r="N502" i="3"/>
  <c r="O502" i="3"/>
  <c r="P502" i="3"/>
  <c r="Q502" i="3"/>
  <c r="R502" i="3"/>
  <c r="S502" i="3"/>
  <c r="T502" i="3"/>
  <c r="U502" i="3"/>
  <c r="B503" i="3"/>
  <c r="C503" i="3"/>
  <c r="D503" i="3"/>
  <c r="E503" i="3"/>
  <c r="F503" i="3"/>
  <c r="G503" i="3"/>
  <c r="H503" i="3"/>
  <c r="I503" i="3"/>
  <c r="J503" i="3"/>
  <c r="K503" i="3"/>
  <c r="L503" i="3"/>
  <c r="M503" i="3"/>
  <c r="N503" i="3"/>
  <c r="O503" i="3"/>
  <c r="P503" i="3"/>
  <c r="Q503" i="3"/>
  <c r="R503" i="3"/>
  <c r="S503" i="3"/>
  <c r="T503" i="3"/>
  <c r="U503" i="3"/>
  <c r="B504" i="3"/>
  <c r="C504" i="3"/>
  <c r="D504" i="3"/>
  <c r="E504" i="3"/>
  <c r="F504" i="3"/>
  <c r="G504" i="3"/>
  <c r="H504" i="3"/>
  <c r="I504" i="3"/>
  <c r="J504" i="3"/>
  <c r="K504" i="3"/>
  <c r="L504" i="3"/>
  <c r="M504" i="3"/>
  <c r="N504" i="3"/>
  <c r="O504" i="3"/>
  <c r="P504" i="3"/>
  <c r="Q504" i="3"/>
  <c r="R504" i="3"/>
  <c r="S504" i="3"/>
  <c r="T504" i="3"/>
  <c r="U504" i="3"/>
  <c r="B505" i="3"/>
  <c r="C505" i="3"/>
  <c r="D505" i="3"/>
  <c r="E505" i="3"/>
  <c r="F505" i="3"/>
  <c r="G505" i="3"/>
  <c r="H505" i="3"/>
  <c r="I505" i="3"/>
  <c r="J505" i="3"/>
  <c r="K505" i="3"/>
  <c r="L505" i="3"/>
  <c r="M505" i="3"/>
  <c r="N505" i="3"/>
  <c r="O505" i="3"/>
  <c r="P505" i="3"/>
  <c r="Q505" i="3"/>
  <c r="R505" i="3"/>
  <c r="S505" i="3"/>
  <c r="T505" i="3"/>
  <c r="U505" i="3"/>
  <c r="B506" i="3"/>
  <c r="C506" i="3"/>
  <c r="D506" i="3"/>
  <c r="E506" i="3"/>
  <c r="F506" i="3"/>
  <c r="G506" i="3"/>
  <c r="H506" i="3"/>
  <c r="I506" i="3"/>
  <c r="J506" i="3"/>
  <c r="K506" i="3"/>
  <c r="L506" i="3"/>
  <c r="M506" i="3"/>
  <c r="N506" i="3"/>
  <c r="O506" i="3"/>
  <c r="P506" i="3"/>
  <c r="Q506" i="3"/>
  <c r="R506" i="3"/>
  <c r="S506" i="3"/>
  <c r="T506" i="3"/>
  <c r="U506" i="3"/>
  <c r="B507" i="3"/>
  <c r="C507" i="3"/>
  <c r="D507" i="3"/>
  <c r="E507" i="3"/>
  <c r="F507" i="3"/>
  <c r="G507" i="3"/>
  <c r="H507" i="3"/>
  <c r="I507" i="3"/>
  <c r="J507" i="3"/>
  <c r="K507" i="3"/>
  <c r="L507" i="3"/>
  <c r="M507" i="3"/>
  <c r="N507" i="3"/>
  <c r="O507" i="3"/>
  <c r="P507" i="3"/>
  <c r="Q507" i="3"/>
  <c r="R507" i="3"/>
  <c r="S507" i="3"/>
  <c r="T507" i="3"/>
  <c r="U507" i="3"/>
  <c r="B508" i="3"/>
  <c r="C508" i="3"/>
  <c r="D508" i="3"/>
  <c r="E508" i="3"/>
  <c r="F508" i="3"/>
  <c r="G508" i="3"/>
  <c r="H508" i="3"/>
  <c r="I508" i="3"/>
  <c r="J508" i="3"/>
  <c r="K508" i="3"/>
  <c r="L508" i="3"/>
  <c r="M508" i="3"/>
  <c r="N508" i="3"/>
  <c r="O508" i="3"/>
  <c r="P508" i="3"/>
  <c r="Q508" i="3"/>
  <c r="R508" i="3"/>
  <c r="S508" i="3"/>
  <c r="T508" i="3"/>
  <c r="U508" i="3"/>
  <c r="B509" i="3"/>
  <c r="C509" i="3"/>
  <c r="D509" i="3"/>
  <c r="E509" i="3"/>
  <c r="F509" i="3"/>
  <c r="G509" i="3"/>
  <c r="H509" i="3"/>
  <c r="I509" i="3"/>
  <c r="J509" i="3"/>
  <c r="K509" i="3"/>
  <c r="L509" i="3"/>
  <c r="M509" i="3"/>
  <c r="N509" i="3"/>
  <c r="O509" i="3"/>
  <c r="P509" i="3"/>
  <c r="Q509" i="3"/>
  <c r="R509" i="3"/>
  <c r="S509" i="3"/>
  <c r="T509" i="3"/>
  <c r="U509" i="3"/>
  <c r="B510" i="3"/>
  <c r="C510" i="3"/>
  <c r="D510" i="3"/>
  <c r="E510" i="3"/>
  <c r="F510" i="3"/>
  <c r="G510" i="3"/>
  <c r="H510" i="3"/>
  <c r="I510" i="3"/>
  <c r="J510" i="3"/>
  <c r="K510" i="3"/>
  <c r="L510" i="3"/>
  <c r="M510" i="3"/>
  <c r="N510" i="3"/>
  <c r="O510" i="3"/>
  <c r="P510" i="3"/>
  <c r="Q510" i="3"/>
  <c r="R510" i="3"/>
  <c r="S510" i="3"/>
  <c r="T510" i="3"/>
  <c r="U510" i="3"/>
  <c r="B511" i="3"/>
  <c r="C511" i="3"/>
  <c r="D511" i="3"/>
  <c r="E511" i="3"/>
  <c r="F511" i="3"/>
  <c r="G511" i="3"/>
  <c r="H511" i="3"/>
  <c r="I511" i="3"/>
  <c r="J511" i="3"/>
  <c r="K511" i="3"/>
  <c r="L511" i="3"/>
  <c r="M511" i="3"/>
  <c r="N511" i="3"/>
  <c r="O511" i="3"/>
  <c r="P511" i="3"/>
  <c r="Q511" i="3"/>
  <c r="R511" i="3"/>
  <c r="S511" i="3"/>
  <c r="T511" i="3"/>
  <c r="U511" i="3"/>
  <c r="B512" i="3"/>
  <c r="C512" i="3"/>
  <c r="D512" i="3"/>
  <c r="E512" i="3"/>
  <c r="F512" i="3"/>
  <c r="G512" i="3"/>
  <c r="H512" i="3"/>
  <c r="I512" i="3"/>
  <c r="J512" i="3"/>
  <c r="K512" i="3"/>
  <c r="L512" i="3"/>
  <c r="M512" i="3"/>
  <c r="N512" i="3"/>
  <c r="O512" i="3"/>
  <c r="P512" i="3"/>
  <c r="Q512" i="3"/>
  <c r="R512" i="3"/>
  <c r="S512" i="3"/>
  <c r="T512" i="3"/>
  <c r="U512" i="3"/>
  <c r="B513" i="3"/>
  <c r="C513" i="3"/>
  <c r="D513" i="3"/>
  <c r="E513" i="3"/>
  <c r="F513" i="3"/>
  <c r="G513" i="3"/>
  <c r="H513" i="3"/>
  <c r="I513" i="3"/>
  <c r="J513" i="3"/>
  <c r="K513" i="3"/>
  <c r="L513" i="3"/>
  <c r="M513" i="3"/>
  <c r="N513" i="3"/>
  <c r="O513" i="3"/>
  <c r="P513" i="3"/>
  <c r="Q513" i="3"/>
  <c r="R513" i="3"/>
  <c r="S513" i="3"/>
  <c r="T513" i="3"/>
  <c r="U513" i="3"/>
  <c r="B514" i="3"/>
  <c r="C514" i="3"/>
  <c r="D514" i="3"/>
  <c r="E514" i="3"/>
  <c r="F514" i="3"/>
  <c r="G514" i="3"/>
  <c r="H514" i="3"/>
  <c r="I514" i="3"/>
  <c r="J514" i="3"/>
  <c r="K514" i="3"/>
  <c r="L514" i="3"/>
  <c r="M514" i="3"/>
  <c r="N514" i="3"/>
  <c r="O514" i="3"/>
  <c r="P514" i="3"/>
  <c r="Q514" i="3"/>
  <c r="R514" i="3"/>
  <c r="S514" i="3"/>
  <c r="T514" i="3"/>
  <c r="U514" i="3"/>
  <c r="B515" i="3"/>
  <c r="C515" i="3"/>
  <c r="D515" i="3"/>
  <c r="E515" i="3"/>
  <c r="F515" i="3"/>
  <c r="G515" i="3"/>
  <c r="H515" i="3"/>
  <c r="I515" i="3"/>
  <c r="J515" i="3"/>
  <c r="K515" i="3"/>
  <c r="L515" i="3"/>
  <c r="M515" i="3"/>
  <c r="N515" i="3"/>
  <c r="O515" i="3"/>
  <c r="P515" i="3"/>
  <c r="Q515" i="3"/>
  <c r="R515" i="3"/>
  <c r="S515" i="3"/>
  <c r="T515" i="3"/>
  <c r="U515" i="3"/>
  <c r="B516" i="3"/>
  <c r="C516" i="3"/>
  <c r="D516" i="3"/>
  <c r="E516" i="3"/>
  <c r="F516" i="3"/>
  <c r="G516" i="3"/>
  <c r="H516" i="3"/>
  <c r="I516" i="3"/>
  <c r="J516" i="3"/>
  <c r="K516" i="3"/>
  <c r="L516" i="3"/>
  <c r="M516" i="3"/>
  <c r="N516" i="3"/>
  <c r="O516" i="3"/>
  <c r="P516" i="3"/>
  <c r="Q516" i="3"/>
  <c r="R516" i="3"/>
  <c r="S516" i="3"/>
  <c r="T516" i="3"/>
  <c r="U516" i="3"/>
  <c r="B517" i="3"/>
  <c r="C517" i="3"/>
  <c r="D517" i="3"/>
  <c r="E517" i="3"/>
  <c r="F517" i="3"/>
  <c r="G517" i="3"/>
  <c r="H517" i="3"/>
  <c r="I517" i="3"/>
  <c r="J517" i="3"/>
  <c r="K517" i="3"/>
  <c r="L517" i="3"/>
  <c r="M517" i="3"/>
  <c r="N517" i="3"/>
  <c r="O517" i="3"/>
  <c r="P517" i="3"/>
  <c r="Q517" i="3"/>
  <c r="R517" i="3"/>
  <c r="S517" i="3"/>
  <c r="T517" i="3"/>
  <c r="U517" i="3"/>
  <c r="B518" i="3"/>
  <c r="C518" i="3"/>
  <c r="D518" i="3"/>
  <c r="E518" i="3"/>
  <c r="F518" i="3"/>
  <c r="G518" i="3"/>
  <c r="H518" i="3"/>
  <c r="I518" i="3"/>
  <c r="J518" i="3"/>
  <c r="K518" i="3"/>
  <c r="L518" i="3"/>
  <c r="M518" i="3"/>
  <c r="N518" i="3"/>
  <c r="O518" i="3"/>
  <c r="P518" i="3"/>
  <c r="Q518" i="3"/>
  <c r="R518" i="3"/>
  <c r="S518" i="3"/>
  <c r="T518" i="3"/>
  <c r="U518" i="3"/>
  <c r="B519" i="3"/>
  <c r="C519" i="3"/>
  <c r="D519" i="3"/>
  <c r="E519" i="3"/>
  <c r="F519" i="3"/>
  <c r="G519" i="3"/>
  <c r="H519" i="3"/>
  <c r="I519" i="3"/>
  <c r="J519" i="3"/>
  <c r="K519" i="3"/>
  <c r="L519" i="3"/>
  <c r="M519" i="3"/>
  <c r="N519" i="3"/>
  <c r="O519" i="3"/>
  <c r="P519" i="3"/>
  <c r="Q519" i="3"/>
  <c r="R519" i="3"/>
  <c r="S519" i="3"/>
  <c r="T519" i="3"/>
  <c r="U519" i="3"/>
  <c r="B520" i="3"/>
  <c r="C520" i="3"/>
  <c r="D520" i="3"/>
  <c r="E520" i="3"/>
  <c r="F520" i="3"/>
  <c r="G520" i="3"/>
  <c r="H520" i="3"/>
  <c r="I520" i="3"/>
  <c r="J520" i="3"/>
  <c r="K520" i="3"/>
  <c r="L520" i="3"/>
  <c r="M520" i="3"/>
  <c r="N520" i="3"/>
  <c r="O520" i="3"/>
  <c r="P520" i="3"/>
  <c r="Q520" i="3"/>
  <c r="R520" i="3"/>
  <c r="S520" i="3"/>
  <c r="T520" i="3"/>
  <c r="U520" i="3"/>
  <c r="B521" i="3"/>
  <c r="C521" i="3"/>
  <c r="D521" i="3"/>
  <c r="E521" i="3"/>
  <c r="F521" i="3"/>
  <c r="G521" i="3"/>
  <c r="H521" i="3"/>
  <c r="I521" i="3"/>
  <c r="J521" i="3"/>
  <c r="K521" i="3"/>
  <c r="L521" i="3"/>
  <c r="M521" i="3"/>
  <c r="N521" i="3"/>
  <c r="O521" i="3"/>
  <c r="P521" i="3"/>
  <c r="Q521" i="3"/>
  <c r="R521" i="3"/>
  <c r="S521" i="3"/>
  <c r="T521" i="3"/>
  <c r="U521" i="3"/>
  <c r="B522" i="3"/>
  <c r="C522" i="3"/>
  <c r="D522" i="3"/>
  <c r="E522" i="3"/>
  <c r="F522" i="3"/>
  <c r="G522" i="3"/>
  <c r="H522" i="3"/>
  <c r="I522" i="3"/>
  <c r="J522" i="3"/>
  <c r="K522" i="3"/>
  <c r="L522" i="3"/>
  <c r="M522" i="3"/>
  <c r="N522" i="3"/>
  <c r="O522" i="3"/>
  <c r="P522" i="3"/>
  <c r="Q522" i="3"/>
  <c r="R522" i="3"/>
  <c r="S522" i="3"/>
  <c r="T522" i="3"/>
  <c r="U522" i="3"/>
  <c r="B523" i="3"/>
  <c r="C523" i="3"/>
  <c r="D523" i="3"/>
  <c r="E523" i="3"/>
  <c r="F523" i="3"/>
  <c r="G523" i="3"/>
  <c r="H523" i="3"/>
  <c r="I523" i="3"/>
  <c r="J523" i="3"/>
  <c r="K523" i="3"/>
  <c r="L523" i="3"/>
  <c r="M523" i="3"/>
  <c r="N523" i="3"/>
  <c r="O523" i="3"/>
  <c r="P523" i="3"/>
  <c r="Q523" i="3"/>
  <c r="R523" i="3"/>
  <c r="S523" i="3"/>
  <c r="T523" i="3"/>
  <c r="U523" i="3"/>
  <c r="B524" i="3"/>
  <c r="C524" i="3"/>
  <c r="D524" i="3"/>
  <c r="E524" i="3"/>
  <c r="F524" i="3"/>
  <c r="G524" i="3"/>
  <c r="H524" i="3"/>
  <c r="I524" i="3"/>
  <c r="J524" i="3"/>
  <c r="K524" i="3"/>
  <c r="L524" i="3"/>
  <c r="M524" i="3"/>
  <c r="N524" i="3"/>
  <c r="O524" i="3"/>
  <c r="P524" i="3"/>
  <c r="Q524" i="3"/>
  <c r="R524" i="3"/>
  <c r="S524" i="3"/>
  <c r="T524" i="3"/>
  <c r="U524" i="3"/>
  <c r="B525" i="3"/>
  <c r="C525" i="3"/>
  <c r="D525" i="3"/>
  <c r="E525" i="3"/>
  <c r="F525" i="3"/>
  <c r="G525" i="3"/>
  <c r="H525" i="3"/>
  <c r="I525" i="3"/>
  <c r="J525" i="3"/>
  <c r="K525" i="3"/>
  <c r="L525" i="3"/>
  <c r="M525" i="3"/>
  <c r="N525" i="3"/>
  <c r="O525" i="3"/>
  <c r="P525" i="3"/>
  <c r="Q525" i="3"/>
  <c r="R525" i="3"/>
  <c r="S525" i="3"/>
  <c r="T525" i="3"/>
  <c r="U525" i="3"/>
  <c r="B526" i="3"/>
  <c r="C526" i="3"/>
  <c r="D526" i="3"/>
  <c r="E526" i="3"/>
  <c r="F526" i="3"/>
  <c r="G526" i="3"/>
  <c r="H526" i="3"/>
  <c r="I526" i="3"/>
  <c r="J526" i="3"/>
  <c r="K526" i="3"/>
  <c r="L526" i="3"/>
  <c r="M526" i="3"/>
  <c r="N526" i="3"/>
  <c r="O526" i="3"/>
  <c r="P526" i="3"/>
  <c r="Q526" i="3"/>
  <c r="R526" i="3"/>
  <c r="S526" i="3"/>
  <c r="T526" i="3"/>
  <c r="U526" i="3"/>
  <c r="B527" i="3"/>
  <c r="C527" i="3"/>
  <c r="D527" i="3"/>
  <c r="E527" i="3"/>
  <c r="F527" i="3"/>
  <c r="G527" i="3"/>
  <c r="H527" i="3"/>
  <c r="I527" i="3"/>
  <c r="J527" i="3"/>
  <c r="K527" i="3"/>
  <c r="L527" i="3"/>
  <c r="M527" i="3"/>
  <c r="N527" i="3"/>
  <c r="O527" i="3"/>
  <c r="P527" i="3"/>
  <c r="Q527" i="3"/>
  <c r="R527" i="3"/>
  <c r="S527" i="3"/>
  <c r="T527" i="3"/>
  <c r="U527" i="3"/>
  <c r="B528" i="3"/>
  <c r="C528" i="3"/>
  <c r="D528" i="3"/>
  <c r="E528" i="3"/>
  <c r="F528" i="3"/>
  <c r="G528" i="3"/>
  <c r="H528" i="3"/>
  <c r="I528" i="3"/>
  <c r="J528" i="3"/>
  <c r="K528" i="3"/>
  <c r="L528" i="3"/>
  <c r="M528" i="3"/>
  <c r="N528" i="3"/>
  <c r="O528" i="3"/>
  <c r="P528" i="3"/>
  <c r="Q528" i="3"/>
  <c r="R528" i="3"/>
  <c r="S528" i="3"/>
  <c r="T528" i="3"/>
  <c r="U528" i="3"/>
  <c r="B529" i="3"/>
  <c r="C529" i="3"/>
  <c r="D529" i="3"/>
  <c r="E529" i="3"/>
  <c r="F529" i="3"/>
  <c r="G529" i="3"/>
  <c r="H529" i="3"/>
  <c r="I529" i="3"/>
  <c r="J529" i="3"/>
  <c r="K529" i="3"/>
  <c r="L529" i="3"/>
  <c r="M529" i="3"/>
  <c r="N529" i="3"/>
  <c r="O529" i="3"/>
  <c r="P529" i="3"/>
  <c r="Q529" i="3"/>
  <c r="R529" i="3"/>
  <c r="S529" i="3"/>
  <c r="T529" i="3"/>
  <c r="U529" i="3"/>
  <c r="B530" i="3"/>
  <c r="C530" i="3"/>
  <c r="D530" i="3"/>
  <c r="E530" i="3"/>
  <c r="F530" i="3"/>
  <c r="G530" i="3"/>
  <c r="H530" i="3"/>
  <c r="I530" i="3"/>
  <c r="J530" i="3"/>
  <c r="K530" i="3"/>
  <c r="L530" i="3"/>
  <c r="M530" i="3"/>
  <c r="N530" i="3"/>
  <c r="O530" i="3"/>
  <c r="P530" i="3"/>
  <c r="Q530" i="3"/>
  <c r="R530" i="3"/>
  <c r="S530" i="3"/>
  <c r="T530" i="3"/>
  <c r="U530" i="3"/>
  <c r="B531" i="3"/>
  <c r="C531" i="3"/>
  <c r="D531" i="3"/>
  <c r="E531" i="3"/>
  <c r="F531" i="3"/>
  <c r="G531" i="3"/>
  <c r="H531" i="3"/>
  <c r="I531" i="3"/>
  <c r="J531" i="3"/>
  <c r="K531" i="3"/>
  <c r="L531" i="3"/>
  <c r="M531" i="3"/>
  <c r="N531" i="3"/>
  <c r="O531" i="3"/>
  <c r="P531" i="3"/>
  <c r="Q531" i="3"/>
  <c r="R531" i="3"/>
  <c r="S531" i="3"/>
  <c r="T531" i="3"/>
  <c r="U531" i="3"/>
  <c r="B532" i="3"/>
  <c r="C532" i="3"/>
  <c r="D532" i="3"/>
  <c r="E532" i="3"/>
  <c r="F532" i="3"/>
  <c r="G532" i="3"/>
  <c r="H532" i="3"/>
  <c r="I532" i="3"/>
  <c r="J532" i="3"/>
  <c r="K532" i="3"/>
  <c r="L532" i="3"/>
  <c r="M532" i="3"/>
  <c r="N532" i="3"/>
  <c r="O532" i="3"/>
  <c r="P532" i="3"/>
  <c r="Q532" i="3"/>
  <c r="R532" i="3"/>
  <c r="S532" i="3"/>
  <c r="T532" i="3"/>
  <c r="U532" i="3"/>
  <c r="B533" i="3"/>
  <c r="C533" i="3"/>
  <c r="D533" i="3"/>
  <c r="E533" i="3"/>
  <c r="F533" i="3"/>
  <c r="G533" i="3"/>
  <c r="H533" i="3"/>
  <c r="I533" i="3"/>
  <c r="J533" i="3"/>
  <c r="K533" i="3"/>
  <c r="L533" i="3"/>
  <c r="M533" i="3"/>
  <c r="N533" i="3"/>
  <c r="O533" i="3"/>
  <c r="P533" i="3"/>
  <c r="Q533" i="3"/>
  <c r="R533" i="3"/>
  <c r="S533" i="3"/>
  <c r="T533" i="3"/>
  <c r="U533" i="3"/>
  <c r="B534" i="3"/>
  <c r="C534" i="3"/>
  <c r="D534" i="3"/>
  <c r="E534" i="3"/>
  <c r="F534" i="3"/>
  <c r="G534" i="3"/>
  <c r="H534" i="3"/>
  <c r="I534" i="3"/>
  <c r="J534" i="3"/>
  <c r="K534" i="3"/>
  <c r="L534" i="3"/>
  <c r="M534" i="3"/>
  <c r="N534" i="3"/>
  <c r="O534" i="3"/>
  <c r="P534" i="3"/>
  <c r="Q534" i="3"/>
  <c r="R534" i="3"/>
  <c r="S534" i="3"/>
  <c r="T534" i="3"/>
  <c r="U534" i="3"/>
  <c r="B535" i="3"/>
  <c r="C535" i="3"/>
  <c r="D535" i="3"/>
  <c r="E535" i="3"/>
  <c r="F535" i="3"/>
  <c r="G535" i="3"/>
  <c r="H535" i="3"/>
  <c r="I535" i="3"/>
  <c r="J535" i="3"/>
  <c r="K535" i="3"/>
  <c r="L535" i="3"/>
  <c r="M535" i="3"/>
  <c r="N535" i="3"/>
  <c r="O535" i="3"/>
  <c r="P535" i="3"/>
  <c r="Q535" i="3"/>
  <c r="R535" i="3"/>
  <c r="S535" i="3"/>
  <c r="T535" i="3"/>
  <c r="U535" i="3"/>
  <c r="B536" i="3"/>
  <c r="C536" i="3"/>
  <c r="D536" i="3"/>
  <c r="E536" i="3"/>
  <c r="F536" i="3"/>
  <c r="G536" i="3"/>
  <c r="H536" i="3"/>
  <c r="I536" i="3"/>
  <c r="J536" i="3"/>
  <c r="K536" i="3"/>
  <c r="L536" i="3"/>
  <c r="M536" i="3"/>
  <c r="N536" i="3"/>
  <c r="O536" i="3"/>
  <c r="P536" i="3"/>
  <c r="Q536" i="3"/>
  <c r="R536" i="3"/>
  <c r="S536" i="3"/>
  <c r="T536" i="3"/>
  <c r="U536" i="3"/>
  <c r="B537" i="3"/>
  <c r="C537" i="3"/>
  <c r="D537" i="3"/>
  <c r="E537" i="3"/>
  <c r="F537" i="3"/>
  <c r="G537" i="3"/>
  <c r="H537" i="3"/>
  <c r="I537" i="3"/>
  <c r="J537" i="3"/>
  <c r="K537" i="3"/>
  <c r="L537" i="3"/>
  <c r="M537" i="3"/>
  <c r="N537" i="3"/>
  <c r="O537" i="3"/>
  <c r="P537" i="3"/>
  <c r="Q537" i="3"/>
  <c r="R537" i="3"/>
  <c r="S537" i="3"/>
  <c r="T537" i="3"/>
  <c r="U537" i="3"/>
  <c r="B538" i="3"/>
  <c r="C538" i="3"/>
  <c r="D538" i="3"/>
  <c r="E538" i="3"/>
  <c r="F538" i="3"/>
  <c r="G538" i="3"/>
  <c r="H538" i="3"/>
  <c r="I538" i="3"/>
  <c r="J538" i="3"/>
  <c r="K538" i="3"/>
  <c r="L538" i="3"/>
  <c r="M538" i="3"/>
  <c r="N538" i="3"/>
  <c r="O538" i="3"/>
  <c r="P538" i="3"/>
  <c r="Q538" i="3"/>
  <c r="R538" i="3"/>
  <c r="S538" i="3"/>
  <c r="T538" i="3"/>
  <c r="U538" i="3"/>
  <c r="B539" i="3"/>
  <c r="C539" i="3"/>
  <c r="D539" i="3"/>
  <c r="E539" i="3"/>
  <c r="F539" i="3"/>
  <c r="G539" i="3"/>
  <c r="H539" i="3"/>
  <c r="I539" i="3"/>
  <c r="J539" i="3"/>
  <c r="K539" i="3"/>
  <c r="L539" i="3"/>
  <c r="M539" i="3"/>
  <c r="N539" i="3"/>
  <c r="O539" i="3"/>
  <c r="P539" i="3"/>
  <c r="Q539" i="3"/>
  <c r="R539" i="3"/>
  <c r="S539" i="3"/>
  <c r="T539" i="3"/>
  <c r="U539" i="3"/>
  <c r="B540" i="3"/>
  <c r="C540" i="3"/>
  <c r="D540" i="3"/>
  <c r="E540" i="3"/>
  <c r="F540" i="3"/>
  <c r="G540" i="3"/>
  <c r="H540" i="3"/>
  <c r="I540" i="3"/>
  <c r="J540" i="3"/>
  <c r="K540" i="3"/>
  <c r="L540" i="3"/>
  <c r="M540" i="3"/>
  <c r="N540" i="3"/>
  <c r="O540" i="3"/>
  <c r="P540" i="3"/>
  <c r="Q540" i="3"/>
  <c r="R540" i="3"/>
  <c r="S540" i="3"/>
  <c r="T540" i="3"/>
  <c r="U540" i="3"/>
  <c r="B541" i="3"/>
  <c r="C541" i="3"/>
  <c r="D541" i="3"/>
  <c r="E541" i="3"/>
  <c r="F541" i="3"/>
  <c r="G541" i="3"/>
  <c r="H541" i="3"/>
  <c r="I541" i="3"/>
  <c r="J541" i="3"/>
  <c r="K541" i="3"/>
  <c r="L541" i="3"/>
  <c r="M541" i="3"/>
  <c r="N541" i="3"/>
  <c r="O541" i="3"/>
  <c r="P541" i="3"/>
  <c r="Q541" i="3"/>
  <c r="R541" i="3"/>
  <c r="S541" i="3"/>
  <c r="T541" i="3"/>
  <c r="U541" i="3"/>
  <c r="B542" i="3"/>
  <c r="C542" i="3"/>
  <c r="D542" i="3"/>
  <c r="E542" i="3"/>
  <c r="F542" i="3"/>
  <c r="G542" i="3"/>
  <c r="H542" i="3"/>
  <c r="I542" i="3"/>
  <c r="J542" i="3"/>
  <c r="K542" i="3"/>
  <c r="L542" i="3"/>
  <c r="M542" i="3"/>
  <c r="N542" i="3"/>
  <c r="O542" i="3"/>
  <c r="P542" i="3"/>
  <c r="Q542" i="3"/>
  <c r="R542" i="3"/>
  <c r="S542" i="3"/>
  <c r="T542" i="3"/>
  <c r="U542" i="3"/>
  <c r="B543" i="3"/>
  <c r="C543" i="3"/>
  <c r="D543" i="3"/>
  <c r="E543" i="3"/>
  <c r="F543" i="3"/>
  <c r="G543" i="3"/>
  <c r="H543" i="3"/>
  <c r="I543" i="3"/>
  <c r="J543" i="3"/>
  <c r="K543" i="3"/>
  <c r="L543" i="3"/>
  <c r="M543" i="3"/>
  <c r="N543" i="3"/>
  <c r="O543" i="3"/>
  <c r="P543" i="3"/>
  <c r="Q543" i="3"/>
  <c r="R543" i="3"/>
  <c r="S543" i="3"/>
  <c r="T543" i="3"/>
  <c r="U543" i="3"/>
  <c r="B544" i="3"/>
  <c r="C544" i="3"/>
  <c r="D544" i="3"/>
  <c r="E544" i="3"/>
  <c r="F544" i="3"/>
  <c r="G544" i="3"/>
  <c r="H544" i="3"/>
  <c r="I544" i="3"/>
  <c r="J544" i="3"/>
  <c r="K544" i="3"/>
  <c r="L544" i="3"/>
  <c r="M544" i="3"/>
  <c r="N544" i="3"/>
  <c r="O544" i="3"/>
  <c r="P544" i="3"/>
  <c r="Q544" i="3"/>
  <c r="R544" i="3"/>
  <c r="S544" i="3"/>
  <c r="T544" i="3"/>
  <c r="U544" i="3"/>
  <c r="B545" i="3"/>
  <c r="C545" i="3"/>
  <c r="D545" i="3"/>
  <c r="E545" i="3"/>
  <c r="F545" i="3"/>
  <c r="G545" i="3"/>
  <c r="H545" i="3"/>
  <c r="I545" i="3"/>
  <c r="J545" i="3"/>
  <c r="K545" i="3"/>
  <c r="L545" i="3"/>
  <c r="M545" i="3"/>
  <c r="N545" i="3"/>
  <c r="O545" i="3"/>
  <c r="P545" i="3"/>
  <c r="Q545" i="3"/>
  <c r="R545" i="3"/>
  <c r="S545" i="3"/>
  <c r="T545" i="3"/>
  <c r="U545" i="3"/>
  <c r="B546" i="3"/>
  <c r="C546" i="3"/>
  <c r="D546" i="3"/>
  <c r="E546" i="3"/>
  <c r="F546" i="3"/>
  <c r="G546" i="3"/>
  <c r="H546" i="3"/>
  <c r="I546" i="3"/>
  <c r="J546" i="3"/>
  <c r="K546" i="3"/>
  <c r="L546" i="3"/>
  <c r="M546" i="3"/>
  <c r="N546" i="3"/>
  <c r="O546" i="3"/>
  <c r="P546" i="3"/>
  <c r="Q546" i="3"/>
  <c r="R546" i="3"/>
  <c r="S546" i="3"/>
  <c r="T546" i="3"/>
  <c r="U546" i="3"/>
  <c r="B547" i="3"/>
  <c r="C547" i="3"/>
  <c r="D547" i="3"/>
  <c r="E547" i="3"/>
  <c r="F547" i="3"/>
  <c r="G547" i="3"/>
  <c r="H547" i="3"/>
  <c r="I547" i="3"/>
  <c r="J547" i="3"/>
  <c r="K547" i="3"/>
  <c r="L547" i="3"/>
  <c r="M547" i="3"/>
  <c r="N547" i="3"/>
  <c r="O547" i="3"/>
  <c r="P547" i="3"/>
  <c r="Q547" i="3"/>
  <c r="R547" i="3"/>
  <c r="S547" i="3"/>
  <c r="T547" i="3"/>
  <c r="U547" i="3"/>
  <c r="B548" i="3"/>
  <c r="C548" i="3"/>
  <c r="D548" i="3"/>
  <c r="E548" i="3"/>
  <c r="F548" i="3"/>
  <c r="G548" i="3"/>
  <c r="H548" i="3"/>
  <c r="I548" i="3"/>
  <c r="J548" i="3"/>
  <c r="K548" i="3"/>
  <c r="L548" i="3"/>
  <c r="M548" i="3"/>
  <c r="N548" i="3"/>
  <c r="O548" i="3"/>
  <c r="P548" i="3"/>
  <c r="Q548" i="3"/>
  <c r="R548" i="3"/>
  <c r="S548" i="3"/>
  <c r="T548" i="3"/>
  <c r="U548" i="3"/>
  <c r="B549" i="3"/>
  <c r="C549" i="3"/>
  <c r="D549" i="3"/>
  <c r="E549" i="3"/>
  <c r="F549" i="3"/>
  <c r="G549" i="3"/>
  <c r="H549" i="3"/>
  <c r="I549" i="3"/>
  <c r="J549" i="3"/>
  <c r="K549" i="3"/>
  <c r="L549" i="3"/>
  <c r="M549" i="3"/>
  <c r="N549" i="3"/>
  <c r="O549" i="3"/>
  <c r="P549" i="3"/>
  <c r="Q549" i="3"/>
  <c r="R549" i="3"/>
  <c r="S549" i="3"/>
  <c r="T549" i="3"/>
  <c r="U549" i="3"/>
  <c r="B550" i="3"/>
  <c r="C550" i="3"/>
  <c r="D550" i="3"/>
  <c r="E550" i="3"/>
  <c r="F550" i="3"/>
  <c r="G550" i="3"/>
  <c r="H550" i="3"/>
  <c r="I550" i="3"/>
  <c r="J550" i="3"/>
  <c r="K550" i="3"/>
  <c r="L550" i="3"/>
  <c r="M550" i="3"/>
  <c r="N550" i="3"/>
  <c r="O550" i="3"/>
  <c r="P550" i="3"/>
  <c r="Q550" i="3"/>
  <c r="R550" i="3"/>
  <c r="S550" i="3"/>
  <c r="T550" i="3"/>
  <c r="U550" i="3"/>
  <c r="B551" i="3"/>
  <c r="C551" i="3"/>
  <c r="D551" i="3"/>
  <c r="E551" i="3"/>
  <c r="F551" i="3"/>
  <c r="G551" i="3"/>
  <c r="H551" i="3"/>
  <c r="I551" i="3"/>
  <c r="J551" i="3"/>
  <c r="K551" i="3"/>
  <c r="L551" i="3"/>
  <c r="M551" i="3"/>
  <c r="N551" i="3"/>
  <c r="O551" i="3"/>
  <c r="P551" i="3"/>
  <c r="Q551" i="3"/>
  <c r="R551" i="3"/>
  <c r="S551" i="3"/>
  <c r="T551" i="3"/>
  <c r="U551" i="3"/>
  <c r="B552" i="3"/>
  <c r="C552" i="3"/>
  <c r="D552" i="3"/>
  <c r="E552" i="3"/>
  <c r="F552" i="3"/>
  <c r="G552" i="3"/>
  <c r="H552" i="3"/>
  <c r="I552" i="3"/>
  <c r="J552" i="3"/>
  <c r="K552" i="3"/>
  <c r="L552" i="3"/>
  <c r="M552" i="3"/>
  <c r="N552" i="3"/>
  <c r="O552" i="3"/>
  <c r="P552" i="3"/>
  <c r="Q552" i="3"/>
  <c r="R552" i="3"/>
  <c r="S552" i="3"/>
  <c r="T552" i="3"/>
  <c r="U552" i="3"/>
  <c r="B553" i="3"/>
  <c r="C553" i="3"/>
  <c r="D553" i="3"/>
  <c r="E553" i="3"/>
  <c r="F553" i="3"/>
  <c r="G553" i="3"/>
  <c r="H553" i="3"/>
  <c r="I553" i="3"/>
  <c r="J553" i="3"/>
  <c r="K553" i="3"/>
  <c r="L553" i="3"/>
  <c r="M553" i="3"/>
  <c r="N553" i="3"/>
  <c r="O553" i="3"/>
  <c r="P553" i="3"/>
  <c r="Q553" i="3"/>
  <c r="R553" i="3"/>
  <c r="S553" i="3"/>
  <c r="T553" i="3"/>
  <c r="U553" i="3"/>
  <c r="B554" i="3"/>
  <c r="C554" i="3"/>
  <c r="D554" i="3"/>
  <c r="E554" i="3"/>
  <c r="F554" i="3"/>
  <c r="G554" i="3"/>
  <c r="H554" i="3"/>
  <c r="I554" i="3"/>
  <c r="J554" i="3"/>
  <c r="K554" i="3"/>
  <c r="L554" i="3"/>
  <c r="M554" i="3"/>
  <c r="N554" i="3"/>
  <c r="O554" i="3"/>
  <c r="P554" i="3"/>
  <c r="Q554" i="3"/>
  <c r="R554" i="3"/>
  <c r="S554" i="3"/>
  <c r="T554" i="3"/>
  <c r="U554" i="3"/>
  <c r="B555" i="3"/>
  <c r="C555" i="3"/>
  <c r="D555" i="3"/>
  <c r="E555" i="3"/>
  <c r="F555" i="3"/>
  <c r="G555" i="3"/>
  <c r="H555" i="3"/>
  <c r="I555" i="3"/>
  <c r="J555" i="3"/>
  <c r="K555" i="3"/>
  <c r="L555" i="3"/>
  <c r="M555" i="3"/>
  <c r="N555" i="3"/>
  <c r="O555" i="3"/>
  <c r="P555" i="3"/>
  <c r="Q555" i="3"/>
  <c r="R555" i="3"/>
  <c r="S555" i="3"/>
  <c r="T555" i="3"/>
  <c r="U555" i="3"/>
  <c r="B556" i="3"/>
  <c r="C556" i="3"/>
  <c r="D556" i="3"/>
  <c r="E556" i="3"/>
  <c r="F556" i="3"/>
  <c r="G556" i="3"/>
  <c r="H556" i="3"/>
  <c r="I556" i="3"/>
  <c r="J556" i="3"/>
  <c r="K556" i="3"/>
  <c r="L556" i="3"/>
  <c r="M556" i="3"/>
  <c r="N556" i="3"/>
  <c r="O556" i="3"/>
  <c r="P556" i="3"/>
  <c r="Q556" i="3"/>
  <c r="R556" i="3"/>
  <c r="S556" i="3"/>
  <c r="T556" i="3"/>
  <c r="U556" i="3"/>
  <c r="B557" i="3"/>
  <c r="C557" i="3"/>
  <c r="D557" i="3"/>
  <c r="E557" i="3"/>
  <c r="F557" i="3"/>
  <c r="G557" i="3"/>
  <c r="H557" i="3"/>
  <c r="I557" i="3"/>
  <c r="J557" i="3"/>
  <c r="K557" i="3"/>
  <c r="L557" i="3"/>
  <c r="M557" i="3"/>
  <c r="N557" i="3"/>
  <c r="O557" i="3"/>
  <c r="P557" i="3"/>
  <c r="Q557" i="3"/>
  <c r="R557" i="3"/>
  <c r="S557" i="3"/>
  <c r="T557" i="3"/>
  <c r="U557" i="3"/>
  <c r="B558" i="3"/>
  <c r="C558" i="3"/>
  <c r="D558" i="3"/>
  <c r="E558" i="3"/>
  <c r="F558" i="3"/>
  <c r="G558" i="3"/>
  <c r="H558" i="3"/>
  <c r="I558" i="3"/>
  <c r="J558" i="3"/>
  <c r="K558" i="3"/>
  <c r="L558" i="3"/>
  <c r="M558" i="3"/>
  <c r="N558" i="3"/>
  <c r="O558" i="3"/>
  <c r="P558" i="3"/>
  <c r="Q558" i="3"/>
  <c r="R558" i="3"/>
  <c r="S558" i="3"/>
  <c r="T558" i="3"/>
  <c r="U558" i="3"/>
  <c r="B559" i="3"/>
  <c r="C559" i="3"/>
  <c r="D559" i="3"/>
  <c r="E559" i="3"/>
  <c r="F559" i="3"/>
  <c r="G559" i="3"/>
  <c r="H559" i="3"/>
  <c r="I559" i="3"/>
  <c r="J559" i="3"/>
  <c r="K559" i="3"/>
  <c r="L559" i="3"/>
  <c r="M559" i="3"/>
  <c r="N559" i="3"/>
  <c r="O559" i="3"/>
  <c r="P559" i="3"/>
  <c r="Q559" i="3"/>
  <c r="R559" i="3"/>
  <c r="S559" i="3"/>
  <c r="T559" i="3"/>
  <c r="U559" i="3"/>
  <c r="B560" i="3"/>
  <c r="C560" i="3"/>
  <c r="D560" i="3"/>
  <c r="E560" i="3"/>
  <c r="F560" i="3"/>
  <c r="G560" i="3"/>
  <c r="H560" i="3"/>
  <c r="I560" i="3"/>
  <c r="J560" i="3"/>
  <c r="K560" i="3"/>
  <c r="L560" i="3"/>
  <c r="M560" i="3"/>
  <c r="N560" i="3"/>
  <c r="O560" i="3"/>
  <c r="P560" i="3"/>
  <c r="Q560" i="3"/>
  <c r="R560" i="3"/>
  <c r="S560" i="3"/>
  <c r="T560" i="3"/>
  <c r="U560" i="3"/>
  <c r="B561" i="3"/>
  <c r="C561" i="3"/>
  <c r="D561" i="3"/>
  <c r="E561" i="3"/>
  <c r="F561" i="3"/>
  <c r="G561" i="3"/>
  <c r="H561" i="3"/>
  <c r="I561" i="3"/>
  <c r="J561" i="3"/>
  <c r="K561" i="3"/>
  <c r="L561" i="3"/>
  <c r="M561" i="3"/>
  <c r="N561" i="3"/>
  <c r="O561" i="3"/>
  <c r="P561" i="3"/>
  <c r="Q561" i="3"/>
  <c r="R561" i="3"/>
  <c r="S561" i="3"/>
  <c r="T561" i="3"/>
  <c r="U561" i="3"/>
  <c r="B562" i="3"/>
  <c r="C562" i="3"/>
  <c r="D562" i="3"/>
  <c r="E562" i="3"/>
  <c r="F562" i="3"/>
  <c r="G562" i="3"/>
  <c r="H562" i="3"/>
  <c r="I562" i="3"/>
  <c r="J562" i="3"/>
  <c r="K562" i="3"/>
  <c r="L562" i="3"/>
  <c r="M562" i="3"/>
  <c r="N562" i="3"/>
  <c r="O562" i="3"/>
  <c r="P562" i="3"/>
  <c r="Q562" i="3"/>
  <c r="R562" i="3"/>
  <c r="S562" i="3"/>
  <c r="T562" i="3"/>
  <c r="U562" i="3"/>
  <c r="B563" i="3"/>
  <c r="C563" i="3"/>
  <c r="D563" i="3"/>
  <c r="E563" i="3"/>
  <c r="F563" i="3"/>
  <c r="G563" i="3"/>
  <c r="H563" i="3"/>
  <c r="I563" i="3"/>
  <c r="J563" i="3"/>
  <c r="K563" i="3"/>
  <c r="L563" i="3"/>
  <c r="M563" i="3"/>
  <c r="N563" i="3"/>
  <c r="O563" i="3"/>
  <c r="P563" i="3"/>
  <c r="Q563" i="3"/>
  <c r="R563" i="3"/>
  <c r="S563" i="3"/>
  <c r="T563" i="3"/>
  <c r="U563" i="3"/>
  <c r="B564" i="3"/>
  <c r="C564" i="3"/>
  <c r="D564" i="3"/>
  <c r="E564" i="3"/>
  <c r="F564" i="3"/>
  <c r="G564" i="3"/>
  <c r="H564" i="3"/>
  <c r="I564" i="3"/>
  <c r="J564" i="3"/>
  <c r="K564" i="3"/>
  <c r="L564" i="3"/>
  <c r="M564" i="3"/>
  <c r="N564" i="3"/>
  <c r="O564" i="3"/>
  <c r="P564" i="3"/>
  <c r="Q564" i="3"/>
  <c r="R564" i="3"/>
  <c r="S564" i="3"/>
  <c r="T564" i="3"/>
  <c r="U564" i="3"/>
  <c r="B565" i="3"/>
  <c r="C565" i="3"/>
  <c r="D565" i="3"/>
  <c r="E565" i="3"/>
  <c r="F565" i="3"/>
  <c r="G565" i="3"/>
  <c r="H565" i="3"/>
  <c r="I565" i="3"/>
  <c r="J565" i="3"/>
  <c r="K565" i="3"/>
  <c r="L565" i="3"/>
  <c r="M565" i="3"/>
  <c r="N565" i="3"/>
  <c r="O565" i="3"/>
  <c r="P565" i="3"/>
  <c r="Q565" i="3"/>
  <c r="R565" i="3"/>
  <c r="S565" i="3"/>
  <c r="T565" i="3"/>
  <c r="U565" i="3"/>
  <c r="B566" i="3"/>
  <c r="C566" i="3"/>
  <c r="D566" i="3"/>
  <c r="E566" i="3"/>
  <c r="F566" i="3"/>
  <c r="G566" i="3"/>
  <c r="H566" i="3"/>
  <c r="I566" i="3"/>
  <c r="J566" i="3"/>
  <c r="K566" i="3"/>
  <c r="L566" i="3"/>
  <c r="M566" i="3"/>
  <c r="N566" i="3"/>
  <c r="O566" i="3"/>
  <c r="P566" i="3"/>
  <c r="Q566" i="3"/>
  <c r="R566" i="3"/>
  <c r="S566" i="3"/>
  <c r="T566" i="3"/>
  <c r="U566" i="3"/>
  <c r="B567" i="3"/>
  <c r="C567" i="3"/>
  <c r="D567" i="3"/>
  <c r="E567" i="3"/>
  <c r="F567" i="3"/>
  <c r="G567" i="3"/>
  <c r="H567" i="3"/>
  <c r="I567" i="3"/>
  <c r="J567" i="3"/>
  <c r="K567" i="3"/>
  <c r="L567" i="3"/>
  <c r="M567" i="3"/>
  <c r="N567" i="3"/>
  <c r="O567" i="3"/>
  <c r="P567" i="3"/>
  <c r="Q567" i="3"/>
  <c r="R567" i="3"/>
  <c r="S567" i="3"/>
  <c r="T567" i="3"/>
  <c r="U567" i="3"/>
  <c r="B568" i="3"/>
  <c r="C568" i="3"/>
  <c r="D568" i="3"/>
  <c r="E568" i="3"/>
  <c r="F568" i="3"/>
  <c r="G568" i="3"/>
  <c r="H568" i="3"/>
  <c r="I568" i="3"/>
  <c r="J568" i="3"/>
  <c r="K568" i="3"/>
  <c r="L568" i="3"/>
  <c r="M568" i="3"/>
  <c r="N568" i="3"/>
  <c r="O568" i="3"/>
  <c r="P568" i="3"/>
  <c r="Q568" i="3"/>
  <c r="R568" i="3"/>
  <c r="S568" i="3"/>
  <c r="T568" i="3"/>
  <c r="U568" i="3"/>
  <c r="B569" i="3"/>
  <c r="C569" i="3"/>
  <c r="D569" i="3"/>
  <c r="E569" i="3"/>
  <c r="F569" i="3"/>
  <c r="G569" i="3"/>
  <c r="H569" i="3"/>
  <c r="I569" i="3"/>
  <c r="J569" i="3"/>
  <c r="K569" i="3"/>
  <c r="L569" i="3"/>
  <c r="M569" i="3"/>
  <c r="N569" i="3"/>
  <c r="O569" i="3"/>
  <c r="P569" i="3"/>
  <c r="Q569" i="3"/>
  <c r="R569" i="3"/>
  <c r="S569" i="3"/>
  <c r="T569" i="3"/>
  <c r="U569" i="3"/>
  <c r="B570" i="3"/>
  <c r="C570" i="3"/>
  <c r="D570" i="3"/>
  <c r="E570" i="3"/>
  <c r="F570" i="3"/>
  <c r="G570" i="3"/>
  <c r="H570" i="3"/>
  <c r="I570" i="3"/>
  <c r="J570" i="3"/>
  <c r="K570" i="3"/>
  <c r="L570" i="3"/>
  <c r="M570" i="3"/>
  <c r="N570" i="3"/>
  <c r="O570" i="3"/>
  <c r="P570" i="3"/>
  <c r="Q570" i="3"/>
  <c r="R570" i="3"/>
  <c r="S570" i="3"/>
  <c r="T570" i="3"/>
  <c r="U570" i="3"/>
  <c r="B571" i="3"/>
  <c r="C571" i="3"/>
  <c r="D571" i="3"/>
  <c r="E571" i="3"/>
  <c r="F571" i="3"/>
  <c r="G571" i="3"/>
  <c r="H571" i="3"/>
  <c r="I571" i="3"/>
  <c r="J571" i="3"/>
  <c r="K571" i="3"/>
  <c r="L571" i="3"/>
  <c r="M571" i="3"/>
  <c r="N571" i="3"/>
  <c r="O571" i="3"/>
  <c r="P571" i="3"/>
  <c r="Q571" i="3"/>
  <c r="R571" i="3"/>
  <c r="S571" i="3"/>
  <c r="T571" i="3"/>
  <c r="U571" i="3"/>
  <c r="B572" i="3"/>
  <c r="C572" i="3"/>
  <c r="D572" i="3"/>
  <c r="E572" i="3"/>
  <c r="F572" i="3"/>
  <c r="G572" i="3"/>
  <c r="H572" i="3"/>
  <c r="I572" i="3"/>
  <c r="J572" i="3"/>
  <c r="K572" i="3"/>
  <c r="L572" i="3"/>
  <c r="M572" i="3"/>
  <c r="N572" i="3"/>
  <c r="O572" i="3"/>
  <c r="P572" i="3"/>
  <c r="Q572" i="3"/>
  <c r="R572" i="3"/>
  <c r="S572" i="3"/>
  <c r="T572" i="3"/>
  <c r="U572" i="3"/>
  <c r="B573" i="3"/>
  <c r="C573" i="3"/>
  <c r="D573" i="3"/>
  <c r="E573" i="3"/>
  <c r="F573" i="3"/>
  <c r="G573" i="3"/>
  <c r="H573" i="3"/>
  <c r="I573" i="3"/>
  <c r="J573" i="3"/>
  <c r="K573" i="3"/>
  <c r="L573" i="3"/>
  <c r="M573" i="3"/>
  <c r="N573" i="3"/>
  <c r="O573" i="3"/>
  <c r="P573" i="3"/>
  <c r="Q573" i="3"/>
  <c r="R573" i="3"/>
  <c r="S573" i="3"/>
  <c r="T573" i="3"/>
  <c r="U573" i="3"/>
  <c r="B574" i="3"/>
  <c r="C574" i="3"/>
  <c r="D574" i="3"/>
  <c r="E574" i="3"/>
  <c r="F574" i="3"/>
  <c r="G574" i="3"/>
  <c r="H574" i="3"/>
  <c r="I574" i="3"/>
  <c r="J574" i="3"/>
  <c r="K574" i="3"/>
  <c r="L574" i="3"/>
  <c r="M574" i="3"/>
  <c r="N574" i="3"/>
  <c r="O574" i="3"/>
  <c r="P574" i="3"/>
  <c r="Q574" i="3"/>
  <c r="R574" i="3"/>
  <c r="S574" i="3"/>
  <c r="T574" i="3"/>
  <c r="U574" i="3"/>
  <c r="B575" i="3"/>
  <c r="C575" i="3"/>
  <c r="D575" i="3"/>
  <c r="E575" i="3"/>
  <c r="F575" i="3"/>
  <c r="G575" i="3"/>
  <c r="H575" i="3"/>
  <c r="I575" i="3"/>
  <c r="J575" i="3"/>
  <c r="K575" i="3"/>
  <c r="L575" i="3"/>
  <c r="M575" i="3"/>
  <c r="N575" i="3"/>
  <c r="O575" i="3"/>
  <c r="P575" i="3"/>
  <c r="Q575" i="3"/>
  <c r="R575" i="3"/>
  <c r="S575" i="3"/>
  <c r="T575" i="3"/>
  <c r="U575" i="3"/>
  <c r="B576" i="3"/>
  <c r="C576" i="3"/>
  <c r="D576" i="3"/>
  <c r="E576" i="3"/>
  <c r="F576" i="3"/>
  <c r="G576" i="3"/>
  <c r="H576" i="3"/>
  <c r="I576" i="3"/>
  <c r="J576" i="3"/>
  <c r="K576" i="3"/>
  <c r="L576" i="3"/>
  <c r="M576" i="3"/>
  <c r="N576" i="3"/>
  <c r="O576" i="3"/>
  <c r="P576" i="3"/>
  <c r="Q576" i="3"/>
  <c r="R576" i="3"/>
  <c r="S576" i="3"/>
  <c r="T576" i="3"/>
  <c r="U576" i="3"/>
  <c r="B577" i="3"/>
  <c r="C577" i="3"/>
  <c r="D577" i="3"/>
  <c r="E577" i="3"/>
  <c r="F577" i="3"/>
  <c r="G577" i="3"/>
  <c r="H577" i="3"/>
  <c r="I577" i="3"/>
  <c r="J577" i="3"/>
  <c r="K577" i="3"/>
  <c r="L577" i="3"/>
  <c r="M577" i="3"/>
  <c r="N577" i="3"/>
  <c r="O577" i="3"/>
  <c r="P577" i="3"/>
  <c r="Q577" i="3"/>
  <c r="R577" i="3"/>
  <c r="S577" i="3"/>
  <c r="T577" i="3"/>
  <c r="U577" i="3"/>
  <c r="B578" i="3"/>
  <c r="C578" i="3"/>
  <c r="D578" i="3"/>
  <c r="E578" i="3"/>
  <c r="F578" i="3"/>
  <c r="G578" i="3"/>
  <c r="H578" i="3"/>
  <c r="I578" i="3"/>
  <c r="J578" i="3"/>
  <c r="K578" i="3"/>
  <c r="L578" i="3"/>
  <c r="M578" i="3"/>
  <c r="N578" i="3"/>
  <c r="O578" i="3"/>
  <c r="P578" i="3"/>
  <c r="Q578" i="3"/>
  <c r="R578" i="3"/>
  <c r="S578" i="3"/>
  <c r="T578" i="3"/>
  <c r="U578" i="3"/>
  <c r="B579" i="3"/>
  <c r="C579" i="3"/>
  <c r="D579" i="3"/>
  <c r="E579" i="3"/>
  <c r="F579" i="3"/>
  <c r="G579" i="3"/>
  <c r="H579" i="3"/>
  <c r="I579" i="3"/>
  <c r="J579" i="3"/>
  <c r="K579" i="3"/>
  <c r="L579" i="3"/>
  <c r="M579" i="3"/>
  <c r="N579" i="3"/>
  <c r="O579" i="3"/>
  <c r="P579" i="3"/>
  <c r="Q579" i="3"/>
  <c r="R579" i="3"/>
  <c r="S579" i="3"/>
  <c r="T579" i="3"/>
  <c r="U579" i="3"/>
  <c r="B580" i="3"/>
  <c r="C580" i="3"/>
  <c r="D580" i="3"/>
  <c r="E580" i="3"/>
  <c r="F580" i="3"/>
  <c r="G580" i="3"/>
  <c r="H580" i="3"/>
  <c r="I580" i="3"/>
  <c r="J580" i="3"/>
  <c r="K580" i="3"/>
  <c r="L580" i="3"/>
  <c r="M580" i="3"/>
  <c r="N580" i="3"/>
  <c r="O580" i="3"/>
  <c r="P580" i="3"/>
  <c r="Q580" i="3"/>
  <c r="R580" i="3"/>
  <c r="S580" i="3"/>
  <c r="T580" i="3"/>
  <c r="U580" i="3"/>
  <c r="B581" i="3"/>
  <c r="C581" i="3"/>
  <c r="D581" i="3"/>
  <c r="E581" i="3"/>
  <c r="F581" i="3"/>
  <c r="G581" i="3"/>
  <c r="H581" i="3"/>
  <c r="I581" i="3"/>
  <c r="J581" i="3"/>
  <c r="K581" i="3"/>
  <c r="L581" i="3"/>
  <c r="M581" i="3"/>
  <c r="N581" i="3"/>
  <c r="O581" i="3"/>
  <c r="P581" i="3"/>
  <c r="Q581" i="3"/>
  <c r="R581" i="3"/>
  <c r="S581" i="3"/>
  <c r="T581" i="3"/>
  <c r="U581" i="3"/>
  <c r="B582" i="3"/>
  <c r="C582" i="3"/>
  <c r="D582" i="3"/>
  <c r="E582" i="3"/>
  <c r="F582" i="3"/>
  <c r="G582" i="3"/>
  <c r="H582" i="3"/>
  <c r="I582" i="3"/>
  <c r="J582" i="3"/>
  <c r="K582" i="3"/>
  <c r="L582" i="3"/>
  <c r="M582" i="3"/>
  <c r="N582" i="3"/>
  <c r="O582" i="3"/>
  <c r="P582" i="3"/>
  <c r="Q582" i="3"/>
  <c r="R582" i="3"/>
  <c r="S582" i="3"/>
  <c r="T582" i="3"/>
  <c r="U582" i="3"/>
  <c r="B583" i="3"/>
  <c r="C583" i="3"/>
  <c r="D583" i="3"/>
  <c r="E583" i="3"/>
  <c r="F583" i="3"/>
  <c r="G583" i="3"/>
  <c r="H583" i="3"/>
  <c r="I583" i="3"/>
  <c r="J583" i="3"/>
  <c r="K583" i="3"/>
  <c r="L583" i="3"/>
  <c r="M583" i="3"/>
  <c r="N583" i="3"/>
  <c r="O583" i="3"/>
  <c r="P583" i="3"/>
  <c r="Q583" i="3"/>
  <c r="R583" i="3"/>
  <c r="S583" i="3"/>
  <c r="T583" i="3"/>
  <c r="U583" i="3"/>
  <c r="B584" i="3"/>
  <c r="C584" i="3"/>
  <c r="D584" i="3"/>
  <c r="E584" i="3"/>
  <c r="F584" i="3"/>
  <c r="G584" i="3"/>
  <c r="H584" i="3"/>
  <c r="I584" i="3"/>
  <c r="J584" i="3"/>
  <c r="K584" i="3"/>
  <c r="L584" i="3"/>
  <c r="M584" i="3"/>
  <c r="N584" i="3"/>
  <c r="O584" i="3"/>
  <c r="P584" i="3"/>
  <c r="Q584" i="3"/>
  <c r="R584" i="3"/>
  <c r="S584" i="3"/>
  <c r="T584" i="3"/>
  <c r="U584" i="3"/>
  <c r="B585" i="3"/>
  <c r="C585" i="3"/>
  <c r="D585" i="3"/>
  <c r="E585" i="3"/>
  <c r="F585" i="3"/>
  <c r="G585" i="3"/>
  <c r="H585" i="3"/>
  <c r="I585" i="3"/>
  <c r="J585" i="3"/>
  <c r="K585" i="3"/>
  <c r="L585" i="3"/>
  <c r="M585" i="3"/>
  <c r="N585" i="3"/>
  <c r="O585" i="3"/>
  <c r="P585" i="3"/>
  <c r="Q585" i="3"/>
  <c r="R585" i="3"/>
  <c r="S585" i="3"/>
  <c r="T585" i="3"/>
  <c r="U585" i="3"/>
  <c r="B586" i="3"/>
  <c r="C586" i="3"/>
  <c r="D586" i="3"/>
  <c r="E586" i="3"/>
  <c r="F586" i="3"/>
  <c r="G586" i="3"/>
  <c r="H586" i="3"/>
  <c r="I586" i="3"/>
  <c r="J586" i="3"/>
  <c r="K586" i="3"/>
  <c r="L586" i="3"/>
  <c r="M586" i="3"/>
  <c r="N586" i="3"/>
  <c r="O586" i="3"/>
  <c r="P586" i="3"/>
  <c r="Q586" i="3"/>
  <c r="R586" i="3"/>
  <c r="S586" i="3"/>
  <c r="T586" i="3"/>
  <c r="U586" i="3"/>
  <c r="B587" i="3"/>
  <c r="C587" i="3"/>
  <c r="D587" i="3"/>
  <c r="E587" i="3"/>
  <c r="F587" i="3"/>
  <c r="G587" i="3"/>
  <c r="H587" i="3"/>
  <c r="I587" i="3"/>
  <c r="J587" i="3"/>
  <c r="K587" i="3"/>
  <c r="L587" i="3"/>
  <c r="M587" i="3"/>
  <c r="N587" i="3"/>
  <c r="O587" i="3"/>
  <c r="P587" i="3"/>
  <c r="Q587" i="3"/>
  <c r="R587" i="3"/>
  <c r="S587" i="3"/>
  <c r="T587" i="3"/>
  <c r="U587" i="3"/>
  <c r="B588" i="3"/>
  <c r="C588" i="3"/>
  <c r="D588" i="3"/>
  <c r="E588" i="3"/>
  <c r="F588" i="3"/>
  <c r="G588" i="3"/>
  <c r="H588" i="3"/>
  <c r="I588" i="3"/>
  <c r="J588" i="3"/>
  <c r="K588" i="3"/>
  <c r="L588" i="3"/>
  <c r="M588" i="3"/>
  <c r="N588" i="3"/>
  <c r="O588" i="3"/>
  <c r="P588" i="3"/>
  <c r="Q588" i="3"/>
  <c r="R588" i="3"/>
  <c r="S588" i="3"/>
  <c r="T588" i="3"/>
  <c r="U588" i="3"/>
  <c r="B589" i="3"/>
  <c r="C589" i="3"/>
  <c r="D589" i="3"/>
  <c r="E589" i="3"/>
  <c r="F589" i="3"/>
  <c r="G589" i="3"/>
  <c r="H589" i="3"/>
  <c r="I589" i="3"/>
  <c r="J589" i="3"/>
  <c r="K589" i="3"/>
  <c r="L589" i="3"/>
  <c r="M589" i="3"/>
  <c r="N589" i="3"/>
  <c r="O589" i="3"/>
  <c r="P589" i="3"/>
  <c r="Q589" i="3"/>
  <c r="R589" i="3"/>
  <c r="S589" i="3"/>
  <c r="T589" i="3"/>
  <c r="U589" i="3"/>
  <c r="B590" i="3"/>
  <c r="C590" i="3"/>
  <c r="D590" i="3"/>
  <c r="E590" i="3"/>
  <c r="F590" i="3"/>
  <c r="G590" i="3"/>
  <c r="H590" i="3"/>
  <c r="I590" i="3"/>
  <c r="J590" i="3"/>
  <c r="K590" i="3"/>
  <c r="L590" i="3"/>
  <c r="M590" i="3"/>
  <c r="N590" i="3"/>
  <c r="O590" i="3"/>
  <c r="P590" i="3"/>
  <c r="Q590" i="3"/>
  <c r="R590" i="3"/>
  <c r="S590" i="3"/>
  <c r="T590" i="3"/>
  <c r="U590" i="3"/>
  <c r="B591" i="3"/>
  <c r="C591" i="3"/>
  <c r="D591" i="3"/>
  <c r="E591" i="3"/>
  <c r="F591" i="3"/>
  <c r="G591" i="3"/>
  <c r="H591" i="3"/>
  <c r="I591" i="3"/>
  <c r="J591" i="3"/>
  <c r="K591" i="3"/>
  <c r="L591" i="3"/>
  <c r="M591" i="3"/>
  <c r="N591" i="3"/>
  <c r="O591" i="3"/>
  <c r="P591" i="3"/>
  <c r="Q591" i="3"/>
  <c r="R591" i="3"/>
  <c r="S591" i="3"/>
  <c r="T591" i="3"/>
  <c r="U591" i="3"/>
  <c r="B592" i="3"/>
  <c r="C592" i="3"/>
  <c r="D592" i="3"/>
  <c r="E592" i="3"/>
  <c r="F592" i="3"/>
  <c r="G592" i="3"/>
  <c r="H592" i="3"/>
  <c r="I592" i="3"/>
  <c r="J592" i="3"/>
  <c r="K592" i="3"/>
  <c r="L592" i="3"/>
  <c r="M592" i="3"/>
  <c r="N592" i="3"/>
  <c r="O592" i="3"/>
  <c r="P592" i="3"/>
  <c r="Q592" i="3"/>
  <c r="R592" i="3"/>
  <c r="S592" i="3"/>
  <c r="T592" i="3"/>
  <c r="U592" i="3"/>
  <c r="B593" i="3"/>
  <c r="C593" i="3"/>
  <c r="D593" i="3"/>
  <c r="E593" i="3"/>
  <c r="F593" i="3"/>
  <c r="G593" i="3"/>
  <c r="H593" i="3"/>
  <c r="I593" i="3"/>
  <c r="J593" i="3"/>
  <c r="K593" i="3"/>
  <c r="L593" i="3"/>
  <c r="M593" i="3"/>
  <c r="N593" i="3"/>
  <c r="O593" i="3"/>
  <c r="P593" i="3"/>
  <c r="Q593" i="3"/>
  <c r="R593" i="3"/>
  <c r="S593" i="3"/>
  <c r="T593" i="3"/>
  <c r="U593" i="3"/>
  <c r="B594" i="3"/>
  <c r="C594" i="3"/>
  <c r="D594" i="3"/>
  <c r="E594" i="3"/>
  <c r="F594" i="3"/>
  <c r="G594" i="3"/>
  <c r="H594" i="3"/>
  <c r="I594" i="3"/>
  <c r="J594" i="3"/>
  <c r="K594" i="3"/>
  <c r="L594" i="3"/>
  <c r="M594" i="3"/>
  <c r="N594" i="3"/>
  <c r="O594" i="3"/>
  <c r="P594" i="3"/>
  <c r="Q594" i="3"/>
  <c r="R594" i="3"/>
  <c r="S594" i="3"/>
  <c r="T594" i="3"/>
  <c r="U594" i="3"/>
  <c r="B595" i="3"/>
  <c r="C595" i="3"/>
  <c r="D595" i="3"/>
  <c r="E595" i="3"/>
  <c r="F595" i="3"/>
  <c r="G595" i="3"/>
  <c r="H595" i="3"/>
  <c r="I595" i="3"/>
  <c r="J595" i="3"/>
  <c r="K595" i="3"/>
  <c r="L595" i="3"/>
  <c r="M595" i="3"/>
  <c r="N595" i="3"/>
  <c r="O595" i="3"/>
  <c r="P595" i="3"/>
  <c r="Q595" i="3"/>
  <c r="R595" i="3"/>
  <c r="S595" i="3"/>
  <c r="T595" i="3"/>
  <c r="U595" i="3"/>
  <c r="B596" i="3"/>
  <c r="C596" i="3"/>
  <c r="D596" i="3"/>
  <c r="E596" i="3"/>
  <c r="F596" i="3"/>
  <c r="G596" i="3"/>
  <c r="H596" i="3"/>
  <c r="I596" i="3"/>
  <c r="J596" i="3"/>
  <c r="K596" i="3"/>
  <c r="L596" i="3"/>
  <c r="M596" i="3"/>
  <c r="N596" i="3"/>
  <c r="O596" i="3"/>
  <c r="P596" i="3"/>
  <c r="Q596" i="3"/>
  <c r="R596" i="3"/>
  <c r="S596" i="3"/>
  <c r="T596" i="3"/>
  <c r="U596" i="3"/>
  <c r="B597" i="3"/>
  <c r="C597" i="3"/>
  <c r="D597" i="3"/>
  <c r="E597" i="3"/>
  <c r="F597" i="3"/>
  <c r="G597" i="3"/>
  <c r="H597" i="3"/>
  <c r="I597" i="3"/>
  <c r="J597" i="3"/>
  <c r="K597" i="3"/>
  <c r="L597" i="3"/>
  <c r="M597" i="3"/>
  <c r="N597" i="3"/>
  <c r="O597" i="3"/>
  <c r="P597" i="3"/>
  <c r="Q597" i="3"/>
  <c r="R597" i="3"/>
  <c r="S597" i="3"/>
  <c r="T597" i="3"/>
  <c r="U597" i="3"/>
  <c r="B598" i="3"/>
  <c r="C598" i="3"/>
  <c r="D598" i="3"/>
  <c r="E598" i="3"/>
  <c r="F598" i="3"/>
  <c r="G598" i="3"/>
  <c r="H598" i="3"/>
  <c r="I598" i="3"/>
  <c r="J598" i="3"/>
  <c r="K598" i="3"/>
  <c r="L598" i="3"/>
  <c r="M598" i="3"/>
  <c r="N598" i="3"/>
  <c r="O598" i="3"/>
  <c r="P598" i="3"/>
  <c r="Q598" i="3"/>
  <c r="R598" i="3"/>
  <c r="S598" i="3"/>
  <c r="T598" i="3"/>
  <c r="U598" i="3"/>
  <c r="B599" i="3"/>
  <c r="C599" i="3"/>
  <c r="D599" i="3"/>
  <c r="E599" i="3"/>
  <c r="F599" i="3"/>
  <c r="G599" i="3"/>
  <c r="H599" i="3"/>
  <c r="I599" i="3"/>
  <c r="J599" i="3"/>
  <c r="K599" i="3"/>
  <c r="L599" i="3"/>
  <c r="M599" i="3"/>
  <c r="N599" i="3"/>
  <c r="O599" i="3"/>
  <c r="P599" i="3"/>
  <c r="Q599" i="3"/>
  <c r="R599" i="3"/>
  <c r="S599" i="3"/>
  <c r="T599" i="3"/>
  <c r="U599" i="3"/>
  <c r="B600" i="3"/>
  <c r="C600" i="3"/>
  <c r="D600" i="3"/>
  <c r="E600" i="3"/>
  <c r="F600" i="3"/>
  <c r="G600" i="3"/>
  <c r="H600" i="3"/>
  <c r="I600" i="3"/>
  <c r="J600" i="3"/>
  <c r="K600" i="3"/>
  <c r="L600" i="3"/>
  <c r="M600" i="3"/>
  <c r="N600" i="3"/>
  <c r="O600" i="3"/>
  <c r="P600" i="3"/>
  <c r="Q600" i="3"/>
  <c r="R600" i="3"/>
  <c r="S600" i="3"/>
  <c r="T600" i="3"/>
  <c r="U600" i="3"/>
  <c r="B601" i="3"/>
  <c r="C601" i="3"/>
  <c r="D601" i="3"/>
  <c r="E601" i="3"/>
  <c r="F601" i="3"/>
  <c r="G601" i="3"/>
  <c r="H601" i="3"/>
  <c r="I601" i="3"/>
  <c r="J601" i="3"/>
  <c r="K601" i="3"/>
  <c r="L601" i="3"/>
  <c r="M601" i="3"/>
  <c r="N601" i="3"/>
  <c r="O601" i="3"/>
  <c r="P601" i="3"/>
  <c r="Q601" i="3"/>
  <c r="R601" i="3"/>
  <c r="S601" i="3"/>
  <c r="T601" i="3"/>
  <c r="U601" i="3"/>
  <c r="B602" i="3"/>
  <c r="C602" i="3"/>
  <c r="D602" i="3"/>
  <c r="E602" i="3"/>
  <c r="F602" i="3"/>
  <c r="G602" i="3"/>
  <c r="H602" i="3"/>
  <c r="I602" i="3"/>
  <c r="J602" i="3"/>
  <c r="K602" i="3"/>
  <c r="L602" i="3"/>
  <c r="M602" i="3"/>
  <c r="N602" i="3"/>
  <c r="O602" i="3"/>
  <c r="P602" i="3"/>
  <c r="Q602" i="3"/>
  <c r="R602" i="3"/>
  <c r="S602" i="3"/>
  <c r="T602" i="3"/>
  <c r="U602" i="3"/>
  <c r="B603" i="3"/>
  <c r="C603" i="3"/>
  <c r="D603" i="3"/>
  <c r="E603" i="3"/>
  <c r="F603" i="3"/>
  <c r="G603" i="3"/>
  <c r="H603" i="3"/>
  <c r="I603" i="3"/>
  <c r="J603" i="3"/>
  <c r="K603" i="3"/>
  <c r="L603" i="3"/>
  <c r="M603" i="3"/>
  <c r="N603" i="3"/>
  <c r="O603" i="3"/>
  <c r="P603" i="3"/>
  <c r="Q603" i="3"/>
  <c r="R603" i="3"/>
  <c r="S603" i="3"/>
  <c r="T603" i="3"/>
  <c r="U603" i="3"/>
  <c r="B604" i="3"/>
  <c r="C604" i="3"/>
  <c r="D604" i="3"/>
  <c r="E604" i="3"/>
  <c r="F604" i="3"/>
  <c r="G604" i="3"/>
  <c r="H604" i="3"/>
  <c r="I604" i="3"/>
  <c r="J604" i="3"/>
  <c r="K604" i="3"/>
  <c r="L604" i="3"/>
  <c r="M604" i="3"/>
  <c r="N604" i="3"/>
  <c r="O604" i="3"/>
  <c r="P604" i="3"/>
  <c r="Q604" i="3"/>
  <c r="R604" i="3"/>
  <c r="S604" i="3"/>
  <c r="T604" i="3"/>
  <c r="U604" i="3"/>
  <c r="B605" i="3"/>
  <c r="C605" i="3"/>
  <c r="D605" i="3"/>
  <c r="E605" i="3"/>
  <c r="F605" i="3"/>
  <c r="G605" i="3"/>
  <c r="H605" i="3"/>
  <c r="I605" i="3"/>
  <c r="J605" i="3"/>
  <c r="K605" i="3"/>
  <c r="L605" i="3"/>
  <c r="M605" i="3"/>
  <c r="N605" i="3"/>
  <c r="O605" i="3"/>
  <c r="P605" i="3"/>
  <c r="Q605" i="3"/>
  <c r="R605" i="3"/>
  <c r="S605" i="3"/>
  <c r="T605" i="3"/>
  <c r="U605" i="3"/>
  <c r="B606" i="3"/>
  <c r="C606" i="3"/>
  <c r="D606" i="3"/>
  <c r="E606" i="3"/>
  <c r="F606" i="3"/>
  <c r="G606" i="3"/>
  <c r="H606" i="3"/>
  <c r="I606" i="3"/>
  <c r="J606" i="3"/>
  <c r="K606" i="3"/>
  <c r="L606" i="3"/>
  <c r="M606" i="3"/>
  <c r="N606" i="3"/>
  <c r="O606" i="3"/>
  <c r="P606" i="3"/>
  <c r="Q606" i="3"/>
  <c r="R606" i="3"/>
  <c r="S606" i="3"/>
  <c r="T606" i="3"/>
  <c r="U606" i="3"/>
  <c r="B607" i="3"/>
  <c r="C607" i="3"/>
  <c r="D607" i="3"/>
  <c r="E607" i="3"/>
  <c r="F607" i="3"/>
  <c r="G607" i="3"/>
  <c r="H607" i="3"/>
  <c r="I607" i="3"/>
  <c r="J607" i="3"/>
  <c r="K607" i="3"/>
  <c r="L607" i="3"/>
  <c r="M607" i="3"/>
  <c r="N607" i="3"/>
  <c r="O607" i="3"/>
  <c r="P607" i="3"/>
  <c r="Q607" i="3"/>
  <c r="R607" i="3"/>
  <c r="S607" i="3"/>
  <c r="T607" i="3"/>
  <c r="U607" i="3"/>
  <c r="B608" i="3"/>
  <c r="C608" i="3"/>
  <c r="D608" i="3"/>
  <c r="E608" i="3"/>
  <c r="F608" i="3"/>
  <c r="G608" i="3"/>
  <c r="H608" i="3"/>
  <c r="I608" i="3"/>
  <c r="J608" i="3"/>
  <c r="K608" i="3"/>
  <c r="L608" i="3"/>
  <c r="M608" i="3"/>
  <c r="N608" i="3"/>
  <c r="O608" i="3"/>
  <c r="P608" i="3"/>
  <c r="Q608" i="3"/>
  <c r="R608" i="3"/>
  <c r="S608" i="3"/>
  <c r="T608" i="3"/>
  <c r="U608" i="3"/>
  <c r="B609" i="3"/>
  <c r="C609" i="3"/>
  <c r="D609" i="3"/>
  <c r="E609" i="3"/>
  <c r="F609" i="3"/>
  <c r="G609" i="3"/>
  <c r="H609" i="3"/>
  <c r="I609" i="3"/>
  <c r="J609" i="3"/>
  <c r="K609" i="3"/>
  <c r="L609" i="3"/>
  <c r="M609" i="3"/>
  <c r="N609" i="3"/>
  <c r="O609" i="3"/>
  <c r="P609" i="3"/>
  <c r="Q609" i="3"/>
  <c r="R609" i="3"/>
  <c r="S609" i="3"/>
  <c r="T609" i="3"/>
  <c r="U609" i="3"/>
  <c r="B610" i="3"/>
  <c r="C610" i="3"/>
  <c r="D610" i="3"/>
  <c r="E610" i="3"/>
  <c r="F610" i="3"/>
  <c r="G610" i="3"/>
  <c r="H610" i="3"/>
  <c r="I610" i="3"/>
  <c r="J610" i="3"/>
  <c r="K610" i="3"/>
  <c r="L610" i="3"/>
  <c r="M610" i="3"/>
  <c r="N610" i="3"/>
  <c r="O610" i="3"/>
  <c r="P610" i="3"/>
  <c r="Q610" i="3"/>
  <c r="R610" i="3"/>
  <c r="S610" i="3"/>
  <c r="T610" i="3"/>
  <c r="U610" i="3"/>
  <c r="B611" i="3"/>
  <c r="C611" i="3"/>
  <c r="D611" i="3"/>
  <c r="E611" i="3"/>
  <c r="F611" i="3"/>
  <c r="G611" i="3"/>
  <c r="H611" i="3"/>
  <c r="I611" i="3"/>
  <c r="J611" i="3"/>
  <c r="K611" i="3"/>
  <c r="L611" i="3"/>
  <c r="M611" i="3"/>
  <c r="N611" i="3"/>
  <c r="O611" i="3"/>
  <c r="P611" i="3"/>
  <c r="Q611" i="3"/>
  <c r="R611" i="3"/>
  <c r="S611" i="3"/>
  <c r="T611" i="3"/>
  <c r="U611" i="3"/>
  <c r="B612" i="3"/>
  <c r="C612" i="3"/>
  <c r="D612" i="3"/>
  <c r="E612" i="3"/>
  <c r="F612" i="3"/>
  <c r="G612" i="3"/>
  <c r="H612" i="3"/>
  <c r="I612" i="3"/>
  <c r="J612" i="3"/>
  <c r="K612" i="3"/>
  <c r="L612" i="3"/>
  <c r="M612" i="3"/>
  <c r="N612" i="3"/>
  <c r="O612" i="3"/>
  <c r="P612" i="3"/>
  <c r="Q612" i="3"/>
  <c r="R612" i="3"/>
  <c r="S612" i="3"/>
  <c r="T612" i="3"/>
  <c r="U612" i="3"/>
  <c r="B613" i="3"/>
  <c r="C613" i="3"/>
  <c r="D613" i="3"/>
  <c r="E613" i="3"/>
  <c r="F613" i="3"/>
  <c r="G613" i="3"/>
  <c r="H613" i="3"/>
  <c r="I613" i="3"/>
  <c r="J613" i="3"/>
  <c r="K613" i="3"/>
  <c r="L613" i="3"/>
  <c r="M613" i="3"/>
  <c r="N613" i="3"/>
  <c r="O613" i="3"/>
  <c r="P613" i="3"/>
  <c r="Q613" i="3"/>
  <c r="R613" i="3"/>
  <c r="S613" i="3"/>
  <c r="T613" i="3"/>
  <c r="U613" i="3"/>
  <c r="B614" i="3"/>
  <c r="C614" i="3"/>
  <c r="D614" i="3"/>
  <c r="E614" i="3"/>
  <c r="F614" i="3"/>
  <c r="G614" i="3"/>
  <c r="H614" i="3"/>
  <c r="I614" i="3"/>
  <c r="J614" i="3"/>
  <c r="K614" i="3"/>
  <c r="L614" i="3"/>
  <c r="M614" i="3"/>
  <c r="N614" i="3"/>
  <c r="O614" i="3"/>
  <c r="P614" i="3"/>
  <c r="Q614" i="3"/>
  <c r="R614" i="3"/>
  <c r="S614" i="3"/>
  <c r="T614" i="3"/>
  <c r="U614" i="3"/>
  <c r="B615" i="3"/>
  <c r="C615" i="3"/>
  <c r="D615" i="3"/>
  <c r="E615" i="3"/>
  <c r="F615" i="3"/>
  <c r="G615" i="3"/>
  <c r="H615" i="3"/>
  <c r="I615" i="3"/>
  <c r="J615" i="3"/>
  <c r="K615" i="3"/>
  <c r="L615" i="3"/>
  <c r="M615" i="3"/>
  <c r="N615" i="3"/>
  <c r="O615" i="3"/>
  <c r="P615" i="3"/>
  <c r="Q615" i="3"/>
  <c r="R615" i="3"/>
  <c r="S615" i="3"/>
  <c r="T615" i="3"/>
  <c r="U615" i="3"/>
  <c r="B616" i="3"/>
  <c r="C616" i="3"/>
  <c r="D616" i="3"/>
  <c r="E616" i="3"/>
  <c r="F616" i="3"/>
  <c r="G616" i="3"/>
  <c r="H616" i="3"/>
  <c r="I616" i="3"/>
  <c r="J616" i="3"/>
  <c r="K616" i="3"/>
  <c r="L616" i="3"/>
  <c r="M616" i="3"/>
  <c r="N616" i="3"/>
  <c r="O616" i="3"/>
  <c r="P616" i="3"/>
  <c r="Q616" i="3"/>
  <c r="R616" i="3"/>
  <c r="S616" i="3"/>
  <c r="T616" i="3"/>
  <c r="U616" i="3"/>
  <c r="B617" i="3"/>
  <c r="C617" i="3"/>
  <c r="D617" i="3"/>
  <c r="E617" i="3"/>
  <c r="F617" i="3"/>
  <c r="G617" i="3"/>
  <c r="H617" i="3"/>
  <c r="I617" i="3"/>
  <c r="J617" i="3"/>
  <c r="K617" i="3"/>
  <c r="L617" i="3"/>
  <c r="M617" i="3"/>
  <c r="N617" i="3"/>
  <c r="O617" i="3"/>
  <c r="P617" i="3"/>
  <c r="Q617" i="3"/>
  <c r="R617" i="3"/>
  <c r="S617" i="3"/>
  <c r="T617" i="3"/>
  <c r="U617" i="3"/>
  <c r="B618" i="3"/>
  <c r="C618" i="3"/>
  <c r="D618" i="3"/>
  <c r="E618" i="3"/>
  <c r="F618" i="3"/>
  <c r="G618" i="3"/>
  <c r="H618" i="3"/>
  <c r="I618" i="3"/>
  <c r="J618" i="3"/>
  <c r="K618" i="3"/>
  <c r="L618" i="3"/>
  <c r="M618" i="3"/>
  <c r="N618" i="3"/>
  <c r="O618" i="3"/>
  <c r="P618" i="3"/>
  <c r="Q618" i="3"/>
  <c r="R618" i="3"/>
  <c r="S618" i="3"/>
  <c r="T618" i="3"/>
  <c r="U618" i="3"/>
  <c r="B619" i="3"/>
  <c r="C619" i="3"/>
  <c r="D619" i="3"/>
  <c r="E619" i="3"/>
  <c r="F619" i="3"/>
  <c r="G619" i="3"/>
  <c r="H619" i="3"/>
  <c r="I619" i="3"/>
  <c r="J619" i="3"/>
  <c r="K619" i="3"/>
  <c r="L619" i="3"/>
  <c r="M619" i="3"/>
  <c r="N619" i="3"/>
  <c r="O619" i="3"/>
  <c r="P619" i="3"/>
  <c r="Q619" i="3"/>
  <c r="R619" i="3"/>
  <c r="S619" i="3"/>
  <c r="T619" i="3"/>
  <c r="U619" i="3"/>
  <c r="B620" i="3"/>
  <c r="C620" i="3"/>
  <c r="D620" i="3"/>
  <c r="E620" i="3"/>
  <c r="F620" i="3"/>
  <c r="G620" i="3"/>
  <c r="H620" i="3"/>
  <c r="I620" i="3"/>
  <c r="J620" i="3"/>
  <c r="K620" i="3"/>
  <c r="L620" i="3"/>
  <c r="M620" i="3"/>
  <c r="N620" i="3"/>
  <c r="O620" i="3"/>
  <c r="P620" i="3"/>
  <c r="Q620" i="3"/>
  <c r="R620" i="3"/>
  <c r="S620" i="3"/>
  <c r="T620" i="3"/>
  <c r="U620" i="3"/>
  <c r="B621" i="3"/>
  <c r="C621" i="3"/>
  <c r="D621" i="3"/>
  <c r="E621" i="3"/>
  <c r="F621" i="3"/>
  <c r="G621" i="3"/>
  <c r="H621" i="3"/>
  <c r="I621" i="3"/>
  <c r="J621" i="3"/>
  <c r="K621" i="3"/>
  <c r="L621" i="3"/>
  <c r="M621" i="3"/>
  <c r="N621" i="3"/>
  <c r="O621" i="3"/>
  <c r="P621" i="3"/>
  <c r="Q621" i="3"/>
  <c r="R621" i="3"/>
  <c r="S621" i="3"/>
  <c r="T621" i="3"/>
  <c r="U621" i="3"/>
  <c r="B622" i="3"/>
  <c r="C622" i="3"/>
  <c r="D622" i="3"/>
  <c r="E622" i="3"/>
  <c r="F622" i="3"/>
  <c r="G622" i="3"/>
  <c r="H622" i="3"/>
  <c r="I622" i="3"/>
  <c r="J622" i="3"/>
  <c r="K622" i="3"/>
  <c r="L622" i="3"/>
  <c r="M622" i="3"/>
  <c r="N622" i="3"/>
  <c r="O622" i="3"/>
  <c r="P622" i="3"/>
  <c r="Q622" i="3"/>
  <c r="R622" i="3"/>
  <c r="S622" i="3"/>
  <c r="T622" i="3"/>
  <c r="U622" i="3"/>
  <c r="B623" i="3"/>
  <c r="C623" i="3"/>
  <c r="D623" i="3"/>
  <c r="E623" i="3"/>
  <c r="F623" i="3"/>
  <c r="G623" i="3"/>
  <c r="H623" i="3"/>
  <c r="I623" i="3"/>
  <c r="J623" i="3"/>
  <c r="K623" i="3"/>
  <c r="L623" i="3"/>
  <c r="M623" i="3"/>
  <c r="N623" i="3"/>
  <c r="O623" i="3"/>
  <c r="P623" i="3"/>
  <c r="Q623" i="3"/>
  <c r="R623" i="3"/>
  <c r="S623" i="3"/>
  <c r="T623" i="3"/>
  <c r="U623" i="3"/>
  <c r="B624" i="3"/>
  <c r="C624" i="3"/>
  <c r="D624" i="3"/>
  <c r="E624" i="3"/>
  <c r="F624" i="3"/>
  <c r="G624" i="3"/>
  <c r="H624" i="3"/>
  <c r="I624" i="3"/>
  <c r="J624" i="3"/>
  <c r="K624" i="3"/>
  <c r="L624" i="3"/>
  <c r="M624" i="3"/>
  <c r="N624" i="3"/>
  <c r="O624" i="3"/>
  <c r="P624" i="3"/>
  <c r="Q624" i="3"/>
  <c r="R624" i="3"/>
  <c r="S624" i="3"/>
  <c r="T624" i="3"/>
  <c r="U624" i="3"/>
  <c r="B625" i="3"/>
  <c r="C625" i="3"/>
  <c r="D625" i="3"/>
  <c r="E625" i="3"/>
  <c r="F625" i="3"/>
  <c r="G625" i="3"/>
  <c r="H625" i="3"/>
  <c r="I625" i="3"/>
  <c r="J625" i="3"/>
  <c r="K625" i="3"/>
  <c r="L625" i="3"/>
  <c r="M625" i="3"/>
  <c r="N625" i="3"/>
  <c r="O625" i="3"/>
  <c r="P625" i="3"/>
  <c r="Q625" i="3"/>
  <c r="R625" i="3"/>
  <c r="S625" i="3"/>
  <c r="T625" i="3"/>
  <c r="U625" i="3"/>
  <c r="B626" i="3"/>
  <c r="C626" i="3"/>
  <c r="D626" i="3"/>
  <c r="E626" i="3"/>
  <c r="F626" i="3"/>
  <c r="G626" i="3"/>
  <c r="H626" i="3"/>
  <c r="I626" i="3"/>
  <c r="J626" i="3"/>
  <c r="K626" i="3"/>
  <c r="L626" i="3"/>
  <c r="M626" i="3"/>
  <c r="N626" i="3"/>
  <c r="O626" i="3"/>
  <c r="P626" i="3"/>
  <c r="Q626" i="3"/>
  <c r="R626" i="3"/>
  <c r="S626" i="3"/>
  <c r="T626" i="3"/>
  <c r="U626" i="3"/>
  <c r="B627" i="3"/>
  <c r="C627" i="3"/>
  <c r="D627" i="3"/>
  <c r="E627" i="3"/>
  <c r="F627" i="3"/>
  <c r="G627" i="3"/>
  <c r="H627" i="3"/>
  <c r="I627" i="3"/>
  <c r="J627" i="3"/>
  <c r="K627" i="3"/>
  <c r="L627" i="3"/>
  <c r="M627" i="3"/>
  <c r="N627" i="3"/>
  <c r="O627" i="3"/>
  <c r="P627" i="3"/>
  <c r="Q627" i="3"/>
  <c r="R627" i="3"/>
  <c r="S627" i="3"/>
  <c r="T627" i="3"/>
  <c r="U627" i="3"/>
  <c r="B628" i="3"/>
  <c r="C628" i="3"/>
  <c r="D628" i="3"/>
  <c r="E628" i="3"/>
  <c r="F628" i="3"/>
  <c r="G628" i="3"/>
  <c r="H628" i="3"/>
  <c r="I628" i="3"/>
  <c r="J628" i="3"/>
  <c r="K628" i="3"/>
  <c r="L628" i="3"/>
  <c r="M628" i="3"/>
  <c r="N628" i="3"/>
  <c r="O628" i="3"/>
  <c r="P628" i="3"/>
  <c r="Q628" i="3"/>
  <c r="R628" i="3"/>
  <c r="S628" i="3"/>
  <c r="T628" i="3"/>
  <c r="U628" i="3"/>
  <c r="B629" i="3"/>
  <c r="C629" i="3"/>
  <c r="D629" i="3"/>
  <c r="E629" i="3"/>
  <c r="F629" i="3"/>
  <c r="G629" i="3"/>
  <c r="H629" i="3"/>
  <c r="I629" i="3"/>
  <c r="J629" i="3"/>
  <c r="K629" i="3"/>
  <c r="L629" i="3"/>
  <c r="M629" i="3"/>
  <c r="N629" i="3"/>
  <c r="O629" i="3"/>
  <c r="P629" i="3"/>
  <c r="Q629" i="3"/>
  <c r="R629" i="3"/>
  <c r="S629" i="3"/>
  <c r="T629" i="3"/>
  <c r="U629" i="3"/>
  <c r="B630" i="3"/>
  <c r="C630" i="3"/>
  <c r="D630" i="3"/>
  <c r="E630" i="3"/>
  <c r="F630" i="3"/>
  <c r="G630" i="3"/>
  <c r="H630" i="3"/>
  <c r="I630" i="3"/>
  <c r="J630" i="3"/>
  <c r="K630" i="3"/>
  <c r="L630" i="3"/>
  <c r="M630" i="3"/>
  <c r="N630" i="3"/>
  <c r="O630" i="3"/>
  <c r="P630" i="3"/>
  <c r="Q630" i="3"/>
  <c r="R630" i="3"/>
  <c r="S630" i="3"/>
  <c r="T630" i="3"/>
  <c r="U630" i="3"/>
  <c r="B631" i="3"/>
  <c r="C631" i="3"/>
  <c r="D631" i="3"/>
  <c r="E631" i="3"/>
  <c r="F631" i="3"/>
  <c r="G631" i="3"/>
  <c r="H631" i="3"/>
  <c r="I631" i="3"/>
  <c r="J631" i="3"/>
  <c r="K631" i="3"/>
  <c r="L631" i="3"/>
  <c r="M631" i="3"/>
  <c r="N631" i="3"/>
  <c r="O631" i="3"/>
  <c r="P631" i="3"/>
  <c r="Q631" i="3"/>
  <c r="R631" i="3"/>
  <c r="S631" i="3"/>
  <c r="T631" i="3"/>
  <c r="U631" i="3"/>
  <c r="B632" i="3"/>
  <c r="C632" i="3"/>
  <c r="D632" i="3"/>
  <c r="E632" i="3"/>
  <c r="F632" i="3"/>
  <c r="G632" i="3"/>
  <c r="H632" i="3"/>
  <c r="I632" i="3"/>
  <c r="J632" i="3"/>
  <c r="K632" i="3"/>
  <c r="L632" i="3"/>
  <c r="M632" i="3"/>
  <c r="N632" i="3"/>
  <c r="O632" i="3"/>
  <c r="P632" i="3"/>
  <c r="Q632" i="3"/>
  <c r="R632" i="3"/>
  <c r="S632" i="3"/>
  <c r="T632" i="3"/>
  <c r="U632" i="3"/>
  <c r="B633" i="3"/>
  <c r="C633" i="3"/>
  <c r="D633" i="3"/>
  <c r="E633" i="3"/>
  <c r="F633" i="3"/>
  <c r="G633" i="3"/>
  <c r="H633" i="3"/>
  <c r="I633" i="3"/>
  <c r="J633" i="3"/>
  <c r="K633" i="3"/>
  <c r="L633" i="3"/>
  <c r="M633" i="3"/>
  <c r="N633" i="3"/>
  <c r="O633" i="3"/>
  <c r="P633" i="3"/>
  <c r="Q633" i="3"/>
  <c r="R633" i="3"/>
  <c r="S633" i="3"/>
  <c r="T633" i="3"/>
  <c r="U633" i="3"/>
  <c r="B634" i="3"/>
  <c r="C634" i="3"/>
  <c r="D634" i="3"/>
  <c r="E634" i="3"/>
  <c r="F634" i="3"/>
  <c r="G634" i="3"/>
  <c r="H634" i="3"/>
  <c r="I634" i="3"/>
  <c r="J634" i="3"/>
  <c r="K634" i="3"/>
  <c r="L634" i="3"/>
  <c r="M634" i="3"/>
  <c r="N634" i="3"/>
  <c r="O634" i="3"/>
  <c r="P634" i="3"/>
  <c r="Q634" i="3"/>
  <c r="R634" i="3"/>
  <c r="S634" i="3"/>
  <c r="T634" i="3"/>
  <c r="U634" i="3"/>
  <c r="B635" i="3"/>
  <c r="C635" i="3"/>
  <c r="D635" i="3"/>
  <c r="E635" i="3"/>
  <c r="F635" i="3"/>
  <c r="G635" i="3"/>
  <c r="H635" i="3"/>
  <c r="I635" i="3"/>
  <c r="J635" i="3"/>
  <c r="K635" i="3"/>
  <c r="L635" i="3"/>
  <c r="M635" i="3"/>
  <c r="N635" i="3"/>
  <c r="O635" i="3"/>
  <c r="P635" i="3"/>
  <c r="Q635" i="3"/>
  <c r="R635" i="3"/>
  <c r="S635" i="3"/>
  <c r="T635" i="3"/>
  <c r="U635" i="3"/>
  <c r="B636" i="3"/>
  <c r="C636" i="3"/>
  <c r="D636" i="3"/>
  <c r="E636" i="3"/>
  <c r="F636" i="3"/>
  <c r="G636" i="3"/>
  <c r="H636" i="3"/>
  <c r="I636" i="3"/>
  <c r="J636" i="3"/>
  <c r="K636" i="3"/>
  <c r="L636" i="3"/>
  <c r="M636" i="3"/>
  <c r="N636" i="3"/>
  <c r="O636" i="3"/>
  <c r="P636" i="3"/>
  <c r="Q636" i="3"/>
  <c r="R636" i="3"/>
  <c r="S636" i="3"/>
  <c r="T636" i="3"/>
  <c r="U636" i="3"/>
  <c r="B637" i="3"/>
  <c r="C637" i="3"/>
  <c r="D637" i="3"/>
  <c r="E637" i="3"/>
  <c r="F637" i="3"/>
  <c r="G637" i="3"/>
  <c r="H637" i="3"/>
  <c r="I637" i="3"/>
  <c r="J637" i="3"/>
  <c r="K637" i="3"/>
  <c r="L637" i="3"/>
  <c r="M637" i="3"/>
  <c r="N637" i="3"/>
  <c r="O637" i="3"/>
  <c r="P637" i="3"/>
  <c r="Q637" i="3"/>
  <c r="R637" i="3"/>
  <c r="S637" i="3"/>
  <c r="T637" i="3"/>
  <c r="U637" i="3"/>
  <c r="B638" i="3"/>
  <c r="C638" i="3"/>
  <c r="D638" i="3"/>
  <c r="E638" i="3"/>
  <c r="F638" i="3"/>
  <c r="G638" i="3"/>
  <c r="H638" i="3"/>
  <c r="I638" i="3"/>
  <c r="J638" i="3"/>
  <c r="K638" i="3"/>
  <c r="L638" i="3"/>
  <c r="M638" i="3"/>
  <c r="N638" i="3"/>
  <c r="O638" i="3"/>
  <c r="P638" i="3"/>
  <c r="Q638" i="3"/>
  <c r="R638" i="3"/>
  <c r="S638" i="3"/>
  <c r="T638" i="3"/>
  <c r="U638" i="3"/>
  <c r="B639" i="3"/>
  <c r="C639" i="3"/>
  <c r="D639" i="3"/>
  <c r="E639" i="3"/>
  <c r="F639" i="3"/>
  <c r="G639" i="3"/>
  <c r="H639" i="3"/>
  <c r="I639" i="3"/>
  <c r="J639" i="3"/>
  <c r="K639" i="3"/>
  <c r="L639" i="3"/>
  <c r="M639" i="3"/>
  <c r="N639" i="3"/>
  <c r="O639" i="3"/>
  <c r="P639" i="3"/>
  <c r="Q639" i="3"/>
  <c r="R639" i="3"/>
  <c r="S639" i="3"/>
  <c r="T639" i="3"/>
  <c r="U639" i="3"/>
  <c r="B640" i="3"/>
  <c r="C640" i="3"/>
  <c r="D640" i="3"/>
  <c r="E640" i="3"/>
  <c r="F640" i="3"/>
  <c r="G640" i="3"/>
  <c r="H640" i="3"/>
  <c r="I640" i="3"/>
  <c r="J640" i="3"/>
  <c r="K640" i="3"/>
  <c r="L640" i="3"/>
  <c r="M640" i="3"/>
  <c r="N640" i="3"/>
  <c r="O640" i="3"/>
  <c r="P640" i="3"/>
  <c r="Q640" i="3"/>
  <c r="R640" i="3"/>
  <c r="S640" i="3"/>
  <c r="T640" i="3"/>
  <c r="U640" i="3"/>
  <c r="B641" i="3"/>
  <c r="C641" i="3"/>
  <c r="D641" i="3"/>
  <c r="E641" i="3"/>
  <c r="F641" i="3"/>
  <c r="G641" i="3"/>
  <c r="H641" i="3"/>
  <c r="I641" i="3"/>
  <c r="J641" i="3"/>
  <c r="K641" i="3"/>
  <c r="L641" i="3"/>
  <c r="M641" i="3"/>
  <c r="N641" i="3"/>
  <c r="O641" i="3"/>
  <c r="P641" i="3"/>
  <c r="Q641" i="3"/>
  <c r="R641" i="3"/>
  <c r="S641" i="3"/>
  <c r="T641" i="3"/>
  <c r="U641" i="3"/>
  <c r="B642" i="3"/>
  <c r="C642" i="3"/>
  <c r="D642" i="3"/>
  <c r="E642" i="3"/>
  <c r="F642" i="3"/>
  <c r="G642" i="3"/>
  <c r="H642" i="3"/>
  <c r="I642" i="3"/>
  <c r="J642" i="3"/>
  <c r="K642" i="3"/>
  <c r="L642" i="3"/>
  <c r="M642" i="3"/>
  <c r="N642" i="3"/>
  <c r="O642" i="3"/>
  <c r="P642" i="3"/>
  <c r="Q642" i="3"/>
  <c r="R642" i="3"/>
  <c r="S642" i="3"/>
  <c r="T642" i="3"/>
  <c r="U642" i="3"/>
  <c r="B643" i="3"/>
  <c r="C643" i="3"/>
  <c r="D643" i="3"/>
  <c r="E643" i="3"/>
  <c r="F643" i="3"/>
  <c r="G643" i="3"/>
  <c r="H643" i="3"/>
  <c r="I643" i="3"/>
  <c r="J643" i="3"/>
  <c r="K643" i="3"/>
  <c r="L643" i="3"/>
  <c r="M643" i="3"/>
  <c r="N643" i="3"/>
  <c r="O643" i="3"/>
  <c r="P643" i="3"/>
  <c r="Q643" i="3"/>
  <c r="R643" i="3"/>
  <c r="S643" i="3"/>
  <c r="T643" i="3"/>
  <c r="U643" i="3"/>
  <c r="B644" i="3"/>
  <c r="C644" i="3"/>
  <c r="D644" i="3"/>
  <c r="E644" i="3"/>
  <c r="F644" i="3"/>
  <c r="G644" i="3"/>
  <c r="H644" i="3"/>
  <c r="I644" i="3"/>
  <c r="J644" i="3"/>
  <c r="K644" i="3"/>
  <c r="L644" i="3"/>
  <c r="M644" i="3"/>
  <c r="N644" i="3"/>
  <c r="O644" i="3"/>
  <c r="P644" i="3"/>
  <c r="Q644" i="3"/>
  <c r="R644" i="3"/>
  <c r="S644" i="3"/>
  <c r="T644" i="3"/>
  <c r="U644" i="3"/>
  <c r="B645" i="3"/>
  <c r="C645" i="3"/>
  <c r="D645" i="3"/>
  <c r="E645" i="3"/>
  <c r="F645" i="3"/>
  <c r="G645" i="3"/>
  <c r="H645" i="3"/>
  <c r="I645" i="3"/>
  <c r="J645" i="3"/>
  <c r="K645" i="3"/>
  <c r="L645" i="3"/>
  <c r="M645" i="3"/>
  <c r="N645" i="3"/>
  <c r="O645" i="3"/>
  <c r="P645" i="3"/>
  <c r="Q645" i="3"/>
  <c r="R645" i="3"/>
  <c r="S645" i="3"/>
  <c r="T645" i="3"/>
  <c r="U645" i="3"/>
  <c r="B646" i="3"/>
  <c r="C646" i="3"/>
  <c r="D646" i="3"/>
  <c r="E646" i="3"/>
  <c r="F646" i="3"/>
  <c r="G646" i="3"/>
  <c r="H646" i="3"/>
  <c r="I646" i="3"/>
  <c r="J646" i="3"/>
  <c r="K646" i="3"/>
  <c r="L646" i="3"/>
  <c r="M646" i="3"/>
  <c r="N646" i="3"/>
  <c r="O646" i="3"/>
  <c r="P646" i="3"/>
  <c r="Q646" i="3"/>
  <c r="R646" i="3"/>
  <c r="S646" i="3"/>
  <c r="T646" i="3"/>
  <c r="U646" i="3"/>
  <c r="B647" i="3"/>
  <c r="C647" i="3"/>
  <c r="D647" i="3"/>
  <c r="E647" i="3"/>
  <c r="F647" i="3"/>
  <c r="G647" i="3"/>
  <c r="H647" i="3"/>
  <c r="I647" i="3"/>
  <c r="J647" i="3"/>
  <c r="K647" i="3"/>
  <c r="L647" i="3"/>
  <c r="M647" i="3"/>
  <c r="N647" i="3"/>
  <c r="O647" i="3"/>
  <c r="P647" i="3"/>
  <c r="Q647" i="3"/>
  <c r="R647" i="3"/>
  <c r="S647" i="3"/>
  <c r="T647" i="3"/>
  <c r="U647" i="3"/>
  <c r="B648" i="3"/>
  <c r="C648" i="3"/>
  <c r="D648" i="3"/>
  <c r="E648" i="3"/>
  <c r="F648" i="3"/>
  <c r="G648" i="3"/>
  <c r="H648" i="3"/>
  <c r="I648" i="3"/>
  <c r="J648" i="3"/>
  <c r="K648" i="3"/>
  <c r="L648" i="3"/>
  <c r="M648" i="3"/>
  <c r="N648" i="3"/>
  <c r="O648" i="3"/>
  <c r="P648" i="3"/>
  <c r="Q648" i="3"/>
  <c r="R648" i="3"/>
  <c r="S648" i="3"/>
  <c r="T648" i="3"/>
  <c r="U648" i="3"/>
  <c r="B649" i="3"/>
  <c r="C649" i="3"/>
  <c r="D649" i="3"/>
  <c r="E649" i="3"/>
  <c r="F649" i="3"/>
  <c r="G649" i="3"/>
  <c r="H649" i="3"/>
  <c r="I649" i="3"/>
  <c r="J649" i="3"/>
  <c r="K649" i="3"/>
  <c r="L649" i="3"/>
  <c r="M649" i="3"/>
  <c r="N649" i="3"/>
  <c r="O649" i="3"/>
  <c r="P649" i="3"/>
  <c r="Q649" i="3"/>
  <c r="R649" i="3"/>
  <c r="S649" i="3"/>
  <c r="T649" i="3"/>
  <c r="U649" i="3"/>
  <c r="B650" i="3"/>
  <c r="C650" i="3"/>
  <c r="D650" i="3"/>
  <c r="E650" i="3"/>
  <c r="F650" i="3"/>
  <c r="G650" i="3"/>
  <c r="H650" i="3"/>
  <c r="I650" i="3"/>
  <c r="J650" i="3"/>
  <c r="K650" i="3"/>
  <c r="L650" i="3"/>
  <c r="M650" i="3"/>
  <c r="N650" i="3"/>
  <c r="O650" i="3"/>
  <c r="P650" i="3"/>
  <c r="Q650" i="3"/>
  <c r="R650" i="3"/>
  <c r="S650" i="3"/>
  <c r="T650" i="3"/>
  <c r="U650" i="3"/>
  <c r="B651" i="3"/>
  <c r="C651" i="3"/>
  <c r="D651" i="3"/>
  <c r="E651" i="3"/>
  <c r="F651" i="3"/>
  <c r="G651" i="3"/>
  <c r="H651" i="3"/>
  <c r="I651" i="3"/>
  <c r="J651" i="3"/>
  <c r="K651" i="3"/>
  <c r="L651" i="3"/>
  <c r="M651" i="3"/>
  <c r="N651" i="3"/>
  <c r="O651" i="3"/>
  <c r="P651" i="3"/>
  <c r="Q651" i="3"/>
  <c r="R651" i="3"/>
  <c r="S651" i="3"/>
  <c r="T651" i="3"/>
  <c r="U651" i="3"/>
  <c r="B652" i="3"/>
  <c r="C652" i="3"/>
  <c r="D652" i="3"/>
  <c r="E652" i="3"/>
  <c r="F652" i="3"/>
  <c r="G652" i="3"/>
  <c r="H652" i="3"/>
  <c r="I652" i="3"/>
  <c r="J652" i="3"/>
  <c r="K652" i="3"/>
  <c r="L652" i="3"/>
  <c r="M652" i="3"/>
  <c r="N652" i="3"/>
  <c r="O652" i="3"/>
  <c r="P652" i="3"/>
  <c r="Q652" i="3"/>
  <c r="R652" i="3"/>
  <c r="S652" i="3"/>
  <c r="T652" i="3"/>
  <c r="U652" i="3"/>
  <c r="B653" i="3"/>
  <c r="C653" i="3"/>
  <c r="D653" i="3"/>
  <c r="E653" i="3"/>
  <c r="F653" i="3"/>
  <c r="G653" i="3"/>
  <c r="H653" i="3"/>
  <c r="I653" i="3"/>
  <c r="J653" i="3"/>
  <c r="K653" i="3"/>
  <c r="L653" i="3"/>
  <c r="M653" i="3"/>
  <c r="N653" i="3"/>
  <c r="O653" i="3"/>
  <c r="P653" i="3"/>
  <c r="Q653" i="3"/>
  <c r="R653" i="3"/>
  <c r="S653" i="3"/>
  <c r="T653" i="3"/>
  <c r="U653" i="3"/>
  <c r="B654" i="3"/>
  <c r="C654" i="3"/>
  <c r="D654" i="3"/>
  <c r="E654" i="3"/>
  <c r="F654" i="3"/>
  <c r="G654" i="3"/>
  <c r="H654" i="3"/>
  <c r="I654" i="3"/>
  <c r="J654" i="3"/>
  <c r="K654" i="3"/>
  <c r="L654" i="3"/>
  <c r="M654" i="3"/>
  <c r="N654" i="3"/>
  <c r="O654" i="3"/>
  <c r="P654" i="3"/>
  <c r="Q654" i="3"/>
  <c r="R654" i="3"/>
  <c r="S654" i="3"/>
  <c r="T654" i="3"/>
  <c r="U654" i="3"/>
  <c r="B655" i="3"/>
  <c r="C655" i="3"/>
  <c r="D655" i="3"/>
  <c r="E655" i="3"/>
  <c r="F655" i="3"/>
  <c r="G655" i="3"/>
  <c r="H655" i="3"/>
  <c r="I655" i="3"/>
  <c r="J655" i="3"/>
  <c r="K655" i="3"/>
  <c r="L655" i="3"/>
  <c r="M655" i="3"/>
  <c r="N655" i="3"/>
  <c r="O655" i="3"/>
  <c r="P655" i="3"/>
  <c r="Q655" i="3"/>
  <c r="R655" i="3"/>
  <c r="S655" i="3"/>
  <c r="T655" i="3"/>
  <c r="U655" i="3"/>
  <c r="B656" i="3"/>
  <c r="C656" i="3"/>
  <c r="D656" i="3"/>
  <c r="E656" i="3"/>
  <c r="F656" i="3"/>
  <c r="G656" i="3"/>
  <c r="H656" i="3"/>
  <c r="I656" i="3"/>
  <c r="J656" i="3"/>
  <c r="K656" i="3"/>
  <c r="L656" i="3"/>
  <c r="M656" i="3"/>
  <c r="N656" i="3"/>
  <c r="O656" i="3"/>
  <c r="P656" i="3"/>
  <c r="Q656" i="3"/>
  <c r="R656" i="3"/>
  <c r="S656" i="3"/>
  <c r="T656" i="3"/>
  <c r="U656" i="3"/>
  <c r="B657" i="3"/>
  <c r="C657" i="3"/>
  <c r="D657" i="3"/>
  <c r="E657" i="3"/>
  <c r="F657" i="3"/>
  <c r="G657" i="3"/>
  <c r="H657" i="3"/>
  <c r="I657" i="3"/>
  <c r="J657" i="3"/>
  <c r="K657" i="3"/>
  <c r="L657" i="3"/>
  <c r="M657" i="3"/>
  <c r="N657" i="3"/>
  <c r="O657" i="3"/>
  <c r="P657" i="3"/>
  <c r="Q657" i="3"/>
  <c r="R657" i="3"/>
  <c r="S657" i="3"/>
  <c r="T657" i="3"/>
  <c r="U657" i="3"/>
  <c r="B658" i="3"/>
  <c r="C658" i="3"/>
  <c r="D658" i="3"/>
  <c r="E658" i="3"/>
  <c r="F658" i="3"/>
  <c r="G658" i="3"/>
  <c r="H658" i="3"/>
  <c r="I658" i="3"/>
  <c r="J658" i="3"/>
  <c r="K658" i="3"/>
  <c r="L658" i="3"/>
  <c r="M658" i="3"/>
  <c r="N658" i="3"/>
  <c r="O658" i="3"/>
  <c r="P658" i="3"/>
  <c r="Q658" i="3"/>
  <c r="R658" i="3"/>
  <c r="S658" i="3"/>
  <c r="T658" i="3"/>
  <c r="U658" i="3"/>
  <c r="B659" i="3"/>
  <c r="C659" i="3"/>
  <c r="D659" i="3"/>
  <c r="E659" i="3"/>
  <c r="F659" i="3"/>
  <c r="G659" i="3"/>
  <c r="H659" i="3"/>
  <c r="I659" i="3"/>
  <c r="J659" i="3"/>
  <c r="K659" i="3"/>
  <c r="L659" i="3"/>
  <c r="M659" i="3"/>
  <c r="N659" i="3"/>
  <c r="O659" i="3"/>
  <c r="P659" i="3"/>
  <c r="Q659" i="3"/>
  <c r="R659" i="3"/>
  <c r="S659" i="3"/>
  <c r="T659" i="3"/>
  <c r="U659" i="3"/>
  <c r="B660" i="3"/>
  <c r="C660" i="3"/>
  <c r="D660" i="3"/>
  <c r="E660" i="3"/>
  <c r="F660" i="3"/>
  <c r="G660" i="3"/>
  <c r="H660" i="3"/>
  <c r="I660" i="3"/>
  <c r="J660" i="3"/>
  <c r="K660" i="3"/>
  <c r="L660" i="3"/>
  <c r="M660" i="3"/>
  <c r="N660" i="3"/>
  <c r="O660" i="3"/>
  <c r="P660" i="3"/>
  <c r="Q660" i="3"/>
  <c r="R660" i="3"/>
  <c r="S660" i="3"/>
  <c r="T660" i="3"/>
  <c r="U660" i="3"/>
  <c r="B661" i="3"/>
  <c r="C661" i="3"/>
  <c r="D661" i="3"/>
  <c r="E661" i="3"/>
  <c r="F661" i="3"/>
  <c r="G661" i="3"/>
  <c r="H661" i="3"/>
  <c r="I661" i="3"/>
  <c r="J661" i="3"/>
  <c r="K661" i="3"/>
  <c r="L661" i="3"/>
  <c r="M661" i="3"/>
  <c r="N661" i="3"/>
  <c r="O661" i="3"/>
  <c r="P661" i="3"/>
  <c r="Q661" i="3"/>
  <c r="R661" i="3"/>
  <c r="S661" i="3"/>
  <c r="T661" i="3"/>
  <c r="U661" i="3"/>
  <c r="B662" i="3"/>
  <c r="C662" i="3"/>
  <c r="D662" i="3"/>
  <c r="E662" i="3"/>
  <c r="F662" i="3"/>
  <c r="G662" i="3"/>
  <c r="H662" i="3"/>
  <c r="I662" i="3"/>
  <c r="J662" i="3"/>
  <c r="K662" i="3"/>
  <c r="L662" i="3"/>
  <c r="M662" i="3"/>
  <c r="N662" i="3"/>
  <c r="O662" i="3"/>
  <c r="P662" i="3"/>
  <c r="Q662" i="3"/>
  <c r="R662" i="3"/>
  <c r="S662" i="3"/>
  <c r="T662" i="3"/>
  <c r="U662" i="3"/>
  <c r="B663" i="3"/>
  <c r="C663" i="3"/>
  <c r="D663" i="3"/>
  <c r="E663" i="3"/>
  <c r="F663" i="3"/>
  <c r="G663" i="3"/>
  <c r="H663" i="3"/>
  <c r="I663" i="3"/>
  <c r="J663" i="3"/>
  <c r="K663" i="3"/>
  <c r="L663" i="3"/>
  <c r="M663" i="3"/>
  <c r="N663" i="3"/>
  <c r="O663" i="3"/>
  <c r="P663" i="3"/>
  <c r="Q663" i="3"/>
  <c r="R663" i="3"/>
  <c r="S663" i="3"/>
  <c r="T663" i="3"/>
  <c r="U663" i="3"/>
  <c r="B664" i="3"/>
  <c r="C664" i="3"/>
  <c r="D664" i="3"/>
  <c r="E664" i="3"/>
  <c r="F664" i="3"/>
  <c r="G664" i="3"/>
  <c r="H664" i="3"/>
  <c r="I664" i="3"/>
  <c r="J664" i="3"/>
  <c r="K664" i="3"/>
  <c r="L664" i="3"/>
  <c r="M664" i="3"/>
  <c r="N664" i="3"/>
  <c r="O664" i="3"/>
  <c r="P664" i="3"/>
  <c r="Q664" i="3"/>
  <c r="R664" i="3"/>
  <c r="S664" i="3"/>
  <c r="T664" i="3"/>
  <c r="U664" i="3"/>
  <c r="B665" i="3"/>
  <c r="C665" i="3"/>
  <c r="D665" i="3"/>
  <c r="E665" i="3"/>
  <c r="F665" i="3"/>
  <c r="G665" i="3"/>
  <c r="H665" i="3"/>
  <c r="I665" i="3"/>
  <c r="J665" i="3"/>
  <c r="K665" i="3"/>
  <c r="L665" i="3"/>
  <c r="M665" i="3"/>
  <c r="N665" i="3"/>
  <c r="O665" i="3"/>
  <c r="P665" i="3"/>
  <c r="Q665" i="3"/>
  <c r="R665" i="3"/>
  <c r="S665" i="3"/>
  <c r="T665" i="3"/>
  <c r="U665" i="3"/>
  <c r="B666" i="3"/>
  <c r="C666" i="3"/>
  <c r="D666" i="3"/>
  <c r="E666" i="3"/>
  <c r="F666" i="3"/>
  <c r="G666" i="3"/>
  <c r="H666" i="3"/>
  <c r="I666" i="3"/>
  <c r="J666" i="3"/>
  <c r="K666" i="3"/>
  <c r="L666" i="3"/>
  <c r="M666" i="3"/>
  <c r="N666" i="3"/>
  <c r="O666" i="3"/>
  <c r="P666" i="3"/>
  <c r="Q666" i="3"/>
  <c r="R666" i="3"/>
  <c r="S666" i="3"/>
  <c r="T666" i="3"/>
  <c r="U666" i="3"/>
  <c r="B667" i="3"/>
  <c r="C667" i="3"/>
  <c r="D667" i="3"/>
  <c r="E667" i="3"/>
  <c r="F667" i="3"/>
  <c r="G667" i="3"/>
  <c r="H667" i="3"/>
  <c r="I667" i="3"/>
  <c r="J667" i="3"/>
  <c r="K667" i="3"/>
  <c r="L667" i="3"/>
  <c r="M667" i="3"/>
  <c r="N667" i="3"/>
  <c r="O667" i="3"/>
  <c r="P667" i="3"/>
  <c r="Q667" i="3"/>
  <c r="R667" i="3"/>
  <c r="S667" i="3"/>
  <c r="T667" i="3"/>
  <c r="U667" i="3"/>
  <c r="B668" i="3"/>
  <c r="C668" i="3"/>
  <c r="D668" i="3"/>
  <c r="E668" i="3"/>
  <c r="F668" i="3"/>
  <c r="G668" i="3"/>
  <c r="H668" i="3"/>
  <c r="I668" i="3"/>
  <c r="J668" i="3"/>
  <c r="K668" i="3"/>
  <c r="L668" i="3"/>
  <c r="M668" i="3"/>
  <c r="N668" i="3"/>
  <c r="O668" i="3"/>
  <c r="P668" i="3"/>
  <c r="Q668" i="3"/>
  <c r="R668" i="3"/>
  <c r="S668" i="3"/>
  <c r="T668" i="3"/>
  <c r="U668" i="3"/>
  <c r="B669" i="3"/>
  <c r="C669" i="3"/>
  <c r="D669" i="3"/>
  <c r="E669" i="3"/>
  <c r="F669" i="3"/>
  <c r="G669" i="3"/>
  <c r="H669" i="3"/>
  <c r="I669" i="3"/>
  <c r="J669" i="3"/>
  <c r="K669" i="3"/>
  <c r="L669" i="3"/>
  <c r="M669" i="3"/>
  <c r="N669" i="3"/>
  <c r="O669" i="3"/>
  <c r="P669" i="3"/>
  <c r="Q669" i="3"/>
  <c r="R669" i="3"/>
  <c r="S669" i="3"/>
  <c r="T669" i="3"/>
  <c r="U669" i="3"/>
  <c r="B670" i="3"/>
  <c r="C670" i="3"/>
  <c r="D670" i="3"/>
  <c r="E670" i="3"/>
  <c r="F670" i="3"/>
  <c r="G670" i="3"/>
  <c r="H670" i="3"/>
  <c r="I670" i="3"/>
  <c r="J670" i="3"/>
  <c r="K670" i="3"/>
  <c r="L670" i="3"/>
  <c r="M670" i="3"/>
  <c r="N670" i="3"/>
  <c r="O670" i="3"/>
  <c r="P670" i="3"/>
  <c r="Q670" i="3"/>
  <c r="R670" i="3"/>
  <c r="S670" i="3"/>
  <c r="T670" i="3"/>
  <c r="U670" i="3"/>
  <c r="B671" i="3"/>
  <c r="C671" i="3"/>
  <c r="D671" i="3"/>
  <c r="E671" i="3"/>
  <c r="F671" i="3"/>
  <c r="G671" i="3"/>
  <c r="H671" i="3"/>
  <c r="I671" i="3"/>
  <c r="J671" i="3"/>
  <c r="K671" i="3"/>
  <c r="L671" i="3"/>
  <c r="M671" i="3"/>
  <c r="N671" i="3"/>
  <c r="O671" i="3"/>
  <c r="P671" i="3"/>
  <c r="Q671" i="3"/>
  <c r="R671" i="3"/>
  <c r="S671" i="3"/>
  <c r="T671" i="3"/>
  <c r="U671" i="3"/>
  <c r="B672" i="3"/>
  <c r="C672" i="3"/>
  <c r="D672" i="3"/>
  <c r="E672" i="3"/>
  <c r="F672" i="3"/>
  <c r="G672" i="3"/>
  <c r="H672" i="3"/>
  <c r="I672" i="3"/>
  <c r="J672" i="3"/>
  <c r="K672" i="3"/>
  <c r="L672" i="3"/>
  <c r="M672" i="3"/>
  <c r="N672" i="3"/>
  <c r="O672" i="3"/>
  <c r="P672" i="3"/>
  <c r="Q672" i="3"/>
  <c r="R672" i="3"/>
  <c r="S672" i="3"/>
  <c r="T672" i="3"/>
  <c r="U672" i="3"/>
  <c r="B673" i="3"/>
  <c r="C673" i="3"/>
  <c r="D673" i="3"/>
  <c r="E673" i="3"/>
  <c r="F673" i="3"/>
  <c r="G673" i="3"/>
  <c r="H673" i="3"/>
  <c r="I673" i="3"/>
  <c r="J673" i="3"/>
  <c r="K673" i="3"/>
  <c r="L673" i="3"/>
  <c r="M673" i="3"/>
  <c r="N673" i="3"/>
  <c r="O673" i="3"/>
  <c r="P673" i="3"/>
  <c r="Q673" i="3"/>
  <c r="R673" i="3"/>
  <c r="S673" i="3"/>
  <c r="T673" i="3"/>
  <c r="U673" i="3"/>
  <c r="B674" i="3"/>
  <c r="C674" i="3"/>
  <c r="D674" i="3"/>
  <c r="E674" i="3"/>
  <c r="F674" i="3"/>
  <c r="G674" i="3"/>
  <c r="H674" i="3"/>
  <c r="I674" i="3"/>
  <c r="J674" i="3"/>
  <c r="K674" i="3"/>
  <c r="L674" i="3"/>
  <c r="M674" i="3"/>
  <c r="N674" i="3"/>
  <c r="O674" i="3"/>
  <c r="P674" i="3"/>
  <c r="Q674" i="3"/>
  <c r="R674" i="3"/>
  <c r="S674" i="3"/>
  <c r="T674" i="3"/>
  <c r="U674" i="3"/>
  <c r="B675" i="3"/>
  <c r="C675" i="3"/>
  <c r="D675" i="3"/>
  <c r="E675" i="3"/>
  <c r="F675" i="3"/>
  <c r="G675" i="3"/>
  <c r="H675" i="3"/>
  <c r="I675" i="3"/>
  <c r="J675" i="3"/>
  <c r="K675" i="3"/>
  <c r="L675" i="3"/>
  <c r="M675" i="3"/>
  <c r="N675" i="3"/>
  <c r="O675" i="3"/>
  <c r="P675" i="3"/>
  <c r="Q675" i="3"/>
  <c r="R675" i="3"/>
  <c r="S675" i="3"/>
  <c r="T675" i="3"/>
  <c r="U675" i="3"/>
  <c r="B676" i="3"/>
  <c r="C676" i="3"/>
  <c r="D676" i="3"/>
  <c r="E676" i="3"/>
  <c r="F676" i="3"/>
  <c r="G676" i="3"/>
  <c r="H676" i="3"/>
  <c r="I676" i="3"/>
  <c r="J676" i="3"/>
  <c r="K676" i="3"/>
  <c r="L676" i="3"/>
  <c r="M676" i="3"/>
  <c r="N676" i="3"/>
  <c r="O676" i="3"/>
  <c r="P676" i="3"/>
  <c r="Q676" i="3"/>
  <c r="R676" i="3"/>
  <c r="S676" i="3"/>
  <c r="T676" i="3"/>
  <c r="U676" i="3"/>
  <c r="B677" i="3"/>
  <c r="C677" i="3"/>
  <c r="D677" i="3"/>
  <c r="E677" i="3"/>
  <c r="F677" i="3"/>
  <c r="G677" i="3"/>
  <c r="H677" i="3"/>
  <c r="I677" i="3"/>
  <c r="J677" i="3"/>
  <c r="K677" i="3"/>
  <c r="L677" i="3"/>
  <c r="M677" i="3"/>
  <c r="N677" i="3"/>
  <c r="O677" i="3"/>
  <c r="P677" i="3"/>
  <c r="Q677" i="3"/>
  <c r="R677" i="3"/>
  <c r="S677" i="3"/>
  <c r="T677" i="3"/>
  <c r="U677" i="3"/>
  <c r="B678" i="3"/>
  <c r="C678" i="3"/>
  <c r="D678" i="3"/>
  <c r="E678" i="3"/>
  <c r="F678" i="3"/>
  <c r="G678" i="3"/>
  <c r="H678" i="3"/>
  <c r="I678" i="3"/>
  <c r="J678" i="3"/>
  <c r="K678" i="3"/>
  <c r="L678" i="3"/>
  <c r="M678" i="3"/>
  <c r="N678" i="3"/>
  <c r="O678" i="3"/>
  <c r="P678" i="3"/>
  <c r="Q678" i="3"/>
  <c r="R678" i="3"/>
  <c r="S678" i="3"/>
  <c r="T678" i="3"/>
  <c r="U678" i="3"/>
  <c r="B679" i="3"/>
  <c r="C679" i="3"/>
  <c r="D679" i="3"/>
  <c r="E679" i="3"/>
  <c r="F679" i="3"/>
  <c r="G679" i="3"/>
  <c r="H679" i="3"/>
  <c r="I679" i="3"/>
  <c r="J679" i="3"/>
  <c r="K679" i="3"/>
  <c r="L679" i="3"/>
  <c r="M679" i="3"/>
  <c r="N679" i="3"/>
  <c r="O679" i="3"/>
  <c r="P679" i="3"/>
  <c r="Q679" i="3"/>
  <c r="R679" i="3"/>
  <c r="S679" i="3"/>
  <c r="T679" i="3"/>
  <c r="U679" i="3"/>
  <c r="B680" i="3"/>
  <c r="C680" i="3"/>
  <c r="D680" i="3"/>
  <c r="E680" i="3"/>
  <c r="F680" i="3"/>
  <c r="G680" i="3"/>
  <c r="H680" i="3"/>
  <c r="I680" i="3"/>
  <c r="J680" i="3"/>
  <c r="K680" i="3"/>
  <c r="L680" i="3"/>
  <c r="M680" i="3"/>
  <c r="N680" i="3"/>
  <c r="O680" i="3"/>
  <c r="P680" i="3"/>
  <c r="Q680" i="3"/>
  <c r="R680" i="3"/>
  <c r="S680" i="3"/>
  <c r="T680" i="3"/>
  <c r="U680" i="3"/>
  <c r="B681" i="3"/>
  <c r="C681" i="3"/>
  <c r="D681" i="3"/>
  <c r="E681" i="3"/>
  <c r="F681" i="3"/>
  <c r="G681" i="3"/>
  <c r="H681" i="3"/>
  <c r="I681" i="3"/>
  <c r="J681" i="3"/>
  <c r="K681" i="3"/>
  <c r="L681" i="3"/>
  <c r="M681" i="3"/>
  <c r="N681" i="3"/>
  <c r="O681" i="3"/>
  <c r="P681" i="3"/>
  <c r="Q681" i="3"/>
  <c r="R681" i="3"/>
  <c r="S681" i="3"/>
  <c r="T681" i="3"/>
  <c r="U681" i="3"/>
  <c r="B682" i="3"/>
  <c r="C682" i="3"/>
  <c r="D682" i="3"/>
  <c r="E682" i="3"/>
  <c r="F682" i="3"/>
  <c r="G682" i="3"/>
  <c r="H682" i="3"/>
  <c r="I682" i="3"/>
  <c r="J682" i="3"/>
  <c r="K682" i="3"/>
  <c r="L682" i="3"/>
  <c r="M682" i="3"/>
  <c r="N682" i="3"/>
  <c r="O682" i="3"/>
  <c r="P682" i="3"/>
  <c r="Q682" i="3"/>
  <c r="R682" i="3"/>
  <c r="S682" i="3"/>
  <c r="T682" i="3"/>
  <c r="U682" i="3"/>
  <c r="B683" i="3"/>
  <c r="C683" i="3"/>
  <c r="D683" i="3"/>
  <c r="E683" i="3"/>
  <c r="F683" i="3"/>
  <c r="G683" i="3"/>
  <c r="H683" i="3"/>
  <c r="I683" i="3"/>
  <c r="J683" i="3"/>
  <c r="K683" i="3"/>
  <c r="L683" i="3"/>
  <c r="M683" i="3"/>
  <c r="N683" i="3"/>
  <c r="O683" i="3"/>
  <c r="P683" i="3"/>
  <c r="Q683" i="3"/>
  <c r="R683" i="3"/>
  <c r="S683" i="3"/>
  <c r="T683" i="3"/>
  <c r="U683" i="3"/>
  <c r="B684" i="3"/>
  <c r="C684" i="3"/>
  <c r="D684" i="3"/>
  <c r="E684" i="3"/>
  <c r="F684" i="3"/>
  <c r="G684" i="3"/>
  <c r="H684" i="3"/>
  <c r="I684" i="3"/>
  <c r="J684" i="3"/>
  <c r="K684" i="3"/>
  <c r="L684" i="3"/>
  <c r="M684" i="3"/>
  <c r="N684" i="3"/>
  <c r="O684" i="3"/>
  <c r="P684" i="3"/>
  <c r="Q684" i="3"/>
  <c r="R684" i="3"/>
  <c r="S684" i="3"/>
  <c r="T684" i="3"/>
  <c r="U684" i="3"/>
  <c r="B685" i="3"/>
  <c r="C685" i="3"/>
  <c r="D685" i="3"/>
  <c r="E685" i="3"/>
  <c r="F685" i="3"/>
  <c r="G685" i="3"/>
  <c r="H685" i="3"/>
  <c r="I685" i="3"/>
  <c r="J685" i="3"/>
  <c r="K685" i="3"/>
  <c r="L685" i="3"/>
  <c r="M685" i="3"/>
  <c r="N685" i="3"/>
  <c r="O685" i="3"/>
  <c r="P685" i="3"/>
  <c r="Q685" i="3"/>
  <c r="R685" i="3"/>
  <c r="S685" i="3"/>
  <c r="T685" i="3"/>
  <c r="U685" i="3"/>
  <c r="B686" i="3"/>
  <c r="C686" i="3"/>
  <c r="D686" i="3"/>
  <c r="E686" i="3"/>
  <c r="F686" i="3"/>
  <c r="G686" i="3"/>
  <c r="H686" i="3"/>
  <c r="I686" i="3"/>
  <c r="J686" i="3"/>
  <c r="K686" i="3"/>
  <c r="L686" i="3"/>
  <c r="M686" i="3"/>
  <c r="N686" i="3"/>
  <c r="O686" i="3"/>
  <c r="P686" i="3"/>
  <c r="Q686" i="3"/>
  <c r="R686" i="3"/>
  <c r="S686" i="3"/>
  <c r="T686" i="3"/>
  <c r="U686" i="3"/>
  <c r="B687" i="3"/>
  <c r="C687" i="3"/>
  <c r="D687" i="3"/>
  <c r="E687" i="3"/>
  <c r="F687" i="3"/>
  <c r="G687" i="3"/>
  <c r="H687" i="3"/>
  <c r="I687" i="3"/>
  <c r="J687" i="3"/>
  <c r="K687" i="3"/>
  <c r="L687" i="3"/>
  <c r="M687" i="3"/>
  <c r="N687" i="3"/>
  <c r="O687" i="3"/>
  <c r="P687" i="3"/>
  <c r="Q687" i="3"/>
  <c r="R687" i="3"/>
  <c r="S687" i="3"/>
  <c r="T687" i="3"/>
  <c r="U687" i="3"/>
  <c r="B688" i="3"/>
  <c r="C688" i="3"/>
  <c r="D688" i="3"/>
  <c r="E688" i="3"/>
  <c r="F688" i="3"/>
  <c r="G688" i="3"/>
  <c r="H688" i="3"/>
  <c r="I688" i="3"/>
  <c r="J688" i="3"/>
  <c r="K688" i="3"/>
  <c r="L688" i="3"/>
  <c r="M688" i="3"/>
  <c r="N688" i="3"/>
  <c r="O688" i="3"/>
  <c r="P688" i="3"/>
  <c r="Q688" i="3"/>
  <c r="R688" i="3"/>
  <c r="S688" i="3"/>
  <c r="T688" i="3"/>
  <c r="U688" i="3"/>
  <c r="B689" i="3"/>
  <c r="C689" i="3"/>
  <c r="D689" i="3"/>
  <c r="E689" i="3"/>
  <c r="F689" i="3"/>
  <c r="G689" i="3"/>
  <c r="H689" i="3"/>
  <c r="I689" i="3"/>
  <c r="J689" i="3"/>
  <c r="K689" i="3"/>
  <c r="L689" i="3"/>
  <c r="M689" i="3"/>
  <c r="N689" i="3"/>
  <c r="O689" i="3"/>
  <c r="P689" i="3"/>
  <c r="Q689" i="3"/>
  <c r="R689" i="3"/>
  <c r="S689" i="3"/>
  <c r="T689" i="3"/>
  <c r="U689" i="3"/>
  <c r="B690" i="3"/>
  <c r="C690" i="3"/>
  <c r="D690" i="3"/>
  <c r="E690" i="3"/>
  <c r="F690" i="3"/>
  <c r="G690" i="3"/>
  <c r="H690" i="3"/>
  <c r="I690" i="3"/>
  <c r="J690" i="3"/>
  <c r="K690" i="3"/>
  <c r="L690" i="3"/>
  <c r="M690" i="3"/>
  <c r="N690" i="3"/>
  <c r="O690" i="3"/>
  <c r="P690" i="3"/>
  <c r="Q690" i="3"/>
  <c r="R690" i="3"/>
  <c r="S690" i="3"/>
  <c r="T690" i="3"/>
  <c r="U690" i="3"/>
  <c r="B691" i="3"/>
  <c r="C691" i="3"/>
  <c r="D691" i="3"/>
  <c r="E691" i="3"/>
  <c r="F691" i="3"/>
  <c r="G691" i="3"/>
  <c r="H691" i="3"/>
  <c r="I691" i="3"/>
  <c r="J691" i="3"/>
  <c r="K691" i="3"/>
  <c r="L691" i="3"/>
  <c r="M691" i="3"/>
  <c r="N691" i="3"/>
  <c r="O691" i="3"/>
  <c r="P691" i="3"/>
  <c r="Q691" i="3"/>
  <c r="R691" i="3"/>
  <c r="S691" i="3"/>
  <c r="T691" i="3"/>
  <c r="U691" i="3"/>
  <c r="B692" i="3"/>
  <c r="C692" i="3"/>
  <c r="D692" i="3"/>
  <c r="E692" i="3"/>
  <c r="F692" i="3"/>
  <c r="G692" i="3"/>
  <c r="H692" i="3"/>
  <c r="I692" i="3"/>
  <c r="J692" i="3"/>
  <c r="K692" i="3"/>
  <c r="L692" i="3"/>
  <c r="M692" i="3"/>
  <c r="N692" i="3"/>
  <c r="O692" i="3"/>
  <c r="P692" i="3"/>
  <c r="Q692" i="3"/>
  <c r="R692" i="3"/>
  <c r="S692" i="3"/>
  <c r="T692" i="3"/>
  <c r="U692" i="3"/>
  <c r="B693" i="3"/>
  <c r="C693" i="3"/>
  <c r="D693" i="3"/>
  <c r="E693" i="3"/>
  <c r="F693" i="3"/>
  <c r="G693" i="3"/>
  <c r="H693" i="3"/>
  <c r="I693" i="3"/>
  <c r="J693" i="3"/>
  <c r="K693" i="3"/>
  <c r="L693" i="3"/>
  <c r="M693" i="3"/>
  <c r="N693" i="3"/>
  <c r="O693" i="3"/>
  <c r="P693" i="3"/>
  <c r="Q693" i="3"/>
  <c r="R693" i="3"/>
  <c r="S693" i="3"/>
  <c r="T693" i="3"/>
  <c r="U693" i="3"/>
  <c r="B694" i="3"/>
  <c r="C694" i="3"/>
  <c r="D694" i="3"/>
  <c r="E694" i="3"/>
  <c r="F694" i="3"/>
  <c r="G694" i="3"/>
  <c r="H694" i="3"/>
  <c r="I694" i="3"/>
  <c r="J694" i="3"/>
  <c r="K694" i="3"/>
  <c r="L694" i="3"/>
  <c r="M694" i="3"/>
  <c r="N694" i="3"/>
  <c r="O694" i="3"/>
  <c r="P694" i="3"/>
  <c r="Q694" i="3"/>
  <c r="R694" i="3"/>
  <c r="S694" i="3"/>
  <c r="T694" i="3"/>
  <c r="U694" i="3"/>
  <c r="B695" i="3"/>
  <c r="C695" i="3"/>
  <c r="D695" i="3"/>
  <c r="E695" i="3"/>
  <c r="F695" i="3"/>
  <c r="G695" i="3"/>
  <c r="H695" i="3"/>
  <c r="I695" i="3"/>
  <c r="J695" i="3"/>
  <c r="K695" i="3"/>
  <c r="L695" i="3"/>
  <c r="M695" i="3"/>
  <c r="N695" i="3"/>
  <c r="O695" i="3"/>
  <c r="P695" i="3"/>
  <c r="Q695" i="3"/>
  <c r="R695" i="3"/>
  <c r="S695" i="3"/>
  <c r="T695" i="3"/>
  <c r="U695" i="3"/>
  <c r="B696" i="3"/>
  <c r="C696" i="3"/>
  <c r="D696" i="3"/>
  <c r="E696" i="3"/>
  <c r="F696" i="3"/>
  <c r="G696" i="3"/>
  <c r="H696" i="3"/>
  <c r="I696" i="3"/>
  <c r="J696" i="3"/>
  <c r="K696" i="3"/>
  <c r="L696" i="3"/>
  <c r="M696" i="3"/>
  <c r="N696" i="3"/>
  <c r="O696" i="3"/>
  <c r="P696" i="3"/>
  <c r="Q696" i="3"/>
  <c r="R696" i="3"/>
  <c r="S696" i="3"/>
  <c r="T696" i="3"/>
  <c r="U696" i="3"/>
  <c r="B697" i="3"/>
  <c r="C697" i="3"/>
  <c r="D697" i="3"/>
  <c r="E697" i="3"/>
  <c r="F697" i="3"/>
  <c r="G697" i="3"/>
  <c r="H697" i="3"/>
  <c r="I697" i="3"/>
  <c r="J697" i="3"/>
  <c r="K697" i="3"/>
  <c r="L697" i="3"/>
  <c r="M697" i="3"/>
  <c r="N697" i="3"/>
  <c r="O697" i="3"/>
  <c r="P697" i="3"/>
  <c r="Q697" i="3"/>
  <c r="R697" i="3"/>
  <c r="S697" i="3"/>
  <c r="T697" i="3"/>
  <c r="U697" i="3"/>
  <c r="B698" i="3"/>
  <c r="C698" i="3"/>
  <c r="D698" i="3"/>
  <c r="E698" i="3"/>
  <c r="F698" i="3"/>
  <c r="G698" i="3"/>
  <c r="H698" i="3"/>
  <c r="I698" i="3"/>
  <c r="J698" i="3"/>
  <c r="K698" i="3"/>
  <c r="L698" i="3"/>
  <c r="M698" i="3"/>
  <c r="N698" i="3"/>
  <c r="O698" i="3"/>
  <c r="P698" i="3"/>
  <c r="Q698" i="3"/>
  <c r="R698" i="3"/>
  <c r="S698" i="3"/>
  <c r="T698" i="3"/>
  <c r="U698" i="3"/>
  <c r="B699" i="3"/>
  <c r="C699" i="3"/>
  <c r="D699" i="3"/>
  <c r="E699" i="3"/>
  <c r="F699" i="3"/>
  <c r="G699" i="3"/>
  <c r="H699" i="3"/>
  <c r="I699" i="3"/>
  <c r="J699" i="3"/>
  <c r="K699" i="3"/>
  <c r="L699" i="3"/>
  <c r="M699" i="3"/>
  <c r="N699" i="3"/>
  <c r="O699" i="3"/>
  <c r="P699" i="3"/>
  <c r="Q699" i="3"/>
  <c r="R699" i="3"/>
  <c r="S699" i="3"/>
  <c r="T699" i="3"/>
  <c r="U699" i="3"/>
  <c r="B700" i="3"/>
  <c r="C700" i="3"/>
  <c r="D700" i="3"/>
  <c r="E700" i="3"/>
  <c r="F700" i="3"/>
  <c r="G700" i="3"/>
  <c r="H700" i="3"/>
  <c r="I700" i="3"/>
  <c r="J700" i="3"/>
  <c r="K700" i="3"/>
  <c r="L700" i="3"/>
  <c r="M700" i="3"/>
  <c r="N700" i="3"/>
  <c r="O700" i="3"/>
  <c r="P700" i="3"/>
  <c r="Q700" i="3"/>
  <c r="R700" i="3"/>
  <c r="S700" i="3"/>
  <c r="T700" i="3"/>
  <c r="U700" i="3"/>
  <c r="B701" i="3"/>
  <c r="C701" i="3"/>
  <c r="D701" i="3"/>
  <c r="E701" i="3"/>
  <c r="F701" i="3"/>
  <c r="G701" i="3"/>
  <c r="H701" i="3"/>
  <c r="I701" i="3"/>
  <c r="J701" i="3"/>
  <c r="K701" i="3"/>
  <c r="L701" i="3"/>
  <c r="M701" i="3"/>
  <c r="N701" i="3"/>
  <c r="O701" i="3"/>
  <c r="P701" i="3"/>
  <c r="Q701" i="3"/>
  <c r="R701" i="3"/>
  <c r="S701" i="3"/>
  <c r="T701" i="3"/>
  <c r="U701" i="3"/>
  <c r="B702" i="3"/>
  <c r="C702" i="3"/>
  <c r="D702" i="3"/>
  <c r="E702" i="3"/>
  <c r="F702" i="3"/>
  <c r="G702" i="3"/>
  <c r="H702" i="3"/>
  <c r="I702" i="3"/>
  <c r="J702" i="3"/>
  <c r="K702" i="3"/>
  <c r="L702" i="3"/>
  <c r="M702" i="3"/>
  <c r="N702" i="3"/>
  <c r="O702" i="3"/>
  <c r="P702" i="3"/>
  <c r="Q702" i="3"/>
  <c r="R702" i="3"/>
  <c r="S702" i="3"/>
  <c r="T702" i="3"/>
  <c r="U702" i="3"/>
  <c r="B703" i="3"/>
  <c r="C703" i="3"/>
  <c r="D703" i="3"/>
  <c r="E703" i="3"/>
  <c r="F703" i="3"/>
  <c r="G703" i="3"/>
  <c r="H703" i="3"/>
  <c r="I703" i="3"/>
  <c r="J703" i="3"/>
  <c r="K703" i="3"/>
  <c r="L703" i="3"/>
  <c r="M703" i="3"/>
  <c r="N703" i="3"/>
  <c r="O703" i="3"/>
  <c r="P703" i="3"/>
  <c r="Q703" i="3"/>
  <c r="R703" i="3"/>
  <c r="S703" i="3"/>
  <c r="T703" i="3"/>
  <c r="U703" i="3"/>
  <c r="B704" i="3"/>
  <c r="C704" i="3"/>
  <c r="D704" i="3"/>
  <c r="E704" i="3"/>
  <c r="F704" i="3"/>
  <c r="G704" i="3"/>
  <c r="H704" i="3"/>
  <c r="I704" i="3"/>
  <c r="J704" i="3"/>
  <c r="K704" i="3"/>
  <c r="L704" i="3"/>
  <c r="M704" i="3"/>
  <c r="N704" i="3"/>
  <c r="O704" i="3"/>
  <c r="P704" i="3"/>
  <c r="Q704" i="3"/>
  <c r="R704" i="3"/>
  <c r="S704" i="3"/>
  <c r="T704" i="3"/>
  <c r="U704" i="3"/>
  <c r="B705" i="3"/>
  <c r="C705" i="3"/>
  <c r="D705" i="3"/>
  <c r="E705" i="3"/>
  <c r="F705" i="3"/>
  <c r="G705" i="3"/>
  <c r="H705" i="3"/>
  <c r="I705" i="3"/>
  <c r="J705" i="3"/>
  <c r="K705" i="3"/>
  <c r="L705" i="3"/>
  <c r="M705" i="3"/>
  <c r="N705" i="3"/>
  <c r="O705" i="3"/>
  <c r="P705" i="3"/>
  <c r="Q705" i="3"/>
  <c r="R705" i="3"/>
  <c r="S705" i="3"/>
  <c r="T705" i="3"/>
  <c r="U705" i="3"/>
  <c r="B706" i="3"/>
  <c r="C706" i="3"/>
  <c r="D706" i="3"/>
  <c r="E706" i="3"/>
  <c r="F706" i="3"/>
  <c r="G706" i="3"/>
  <c r="H706" i="3"/>
  <c r="I706" i="3"/>
  <c r="J706" i="3"/>
  <c r="K706" i="3"/>
  <c r="L706" i="3"/>
  <c r="M706" i="3"/>
  <c r="N706" i="3"/>
  <c r="O706" i="3"/>
  <c r="P706" i="3"/>
  <c r="Q706" i="3"/>
  <c r="R706" i="3"/>
  <c r="S706" i="3"/>
  <c r="T706" i="3"/>
  <c r="U706" i="3"/>
  <c r="B707" i="3"/>
  <c r="C707" i="3"/>
  <c r="D707" i="3"/>
  <c r="E707" i="3"/>
  <c r="F707" i="3"/>
  <c r="G707" i="3"/>
  <c r="H707" i="3"/>
  <c r="I707" i="3"/>
  <c r="J707" i="3"/>
  <c r="K707" i="3"/>
  <c r="L707" i="3"/>
  <c r="M707" i="3"/>
  <c r="N707" i="3"/>
  <c r="O707" i="3"/>
  <c r="P707" i="3"/>
  <c r="Q707" i="3"/>
  <c r="R707" i="3"/>
  <c r="S707" i="3"/>
  <c r="T707" i="3"/>
  <c r="U707" i="3"/>
  <c r="B708" i="3"/>
  <c r="C708" i="3"/>
  <c r="D708" i="3"/>
  <c r="E708" i="3"/>
  <c r="F708" i="3"/>
  <c r="G708" i="3"/>
  <c r="H708" i="3"/>
  <c r="I708" i="3"/>
  <c r="J708" i="3"/>
  <c r="K708" i="3"/>
  <c r="L708" i="3"/>
  <c r="M708" i="3"/>
  <c r="N708" i="3"/>
  <c r="O708" i="3"/>
  <c r="P708" i="3"/>
  <c r="Q708" i="3"/>
  <c r="R708" i="3"/>
  <c r="S708" i="3"/>
  <c r="T708" i="3"/>
  <c r="U708" i="3"/>
  <c r="B709" i="3"/>
  <c r="C709" i="3"/>
  <c r="D709" i="3"/>
  <c r="E709" i="3"/>
  <c r="F709" i="3"/>
  <c r="G709" i="3"/>
  <c r="H709" i="3"/>
  <c r="I709" i="3"/>
  <c r="J709" i="3"/>
  <c r="K709" i="3"/>
  <c r="L709" i="3"/>
  <c r="M709" i="3"/>
  <c r="N709" i="3"/>
  <c r="O709" i="3"/>
  <c r="P709" i="3"/>
  <c r="Q709" i="3"/>
  <c r="R709" i="3"/>
  <c r="S709" i="3"/>
  <c r="T709" i="3"/>
  <c r="U709" i="3"/>
  <c r="B710" i="3"/>
  <c r="C710" i="3"/>
  <c r="D710" i="3"/>
  <c r="E710" i="3"/>
  <c r="F710" i="3"/>
  <c r="G710" i="3"/>
  <c r="H710" i="3"/>
  <c r="I710" i="3"/>
  <c r="J710" i="3"/>
  <c r="K710" i="3"/>
  <c r="L710" i="3"/>
  <c r="M710" i="3"/>
  <c r="N710" i="3"/>
  <c r="O710" i="3"/>
  <c r="P710" i="3"/>
  <c r="Q710" i="3"/>
  <c r="R710" i="3"/>
  <c r="S710" i="3"/>
  <c r="T710" i="3"/>
  <c r="U710" i="3"/>
  <c r="B711" i="3"/>
  <c r="C711" i="3"/>
  <c r="D711" i="3"/>
  <c r="E711" i="3"/>
  <c r="F711" i="3"/>
  <c r="G711" i="3"/>
  <c r="H711" i="3"/>
  <c r="I711" i="3"/>
  <c r="J711" i="3"/>
  <c r="K711" i="3"/>
  <c r="L711" i="3"/>
  <c r="M711" i="3"/>
  <c r="N711" i="3"/>
  <c r="O711" i="3"/>
  <c r="P711" i="3"/>
  <c r="Q711" i="3"/>
  <c r="R711" i="3"/>
  <c r="S711" i="3"/>
  <c r="T711" i="3"/>
  <c r="U711" i="3"/>
  <c r="B712" i="3"/>
  <c r="C712" i="3"/>
  <c r="D712" i="3"/>
  <c r="E712" i="3"/>
  <c r="F712" i="3"/>
  <c r="G712" i="3"/>
  <c r="H712" i="3"/>
  <c r="I712" i="3"/>
  <c r="J712" i="3"/>
  <c r="K712" i="3"/>
  <c r="L712" i="3"/>
  <c r="M712" i="3"/>
  <c r="N712" i="3"/>
  <c r="O712" i="3"/>
  <c r="P712" i="3"/>
  <c r="Q712" i="3"/>
  <c r="R712" i="3"/>
  <c r="S712" i="3"/>
  <c r="T712" i="3"/>
  <c r="U712" i="3"/>
  <c r="B713" i="3"/>
  <c r="C713" i="3"/>
  <c r="D713" i="3"/>
  <c r="E713" i="3"/>
  <c r="F713" i="3"/>
  <c r="G713" i="3"/>
  <c r="H713" i="3"/>
  <c r="I713" i="3"/>
  <c r="J713" i="3"/>
  <c r="K713" i="3"/>
  <c r="L713" i="3"/>
  <c r="M713" i="3"/>
  <c r="N713" i="3"/>
  <c r="O713" i="3"/>
  <c r="P713" i="3"/>
  <c r="Q713" i="3"/>
  <c r="R713" i="3"/>
  <c r="S713" i="3"/>
  <c r="T713" i="3"/>
  <c r="U713" i="3"/>
  <c r="B714" i="3"/>
  <c r="C714" i="3"/>
  <c r="D714" i="3"/>
  <c r="E714" i="3"/>
  <c r="F714" i="3"/>
  <c r="G714" i="3"/>
  <c r="H714" i="3"/>
  <c r="I714" i="3"/>
  <c r="J714" i="3"/>
  <c r="K714" i="3"/>
  <c r="L714" i="3"/>
  <c r="M714" i="3"/>
  <c r="N714" i="3"/>
  <c r="O714" i="3"/>
  <c r="P714" i="3"/>
  <c r="Q714" i="3"/>
  <c r="R714" i="3"/>
  <c r="S714" i="3"/>
  <c r="T714" i="3"/>
  <c r="U714" i="3"/>
  <c r="B715" i="3"/>
  <c r="C715" i="3"/>
  <c r="D715" i="3"/>
  <c r="E715" i="3"/>
  <c r="F715" i="3"/>
  <c r="G715" i="3"/>
  <c r="H715" i="3"/>
  <c r="I715" i="3"/>
  <c r="J715" i="3"/>
  <c r="K715" i="3"/>
  <c r="L715" i="3"/>
  <c r="M715" i="3"/>
  <c r="N715" i="3"/>
  <c r="O715" i="3"/>
  <c r="P715" i="3"/>
  <c r="Q715" i="3"/>
  <c r="R715" i="3"/>
  <c r="S715" i="3"/>
  <c r="T715" i="3"/>
  <c r="U715" i="3"/>
  <c r="B716" i="3"/>
  <c r="C716" i="3"/>
  <c r="D716" i="3"/>
  <c r="E716" i="3"/>
  <c r="F716" i="3"/>
  <c r="G716" i="3"/>
  <c r="H716" i="3"/>
  <c r="I716" i="3"/>
  <c r="J716" i="3"/>
  <c r="K716" i="3"/>
  <c r="L716" i="3"/>
  <c r="M716" i="3"/>
  <c r="N716" i="3"/>
  <c r="O716" i="3"/>
  <c r="P716" i="3"/>
  <c r="Q716" i="3"/>
  <c r="R716" i="3"/>
  <c r="S716" i="3"/>
  <c r="T716" i="3"/>
  <c r="U716" i="3"/>
  <c r="B717" i="3"/>
  <c r="C717" i="3"/>
  <c r="D717" i="3"/>
  <c r="E717" i="3"/>
  <c r="F717" i="3"/>
  <c r="G717" i="3"/>
  <c r="H717" i="3"/>
  <c r="I717" i="3"/>
  <c r="J717" i="3"/>
  <c r="K717" i="3"/>
  <c r="L717" i="3"/>
  <c r="M717" i="3"/>
  <c r="N717" i="3"/>
  <c r="O717" i="3"/>
  <c r="P717" i="3"/>
  <c r="Q717" i="3"/>
  <c r="R717" i="3"/>
  <c r="S717" i="3"/>
  <c r="T717" i="3"/>
  <c r="U717" i="3"/>
  <c r="B718" i="3"/>
  <c r="C718" i="3"/>
  <c r="D718" i="3"/>
  <c r="E718" i="3"/>
  <c r="F718" i="3"/>
  <c r="G718" i="3"/>
  <c r="H718" i="3"/>
  <c r="I718" i="3"/>
  <c r="J718" i="3"/>
  <c r="K718" i="3"/>
  <c r="L718" i="3"/>
  <c r="M718" i="3"/>
  <c r="N718" i="3"/>
  <c r="O718" i="3"/>
  <c r="P718" i="3"/>
  <c r="Q718" i="3"/>
  <c r="R718" i="3"/>
  <c r="S718" i="3"/>
  <c r="T718" i="3"/>
  <c r="U718" i="3"/>
  <c r="B719" i="3"/>
  <c r="C719" i="3"/>
  <c r="D719" i="3"/>
  <c r="E719" i="3"/>
  <c r="F719" i="3"/>
  <c r="G719" i="3"/>
  <c r="H719" i="3"/>
  <c r="I719" i="3"/>
  <c r="J719" i="3"/>
  <c r="K719" i="3"/>
  <c r="L719" i="3"/>
  <c r="M719" i="3"/>
  <c r="N719" i="3"/>
  <c r="O719" i="3"/>
  <c r="P719" i="3"/>
  <c r="Q719" i="3"/>
  <c r="R719" i="3"/>
  <c r="S719" i="3"/>
  <c r="T719" i="3"/>
  <c r="U719" i="3"/>
  <c r="B720" i="3"/>
  <c r="C720" i="3"/>
  <c r="D720" i="3"/>
  <c r="E720" i="3"/>
  <c r="F720" i="3"/>
  <c r="G720" i="3"/>
  <c r="H720" i="3"/>
  <c r="I720" i="3"/>
  <c r="J720" i="3"/>
  <c r="K720" i="3"/>
  <c r="L720" i="3"/>
  <c r="M720" i="3"/>
  <c r="N720" i="3"/>
  <c r="O720" i="3"/>
  <c r="P720" i="3"/>
  <c r="Q720" i="3"/>
  <c r="R720" i="3"/>
  <c r="S720" i="3"/>
  <c r="T720" i="3"/>
  <c r="U720" i="3"/>
  <c r="B721" i="3"/>
  <c r="C721" i="3"/>
  <c r="D721" i="3"/>
  <c r="E721" i="3"/>
  <c r="F721" i="3"/>
  <c r="G721" i="3"/>
  <c r="H721" i="3"/>
  <c r="I721" i="3"/>
  <c r="J721" i="3"/>
  <c r="K721" i="3"/>
  <c r="L721" i="3"/>
  <c r="M721" i="3"/>
  <c r="N721" i="3"/>
  <c r="O721" i="3"/>
  <c r="P721" i="3"/>
  <c r="Q721" i="3"/>
  <c r="R721" i="3"/>
  <c r="S721" i="3"/>
  <c r="T721" i="3"/>
  <c r="U721" i="3"/>
  <c r="B722" i="3"/>
  <c r="C722" i="3"/>
  <c r="D722" i="3"/>
  <c r="E722" i="3"/>
  <c r="F722" i="3"/>
  <c r="G722" i="3"/>
  <c r="H722" i="3"/>
  <c r="I722" i="3"/>
  <c r="J722" i="3"/>
  <c r="K722" i="3"/>
  <c r="L722" i="3"/>
  <c r="M722" i="3"/>
  <c r="N722" i="3"/>
  <c r="O722" i="3"/>
  <c r="P722" i="3"/>
  <c r="Q722" i="3"/>
  <c r="R722" i="3"/>
  <c r="S722" i="3"/>
  <c r="T722" i="3"/>
  <c r="U722" i="3"/>
  <c r="B723" i="3"/>
  <c r="C723" i="3"/>
  <c r="D723" i="3"/>
  <c r="E723" i="3"/>
  <c r="F723" i="3"/>
  <c r="G723" i="3"/>
  <c r="H723" i="3"/>
  <c r="I723" i="3"/>
  <c r="J723" i="3"/>
  <c r="K723" i="3"/>
  <c r="L723" i="3"/>
  <c r="M723" i="3"/>
  <c r="N723" i="3"/>
  <c r="O723" i="3"/>
  <c r="P723" i="3"/>
  <c r="Q723" i="3"/>
  <c r="R723" i="3"/>
  <c r="S723" i="3"/>
  <c r="T723" i="3"/>
  <c r="U723" i="3"/>
  <c r="B724" i="3"/>
  <c r="C724" i="3"/>
  <c r="D724" i="3"/>
  <c r="E724" i="3"/>
  <c r="F724" i="3"/>
  <c r="G724" i="3"/>
  <c r="H724" i="3"/>
  <c r="I724" i="3"/>
  <c r="J724" i="3"/>
  <c r="K724" i="3"/>
  <c r="L724" i="3"/>
  <c r="M724" i="3"/>
  <c r="N724" i="3"/>
  <c r="O724" i="3"/>
  <c r="P724" i="3"/>
  <c r="Q724" i="3"/>
  <c r="R724" i="3"/>
  <c r="S724" i="3"/>
  <c r="T724" i="3"/>
  <c r="U724" i="3"/>
  <c r="B725" i="3"/>
  <c r="C725" i="3"/>
  <c r="D725" i="3"/>
  <c r="E725" i="3"/>
  <c r="F725" i="3"/>
  <c r="G725" i="3"/>
  <c r="H725" i="3"/>
  <c r="I725" i="3"/>
  <c r="J725" i="3"/>
  <c r="K725" i="3"/>
  <c r="L725" i="3"/>
  <c r="M725" i="3"/>
  <c r="N725" i="3"/>
  <c r="O725" i="3"/>
  <c r="P725" i="3"/>
  <c r="Q725" i="3"/>
  <c r="R725" i="3"/>
  <c r="S725" i="3"/>
  <c r="T725" i="3"/>
  <c r="U725" i="3"/>
  <c r="B726" i="3"/>
  <c r="C726" i="3"/>
  <c r="D726" i="3"/>
  <c r="E726" i="3"/>
  <c r="F726" i="3"/>
  <c r="G726" i="3"/>
  <c r="H726" i="3"/>
  <c r="I726" i="3"/>
  <c r="J726" i="3"/>
  <c r="K726" i="3"/>
  <c r="L726" i="3"/>
  <c r="M726" i="3"/>
  <c r="N726" i="3"/>
  <c r="O726" i="3"/>
  <c r="P726" i="3"/>
  <c r="Q726" i="3"/>
  <c r="R726" i="3"/>
  <c r="S726" i="3"/>
  <c r="T726" i="3"/>
  <c r="U726" i="3"/>
  <c r="B727" i="3"/>
  <c r="C727" i="3"/>
  <c r="D727" i="3"/>
  <c r="E727" i="3"/>
  <c r="F727" i="3"/>
  <c r="G727" i="3"/>
  <c r="H727" i="3"/>
  <c r="I727" i="3"/>
  <c r="J727" i="3"/>
  <c r="K727" i="3"/>
  <c r="L727" i="3"/>
  <c r="M727" i="3"/>
  <c r="N727" i="3"/>
  <c r="O727" i="3"/>
  <c r="P727" i="3"/>
  <c r="Q727" i="3"/>
  <c r="R727" i="3"/>
  <c r="S727" i="3"/>
  <c r="T727" i="3"/>
  <c r="U727" i="3"/>
  <c r="B728" i="3"/>
  <c r="C728" i="3"/>
  <c r="D728" i="3"/>
  <c r="E728" i="3"/>
  <c r="F728" i="3"/>
  <c r="G728" i="3"/>
  <c r="H728" i="3"/>
  <c r="I728" i="3"/>
  <c r="J728" i="3"/>
  <c r="K728" i="3"/>
  <c r="L728" i="3"/>
  <c r="M728" i="3"/>
  <c r="N728" i="3"/>
  <c r="O728" i="3"/>
  <c r="P728" i="3"/>
  <c r="Q728" i="3"/>
  <c r="R728" i="3"/>
  <c r="S728" i="3"/>
  <c r="T728" i="3"/>
  <c r="U728" i="3"/>
  <c r="B729" i="3"/>
  <c r="C729" i="3"/>
  <c r="D729" i="3"/>
  <c r="E729" i="3"/>
  <c r="F729" i="3"/>
  <c r="G729" i="3"/>
  <c r="H729" i="3"/>
  <c r="I729" i="3"/>
  <c r="J729" i="3"/>
  <c r="K729" i="3"/>
  <c r="L729" i="3"/>
  <c r="M729" i="3"/>
  <c r="N729" i="3"/>
  <c r="O729" i="3"/>
  <c r="P729" i="3"/>
  <c r="Q729" i="3"/>
  <c r="R729" i="3"/>
  <c r="S729" i="3"/>
  <c r="T729" i="3"/>
  <c r="U729" i="3"/>
  <c r="B730" i="3"/>
  <c r="C730" i="3"/>
  <c r="D730" i="3"/>
  <c r="E730" i="3"/>
  <c r="F730" i="3"/>
  <c r="G730" i="3"/>
  <c r="H730" i="3"/>
  <c r="I730" i="3"/>
  <c r="J730" i="3"/>
  <c r="K730" i="3"/>
  <c r="L730" i="3"/>
  <c r="M730" i="3"/>
  <c r="N730" i="3"/>
  <c r="O730" i="3"/>
  <c r="P730" i="3"/>
  <c r="Q730" i="3"/>
  <c r="R730" i="3"/>
  <c r="S730" i="3"/>
  <c r="T730" i="3"/>
  <c r="U730" i="3"/>
  <c r="B731" i="3"/>
  <c r="C731" i="3"/>
  <c r="D731" i="3"/>
  <c r="E731" i="3"/>
  <c r="F731" i="3"/>
  <c r="G731" i="3"/>
  <c r="H731" i="3"/>
  <c r="I731" i="3"/>
  <c r="J731" i="3"/>
  <c r="K731" i="3"/>
  <c r="L731" i="3"/>
  <c r="M731" i="3"/>
  <c r="N731" i="3"/>
  <c r="O731" i="3"/>
  <c r="P731" i="3"/>
  <c r="Q731" i="3"/>
  <c r="R731" i="3"/>
  <c r="S731" i="3"/>
  <c r="T731" i="3"/>
  <c r="U731" i="3"/>
  <c r="B732" i="3"/>
  <c r="C732" i="3"/>
  <c r="D732" i="3"/>
  <c r="E732" i="3"/>
  <c r="F732" i="3"/>
  <c r="G732" i="3"/>
  <c r="H732" i="3"/>
  <c r="I732" i="3"/>
  <c r="J732" i="3"/>
  <c r="K732" i="3"/>
  <c r="L732" i="3"/>
  <c r="M732" i="3"/>
  <c r="N732" i="3"/>
  <c r="O732" i="3"/>
  <c r="P732" i="3"/>
  <c r="Q732" i="3"/>
  <c r="R732" i="3"/>
  <c r="S732" i="3"/>
  <c r="T732" i="3"/>
  <c r="U732" i="3"/>
  <c r="B733" i="3"/>
  <c r="C733" i="3"/>
  <c r="D733" i="3"/>
  <c r="E733" i="3"/>
  <c r="F733" i="3"/>
  <c r="G733" i="3"/>
  <c r="H733" i="3"/>
  <c r="I733" i="3"/>
  <c r="J733" i="3"/>
  <c r="K733" i="3"/>
  <c r="L733" i="3"/>
  <c r="M733" i="3"/>
  <c r="N733" i="3"/>
  <c r="O733" i="3"/>
  <c r="P733" i="3"/>
  <c r="Q733" i="3"/>
  <c r="R733" i="3"/>
  <c r="S733" i="3"/>
  <c r="T733" i="3"/>
  <c r="U733" i="3"/>
  <c r="B734" i="3"/>
  <c r="C734" i="3"/>
  <c r="D734" i="3"/>
  <c r="E734" i="3"/>
  <c r="F734" i="3"/>
  <c r="G734" i="3"/>
  <c r="H734" i="3"/>
  <c r="I734" i="3"/>
  <c r="J734" i="3"/>
  <c r="K734" i="3"/>
  <c r="L734" i="3"/>
  <c r="M734" i="3"/>
  <c r="N734" i="3"/>
  <c r="O734" i="3"/>
  <c r="P734" i="3"/>
  <c r="Q734" i="3"/>
  <c r="R734" i="3"/>
  <c r="S734" i="3"/>
  <c r="T734" i="3"/>
  <c r="U734" i="3"/>
  <c r="B735" i="3"/>
  <c r="C735" i="3"/>
  <c r="D735" i="3"/>
  <c r="E735" i="3"/>
  <c r="F735" i="3"/>
  <c r="G735" i="3"/>
  <c r="H735" i="3"/>
  <c r="I735" i="3"/>
  <c r="J735" i="3"/>
  <c r="K735" i="3"/>
  <c r="L735" i="3"/>
  <c r="M735" i="3"/>
  <c r="N735" i="3"/>
  <c r="O735" i="3"/>
  <c r="P735" i="3"/>
  <c r="Q735" i="3"/>
  <c r="R735" i="3"/>
  <c r="S735" i="3"/>
  <c r="T735" i="3"/>
  <c r="U735" i="3"/>
  <c r="B736" i="3"/>
  <c r="C736" i="3"/>
  <c r="D736" i="3"/>
  <c r="E736" i="3"/>
  <c r="F736" i="3"/>
  <c r="G736" i="3"/>
  <c r="H736" i="3"/>
  <c r="I736" i="3"/>
  <c r="J736" i="3"/>
  <c r="K736" i="3"/>
  <c r="L736" i="3"/>
  <c r="M736" i="3"/>
  <c r="N736" i="3"/>
  <c r="O736" i="3"/>
  <c r="P736" i="3"/>
  <c r="Q736" i="3"/>
  <c r="R736" i="3"/>
  <c r="S736" i="3"/>
  <c r="T736" i="3"/>
  <c r="U736" i="3"/>
  <c r="B737" i="3"/>
  <c r="C737" i="3"/>
  <c r="D737" i="3"/>
  <c r="E737" i="3"/>
  <c r="F737" i="3"/>
  <c r="G737" i="3"/>
  <c r="H737" i="3"/>
  <c r="I737" i="3"/>
  <c r="J737" i="3"/>
  <c r="K737" i="3"/>
  <c r="L737" i="3"/>
  <c r="M737" i="3"/>
  <c r="N737" i="3"/>
  <c r="O737" i="3"/>
  <c r="P737" i="3"/>
  <c r="Q737" i="3"/>
  <c r="R737" i="3"/>
  <c r="S737" i="3"/>
  <c r="T737" i="3"/>
  <c r="U737" i="3"/>
  <c r="B738" i="3"/>
  <c r="C738" i="3"/>
  <c r="D738" i="3"/>
  <c r="E738" i="3"/>
  <c r="F738" i="3"/>
  <c r="G738" i="3"/>
  <c r="H738" i="3"/>
  <c r="I738" i="3"/>
  <c r="J738" i="3"/>
  <c r="K738" i="3"/>
  <c r="L738" i="3"/>
  <c r="M738" i="3"/>
  <c r="N738" i="3"/>
  <c r="O738" i="3"/>
  <c r="P738" i="3"/>
  <c r="Q738" i="3"/>
  <c r="R738" i="3"/>
  <c r="S738" i="3"/>
  <c r="T738" i="3"/>
  <c r="U738" i="3"/>
  <c r="B739" i="3"/>
  <c r="C739" i="3"/>
  <c r="D739" i="3"/>
  <c r="E739" i="3"/>
  <c r="F739" i="3"/>
  <c r="G739" i="3"/>
  <c r="H739" i="3"/>
  <c r="I739" i="3"/>
  <c r="J739" i="3"/>
  <c r="K739" i="3"/>
  <c r="L739" i="3"/>
  <c r="M739" i="3"/>
  <c r="N739" i="3"/>
  <c r="O739" i="3"/>
  <c r="P739" i="3"/>
  <c r="Q739" i="3"/>
  <c r="R739" i="3"/>
  <c r="S739" i="3"/>
  <c r="T739" i="3"/>
  <c r="U739" i="3"/>
  <c r="B740" i="3"/>
  <c r="C740" i="3"/>
  <c r="D740" i="3"/>
  <c r="E740" i="3"/>
  <c r="F740" i="3"/>
  <c r="G740" i="3"/>
  <c r="H740" i="3"/>
  <c r="I740" i="3"/>
  <c r="J740" i="3"/>
  <c r="K740" i="3"/>
  <c r="L740" i="3"/>
  <c r="M740" i="3"/>
  <c r="N740" i="3"/>
  <c r="O740" i="3"/>
  <c r="P740" i="3"/>
  <c r="Q740" i="3"/>
  <c r="R740" i="3"/>
  <c r="S740" i="3"/>
  <c r="T740" i="3"/>
  <c r="U740" i="3"/>
  <c r="B741" i="3"/>
  <c r="C741" i="3"/>
  <c r="D741" i="3"/>
  <c r="E741" i="3"/>
  <c r="F741" i="3"/>
  <c r="G741" i="3"/>
  <c r="H741" i="3"/>
  <c r="I741" i="3"/>
  <c r="J741" i="3"/>
  <c r="K741" i="3"/>
  <c r="L741" i="3"/>
  <c r="M741" i="3"/>
  <c r="N741" i="3"/>
  <c r="O741" i="3"/>
  <c r="P741" i="3"/>
  <c r="Q741" i="3"/>
  <c r="R741" i="3"/>
  <c r="S741" i="3"/>
  <c r="T741" i="3"/>
  <c r="U741" i="3"/>
  <c r="B742" i="3"/>
  <c r="C742" i="3"/>
  <c r="D742" i="3"/>
  <c r="E742" i="3"/>
  <c r="F742" i="3"/>
  <c r="G742" i="3"/>
  <c r="H742" i="3"/>
  <c r="I742" i="3"/>
  <c r="J742" i="3"/>
  <c r="K742" i="3"/>
  <c r="L742" i="3"/>
  <c r="M742" i="3"/>
  <c r="N742" i="3"/>
  <c r="O742" i="3"/>
  <c r="P742" i="3"/>
  <c r="Q742" i="3"/>
  <c r="R742" i="3"/>
  <c r="S742" i="3"/>
  <c r="T742" i="3"/>
  <c r="U742" i="3"/>
  <c r="B743" i="3"/>
  <c r="C743" i="3"/>
  <c r="D743" i="3"/>
  <c r="E743" i="3"/>
  <c r="F743" i="3"/>
  <c r="G743" i="3"/>
  <c r="H743" i="3"/>
  <c r="I743" i="3"/>
  <c r="J743" i="3"/>
  <c r="K743" i="3"/>
  <c r="L743" i="3"/>
  <c r="M743" i="3"/>
  <c r="N743" i="3"/>
  <c r="O743" i="3"/>
  <c r="P743" i="3"/>
  <c r="Q743" i="3"/>
  <c r="R743" i="3"/>
  <c r="S743" i="3"/>
  <c r="T743" i="3"/>
  <c r="U743" i="3"/>
  <c r="B744" i="3"/>
  <c r="C744" i="3"/>
  <c r="D744" i="3"/>
  <c r="E744" i="3"/>
  <c r="F744" i="3"/>
  <c r="G744" i="3"/>
  <c r="H744" i="3"/>
  <c r="I744" i="3"/>
  <c r="J744" i="3"/>
  <c r="K744" i="3"/>
  <c r="L744" i="3"/>
  <c r="M744" i="3"/>
  <c r="N744" i="3"/>
  <c r="O744" i="3"/>
  <c r="P744" i="3"/>
  <c r="Q744" i="3"/>
  <c r="R744" i="3"/>
  <c r="S744" i="3"/>
  <c r="T744" i="3"/>
  <c r="U744" i="3"/>
  <c r="B745" i="3"/>
  <c r="C745" i="3"/>
  <c r="D745" i="3"/>
  <c r="E745" i="3"/>
  <c r="F745" i="3"/>
  <c r="G745" i="3"/>
  <c r="H745" i="3"/>
  <c r="I745" i="3"/>
  <c r="J745" i="3"/>
  <c r="K745" i="3"/>
  <c r="L745" i="3"/>
  <c r="M745" i="3"/>
  <c r="N745" i="3"/>
  <c r="O745" i="3"/>
  <c r="P745" i="3"/>
  <c r="Q745" i="3"/>
  <c r="R745" i="3"/>
  <c r="S745" i="3"/>
  <c r="T745" i="3"/>
  <c r="U745" i="3"/>
  <c r="B746" i="3"/>
  <c r="C746" i="3"/>
  <c r="D746" i="3"/>
  <c r="E746" i="3"/>
  <c r="F746" i="3"/>
  <c r="G746" i="3"/>
  <c r="H746" i="3"/>
  <c r="I746" i="3"/>
  <c r="J746" i="3"/>
  <c r="K746" i="3"/>
  <c r="L746" i="3"/>
  <c r="M746" i="3"/>
  <c r="N746" i="3"/>
  <c r="O746" i="3"/>
  <c r="P746" i="3"/>
  <c r="Q746" i="3"/>
  <c r="R746" i="3"/>
  <c r="S746" i="3"/>
  <c r="T746" i="3"/>
  <c r="U746" i="3"/>
  <c r="B747" i="3"/>
  <c r="C747" i="3"/>
  <c r="D747" i="3"/>
  <c r="E747" i="3"/>
  <c r="F747" i="3"/>
  <c r="G747" i="3"/>
  <c r="H747" i="3"/>
  <c r="I747" i="3"/>
  <c r="J747" i="3"/>
  <c r="K747" i="3"/>
  <c r="L747" i="3"/>
  <c r="M747" i="3"/>
  <c r="N747" i="3"/>
  <c r="O747" i="3"/>
  <c r="P747" i="3"/>
  <c r="Q747" i="3"/>
  <c r="R747" i="3"/>
  <c r="S747" i="3"/>
  <c r="T747" i="3"/>
  <c r="U747" i="3"/>
  <c r="B748" i="3"/>
  <c r="C748" i="3"/>
  <c r="D748" i="3"/>
  <c r="E748" i="3"/>
  <c r="F748" i="3"/>
  <c r="G748" i="3"/>
  <c r="H748" i="3"/>
  <c r="I748" i="3"/>
  <c r="J748" i="3"/>
  <c r="K748" i="3"/>
  <c r="L748" i="3"/>
  <c r="M748" i="3"/>
  <c r="N748" i="3"/>
  <c r="O748" i="3"/>
  <c r="P748" i="3"/>
  <c r="Q748" i="3"/>
  <c r="R748" i="3"/>
  <c r="S748" i="3"/>
  <c r="T748" i="3"/>
  <c r="U748" i="3"/>
  <c r="B749" i="3"/>
  <c r="C749" i="3"/>
  <c r="D749" i="3"/>
  <c r="E749" i="3"/>
  <c r="F749" i="3"/>
  <c r="G749" i="3"/>
  <c r="H749" i="3"/>
  <c r="I749" i="3"/>
  <c r="J749" i="3"/>
  <c r="K749" i="3"/>
  <c r="L749" i="3"/>
  <c r="M749" i="3"/>
  <c r="N749" i="3"/>
  <c r="O749" i="3"/>
  <c r="P749" i="3"/>
  <c r="Q749" i="3"/>
  <c r="R749" i="3"/>
  <c r="S749" i="3"/>
  <c r="T749" i="3"/>
  <c r="U749" i="3"/>
  <c r="B750" i="3"/>
  <c r="C750" i="3"/>
  <c r="D750" i="3"/>
  <c r="E750" i="3"/>
  <c r="F750" i="3"/>
  <c r="G750" i="3"/>
  <c r="H750" i="3"/>
  <c r="I750" i="3"/>
  <c r="J750" i="3"/>
  <c r="K750" i="3"/>
  <c r="L750" i="3"/>
  <c r="M750" i="3"/>
  <c r="N750" i="3"/>
  <c r="O750" i="3"/>
  <c r="P750" i="3"/>
  <c r="Q750" i="3"/>
  <c r="R750" i="3"/>
  <c r="S750" i="3"/>
  <c r="T750" i="3"/>
  <c r="U750" i="3"/>
  <c r="B751" i="3"/>
  <c r="C751" i="3"/>
  <c r="D751" i="3"/>
  <c r="E751" i="3"/>
  <c r="F751" i="3"/>
  <c r="G751" i="3"/>
  <c r="H751" i="3"/>
  <c r="I751" i="3"/>
  <c r="J751" i="3"/>
  <c r="K751" i="3"/>
  <c r="L751" i="3"/>
  <c r="M751" i="3"/>
  <c r="N751" i="3"/>
  <c r="O751" i="3"/>
  <c r="P751" i="3"/>
  <c r="Q751" i="3"/>
  <c r="R751" i="3"/>
  <c r="S751" i="3"/>
  <c r="T751" i="3"/>
  <c r="U751" i="3"/>
  <c r="B752" i="3"/>
  <c r="C752" i="3"/>
  <c r="D752" i="3"/>
  <c r="E752" i="3"/>
  <c r="F752" i="3"/>
  <c r="G752" i="3"/>
  <c r="H752" i="3"/>
  <c r="I752" i="3"/>
  <c r="J752" i="3"/>
  <c r="K752" i="3"/>
  <c r="L752" i="3"/>
  <c r="M752" i="3"/>
  <c r="N752" i="3"/>
  <c r="O752" i="3"/>
  <c r="P752" i="3"/>
  <c r="Q752" i="3"/>
  <c r="R752" i="3"/>
  <c r="S752" i="3"/>
  <c r="T752" i="3"/>
  <c r="U752" i="3"/>
  <c r="B753" i="3"/>
  <c r="C753" i="3"/>
  <c r="D753" i="3"/>
  <c r="E753" i="3"/>
  <c r="F753" i="3"/>
  <c r="G753" i="3"/>
  <c r="H753" i="3"/>
  <c r="I753" i="3"/>
  <c r="J753" i="3"/>
  <c r="K753" i="3"/>
  <c r="L753" i="3"/>
  <c r="M753" i="3"/>
  <c r="N753" i="3"/>
  <c r="O753" i="3"/>
  <c r="P753" i="3"/>
  <c r="Q753" i="3"/>
  <c r="R753" i="3"/>
  <c r="S753" i="3"/>
  <c r="T753" i="3"/>
  <c r="U753" i="3"/>
  <c r="B754" i="3"/>
  <c r="C754" i="3"/>
  <c r="D754" i="3"/>
  <c r="E754" i="3"/>
  <c r="F754" i="3"/>
  <c r="G754" i="3"/>
  <c r="H754" i="3"/>
  <c r="I754" i="3"/>
  <c r="J754" i="3"/>
  <c r="K754" i="3"/>
  <c r="L754" i="3"/>
  <c r="M754" i="3"/>
  <c r="N754" i="3"/>
  <c r="O754" i="3"/>
  <c r="P754" i="3"/>
  <c r="Q754" i="3"/>
  <c r="R754" i="3"/>
  <c r="S754" i="3"/>
  <c r="T754" i="3"/>
  <c r="U754" i="3"/>
  <c r="B755" i="3"/>
  <c r="C755" i="3"/>
  <c r="D755" i="3"/>
  <c r="E755" i="3"/>
  <c r="F755" i="3"/>
  <c r="G755" i="3"/>
  <c r="H755" i="3"/>
  <c r="I755" i="3"/>
  <c r="J755" i="3"/>
  <c r="K755" i="3"/>
  <c r="L755" i="3"/>
  <c r="M755" i="3"/>
  <c r="N755" i="3"/>
  <c r="O755" i="3"/>
  <c r="P755" i="3"/>
  <c r="Q755" i="3"/>
  <c r="R755" i="3"/>
  <c r="S755" i="3"/>
  <c r="T755" i="3"/>
  <c r="U755" i="3"/>
  <c r="B756" i="3"/>
  <c r="C756" i="3"/>
  <c r="D756" i="3"/>
  <c r="E756" i="3"/>
  <c r="F756" i="3"/>
  <c r="G756" i="3"/>
  <c r="H756" i="3"/>
  <c r="I756" i="3"/>
  <c r="J756" i="3"/>
  <c r="K756" i="3"/>
  <c r="L756" i="3"/>
  <c r="M756" i="3"/>
  <c r="N756" i="3"/>
  <c r="O756" i="3"/>
  <c r="P756" i="3"/>
  <c r="Q756" i="3"/>
  <c r="R756" i="3"/>
  <c r="S756" i="3"/>
  <c r="T756" i="3"/>
  <c r="U756" i="3"/>
  <c r="B757" i="3"/>
  <c r="C757" i="3"/>
  <c r="D757" i="3"/>
  <c r="E757" i="3"/>
  <c r="F757" i="3"/>
  <c r="G757" i="3"/>
  <c r="H757" i="3"/>
  <c r="I757" i="3"/>
  <c r="J757" i="3"/>
  <c r="K757" i="3"/>
  <c r="L757" i="3"/>
  <c r="M757" i="3"/>
  <c r="N757" i="3"/>
  <c r="O757" i="3"/>
  <c r="P757" i="3"/>
  <c r="Q757" i="3"/>
  <c r="R757" i="3"/>
  <c r="S757" i="3"/>
  <c r="T757" i="3"/>
  <c r="U757" i="3"/>
  <c r="B758" i="3"/>
  <c r="C758" i="3"/>
  <c r="D758" i="3"/>
  <c r="E758" i="3"/>
  <c r="F758" i="3"/>
  <c r="G758" i="3"/>
  <c r="H758" i="3"/>
  <c r="I758" i="3"/>
  <c r="J758" i="3"/>
  <c r="K758" i="3"/>
  <c r="L758" i="3"/>
  <c r="M758" i="3"/>
  <c r="N758" i="3"/>
  <c r="O758" i="3"/>
  <c r="P758" i="3"/>
  <c r="Q758" i="3"/>
  <c r="R758" i="3"/>
  <c r="S758" i="3"/>
  <c r="T758" i="3"/>
  <c r="U758" i="3"/>
  <c r="B759" i="3"/>
  <c r="C759" i="3"/>
  <c r="D759" i="3"/>
  <c r="E759" i="3"/>
  <c r="F759" i="3"/>
  <c r="G759" i="3"/>
  <c r="H759" i="3"/>
  <c r="I759" i="3"/>
  <c r="J759" i="3"/>
  <c r="K759" i="3"/>
  <c r="L759" i="3"/>
  <c r="M759" i="3"/>
  <c r="N759" i="3"/>
  <c r="O759" i="3"/>
  <c r="P759" i="3"/>
  <c r="Q759" i="3"/>
  <c r="R759" i="3"/>
  <c r="S759" i="3"/>
  <c r="T759" i="3"/>
  <c r="U759" i="3"/>
  <c r="B760" i="3"/>
  <c r="C760" i="3"/>
  <c r="D760" i="3"/>
  <c r="E760" i="3"/>
  <c r="F760" i="3"/>
  <c r="G760" i="3"/>
  <c r="H760" i="3"/>
  <c r="I760" i="3"/>
  <c r="J760" i="3"/>
  <c r="K760" i="3"/>
  <c r="L760" i="3"/>
  <c r="M760" i="3"/>
  <c r="N760" i="3"/>
  <c r="O760" i="3"/>
  <c r="P760" i="3"/>
  <c r="Q760" i="3"/>
  <c r="R760" i="3"/>
  <c r="S760" i="3"/>
  <c r="T760" i="3"/>
  <c r="U760" i="3"/>
  <c r="B761" i="3"/>
  <c r="C761" i="3"/>
  <c r="D761" i="3"/>
  <c r="E761" i="3"/>
  <c r="F761" i="3"/>
  <c r="G761" i="3"/>
  <c r="H761" i="3"/>
  <c r="I761" i="3"/>
  <c r="J761" i="3"/>
  <c r="K761" i="3"/>
  <c r="L761" i="3"/>
  <c r="M761" i="3"/>
  <c r="N761" i="3"/>
  <c r="O761" i="3"/>
  <c r="P761" i="3"/>
  <c r="Q761" i="3"/>
  <c r="R761" i="3"/>
  <c r="S761" i="3"/>
  <c r="T761" i="3"/>
  <c r="U761" i="3"/>
  <c r="B762" i="3"/>
  <c r="C762" i="3"/>
  <c r="D762" i="3"/>
  <c r="E762" i="3"/>
  <c r="F762" i="3"/>
  <c r="G762" i="3"/>
  <c r="H762" i="3"/>
  <c r="I762" i="3"/>
  <c r="J762" i="3"/>
  <c r="K762" i="3"/>
  <c r="L762" i="3"/>
  <c r="M762" i="3"/>
  <c r="N762" i="3"/>
  <c r="O762" i="3"/>
  <c r="P762" i="3"/>
  <c r="Q762" i="3"/>
  <c r="R762" i="3"/>
  <c r="S762" i="3"/>
  <c r="T762" i="3"/>
  <c r="U762" i="3"/>
  <c r="B763" i="3"/>
  <c r="C763" i="3"/>
  <c r="D763" i="3"/>
  <c r="E763" i="3"/>
  <c r="F763" i="3"/>
  <c r="G763" i="3"/>
  <c r="H763" i="3"/>
  <c r="I763" i="3"/>
  <c r="J763" i="3"/>
  <c r="K763" i="3"/>
  <c r="L763" i="3"/>
  <c r="M763" i="3"/>
  <c r="N763" i="3"/>
  <c r="O763" i="3"/>
  <c r="P763" i="3"/>
  <c r="Q763" i="3"/>
  <c r="R763" i="3"/>
  <c r="S763" i="3"/>
  <c r="T763" i="3"/>
  <c r="U763" i="3"/>
  <c r="B764" i="3"/>
  <c r="C764" i="3"/>
  <c r="D764" i="3"/>
  <c r="E764" i="3"/>
  <c r="F764" i="3"/>
  <c r="G764" i="3"/>
  <c r="H764" i="3"/>
  <c r="I764" i="3"/>
  <c r="J764" i="3"/>
  <c r="K764" i="3"/>
  <c r="L764" i="3"/>
  <c r="M764" i="3"/>
  <c r="N764" i="3"/>
  <c r="O764" i="3"/>
  <c r="P764" i="3"/>
  <c r="Q764" i="3"/>
  <c r="R764" i="3"/>
  <c r="S764" i="3"/>
  <c r="T764" i="3"/>
  <c r="U764" i="3"/>
  <c r="B765" i="3"/>
  <c r="C765" i="3"/>
  <c r="D765" i="3"/>
  <c r="E765" i="3"/>
  <c r="F765" i="3"/>
  <c r="G765" i="3"/>
  <c r="H765" i="3"/>
  <c r="I765" i="3"/>
  <c r="J765" i="3"/>
  <c r="K765" i="3"/>
  <c r="L765" i="3"/>
  <c r="M765" i="3"/>
  <c r="N765" i="3"/>
  <c r="O765" i="3"/>
  <c r="P765" i="3"/>
  <c r="Q765" i="3"/>
  <c r="R765" i="3"/>
  <c r="S765" i="3"/>
  <c r="T765" i="3"/>
  <c r="U765" i="3"/>
  <c r="B766" i="3"/>
  <c r="C766" i="3"/>
  <c r="D766" i="3"/>
  <c r="E766" i="3"/>
  <c r="F766" i="3"/>
  <c r="G766" i="3"/>
  <c r="H766" i="3"/>
  <c r="I766" i="3"/>
  <c r="J766" i="3"/>
  <c r="K766" i="3"/>
  <c r="L766" i="3"/>
  <c r="M766" i="3"/>
  <c r="N766" i="3"/>
  <c r="O766" i="3"/>
  <c r="P766" i="3"/>
  <c r="Q766" i="3"/>
  <c r="R766" i="3"/>
  <c r="S766" i="3"/>
  <c r="T766" i="3"/>
  <c r="U766" i="3"/>
  <c r="B767" i="3"/>
  <c r="C767" i="3"/>
  <c r="D767" i="3"/>
  <c r="E767" i="3"/>
  <c r="F767" i="3"/>
  <c r="G767" i="3"/>
  <c r="H767" i="3"/>
  <c r="I767" i="3"/>
  <c r="J767" i="3"/>
  <c r="K767" i="3"/>
  <c r="L767" i="3"/>
  <c r="M767" i="3"/>
  <c r="N767" i="3"/>
  <c r="O767" i="3"/>
  <c r="P767" i="3"/>
  <c r="Q767" i="3"/>
  <c r="R767" i="3"/>
  <c r="S767" i="3"/>
  <c r="T767" i="3"/>
  <c r="U767" i="3"/>
  <c r="B768" i="3"/>
  <c r="C768" i="3"/>
  <c r="D768" i="3"/>
  <c r="E768" i="3"/>
  <c r="F768" i="3"/>
  <c r="G768" i="3"/>
  <c r="H768" i="3"/>
  <c r="I768" i="3"/>
  <c r="J768" i="3"/>
  <c r="K768" i="3"/>
  <c r="L768" i="3"/>
  <c r="M768" i="3"/>
  <c r="N768" i="3"/>
  <c r="O768" i="3"/>
  <c r="P768" i="3"/>
  <c r="Q768" i="3"/>
  <c r="R768" i="3"/>
  <c r="S768" i="3"/>
  <c r="T768" i="3"/>
  <c r="U768" i="3"/>
  <c r="B769" i="3"/>
  <c r="C769" i="3"/>
  <c r="D769" i="3"/>
  <c r="E769" i="3"/>
  <c r="F769" i="3"/>
  <c r="G769" i="3"/>
  <c r="H769" i="3"/>
  <c r="I769" i="3"/>
  <c r="J769" i="3"/>
  <c r="K769" i="3"/>
  <c r="L769" i="3"/>
  <c r="M769" i="3"/>
  <c r="N769" i="3"/>
  <c r="O769" i="3"/>
  <c r="P769" i="3"/>
  <c r="Q769" i="3"/>
  <c r="R769" i="3"/>
  <c r="S769" i="3"/>
  <c r="T769" i="3"/>
  <c r="U769" i="3"/>
  <c r="B770" i="3"/>
  <c r="C770" i="3"/>
  <c r="D770" i="3"/>
  <c r="E770" i="3"/>
  <c r="F770" i="3"/>
  <c r="G770" i="3"/>
  <c r="H770" i="3"/>
  <c r="I770" i="3"/>
  <c r="J770" i="3"/>
  <c r="K770" i="3"/>
  <c r="L770" i="3"/>
  <c r="M770" i="3"/>
  <c r="N770" i="3"/>
  <c r="O770" i="3"/>
  <c r="P770" i="3"/>
  <c r="Q770" i="3"/>
  <c r="R770" i="3"/>
  <c r="S770" i="3"/>
  <c r="T770" i="3"/>
  <c r="U770" i="3"/>
  <c r="B771" i="3"/>
  <c r="C771" i="3"/>
  <c r="D771" i="3"/>
  <c r="E771" i="3"/>
  <c r="F771" i="3"/>
  <c r="G771" i="3"/>
  <c r="H771" i="3"/>
  <c r="I771" i="3"/>
  <c r="J771" i="3"/>
  <c r="K771" i="3"/>
  <c r="L771" i="3"/>
  <c r="M771" i="3"/>
  <c r="N771" i="3"/>
  <c r="O771" i="3"/>
  <c r="P771" i="3"/>
  <c r="Q771" i="3"/>
  <c r="R771" i="3"/>
  <c r="S771" i="3"/>
  <c r="T771" i="3"/>
  <c r="U771" i="3"/>
  <c r="B772" i="3"/>
  <c r="C772" i="3"/>
  <c r="D772" i="3"/>
  <c r="E772" i="3"/>
  <c r="F772" i="3"/>
  <c r="G772" i="3"/>
  <c r="H772" i="3"/>
  <c r="I772" i="3"/>
  <c r="J772" i="3"/>
  <c r="K772" i="3"/>
  <c r="L772" i="3"/>
  <c r="M772" i="3"/>
  <c r="N772" i="3"/>
  <c r="O772" i="3"/>
  <c r="P772" i="3"/>
  <c r="Q772" i="3"/>
  <c r="R772" i="3"/>
  <c r="S772" i="3"/>
  <c r="T772" i="3"/>
  <c r="U772" i="3"/>
  <c r="B773" i="3"/>
  <c r="C773" i="3"/>
  <c r="D773" i="3"/>
  <c r="E773" i="3"/>
  <c r="F773" i="3"/>
  <c r="G773" i="3"/>
  <c r="H773" i="3"/>
  <c r="I773" i="3"/>
  <c r="J773" i="3"/>
  <c r="K773" i="3"/>
  <c r="L773" i="3"/>
  <c r="M773" i="3"/>
  <c r="N773" i="3"/>
  <c r="O773" i="3"/>
  <c r="P773" i="3"/>
  <c r="Q773" i="3"/>
  <c r="R773" i="3"/>
  <c r="S773" i="3"/>
  <c r="T773" i="3"/>
  <c r="U773" i="3"/>
  <c r="B774" i="3"/>
  <c r="C774" i="3"/>
  <c r="D774" i="3"/>
  <c r="E774" i="3"/>
  <c r="F774" i="3"/>
  <c r="G774" i="3"/>
  <c r="H774" i="3"/>
  <c r="I774" i="3"/>
  <c r="J774" i="3"/>
  <c r="K774" i="3"/>
  <c r="L774" i="3"/>
  <c r="M774" i="3"/>
  <c r="N774" i="3"/>
  <c r="O774" i="3"/>
  <c r="P774" i="3"/>
  <c r="Q774" i="3"/>
  <c r="R774" i="3"/>
  <c r="S774" i="3"/>
  <c r="T774" i="3"/>
  <c r="U774" i="3"/>
  <c r="B775" i="3"/>
  <c r="C775" i="3"/>
  <c r="D775" i="3"/>
  <c r="E775" i="3"/>
  <c r="F775" i="3"/>
  <c r="G775" i="3"/>
  <c r="H775" i="3"/>
  <c r="I775" i="3"/>
  <c r="J775" i="3"/>
  <c r="K775" i="3"/>
  <c r="L775" i="3"/>
  <c r="M775" i="3"/>
  <c r="N775" i="3"/>
  <c r="O775" i="3"/>
  <c r="P775" i="3"/>
  <c r="Q775" i="3"/>
  <c r="R775" i="3"/>
  <c r="S775" i="3"/>
  <c r="T775" i="3"/>
  <c r="U775" i="3"/>
  <c r="B776" i="3"/>
  <c r="C776" i="3"/>
  <c r="D776" i="3"/>
  <c r="E776" i="3"/>
  <c r="F776" i="3"/>
  <c r="G776" i="3"/>
  <c r="H776" i="3"/>
  <c r="I776" i="3"/>
  <c r="J776" i="3"/>
  <c r="K776" i="3"/>
  <c r="L776" i="3"/>
  <c r="M776" i="3"/>
  <c r="N776" i="3"/>
  <c r="O776" i="3"/>
  <c r="P776" i="3"/>
  <c r="Q776" i="3"/>
  <c r="R776" i="3"/>
  <c r="S776" i="3"/>
  <c r="T776" i="3"/>
  <c r="U776" i="3"/>
  <c r="B777" i="3"/>
  <c r="C777" i="3"/>
  <c r="D777" i="3"/>
  <c r="E777" i="3"/>
  <c r="F777" i="3"/>
  <c r="G777" i="3"/>
  <c r="H777" i="3"/>
  <c r="I777" i="3"/>
  <c r="J777" i="3"/>
  <c r="K777" i="3"/>
  <c r="L777" i="3"/>
  <c r="M777" i="3"/>
  <c r="N777" i="3"/>
  <c r="O777" i="3"/>
  <c r="P777" i="3"/>
  <c r="Q777" i="3"/>
  <c r="R777" i="3"/>
  <c r="S777" i="3"/>
  <c r="T777" i="3"/>
  <c r="U777" i="3"/>
  <c r="B778" i="3"/>
  <c r="C778" i="3"/>
  <c r="D778" i="3"/>
  <c r="E778" i="3"/>
  <c r="F778" i="3"/>
  <c r="G778" i="3"/>
  <c r="H778" i="3"/>
  <c r="I778" i="3"/>
  <c r="J778" i="3"/>
  <c r="K778" i="3"/>
  <c r="L778" i="3"/>
  <c r="M778" i="3"/>
  <c r="N778" i="3"/>
  <c r="O778" i="3"/>
  <c r="P778" i="3"/>
  <c r="Q778" i="3"/>
  <c r="R778" i="3"/>
  <c r="S778" i="3"/>
  <c r="T778" i="3"/>
  <c r="U778" i="3"/>
  <c r="B779" i="3"/>
  <c r="C779" i="3"/>
  <c r="D779" i="3"/>
  <c r="E779" i="3"/>
  <c r="F779" i="3"/>
  <c r="G779" i="3"/>
  <c r="H779" i="3"/>
  <c r="I779" i="3"/>
  <c r="J779" i="3"/>
  <c r="K779" i="3"/>
  <c r="L779" i="3"/>
  <c r="M779" i="3"/>
  <c r="N779" i="3"/>
  <c r="O779" i="3"/>
  <c r="P779" i="3"/>
  <c r="Q779" i="3"/>
  <c r="R779" i="3"/>
  <c r="S779" i="3"/>
  <c r="T779" i="3"/>
  <c r="U779" i="3"/>
  <c r="B780" i="3"/>
  <c r="C780" i="3"/>
  <c r="D780" i="3"/>
  <c r="E780" i="3"/>
  <c r="F780" i="3"/>
  <c r="G780" i="3"/>
  <c r="H780" i="3"/>
  <c r="I780" i="3"/>
  <c r="J780" i="3"/>
  <c r="K780" i="3"/>
  <c r="L780" i="3"/>
  <c r="M780" i="3"/>
  <c r="N780" i="3"/>
  <c r="O780" i="3"/>
  <c r="P780" i="3"/>
  <c r="Q780" i="3"/>
  <c r="R780" i="3"/>
  <c r="S780" i="3"/>
  <c r="T780" i="3"/>
  <c r="U780" i="3"/>
  <c r="B781" i="3"/>
  <c r="C781" i="3"/>
  <c r="D781" i="3"/>
  <c r="E781" i="3"/>
  <c r="F781" i="3"/>
  <c r="G781" i="3"/>
  <c r="H781" i="3"/>
  <c r="I781" i="3"/>
  <c r="J781" i="3"/>
  <c r="K781" i="3"/>
  <c r="L781" i="3"/>
  <c r="M781" i="3"/>
  <c r="N781" i="3"/>
  <c r="O781" i="3"/>
  <c r="P781" i="3"/>
  <c r="Q781" i="3"/>
  <c r="R781" i="3"/>
  <c r="S781" i="3"/>
  <c r="T781" i="3"/>
  <c r="U781" i="3"/>
  <c r="B782" i="3"/>
  <c r="C782" i="3"/>
  <c r="D782" i="3"/>
  <c r="E782" i="3"/>
  <c r="F782" i="3"/>
  <c r="G782" i="3"/>
  <c r="H782" i="3"/>
  <c r="I782" i="3"/>
  <c r="J782" i="3"/>
  <c r="K782" i="3"/>
  <c r="L782" i="3"/>
  <c r="M782" i="3"/>
  <c r="N782" i="3"/>
  <c r="O782" i="3"/>
  <c r="P782" i="3"/>
  <c r="Q782" i="3"/>
  <c r="R782" i="3"/>
  <c r="S782" i="3"/>
  <c r="T782" i="3"/>
  <c r="U782" i="3"/>
  <c r="B783" i="3"/>
  <c r="C783" i="3"/>
  <c r="D783" i="3"/>
  <c r="E783" i="3"/>
  <c r="F783" i="3"/>
  <c r="G783" i="3"/>
  <c r="H783" i="3"/>
  <c r="I783" i="3"/>
  <c r="J783" i="3"/>
  <c r="K783" i="3"/>
  <c r="L783" i="3"/>
  <c r="M783" i="3"/>
  <c r="N783" i="3"/>
  <c r="O783" i="3"/>
  <c r="P783" i="3"/>
  <c r="Q783" i="3"/>
  <c r="R783" i="3"/>
  <c r="S783" i="3"/>
  <c r="T783" i="3"/>
  <c r="U783" i="3"/>
  <c r="B784" i="3"/>
  <c r="C784" i="3"/>
  <c r="D784" i="3"/>
  <c r="E784" i="3"/>
  <c r="F784" i="3"/>
  <c r="G784" i="3"/>
  <c r="H784" i="3"/>
  <c r="I784" i="3"/>
  <c r="J784" i="3"/>
  <c r="K784" i="3"/>
  <c r="L784" i="3"/>
  <c r="M784" i="3"/>
  <c r="N784" i="3"/>
  <c r="O784" i="3"/>
  <c r="P784" i="3"/>
  <c r="Q784" i="3"/>
  <c r="R784" i="3"/>
  <c r="S784" i="3"/>
  <c r="T784" i="3"/>
  <c r="U784" i="3"/>
  <c r="B785" i="3"/>
  <c r="C785" i="3"/>
  <c r="D785" i="3"/>
  <c r="E785" i="3"/>
  <c r="F785" i="3"/>
  <c r="G785" i="3"/>
  <c r="H785" i="3"/>
  <c r="I785" i="3"/>
  <c r="J785" i="3"/>
  <c r="K785" i="3"/>
  <c r="L785" i="3"/>
  <c r="M785" i="3"/>
  <c r="N785" i="3"/>
  <c r="O785" i="3"/>
  <c r="P785" i="3"/>
  <c r="Q785" i="3"/>
  <c r="R785" i="3"/>
  <c r="S785" i="3"/>
  <c r="T785" i="3"/>
  <c r="U785" i="3"/>
  <c r="B786" i="3"/>
  <c r="C786" i="3"/>
  <c r="D786" i="3"/>
  <c r="E786" i="3"/>
  <c r="F786" i="3"/>
  <c r="G786" i="3"/>
  <c r="H786" i="3"/>
  <c r="I786" i="3"/>
  <c r="J786" i="3"/>
  <c r="K786" i="3"/>
  <c r="L786" i="3"/>
  <c r="M786" i="3"/>
  <c r="N786" i="3"/>
  <c r="O786" i="3"/>
  <c r="P786" i="3"/>
  <c r="Q786" i="3"/>
  <c r="R786" i="3"/>
  <c r="S786" i="3"/>
  <c r="T786" i="3"/>
  <c r="U786" i="3"/>
  <c r="B787" i="3"/>
  <c r="C787" i="3"/>
  <c r="D787" i="3"/>
  <c r="E787" i="3"/>
  <c r="F787" i="3"/>
  <c r="G787" i="3"/>
  <c r="H787" i="3"/>
  <c r="I787" i="3"/>
  <c r="J787" i="3"/>
  <c r="K787" i="3"/>
  <c r="L787" i="3"/>
  <c r="M787" i="3"/>
  <c r="N787" i="3"/>
  <c r="O787" i="3"/>
  <c r="P787" i="3"/>
  <c r="Q787" i="3"/>
  <c r="R787" i="3"/>
  <c r="S787" i="3"/>
  <c r="T787" i="3"/>
  <c r="U787" i="3"/>
  <c r="B788" i="3"/>
  <c r="C788" i="3"/>
  <c r="D788" i="3"/>
  <c r="E788" i="3"/>
  <c r="F788" i="3"/>
  <c r="G788" i="3"/>
  <c r="H788" i="3"/>
  <c r="I788" i="3"/>
  <c r="J788" i="3"/>
  <c r="K788" i="3"/>
  <c r="L788" i="3"/>
  <c r="M788" i="3"/>
  <c r="N788" i="3"/>
  <c r="O788" i="3"/>
  <c r="P788" i="3"/>
  <c r="Q788" i="3"/>
  <c r="R788" i="3"/>
  <c r="S788" i="3"/>
  <c r="T788" i="3"/>
  <c r="U788" i="3"/>
  <c r="B789" i="3"/>
  <c r="C789" i="3"/>
  <c r="D789" i="3"/>
  <c r="E789" i="3"/>
  <c r="F789" i="3"/>
  <c r="G789" i="3"/>
  <c r="H789" i="3"/>
  <c r="I789" i="3"/>
  <c r="J789" i="3"/>
  <c r="K789" i="3"/>
  <c r="L789" i="3"/>
  <c r="M789" i="3"/>
  <c r="N789" i="3"/>
  <c r="O789" i="3"/>
  <c r="P789" i="3"/>
  <c r="Q789" i="3"/>
  <c r="R789" i="3"/>
  <c r="S789" i="3"/>
  <c r="T789" i="3"/>
  <c r="U789" i="3"/>
  <c r="B790" i="3"/>
  <c r="C790" i="3"/>
  <c r="D790" i="3"/>
  <c r="E790" i="3"/>
  <c r="F790" i="3"/>
  <c r="G790" i="3"/>
  <c r="H790" i="3"/>
  <c r="I790" i="3"/>
  <c r="J790" i="3"/>
  <c r="K790" i="3"/>
  <c r="L790" i="3"/>
  <c r="M790" i="3"/>
  <c r="N790" i="3"/>
  <c r="O790" i="3"/>
  <c r="P790" i="3"/>
  <c r="Q790" i="3"/>
  <c r="R790" i="3"/>
  <c r="S790" i="3"/>
  <c r="T790" i="3"/>
  <c r="U790" i="3"/>
  <c r="B791" i="3"/>
  <c r="C791" i="3"/>
  <c r="D791" i="3"/>
  <c r="E791" i="3"/>
  <c r="F791" i="3"/>
  <c r="G791" i="3"/>
  <c r="H791" i="3"/>
  <c r="I791" i="3"/>
  <c r="J791" i="3"/>
  <c r="K791" i="3"/>
  <c r="L791" i="3"/>
  <c r="M791" i="3"/>
  <c r="N791" i="3"/>
  <c r="O791" i="3"/>
  <c r="P791" i="3"/>
  <c r="Q791" i="3"/>
  <c r="R791" i="3"/>
  <c r="S791" i="3"/>
  <c r="T791" i="3"/>
  <c r="U791" i="3"/>
  <c r="B792" i="3"/>
  <c r="C792" i="3"/>
  <c r="D792" i="3"/>
  <c r="E792" i="3"/>
  <c r="F792" i="3"/>
  <c r="G792" i="3"/>
  <c r="H792" i="3"/>
  <c r="I792" i="3"/>
  <c r="J792" i="3"/>
  <c r="K792" i="3"/>
  <c r="L792" i="3"/>
  <c r="M792" i="3"/>
  <c r="N792" i="3"/>
  <c r="O792" i="3"/>
  <c r="P792" i="3"/>
  <c r="Q792" i="3"/>
  <c r="R792" i="3"/>
  <c r="S792" i="3"/>
  <c r="T792" i="3"/>
  <c r="U792" i="3"/>
  <c r="B793" i="3"/>
  <c r="C793" i="3"/>
  <c r="D793" i="3"/>
  <c r="E793" i="3"/>
  <c r="F793" i="3"/>
  <c r="G793" i="3"/>
  <c r="H793" i="3"/>
  <c r="I793" i="3"/>
  <c r="J793" i="3"/>
  <c r="K793" i="3"/>
  <c r="L793" i="3"/>
  <c r="M793" i="3"/>
  <c r="N793" i="3"/>
  <c r="O793" i="3"/>
  <c r="P793" i="3"/>
  <c r="Q793" i="3"/>
  <c r="R793" i="3"/>
  <c r="S793" i="3"/>
  <c r="T793" i="3"/>
  <c r="U793" i="3"/>
  <c r="B794" i="3"/>
  <c r="C794" i="3"/>
  <c r="D794" i="3"/>
  <c r="E794" i="3"/>
  <c r="F794" i="3"/>
  <c r="G794" i="3"/>
  <c r="H794" i="3"/>
  <c r="I794" i="3"/>
  <c r="J794" i="3"/>
  <c r="K794" i="3"/>
  <c r="L794" i="3"/>
  <c r="M794" i="3"/>
  <c r="N794" i="3"/>
  <c r="O794" i="3"/>
  <c r="P794" i="3"/>
  <c r="Q794" i="3"/>
  <c r="R794" i="3"/>
  <c r="S794" i="3"/>
  <c r="T794" i="3"/>
  <c r="U794" i="3"/>
  <c r="B795" i="3"/>
  <c r="C795" i="3"/>
  <c r="D795" i="3"/>
  <c r="E795" i="3"/>
  <c r="F795" i="3"/>
  <c r="G795" i="3"/>
  <c r="H795" i="3"/>
  <c r="I795" i="3"/>
  <c r="J795" i="3"/>
  <c r="K795" i="3"/>
  <c r="L795" i="3"/>
  <c r="M795" i="3"/>
  <c r="N795" i="3"/>
  <c r="O795" i="3"/>
  <c r="P795" i="3"/>
  <c r="Q795" i="3"/>
  <c r="R795" i="3"/>
  <c r="S795" i="3"/>
  <c r="T795" i="3"/>
  <c r="U795" i="3"/>
  <c r="B796" i="3"/>
  <c r="C796" i="3"/>
  <c r="D796" i="3"/>
  <c r="E796" i="3"/>
  <c r="F796" i="3"/>
  <c r="H796" i="3"/>
  <c r="I796" i="3"/>
  <c r="J796" i="3"/>
  <c r="K796" i="3"/>
  <c r="L796" i="3"/>
  <c r="M796" i="3"/>
  <c r="N796" i="3"/>
  <c r="O796" i="3"/>
  <c r="P796" i="3"/>
  <c r="Q796" i="3"/>
  <c r="R796" i="3"/>
  <c r="S796" i="3"/>
  <c r="T796" i="3"/>
  <c r="U796" i="3"/>
  <c r="B797" i="3"/>
  <c r="C797" i="3"/>
  <c r="D797" i="3"/>
  <c r="E797" i="3"/>
  <c r="F797" i="3"/>
  <c r="G797" i="3"/>
  <c r="H797" i="3"/>
  <c r="I797" i="3"/>
  <c r="J797" i="3"/>
  <c r="K797" i="3"/>
  <c r="L797" i="3"/>
  <c r="M797" i="3"/>
  <c r="N797" i="3"/>
  <c r="O797" i="3"/>
  <c r="P797" i="3"/>
  <c r="Q797" i="3"/>
  <c r="R797" i="3"/>
  <c r="S797" i="3"/>
  <c r="T797" i="3"/>
  <c r="U797" i="3"/>
  <c r="B798" i="3"/>
  <c r="C798" i="3"/>
  <c r="D798" i="3"/>
  <c r="E798" i="3"/>
  <c r="F798" i="3"/>
  <c r="G798" i="3"/>
  <c r="H798" i="3"/>
  <c r="I798" i="3"/>
  <c r="J798" i="3"/>
  <c r="K798" i="3"/>
  <c r="L798" i="3"/>
  <c r="M798" i="3"/>
  <c r="N798" i="3"/>
  <c r="O798" i="3"/>
  <c r="P798" i="3"/>
  <c r="Q798" i="3"/>
  <c r="R798" i="3"/>
  <c r="S798" i="3"/>
  <c r="T798" i="3"/>
  <c r="U798" i="3"/>
  <c r="B799" i="3"/>
  <c r="C799" i="3"/>
  <c r="D799" i="3"/>
  <c r="E799" i="3"/>
  <c r="F799" i="3"/>
  <c r="G799" i="3"/>
  <c r="H799" i="3"/>
  <c r="I799" i="3"/>
  <c r="J799" i="3"/>
  <c r="K799" i="3"/>
  <c r="L799" i="3"/>
  <c r="M799" i="3"/>
  <c r="N799" i="3"/>
  <c r="O799" i="3"/>
  <c r="P799" i="3"/>
  <c r="Q799" i="3"/>
  <c r="R799" i="3"/>
  <c r="S799" i="3"/>
  <c r="T799" i="3"/>
  <c r="U799" i="3"/>
  <c r="B800" i="3"/>
  <c r="C800" i="3"/>
  <c r="D800" i="3"/>
  <c r="E800" i="3"/>
  <c r="F800" i="3"/>
  <c r="G800" i="3"/>
  <c r="H800" i="3"/>
  <c r="I800" i="3"/>
  <c r="J800" i="3"/>
  <c r="K800" i="3"/>
  <c r="L800" i="3"/>
  <c r="M800" i="3"/>
  <c r="N800" i="3"/>
  <c r="O800" i="3"/>
  <c r="P800" i="3"/>
  <c r="Q800" i="3"/>
  <c r="R800" i="3"/>
  <c r="S800" i="3"/>
  <c r="T800" i="3"/>
  <c r="U800" i="3"/>
  <c r="B801" i="3"/>
  <c r="C801" i="3"/>
  <c r="D801" i="3"/>
  <c r="E801" i="3"/>
  <c r="F801" i="3"/>
  <c r="G801" i="3"/>
  <c r="H801" i="3"/>
  <c r="I801" i="3"/>
  <c r="J801" i="3"/>
  <c r="K801" i="3"/>
  <c r="L801" i="3"/>
  <c r="M801" i="3"/>
  <c r="N801" i="3"/>
  <c r="O801" i="3"/>
  <c r="P801" i="3"/>
  <c r="Q801" i="3"/>
  <c r="R801" i="3"/>
  <c r="S801" i="3"/>
  <c r="T801" i="3"/>
  <c r="U801" i="3"/>
  <c r="B802" i="3"/>
  <c r="C802" i="3"/>
  <c r="D802" i="3"/>
  <c r="E802" i="3"/>
  <c r="F802" i="3"/>
  <c r="G802" i="3"/>
  <c r="H802" i="3"/>
  <c r="I802" i="3"/>
  <c r="J802" i="3"/>
  <c r="K802" i="3"/>
  <c r="L802" i="3"/>
  <c r="M802" i="3"/>
  <c r="N802" i="3"/>
  <c r="O802" i="3"/>
  <c r="P802" i="3"/>
  <c r="Q802" i="3"/>
  <c r="R802" i="3"/>
  <c r="S802" i="3"/>
  <c r="T802" i="3"/>
  <c r="U802" i="3"/>
  <c r="B803" i="3"/>
  <c r="C803" i="3"/>
  <c r="D803" i="3"/>
  <c r="E803" i="3"/>
  <c r="F803" i="3"/>
  <c r="G803" i="3"/>
  <c r="H803" i="3"/>
  <c r="I803" i="3"/>
  <c r="J803" i="3"/>
  <c r="K803" i="3"/>
  <c r="L803" i="3"/>
  <c r="M803" i="3"/>
  <c r="N803" i="3"/>
  <c r="O803" i="3"/>
  <c r="P803" i="3"/>
  <c r="Q803" i="3"/>
  <c r="R803" i="3"/>
  <c r="S803" i="3"/>
  <c r="T803" i="3"/>
  <c r="U803" i="3"/>
  <c r="B804" i="3"/>
  <c r="C804" i="3"/>
  <c r="D804" i="3"/>
  <c r="E804" i="3"/>
  <c r="F804" i="3"/>
  <c r="G804" i="3"/>
  <c r="H804" i="3"/>
  <c r="I804" i="3"/>
  <c r="J804" i="3"/>
  <c r="K804" i="3"/>
  <c r="L804" i="3"/>
  <c r="M804" i="3"/>
  <c r="N804" i="3"/>
  <c r="O804" i="3"/>
  <c r="P804" i="3"/>
  <c r="Q804" i="3"/>
  <c r="R804" i="3"/>
  <c r="S804" i="3"/>
  <c r="T804" i="3"/>
  <c r="U804" i="3"/>
  <c r="B805" i="3"/>
  <c r="C805" i="3"/>
  <c r="D805" i="3"/>
  <c r="E805" i="3"/>
  <c r="F805" i="3"/>
  <c r="G805" i="3"/>
  <c r="H805" i="3"/>
  <c r="I805" i="3"/>
  <c r="J805" i="3"/>
  <c r="K805" i="3"/>
  <c r="L805" i="3"/>
  <c r="M805" i="3"/>
  <c r="N805" i="3"/>
  <c r="O805" i="3"/>
  <c r="P805" i="3"/>
  <c r="Q805" i="3"/>
  <c r="R805" i="3"/>
  <c r="S805" i="3"/>
  <c r="T805" i="3"/>
  <c r="U805" i="3"/>
  <c r="B806" i="3"/>
  <c r="C806" i="3"/>
  <c r="D806" i="3"/>
  <c r="E806" i="3"/>
  <c r="F806" i="3"/>
  <c r="G806" i="3"/>
  <c r="H806" i="3"/>
  <c r="I806" i="3"/>
  <c r="J806" i="3"/>
  <c r="K806" i="3"/>
  <c r="L806" i="3"/>
  <c r="M806" i="3"/>
  <c r="N806" i="3"/>
  <c r="O806" i="3"/>
  <c r="P806" i="3"/>
  <c r="Q806" i="3"/>
  <c r="R806" i="3"/>
  <c r="S806" i="3"/>
  <c r="T806" i="3"/>
  <c r="U806" i="3"/>
  <c r="B807" i="3"/>
  <c r="C807" i="3"/>
  <c r="D807" i="3"/>
  <c r="E807" i="3"/>
  <c r="F807" i="3"/>
  <c r="G807" i="3"/>
  <c r="H807" i="3"/>
  <c r="I807" i="3"/>
  <c r="J807" i="3"/>
  <c r="K807" i="3"/>
  <c r="L807" i="3"/>
  <c r="M807" i="3"/>
  <c r="N807" i="3"/>
  <c r="O807" i="3"/>
  <c r="P807" i="3"/>
  <c r="Q807" i="3"/>
  <c r="R807" i="3"/>
  <c r="S807" i="3"/>
  <c r="T807" i="3"/>
  <c r="U807" i="3"/>
  <c r="B808" i="3"/>
  <c r="C808" i="3"/>
  <c r="D808" i="3"/>
  <c r="E808" i="3"/>
  <c r="F808" i="3"/>
  <c r="G808" i="3"/>
  <c r="H808" i="3"/>
  <c r="I808" i="3"/>
  <c r="J808" i="3"/>
  <c r="K808" i="3"/>
  <c r="L808" i="3"/>
  <c r="M808" i="3"/>
  <c r="N808" i="3"/>
  <c r="O808" i="3"/>
  <c r="P808" i="3"/>
  <c r="Q808" i="3"/>
  <c r="R808" i="3"/>
  <c r="S808" i="3"/>
  <c r="T808" i="3"/>
  <c r="U808" i="3"/>
  <c r="B809" i="3"/>
  <c r="C809" i="3"/>
  <c r="D809" i="3"/>
  <c r="E809" i="3"/>
  <c r="F809" i="3"/>
  <c r="G809" i="3"/>
  <c r="H809" i="3"/>
  <c r="I809" i="3"/>
  <c r="J809" i="3"/>
  <c r="K809" i="3"/>
  <c r="L809" i="3"/>
  <c r="M809" i="3"/>
  <c r="N809" i="3"/>
  <c r="O809" i="3"/>
  <c r="P809" i="3"/>
  <c r="Q809" i="3"/>
  <c r="R809" i="3"/>
  <c r="S809" i="3"/>
  <c r="T809" i="3"/>
  <c r="U809" i="3"/>
  <c r="B810" i="3"/>
  <c r="C810" i="3"/>
  <c r="D810" i="3"/>
  <c r="E810" i="3"/>
  <c r="F810" i="3"/>
  <c r="G810" i="3"/>
  <c r="H810" i="3"/>
  <c r="I810" i="3"/>
  <c r="J810" i="3"/>
  <c r="K810" i="3"/>
  <c r="L810" i="3"/>
  <c r="M810" i="3"/>
  <c r="N810" i="3"/>
  <c r="O810" i="3"/>
  <c r="P810" i="3"/>
  <c r="Q810" i="3"/>
  <c r="R810" i="3"/>
  <c r="S810" i="3"/>
  <c r="T810" i="3"/>
  <c r="U810" i="3"/>
  <c r="B811" i="3"/>
  <c r="C811" i="3"/>
  <c r="D811" i="3"/>
  <c r="E811" i="3"/>
  <c r="F811" i="3"/>
  <c r="G811" i="3"/>
  <c r="H811" i="3"/>
  <c r="I811" i="3"/>
  <c r="J811" i="3"/>
  <c r="K811" i="3"/>
  <c r="L811" i="3"/>
  <c r="M811" i="3"/>
  <c r="N811" i="3"/>
  <c r="O811" i="3"/>
  <c r="P811" i="3"/>
  <c r="Q811" i="3"/>
  <c r="R811" i="3"/>
  <c r="S811" i="3"/>
  <c r="T811" i="3"/>
  <c r="U811" i="3"/>
  <c r="B812" i="3"/>
  <c r="C812" i="3"/>
  <c r="D812" i="3"/>
  <c r="E812" i="3"/>
  <c r="F812" i="3"/>
  <c r="G812" i="3"/>
  <c r="H812" i="3"/>
  <c r="I812" i="3"/>
  <c r="J812" i="3"/>
  <c r="K812" i="3"/>
  <c r="L812" i="3"/>
  <c r="M812" i="3"/>
  <c r="N812" i="3"/>
  <c r="O812" i="3"/>
  <c r="P812" i="3"/>
  <c r="Q812" i="3"/>
  <c r="R812" i="3"/>
  <c r="S812" i="3"/>
  <c r="T812" i="3"/>
  <c r="U812" i="3"/>
  <c r="B813" i="3"/>
  <c r="C813" i="3"/>
  <c r="D813" i="3"/>
  <c r="E813" i="3"/>
  <c r="F813" i="3"/>
  <c r="G813" i="3"/>
  <c r="H813" i="3"/>
  <c r="I813" i="3"/>
  <c r="J813" i="3"/>
  <c r="K813" i="3"/>
  <c r="L813" i="3"/>
  <c r="M813" i="3"/>
  <c r="N813" i="3"/>
  <c r="O813" i="3"/>
  <c r="P813" i="3"/>
  <c r="Q813" i="3"/>
  <c r="R813" i="3"/>
  <c r="S813" i="3"/>
  <c r="T813" i="3"/>
  <c r="U813" i="3"/>
  <c r="B814" i="3"/>
  <c r="C814" i="3"/>
  <c r="D814" i="3"/>
  <c r="E814" i="3"/>
  <c r="F814" i="3"/>
  <c r="G814" i="3"/>
  <c r="H814" i="3"/>
  <c r="I814" i="3"/>
  <c r="J814" i="3"/>
  <c r="K814" i="3"/>
  <c r="L814" i="3"/>
  <c r="M814" i="3"/>
  <c r="N814" i="3"/>
  <c r="O814" i="3"/>
  <c r="P814" i="3"/>
  <c r="Q814" i="3"/>
  <c r="R814" i="3"/>
  <c r="S814" i="3"/>
  <c r="T814" i="3"/>
  <c r="U814" i="3"/>
  <c r="B815" i="3"/>
  <c r="C815" i="3"/>
  <c r="D815" i="3"/>
  <c r="E815" i="3"/>
  <c r="F815" i="3"/>
  <c r="G815" i="3"/>
  <c r="H815" i="3"/>
  <c r="I815" i="3"/>
  <c r="J815" i="3"/>
  <c r="K815" i="3"/>
  <c r="L815" i="3"/>
  <c r="M815" i="3"/>
  <c r="N815" i="3"/>
  <c r="O815" i="3"/>
  <c r="P815" i="3"/>
  <c r="Q815" i="3"/>
  <c r="R815" i="3"/>
  <c r="S815" i="3"/>
  <c r="T815" i="3"/>
  <c r="U815" i="3"/>
  <c r="B816" i="3"/>
  <c r="C816" i="3"/>
  <c r="D816" i="3"/>
  <c r="E816" i="3"/>
  <c r="F816" i="3"/>
  <c r="G816" i="3"/>
  <c r="H816" i="3"/>
  <c r="I816" i="3"/>
  <c r="J816" i="3"/>
  <c r="K816" i="3"/>
  <c r="L816" i="3"/>
  <c r="M816" i="3"/>
  <c r="N816" i="3"/>
  <c r="O816" i="3"/>
  <c r="P816" i="3"/>
  <c r="Q816" i="3"/>
  <c r="R816" i="3"/>
  <c r="S816" i="3"/>
  <c r="T816" i="3"/>
  <c r="U816" i="3"/>
  <c r="B817" i="3"/>
  <c r="C817" i="3"/>
  <c r="D817" i="3"/>
  <c r="E817" i="3"/>
  <c r="F817" i="3"/>
  <c r="G817" i="3"/>
  <c r="H817" i="3"/>
  <c r="I817" i="3"/>
  <c r="J817" i="3"/>
  <c r="K817" i="3"/>
  <c r="L817" i="3"/>
  <c r="M817" i="3"/>
  <c r="N817" i="3"/>
  <c r="O817" i="3"/>
  <c r="P817" i="3"/>
  <c r="Q817" i="3"/>
  <c r="R817" i="3"/>
  <c r="S817" i="3"/>
  <c r="T817" i="3"/>
  <c r="U817" i="3"/>
  <c r="B818" i="3"/>
  <c r="C818" i="3"/>
  <c r="D818" i="3"/>
  <c r="E818" i="3"/>
  <c r="F818" i="3"/>
  <c r="G818" i="3"/>
  <c r="H818" i="3"/>
  <c r="I818" i="3"/>
  <c r="J818" i="3"/>
  <c r="K818" i="3"/>
  <c r="L818" i="3"/>
  <c r="M818" i="3"/>
  <c r="N818" i="3"/>
  <c r="O818" i="3"/>
  <c r="P818" i="3"/>
  <c r="Q818" i="3"/>
  <c r="R818" i="3"/>
  <c r="S818" i="3"/>
  <c r="T818" i="3"/>
  <c r="U818" i="3"/>
  <c r="B819" i="3"/>
  <c r="C819" i="3"/>
  <c r="D819" i="3"/>
  <c r="E819" i="3"/>
  <c r="F819" i="3"/>
  <c r="G819" i="3"/>
  <c r="H819" i="3"/>
  <c r="I819" i="3"/>
  <c r="J819" i="3"/>
  <c r="K819" i="3"/>
  <c r="L819" i="3"/>
  <c r="M819" i="3"/>
  <c r="N819" i="3"/>
  <c r="O819" i="3"/>
  <c r="P819" i="3"/>
  <c r="Q819" i="3"/>
  <c r="R819" i="3"/>
  <c r="S819" i="3"/>
  <c r="T819" i="3"/>
  <c r="U819" i="3"/>
  <c r="B820" i="3"/>
  <c r="C820" i="3"/>
  <c r="D820" i="3"/>
  <c r="E820" i="3"/>
  <c r="F820" i="3"/>
  <c r="G820" i="3"/>
  <c r="H820" i="3"/>
  <c r="I820" i="3"/>
  <c r="J820" i="3"/>
  <c r="K820" i="3"/>
  <c r="L820" i="3"/>
  <c r="M820" i="3"/>
  <c r="N820" i="3"/>
  <c r="O820" i="3"/>
  <c r="P820" i="3"/>
  <c r="Q820" i="3"/>
  <c r="R820" i="3"/>
  <c r="S820" i="3"/>
  <c r="T820" i="3"/>
  <c r="U820" i="3"/>
  <c r="B821" i="3"/>
  <c r="C821" i="3"/>
  <c r="D821" i="3"/>
  <c r="E821" i="3"/>
  <c r="F821" i="3"/>
  <c r="G821" i="3"/>
  <c r="H821" i="3"/>
  <c r="I821" i="3"/>
  <c r="J821" i="3"/>
  <c r="K821" i="3"/>
  <c r="L821" i="3"/>
  <c r="M821" i="3"/>
  <c r="N821" i="3"/>
  <c r="O821" i="3"/>
  <c r="P821" i="3"/>
  <c r="Q821" i="3"/>
  <c r="R821" i="3"/>
  <c r="S821" i="3"/>
  <c r="T821" i="3"/>
  <c r="U821" i="3"/>
  <c r="B822" i="3"/>
  <c r="C822" i="3"/>
  <c r="D822" i="3"/>
  <c r="E822" i="3"/>
  <c r="F822" i="3"/>
  <c r="G822" i="3"/>
  <c r="H822" i="3"/>
  <c r="I822" i="3"/>
  <c r="J822" i="3"/>
  <c r="K822" i="3"/>
  <c r="L822" i="3"/>
  <c r="M822" i="3"/>
  <c r="N822" i="3"/>
  <c r="O822" i="3"/>
  <c r="P822" i="3"/>
  <c r="Q822" i="3"/>
  <c r="R822" i="3"/>
  <c r="S822" i="3"/>
  <c r="T822" i="3"/>
  <c r="U822" i="3"/>
  <c r="B823" i="3"/>
  <c r="C823" i="3"/>
  <c r="D823" i="3"/>
  <c r="E823" i="3"/>
  <c r="F823" i="3"/>
  <c r="G823" i="3"/>
  <c r="H823" i="3"/>
  <c r="I823" i="3"/>
  <c r="J823" i="3"/>
  <c r="K823" i="3"/>
  <c r="L823" i="3"/>
  <c r="M823" i="3"/>
  <c r="N823" i="3"/>
  <c r="O823" i="3"/>
  <c r="P823" i="3"/>
  <c r="Q823" i="3"/>
  <c r="R823" i="3"/>
  <c r="S823" i="3"/>
  <c r="T823" i="3"/>
  <c r="U823" i="3"/>
  <c r="B824" i="3"/>
  <c r="C824" i="3"/>
  <c r="D824" i="3"/>
  <c r="E824" i="3"/>
  <c r="F824" i="3"/>
  <c r="G824" i="3"/>
  <c r="H824" i="3"/>
  <c r="I824" i="3"/>
  <c r="J824" i="3"/>
  <c r="K824" i="3"/>
  <c r="L824" i="3"/>
  <c r="M824" i="3"/>
  <c r="N824" i="3"/>
  <c r="O824" i="3"/>
  <c r="P824" i="3"/>
  <c r="Q824" i="3"/>
  <c r="R824" i="3"/>
  <c r="S824" i="3"/>
  <c r="T824" i="3"/>
  <c r="U824" i="3"/>
  <c r="B825" i="3"/>
  <c r="C825" i="3"/>
  <c r="D825" i="3"/>
  <c r="E825" i="3"/>
  <c r="F825" i="3"/>
  <c r="G825" i="3"/>
  <c r="H825" i="3"/>
  <c r="I825" i="3"/>
  <c r="J825" i="3"/>
  <c r="K825" i="3"/>
  <c r="L825" i="3"/>
  <c r="M825" i="3"/>
  <c r="N825" i="3"/>
  <c r="O825" i="3"/>
  <c r="P825" i="3"/>
  <c r="Q825" i="3"/>
  <c r="R825" i="3"/>
  <c r="S825" i="3"/>
  <c r="T825" i="3"/>
  <c r="U825" i="3"/>
  <c r="B826" i="3"/>
  <c r="C826" i="3"/>
  <c r="D826" i="3"/>
  <c r="E826" i="3"/>
  <c r="F826" i="3"/>
  <c r="G826" i="3"/>
  <c r="H826" i="3"/>
  <c r="I826" i="3"/>
  <c r="J826" i="3"/>
  <c r="K826" i="3"/>
  <c r="L826" i="3"/>
  <c r="M826" i="3"/>
  <c r="N826" i="3"/>
  <c r="O826" i="3"/>
  <c r="P826" i="3"/>
  <c r="Q826" i="3"/>
  <c r="R826" i="3"/>
  <c r="S826" i="3"/>
  <c r="T826" i="3"/>
  <c r="U826" i="3"/>
  <c r="B827" i="3"/>
  <c r="C827" i="3"/>
  <c r="D827" i="3"/>
  <c r="E827" i="3"/>
  <c r="F827" i="3"/>
  <c r="G827" i="3"/>
  <c r="H827" i="3"/>
  <c r="I827" i="3"/>
  <c r="J827" i="3"/>
  <c r="K827" i="3"/>
  <c r="L827" i="3"/>
  <c r="M827" i="3"/>
  <c r="N827" i="3"/>
  <c r="O827" i="3"/>
  <c r="P827" i="3"/>
  <c r="Q827" i="3"/>
  <c r="R827" i="3"/>
  <c r="S827" i="3"/>
  <c r="T827" i="3"/>
  <c r="U827" i="3"/>
  <c r="B828" i="3"/>
  <c r="C828" i="3"/>
  <c r="D828" i="3"/>
  <c r="E828" i="3"/>
  <c r="F828" i="3"/>
  <c r="G828" i="3"/>
  <c r="H828" i="3"/>
  <c r="I828" i="3"/>
  <c r="J828" i="3"/>
  <c r="K828" i="3"/>
  <c r="L828" i="3"/>
  <c r="M828" i="3"/>
  <c r="N828" i="3"/>
  <c r="O828" i="3"/>
  <c r="P828" i="3"/>
  <c r="Q828" i="3"/>
  <c r="R828" i="3"/>
  <c r="S828" i="3"/>
  <c r="T828" i="3"/>
  <c r="U828" i="3"/>
  <c r="B829" i="3"/>
  <c r="C829" i="3"/>
  <c r="D829" i="3"/>
  <c r="E829" i="3"/>
  <c r="F829" i="3"/>
  <c r="G829" i="3"/>
  <c r="H829" i="3"/>
  <c r="I829" i="3"/>
  <c r="J829" i="3"/>
  <c r="K829" i="3"/>
  <c r="L829" i="3"/>
  <c r="M829" i="3"/>
  <c r="N829" i="3"/>
  <c r="O829" i="3"/>
  <c r="P829" i="3"/>
  <c r="Q829" i="3"/>
  <c r="R829" i="3"/>
  <c r="S829" i="3"/>
  <c r="T829" i="3"/>
  <c r="U829" i="3"/>
  <c r="B830" i="3"/>
  <c r="C830" i="3"/>
  <c r="D830" i="3"/>
  <c r="E830" i="3"/>
  <c r="F830" i="3"/>
  <c r="G830" i="3"/>
  <c r="H830" i="3"/>
  <c r="I830" i="3"/>
  <c r="J830" i="3"/>
  <c r="K830" i="3"/>
  <c r="L830" i="3"/>
  <c r="M830" i="3"/>
  <c r="N830" i="3"/>
  <c r="O830" i="3"/>
  <c r="P830" i="3"/>
  <c r="Q830" i="3"/>
  <c r="R830" i="3"/>
  <c r="S830" i="3"/>
  <c r="T830" i="3"/>
  <c r="U830" i="3"/>
  <c r="B831" i="3"/>
  <c r="C831" i="3"/>
  <c r="D831" i="3"/>
  <c r="E831" i="3"/>
  <c r="F831" i="3"/>
  <c r="G831" i="3"/>
  <c r="H831" i="3"/>
  <c r="I831" i="3"/>
  <c r="J831" i="3"/>
  <c r="K831" i="3"/>
  <c r="L831" i="3"/>
  <c r="M831" i="3"/>
  <c r="N831" i="3"/>
  <c r="O831" i="3"/>
  <c r="P831" i="3"/>
  <c r="Q831" i="3"/>
  <c r="R831" i="3"/>
  <c r="S831" i="3"/>
  <c r="T831" i="3"/>
  <c r="U831" i="3"/>
  <c r="B832" i="3"/>
  <c r="C832" i="3"/>
  <c r="D832" i="3"/>
  <c r="E832" i="3"/>
  <c r="F832" i="3"/>
  <c r="G832" i="3"/>
  <c r="H832" i="3"/>
  <c r="I832" i="3"/>
  <c r="J832" i="3"/>
  <c r="K832" i="3"/>
  <c r="L832" i="3"/>
  <c r="M832" i="3"/>
  <c r="N832" i="3"/>
  <c r="O832" i="3"/>
  <c r="P832" i="3"/>
  <c r="Q832" i="3"/>
  <c r="R832" i="3"/>
  <c r="S832" i="3"/>
  <c r="T832" i="3"/>
  <c r="U832" i="3"/>
  <c r="B833" i="3"/>
  <c r="C833" i="3"/>
  <c r="D833" i="3"/>
  <c r="E833" i="3"/>
  <c r="F833" i="3"/>
  <c r="G833" i="3"/>
  <c r="H833" i="3"/>
  <c r="I833" i="3"/>
  <c r="J833" i="3"/>
  <c r="K833" i="3"/>
  <c r="L833" i="3"/>
  <c r="M833" i="3"/>
  <c r="N833" i="3"/>
  <c r="O833" i="3"/>
  <c r="P833" i="3"/>
  <c r="Q833" i="3"/>
  <c r="R833" i="3"/>
  <c r="S833" i="3"/>
  <c r="T833" i="3"/>
  <c r="U833" i="3"/>
  <c r="B834" i="3"/>
  <c r="C834" i="3"/>
  <c r="D834" i="3"/>
  <c r="E834" i="3"/>
  <c r="F834" i="3"/>
  <c r="G834" i="3"/>
  <c r="H834" i="3"/>
  <c r="I834" i="3"/>
  <c r="J834" i="3"/>
  <c r="K834" i="3"/>
  <c r="L834" i="3"/>
  <c r="M834" i="3"/>
  <c r="N834" i="3"/>
  <c r="O834" i="3"/>
  <c r="P834" i="3"/>
  <c r="Q834" i="3"/>
  <c r="R834" i="3"/>
  <c r="S834" i="3"/>
  <c r="T834" i="3"/>
  <c r="U834" i="3"/>
  <c r="B835" i="3"/>
  <c r="C835" i="3"/>
  <c r="D835" i="3"/>
  <c r="E835" i="3"/>
  <c r="F835" i="3"/>
  <c r="G835" i="3"/>
  <c r="H835" i="3"/>
  <c r="I835" i="3"/>
  <c r="J835" i="3"/>
  <c r="K835" i="3"/>
  <c r="L835" i="3"/>
  <c r="M835" i="3"/>
  <c r="N835" i="3"/>
  <c r="O835" i="3"/>
  <c r="P835" i="3"/>
  <c r="Q835" i="3"/>
  <c r="R835" i="3"/>
  <c r="S835" i="3"/>
  <c r="T835" i="3"/>
  <c r="U835" i="3"/>
  <c r="B836" i="3"/>
  <c r="C836" i="3"/>
  <c r="D836" i="3"/>
  <c r="E836" i="3"/>
  <c r="F836" i="3"/>
  <c r="G836" i="3"/>
  <c r="H836" i="3"/>
  <c r="I836" i="3"/>
  <c r="J836" i="3"/>
  <c r="K836" i="3"/>
  <c r="L836" i="3"/>
  <c r="M836" i="3"/>
  <c r="N836" i="3"/>
  <c r="O836" i="3"/>
  <c r="P836" i="3"/>
  <c r="Q836" i="3"/>
  <c r="R836" i="3"/>
  <c r="S836" i="3"/>
  <c r="T836" i="3"/>
  <c r="U836" i="3"/>
  <c r="B837" i="3"/>
  <c r="C837" i="3"/>
  <c r="D837" i="3"/>
  <c r="E837" i="3"/>
  <c r="F837" i="3"/>
  <c r="G837" i="3"/>
  <c r="H837" i="3"/>
  <c r="I837" i="3"/>
  <c r="J837" i="3"/>
  <c r="K837" i="3"/>
  <c r="L837" i="3"/>
  <c r="M837" i="3"/>
  <c r="N837" i="3"/>
  <c r="O837" i="3"/>
  <c r="P837" i="3"/>
  <c r="Q837" i="3"/>
  <c r="R837" i="3"/>
  <c r="S837" i="3"/>
  <c r="T837" i="3"/>
  <c r="U837" i="3"/>
  <c r="B838" i="3"/>
  <c r="C838" i="3"/>
  <c r="D838" i="3"/>
  <c r="E838" i="3"/>
  <c r="F838" i="3"/>
  <c r="G838" i="3"/>
  <c r="H838" i="3"/>
  <c r="I838" i="3"/>
  <c r="J838" i="3"/>
  <c r="K838" i="3"/>
  <c r="L838" i="3"/>
  <c r="M838" i="3"/>
  <c r="N838" i="3"/>
  <c r="O838" i="3"/>
  <c r="P838" i="3"/>
  <c r="Q838" i="3"/>
  <c r="R838" i="3"/>
  <c r="S838" i="3"/>
  <c r="T838" i="3"/>
  <c r="U838" i="3"/>
  <c r="B839" i="3"/>
  <c r="C839" i="3"/>
  <c r="D839" i="3"/>
  <c r="E839" i="3"/>
  <c r="F839" i="3"/>
  <c r="G839" i="3"/>
  <c r="H839" i="3"/>
  <c r="I839" i="3"/>
  <c r="J839" i="3"/>
  <c r="K839" i="3"/>
  <c r="L839" i="3"/>
  <c r="M839" i="3"/>
  <c r="N839" i="3"/>
  <c r="O839" i="3"/>
  <c r="P839" i="3"/>
  <c r="Q839" i="3"/>
  <c r="R839" i="3"/>
  <c r="S839" i="3"/>
  <c r="T839" i="3"/>
  <c r="U839" i="3"/>
  <c r="B840" i="3"/>
  <c r="C840" i="3"/>
  <c r="D840" i="3"/>
  <c r="E840" i="3"/>
  <c r="F840" i="3"/>
  <c r="G840" i="3"/>
  <c r="H840" i="3"/>
  <c r="I840" i="3"/>
  <c r="J840" i="3"/>
  <c r="K840" i="3"/>
  <c r="L840" i="3"/>
  <c r="M840" i="3"/>
  <c r="N840" i="3"/>
  <c r="O840" i="3"/>
  <c r="P840" i="3"/>
  <c r="Q840" i="3"/>
  <c r="R840" i="3"/>
  <c r="S840" i="3"/>
  <c r="T840" i="3"/>
  <c r="U840" i="3"/>
  <c r="B841" i="3"/>
  <c r="C841" i="3"/>
  <c r="D841" i="3"/>
  <c r="E841" i="3"/>
  <c r="F841" i="3"/>
  <c r="G841" i="3"/>
  <c r="H841" i="3"/>
  <c r="I841" i="3"/>
  <c r="J841" i="3"/>
  <c r="K841" i="3"/>
  <c r="L841" i="3"/>
  <c r="M841" i="3"/>
  <c r="N841" i="3"/>
  <c r="O841" i="3"/>
  <c r="P841" i="3"/>
  <c r="Q841" i="3"/>
  <c r="R841" i="3"/>
  <c r="S841" i="3"/>
  <c r="T841" i="3"/>
  <c r="U841" i="3"/>
  <c r="B842" i="3"/>
  <c r="C842" i="3"/>
  <c r="D842" i="3"/>
  <c r="E842" i="3"/>
  <c r="F842" i="3"/>
  <c r="G842" i="3"/>
  <c r="H842" i="3"/>
  <c r="I842" i="3"/>
  <c r="J842" i="3"/>
  <c r="K842" i="3"/>
  <c r="L842" i="3"/>
  <c r="M842" i="3"/>
  <c r="N842" i="3"/>
  <c r="O842" i="3"/>
  <c r="P842" i="3"/>
  <c r="Q842" i="3"/>
  <c r="R842" i="3"/>
  <c r="S842" i="3"/>
  <c r="T842" i="3"/>
  <c r="U842" i="3"/>
  <c r="B843" i="3"/>
  <c r="C843" i="3"/>
  <c r="D843" i="3"/>
  <c r="E843" i="3"/>
  <c r="F843" i="3"/>
  <c r="G843" i="3"/>
  <c r="H843" i="3"/>
  <c r="I843" i="3"/>
  <c r="J843" i="3"/>
  <c r="K843" i="3"/>
  <c r="L843" i="3"/>
  <c r="M843" i="3"/>
  <c r="N843" i="3"/>
  <c r="O843" i="3"/>
  <c r="P843" i="3"/>
  <c r="Q843" i="3"/>
  <c r="R843" i="3"/>
  <c r="S843" i="3"/>
  <c r="T843" i="3"/>
  <c r="U843" i="3"/>
  <c r="B844" i="3"/>
  <c r="C844" i="3"/>
  <c r="D844" i="3"/>
  <c r="E844" i="3"/>
  <c r="F844" i="3"/>
  <c r="G844" i="3"/>
  <c r="H844" i="3"/>
  <c r="I844" i="3"/>
  <c r="J844" i="3"/>
  <c r="K844" i="3"/>
  <c r="L844" i="3"/>
  <c r="M844" i="3"/>
  <c r="N844" i="3"/>
  <c r="O844" i="3"/>
  <c r="P844" i="3"/>
  <c r="Q844" i="3"/>
  <c r="R844" i="3"/>
  <c r="S844" i="3"/>
  <c r="T844" i="3"/>
  <c r="U844" i="3"/>
  <c r="B845" i="3"/>
  <c r="C845" i="3"/>
  <c r="D845" i="3"/>
  <c r="E845" i="3"/>
  <c r="F845" i="3"/>
  <c r="G845" i="3"/>
  <c r="H845" i="3"/>
  <c r="I845" i="3"/>
  <c r="J845" i="3"/>
  <c r="K845" i="3"/>
  <c r="L845" i="3"/>
  <c r="M845" i="3"/>
  <c r="N845" i="3"/>
  <c r="O845" i="3"/>
  <c r="P845" i="3"/>
  <c r="Q845" i="3"/>
  <c r="R845" i="3"/>
  <c r="S845" i="3"/>
  <c r="T845" i="3"/>
  <c r="U845" i="3"/>
  <c r="B846" i="3"/>
  <c r="C846" i="3"/>
  <c r="D846" i="3"/>
  <c r="E846" i="3"/>
  <c r="F846" i="3"/>
  <c r="G846" i="3"/>
  <c r="H846" i="3"/>
  <c r="I846" i="3"/>
  <c r="J846" i="3"/>
  <c r="K846" i="3"/>
  <c r="L846" i="3"/>
  <c r="M846" i="3"/>
  <c r="N846" i="3"/>
  <c r="O846" i="3"/>
  <c r="P846" i="3"/>
  <c r="Q846" i="3"/>
  <c r="R846" i="3"/>
  <c r="S846" i="3"/>
  <c r="T846" i="3"/>
  <c r="U846" i="3"/>
  <c r="B847" i="3"/>
  <c r="C847" i="3"/>
  <c r="D847" i="3"/>
  <c r="E847" i="3"/>
  <c r="F847" i="3"/>
  <c r="G847" i="3"/>
  <c r="H847" i="3"/>
  <c r="I847" i="3"/>
  <c r="J847" i="3"/>
  <c r="K847" i="3"/>
  <c r="L847" i="3"/>
  <c r="M847" i="3"/>
  <c r="N847" i="3"/>
  <c r="O847" i="3"/>
  <c r="P847" i="3"/>
  <c r="Q847" i="3"/>
  <c r="R847" i="3"/>
  <c r="S847" i="3"/>
  <c r="T847" i="3"/>
  <c r="U847" i="3"/>
  <c r="B848" i="3"/>
  <c r="C848" i="3"/>
  <c r="D848" i="3"/>
  <c r="E848" i="3"/>
  <c r="F848" i="3"/>
  <c r="G848" i="3"/>
  <c r="H848" i="3"/>
  <c r="I848" i="3"/>
  <c r="J848" i="3"/>
  <c r="K848" i="3"/>
  <c r="L848" i="3"/>
  <c r="M848" i="3"/>
  <c r="N848" i="3"/>
  <c r="O848" i="3"/>
  <c r="P848" i="3"/>
  <c r="Q848" i="3"/>
  <c r="R848" i="3"/>
  <c r="S848" i="3"/>
  <c r="T848" i="3"/>
  <c r="U848" i="3"/>
  <c r="B849" i="3"/>
  <c r="C849" i="3"/>
  <c r="D849" i="3"/>
  <c r="E849" i="3"/>
  <c r="F849" i="3"/>
  <c r="G849" i="3"/>
  <c r="H849" i="3"/>
  <c r="I849" i="3"/>
  <c r="J849" i="3"/>
  <c r="K849" i="3"/>
  <c r="L849" i="3"/>
  <c r="M849" i="3"/>
  <c r="N849" i="3"/>
  <c r="O849" i="3"/>
  <c r="P849" i="3"/>
  <c r="Q849" i="3"/>
  <c r="R849" i="3"/>
  <c r="S849" i="3"/>
  <c r="T849" i="3"/>
  <c r="U849" i="3"/>
  <c r="B850" i="3"/>
  <c r="C850" i="3"/>
  <c r="D850" i="3"/>
  <c r="E850" i="3"/>
  <c r="F850" i="3"/>
  <c r="G850" i="3"/>
  <c r="H850" i="3"/>
  <c r="I850" i="3"/>
  <c r="J850" i="3"/>
  <c r="K850" i="3"/>
  <c r="L850" i="3"/>
  <c r="M850" i="3"/>
  <c r="N850" i="3"/>
  <c r="O850" i="3"/>
  <c r="P850" i="3"/>
  <c r="Q850" i="3"/>
  <c r="R850" i="3"/>
  <c r="S850" i="3"/>
  <c r="T850" i="3"/>
  <c r="U850" i="3"/>
  <c r="B851" i="3"/>
  <c r="C851" i="3"/>
  <c r="D851" i="3"/>
  <c r="E851" i="3"/>
  <c r="F851" i="3"/>
  <c r="G851" i="3"/>
  <c r="H851" i="3"/>
  <c r="I851" i="3"/>
  <c r="J851" i="3"/>
  <c r="K851" i="3"/>
  <c r="L851" i="3"/>
  <c r="M851" i="3"/>
  <c r="N851" i="3"/>
  <c r="O851" i="3"/>
  <c r="P851" i="3"/>
  <c r="Q851" i="3"/>
  <c r="R851" i="3"/>
  <c r="S851" i="3"/>
  <c r="T851" i="3"/>
  <c r="U851" i="3"/>
  <c r="B852" i="3"/>
  <c r="C852" i="3"/>
  <c r="D852" i="3"/>
  <c r="E852" i="3"/>
  <c r="F852" i="3"/>
  <c r="G852" i="3"/>
  <c r="H852" i="3"/>
  <c r="I852" i="3"/>
  <c r="J852" i="3"/>
  <c r="K852" i="3"/>
  <c r="L852" i="3"/>
  <c r="M852" i="3"/>
  <c r="N852" i="3"/>
  <c r="O852" i="3"/>
  <c r="P852" i="3"/>
  <c r="Q852" i="3"/>
  <c r="R852" i="3"/>
  <c r="S852" i="3"/>
  <c r="T852" i="3"/>
  <c r="U852" i="3"/>
  <c r="B853" i="3"/>
  <c r="C853" i="3"/>
  <c r="D853" i="3"/>
  <c r="E853" i="3"/>
  <c r="F853" i="3"/>
  <c r="G853" i="3"/>
  <c r="H853" i="3"/>
  <c r="I853" i="3"/>
  <c r="J853" i="3"/>
  <c r="K853" i="3"/>
  <c r="L853" i="3"/>
  <c r="M853" i="3"/>
  <c r="N853" i="3"/>
  <c r="O853" i="3"/>
  <c r="P853" i="3"/>
  <c r="Q853" i="3"/>
  <c r="R853" i="3"/>
  <c r="S853" i="3"/>
  <c r="T853" i="3"/>
  <c r="U853" i="3"/>
  <c r="B854" i="3"/>
  <c r="C854" i="3"/>
  <c r="D854" i="3"/>
  <c r="E854" i="3"/>
  <c r="F854" i="3"/>
  <c r="G854" i="3"/>
  <c r="H854" i="3"/>
  <c r="I854" i="3"/>
  <c r="J854" i="3"/>
  <c r="K854" i="3"/>
  <c r="L854" i="3"/>
  <c r="M854" i="3"/>
  <c r="N854" i="3"/>
  <c r="O854" i="3"/>
  <c r="P854" i="3"/>
  <c r="Q854" i="3"/>
  <c r="R854" i="3"/>
  <c r="S854" i="3"/>
  <c r="T854" i="3"/>
  <c r="U854" i="3"/>
  <c r="B855" i="3"/>
  <c r="C855" i="3"/>
  <c r="D855" i="3"/>
  <c r="E855" i="3"/>
  <c r="F855" i="3"/>
  <c r="G855" i="3"/>
  <c r="H855" i="3"/>
  <c r="I855" i="3"/>
  <c r="J855" i="3"/>
  <c r="K855" i="3"/>
  <c r="L855" i="3"/>
  <c r="M855" i="3"/>
  <c r="N855" i="3"/>
  <c r="O855" i="3"/>
  <c r="P855" i="3"/>
  <c r="Q855" i="3"/>
  <c r="R855" i="3"/>
  <c r="S855" i="3"/>
  <c r="T855" i="3"/>
  <c r="U855" i="3"/>
  <c r="B856" i="3"/>
  <c r="C856" i="3"/>
  <c r="D856" i="3"/>
  <c r="E856" i="3"/>
  <c r="F856" i="3"/>
  <c r="G856" i="3"/>
  <c r="H856" i="3"/>
  <c r="I856" i="3"/>
  <c r="J856" i="3"/>
  <c r="K856" i="3"/>
  <c r="L856" i="3"/>
  <c r="M856" i="3"/>
  <c r="N856" i="3"/>
  <c r="O856" i="3"/>
  <c r="P856" i="3"/>
  <c r="Q856" i="3"/>
  <c r="R856" i="3"/>
  <c r="S856" i="3"/>
  <c r="T856" i="3"/>
  <c r="U856" i="3"/>
  <c r="B857" i="3"/>
  <c r="C857" i="3"/>
  <c r="D857" i="3"/>
  <c r="E857" i="3"/>
  <c r="F857" i="3"/>
  <c r="G857" i="3"/>
  <c r="H857" i="3"/>
  <c r="I857" i="3"/>
  <c r="J857" i="3"/>
  <c r="K857" i="3"/>
  <c r="L857" i="3"/>
  <c r="M857" i="3"/>
  <c r="N857" i="3"/>
  <c r="O857" i="3"/>
  <c r="P857" i="3"/>
  <c r="Q857" i="3"/>
  <c r="R857" i="3"/>
  <c r="S857" i="3"/>
  <c r="T857" i="3"/>
  <c r="U857" i="3"/>
  <c r="B858" i="3"/>
  <c r="C858" i="3"/>
  <c r="D858" i="3"/>
  <c r="E858" i="3"/>
  <c r="F858" i="3"/>
  <c r="G858" i="3"/>
  <c r="H858" i="3"/>
  <c r="I858" i="3"/>
  <c r="J858" i="3"/>
  <c r="K858" i="3"/>
  <c r="L858" i="3"/>
  <c r="M858" i="3"/>
  <c r="N858" i="3"/>
  <c r="O858" i="3"/>
  <c r="P858" i="3"/>
  <c r="Q858" i="3"/>
  <c r="R858" i="3"/>
  <c r="S858" i="3"/>
  <c r="T858" i="3"/>
  <c r="U858" i="3"/>
  <c r="B859" i="3"/>
  <c r="C859" i="3"/>
  <c r="D859" i="3"/>
  <c r="E859" i="3"/>
  <c r="F859" i="3"/>
  <c r="G859" i="3"/>
  <c r="H859" i="3"/>
  <c r="I859" i="3"/>
  <c r="J859" i="3"/>
  <c r="K859" i="3"/>
  <c r="L859" i="3"/>
  <c r="M859" i="3"/>
  <c r="N859" i="3"/>
  <c r="O859" i="3"/>
  <c r="P859" i="3"/>
  <c r="Q859" i="3"/>
  <c r="R859" i="3"/>
  <c r="S859" i="3"/>
  <c r="T859" i="3"/>
  <c r="U859" i="3"/>
  <c r="B860" i="3"/>
  <c r="C860" i="3"/>
  <c r="D860" i="3"/>
  <c r="E860" i="3"/>
  <c r="F860" i="3"/>
  <c r="G860" i="3"/>
  <c r="H860" i="3"/>
  <c r="I860" i="3"/>
  <c r="J860" i="3"/>
  <c r="K860" i="3"/>
  <c r="L860" i="3"/>
  <c r="M860" i="3"/>
  <c r="N860" i="3"/>
  <c r="O860" i="3"/>
  <c r="P860" i="3"/>
  <c r="Q860" i="3"/>
  <c r="R860" i="3"/>
  <c r="S860" i="3"/>
  <c r="T860" i="3"/>
  <c r="U860" i="3"/>
  <c r="B861" i="3"/>
  <c r="C861" i="3"/>
  <c r="D861" i="3"/>
  <c r="E861" i="3"/>
  <c r="F861" i="3"/>
  <c r="G861" i="3"/>
  <c r="H861" i="3"/>
  <c r="I861" i="3"/>
  <c r="J861" i="3"/>
  <c r="K861" i="3"/>
  <c r="L861" i="3"/>
  <c r="M861" i="3"/>
  <c r="N861" i="3"/>
  <c r="O861" i="3"/>
  <c r="P861" i="3"/>
  <c r="Q861" i="3"/>
  <c r="R861" i="3"/>
  <c r="S861" i="3"/>
  <c r="T861" i="3"/>
  <c r="U861" i="3"/>
  <c r="B862" i="3"/>
  <c r="C862" i="3"/>
  <c r="D862" i="3"/>
  <c r="E862" i="3"/>
  <c r="F862" i="3"/>
  <c r="G862" i="3"/>
  <c r="H862" i="3"/>
  <c r="I862" i="3"/>
  <c r="J862" i="3"/>
  <c r="K862" i="3"/>
  <c r="L862" i="3"/>
  <c r="M862" i="3"/>
  <c r="N862" i="3"/>
  <c r="O862" i="3"/>
  <c r="P862" i="3"/>
  <c r="Q862" i="3"/>
  <c r="R862" i="3"/>
  <c r="S862" i="3"/>
  <c r="T862" i="3"/>
  <c r="U862" i="3"/>
  <c r="B863" i="3"/>
  <c r="C863" i="3"/>
  <c r="D863" i="3"/>
  <c r="E863" i="3"/>
  <c r="F863" i="3"/>
  <c r="G863" i="3"/>
  <c r="H863" i="3"/>
  <c r="I863" i="3"/>
  <c r="J863" i="3"/>
  <c r="K863" i="3"/>
  <c r="L863" i="3"/>
  <c r="M863" i="3"/>
  <c r="N863" i="3"/>
  <c r="O863" i="3"/>
  <c r="P863" i="3"/>
  <c r="Q863" i="3"/>
  <c r="R863" i="3"/>
  <c r="S863" i="3"/>
  <c r="T863" i="3"/>
  <c r="U863" i="3"/>
  <c r="B864" i="3"/>
  <c r="C864" i="3"/>
  <c r="D864" i="3"/>
  <c r="E864" i="3"/>
  <c r="F864" i="3"/>
  <c r="G864" i="3"/>
  <c r="H864" i="3"/>
  <c r="I864" i="3"/>
  <c r="J864" i="3"/>
  <c r="K864" i="3"/>
  <c r="L864" i="3"/>
  <c r="M864" i="3"/>
  <c r="N864" i="3"/>
  <c r="O864" i="3"/>
  <c r="P864" i="3"/>
  <c r="Q864" i="3"/>
  <c r="R864" i="3"/>
  <c r="S864" i="3"/>
  <c r="T864" i="3"/>
  <c r="U864" i="3"/>
  <c r="B865" i="3"/>
  <c r="C865" i="3"/>
  <c r="D865" i="3"/>
  <c r="E865" i="3"/>
  <c r="F865" i="3"/>
  <c r="G865" i="3"/>
  <c r="H865" i="3"/>
  <c r="I865" i="3"/>
  <c r="J865" i="3"/>
  <c r="K865" i="3"/>
  <c r="L865" i="3"/>
  <c r="M865" i="3"/>
  <c r="N865" i="3"/>
  <c r="O865" i="3"/>
  <c r="P865" i="3"/>
  <c r="Q865" i="3"/>
  <c r="R865" i="3"/>
  <c r="S865" i="3"/>
  <c r="T865" i="3"/>
  <c r="U865" i="3"/>
  <c r="B866" i="3"/>
  <c r="C866" i="3"/>
  <c r="D866" i="3"/>
  <c r="E866" i="3"/>
  <c r="F866" i="3"/>
  <c r="G866" i="3"/>
  <c r="H866" i="3"/>
  <c r="I866" i="3"/>
  <c r="J866" i="3"/>
  <c r="K866" i="3"/>
  <c r="L866" i="3"/>
  <c r="M866" i="3"/>
  <c r="N866" i="3"/>
  <c r="O866" i="3"/>
  <c r="P866" i="3"/>
  <c r="Q866" i="3"/>
  <c r="R866" i="3"/>
  <c r="S866" i="3"/>
  <c r="T866" i="3"/>
  <c r="U866" i="3"/>
  <c r="B867" i="3"/>
  <c r="C867" i="3"/>
  <c r="D867" i="3"/>
  <c r="E867" i="3"/>
  <c r="F867" i="3"/>
  <c r="G867" i="3"/>
  <c r="H867" i="3"/>
  <c r="I867" i="3"/>
  <c r="J867" i="3"/>
  <c r="K867" i="3"/>
  <c r="L867" i="3"/>
  <c r="M867" i="3"/>
  <c r="N867" i="3"/>
  <c r="O867" i="3"/>
  <c r="P867" i="3"/>
  <c r="Q867" i="3"/>
  <c r="R867" i="3"/>
  <c r="S867" i="3"/>
  <c r="T867" i="3"/>
  <c r="U867" i="3"/>
  <c r="B868" i="3"/>
  <c r="C868" i="3"/>
  <c r="D868" i="3"/>
  <c r="E868" i="3"/>
  <c r="F868" i="3"/>
  <c r="G868" i="3"/>
  <c r="H868" i="3"/>
  <c r="I868" i="3"/>
  <c r="J868" i="3"/>
  <c r="K868" i="3"/>
  <c r="L868" i="3"/>
  <c r="M868" i="3"/>
  <c r="N868" i="3"/>
  <c r="O868" i="3"/>
  <c r="P868" i="3"/>
  <c r="Q868" i="3"/>
  <c r="R868" i="3"/>
  <c r="S868" i="3"/>
  <c r="T868" i="3"/>
  <c r="U868" i="3"/>
  <c r="B869" i="3"/>
  <c r="C869" i="3"/>
  <c r="D869" i="3"/>
  <c r="E869" i="3"/>
  <c r="F869" i="3"/>
  <c r="G869" i="3"/>
  <c r="H869" i="3"/>
  <c r="I869" i="3"/>
  <c r="J869" i="3"/>
  <c r="K869" i="3"/>
  <c r="L869" i="3"/>
  <c r="M869" i="3"/>
  <c r="N869" i="3"/>
  <c r="O869" i="3"/>
  <c r="P869" i="3"/>
  <c r="Q869" i="3"/>
  <c r="R869" i="3"/>
  <c r="S869" i="3"/>
  <c r="T869" i="3"/>
  <c r="U869" i="3"/>
  <c r="B870" i="3"/>
  <c r="C870" i="3"/>
  <c r="D870" i="3"/>
  <c r="E870" i="3"/>
  <c r="F870" i="3"/>
  <c r="G870" i="3"/>
  <c r="H870" i="3"/>
  <c r="I870" i="3"/>
  <c r="J870" i="3"/>
  <c r="K870" i="3"/>
  <c r="L870" i="3"/>
  <c r="M870" i="3"/>
  <c r="N870" i="3"/>
  <c r="O870" i="3"/>
  <c r="P870" i="3"/>
  <c r="Q870" i="3"/>
  <c r="R870" i="3"/>
  <c r="S870" i="3"/>
  <c r="T870" i="3"/>
  <c r="U870" i="3"/>
  <c r="B871" i="3"/>
  <c r="C871" i="3"/>
  <c r="D871" i="3"/>
  <c r="E871" i="3"/>
  <c r="F871" i="3"/>
  <c r="G871" i="3"/>
  <c r="H871" i="3"/>
  <c r="I871" i="3"/>
  <c r="J871" i="3"/>
  <c r="K871" i="3"/>
  <c r="L871" i="3"/>
  <c r="M871" i="3"/>
  <c r="N871" i="3"/>
  <c r="O871" i="3"/>
  <c r="P871" i="3"/>
  <c r="Q871" i="3"/>
  <c r="R871" i="3"/>
  <c r="S871" i="3"/>
  <c r="T871" i="3"/>
  <c r="U871" i="3"/>
  <c r="B872" i="3"/>
  <c r="C872" i="3"/>
  <c r="D872" i="3"/>
  <c r="E872" i="3"/>
  <c r="F872" i="3"/>
  <c r="G872" i="3"/>
  <c r="H872" i="3"/>
  <c r="I872" i="3"/>
  <c r="J872" i="3"/>
  <c r="K872" i="3"/>
  <c r="L872" i="3"/>
  <c r="M872" i="3"/>
  <c r="N872" i="3"/>
  <c r="O872" i="3"/>
  <c r="P872" i="3"/>
  <c r="Q872" i="3"/>
  <c r="R872" i="3"/>
  <c r="S872" i="3"/>
  <c r="T872" i="3"/>
  <c r="U872" i="3"/>
  <c r="B873" i="3"/>
  <c r="C873" i="3"/>
  <c r="D873" i="3"/>
  <c r="E873" i="3"/>
  <c r="F873" i="3"/>
  <c r="G873" i="3"/>
  <c r="H873" i="3"/>
  <c r="I873" i="3"/>
  <c r="J873" i="3"/>
  <c r="K873" i="3"/>
  <c r="L873" i="3"/>
  <c r="M873" i="3"/>
  <c r="N873" i="3"/>
  <c r="O873" i="3"/>
  <c r="P873" i="3"/>
  <c r="Q873" i="3"/>
  <c r="R873" i="3"/>
  <c r="S873" i="3"/>
  <c r="T873" i="3"/>
  <c r="U873" i="3"/>
  <c r="B874" i="3"/>
  <c r="C874" i="3"/>
  <c r="D874" i="3"/>
  <c r="E874" i="3"/>
  <c r="F874" i="3"/>
  <c r="G874" i="3"/>
  <c r="H874" i="3"/>
  <c r="I874" i="3"/>
  <c r="J874" i="3"/>
  <c r="K874" i="3"/>
  <c r="L874" i="3"/>
  <c r="M874" i="3"/>
  <c r="N874" i="3"/>
  <c r="O874" i="3"/>
  <c r="P874" i="3"/>
  <c r="Q874" i="3"/>
  <c r="R874" i="3"/>
  <c r="S874" i="3"/>
  <c r="T874" i="3"/>
  <c r="U874" i="3"/>
  <c r="B875" i="3"/>
  <c r="C875" i="3"/>
  <c r="D875" i="3"/>
  <c r="E875" i="3"/>
  <c r="F875" i="3"/>
  <c r="G875" i="3"/>
  <c r="H875" i="3"/>
  <c r="I875" i="3"/>
  <c r="J875" i="3"/>
  <c r="K875" i="3"/>
  <c r="L875" i="3"/>
  <c r="M875" i="3"/>
  <c r="N875" i="3"/>
  <c r="O875" i="3"/>
  <c r="P875" i="3"/>
  <c r="Q875" i="3"/>
  <c r="R875" i="3"/>
  <c r="S875" i="3"/>
  <c r="T875" i="3"/>
  <c r="U875" i="3"/>
  <c r="B876" i="3"/>
  <c r="C876" i="3"/>
  <c r="D876" i="3"/>
  <c r="E876" i="3"/>
  <c r="F876" i="3"/>
  <c r="G876" i="3"/>
  <c r="H876" i="3"/>
  <c r="I876" i="3"/>
  <c r="J876" i="3"/>
  <c r="K876" i="3"/>
  <c r="L876" i="3"/>
  <c r="M876" i="3"/>
  <c r="N876" i="3"/>
  <c r="O876" i="3"/>
  <c r="P876" i="3"/>
  <c r="Q876" i="3"/>
  <c r="R876" i="3"/>
  <c r="S876" i="3"/>
  <c r="T876" i="3"/>
  <c r="U876" i="3"/>
  <c r="B877" i="3"/>
  <c r="C877" i="3"/>
  <c r="D877" i="3"/>
  <c r="E877" i="3"/>
  <c r="F877" i="3"/>
  <c r="G877" i="3"/>
  <c r="H877" i="3"/>
  <c r="I877" i="3"/>
  <c r="J877" i="3"/>
  <c r="K877" i="3"/>
  <c r="L877" i="3"/>
  <c r="M877" i="3"/>
  <c r="N877" i="3"/>
  <c r="O877" i="3"/>
  <c r="P877" i="3"/>
  <c r="Q877" i="3"/>
  <c r="R877" i="3"/>
  <c r="S877" i="3"/>
  <c r="T877" i="3"/>
  <c r="U877" i="3"/>
  <c r="B878" i="3"/>
  <c r="C878" i="3"/>
  <c r="D878" i="3"/>
  <c r="E878" i="3"/>
  <c r="F878" i="3"/>
  <c r="G878" i="3"/>
  <c r="H878" i="3"/>
  <c r="I878" i="3"/>
  <c r="J878" i="3"/>
  <c r="K878" i="3"/>
  <c r="L878" i="3"/>
  <c r="M878" i="3"/>
  <c r="N878" i="3"/>
  <c r="O878" i="3"/>
  <c r="P878" i="3"/>
  <c r="Q878" i="3"/>
  <c r="R878" i="3"/>
  <c r="S878" i="3"/>
  <c r="T878" i="3"/>
  <c r="U878" i="3"/>
  <c r="B879" i="3"/>
  <c r="C879" i="3"/>
  <c r="D879" i="3"/>
  <c r="E879" i="3"/>
  <c r="F879" i="3"/>
  <c r="G879" i="3"/>
  <c r="H879" i="3"/>
  <c r="I879" i="3"/>
  <c r="J879" i="3"/>
  <c r="K879" i="3"/>
  <c r="L879" i="3"/>
  <c r="M879" i="3"/>
  <c r="N879" i="3"/>
  <c r="O879" i="3"/>
  <c r="P879" i="3"/>
  <c r="Q879" i="3"/>
  <c r="R879" i="3"/>
  <c r="S879" i="3"/>
  <c r="T879" i="3"/>
  <c r="U879" i="3"/>
  <c r="B880" i="3"/>
  <c r="C880" i="3"/>
  <c r="D880" i="3"/>
  <c r="E880" i="3"/>
  <c r="F880" i="3"/>
  <c r="G880" i="3"/>
  <c r="H880" i="3"/>
  <c r="I880" i="3"/>
  <c r="J880" i="3"/>
  <c r="K880" i="3"/>
  <c r="L880" i="3"/>
  <c r="M880" i="3"/>
  <c r="N880" i="3"/>
  <c r="O880" i="3"/>
  <c r="P880" i="3"/>
  <c r="Q880" i="3"/>
  <c r="R880" i="3"/>
  <c r="S880" i="3"/>
  <c r="T880" i="3"/>
  <c r="U880" i="3"/>
  <c r="B881" i="3"/>
  <c r="C881" i="3"/>
  <c r="D881" i="3"/>
  <c r="E881" i="3"/>
  <c r="F881" i="3"/>
  <c r="G881" i="3"/>
  <c r="H881" i="3"/>
  <c r="I881" i="3"/>
  <c r="J881" i="3"/>
  <c r="K881" i="3"/>
  <c r="L881" i="3"/>
  <c r="M881" i="3"/>
  <c r="N881" i="3"/>
  <c r="O881" i="3"/>
  <c r="P881" i="3"/>
  <c r="Q881" i="3"/>
  <c r="R881" i="3"/>
  <c r="S881" i="3"/>
  <c r="T881" i="3"/>
  <c r="U881" i="3"/>
  <c r="B882" i="3"/>
  <c r="C882" i="3"/>
  <c r="D882" i="3"/>
  <c r="E882" i="3"/>
  <c r="F882" i="3"/>
  <c r="G882" i="3"/>
  <c r="H882" i="3"/>
  <c r="I882" i="3"/>
  <c r="J882" i="3"/>
  <c r="K882" i="3"/>
  <c r="L882" i="3"/>
  <c r="M882" i="3"/>
  <c r="N882" i="3"/>
  <c r="O882" i="3"/>
  <c r="P882" i="3"/>
  <c r="Q882" i="3"/>
  <c r="R882" i="3"/>
  <c r="S882" i="3"/>
  <c r="T882" i="3"/>
  <c r="U882" i="3"/>
  <c r="B883" i="3"/>
  <c r="C883" i="3"/>
  <c r="D883" i="3"/>
  <c r="E883" i="3"/>
  <c r="F883" i="3"/>
  <c r="G883" i="3"/>
  <c r="H883" i="3"/>
  <c r="I883" i="3"/>
  <c r="J883" i="3"/>
  <c r="K883" i="3"/>
  <c r="L883" i="3"/>
  <c r="M883" i="3"/>
  <c r="N883" i="3"/>
  <c r="O883" i="3"/>
  <c r="P883" i="3"/>
  <c r="Q883" i="3"/>
  <c r="R883" i="3"/>
  <c r="S883" i="3"/>
  <c r="T883" i="3"/>
  <c r="U883" i="3"/>
  <c r="B884" i="3"/>
  <c r="C884" i="3"/>
  <c r="D884" i="3"/>
  <c r="E884" i="3"/>
  <c r="F884" i="3"/>
  <c r="G884" i="3"/>
  <c r="H884" i="3"/>
  <c r="I884" i="3"/>
  <c r="J884" i="3"/>
  <c r="K884" i="3"/>
  <c r="L884" i="3"/>
  <c r="M884" i="3"/>
  <c r="N884" i="3"/>
  <c r="O884" i="3"/>
  <c r="P884" i="3"/>
  <c r="Q884" i="3"/>
  <c r="R884" i="3"/>
  <c r="S884" i="3"/>
  <c r="T884" i="3"/>
  <c r="U884" i="3"/>
  <c r="B885" i="3"/>
  <c r="C885" i="3"/>
  <c r="D885" i="3"/>
  <c r="E885" i="3"/>
  <c r="F885" i="3"/>
  <c r="G885" i="3"/>
  <c r="H885" i="3"/>
  <c r="I885" i="3"/>
  <c r="J885" i="3"/>
  <c r="K885" i="3"/>
  <c r="L885" i="3"/>
  <c r="M885" i="3"/>
  <c r="N885" i="3"/>
  <c r="O885" i="3"/>
  <c r="P885" i="3"/>
  <c r="Q885" i="3"/>
  <c r="R885" i="3"/>
  <c r="S885" i="3"/>
  <c r="T885" i="3"/>
  <c r="U885" i="3"/>
  <c r="B886" i="3"/>
  <c r="C886" i="3"/>
  <c r="D886" i="3"/>
  <c r="E886" i="3"/>
  <c r="F886" i="3"/>
  <c r="G886" i="3"/>
  <c r="H886" i="3"/>
  <c r="I886" i="3"/>
  <c r="J886" i="3"/>
  <c r="K886" i="3"/>
  <c r="L886" i="3"/>
  <c r="M886" i="3"/>
  <c r="N886" i="3"/>
  <c r="O886" i="3"/>
  <c r="P886" i="3"/>
  <c r="Q886" i="3"/>
  <c r="R886" i="3"/>
  <c r="S886" i="3"/>
  <c r="T886" i="3"/>
  <c r="U886" i="3"/>
  <c r="B887" i="3"/>
  <c r="C887" i="3"/>
  <c r="D887" i="3"/>
  <c r="E887" i="3"/>
  <c r="F887" i="3"/>
  <c r="G887" i="3"/>
  <c r="H887" i="3"/>
  <c r="I887" i="3"/>
  <c r="J887" i="3"/>
  <c r="K887" i="3"/>
  <c r="L887" i="3"/>
  <c r="M887" i="3"/>
  <c r="N887" i="3"/>
  <c r="O887" i="3"/>
  <c r="P887" i="3"/>
  <c r="Q887" i="3"/>
  <c r="R887" i="3"/>
  <c r="S887" i="3"/>
  <c r="T887" i="3"/>
  <c r="U887" i="3"/>
  <c r="B888" i="3"/>
  <c r="C888" i="3"/>
  <c r="D888" i="3"/>
  <c r="E888" i="3"/>
  <c r="F888" i="3"/>
  <c r="G888" i="3"/>
  <c r="H888" i="3"/>
  <c r="I888" i="3"/>
  <c r="J888" i="3"/>
  <c r="K888" i="3"/>
  <c r="L888" i="3"/>
  <c r="M888" i="3"/>
  <c r="N888" i="3"/>
  <c r="O888" i="3"/>
  <c r="P888" i="3"/>
  <c r="Q888" i="3"/>
  <c r="R888" i="3"/>
  <c r="S888" i="3"/>
  <c r="T888" i="3"/>
  <c r="U888" i="3"/>
  <c r="B889" i="3"/>
  <c r="C889" i="3"/>
  <c r="D889" i="3"/>
  <c r="E889" i="3"/>
  <c r="F889" i="3"/>
  <c r="G889" i="3"/>
  <c r="H889" i="3"/>
  <c r="I889" i="3"/>
  <c r="J889" i="3"/>
  <c r="K889" i="3"/>
  <c r="L889" i="3"/>
  <c r="M889" i="3"/>
  <c r="N889" i="3"/>
  <c r="O889" i="3"/>
  <c r="P889" i="3"/>
  <c r="Q889" i="3"/>
  <c r="R889" i="3"/>
  <c r="S889" i="3"/>
  <c r="T889" i="3"/>
  <c r="U889" i="3"/>
  <c r="B890" i="3"/>
  <c r="C890" i="3"/>
  <c r="D890" i="3"/>
  <c r="E890" i="3"/>
  <c r="F890" i="3"/>
  <c r="G890" i="3"/>
  <c r="H890" i="3"/>
  <c r="I890" i="3"/>
  <c r="J890" i="3"/>
  <c r="K890" i="3"/>
  <c r="L890" i="3"/>
  <c r="M890" i="3"/>
  <c r="N890" i="3"/>
  <c r="O890" i="3"/>
  <c r="P890" i="3"/>
  <c r="Q890" i="3"/>
  <c r="R890" i="3"/>
  <c r="S890" i="3"/>
  <c r="T890" i="3"/>
  <c r="U890" i="3"/>
  <c r="B891" i="3"/>
  <c r="C891" i="3"/>
  <c r="D891" i="3"/>
  <c r="E891" i="3"/>
  <c r="F891" i="3"/>
  <c r="G891" i="3"/>
  <c r="H891" i="3"/>
  <c r="I891" i="3"/>
  <c r="J891" i="3"/>
  <c r="K891" i="3"/>
  <c r="L891" i="3"/>
  <c r="M891" i="3"/>
  <c r="N891" i="3"/>
  <c r="O891" i="3"/>
  <c r="P891" i="3"/>
  <c r="Q891" i="3"/>
  <c r="R891" i="3"/>
  <c r="S891" i="3"/>
  <c r="T891" i="3"/>
  <c r="U891" i="3"/>
  <c r="B892" i="3"/>
  <c r="C892" i="3"/>
  <c r="D892" i="3"/>
  <c r="E892" i="3"/>
  <c r="F892" i="3"/>
  <c r="G892" i="3"/>
  <c r="H892" i="3"/>
  <c r="I892" i="3"/>
  <c r="J892" i="3"/>
  <c r="K892" i="3"/>
  <c r="L892" i="3"/>
  <c r="M892" i="3"/>
  <c r="N892" i="3"/>
  <c r="O892" i="3"/>
  <c r="P892" i="3"/>
  <c r="Q892" i="3"/>
  <c r="R892" i="3"/>
  <c r="S892" i="3"/>
  <c r="T892" i="3"/>
  <c r="U892" i="3"/>
  <c r="B893" i="3"/>
  <c r="C893" i="3"/>
  <c r="D893" i="3"/>
  <c r="E893" i="3"/>
  <c r="F893" i="3"/>
  <c r="G893" i="3"/>
  <c r="H893" i="3"/>
  <c r="I893" i="3"/>
  <c r="J893" i="3"/>
  <c r="K893" i="3"/>
  <c r="L893" i="3"/>
  <c r="M893" i="3"/>
  <c r="N893" i="3"/>
  <c r="O893" i="3"/>
  <c r="P893" i="3"/>
  <c r="Q893" i="3"/>
  <c r="R893" i="3"/>
  <c r="S893" i="3"/>
  <c r="T893" i="3"/>
  <c r="U893" i="3"/>
  <c r="B894" i="3"/>
  <c r="C894" i="3"/>
  <c r="D894" i="3"/>
  <c r="E894" i="3"/>
  <c r="F894" i="3"/>
  <c r="G894" i="3"/>
  <c r="H894" i="3"/>
  <c r="I894" i="3"/>
  <c r="J894" i="3"/>
  <c r="K894" i="3"/>
  <c r="L894" i="3"/>
  <c r="M894" i="3"/>
  <c r="N894" i="3"/>
  <c r="O894" i="3"/>
  <c r="P894" i="3"/>
  <c r="Q894" i="3"/>
  <c r="R894" i="3"/>
  <c r="S894" i="3"/>
  <c r="T894" i="3"/>
  <c r="U894" i="3"/>
  <c r="B895" i="3"/>
  <c r="C895" i="3"/>
  <c r="D895" i="3"/>
  <c r="E895" i="3"/>
  <c r="F895" i="3"/>
  <c r="G895" i="3"/>
  <c r="H895" i="3"/>
  <c r="I895" i="3"/>
  <c r="J895" i="3"/>
  <c r="K895" i="3"/>
  <c r="L895" i="3"/>
  <c r="M895" i="3"/>
  <c r="N895" i="3"/>
  <c r="O895" i="3"/>
  <c r="P895" i="3"/>
  <c r="Q895" i="3"/>
  <c r="R895" i="3"/>
  <c r="S895" i="3"/>
  <c r="T895" i="3"/>
  <c r="U895" i="3"/>
  <c r="B896" i="3"/>
  <c r="C896" i="3"/>
  <c r="D896" i="3"/>
  <c r="E896" i="3"/>
  <c r="F896" i="3"/>
  <c r="G896" i="3"/>
  <c r="H896" i="3"/>
  <c r="I896" i="3"/>
  <c r="J896" i="3"/>
  <c r="K896" i="3"/>
  <c r="L896" i="3"/>
  <c r="M896" i="3"/>
  <c r="N896" i="3"/>
  <c r="O896" i="3"/>
  <c r="P896" i="3"/>
  <c r="Q896" i="3"/>
  <c r="R896" i="3"/>
  <c r="S896" i="3"/>
  <c r="T896" i="3"/>
  <c r="U896" i="3"/>
  <c r="B897" i="3"/>
  <c r="C897" i="3"/>
  <c r="D897" i="3"/>
  <c r="E897" i="3"/>
  <c r="F897" i="3"/>
  <c r="G897" i="3"/>
  <c r="H897" i="3"/>
  <c r="I897" i="3"/>
  <c r="J897" i="3"/>
  <c r="K897" i="3"/>
  <c r="L897" i="3"/>
  <c r="M897" i="3"/>
  <c r="N897" i="3"/>
  <c r="O897" i="3"/>
  <c r="P897" i="3"/>
  <c r="Q897" i="3"/>
  <c r="R897" i="3"/>
  <c r="S897" i="3"/>
  <c r="T897" i="3"/>
  <c r="U897" i="3"/>
  <c r="B898" i="3"/>
  <c r="C898" i="3"/>
  <c r="D898" i="3"/>
  <c r="E898" i="3"/>
  <c r="F898" i="3"/>
  <c r="G898" i="3"/>
  <c r="H898" i="3"/>
  <c r="I898" i="3"/>
  <c r="J898" i="3"/>
  <c r="K898" i="3"/>
  <c r="L898" i="3"/>
  <c r="M898" i="3"/>
  <c r="N898" i="3"/>
  <c r="O898" i="3"/>
  <c r="P898" i="3"/>
  <c r="Q898" i="3"/>
  <c r="R898" i="3"/>
  <c r="S898" i="3"/>
  <c r="T898" i="3"/>
  <c r="U898" i="3"/>
  <c r="B899" i="3"/>
  <c r="C899" i="3"/>
  <c r="D899" i="3"/>
  <c r="E899" i="3"/>
  <c r="F899" i="3"/>
  <c r="G899" i="3"/>
  <c r="H899" i="3"/>
  <c r="I899" i="3"/>
  <c r="J899" i="3"/>
  <c r="K899" i="3"/>
  <c r="L899" i="3"/>
  <c r="M899" i="3"/>
  <c r="N899" i="3"/>
  <c r="O899" i="3"/>
  <c r="P899" i="3"/>
  <c r="Q899" i="3"/>
  <c r="R899" i="3"/>
  <c r="S899" i="3"/>
  <c r="T899" i="3"/>
  <c r="U899" i="3"/>
  <c r="B900" i="3"/>
  <c r="C900" i="3"/>
  <c r="D900" i="3"/>
  <c r="E900" i="3"/>
  <c r="F900" i="3"/>
  <c r="G900" i="3"/>
  <c r="H900" i="3"/>
  <c r="I900" i="3"/>
  <c r="J900" i="3"/>
  <c r="K900" i="3"/>
  <c r="L900" i="3"/>
  <c r="M900" i="3"/>
  <c r="N900" i="3"/>
  <c r="O900" i="3"/>
  <c r="P900" i="3"/>
  <c r="Q900" i="3"/>
  <c r="R900" i="3"/>
  <c r="S900" i="3"/>
  <c r="T900" i="3"/>
  <c r="U900" i="3"/>
  <c r="B901" i="3"/>
  <c r="C901" i="3"/>
  <c r="D901" i="3"/>
  <c r="E901" i="3"/>
  <c r="F901" i="3"/>
  <c r="G901" i="3"/>
  <c r="H901" i="3"/>
  <c r="I901" i="3"/>
  <c r="J901" i="3"/>
  <c r="K901" i="3"/>
  <c r="L901" i="3"/>
  <c r="M901" i="3"/>
  <c r="N901" i="3"/>
  <c r="O901" i="3"/>
  <c r="P901" i="3"/>
  <c r="Q901" i="3"/>
  <c r="R901" i="3"/>
  <c r="S901" i="3"/>
  <c r="T901" i="3"/>
  <c r="U901" i="3"/>
  <c r="B902" i="3"/>
  <c r="C902" i="3"/>
  <c r="D902" i="3"/>
  <c r="E902" i="3"/>
  <c r="F902" i="3"/>
  <c r="G902" i="3"/>
  <c r="H902" i="3"/>
  <c r="I902" i="3"/>
  <c r="J902" i="3"/>
  <c r="K902" i="3"/>
  <c r="L902" i="3"/>
  <c r="M902" i="3"/>
  <c r="N902" i="3"/>
  <c r="O902" i="3"/>
  <c r="P902" i="3"/>
  <c r="Q902" i="3"/>
  <c r="R902" i="3"/>
  <c r="S902" i="3"/>
  <c r="T902" i="3"/>
  <c r="U902" i="3"/>
  <c r="B903" i="3"/>
  <c r="C903" i="3"/>
  <c r="D903" i="3"/>
  <c r="E903" i="3"/>
  <c r="F903" i="3"/>
  <c r="G903" i="3"/>
  <c r="H903" i="3"/>
  <c r="I903" i="3"/>
  <c r="J903" i="3"/>
  <c r="K903" i="3"/>
  <c r="L903" i="3"/>
  <c r="M903" i="3"/>
  <c r="N903" i="3"/>
  <c r="O903" i="3"/>
  <c r="P903" i="3"/>
  <c r="Q903" i="3"/>
  <c r="R903" i="3"/>
  <c r="S903" i="3"/>
  <c r="T903" i="3"/>
  <c r="U903" i="3"/>
  <c r="B904" i="3"/>
  <c r="C904" i="3"/>
  <c r="D904" i="3"/>
  <c r="E904" i="3"/>
  <c r="F904" i="3"/>
  <c r="G904" i="3"/>
  <c r="H904" i="3"/>
  <c r="I904" i="3"/>
  <c r="J904" i="3"/>
  <c r="K904" i="3"/>
  <c r="L904" i="3"/>
  <c r="M904" i="3"/>
  <c r="N904" i="3"/>
  <c r="O904" i="3"/>
  <c r="P904" i="3"/>
  <c r="Q904" i="3"/>
  <c r="R904" i="3"/>
  <c r="S904" i="3"/>
  <c r="T904" i="3"/>
  <c r="U904" i="3"/>
  <c r="B905" i="3"/>
  <c r="C905" i="3"/>
  <c r="D905" i="3"/>
  <c r="E905" i="3"/>
  <c r="F905" i="3"/>
  <c r="G905" i="3"/>
  <c r="H905" i="3"/>
  <c r="I905" i="3"/>
  <c r="J905" i="3"/>
  <c r="K905" i="3"/>
  <c r="L905" i="3"/>
  <c r="M905" i="3"/>
  <c r="N905" i="3"/>
  <c r="O905" i="3"/>
  <c r="P905" i="3"/>
  <c r="Q905" i="3"/>
  <c r="R905" i="3"/>
  <c r="S905" i="3"/>
  <c r="T905" i="3"/>
  <c r="U905" i="3"/>
  <c r="B906" i="3"/>
  <c r="C906" i="3"/>
  <c r="D906" i="3"/>
  <c r="E906" i="3"/>
  <c r="F906" i="3"/>
  <c r="G906" i="3"/>
  <c r="H906" i="3"/>
  <c r="I906" i="3"/>
  <c r="J906" i="3"/>
  <c r="K906" i="3"/>
  <c r="L906" i="3"/>
  <c r="M906" i="3"/>
  <c r="N906" i="3"/>
  <c r="O906" i="3"/>
  <c r="P906" i="3"/>
  <c r="Q906" i="3"/>
  <c r="R906" i="3"/>
  <c r="S906" i="3"/>
  <c r="T906" i="3"/>
  <c r="U906" i="3"/>
  <c r="B907" i="3"/>
  <c r="C907" i="3"/>
  <c r="D907" i="3"/>
  <c r="E907" i="3"/>
  <c r="F907" i="3"/>
  <c r="G907" i="3"/>
  <c r="H907" i="3"/>
  <c r="I907" i="3"/>
  <c r="J907" i="3"/>
  <c r="K907" i="3"/>
  <c r="L907" i="3"/>
  <c r="M907" i="3"/>
  <c r="N907" i="3"/>
  <c r="O907" i="3"/>
  <c r="P907" i="3"/>
  <c r="Q907" i="3"/>
  <c r="R907" i="3"/>
  <c r="S907" i="3"/>
  <c r="T907" i="3"/>
  <c r="U907" i="3"/>
  <c r="B908" i="3"/>
  <c r="C908" i="3"/>
  <c r="D908" i="3"/>
  <c r="E908" i="3"/>
  <c r="F908" i="3"/>
  <c r="G908" i="3"/>
  <c r="H908" i="3"/>
  <c r="I908" i="3"/>
  <c r="J908" i="3"/>
  <c r="K908" i="3"/>
  <c r="L908" i="3"/>
  <c r="M908" i="3"/>
  <c r="N908" i="3"/>
  <c r="O908" i="3"/>
  <c r="P908" i="3"/>
  <c r="Q908" i="3"/>
  <c r="R908" i="3"/>
  <c r="S908" i="3"/>
  <c r="T908" i="3"/>
  <c r="U908" i="3"/>
  <c r="B909" i="3"/>
  <c r="C909" i="3"/>
  <c r="D909" i="3"/>
  <c r="E909" i="3"/>
  <c r="F909" i="3"/>
  <c r="G909" i="3"/>
  <c r="H909" i="3"/>
  <c r="I909" i="3"/>
  <c r="J909" i="3"/>
  <c r="K909" i="3"/>
  <c r="L909" i="3"/>
  <c r="M909" i="3"/>
  <c r="N909" i="3"/>
  <c r="O909" i="3"/>
  <c r="P909" i="3"/>
  <c r="Q909" i="3"/>
  <c r="R909" i="3"/>
  <c r="S909" i="3"/>
  <c r="T909" i="3"/>
  <c r="U909" i="3"/>
  <c r="B910" i="3"/>
  <c r="C910" i="3"/>
  <c r="D910" i="3"/>
  <c r="E910" i="3"/>
  <c r="F910" i="3"/>
  <c r="G910" i="3"/>
  <c r="H910" i="3"/>
  <c r="I910" i="3"/>
  <c r="J910" i="3"/>
  <c r="K910" i="3"/>
  <c r="L910" i="3"/>
  <c r="M910" i="3"/>
  <c r="N910" i="3"/>
  <c r="O910" i="3"/>
  <c r="P910" i="3"/>
  <c r="Q910" i="3"/>
  <c r="R910" i="3"/>
  <c r="S910" i="3"/>
  <c r="T910" i="3"/>
  <c r="U910" i="3"/>
  <c r="B911" i="3"/>
  <c r="C911" i="3"/>
  <c r="D911" i="3"/>
  <c r="E911" i="3"/>
  <c r="F911" i="3"/>
  <c r="G911" i="3"/>
  <c r="H911" i="3"/>
  <c r="I911" i="3"/>
  <c r="J911" i="3"/>
  <c r="K911" i="3"/>
  <c r="L911" i="3"/>
  <c r="M911" i="3"/>
  <c r="N911" i="3"/>
  <c r="O911" i="3"/>
  <c r="P911" i="3"/>
  <c r="Q911" i="3"/>
  <c r="R911" i="3"/>
  <c r="S911" i="3"/>
  <c r="T911" i="3"/>
  <c r="U911" i="3"/>
  <c r="B912" i="3"/>
  <c r="C912" i="3"/>
  <c r="D912" i="3"/>
  <c r="E912" i="3"/>
  <c r="F912" i="3"/>
  <c r="G912" i="3"/>
  <c r="H912" i="3"/>
  <c r="I912" i="3"/>
  <c r="J912" i="3"/>
  <c r="K912" i="3"/>
  <c r="L912" i="3"/>
  <c r="M912" i="3"/>
  <c r="N912" i="3"/>
  <c r="O912" i="3"/>
  <c r="P912" i="3"/>
  <c r="Q912" i="3"/>
  <c r="R912" i="3"/>
  <c r="S912" i="3"/>
  <c r="T912" i="3"/>
  <c r="U912" i="3"/>
  <c r="B913" i="3"/>
  <c r="C913" i="3"/>
  <c r="D913" i="3"/>
  <c r="E913" i="3"/>
  <c r="F913" i="3"/>
  <c r="G913" i="3"/>
  <c r="H913" i="3"/>
  <c r="I913" i="3"/>
  <c r="J913" i="3"/>
  <c r="K913" i="3"/>
  <c r="L913" i="3"/>
  <c r="M913" i="3"/>
  <c r="N913" i="3"/>
  <c r="O913" i="3"/>
  <c r="P913" i="3"/>
  <c r="Q913" i="3"/>
  <c r="R913" i="3"/>
  <c r="S913" i="3"/>
  <c r="T913" i="3"/>
  <c r="U913" i="3"/>
  <c r="B914" i="3"/>
  <c r="C914" i="3"/>
  <c r="D914" i="3"/>
  <c r="E914" i="3"/>
  <c r="F914" i="3"/>
  <c r="G914" i="3"/>
  <c r="H914" i="3"/>
  <c r="I914" i="3"/>
  <c r="J914" i="3"/>
  <c r="K914" i="3"/>
  <c r="L914" i="3"/>
  <c r="M914" i="3"/>
  <c r="N914" i="3"/>
  <c r="O914" i="3"/>
  <c r="P914" i="3"/>
  <c r="Q914" i="3"/>
  <c r="R914" i="3"/>
  <c r="S914" i="3"/>
  <c r="T914" i="3"/>
  <c r="U914" i="3"/>
  <c r="B915" i="3"/>
  <c r="C915" i="3"/>
  <c r="D915" i="3"/>
  <c r="E915" i="3"/>
  <c r="F915" i="3"/>
  <c r="G915" i="3"/>
  <c r="H915" i="3"/>
  <c r="I915" i="3"/>
  <c r="J915" i="3"/>
  <c r="K915" i="3"/>
  <c r="L915" i="3"/>
  <c r="M915" i="3"/>
  <c r="N915" i="3"/>
  <c r="O915" i="3"/>
  <c r="P915" i="3"/>
  <c r="Q915" i="3"/>
  <c r="R915" i="3"/>
  <c r="S915" i="3"/>
  <c r="T915" i="3"/>
  <c r="U915" i="3"/>
  <c r="B916" i="3"/>
  <c r="C916" i="3"/>
  <c r="D916" i="3"/>
  <c r="E916" i="3"/>
  <c r="F916" i="3"/>
  <c r="G916" i="3"/>
  <c r="H916" i="3"/>
  <c r="I916" i="3"/>
  <c r="J916" i="3"/>
  <c r="K916" i="3"/>
  <c r="L916" i="3"/>
  <c r="M916" i="3"/>
  <c r="N916" i="3"/>
  <c r="O916" i="3"/>
  <c r="P916" i="3"/>
  <c r="Q916" i="3"/>
  <c r="R916" i="3"/>
  <c r="S916" i="3"/>
  <c r="T916" i="3"/>
  <c r="U916" i="3"/>
  <c r="B917" i="3"/>
  <c r="C917" i="3"/>
  <c r="D917" i="3"/>
  <c r="E917" i="3"/>
  <c r="F917" i="3"/>
  <c r="G917" i="3"/>
  <c r="H917" i="3"/>
  <c r="I917" i="3"/>
  <c r="J917" i="3"/>
  <c r="K917" i="3"/>
  <c r="L917" i="3"/>
  <c r="M917" i="3"/>
  <c r="N917" i="3"/>
  <c r="O917" i="3"/>
  <c r="P917" i="3"/>
  <c r="Q917" i="3"/>
  <c r="R917" i="3"/>
  <c r="S917" i="3"/>
  <c r="T917" i="3"/>
  <c r="U917" i="3"/>
  <c r="B918" i="3"/>
  <c r="C918" i="3"/>
  <c r="D918" i="3"/>
  <c r="E918" i="3"/>
  <c r="F918" i="3"/>
  <c r="G918" i="3"/>
  <c r="H918" i="3"/>
  <c r="I918" i="3"/>
  <c r="J918" i="3"/>
  <c r="K918" i="3"/>
  <c r="L918" i="3"/>
  <c r="M918" i="3"/>
  <c r="N918" i="3"/>
  <c r="O918" i="3"/>
  <c r="P918" i="3"/>
  <c r="Q918" i="3"/>
  <c r="R918" i="3"/>
  <c r="S918" i="3"/>
  <c r="T918" i="3"/>
  <c r="U918" i="3"/>
  <c r="B919" i="3"/>
  <c r="C919" i="3"/>
  <c r="D919" i="3"/>
  <c r="E919" i="3"/>
  <c r="F919" i="3"/>
  <c r="G919" i="3"/>
  <c r="H919" i="3"/>
  <c r="I919" i="3"/>
  <c r="J919" i="3"/>
  <c r="K919" i="3"/>
  <c r="L919" i="3"/>
  <c r="M919" i="3"/>
  <c r="N919" i="3"/>
  <c r="O919" i="3"/>
  <c r="P919" i="3"/>
  <c r="Q919" i="3"/>
  <c r="R919" i="3"/>
  <c r="S919" i="3"/>
  <c r="T919" i="3"/>
  <c r="U919" i="3"/>
  <c r="B920" i="3"/>
  <c r="C920" i="3"/>
  <c r="D920" i="3"/>
  <c r="E920" i="3"/>
  <c r="F920" i="3"/>
  <c r="G920" i="3"/>
  <c r="H920" i="3"/>
  <c r="I920" i="3"/>
  <c r="J920" i="3"/>
  <c r="K920" i="3"/>
  <c r="L920" i="3"/>
  <c r="M920" i="3"/>
  <c r="N920" i="3"/>
  <c r="O920" i="3"/>
  <c r="P920" i="3"/>
  <c r="Q920" i="3"/>
  <c r="R920" i="3"/>
  <c r="S920" i="3"/>
  <c r="T920" i="3"/>
  <c r="U920" i="3"/>
  <c r="B921" i="3"/>
  <c r="C921" i="3"/>
  <c r="D921" i="3"/>
  <c r="E921" i="3"/>
  <c r="F921" i="3"/>
  <c r="G921" i="3"/>
  <c r="H921" i="3"/>
  <c r="I921" i="3"/>
  <c r="J921" i="3"/>
  <c r="K921" i="3"/>
  <c r="L921" i="3"/>
  <c r="M921" i="3"/>
  <c r="N921" i="3"/>
  <c r="O921" i="3"/>
  <c r="P921" i="3"/>
  <c r="Q921" i="3"/>
  <c r="R921" i="3"/>
  <c r="S921" i="3"/>
  <c r="T921" i="3"/>
  <c r="U921" i="3"/>
  <c r="B922" i="3"/>
  <c r="C922" i="3"/>
  <c r="D922" i="3"/>
  <c r="E922" i="3"/>
  <c r="F922" i="3"/>
  <c r="G922" i="3"/>
  <c r="H922" i="3"/>
  <c r="I922" i="3"/>
  <c r="J922" i="3"/>
  <c r="K922" i="3"/>
  <c r="L922" i="3"/>
  <c r="M922" i="3"/>
  <c r="N922" i="3"/>
  <c r="O922" i="3"/>
  <c r="P922" i="3"/>
  <c r="Q922" i="3"/>
  <c r="R922" i="3"/>
  <c r="S922" i="3"/>
  <c r="T922" i="3"/>
  <c r="U922" i="3"/>
  <c r="B923" i="3"/>
  <c r="C923" i="3"/>
  <c r="D923" i="3"/>
  <c r="E923" i="3"/>
  <c r="F923" i="3"/>
  <c r="G923" i="3"/>
  <c r="H923" i="3"/>
  <c r="I923" i="3"/>
  <c r="J923" i="3"/>
  <c r="K923" i="3"/>
  <c r="L923" i="3"/>
  <c r="M923" i="3"/>
  <c r="N923" i="3"/>
  <c r="O923" i="3"/>
  <c r="P923" i="3"/>
  <c r="Q923" i="3"/>
  <c r="R923" i="3"/>
  <c r="S923" i="3"/>
  <c r="T923" i="3"/>
  <c r="U923" i="3"/>
  <c r="B924" i="3"/>
  <c r="C924" i="3"/>
  <c r="D924" i="3"/>
  <c r="E924" i="3"/>
  <c r="F924" i="3"/>
  <c r="G924" i="3"/>
  <c r="H924" i="3"/>
  <c r="I924" i="3"/>
  <c r="J924" i="3"/>
  <c r="K924" i="3"/>
  <c r="L924" i="3"/>
  <c r="M924" i="3"/>
  <c r="N924" i="3"/>
  <c r="O924" i="3"/>
  <c r="P924" i="3"/>
  <c r="Q924" i="3"/>
  <c r="R924" i="3"/>
  <c r="S924" i="3"/>
  <c r="T924" i="3"/>
  <c r="U924" i="3"/>
  <c r="B925" i="3"/>
  <c r="C925" i="3"/>
  <c r="D925" i="3"/>
  <c r="E925" i="3"/>
  <c r="F925" i="3"/>
  <c r="G925" i="3"/>
  <c r="H925" i="3"/>
  <c r="I925" i="3"/>
  <c r="J925" i="3"/>
  <c r="K925" i="3"/>
  <c r="L925" i="3"/>
  <c r="M925" i="3"/>
  <c r="N925" i="3"/>
  <c r="O925" i="3"/>
  <c r="P925" i="3"/>
  <c r="Q925" i="3"/>
  <c r="R925" i="3"/>
  <c r="S925" i="3"/>
  <c r="T925" i="3"/>
  <c r="U925" i="3"/>
  <c r="B926" i="3"/>
  <c r="C926" i="3"/>
  <c r="D926" i="3"/>
  <c r="E926" i="3"/>
  <c r="F926" i="3"/>
  <c r="G926" i="3"/>
  <c r="H926" i="3"/>
  <c r="I926" i="3"/>
  <c r="J926" i="3"/>
  <c r="K926" i="3"/>
  <c r="L926" i="3"/>
  <c r="M926" i="3"/>
  <c r="N926" i="3"/>
  <c r="O926" i="3"/>
  <c r="P926" i="3"/>
  <c r="Q926" i="3"/>
  <c r="R926" i="3"/>
  <c r="S926" i="3"/>
  <c r="T926" i="3"/>
  <c r="U926" i="3"/>
  <c r="B927" i="3"/>
  <c r="C927" i="3"/>
  <c r="D927" i="3"/>
  <c r="E927" i="3"/>
  <c r="F927" i="3"/>
  <c r="G927" i="3"/>
  <c r="H927" i="3"/>
  <c r="I927" i="3"/>
  <c r="J927" i="3"/>
  <c r="K927" i="3"/>
  <c r="L927" i="3"/>
  <c r="M927" i="3"/>
  <c r="N927" i="3"/>
  <c r="O927" i="3"/>
  <c r="P927" i="3"/>
  <c r="Q927" i="3"/>
  <c r="R927" i="3"/>
  <c r="S927" i="3"/>
  <c r="T927" i="3"/>
  <c r="U927" i="3"/>
  <c r="B928" i="3"/>
  <c r="C928" i="3"/>
  <c r="D928" i="3"/>
  <c r="E928" i="3"/>
  <c r="F928" i="3"/>
  <c r="G928" i="3"/>
  <c r="H928" i="3"/>
  <c r="I928" i="3"/>
  <c r="J928" i="3"/>
  <c r="K928" i="3"/>
  <c r="L928" i="3"/>
  <c r="M928" i="3"/>
  <c r="N928" i="3"/>
  <c r="O928" i="3"/>
  <c r="P928" i="3"/>
  <c r="Q928" i="3"/>
  <c r="R928" i="3"/>
  <c r="S928" i="3"/>
  <c r="T928" i="3"/>
  <c r="U928" i="3"/>
  <c r="B929" i="3"/>
  <c r="C929" i="3"/>
  <c r="D929" i="3"/>
  <c r="E929" i="3"/>
  <c r="F929" i="3"/>
  <c r="G929" i="3"/>
  <c r="H929" i="3"/>
  <c r="I929" i="3"/>
  <c r="J929" i="3"/>
  <c r="K929" i="3"/>
  <c r="L929" i="3"/>
  <c r="M929" i="3"/>
  <c r="N929" i="3"/>
  <c r="O929" i="3"/>
  <c r="P929" i="3"/>
  <c r="Q929" i="3"/>
  <c r="R929" i="3"/>
  <c r="S929" i="3"/>
  <c r="T929" i="3"/>
  <c r="U929" i="3"/>
  <c r="B930" i="3"/>
  <c r="C930" i="3"/>
  <c r="D930" i="3"/>
  <c r="E930" i="3"/>
  <c r="F930" i="3"/>
  <c r="G930" i="3"/>
  <c r="H930" i="3"/>
  <c r="I930" i="3"/>
  <c r="J930" i="3"/>
  <c r="K930" i="3"/>
  <c r="L930" i="3"/>
  <c r="M930" i="3"/>
  <c r="N930" i="3"/>
  <c r="O930" i="3"/>
  <c r="P930" i="3"/>
  <c r="Q930" i="3"/>
  <c r="R930" i="3"/>
  <c r="S930" i="3"/>
  <c r="T930" i="3"/>
  <c r="U930" i="3"/>
  <c r="B931" i="3"/>
  <c r="C931" i="3"/>
  <c r="D931" i="3"/>
  <c r="E931" i="3"/>
  <c r="F931" i="3"/>
  <c r="G931" i="3"/>
  <c r="H931" i="3"/>
  <c r="I931" i="3"/>
  <c r="J931" i="3"/>
  <c r="K931" i="3"/>
  <c r="L931" i="3"/>
  <c r="M931" i="3"/>
  <c r="N931" i="3"/>
  <c r="O931" i="3"/>
  <c r="P931" i="3"/>
  <c r="Q931" i="3"/>
  <c r="R931" i="3"/>
  <c r="S931" i="3"/>
  <c r="T931" i="3"/>
  <c r="U931" i="3"/>
  <c r="B932" i="3"/>
  <c r="C932" i="3"/>
  <c r="D932" i="3"/>
  <c r="E932" i="3"/>
  <c r="F932" i="3"/>
  <c r="G932" i="3"/>
  <c r="H932" i="3"/>
  <c r="I932" i="3"/>
  <c r="J932" i="3"/>
  <c r="K932" i="3"/>
  <c r="L932" i="3"/>
  <c r="M932" i="3"/>
  <c r="N932" i="3"/>
  <c r="O932" i="3"/>
  <c r="P932" i="3"/>
  <c r="Q932" i="3"/>
  <c r="R932" i="3"/>
  <c r="S932" i="3"/>
  <c r="T932" i="3"/>
  <c r="U932" i="3"/>
  <c r="B933" i="3"/>
  <c r="C933" i="3"/>
  <c r="D933" i="3"/>
  <c r="E933" i="3"/>
  <c r="F933" i="3"/>
  <c r="G933" i="3"/>
  <c r="H933" i="3"/>
  <c r="I933" i="3"/>
  <c r="J933" i="3"/>
  <c r="K933" i="3"/>
  <c r="L933" i="3"/>
  <c r="M933" i="3"/>
  <c r="N933" i="3"/>
  <c r="O933" i="3"/>
  <c r="P933" i="3"/>
  <c r="Q933" i="3"/>
  <c r="R933" i="3"/>
  <c r="S933" i="3"/>
  <c r="T933" i="3"/>
  <c r="U933" i="3"/>
  <c r="B934" i="3"/>
  <c r="C934" i="3"/>
  <c r="D934" i="3"/>
  <c r="E934" i="3"/>
  <c r="F934" i="3"/>
  <c r="G934" i="3"/>
  <c r="H934" i="3"/>
  <c r="I934" i="3"/>
  <c r="J934" i="3"/>
  <c r="K934" i="3"/>
  <c r="L934" i="3"/>
  <c r="M934" i="3"/>
  <c r="N934" i="3"/>
  <c r="O934" i="3"/>
  <c r="P934" i="3"/>
  <c r="Q934" i="3"/>
  <c r="R934" i="3"/>
  <c r="S934" i="3"/>
  <c r="T934" i="3"/>
  <c r="U934" i="3"/>
  <c r="B935" i="3"/>
  <c r="C935" i="3"/>
  <c r="D935" i="3"/>
  <c r="E935" i="3"/>
  <c r="F935" i="3"/>
  <c r="G935" i="3"/>
  <c r="H935" i="3"/>
  <c r="I935" i="3"/>
  <c r="J935" i="3"/>
  <c r="K935" i="3"/>
  <c r="L935" i="3"/>
  <c r="M935" i="3"/>
  <c r="N935" i="3"/>
  <c r="O935" i="3"/>
  <c r="P935" i="3"/>
  <c r="Q935" i="3"/>
  <c r="R935" i="3"/>
  <c r="S935" i="3"/>
  <c r="T935" i="3"/>
  <c r="U935" i="3"/>
  <c r="B936" i="3"/>
  <c r="C936" i="3"/>
  <c r="D936" i="3"/>
  <c r="E936" i="3"/>
  <c r="F936" i="3"/>
  <c r="G936" i="3"/>
  <c r="H936" i="3"/>
  <c r="I936" i="3"/>
  <c r="J936" i="3"/>
  <c r="K936" i="3"/>
  <c r="L936" i="3"/>
  <c r="M936" i="3"/>
  <c r="N936" i="3"/>
  <c r="O936" i="3"/>
  <c r="P936" i="3"/>
  <c r="Q936" i="3"/>
  <c r="R936" i="3"/>
  <c r="S936" i="3"/>
  <c r="T936" i="3"/>
  <c r="U936" i="3"/>
  <c r="B937" i="3"/>
  <c r="C937" i="3"/>
  <c r="D937" i="3"/>
  <c r="E937" i="3"/>
  <c r="F937" i="3"/>
  <c r="G937" i="3"/>
  <c r="H937" i="3"/>
  <c r="I937" i="3"/>
  <c r="J937" i="3"/>
  <c r="K937" i="3"/>
  <c r="L937" i="3"/>
  <c r="M937" i="3"/>
  <c r="N937" i="3"/>
  <c r="O937" i="3"/>
  <c r="P937" i="3"/>
  <c r="Q937" i="3"/>
  <c r="R937" i="3"/>
  <c r="S937" i="3"/>
  <c r="T937" i="3"/>
  <c r="U937" i="3"/>
  <c r="B938" i="3"/>
  <c r="C938" i="3"/>
  <c r="D938" i="3"/>
  <c r="E938" i="3"/>
  <c r="F938" i="3"/>
  <c r="G938" i="3"/>
  <c r="H938" i="3"/>
  <c r="I938" i="3"/>
  <c r="J938" i="3"/>
  <c r="K938" i="3"/>
  <c r="L938" i="3"/>
  <c r="M938" i="3"/>
  <c r="N938" i="3"/>
  <c r="O938" i="3"/>
  <c r="P938" i="3"/>
  <c r="Q938" i="3"/>
  <c r="R938" i="3"/>
  <c r="S938" i="3"/>
  <c r="T938" i="3"/>
  <c r="U938" i="3"/>
  <c r="B939" i="3"/>
  <c r="C939" i="3"/>
  <c r="D939" i="3"/>
  <c r="E939" i="3"/>
  <c r="F939" i="3"/>
  <c r="G939" i="3"/>
  <c r="H939" i="3"/>
  <c r="I939" i="3"/>
  <c r="J939" i="3"/>
  <c r="K939" i="3"/>
  <c r="L939" i="3"/>
  <c r="M939" i="3"/>
  <c r="N939" i="3"/>
  <c r="O939" i="3"/>
  <c r="P939" i="3"/>
  <c r="Q939" i="3"/>
  <c r="R939" i="3"/>
  <c r="S939" i="3"/>
  <c r="T939" i="3"/>
  <c r="U939" i="3"/>
  <c r="B940" i="3"/>
  <c r="C940" i="3"/>
  <c r="D940" i="3"/>
  <c r="E940" i="3"/>
  <c r="F940" i="3"/>
  <c r="G940" i="3"/>
  <c r="H940" i="3"/>
  <c r="I940" i="3"/>
  <c r="J940" i="3"/>
  <c r="K940" i="3"/>
  <c r="L940" i="3"/>
  <c r="M940" i="3"/>
  <c r="N940" i="3"/>
  <c r="O940" i="3"/>
  <c r="P940" i="3"/>
  <c r="Q940" i="3"/>
  <c r="R940" i="3"/>
  <c r="S940" i="3"/>
  <c r="T940" i="3"/>
  <c r="U940" i="3"/>
  <c r="B941" i="3"/>
  <c r="C941" i="3"/>
  <c r="D941" i="3"/>
  <c r="E941" i="3"/>
  <c r="F941" i="3"/>
  <c r="G941" i="3"/>
  <c r="H941" i="3"/>
  <c r="I941" i="3"/>
  <c r="J941" i="3"/>
  <c r="K941" i="3"/>
  <c r="L941" i="3"/>
  <c r="M941" i="3"/>
  <c r="N941" i="3"/>
  <c r="O941" i="3"/>
  <c r="P941" i="3"/>
  <c r="Q941" i="3"/>
  <c r="R941" i="3"/>
  <c r="S941" i="3"/>
  <c r="T941" i="3"/>
  <c r="U941" i="3"/>
  <c r="B942" i="3"/>
  <c r="C942" i="3"/>
  <c r="D942" i="3"/>
  <c r="E942" i="3"/>
  <c r="F942" i="3"/>
  <c r="G942" i="3"/>
  <c r="H942" i="3"/>
  <c r="I942" i="3"/>
  <c r="J942" i="3"/>
  <c r="K942" i="3"/>
  <c r="L942" i="3"/>
  <c r="M942" i="3"/>
  <c r="N942" i="3"/>
  <c r="O942" i="3"/>
  <c r="P942" i="3"/>
  <c r="Q942" i="3"/>
  <c r="R942" i="3"/>
  <c r="S942" i="3"/>
  <c r="T942" i="3"/>
  <c r="U942" i="3"/>
  <c r="B943" i="3"/>
  <c r="C943" i="3"/>
  <c r="D943" i="3"/>
  <c r="E943" i="3"/>
  <c r="F943" i="3"/>
  <c r="G943" i="3"/>
  <c r="H943" i="3"/>
  <c r="I943" i="3"/>
  <c r="J943" i="3"/>
  <c r="K943" i="3"/>
  <c r="L943" i="3"/>
  <c r="M943" i="3"/>
  <c r="N943" i="3"/>
  <c r="O943" i="3"/>
  <c r="P943" i="3"/>
  <c r="Q943" i="3"/>
  <c r="R943" i="3"/>
  <c r="S943" i="3"/>
  <c r="T943" i="3"/>
  <c r="U943" i="3"/>
  <c r="B944" i="3"/>
  <c r="C944" i="3"/>
  <c r="D944" i="3"/>
  <c r="E944" i="3"/>
  <c r="F944" i="3"/>
  <c r="G944" i="3"/>
  <c r="H944" i="3"/>
  <c r="I944" i="3"/>
  <c r="J944" i="3"/>
  <c r="K944" i="3"/>
  <c r="L944" i="3"/>
  <c r="M944" i="3"/>
  <c r="N944" i="3"/>
  <c r="O944" i="3"/>
  <c r="P944" i="3"/>
  <c r="Q944" i="3"/>
  <c r="R944" i="3"/>
  <c r="S944" i="3"/>
  <c r="T944" i="3"/>
  <c r="U944" i="3"/>
  <c r="B945" i="3"/>
  <c r="C945" i="3"/>
  <c r="D945" i="3"/>
  <c r="E945" i="3"/>
  <c r="F945" i="3"/>
  <c r="G945" i="3"/>
  <c r="H945" i="3"/>
  <c r="I945" i="3"/>
  <c r="J945" i="3"/>
  <c r="K945" i="3"/>
  <c r="L945" i="3"/>
  <c r="M945" i="3"/>
  <c r="N945" i="3"/>
  <c r="O945" i="3"/>
  <c r="P945" i="3"/>
  <c r="Q945" i="3"/>
  <c r="R945" i="3"/>
  <c r="S945" i="3"/>
  <c r="T945" i="3"/>
  <c r="U945" i="3"/>
  <c r="B946" i="3"/>
  <c r="C946" i="3"/>
  <c r="D946" i="3"/>
  <c r="E946" i="3"/>
  <c r="F946" i="3"/>
  <c r="G946" i="3"/>
  <c r="H946" i="3"/>
  <c r="I946" i="3"/>
  <c r="J946" i="3"/>
  <c r="K946" i="3"/>
  <c r="L946" i="3"/>
  <c r="M946" i="3"/>
  <c r="N946" i="3"/>
  <c r="O946" i="3"/>
  <c r="P946" i="3"/>
  <c r="Q946" i="3"/>
  <c r="R946" i="3"/>
  <c r="S946" i="3"/>
  <c r="T946" i="3"/>
  <c r="U946" i="3"/>
  <c r="B947" i="3"/>
  <c r="C947" i="3"/>
  <c r="D947" i="3"/>
  <c r="E947" i="3"/>
  <c r="F947" i="3"/>
  <c r="G947" i="3"/>
  <c r="H947" i="3"/>
  <c r="I947" i="3"/>
  <c r="J947" i="3"/>
  <c r="K947" i="3"/>
  <c r="L947" i="3"/>
  <c r="M947" i="3"/>
  <c r="N947" i="3"/>
  <c r="O947" i="3"/>
  <c r="P947" i="3"/>
  <c r="Q947" i="3"/>
  <c r="R947" i="3"/>
  <c r="S947" i="3"/>
  <c r="T947" i="3"/>
  <c r="U947" i="3"/>
  <c r="B948" i="3"/>
  <c r="C948" i="3"/>
  <c r="D948" i="3"/>
  <c r="E948" i="3"/>
  <c r="F948" i="3"/>
  <c r="G948" i="3"/>
  <c r="H948" i="3"/>
  <c r="I948" i="3"/>
  <c r="J948" i="3"/>
  <c r="K948" i="3"/>
  <c r="L948" i="3"/>
  <c r="M948" i="3"/>
  <c r="N948" i="3"/>
  <c r="O948" i="3"/>
  <c r="P948" i="3"/>
  <c r="Q948" i="3"/>
  <c r="R948" i="3"/>
  <c r="S948" i="3"/>
  <c r="T948" i="3"/>
  <c r="U948" i="3"/>
  <c r="B949" i="3"/>
  <c r="C949" i="3"/>
  <c r="D949" i="3"/>
  <c r="E949" i="3"/>
  <c r="F949" i="3"/>
  <c r="G949" i="3"/>
  <c r="H949" i="3"/>
  <c r="I949" i="3"/>
  <c r="J949" i="3"/>
  <c r="K949" i="3"/>
  <c r="L949" i="3"/>
  <c r="M949" i="3"/>
  <c r="N949" i="3"/>
  <c r="O949" i="3"/>
  <c r="P949" i="3"/>
  <c r="Q949" i="3"/>
  <c r="R949" i="3"/>
  <c r="S949" i="3"/>
  <c r="T949" i="3"/>
  <c r="U949" i="3"/>
  <c r="B950" i="3"/>
  <c r="C950" i="3"/>
  <c r="D950" i="3"/>
  <c r="E950" i="3"/>
  <c r="F950" i="3"/>
  <c r="G950" i="3"/>
  <c r="H950" i="3"/>
  <c r="I950" i="3"/>
  <c r="J950" i="3"/>
  <c r="K950" i="3"/>
  <c r="L950" i="3"/>
  <c r="M950" i="3"/>
  <c r="N950" i="3"/>
  <c r="O950" i="3"/>
  <c r="P950" i="3"/>
  <c r="Q950" i="3"/>
  <c r="R950" i="3"/>
  <c r="S950" i="3"/>
  <c r="T950" i="3"/>
  <c r="U950" i="3"/>
  <c r="B951" i="3"/>
  <c r="C951" i="3"/>
  <c r="D951" i="3"/>
  <c r="E951" i="3"/>
  <c r="F951" i="3"/>
  <c r="G951" i="3"/>
  <c r="H951" i="3"/>
  <c r="I951" i="3"/>
  <c r="J951" i="3"/>
  <c r="K951" i="3"/>
  <c r="L951" i="3"/>
  <c r="M951" i="3"/>
  <c r="N951" i="3"/>
  <c r="O951" i="3"/>
  <c r="P951" i="3"/>
  <c r="Q951" i="3"/>
  <c r="R951" i="3"/>
  <c r="S951" i="3"/>
  <c r="T951" i="3"/>
  <c r="U951" i="3"/>
  <c r="B952" i="3"/>
  <c r="C952" i="3"/>
  <c r="D952" i="3"/>
  <c r="E952" i="3"/>
  <c r="F952" i="3"/>
  <c r="G952" i="3"/>
  <c r="H952" i="3"/>
  <c r="I952" i="3"/>
  <c r="J952" i="3"/>
  <c r="K952" i="3"/>
  <c r="L952" i="3"/>
  <c r="M952" i="3"/>
  <c r="N952" i="3"/>
  <c r="O952" i="3"/>
  <c r="P952" i="3"/>
  <c r="Q952" i="3"/>
  <c r="R952" i="3"/>
  <c r="S952" i="3"/>
  <c r="T952" i="3"/>
  <c r="U952" i="3"/>
  <c r="B953" i="3"/>
  <c r="C953" i="3"/>
  <c r="D953" i="3"/>
  <c r="E953" i="3"/>
  <c r="F953" i="3"/>
  <c r="G953" i="3"/>
  <c r="H953" i="3"/>
  <c r="I953" i="3"/>
  <c r="J953" i="3"/>
  <c r="K953" i="3"/>
  <c r="L953" i="3"/>
  <c r="M953" i="3"/>
  <c r="N953" i="3"/>
  <c r="O953" i="3"/>
  <c r="P953" i="3"/>
  <c r="Q953" i="3"/>
  <c r="R953" i="3"/>
  <c r="S953" i="3"/>
  <c r="T953" i="3"/>
  <c r="U953" i="3"/>
  <c r="B954" i="3"/>
  <c r="C954" i="3"/>
  <c r="D954" i="3"/>
  <c r="E954" i="3"/>
  <c r="F954" i="3"/>
  <c r="G954" i="3"/>
  <c r="I954" i="3"/>
  <c r="J954" i="3"/>
  <c r="K954" i="3"/>
  <c r="L954" i="3"/>
  <c r="M954" i="3"/>
  <c r="N954" i="3"/>
  <c r="O954" i="3"/>
  <c r="P954" i="3"/>
  <c r="Q954" i="3"/>
  <c r="R954" i="3"/>
  <c r="S954" i="3"/>
  <c r="T954" i="3"/>
  <c r="U954" i="3"/>
  <c r="B955" i="3"/>
  <c r="C955" i="3"/>
  <c r="D955" i="3"/>
  <c r="E955" i="3"/>
  <c r="F955" i="3"/>
  <c r="G955" i="3"/>
  <c r="H955" i="3"/>
  <c r="I955" i="3"/>
  <c r="J955" i="3"/>
  <c r="K955" i="3"/>
  <c r="L955" i="3"/>
  <c r="M955" i="3"/>
  <c r="N955" i="3"/>
  <c r="O955" i="3"/>
  <c r="P955" i="3"/>
  <c r="Q955" i="3"/>
  <c r="R955" i="3"/>
  <c r="S955" i="3"/>
  <c r="T955" i="3"/>
  <c r="U955" i="3"/>
  <c r="B956" i="3"/>
  <c r="C956" i="3"/>
  <c r="D956" i="3"/>
  <c r="E956" i="3"/>
  <c r="F956" i="3"/>
  <c r="G956" i="3"/>
  <c r="H956" i="3"/>
  <c r="I956" i="3"/>
  <c r="J956" i="3"/>
  <c r="K956" i="3"/>
  <c r="L956" i="3"/>
  <c r="M956" i="3"/>
  <c r="N956" i="3"/>
  <c r="O956" i="3"/>
  <c r="P956" i="3"/>
  <c r="Q956" i="3"/>
  <c r="R956" i="3"/>
  <c r="S956" i="3"/>
  <c r="T956" i="3"/>
  <c r="U956" i="3"/>
  <c r="B957" i="3"/>
  <c r="C957" i="3"/>
  <c r="D957" i="3"/>
  <c r="E957" i="3"/>
  <c r="F957" i="3"/>
  <c r="G957" i="3"/>
  <c r="H957" i="3"/>
  <c r="I957" i="3"/>
  <c r="J957" i="3"/>
  <c r="K957" i="3"/>
  <c r="L957" i="3"/>
  <c r="M957" i="3"/>
  <c r="N957" i="3"/>
  <c r="O957" i="3"/>
  <c r="P957" i="3"/>
  <c r="Q957" i="3"/>
  <c r="R957" i="3"/>
  <c r="S957" i="3"/>
  <c r="T957" i="3"/>
  <c r="U957" i="3"/>
  <c r="B958" i="3"/>
  <c r="C958" i="3"/>
  <c r="D958" i="3"/>
  <c r="E958" i="3"/>
  <c r="F958" i="3"/>
  <c r="G958" i="3"/>
  <c r="H958" i="3"/>
  <c r="I958" i="3"/>
  <c r="J958" i="3"/>
  <c r="K958" i="3"/>
  <c r="L958" i="3"/>
  <c r="M958" i="3"/>
  <c r="N958" i="3"/>
  <c r="O958" i="3"/>
  <c r="P958" i="3"/>
  <c r="Q958" i="3"/>
  <c r="R958" i="3"/>
  <c r="S958" i="3"/>
  <c r="T958" i="3"/>
  <c r="U958" i="3"/>
  <c r="B959" i="3"/>
  <c r="C959" i="3"/>
  <c r="D959" i="3"/>
  <c r="E959" i="3"/>
  <c r="F959" i="3"/>
  <c r="G959" i="3"/>
  <c r="H959" i="3"/>
  <c r="I959" i="3"/>
  <c r="J959" i="3"/>
  <c r="K959" i="3"/>
  <c r="L959" i="3"/>
  <c r="M959" i="3"/>
  <c r="N959" i="3"/>
  <c r="O959" i="3"/>
  <c r="P959" i="3"/>
  <c r="Q959" i="3"/>
  <c r="R959" i="3"/>
  <c r="S959" i="3"/>
  <c r="T959" i="3"/>
  <c r="U959" i="3"/>
  <c r="B960" i="3"/>
  <c r="C960" i="3"/>
  <c r="D960" i="3"/>
  <c r="E960" i="3"/>
  <c r="F960" i="3"/>
  <c r="G960" i="3"/>
  <c r="H960" i="3"/>
  <c r="I960" i="3"/>
  <c r="J960" i="3"/>
  <c r="K960" i="3"/>
  <c r="L960" i="3"/>
  <c r="M960" i="3"/>
  <c r="N960" i="3"/>
  <c r="O960" i="3"/>
  <c r="P960" i="3"/>
  <c r="Q960" i="3"/>
  <c r="R960" i="3"/>
  <c r="S960" i="3"/>
  <c r="T960" i="3"/>
  <c r="U960" i="3"/>
  <c r="B961" i="3"/>
  <c r="C961" i="3"/>
  <c r="D961" i="3"/>
  <c r="E961" i="3"/>
  <c r="F961" i="3"/>
  <c r="G961" i="3"/>
  <c r="H961" i="3"/>
  <c r="I961" i="3"/>
  <c r="J961" i="3"/>
  <c r="K961" i="3"/>
  <c r="L961" i="3"/>
  <c r="M961" i="3"/>
  <c r="N961" i="3"/>
  <c r="O961" i="3"/>
  <c r="P961" i="3"/>
  <c r="Q961" i="3"/>
  <c r="R961" i="3"/>
  <c r="S961" i="3"/>
  <c r="T961" i="3"/>
  <c r="U961" i="3"/>
  <c r="B962" i="3"/>
  <c r="C962" i="3"/>
  <c r="D962" i="3"/>
  <c r="E962" i="3"/>
  <c r="F962" i="3"/>
  <c r="G962" i="3"/>
  <c r="H962" i="3"/>
  <c r="I962" i="3"/>
  <c r="J962" i="3"/>
  <c r="K962" i="3"/>
  <c r="L962" i="3"/>
  <c r="M962" i="3"/>
  <c r="N962" i="3"/>
  <c r="O962" i="3"/>
  <c r="P962" i="3"/>
  <c r="Q962" i="3"/>
  <c r="R962" i="3"/>
  <c r="S962" i="3"/>
  <c r="T962" i="3"/>
  <c r="U962" i="3"/>
  <c r="B963" i="3"/>
  <c r="C963" i="3"/>
  <c r="D963" i="3"/>
  <c r="E963" i="3"/>
  <c r="F963" i="3"/>
  <c r="G963" i="3"/>
  <c r="H963" i="3"/>
  <c r="I963" i="3"/>
  <c r="J963" i="3"/>
  <c r="K963" i="3"/>
  <c r="L963" i="3"/>
  <c r="M963" i="3"/>
  <c r="N963" i="3"/>
  <c r="O963" i="3"/>
  <c r="P963" i="3"/>
  <c r="Q963" i="3"/>
  <c r="R963" i="3"/>
  <c r="S963" i="3"/>
  <c r="T963" i="3"/>
  <c r="U963" i="3"/>
  <c r="B964" i="3"/>
  <c r="C964" i="3"/>
  <c r="D964" i="3"/>
  <c r="E964" i="3"/>
  <c r="F964" i="3"/>
  <c r="G964" i="3"/>
  <c r="H964" i="3"/>
  <c r="I964" i="3"/>
  <c r="J964" i="3"/>
  <c r="K964" i="3"/>
  <c r="L964" i="3"/>
  <c r="M964" i="3"/>
  <c r="N964" i="3"/>
  <c r="O964" i="3"/>
  <c r="P964" i="3"/>
  <c r="Q964" i="3"/>
  <c r="R964" i="3"/>
  <c r="S964" i="3"/>
  <c r="T964" i="3"/>
  <c r="U964" i="3"/>
  <c r="B965" i="3"/>
  <c r="C965" i="3"/>
  <c r="D965" i="3"/>
  <c r="E965" i="3"/>
  <c r="F965" i="3"/>
  <c r="G965" i="3"/>
  <c r="H965" i="3"/>
  <c r="I965" i="3"/>
  <c r="J965" i="3"/>
  <c r="K965" i="3"/>
  <c r="L965" i="3"/>
  <c r="M965" i="3"/>
  <c r="N965" i="3"/>
  <c r="O965" i="3"/>
  <c r="P965" i="3"/>
  <c r="Q965" i="3"/>
  <c r="R965" i="3"/>
  <c r="S965" i="3"/>
  <c r="T965" i="3"/>
  <c r="U965" i="3"/>
  <c r="B966" i="3"/>
  <c r="C966" i="3"/>
  <c r="D966" i="3"/>
  <c r="E966" i="3"/>
  <c r="F966" i="3"/>
  <c r="G966" i="3"/>
  <c r="H966" i="3"/>
  <c r="I966" i="3"/>
  <c r="J966" i="3"/>
  <c r="K966" i="3"/>
  <c r="L966" i="3"/>
  <c r="M966" i="3"/>
  <c r="N966" i="3"/>
  <c r="O966" i="3"/>
  <c r="P966" i="3"/>
  <c r="Q966" i="3"/>
  <c r="R966" i="3"/>
  <c r="S966" i="3"/>
  <c r="T966" i="3"/>
  <c r="U966" i="3"/>
  <c r="B967" i="3"/>
  <c r="C967" i="3"/>
  <c r="D967" i="3"/>
  <c r="E967" i="3"/>
  <c r="F967" i="3"/>
  <c r="G967" i="3"/>
  <c r="H967" i="3"/>
  <c r="I967" i="3"/>
  <c r="J967" i="3"/>
  <c r="K967" i="3"/>
  <c r="L967" i="3"/>
  <c r="M967" i="3"/>
  <c r="N967" i="3"/>
  <c r="O967" i="3"/>
  <c r="P967" i="3"/>
  <c r="Q967" i="3"/>
  <c r="R967" i="3"/>
  <c r="S967" i="3"/>
  <c r="T967" i="3"/>
  <c r="U967" i="3"/>
  <c r="B968" i="3"/>
  <c r="C968" i="3"/>
  <c r="D968" i="3"/>
  <c r="E968" i="3"/>
  <c r="F968" i="3"/>
  <c r="G968" i="3"/>
  <c r="H968" i="3"/>
  <c r="I968" i="3"/>
  <c r="J968" i="3"/>
  <c r="K968" i="3"/>
  <c r="L968" i="3"/>
  <c r="M968" i="3"/>
  <c r="N968" i="3"/>
  <c r="O968" i="3"/>
  <c r="P968" i="3"/>
  <c r="Q968" i="3"/>
  <c r="R968" i="3"/>
  <c r="S968" i="3"/>
  <c r="T968" i="3"/>
  <c r="U968" i="3"/>
  <c r="B969" i="3"/>
  <c r="C969" i="3"/>
  <c r="D969" i="3"/>
  <c r="E969" i="3"/>
  <c r="F969" i="3"/>
  <c r="G969" i="3"/>
  <c r="H969" i="3"/>
  <c r="I969" i="3"/>
  <c r="J969" i="3"/>
  <c r="K969" i="3"/>
  <c r="L969" i="3"/>
  <c r="M969" i="3"/>
  <c r="N969" i="3"/>
  <c r="O969" i="3"/>
  <c r="P969" i="3"/>
  <c r="Q969" i="3"/>
  <c r="R969" i="3"/>
  <c r="S969" i="3"/>
  <c r="T969" i="3"/>
  <c r="U969" i="3"/>
  <c r="B970" i="3"/>
  <c r="C970" i="3"/>
  <c r="D970" i="3"/>
  <c r="E970" i="3"/>
  <c r="F970" i="3"/>
  <c r="G970" i="3"/>
  <c r="H970" i="3"/>
  <c r="I970" i="3"/>
  <c r="J970" i="3"/>
  <c r="K970" i="3"/>
  <c r="L970" i="3"/>
  <c r="M970" i="3"/>
  <c r="N970" i="3"/>
  <c r="O970" i="3"/>
  <c r="P970" i="3"/>
  <c r="Q970" i="3"/>
  <c r="R970" i="3"/>
  <c r="S970" i="3"/>
  <c r="T970" i="3"/>
  <c r="U970" i="3"/>
  <c r="B971" i="3"/>
  <c r="C971" i="3"/>
  <c r="D971" i="3"/>
  <c r="E971" i="3"/>
  <c r="F971" i="3"/>
  <c r="G971" i="3"/>
  <c r="H971" i="3"/>
  <c r="I971" i="3"/>
  <c r="J971" i="3"/>
  <c r="K971" i="3"/>
  <c r="L971" i="3"/>
  <c r="M971" i="3"/>
  <c r="N971" i="3"/>
  <c r="O971" i="3"/>
  <c r="P971" i="3"/>
  <c r="Q971" i="3"/>
  <c r="R971" i="3"/>
  <c r="S971" i="3"/>
  <c r="T971" i="3"/>
  <c r="U971" i="3"/>
  <c r="B972" i="3"/>
  <c r="C972" i="3"/>
  <c r="D972" i="3"/>
  <c r="E972" i="3"/>
  <c r="F972" i="3"/>
  <c r="G972" i="3"/>
  <c r="H972" i="3"/>
  <c r="I972" i="3"/>
  <c r="J972" i="3"/>
  <c r="K972" i="3"/>
  <c r="L972" i="3"/>
  <c r="M972" i="3"/>
  <c r="N972" i="3"/>
  <c r="O972" i="3"/>
  <c r="P972" i="3"/>
  <c r="Q972" i="3"/>
  <c r="R972" i="3"/>
  <c r="S972" i="3"/>
  <c r="T972" i="3"/>
  <c r="U972" i="3"/>
  <c r="B973" i="3"/>
  <c r="C973" i="3"/>
  <c r="D973" i="3"/>
  <c r="E973" i="3"/>
  <c r="F973" i="3"/>
  <c r="G973" i="3"/>
  <c r="H973" i="3"/>
  <c r="I973" i="3"/>
  <c r="J973" i="3"/>
  <c r="K973" i="3"/>
  <c r="L973" i="3"/>
  <c r="M973" i="3"/>
  <c r="N973" i="3"/>
  <c r="O973" i="3"/>
  <c r="P973" i="3"/>
  <c r="Q973" i="3"/>
  <c r="R973" i="3"/>
  <c r="S973" i="3"/>
  <c r="T973" i="3"/>
  <c r="U973" i="3"/>
  <c r="B974" i="3"/>
  <c r="C974" i="3"/>
  <c r="D974" i="3"/>
  <c r="E974" i="3"/>
  <c r="F974" i="3"/>
  <c r="G974" i="3"/>
  <c r="H974" i="3"/>
  <c r="I974" i="3"/>
  <c r="J974" i="3"/>
  <c r="K974" i="3"/>
  <c r="L974" i="3"/>
  <c r="M974" i="3"/>
  <c r="N974" i="3"/>
  <c r="O974" i="3"/>
  <c r="P974" i="3"/>
  <c r="Q974" i="3"/>
  <c r="R974" i="3"/>
  <c r="S974" i="3"/>
  <c r="T974" i="3"/>
  <c r="U974" i="3"/>
  <c r="B975" i="3"/>
  <c r="C975" i="3"/>
  <c r="D975" i="3"/>
  <c r="E975" i="3"/>
  <c r="F975" i="3"/>
  <c r="G975" i="3"/>
  <c r="H975" i="3"/>
  <c r="I975" i="3"/>
  <c r="J975" i="3"/>
  <c r="K975" i="3"/>
  <c r="L975" i="3"/>
  <c r="M975" i="3"/>
  <c r="N975" i="3"/>
  <c r="O975" i="3"/>
  <c r="P975" i="3"/>
  <c r="Q975" i="3"/>
  <c r="R975" i="3"/>
  <c r="S975" i="3"/>
  <c r="T975" i="3"/>
  <c r="U975" i="3"/>
  <c r="B976" i="3"/>
  <c r="C976" i="3"/>
  <c r="D976" i="3"/>
  <c r="E976" i="3"/>
  <c r="F976" i="3"/>
  <c r="G976" i="3"/>
  <c r="H976" i="3"/>
  <c r="I976" i="3"/>
  <c r="J976" i="3"/>
  <c r="K976" i="3"/>
  <c r="L976" i="3"/>
  <c r="M976" i="3"/>
  <c r="N976" i="3"/>
  <c r="O976" i="3"/>
  <c r="P976" i="3"/>
  <c r="Q976" i="3"/>
  <c r="R976" i="3"/>
  <c r="S976" i="3"/>
  <c r="T976" i="3"/>
  <c r="U976" i="3"/>
  <c r="B977" i="3"/>
  <c r="C977" i="3"/>
  <c r="D977" i="3"/>
  <c r="E977" i="3"/>
  <c r="F977" i="3"/>
  <c r="G977" i="3"/>
  <c r="H977" i="3"/>
  <c r="I977" i="3"/>
  <c r="J977" i="3"/>
  <c r="K977" i="3"/>
  <c r="L977" i="3"/>
  <c r="M977" i="3"/>
  <c r="N977" i="3"/>
  <c r="O977" i="3"/>
  <c r="P977" i="3"/>
  <c r="Q977" i="3"/>
  <c r="R977" i="3"/>
  <c r="S977" i="3"/>
  <c r="T977" i="3"/>
  <c r="U977" i="3"/>
  <c r="B978" i="3"/>
  <c r="C978" i="3"/>
  <c r="D978" i="3"/>
  <c r="E978" i="3"/>
  <c r="F978" i="3"/>
  <c r="G978" i="3"/>
  <c r="H978" i="3"/>
  <c r="I978" i="3"/>
  <c r="J978" i="3"/>
  <c r="K978" i="3"/>
  <c r="L978" i="3"/>
  <c r="M978" i="3"/>
  <c r="N978" i="3"/>
  <c r="O978" i="3"/>
  <c r="P978" i="3"/>
  <c r="Q978" i="3"/>
  <c r="R978" i="3"/>
  <c r="S978" i="3"/>
  <c r="T978" i="3"/>
  <c r="U978" i="3"/>
  <c r="B979" i="3"/>
  <c r="C979" i="3"/>
  <c r="D979" i="3"/>
  <c r="E979" i="3"/>
  <c r="F979" i="3"/>
  <c r="G979" i="3"/>
  <c r="H979" i="3"/>
  <c r="I979" i="3"/>
  <c r="J979" i="3"/>
  <c r="K979" i="3"/>
  <c r="L979" i="3"/>
  <c r="M979" i="3"/>
  <c r="N979" i="3"/>
  <c r="O979" i="3"/>
  <c r="P979" i="3"/>
  <c r="Q979" i="3"/>
  <c r="R979" i="3"/>
  <c r="S979" i="3"/>
  <c r="T979" i="3"/>
  <c r="U979" i="3"/>
  <c r="B980" i="3"/>
  <c r="C980" i="3"/>
  <c r="D980" i="3"/>
  <c r="E980" i="3"/>
  <c r="F980" i="3"/>
  <c r="G980" i="3"/>
  <c r="H980" i="3"/>
  <c r="I980" i="3"/>
  <c r="J980" i="3"/>
  <c r="K980" i="3"/>
  <c r="L980" i="3"/>
  <c r="M980" i="3"/>
  <c r="N980" i="3"/>
  <c r="O980" i="3"/>
  <c r="P980" i="3"/>
  <c r="Q980" i="3"/>
  <c r="R980" i="3"/>
  <c r="S980" i="3"/>
  <c r="T980" i="3"/>
  <c r="U980" i="3"/>
  <c r="B981" i="3"/>
  <c r="C981" i="3"/>
  <c r="D981" i="3"/>
  <c r="E981" i="3"/>
  <c r="F981" i="3"/>
  <c r="G981" i="3"/>
  <c r="H981" i="3"/>
  <c r="I981" i="3"/>
  <c r="J981" i="3"/>
  <c r="K981" i="3"/>
  <c r="L981" i="3"/>
  <c r="M981" i="3"/>
  <c r="N981" i="3"/>
  <c r="O981" i="3"/>
  <c r="P981" i="3"/>
  <c r="Q981" i="3"/>
  <c r="R981" i="3"/>
  <c r="S981" i="3"/>
  <c r="T981" i="3"/>
  <c r="U981" i="3"/>
  <c r="B982" i="3"/>
  <c r="C982" i="3"/>
  <c r="D982" i="3"/>
  <c r="E982" i="3"/>
  <c r="F982" i="3"/>
  <c r="G982" i="3"/>
  <c r="H982" i="3"/>
  <c r="I982" i="3"/>
  <c r="J982" i="3"/>
  <c r="K982" i="3"/>
  <c r="L982" i="3"/>
  <c r="M982" i="3"/>
  <c r="N982" i="3"/>
  <c r="O982" i="3"/>
  <c r="P982" i="3"/>
  <c r="Q982" i="3"/>
  <c r="R982" i="3"/>
  <c r="S982" i="3"/>
  <c r="T982" i="3"/>
  <c r="U982" i="3"/>
  <c r="B983" i="3"/>
  <c r="C983" i="3"/>
  <c r="D983" i="3"/>
  <c r="E983" i="3"/>
  <c r="F983" i="3"/>
  <c r="G983" i="3"/>
  <c r="H983" i="3"/>
  <c r="I983" i="3"/>
  <c r="J983" i="3"/>
  <c r="K983" i="3"/>
  <c r="L983" i="3"/>
  <c r="M983" i="3"/>
  <c r="N983" i="3"/>
  <c r="O983" i="3"/>
  <c r="P983" i="3"/>
  <c r="Q983" i="3"/>
  <c r="R983" i="3"/>
  <c r="S983" i="3"/>
  <c r="T983" i="3"/>
  <c r="U983" i="3"/>
  <c r="B984" i="3"/>
  <c r="C984" i="3"/>
  <c r="D984" i="3"/>
  <c r="E984" i="3"/>
  <c r="F984" i="3"/>
  <c r="G984" i="3"/>
  <c r="H984" i="3"/>
  <c r="I984" i="3"/>
  <c r="J984" i="3"/>
  <c r="K984" i="3"/>
  <c r="L984" i="3"/>
  <c r="M984" i="3"/>
  <c r="N984" i="3"/>
  <c r="O984" i="3"/>
  <c r="P984" i="3"/>
  <c r="Q984" i="3"/>
  <c r="R984" i="3"/>
  <c r="S984" i="3"/>
  <c r="T984" i="3"/>
  <c r="U984" i="3"/>
  <c r="B985" i="3"/>
  <c r="C985" i="3"/>
  <c r="D985" i="3"/>
  <c r="E985" i="3"/>
  <c r="F985" i="3"/>
  <c r="G985" i="3"/>
  <c r="H985" i="3"/>
  <c r="I985" i="3"/>
  <c r="J985" i="3"/>
  <c r="K985" i="3"/>
  <c r="L985" i="3"/>
  <c r="M985" i="3"/>
  <c r="N985" i="3"/>
  <c r="O985" i="3"/>
  <c r="P985" i="3"/>
  <c r="Q985" i="3"/>
  <c r="R985" i="3"/>
  <c r="S985" i="3"/>
  <c r="T985" i="3"/>
  <c r="U985" i="3"/>
  <c r="B986" i="3"/>
  <c r="C986" i="3"/>
  <c r="D986" i="3"/>
  <c r="E986" i="3"/>
  <c r="F986" i="3"/>
  <c r="G986" i="3"/>
  <c r="H986" i="3"/>
  <c r="I986" i="3"/>
  <c r="J986" i="3"/>
  <c r="K986" i="3"/>
  <c r="L986" i="3"/>
  <c r="M986" i="3"/>
  <c r="N986" i="3"/>
  <c r="O986" i="3"/>
  <c r="P986" i="3"/>
  <c r="Q986" i="3"/>
  <c r="R986" i="3"/>
  <c r="S986" i="3"/>
  <c r="T986" i="3"/>
  <c r="U986" i="3"/>
  <c r="B987" i="3"/>
  <c r="C987" i="3"/>
  <c r="D987" i="3"/>
  <c r="E987" i="3"/>
  <c r="F987" i="3"/>
  <c r="G987" i="3"/>
  <c r="H987" i="3"/>
  <c r="I987" i="3"/>
  <c r="J987" i="3"/>
  <c r="K987" i="3"/>
  <c r="L987" i="3"/>
  <c r="M987" i="3"/>
  <c r="N987" i="3"/>
  <c r="O987" i="3"/>
  <c r="P987" i="3"/>
  <c r="Q987" i="3"/>
  <c r="R987" i="3"/>
  <c r="S987" i="3"/>
  <c r="T987" i="3"/>
  <c r="U987" i="3"/>
  <c r="B988" i="3"/>
  <c r="C988" i="3"/>
  <c r="D988" i="3"/>
  <c r="E988" i="3"/>
  <c r="F988" i="3"/>
  <c r="G988" i="3"/>
  <c r="H988" i="3"/>
  <c r="I988" i="3"/>
  <c r="J988" i="3"/>
  <c r="K988" i="3"/>
  <c r="L988" i="3"/>
  <c r="M988" i="3"/>
  <c r="N988" i="3"/>
  <c r="O988" i="3"/>
  <c r="P988" i="3"/>
  <c r="Q988" i="3"/>
  <c r="R988" i="3"/>
  <c r="S988" i="3"/>
  <c r="T988" i="3"/>
  <c r="U988" i="3"/>
  <c r="B989" i="3"/>
  <c r="C989" i="3"/>
  <c r="D989" i="3"/>
  <c r="E989" i="3"/>
  <c r="F989" i="3"/>
  <c r="G989" i="3"/>
  <c r="H989" i="3"/>
  <c r="I989" i="3"/>
  <c r="J989" i="3"/>
  <c r="K989" i="3"/>
  <c r="L989" i="3"/>
  <c r="M989" i="3"/>
  <c r="N989" i="3"/>
  <c r="O989" i="3"/>
  <c r="P989" i="3"/>
  <c r="Q989" i="3"/>
  <c r="R989" i="3"/>
  <c r="S989" i="3"/>
  <c r="T989" i="3"/>
  <c r="U989" i="3"/>
  <c r="B990" i="3"/>
  <c r="C990" i="3"/>
  <c r="D990" i="3"/>
  <c r="E990" i="3"/>
  <c r="F990" i="3"/>
  <c r="G990" i="3"/>
  <c r="H990" i="3"/>
  <c r="I990" i="3"/>
  <c r="J990" i="3"/>
  <c r="K990" i="3"/>
  <c r="L990" i="3"/>
  <c r="M990" i="3"/>
  <c r="N990" i="3"/>
  <c r="O990" i="3"/>
  <c r="P990" i="3"/>
  <c r="Q990" i="3"/>
  <c r="R990" i="3"/>
  <c r="S990" i="3"/>
  <c r="T990" i="3"/>
  <c r="U990" i="3"/>
  <c r="B991" i="3"/>
  <c r="C991" i="3"/>
  <c r="D991" i="3"/>
  <c r="E991" i="3"/>
  <c r="F991" i="3"/>
  <c r="G991" i="3"/>
  <c r="H991" i="3"/>
  <c r="I991" i="3"/>
  <c r="J991" i="3"/>
  <c r="K991" i="3"/>
  <c r="L991" i="3"/>
  <c r="M991" i="3"/>
  <c r="N991" i="3"/>
  <c r="O991" i="3"/>
  <c r="P991" i="3"/>
  <c r="Q991" i="3"/>
  <c r="R991" i="3"/>
  <c r="S991" i="3"/>
  <c r="T991" i="3"/>
  <c r="U991" i="3"/>
  <c r="B992" i="3"/>
  <c r="C992" i="3"/>
  <c r="D992" i="3"/>
  <c r="E992" i="3"/>
  <c r="F992" i="3"/>
  <c r="G992" i="3"/>
  <c r="H992" i="3"/>
  <c r="I992" i="3"/>
  <c r="J992" i="3"/>
  <c r="K992" i="3"/>
  <c r="L992" i="3"/>
  <c r="M992" i="3"/>
  <c r="N992" i="3"/>
  <c r="O992" i="3"/>
  <c r="P992" i="3"/>
  <c r="Q992" i="3"/>
  <c r="R992" i="3"/>
  <c r="S992" i="3"/>
  <c r="T992" i="3"/>
  <c r="U992" i="3"/>
  <c r="B993" i="3"/>
  <c r="C993" i="3"/>
  <c r="D993" i="3"/>
  <c r="E993" i="3"/>
  <c r="F993" i="3"/>
  <c r="G993" i="3"/>
  <c r="H993" i="3"/>
  <c r="I993" i="3"/>
  <c r="J993" i="3"/>
  <c r="K993" i="3"/>
  <c r="L993" i="3"/>
  <c r="M993" i="3"/>
  <c r="N993" i="3"/>
  <c r="O993" i="3"/>
  <c r="P993" i="3"/>
  <c r="Q993" i="3"/>
  <c r="R993" i="3"/>
  <c r="S993" i="3"/>
  <c r="T993" i="3"/>
  <c r="U993" i="3"/>
  <c r="B994" i="3"/>
  <c r="C994" i="3"/>
  <c r="D994" i="3"/>
  <c r="E994" i="3"/>
  <c r="F994" i="3"/>
  <c r="G994" i="3"/>
  <c r="H994" i="3"/>
  <c r="I994" i="3"/>
  <c r="J994" i="3"/>
  <c r="K994" i="3"/>
  <c r="L994" i="3"/>
  <c r="M994" i="3"/>
  <c r="N994" i="3"/>
  <c r="O994" i="3"/>
  <c r="P994" i="3"/>
  <c r="Q994" i="3"/>
  <c r="R994" i="3"/>
  <c r="S994" i="3"/>
  <c r="T994" i="3"/>
  <c r="U994" i="3"/>
  <c r="B995" i="3"/>
  <c r="C995" i="3"/>
  <c r="D995" i="3"/>
  <c r="E995" i="3"/>
  <c r="F995" i="3"/>
  <c r="G995" i="3"/>
  <c r="H995" i="3"/>
  <c r="I995" i="3"/>
  <c r="J995" i="3"/>
  <c r="K995" i="3"/>
  <c r="L995" i="3"/>
  <c r="M995" i="3"/>
  <c r="N995" i="3"/>
  <c r="O995" i="3"/>
  <c r="P995" i="3"/>
  <c r="Q995" i="3"/>
  <c r="R995" i="3"/>
  <c r="S995" i="3"/>
  <c r="T995" i="3"/>
  <c r="U995" i="3"/>
  <c r="C2" i="3"/>
  <c r="D2" i="3"/>
  <c r="E2" i="3"/>
  <c r="F2" i="3"/>
  <c r="G2" i="3"/>
  <c r="H2" i="3"/>
  <c r="I2" i="3"/>
  <c r="J2" i="3"/>
  <c r="K2" i="3"/>
  <c r="L2" i="3"/>
  <c r="M2" i="3"/>
  <c r="N2" i="3"/>
  <c r="O2" i="3"/>
  <c r="P2" i="3"/>
  <c r="Q2" i="3"/>
  <c r="R2" i="3"/>
  <c r="S2" i="3"/>
  <c r="T2" i="3"/>
  <c r="U2" i="3"/>
  <c r="B2"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421" i="3"/>
  <c r="A422" i="3"/>
  <c r="A423" i="3"/>
  <c r="A424" i="3"/>
  <c r="A425" i="3"/>
  <c r="A426" i="3"/>
  <c r="A427" i="3"/>
  <c r="A428" i="3"/>
  <c r="A429" i="3"/>
  <c r="A430" i="3"/>
  <c r="A431" i="3"/>
  <c r="A432" i="3"/>
  <c r="A433" i="3"/>
  <c r="A434" i="3"/>
  <c r="A435" i="3"/>
  <c r="A436" i="3"/>
  <c r="A437" i="3"/>
  <c r="A438" i="3"/>
  <c r="A439" i="3"/>
  <c r="A440" i="3"/>
  <c r="A441" i="3"/>
  <c r="A442" i="3"/>
  <c r="A443" i="3"/>
  <c r="A444" i="3"/>
  <c r="A445" i="3"/>
  <c r="A446" i="3"/>
  <c r="A447" i="3"/>
  <c r="A448" i="3"/>
  <c r="A449" i="3"/>
  <c r="A450" i="3"/>
  <c r="A451" i="3"/>
  <c r="A452" i="3"/>
  <c r="A453" i="3"/>
  <c r="A454" i="3"/>
  <c r="A455" i="3"/>
  <c r="A456" i="3"/>
  <c r="A457" i="3"/>
  <c r="A458" i="3"/>
  <c r="A459" i="3"/>
  <c r="A460" i="3"/>
  <c r="A461" i="3"/>
  <c r="A462" i="3"/>
  <c r="A463" i="3"/>
  <c r="A464" i="3"/>
  <c r="A465" i="3"/>
  <c r="A466" i="3"/>
  <c r="A467" i="3"/>
  <c r="A468" i="3"/>
  <c r="A469" i="3"/>
  <c r="A470" i="3"/>
  <c r="A471" i="3"/>
  <c r="A472" i="3"/>
  <c r="A473" i="3"/>
  <c r="A474" i="3"/>
  <c r="A475" i="3"/>
  <c r="A476" i="3"/>
  <c r="A477" i="3"/>
  <c r="A478" i="3"/>
  <c r="A479" i="3"/>
  <c r="A480" i="3"/>
  <c r="A481" i="3"/>
  <c r="A482" i="3"/>
  <c r="A483" i="3"/>
  <c r="A484" i="3"/>
  <c r="A485" i="3"/>
  <c r="A486" i="3"/>
  <c r="A487" i="3"/>
  <c r="A488" i="3"/>
  <c r="A489" i="3"/>
  <c r="A490" i="3"/>
  <c r="A491" i="3"/>
  <c r="A492" i="3"/>
  <c r="A493" i="3"/>
  <c r="A494" i="3"/>
  <c r="A495" i="3"/>
  <c r="A496" i="3"/>
  <c r="A497" i="3"/>
  <c r="A498" i="3"/>
  <c r="A499" i="3"/>
  <c r="A500" i="3"/>
  <c r="A501" i="3"/>
  <c r="A502" i="3"/>
  <c r="A503" i="3"/>
  <c r="A504" i="3"/>
  <c r="A505" i="3"/>
  <c r="A506" i="3"/>
  <c r="A507" i="3"/>
  <c r="A508" i="3"/>
  <c r="A509" i="3"/>
  <c r="A510" i="3"/>
  <c r="A511" i="3"/>
  <c r="A512" i="3"/>
  <c r="A513" i="3"/>
  <c r="A514" i="3"/>
  <c r="A515" i="3"/>
  <c r="A516" i="3"/>
  <c r="A517" i="3"/>
  <c r="A518" i="3"/>
  <c r="A519" i="3"/>
  <c r="A520" i="3"/>
  <c r="A521" i="3"/>
  <c r="A522" i="3"/>
  <c r="A523" i="3"/>
  <c r="A524" i="3"/>
  <c r="A525" i="3"/>
  <c r="A526" i="3"/>
  <c r="A527" i="3"/>
  <c r="A528" i="3"/>
  <c r="A529" i="3"/>
  <c r="A530" i="3"/>
  <c r="A531" i="3"/>
  <c r="A532" i="3"/>
  <c r="A533" i="3"/>
  <c r="A534" i="3"/>
  <c r="A535" i="3"/>
  <c r="A536" i="3"/>
  <c r="A537" i="3"/>
  <c r="A538" i="3"/>
  <c r="A539" i="3"/>
  <c r="A540" i="3"/>
  <c r="A541" i="3"/>
  <c r="A542" i="3"/>
  <c r="A543" i="3"/>
  <c r="A544" i="3"/>
  <c r="A545" i="3"/>
  <c r="A546" i="3"/>
  <c r="A547" i="3"/>
  <c r="A548" i="3"/>
  <c r="A549" i="3"/>
  <c r="A550" i="3"/>
  <c r="A551" i="3"/>
  <c r="A552" i="3"/>
  <c r="A553" i="3"/>
  <c r="A554" i="3"/>
  <c r="A555" i="3"/>
  <c r="A556" i="3"/>
  <c r="A557" i="3"/>
  <c r="A558" i="3"/>
  <c r="A559" i="3"/>
  <c r="A560" i="3"/>
  <c r="A561" i="3"/>
  <c r="A562" i="3"/>
  <c r="A563" i="3"/>
  <c r="A564" i="3"/>
  <c r="A565" i="3"/>
  <c r="A566" i="3"/>
  <c r="A567" i="3"/>
  <c r="A568" i="3"/>
  <c r="A569" i="3"/>
  <c r="A570" i="3"/>
  <c r="A571" i="3"/>
  <c r="A572" i="3"/>
  <c r="A573" i="3"/>
  <c r="A574" i="3"/>
  <c r="A575" i="3"/>
  <c r="A576" i="3"/>
  <c r="A577" i="3"/>
  <c r="A578" i="3"/>
  <c r="A579" i="3"/>
  <c r="A580" i="3"/>
  <c r="A581" i="3"/>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A709" i="3"/>
  <c r="A710" i="3"/>
  <c r="A711" i="3"/>
  <c r="A712" i="3"/>
  <c r="A713" i="3"/>
  <c r="A714" i="3"/>
  <c r="A715" i="3"/>
  <c r="A716" i="3"/>
  <c r="A717" i="3"/>
  <c r="A718" i="3"/>
  <c r="A719" i="3"/>
  <c r="A720" i="3"/>
  <c r="A721" i="3"/>
  <c r="A722" i="3"/>
  <c r="A723" i="3"/>
  <c r="A724" i="3"/>
  <c r="A725" i="3"/>
  <c r="A726" i="3"/>
  <c r="A727" i="3"/>
  <c r="A728" i="3"/>
  <c r="A729" i="3"/>
  <c r="A730" i="3"/>
  <c r="A731" i="3"/>
  <c r="A732" i="3"/>
  <c r="A733" i="3"/>
  <c r="A734" i="3"/>
  <c r="A735" i="3"/>
  <c r="A736" i="3"/>
  <c r="A737" i="3"/>
  <c r="A738" i="3"/>
  <c r="A739" i="3"/>
  <c r="A740" i="3"/>
  <c r="A741" i="3"/>
  <c r="A742" i="3"/>
  <c r="A743" i="3"/>
  <c r="A744" i="3"/>
  <c r="A745" i="3"/>
  <c r="A746" i="3"/>
  <c r="A747" i="3"/>
  <c r="A748" i="3"/>
  <c r="A749" i="3"/>
  <c r="A750" i="3"/>
  <c r="A751" i="3"/>
  <c r="A752" i="3"/>
  <c r="A753" i="3"/>
  <c r="A754" i="3"/>
  <c r="A755" i="3"/>
  <c r="A756" i="3"/>
  <c r="A757" i="3"/>
  <c r="A758" i="3"/>
  <c r="A759" i="3"/>
  <c r="A760" i="3"/>
  <c r="A761" i="3"/>
  <c r="A762" i="3"/>
  <c r="A763" i="3"/>
  <c r="A764" i="3"/>
  <c r="A765" i="3"/>
  <c r="A766" i="3"/>
  <c r="A767" i="3"/>
  <c r="A768" i="3"/>
  <c r="A769" i="3"/>
  <c r="A770" i="3"/>
  <c r="A771" i="3"/>
  <c r="A772" i="3"/>
  <c r="A773" i="3"/>
  <c r="A774" i="3"/>
  <c r="A775" i="3"/>
  <c r="A776" i="3"/>
  <c r="A777" i="3"/>
  <c r="A778" i="3"/>
  <c r="A779" i="3"/>
  <c r="A780" i="3"/>
  <c r="A781" i="3"/>
  <c r="A782" i="3"/>
  <c r="A783" i="3"/>
  <c r="A784" i="3"/>
  <c r="A785" i="3"/>
  <c r="A786" i="3"/>
  <c r="A787" i="3"/>
  <c r="A788" i="3"/>
  <c r="A789" i="3"/>
  <c r="A790" i="3"/>
  <c r="A791" i="3"/>
  <c r="A792" i="3"/>
  <c r="A793" i="3"/>
  <c r="A794" i="3"/>
  <c r="A795" i="3"/>
  <c r="A796" i="3"/>
  <c r="A797" i="3"/>
  <c r="A798" i="3"/>
  <c r="A799" i="3"/>
  <c r="A800" i="3"/>
  <c r="A801" i="3"/>
  <c r="A802" i="3"/>
  <c r="A803" i="3"/>
  <c r="A804" i="3"/>
  <c r="A805" i="3"/>
  <c r="A806" i="3"/>
  <c r="A807" i="3"/>
  <c r="A808" i="3"/>
  <c r="A809" i="3"/>
  <c r="A810" i="3"/>
  <c r="A811" i="3"/>
  <c r="A812" i="3"/>
  <c r="A813" i="3"/>
  <c r="A814" i="3"/>
  <c r="A815" i="3"/>
  <c r="A816" i="3"/>
  <c r="A817" i="3"/>
  <c r="A818" i="3"/>
  <c r="A819" i="3"/>
  <c r="A820" i="3"/>
  <c r="A821" i="3"/>
  <c r="A822" i="3"/>
  <c r="A823" i="3"/>
  <c r="A824" i="3"/>
  <c r="A825" i="3"/>
  <c r="A826" i="3"/>
  <c r="A827" i="3"/>
  <c r="A828" i="3"/>
  <c r="A829" i="3"/>
  <c r="A830" i="3"/>
  <c r="A831" i="3"/>
  <c r="A832" i="3"/>
  <c r="A833" i="3"/>
  <c r="A834" i="3"/>
  <c r="A835" i="3"/>
  <c r="A836" i="3"/>
  <c r="A837" i="3"/>
  <c r="A838" i="3"/>
  <c r="A839" i="3"/>
  <c r="A840" i="3"/>
  <c r="A841" i="3"/>
  <c r="A842" i="3"/>
  <c r="A843" i="3"/>
  <c r="A844" i="3"/>
  <c r="A845" i="3"/>
  <c r="A846" i="3"/>
  <c r="A847" i="3"/>
  <c r="A848" i="3"/>
  <c r="A849" i="3"/>
  <c r="A850" i="3"/>
  <c r="A851" i="3"/>
  <c r="A852" i="3"/>
  <c r="A853" i="3"/>
  <c r="A854" i="3"/>
  <c r="A855" i="3"/>
  <c r="A856" i="3"/>
  <c r="A857" i="3"/>
  <c r="A858" i="3"/>
  <c r="A859" i="3"/>
  <c r="A860" i="3"/>
  <c r="A861" i="3"/>
  <c r="A862" i="3"/>
  <c r="A863" i="3"/>
  <c r="A864" i="3"/>
  <c r="A865" i="3"/>
  <c r="A866" i="3"/>
  <c r="A867" i="3"/>
  <c r="A868" i="3"/>
  <c r="A869" i="3"/>
  <c r="A870" i="3"/>
  <c r="A871" i="3"/>
  <c r="A872" i="3"/>
  <c r="A873" i="3"/>
  <c r="A874" i="3"/>
  <c r="A875" i="3"/>
  <c r="A876" i="3"/>
  <c r="A877" i="3"/>
  <c r="A878" i="3"/>
  <c r="A879" i="3"/>
  <c r="A880" i="3"/>
  <c r="A881" i="3"/>
  <c r="A882" i="3"/>
  <c r="A883" i="3"/>
  <c r="A884" i="3"/>
  <c r="A885" i="3"/>
  <c r="A886" i="3"/>
  <c r="A887" i="3"/>
  <c r="A888" i="3"/>
  <c r="A889" i="3"/>
  <c r="A890" i="3"/>
  <c r="A891" i="3"/>
  <c r="A892" i="3"/>
  <c r="A893" i="3"/>
  <c r="A894" i="3"/>
  <c r="A895" i="3"/>
  <c r="A896" i="3"/>
  <c r="A897" i="3"/>
  <c r="A898" i="3"/>
  <c r="A899" i="3"/>
  <c r="A900" i="3"/>
  <c r="A901" i="3"/>
  <c r="A902" i="3"/>
  <c r="A903" i="3"/>
  <c r="A904" i="3"/>
  <c r="A905" i="3"/>
  <c r="A906" i="3"/>
  <c r="A907" i="3"/>
  <c r="A908" i="3"/>
  <c r="A909" i="3"/>
  <c r="A910" i="3"/>
  <c r="A911" i="3"/>
  <c r="A912" i="3"/>
  <c r="A913" i="3"/>
  <c r="A914" i="3"/>
  <c r="A915" i="3"/>
  <c r="A916" i="3"/>
  <c r="A917" i="3"/>
  <c r="A918" i="3"/>
  <c r="A919" i="3"/>
  <c r="A920" i="3"/>
  <c r="A921" i="3"/>
  <c r="A922" i="3"/>
  <c r="A923" i="3"/>
  <c r="A924" i="3"/>
  <c r="A925" i="3"/>
  <c r="A926" i="3"/>
  <c r="A927" i="3"/>
  <c r="A928" i="3"/>
  <c r="A929" i="3"/>
  <c r="A930" i="3"/>
  <c r="A931" i="3"/>
  <c r="A932" i="3"/>
  <c r="A933" i="3"/>
  <c r="A934" i="3"/>
  <c r="A935" i="3"/>
  <c r="A936" i="3"/>
  <c r="A937" i="3"/>
  <c r="A938" i="3"/>
  <c r="A939" i="3"/>
  <c r="A940" i="3"/>
  <c r="A941" i="3"/>
  <c r="A942" i="3"/>
  <c r="A943" i="3"/>
  <c r="A944" i="3"/>
  <c r="A945" i="3"/>
  <c r="A946" i="3"/>
  <c r="A947" i="3"/>
  <c r="A948" i="3"/>
  <c r="A949" i="3"/>
  <c r="A950" i="3"/>
  <c r="A951" i="3"/>
  <c r="A952" i="3"/>
  <c r="A953" i="3"/>
  <c r="A954" i="3"/>
  <c r="A955" i="3"/>
  <c r="A956" i="3"/>
  <c r="A957" i="3"/>
  <c r="A958" i="3"/>
  <c r="A959" i="3"/>
  <c r="A960" i="3"/>
  <c r="A961" i="3"/>
  <c r="A962" i="3"/>
  <c r="A963" i="3"/>
  <c r="A964" i="3"/>
  <c r="A965" i="3"/>
  <c r="A966" i="3"/>
  <c r="A967" i="3"/>
  <c r="A968" i="3"/>
  <c r="A969" i="3"/>
  <c r="A970" i="3"/>
  <c r="A971" i="3"/>
  <c r="A972" i="3"/>
  <c r="A973" i="3"/>
  <c r="A974" i="3"/>
  <c r="A975" i="3"/>
  <c r="A976" i="3"/>
  <c r="A977" i="3"/>
  <c r="A978" i="3"/>
  <c r="A979" i="3"/>
  <c r="A980" i="3"/>
  <c r="A981" i="3"/>
  <c r="A982" i="3"/>
  <c r="A983" i="3"/>
  <c r="A984" i="3"/>
  <c r="A985" i="3"/>
  <c r="A986" i="3"/>
  <c r="A987" i="3"/>
  <c r="A988" i="3"/>
  <c r="A989" i="3"/>
  <c r="A990" i="3"/>
  <c r="A991" i="3"/>
  <c r="A992" i="3"/>
  <c r="A993" i="3"/>
  <c r="A994" i="3"/>
  <c r="A995" i="3"/>
  <c r="A2" i="3"/>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P2" i="4" l="1"/>
  <c r="K3" i="4"/>
  <c r="B3" i="4"/>
  <c r="L3" i="4"/>
  <c r="C3" i="4"/>
  <c r="M3" i="4"/>
  <c r="E3" i="4"/>
  <c r="N3" i="4"/>
  <c r="F3" i="4"/>
  <c r="I3" i="4"/>
  <c r="J3" i="4"/>
  <c r="K2" i="4" l="1"/>
  <c r="I2" i="4"/>
  <c r="N2" i="4"/>
  <c r="M2" i="4"/>
  <c r="J2" i="4"/>
  <c r="L2" i="4"/>
  <c r="B2" i="4"/>
  <c r="F2" i="4"/>
  <c r="E2" i="4"/>
  <c r="C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75C80F-43CB-4D9C-ABC6-DD8B99CE880A}" keepAlive="1" name="Query - tblAssociates" description="Connection to the 'tblAssociates' query in the workbook." type="5" refreshedVersion="8" background="1" saveData="1">
    <dbPr connection="Provider=Microsoft.Mashup.OleDb.1;Data Source=$Workbook$;Location=tblAssociates;Extended Properties=&quot;&quot;" command="SELECT * FROM [tblAssociates]"/>
  </connection>
  <connection id="2" xr16:uid="{92CE2F8E-C529-4B1D-936A-0B03AA8424D4}" keepAlive="1" name="Query - tblDocketedComments" description="Connection to the 'tblDocketedComments' query in the workbook." type="5" refreshedVersion="8" background="1" saveData="1">
    <dbPr connection="Provider=Microsoft.Mashup.OleDb.1;Data Source=$Workbook$;Location=tblDocketedComments;Extended Properties=&quot;&quot;" command="SELECT * FROM [tblDocketedComment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<sst xmlns="http://schemas.openxmlformats.org/spreadsheetml/2006/main" count="55497" uniqueCount="5690">
  <si>
    <t>Date</t>
  </si>
  <si>
    <t>Last Name</t>
  </si>
  <si>
    <t>First Name</t>
  </si>
  <si>
    <t>City</t>
  </si>
  <si>
    <t>Zip code</t>
  </si>
  <si>
    <t>Issue / Complaint</t>
  </si>
  <si>
    <t>Docketed Consumer Comments</t>
  </si>
  <si>
    <t>Account #</t>
  </si>
  <si>
    <t>Rate Plan</t>
  </si>
  <si>
    <t>E3?</t>
  </si>
  <si>
    <t>MCP?</t>
  </si>
  <si>
    <t>Cust on MEP</t>
  </si>
  <si>
    <t>PA?</t>
  </si>
  <si>
    <t>Payoff Balance</t>
  </si>
  <si>
    <t>Team Reviewed</t>
  </si>
  <si>
    <t>Response Y(date)/N</t>
  </si>
  <si>
    <t>Last date of Account review</t>
  </si>
  <si>
    <t>Notes</t>
  </si>
  <si>
    <t>ACC Inquiry Sent to CA</t>
  </si>
  <si>
    <t>APS CA Referral</t>
  </si>
  <si>
    <t>Comments</t>
  </si>
  <si>
    <t>Include_Row</t>
  </si>
  <si>
    <t>Abidali</t>
  </si>
  <si>
    <t>Sanar</t>
  </si>
  <si>
    <t>Glendale</t>
  </si>
  <si>
    <t xml:space="preserve">Opposed </t>
  </si>
  <si>
    <t xml:space="preserve">https://images.edocket.azcc.gov/docketpdf/E000044112.pdf
</t>
  </si>
  <si>
    <t>Unable to Locate Acct</t>
  </si>
  <si>
    <t>Paulus</t>
  </si>
  <si>
    <t>Carl</t>
  </si>
  <si>
    <t>Unknown</t>
  </si>
  <si>
    <t>Opposed</t>
  </si>
  <si>
    <t>https://images.edocket.azcc.gov/docketpdf/E000044128.pdf</t>
  </si>
  <si>
    <t>Wall</t>
  </si>
  <si>
    <t>Rae</t>
  </si>
  <si>
    <t>https://images.edocket.azcc.gov/docketpdf/E000044126.pdf</t>
  </si>
  <si>
    <t>R3-47</t>
  </si>
  <si>
    <t>No</t>
  </si>
  <si>
    <t>Yes</t>
  </si>
  <si>
    <t>N</t>
  </si>
  <si>
    <t>Also filed 6/10, 6/12, 6/16</t>
  </si>
  <si>
    <t>Gwiazda</t>
  </si>
  <si>
    <t>Patricia</t>
  </si>
  <si>
    <t>Youngtown</t>
  </si>
  <si>
    <t>https://images.edocket.azcc.gov/docketpdf/E000044147.pdf</t>
  </si>
  <si>
    <t>2074850000</t>
  </si>
  <si>
    <t>RCPw/RTOUE47</t>
  </si>
  <si>
    <t>No - MEP is R3-47 ($65.13)</t>
  </si>
  <si>
    <t xml:space="preserve">MEP Annual Savings - $67.68 - Didn't Contact </t>
  </si>
  <si>
    <t>Phillips</t>
  </si>
  <si>
    <t>Crystal</t>
  </si>
  <si>
    <t xml:space="preserve">Young </t>
  </si>
  <si>
    <t>Beame</t>
  </si>
  <si>
    <t>Sndney</t>
  </si>
  <si>
    <t>Opposed/Senior/fixed income</t>
  </si>
  <si>
    <t>https://images.edocket.azcc.gov/docketpdf/E000044169.pdf</t>
  </si>
  <si>
    <t>8991140195</t>
  </si>
  <si>
    <t>R-BASICL</t>
  </si>
  <si>
    <t>No - MEP R3-47 ($192.78)</t>
  </si>
  <si>
    <t>11/03 - Customer agreed to change to their MEP</t>
  </si>
  <si>
    <t>Estimated savings $225.94/12 = $18.82 potential monthly savings on MEP</t>
  </si>
  <si>
    <t>Scoggins</t>
  </si>
  <si>
    <t>Troy</t>
  </si>
  <si>
    <t>Phoenix</t>
  </si>
  <si>
    <t>https://images.edocket.azcc.gov/docketpdf/E000044282.pdf</t>
  </si>
  <si>
    <t>Unable to locate account with name provided</t>
  </si>
  <si>
    <t>Nuccio</t>
  </si>
  <si>
    <t>Tina</t>
  </si>
  <si>
    <t>Cave Creek</t>
  </si>
  <si>
    <t>https://images.edocket.azcc.gov/docketpdf/E000044298.pdf</t>
  </si>
  <si>
    <t>Henkel</t>
  </si>
  <si>
    <t>Dean</t>
  </si>
  <si>
    <t>https://images.edocket.azcc.gov/docketpdf/E000044312.pdf</t>
  </si>
  <si>
    <t>R-XS</t>
  </si>
  <si>
    <t>Palmer</t>
  </si>
  <si>
    <t>William</t>
  </si>
  <si>
    <t>https://images.edocket.azcc.gov/docketpdf/E000044514.pdf</t>
  </si>
  <si>
    <t>Not able to locate specific account</t>
  </si>
  <si>
    <t>Paulsen</t>
  </si>
  <si>
    <t>Jodi</t>
  </si>
  <si>
    <t>7938430000</t>
  </si>
  <si>
    <t>EPR-6w/ET-1</t>
  </si>
  <si>
    <t>Not able to Compare</t>
  </si>
  <si>
    <t>Berto</t>
  </si>
  <si>
    <t>Kim &amp; Dave</t>
  </si>
  <si>
    <t>Chino Valley</t>
  </si>
  <si>
    <t>https://images.edocket.azcc.gov/docketpdf/E000044536.pdf</t>
  </si>
  <si>
    <t>Misamore</t>
  </si>
  <si>
    <t>Bruce</t>
  </si>
  <si>
    <t>Sedona</t>
  </si>
  <si>
    <t>Inactive Acct</t>
  </si>
  <si>
    <t>Shroyer</t>
  </si>
  <si>
    <t>Mary Lynne</t>
  </si>
  <si>
    <t>Sun City</t>
  </si>
  <si>
    <t>https://images.edocket.azcc.gov/docketpdf/E000044648.pdf</t>
  </si>
  <si>
    <t>Driscoll</t>
  </si>
  <si>
    <t>David &amp; Donna</t>
  </si>
  <si>
    <t>https://images.edocket.azcc.gov/docketpdf/E000044766.pdf</t>
  </si>
  <si>
    <t>6242500593</t>
  </si>
  <si>
    <t xml:space="preserve"> No - MEP R3-47($151.35)</t>
  </si>
  <si>
    <t>Prior ACC Complaint customer - Solar customer does not want to be on demand rate.</t>
  </si>
  <si>
    <t>Hix</t>
  </si>
  <si>
    <t>Debbie</t>
  </si>
  <si>
    <t>https://images.edocket.azcc.gov/docketpdf/E000044775.pdf
https://images.edocket.azcc.gov/docketpdf/E000044791.pdf</t>
  </si>
  <si>
    <t>Filed 2x on 6/16 (Thompson and Myers), Not able to locate specific account</t>
  </si>
  <si>
    <t>Montana</t>
  </si>
  <si>
    <t>Casitas</t>
  </si>
  <si>
    <t>https://images.edocket.azcc.gov/docketpdf/E000044777.pdf</t>
  </si>
  <si>
    <t>https://images.edocket.azcc.gov/docketpdf/E000044776.pdf</t>
  </si>
  <si>
    <t>Filed on 5/18 and 6/16</t>
  </si>
  <si>
    <t>Carpio</t>
  </si>
  <si>
    <t>Tania</t>
  </si>
  <si>
    <t>Surprise</t>
  </si>
  <si>
    <t>https://images.edocket.azcc.gov/docketpdf/E000044799.pdf</t>
  </si>
  <si>
    <t>Mansour</t>
  </si>
  <si>
    <t>Joe</t>
  </si>
  <si>
    <t xml:space="preserve">Neal </t>
  </si>
  <si>
    <t>Michelle</t>
  </si>
  <si>
    <t>1565756559</t>
  </si>
  <si>
    <t>Couillard</t>
  </si>
  <si>
    <t>Andre</t>
  </si>
  <si>
    <t>https://images.edocket.azcc.gov/docketpdf/E000044842.pdf</t>
  </si>
  <si>
    <t>Filed 2x on 6/18</t>
  </si>
  <si>
    <t>Witte</t>
  </si>
  <si>
    <t>Jessica</t>
  </si>
  <si>
    <t>Scottsdale</t>
  </si>
  <si>
    <t>R-BASIC</t>
  </si>
  <si>
    <t>Figueroa</t>
  </si>
  <si>
    <t>Enrique</t>
  </si>
  <si>
    <t>Gilbert</t>
  </si>
  <si>
    <t>Wheatley</t>
  </si>
  <si>
    <t>Heather</t>
  </si>
  <si>
    <t>Millbranth</t>
  </si>
  <si>
    <t>Mark</t>
  </si>
  <si>
    <t>Wilson</t>
  </si>
  <si>
    <t>John</t>
  </si>
  <si>
    <t>Carefree</t>
  </si>
  <si>
    <t>https://images.edocket.azcc.gov/docketpdf/E000044846.pdf</t>
  </si>
  <si>
    <t>Geyer</t>
  </si>
  <si>
    <t>Jared</t>
  </si>
  <si>
    <t>7528633936</t>
  </si>
  <si>
    <t xml:space="preserve">No </t>
  </si>
  <si>
    <t>No MEP R3-47 ($36.88)</t>
  </si>
  <si>
    <t>Estimated savings $37.01/12 = $3.08 potential monthly savings on MEP</t>
  </si>
  <si>
    <t>Snyder</t>
  </si>
  <si>
    <t>Steven</t>
  </si>
  <si>
    <t>4262494925</t>
  </si>
  <si>
    <t>No MEP R-XS ($110.29)</t>
  </si>
  <si>
    <t xml:space="preserve">11/03 - LM </t>
  </si>
  <si>
    <t>Estimated savings $43.66/12 = $3.63 potential monthly savings on MEP</t>
  </si>
  <si>
    <t>Buehler</t>
  </si>
  <si>
    <t>https://images.edocket.azcc.gov/docketpdf/E000044840.pdf</t>
  </si>
  <si>
    <t>Kaplan</t>
  </si>
  <si>
    <t>Wayne</t>
  </si>
  <si>
    <t>4273250000</t>
  </si>
  <si>
    <t>Delgado</t>
  </si>
  <si>
    <t>Amber</t>
  </si>
  <si>
    <t>8714231000</t>
  </si>
  <si>
    <t>Changed rate to MEP on 10/6</t>
  </si>
  <si>
    <t>Estimated savings $68.27/12 - $5.69 potential monthly savings on MEP</t>
  </si>
  <si>
    <t>Reyes</t>
  </si>
  <si>
    <t>Saporito</t>
  </si>
  <si>
    <t>Annette</t>
  </si>
  <si>
    <t>7980600000</t>
  </si>
  <si>
    <t xml:space="preserve">RTOUE47  </t>
  </si>
  <si>
    <t>No R3-47 ($439.74)</t>
  </si>
  <si>
    <t>Estimated savings $433.16/12 = $36.09 potential monthly savings on MEP</t>
  </si>
  <si>
    <t>Miller</t>
  </si>
  <si>
    <t>D</t>
  </si>
  <si>
    <t>Goodyear</t>
  </si>
  <si>
    <t>Opposed, thinks Budget billing is a scam</t>
  </si>
  <si>
    <t>https://images.edocket.azcc.gov/docketpdf/0000214768.pdf</t>
  </si>
  <si>
    <t>Gray</t>
  </si>
  <si>
    <t>Tim</t>
  </si>
  <si>
    <t>Buckeye</t>
  </si>
  <si>
    <t>https://images.edocket.azcc.gov/docketpdf/E000044863.pdf</t>
  </si>
  <si>
    <t>Garcia</t>
  </si>
  <si>
    <t>Amy</t>
  </si>
  <si>
    <t>Merlino</t>
  </si>
  <si>
    <t>Teri</t>
  </si>
  <si>
    <t>Escamilla</t>
  </si>
  <si>
    <t>Nephesh</t>
  </si>
  <si>
    <t>https://images.edocket.azcc.gov/docketpdf/E000044866.pdf</t>
  </si>
  <si>
    <t>van Dalen</t>
  </si>
  <si>
    <t>Danielle</t>
  </si>
  <si>
    <t>8025299133</t>
  </si>
  <si>
    <t>Crandall</t>
  </si>
  <si>
    <t>Rodreguez</t>
  </si>
  <si>
    <t>Alexis</t>
  </si>
  <si>
    <t>Schilling</t>
  </si>
  <si>
    <t xml:space="preserve">David  </t>
  </si>
  <si>
    <t>0799340889</t>
  </si>
  <si>
    <t>No-Mep R3-47($87.55)</t>
  </si>
  <si>
    <t>Luther</t>
  </si>
  <si>
    <t>Jonathan</t>
  </si>
  <si>
    <t>9229380000</t>
  </si>
  <si>
    <t>RTOUE47</t>
  </si>
  <si>
    <t>No-MEP R3-47($5.29)</t>
  </si>
  <si>
    <t>McKenzie</t>
  </si>
  <si>
    <t>Christine</t>
  </si>
  <si>
    <t>Porter</t>
  </si>
  <si>
    <t>Kristal</t>
  </si>
  <si>
    <t>Peoria</t>
  </si>
  <si>
    <t>7501590000</t>
  </si>
  <si>
    <t xml:space="preserve">Yes </t>
  </si>
  <si>
    <t>Fullerton</t>
  </si>
  <si>
    <t>Dale</t>
  </si>
  <si>
    <t>Gill</t>
  </si>
  <si>
    <t>Thomas</t>
  </si>
  <si>
    <t>Multiple Cust Found</t>
  </si>
  <si>
    <t>McGibbon</t>
  </si>
  <si>
    <t>Charles</t>
  </si>
  <si>
    <t>https://images.edocket.azcc.gov/docketpdf/E000044947.pdf</t>
  </si>
  <si>
    <t>4707610000</t>
  </si>
  <si>
    <t>Wolski</t>
  </si>
  <si>
    <t xml:space="preserve">Chris </t>
  </si>
  <si>
    <t>Ancha</t>
  </si>
  <si>
    <t>Bob</t>
  </si>
  <si>
    <t>https://images.edocket.azcc.gov/docketpdf/E000044979.pdf</t>
  </si>
  <si>
    <t>Sanchez</t>
  </si>
  <si>
    <t>Isabella</t>
  </si>
  <si>
    <t>https://images.edocket.azcc.gov/docketpdf/E000045059.pdf</t>
  </si>
  <si>
    <t>1164092226</t>
  </si>
  <si>
    <t>Estimated savings $42.27/12 = $3.52 potential monthly savings on MEP</t>
  </si>
  <si>
    <t>Hardy</t>
  </si>
  <si>
    <t>James</t>
  </si>
  <si>
    <t>https://images.edocket.azcc.gov/docketpdf/E000045067.pdf</t>
  </si>
  <si>
    <t>Franklin</t>
  </si>
  <si>
    <t>Jeff</t>
  </si>
  <si>
    <t>Hertzfield</t>
  </si>
  <si>
    <t>Carol</t>
  </si>
  <si>
    <t>https://images.edocket.azcc.gov/docketpdf/E000045130.pdf</t>
  </si>
  <si>
    <t>Beiser</t>
  </si>
  <si>
    <t>Antoinette</t>
  </si>
  <si>
    <t>https://images.edocket.azcc.gov/docketpdf/E000045169.pdf</t>
  </si>
  <si>
    <t>7150589750</t>
  </si>
  <si>
    <t>No MEP R3-47($267.12)</t>
  </si>
  <si>
    <t>11/03 - No answer and no voicemail</t>
  </si>
  <si>
    <t>Underwood</t>
  </si>
  <si>
    <t>Revis</t>
  </si>
  <si>
    <t>Litchfield Park</t>
  </si>
  <si>
    <t>https://images.edocket.azcc.gov/docketpdf/E000045209.pdf</t>
  </si>
  <si>
    <t>9558930000</t>
  </si>
  <si>
    <t>EPR-6w/E-12</t>
  </si>
  <si>
    <t>Info Not Avail</t>
  </si>
  <si>
    <t>Hacker</t>
  </si>
  <si>
    <t>Dennis</t>
  </si>
  <si>
    <t>Pole Attachments</t>
  </si>
  <si>
    <t>https://images.edocket.azcc.gov/docketpdf/E000045207.pdf</t>
  </si>
  <si>
    <t>7633370000</t>
  </si>
  <si>
    <t>RCPw/R3-47</t>
  </si>
  <si>
    <t>Dushoff</t>
  </si>
  <si>
    <t>Rachel</t>
  </si>
  <si>
    <t>Corrales, NM</t>
  </si>
  <si>
    <t>https://images.edocket.azcc.gov/docketpdf/E000045226.pdf</t>
  </si>
  <si>
    <t>Wiehl</t>
  </si>
  <si>
    <t>Sarah</t>
  </si>
  <si>
    <t>Opposed / Greed</t>
  </si>
  <si>
    <t>Rizzi</t>
  </si>
  <si>
    <t>https://images.edocket.azcc.gov/docketpdf/E000045267.pdf</t>
  </si>
  <si>
    <t>AMI Opt Out</t>
  </si>
  <si>
    <t>Prescott Valley</t>
  </si>
  <si>
    <t>Starr</t>
  </si>
  <si>
    <t>Valerie</t>
  </si>
  <si>
    <t>Payson</t>
  </si>
  <si>
    <t>https://images.edocket.azcc.gov/docketpdf/E000045309.pdf</t>
  </si>
  <si>
    <t>8135798464</t>
  </si>
  <si>
    <t>No MEP R3-47 ($337.28)</t>
  </si>
  <si>
    <t>Estimated savings $432.84/12 = $36.07 potential monthly savings on MEP</t>
  </si>
  <si>
    <t>Hill</t>
  </si>
  <si>
    <t>Teresa</t>
  </si>
  <si>
    <t>Senior/Fixed Income/ Data Centers</t>
  </si>
  <si>
    <t>https://images.edocket.azcc.gov/docketpdf/E000045376.pdf</t>
  </si>
  <si>
    <t>5307300000</t>
  </si>
  <si>
    <t>No MEP R-XS ($136.97)</t>
  </si>
  <si>
    <t>11/03 - Customer will callback at a more convenient time to discuss MEP</t>
  </si>
  <si>
    <t>Seabrook</t>
  </si>
  <si>
    <t>https://images.edocket.azcc.gov/docketpdf/E000045426.pdf</t>
  </si>
  <si>
    <t>3616936085</t>
  </si>
  <si>
    <t>No MEP R-BASIC ($170.13)</t>
  </si>
  <si>
    <t>Will be automatically reassigned soon</t>
  </si>
  <si>
    <t>Grube</t>
  </si>
  <si>
    <t>Get more nuclear online</t>
  </si>
  <si>
    <t>Sternberg</t>
  </si>
  <si>
    <t>Karen</t>
  </si>
  <si>
    <t>Comments are about water rates</t>
  </si>
  <si>
    <t>https://images.edocket.azcc.gov/docketpdf/E000045814.pdf</t>
  </si>
  <si>
    <t>4285810000</t>
  </si>
  <si>
    <t xml:space="preserve">R-XS </t>
  </si>
  <si>
    <t>Comments are about water rate increases</t>
  </si>
  <si>
    <t>Waterman</t>
  </si>
  <si>
    <t>Kathleen</t>
  </si>
  <si>
    <t>Coleman</t>
  </si>
  <si>
    <t>Maricopa</t>
  </si>
  <si>
    <t xml:space="preserve">Neutral </t>
  </si>
  <si>
    <t>https://images.edocket.azcc.gov/docketpdf/E000046007.pdf</t>
  </si>
  <si>
    <t>Hines</t>
  </si>
  <si>
    <t>Rohna</t>
  </si>
  <si>
    <t>https://images.edocket.azcc.gov/docketpdf/E000046100.pdf</t>
  </si>
  <si>
    <t>9376851000</t>
  </si>
  <si>
    <t>No MEP R-XS($77.28)</t>
  </si>
  <si>
    <t>Lovato</t>
  </si>
  <si>
    <t>Tiffany</t>
  </si>
  <si>
    <t>https://images.edocket.azcc.gov/docketpdf/E000046155.pdf</t>
  </si>
  <si>
    <t>DeLano</t>
  </si>
  <si>
    <t>opposed</t>
  </si>
  <si>
    <t>King</t>
  </si>
  <si>
    <t>Debra</t>
  </si>
  <si>
    <t>Wray</t>
  </si>
  <si>
    <t>Brett</t>
  </si>
  <si>
    <t>Form letter</t>
  </si>
  <si>
    <t>Read</t>
  </si>
  <si>
    <t>David</t>
  </si>
  <si>
    <t xml:space="preserve">Peoria </t>
  </si>
  <si>
    <t>First</t>
  </si>
  <si>
    <t>Lakisha</t>
  </si>
  <si>
    <t>Huynh</t>
  </si>
  <si>
    <t>Nam</t>
  </si>
  <si>
    <t xml:space="preserve">Walker </t>
  </si>
  <si>
    <t>Simmons</t>
  </si>
  <si>
    <t>Jennifer</t>
  </si>
  <si>
    <t>2882986476</t>
  </si>
  <si>
    <t>No MEP R3-47 ($61.45)</t>
  </si>
  <si>
    <t>Wood</t>
  </si>
  <si>
    <t>Ethan</t>
  </si>
  <si>
    <t>Keller</t>
  </si>
  <si>
    <t>7692260000</t>
  </si>
  <si>
    <t>Vint</t>
  </si>
  <si>
    <t>Shannon</t>
  </si>
  <si>
    <t>Corey</t>
  </si>
  <si>
    <t>6584830202</t>
  </si>
  <si>
    <t>No MEP R3-47 ($1,048.14)</t>
  </si>
  <si>
    <t xml:space="preserve">10/02 - LM </t>
  </si>
  <si>
    <t>Alexander</t>
  </si>
  <si>
    <t>Jacob</t>
  </si>
  <si>
    <t>Poe</t>
  </si>
  <si>
    <t>Leighton</t>
  </si>
  <si>
    <t>5855923100</t>
  </si>
  <si>
    <t>No MEP RTOUE47($74.06)</t>
  </si>
  <si>
    <t>Charapata</t>
  </si>
  <si>
    <t>Maxwell</t>
  </si>
  <si>
    <t>No-MEP R3-47(23.66)</t>
  </si>
  <si>
    <t>Lafond</t>
  </si>
  <si>
    <t>Ciara</t>
  </si>
  <si>
    <t>7245245699</t>
  </si>
  <si>
    <t>O'Gorman</t>
  </si>
  <si>
    <t>Erin</t>
  </si>
  <si>
    <t>644019886</t>
  </si>
  <si>
    <t>No-MEP R3-47($141.01)</t>
  </si>
  <si>
    <t>Lara</t>
  </si>
  <si>
    <t>Gerardo</t>
  </si>
  <si>
    <t>6799425771</t>
  </si>
  <si>
    <t>No MEP R3-47(249.30)</t>
  </si>
  <si>
    <t>10/02 - LM - COR initiated rate change to MEP on 10/23</t>
  </si>
  <si>
    <t>Howell</t>
  </si>
  <si>
    <t>Chris</t>
  </si>
  <si>
    <t>6635023227</t>
  </si>
  <si>
    <t>No MEP R3-47($2.91)</t>
  </si>
  <si>
    <t>Torres</t>
  </si>
  <si>
    <t>Kyle</t>
  </si>
  <si>
    <t>9505905227</t>
  </si>
  <si>
    <t>No MEP R3-47($18.99)</t>
  </si>
  <si>
    <t>Tighe</t>
  </si>
  <si>
    <t>Paul</t>
  </si>
  <si>
    <t>9937021000</t>
  </si>
  <si>
    <t>Ward</t>
  </si>
  <si>
    <t>7949496672</t>
  </si>
  <si>
    <t>Anderson</t>
  </si>
  <si>
    <t>Nash</t>
  </si>
  <si>
    <t>Destiny</t>
  </si>
  <si>
    <t>Chandler</t>
  </si>
  <si>
    <t>8712521000</t>
  </si>
  <si>
    <t>Wilkymacky</t>
  </si>
  <si>
    <t>Abby</t>
  </si>
  <si>
    <t>2584149193</t>
  </si>
  <si>
    <t>Melendez</t>
  </si>
  <si>
    <t>Jose</t>
  </si>
  <si>
    <t>3811821000</t>
  </si>
  <si>
    <t>No MEP R3-47 ($128.91)</t>
  </si>
  <si>
    <t>Crosbie</t>
  </si>
  <si>
    <t>0814350000</t>
  </si>
  <si>
    <t>Kong</t>
  </si>
  <si>
    <t>Joseph</t>
  </si>
  <si>
    <t>Tolinos</t>
  </si>
  <si>
    <t>Jacinta</t>
  </si>
  <si>
    <t>0050340630 </t>
  </si>
  <si>
    <t>Findley</t>
  </si>
  <si>
    <t>Moses</t>
  </si>
  <si>
    <t>7949331000</t>
  </si>
  <si>
    <t>Frozen Rate</t>
  </si>
  <si>
    <t>COR has spoken to CX several times in the last few weeks and been advised of assitance options and extended PA</t>
  </si>
  <si>
    <t>Schmidt</t>
  </si>
  <si>
    <t>Bryan</t>
  </si>
  <si>
    <t>4676231000</t>
  </si>
  <si>
    <t>Bernardi</t>
  </si>
  <si>
    <t>Patrick</t>
  </si>
  <si>
    <t xml:space="preserve">Prescott  </t>
  </si>
  <si>
    <t>6570141000</t>
  </si>
  <si>
    <t>Scharroo</t>
  </si>
  <si>
    <t>George</t>
  </si>
  <si>
    <t>6924836428</t>
  </si>
  <si>
    <t>Not eligible yet (needs 3 months)</t>
  </si>
  <si>
    <t>Nava</t>
  </si>
  <si>
    <t>Alfredo</t>
  </si>
  <si>
    <t>1717959515</t>
  </si>
  <si>
    <t>No MEP-R3-47($66.86)</t>
  </si>
  <si>
    <t>Hay</t>
  </si>
  <si>
    <t>Leanne</t>
  </si>
  <si>
    <t>1147845609</t>
  </si>
  <si>
    <t>No MEP R3-47($261.63)</t>
  </si>
  <si>
    <t>Harmon</t>
  </si>
  <si>
    <t>Austin</t>
  </si>
  <si>
    <t>Arizona City</t>
  </si>
  <si>
    <t>9462295527</t>
  </si>
  <si>
    <t>No MAEP R-BASIC($56.50)</t>
  </si>
  <si>
    <t>Mangerie</t>
  </si>
  <si>
    <t>Chelsea</t>
  </si>
  <si>
    <t>7850451000</t>
  </si>
  <si>
    <t>EPR-6w/ET-2</t>
  </si>
  <si>
    <t>Flores</t>
  </si>
  <si>
    <t>Ashley</t>
  </si>
  <si>
    <t>Farr</t>
  </si>
  <si>
    <t>Amanda</t>
  </si>
  <si>
    <t>No MEP R3-47(463.60)</t>
  </si>
  <si>
    <t>Healey</t>
  </si>
  <si>
    <t>Patrizia</t>
  </si>
  <si>
    <t>Mateos</t>
  </si>
  <si>
    <t>Melissa</t>
  </si>
  <si>
    <t>El Mirage</t>
  </si>
  <si>
    <t>Strauss</t>
  </si>
  <si>
    <t xml:space="preserve">N </t>
  </si>
  <si>
    <t>Campbell</t>
  </si>
  <si>
    <t>Bauman</t>
  </si>
  <si>
    <t>Raymie</t>
  </si>
  <si>
    <t>Bradley</t>
  </si>
  <si>
    <t>9091172317</t>
  </si>
  <si>
    <t>Frazier</t>
  </si>
  <si>
    <t>Brandon</t>
  </si>
  <si>
    <t>73064220000</t>
  </si>
  <si>
    <t>Hale</t>
  </si>
  <si>
    <t>Catherine</t>
  </si>
  <si>
    <t>3411891368</t>
  </si>
  <si>
    <t>Norton</t>
  </si>
  <si>
    <t>Colin</t>
  </si>
  <si>
    <t>4659820000</t>
  </si>
  <si>
    <t>No-MEP R3-47($453.80)</t>
  </si>
  <si>
    <t xml:space="preserve">10/2 Spoke with customer and provided information regarding MEP. He wanted to review the details online. Also provided the information is available on his bill each month. Offered our number if he had any questions. </t>
  </si>
  <si>
    <t>Rogers</t>
  </si>
  <si>
    <t>Wittmann</t>
  </si>
  <si>
    <t>Lindsey</t>
  </si>
  <si>
    <t>26172433356</t>
  </si>
  <si>
    <t>Herrmann</t>
  </si>
  <si>
    <t>Jeremiah</t>
  </si>
  <si>
    <t>Koduri</t>
  </si>
  <si>
    <t>Divya</t>
  </si>
  <si>
    <t>4242991952</t>
  </si>
  <si>
    <t>Cody</t>
  </si>
  <si>
    <t>2773271262</t>
  </si>
  <si>
    <t>Lyngaas</t>
  </si>
  <si>
    <t>Owen</t>
  </si>
  <si>
    <t>2371502355</t>
  </si>
  <si>
    <t>Peluso</t>
  </si>
  <si>
    <t>4056801020</t>
  </si>
  <si>
    <t>Scaminaci</t>
  </si>
  <si>
    <t>Todd</t>
  </si>
  <si>
    <t>6322573684</t>
  </si>
  <si>
    <t>Edgar</t>
  </si>
  <si>
    <t>Bailey</t>
  </si>
  <si>
    <t>Isaiah</t>
  </si>
  <si>
    <t>6460103590</t>
  </si>
  <si>
    <t>Nadolski</t>
  </si>
  <si>
    <t>Andrew</t>
  </si>
  <si>
    <t>4452990070</t>
  </si>
  <si>
    <t>Hernandex</t>
  </si>
  <si>
    <t>Aldo</t>
  </si>
  <si>
    <t>Vargo</t>
  </si>
  <si>
    <t xml:space="preserve">Daniel </t>
  </si>
  <si>
    <t xml:space="preserve">8999251000 </t>
  </si>
  <si>
    <t>Harding</t>
  </si>
  <si>
    <t>Anthony</t>
  </si>
  <si>
    <t>Wasserman</t>
  </si>
  <si>
    <t>Michael</t>
  </si>
  <si>
    <t>4048489946</t>
  </si>
  <si>
    <t>No MEP R3-47($123.47)</t>
  </si>
  <si>
    <t>10/9 - Left VM</t>
  </si>
  <si>
    <t>O'Toole</t>
  </si>
  <si>
    <t>Dan</t>
  </si>
  <si>
    <t>Nicosia</t>
  </si>
  <si>
    <t>Marcella</t>
  </si>
  <si>
    <t>1750915214</t>
  </si>
  <si>
    <t>Assaraf</t>
  </si>
  <si>
    <t>Sandy</t>
  </si>
  <si>
    <t>4133921000</t>
  </si>
  <si>
    <t>Roudette</t>
  </si>
  <si>
    <t>6230194725</t>
  </si>
  <si>
    <t>Assistance?</t>
  </si>
  <si>
    <t>Knorr</t>
  </si>
  <si>
    <t>Tyler</t>
  </si>
  <si>
    <t>Jones-Weinert</t>
  </si>
  <si>
    <t>Esho</t>
  </si>
  <si>
    <t>https://images.edocket.azcc.gov/docketpdf/0000215113.pdf</t>
  </si>
  <si>
    <t>2806465032</t>
  </si>
  <si>
    <t>Shuck</t>
  </si>
  <si>
    <t>Ken</t>
  </si>
  <si>
    <t>Flagstaff</t>
  </si>
  <si>
    <t>Would be a hardship</t>
  </si>
  <si>
    <t>https://images.edocket.azcc.gov/docketpdf/E000046190.pdf</t>
  </si>
  <si>
    <t>4871279597</t>
  </si>
  <si>
    <t>Gardner</t>
  </si>
  <si>
    <t>Karece</t>
  </si>
  <si>
    <t>4436732938</t>
  </si>
  <si>
    <t>No MEP R3-47($216.65)</t>
  </si>
  <si>
    <t>10/2 - Left VM</t>
  </si>
  <si>
    <t>Hampton</t>
  </si>
  <si>
    <t>5172470768</t>
  </si>
  <si>
    <t>Premjee</t>
  </si>
  <si>
    <t>Jayesh</t>
  </si>
  <si>
    <t>Financial burden</t>
  </si>
  <si>
    <t>4073651000</t>
  </si>
  <si>
    <t>No MEP R3-47($176.22)</t>
  </si>
  <si>
    <t>Spoke w/customer- he will think about it and either call back or change online</t>
  </si>
  <si>
    <t>Soledad</t>
  </si>
  <si>
    <t>Ramon</t>
  </si>
  <si>
    <t>Avondale</t>
  </si>
  <si>
    <t>6354570000</t>
  </si>
  <si>
    <t>Spanish preference customer</t>
  </si>
  <si>
    <t>Ramirez</t>
  </si>
  <si>
    <t>Apodaca</t>
  </si>
  <si>
    <t>Simpson</t>
  </si>
  <si>
    <t>Adam</t>
  </si>
  <si>
    <t>1541553890</t>
  </si>
  <si>
    <t>Marr</t>
  </si>
  <si>
    <t>Michaela</t>
  </si>
  <si>
    <t>9149301000</t>
  </si>
  <si>
    <t>Hatch</t>
  </si>
  <si>
    <t>Geoffrey</t>
  </si>
  <si>
    <t>8789670000</t>
  </si>
  <si>
    <t>Sutton</t>
  </si>
  <si>
    <t>Terry</t>
  </si>
  <si>
    <t>Casa Grande</t>
  </si>
  <si>
    <t>4665180000</t>
  </si>
  <si>
    <t>R-2</t>
  </si>
  <si>
    <t>Klein</t>
  </si>
  <si>
    <t>Christian</t>
  </si>
  <si>
    <t>9867756348</t>
  </si>
  <si>
    <t>Skinner</t>
  </si>
  <si>
    <t>Edward</t>
  </si>
  <si>
    <t>Desert</t>
  </si>
  <si>
    <t>Christopher</t>
  </si>
  <si>
    <t>Becker</t>
  </si>
  <si>
    <t>Nicholas</t>
  </si>
  <si>
    <t>4619651000</t>
  </si>
  <si>
    <t>Shoop</t>
  </si>
  <si>
    <t>Jordan</t>
  </si>
  <si>
    <t>0066499647</t>
  </si>
  <si>
    <t>Reta</t>
  </si>
  <si>
    <t>Nikki</t>
  </si>
  <si>
    <t>Bednarz</t>
  </si>
  <si>
    <t>Taylor</t>
  </si>
  <si>
    <t>4983424677</t>
  </si>
  <si>
    <t>No MEP R3-47($129.92)</t>
  </si>
  <si>
    <t>Left VM 10/03/2025</t>
  </si>
  <si>
    <t>Kovar</t>
  </si>
  <si>
    <t>No rate hikes</t>
  </si>
  <si>
    <t>5273951000</t>
  </si>
  <si>
    <t>Lamb</t>
  </si>
  <si>
    <t>2204984346</t>
  </si>
  <si>
    <t>Edwards</t>
  </si>
  <si>
    <t>Dylan</t>
  </si>
  <si>
    <t>Munuswamy</t>
  </si>
  <si>
    <t>Dinesh</t>
  </si>
  <si>
    <t>5930390000</t>
  </si>
  <si>
    <t>Mandloi</t>
  </si>
  <si>
    <t>Anurag</t>
  </si>
  <si>
    <t>1742331189</t>
  </si>
  <si>
    <t>Kelly</t>
  </si>
  <si>
    <t>9268845654</t>
  </si>
  <si>
    <t>Sahoo</t>
  </si>
  <si>
    <t>Prakash</t>
  </si>
  <si>
    <t>Does not support</t>
  </si>
  <si>
    <t>5872670000</t>
  </si>
  <si>
    <t>Lichtner</t>
  </si>
  <si>
    <t>1567963536</t>
  </si>
  <si>
    <t>No MEP R3-47($45.27)</t>
  </si>
  <si>
    <t>Linnane</t>
  </si>
  <si>
    <t>Betsy</t>
  </si>
  <si>
    <t>Pela</t>
  </si>
  <si>
    <t>Allison</t>
  </si>
  <si>
    <t>Punishing solar customers</t>
  </si>
  <si>
    <t>7770645738</t>
  </si>
  <si>
    <t>Elliston</t>
  </si>
  <si>
    <t>Juanita</t>
  </si>
  <si>
    <t>2931588244</t>
  </si>
  <si>
    <t>Kroytoro</t>
  </si>
  <si>
    <t>Eli</t>
  </si>
  <si>
    <t>5428778750</t>
  </si>
  <si>
    <t>McCallum</t>
  </si>
  <si>
    <t>Robert</t>
  </si>
  <si>
    <t xml:space="preserve">Cannot afford/retired </t>
  </si>
  <si>
    <t>9593560000</t>
  </si>
  <si>
    <t>Kontryn</t>
  </si>
  <si>
    <t xml:space="preserve">Sara </t>
  </si>
  <si>
    <t>3405320000</t>
  </si>
  <si>
    <t>No MEP R3-47($91.81)</t>
  </si>
  <si>
    <t>Petersen</t>
  </si>
  <si>
    <t>Bergstrom</t>
  </si>
  <si>
    <t>Shailey</t>
  </si>
  <si>
    <t>Apt electric bill is as high as her parent home in Tucson</t>
  </si>
  <si>
    <t>7477798096</t>
  </si>
  <si>
    <t>No MEP R-BASIC(170.69)</t>
  </si>
  <si>
    <t>Left VM 10/03/2025 - Will be automatically reassigned to Tier 2 soon</t>
  </si>
  <si>
    <t>Richard</t>
  </si>
  <si>
    <t>2605161000</t>
  </si>
  <si>
    <t>No Multiple SAs not on MEP</t>
  </si>
  <si>
    <t>Weaver</t>
  </si>
  <si>
    <t>Make data centers pay more not people who are struggling</t>
  </si>
  <si>
    <t>9938175305</t>
  </si>
  <si>
    <t>Gutierrez</t>
  </si>
  <si>
    <t>Francisco</t>
  </si>
  <si>
    <t>Yuma</t>
  </si>
  <si>
    <t>1560131000</t>
  </si>
  <si>
    <t>No MEP R3-47($92.74)</t>
  </si>
  <si>
    <t>Unable to leave VM- Mailbox full 10/03/25</t>
  </si>
  <si>
    <t>Buros</t>
  </si>
  <si>
    <t>Nicole</t>
  </si>
  <si>
    <t>Ramakrishnan</t>
  </si>
  <si>
    <t>Shyam Sundar</t>
  </si>
  <si>
    <t>Unnecessary financial strain</t>
  </si>
  <si>
    <t>9679340000</t>
  </si>
  <si>
    <t>Vandiver</t>
  </si>
  <si>
    <t>Kaneshea</t>
  </si>
  <si>
    <t>Already having a hard time affording electric bill</t>
  </si>
  <si>
    <t>5347487924</t>
  </si>
  <si>
    <t>Martin-Pinon</t>
  </si>
  <si>
    <t>Olivia</t>
  </si>
  <si>
    <t>Tempe</t>
  </si>
  <si>
    <t>Fajardo</t>
  </si>
  <si>
    <t>9687504618</t>
  </si>
  <si>
    <t>Mohapatra</t>
  </si>
  <si>
    <t>Sangram</t>
  </si>
  <si>
    <t>4557041000</t>
  </si>
  <si>
    <t>No MEP R3-47($197.05)</t>
  </si>
  <si>
    <t>Purohit</t>
  </si>
  <si>
    <t>Amit Kumar</t>
  </si>
  <si>
    <t>3105621000</t>
  </si>
  <si>
    <t>Valenzuela</t>
  </si>
  <si>
    <t>Elena</t>
  </si>
  <si>
    <t>Theis</t>
  </si>
  <si>
    <t>Madison</t>
  </si>
  <si>
    <t>49371600000</t>
  </si>
  <si>
    <t>Lee</t>
  </si>
  <si>
    <t>Have to choose between lights and groceries</t>
  </si>
  <si>
    <t>Davis</t>
  </si>
  <si>
    <t>Lance</t>
  </si>
  <si>
    <t>Hupka</t>
  </si>
  <si>
    <t>Tanner</t>
  </si>
  <si>
    <t>8701977261</t>
  </si>
  <si>
    <t>Lopez</t>
  </si>
  <si>
    <t>Brian</t>
  </si>
  <si>
    <t>Somerton</t>
  </si>
  <si>
    <t>Monopoly</t>
  </si>
  <si>
    <t>Chacon</t>
  </si>
  <si>
    <t>Luis</t>
  </si>
  <si>
    <t>Dims</t>
  </si>
  <si>
    <t xml:space="preserve">Cannot afford </t>
  </si>
  <si>
    <t>Coudriet</t>
  </si>
  <si>
    <t>Lise</t>
  </si>
  <si>
    <t xml:space="preserve">Will cause hardships </t>
  </si>
  <si>
    <t>5411325149</t>
  </si>
  <si>
    <t>No MEP R3-47(755.73)</t>
  </si>
  <si>
    <r>
      <t xml:space="preserve">Left VM 10/03/2025 - Initiated rate change to MEP on 10/10 </t>
    </r>
    <r>
      <rPr>
        <sz val="9"/>
        <color rgb="FFFF0000"/>
        <rFont val="Arial Nova Cond"/>
        <family val="2"/>
      </rPr>
      <t>- MAY NEED MORE ASSISTANCE</t>
    </r>
  </si>
  <si>
    <t>Murillo</t>
  </si>
  <si>
    <t>Deep</t>
  </si>
  <si>
    <t>Varun</t>
  </si>
  <si>
    <t>4664521000</t>
  </si>
  <si>
    <t>Skidmore</t>
  </si>
  <si>
    <t>Marie</t>
  </si>
  <si>
    <t>Not affordable</t>
  </si>
  <si>
    <t>1037080000</t>
  </si>
  <si>
    <t>Floyd</t>
  </si>
  <si>
    <t>Casey</t>
  </si>
  <si>
    <t>7246270000</t>
  </si>
  <si>
    <t>Chandrasekaran</t>
  </si>
  <si>
    <t>Vamsikrishna</t>
  </si>
  <si>
    <t>Families struggling/APS strong profits</t>
  </si>
  <si>
    <t>Jaime</t>
  </si>
  <si>
    <t>Johnson</t>
  </si>
  <si>
    <t>Rion</t>
  </si>
  <si>
    <t>Medeiros</t>
  </si>
  <si>
    <t>Morganstien</t>
  </si>
  <si>
    <t>Alan</t>
  </si>
  <si>
    <t>Citizens carrying cost of demand driven by data centers</t>
  </si>
  <si>
    <t xml:space="preserve">Gurram </t>
  </si>
  <si>
    <t>Tanooj Kumar Reddy</t>
  </si>
  <si>
    <t>7001761000</t>
  </si>
  <si>
    <t>No MEP R3-47($194.29)</t>
  </si>
  <si>
    <t>Vogt</t>
  </si>
  <si>
    <t>Gary</t>
  </si>
  <si>
    <t>Sun City West</t>
  </si>
  <si>
    <t>APS profits high/fixed income, will strain budget</t>
  </si>
  <si>
    <t>7345723859</t>
  </si>
  <si>
    <t>Edens</t>
  </si>
  <si>
    <t>Colleen</t>
  </si>
  <si>
    <t>Fixed income/don't raise it much</t>
  </si>
  <si>
    <t>McKnight</t>
  </si>
  <si>
    <t>Joshua</t>
  </si>
  <si>
    <t>Heck</t>
  </si>
  <si>
    <t>Traci</t>
  </si>
  <si>
    <t>Paying $100s for house at 80 degrees</t>
  </si>
  <si>
    <t>9712385989</t>
  </si>
  <si>
    <t>Karna</t>
  </si>
  <si>
    <t>Easton</t>
  </si>
  <si>
    <t>Greedy / inflation outpaces income increases</t>
  </si>
  <si>
    <t>Dhamotharan</t>
  </si>
  <si>
    <t>Madhavan</t>
  </si>
  <si>
    <t>6558990000</t>
  </si>
  <si>
    <t>Champion</t>
  </si>
  <si>
    <t>Vicki</t>
  </si>
  <si>
    <t>APS charges more than SRP</t>
  </si>
  <si>
    <t>Multiple Accounts</t>
  </si>
  <si>
    <t>RTOUE47//ET-2 W/EPR6</t>
  </si>
  <si>
    <t>No MEP R3-47 ($127.42)</t>
  </si>
  <si>
    <t xml:space="preserve">Ty </t>
  </si>
  <si>
    <t>8773518025</t>
  </si>
  <si>
    <t>filed 2x on this day</t>
  </si>
  <si>
    <t>Willett</t>
  </si>
  <si>
    <t>5425180000</t>
  </si>
  <si>
    <t>Navarrette</t>
  </si>
  <si>
    <t>Adriana</t>
  </si>
  <si>
    <t>Schwartz</t>
  </si>
  <si>
    <t>Doesn't deserve another rate increase</t>
  </si>
  <si>
    <t>0726041000</t>
  </si>
  <si>
    <t>Nance</t>
  </si>
  <si>
    <t>Stacy</t>
  </si>
  <si>
    <t>No more increases, already paycheck to paycheck</t>
  </si>
  <si>
    <t>2439620000</t>
  </si>
  <si>
    <t>Beatty</t>
  </si>
  <si>
    <t>Cottonwood</t>
  </si>
  <si>
    <t>Unacceptable financial burden</t>
  </si>
  <si>
    <t>0217135178</t>
  </si>
  <si>
    <t>Embrey</t>
  </si>
  <si>
    <t xml:space="preserve">Fixed income </t>
  </si>
  <si>
    <t>0110711000</t>
  </si>
  <si>
    <t>Oakley</t>
  </si>
  <si>
    <t>Abraham</t>
  </si>
  <si>
    <t>8799324553</t>
  </si>
  <si>
    <t>Grow</t>
  </si>
  <si>
    <t>Scott</t>
  </si>
  <si>
    <t>Bill has gone up every year</t>
  </si>
  <si>
    <t>0072923417</t>
  </si>
  <si>
    <t>Sillivan</t>
  </si>
  <si>
    <t>Negatively impact ability to pay bills</t>
  </si>
  <si>
    <t>Satawa</t>
  </si>
  <si>
    <t>6591717645</t>
  </si>
  <si>
    <t>Portillo</t>
  </si>
  <si>
    <t>Jesus</t>
  </si>
  <si>
    <t>Messner</t>
  </si>
  <si>
    <t>Matthew</t>
  </si>
  <si>
    <t>Data centers shouldn't be residents cross to bear</t>
  </si>
  <si>
    <t>7297283438</t>
  </si>
  <si>
    <t>Megan</t>
  </si>
  <si>
    <t>Barely afford it now</t>
  </si>
  <si>
    <t>Crowley</t>
  </si>
  <si>
    <t>Kendell</t>
  </si>
  <si>
    <t>5849875191</t>
  </si>
  <si>
    <t>N o MEP R-XS(136.68)</t>
  </si>
  <si>
    <t>Left VM 10/03/2025 - Initiated rate change on 10/19</t>
  </si>
  <si>
    <t>Wasylenko</t>
  </si>
  <si>
    <t>Emily</t>
  </si>
  <si>
    <t>8720343919</t>
  </si>
  <si>
    <t>Pernatozzi</t>
  </si>
  <si>
    <t>Lauren</t>
  </si>
  <si>
    <t xml:space="preserve">Data centers </t>
  </si>
  <si>
    <t>7849027455</t>
  </si>
  <si>
    <t>Hansen</t>
  </si>
  <si>
    <t>4225001000</t>
  </si>
  <si>
    <t>Millwee</t>
  </si>
  <si>
    <t>Elizabeth</t>
  </si>
  <si>
    <t>9240700000 </t>
  </si>
  <si>
    <t>Corona</t>
  </si>
  <si>
    <t>Samuel</t>
  </si>
  <si>
    <t>Reynnaud</t>
  </si>
  <si>
    <t xml:space="preserve">Gordon </t>
  </si>
  <si>
    <t>Martinez Valdez</t>
  </si>
  <si>
    <t>Diana</t>
  </si>
  <si>
    <t>Stop the rising prices</t>
  </si>
  <si>
    <t>Salameh</t>
  </si>
  <si>
    <t>Samira</t>
  </si>
  <si>
    <t>3462131000</t>
  </si>
  <si>
    <t>Carter</t>
  </si>
  <si>
    <t>Katie</t>
  </si>
  <si>
    <t>Huge burden /  limited income</t>
  </si>
  <si>
    <t>Kotagiri</t>
  </si>
  <si>
    <t>Sanjay</t>
  </si>
  <si>
    <t>4826470000 </t>
  </si>
  <si>
    <t>Kanch</t>
  </si>
  <si>
    <t>Abhi</t>
  </si>
  <si>
    <t>Benchwick</t>
  </si>
  <si>
    <t>Outrageous</t>
  </si>
  <si>
    <t xml:space="preserve">9797240000 </t>
  </si>
  <si>
    <t>Amoroso</t>
  </si>
  <si>
    <t>Terri</t>
  </si>
  <si>
    <t>4949150000 </t>
  </si>
  <si>
    <t>Berumen</t>
  </si>
  <si>
    <t>Justice</t>
  </si>
  <si>
    <t xml:space="preserve">Outraged </t>
  </si>
  <si>
    <t>7700448567 </t>
  </si>
  <si>
    <t>Michaud</t>
  </si>
  <si>
    <t>Nada</t>
  </si>
  <si>
    <t>Stop increasing rates</t>
  </si>
  <si>
    <t>Wellen</t>
  </si>
  <si>
    <t>Bev</t>
  </si>
  <si>
    <t>No more rate hikes</t>
  </si>
  <si>
    <t>6608972636 </t>
  </si>
  <si>
    <t>Brutinel</t>
  </si>
  <si>
    <t>Shea</t>
  </si>
  <si>
    <t>Prescott</t>
  </si>
  <si>
    <t>5797101000 </t>
  </si>
  <si>
    <t>Lipfert</t>
  </si>
  <si>
    <t xml:space="preserve">	9798231000</t>
  </si>
  <si>
    <t>Hozian</t>
  </si>
  <si>
    <t>Cathy</t>
  </si>
  <si>
    <t>APS is greedy and evil</t>
  </si>
  <si>
    <t xml:space="preserve">5733698031 </t>
  </si>
  <si>
    <t>Hendrickson</t>
  </si>
  <si>
    <t>Ria</t>
  </si>
  <si>
    <t xml:space="preserve">1391416918 </t>
  </si>
  <si>
    <t>Romanek</t>
  </si>
  <si>
    <t>5257583600 </t>
  </si>
  <si>
    <t>No MEP RTOUE ($45.35)</t>
  </si>
  <si>
    <t>Eddy</t>
  </si>
  <si>
    <t>Kaylah</t>
  </si>
  <si>
    <t>Selvaraj</t>
  </si>
  <si>
    <t>2484289538 </t>
  </si>
  <si>
    <t>LaFevre</t>
  </si>
  <si>
    <t>Ryan</t>
  </si>
  <si>
    <t>2318631000 </t>
  </si>
  <si>
    <t>Patel</t>
  </si>
  <si>
    <t>Kevin</t>
  </si>
  <si>
    <t>2287263111 </t>
  </si>
  <si>
    <t>No MEP R3-47($402.81)</t>
  </si>
  <si>
    <t>Johnston</t>
  </si>
  <si>
    <t>Kendra</t>
  </si>
  <si>
    <t>4330169654 </t>
  </si>
  <si>
    <t>Antonio</t>
  </si>
  <si>
    <t>7809411352 </t>
  </si>
  <si>
    <t>Gross</t>
  </si>
  <si>
    <t>Cindy</t>
  </si>
  <si>
    <t>1901940000 </t>
  </si>
  <si>
    <t>Gomez</t>
  </si>
  <si>
    <t>Amias</t>
  </si>
  <si>
    <t>Dubner</t>
  </si>
  <si>
    <t>Daren</t>
  </si>
  <si>
    <t>Struggling to pay bills &amp; to find renters willing to pay rates</t>
  </si>
  <si>
    <t>2344543728 </t>
  </si>
  <si>
    <t>Schroeder</t>
  </si>
  <si>
    <t>People are suffering financially</t>
  </si>
  <si>
    <t xml:space="preserve">4014511000 </t>
  </si>
  <si>
    <t>No MEP R3-47 ($369.17)</t>
  </si>
  <si>
    <t>COR made rate change on 9/18</t>
  </si>
  <si>
    <t>De Fina</t>
  </si>
  <si>
    <t>Ellana</t>
  </si>
  <si>
    <t>4400568112 </t>
  </si>
  <si>
    <t>No MEP R3-47($43.55)</t>
  </si>
  <si>
    <t xml:space="preserve">Hays </t>
  </si>
  <si>
    <t>Timoth</t>
  </si>
  <si>
    <t>0337770119 </t>
  </si>
  <si>
    <t>Ana</t>
  </si>
  <si>
    <t>Making it harder for middle class</t>
  </si>
  <si>
    <t>1084589454 </t>
  </si>
  <si>
    <t>Messmer</t>
  </si>
  <si>
    <t>Widow on limited income</t>
  </si>
  <si>
    <t xml:space="preserve">5131511000 </t>
  </si>
  <si>
    <t>No MEP R3-47($87.48)</t>
  </si>
  <si>
    <t>Harmes</t>
  </si>
  <si>
    <t>Kim</t>
  </si>
  <si>
    <t>Fixed income and august bill was $588</t>
  </si>
  <si>
    <t>8809578171 </t>
  </si>
  <si>
    <t>Crane</t>
  </si>
  <si>
    <t>Frank</t>
  </si>
  <si>
    <t>Anthem</t>
  </si>
  <si>
    <t>0138600000 </t>
  </si>
  <si>
    <t>No MEP RTOUE47($28.13)</t>
  </si>
  <si>
    <t>McReynolds</t>
  </si>
  <si>
    <t>9851454126 </t>
  </si>
  <si>
    <t>No MEP R3-47($158.60)</t>
  </si>
  <si>
    <t>Meraz</t>
  </si>
  <si>
    <t>Victor</t>
  </si>
  <si>
    <t>Already expensive enough</t>
  </si>
  <si>
    <t>Repaka</t>
  </si>
  <si>
    <t>Veerraju</t>
  </si>
  <si>
    <t>7113636850 </t>
  </si>
  <si>
    <t>No MEP R3-47($18.51)</t>
  </si>
  <si>
    <t>Rood</t>
  </si>
  <si>
    <t>Families struggling</t>
  </si>
  <si>
    <t>8707818706 </t>
  </si>
  <si>
    <t>Garrick</t>
  </si>
  <si>
    <t>Jacqueline</t>
  </si>
  <si>
    <t xml:space="preserve">6218364523 </t>
  </si>
  <si>
    <t>Zack</t>
  </si>
  <si>
    <t>Priess</t>
  </si>
  <si>
    <t>Felipe</t>
  </si>
  <si>
    <t>0014802989 </t>
  </si>
  <si>
    <t>Meyer</t>
  </si>
  <si>
    <t>Randell</t>
  </si>
  <si>
    <t>Opposed to FRM</t>
  </si>
  <si>
    <t>8729590000 </t>
  </si>
  <si>
    <t>Wetch</t>
  </si>
  <si>
    <t>Kristine</t>
  </si>
  <si>
    <t>Cannot afford if the rates go higher</t>
  </si>
  <si>
    <t>Farmer</t>
  </si>
  <si>
    <t>Eric</t>
  </si>
  <si>
    <t>5144511000 </t>
  </si>
  <si>
    <t>Deleon</t>
  </si>
  <si>
    <t>Doneen</t>
  </si>
  <si>
    <t>4233804978 </t>
  </si>
  <si>
    <t>Zuniga</t>
  </si>
  <si>
    <t>Dante</t>
  </si>
  <si>
    <t xml:space="preserve">3352572159 </t>
  </si>
  <si>
    <t>Hoffman</t>
  </si>
  <si>
    <t>Rebecca</t>
  </si>
  <si>
    <t>Bambulum</t>
  </si>
  <si>
    <t>Grace</t>
  </si>
  <si>
    <t>Globe</t>
  </si>
  <si>
    <t>3487507055 </t>
  </si>
  <si>
    <t>No MEP R-BASIC ($102.86)</t>
  </si>
  <si>
    <t>Gonzalez</t>
  </si>
  <si>
    <t>Kadence</t>
  </si>
  <si>
    <t>1028298226 </t>
  </si>
  <si>
    <t>No MEP R3-47($36.09)</t>
  </si>
  <si>
    <t>Brown</t>
  </si>
  <si>
    <t>Theodore</t>
  </si>
  <si>
    <t>3000474278 </t>
  </si>
  <si>
    <t>No MEP R-BASIC ($49.11)</t>
  </si>
  <si>
    <t>Cherukumilli</t>
  </si>
  <si>
    <t>Kameswar Naveen</t>
  </si>
  <si>
    <t>9689247354 </t>
  </si>
  <si>
    <t>Clasby</t>
  </si>
  <si>
    <t>Brendan</t>
  </si>
  <si>
    <t>4535728753 </t>
  </si>
  <si>
    <t>Roy</t>
  </si>
  <si>
    <t>Jackson</t>
  </si>
  <si>
    <t>6477491967 </t>
  </si>
  <si>
    <t>Pranesh</t>
  </si>
  <si>
    <t>Vinay</t>
  </si>
  <si>
    <t xml:space="preserve">0487982450 </t>
  </si>
  <si>
    <t>No MEP R-BASIC ($95.94)</t>
  </si>
  <si>
    <t>Cunico</t>
  </si>
  <si>
    <t>Shayla</t>
  </si>
  <si>
    <t>1080436652 </t>
  </si>
  <si>
    <t>Castre</t>
  </si>
  <si>
    <t>9868570000 </t>
  </si>
  <si>
    <t>No MEP R3-47($63.87)</t>
  </si>
  <si>
    <t>Jade</t>
  </si>
  <si>
    <t>9812684449 </t>
  </si>
  <si>
    <t>Rumery</t>
  </si>
  <si>
    <t>Ashlee</t>
  </si>
  <si>
    <t>7263223413 </t>
  </si>
  <si>
    <t>No MEP R3-47($20.52)</t>
  </si>
  <si>
    <t>Tobey</t>
  </si>
  <si>
    <t>5323810000 </t>
  </si>
  <si>
    <t>Patino</t>
  </si>
  <si>
    <t>Sean</t>
  </si>
  <si>
    <t>6377618578 </t>
  </si>
  <si>
    <t>Pugliese</t>
  </si>
  <si>
    <t>Jeffrey</t>
  </si>
  <si>
    <t>5100177684 </t>
  </si>
  <si>
    <t>Kolli</t>
  </si>
  <si>
    <t>Raquel</t>
  </si>
  <si>
    <t>Too high</t>
  </si>
  <si>
    <t>McChesney</t>
  </si>
  <si>
    <t>Unneeded money grab</t>
  </si>
  <si>
    <t>2213731000 </t>
  </si>
  <si>
    <t>7194070000 </t>
  </si>
  <si>
    <t>Rall</t>
  </si>
  <si>
    <t>Draeque</t>
  </si>
  <si>
    <t>3556070925 </t>
  </si>
  <si>
    <t>No MEP R-XS($104.50)</t>
  </si>
  <si>
    <t>Left VM 10/03/2025 - Will be automatically reassigned to Tier 1 soon</t>
  </si>
  <si>
    <t>Dandasi</t>
  </si>
  <si>
    <t>9646530000 </t>
  </si>
  <si>
    <t>Fargher</t>
  </si>
  <si>
    <t>9467621419 </t>
  </si>
  <si>
    <t>No MEP R-XS ($126.43)</t>
  </si>
  <si>
    <t>Will be automatically reassigned to Tier 1 soon</t>
  </si>
  <si>
    <t>Sutinen</t>
  </si>
  <si>
    <t>Family struggling to make ends meet</t>
  </si>
  <si>
    <t>4222480000 </t>
  </si>
  <si>
    <t>8800511000 </t>
  </si>
  <si>
    <t>Fix</t>
  </si>
  <si>
    <t>Cunningham</t>
  </si>
  <si>
    <t>Barbara</t>
  </si>
  <si>
    <t>Too much</t>
  </si>
  <si>
    <t>6965120000 </t>
  </si>
  <si>
    <t>Rakesh</t>
  </si>
  <si>
    <t>4144330000 </t>
  </si>
  <si>
    <t>Priya</t>
  </si>
  <si>
    <t>Vishnu</t>
  </si>
  <si>
    <t>Renberg</t>
  </si>
  <si>
    <t>7638863637 </t>
  </si>
  <si>
    <t>Pannila</t>
  </si>
  <si>
    <t>Samudi</t>
  </si>
  <si>
    <t>Stop being greedy</t>
  </si>
  <si>
    <t>8212166884 </t>
  </si>
  <si>
    <t>No MEP R-XS ($22.77)</t>
  </si>
  <si>
    <t xml:space="preserve">Angelsante </t>
  </si>
  <si>
    <t>Didier</t>
  </si>
  <si>
    <t>Laurel</t>
  </si>
  <si>
    <t>9811726626 </t>
  </si>
  <si>
    <t>Solar Partner Program</t>
  </si>
  <si>
    <t>Ranganathan</t>
  </si>
  <si>
    <t>Vengadesh</t>
  </si>
  <si>
    <t>2143830000 </t>
  </si>
  <si>
    <t>S</t>
  </si>
  <si>
    <t>Ben</t>
  </si>
  <si>
    <t xml:space="preserve">3322263490 </t>
  </si>
  <si>
    <t>Czyzewicz</t>
  </si>
  <si>
    <t>Savannah</t>
  </si>
  <si>
    <t>9099805696 </t>
  </si>
  <si>
    <t>Freeman</t>
  </si>
  <si>
    <t>Branden</t>
  </si>
  <si>
    <t xml:space="preserve">Breining </t>
  </si>
  <si>
    <t>7750680041 </t>
  </si>
  <si>
    <t>No MEP R-BASIC($196.33)</t>
  </si>
  <si>
    <t>Number not in service</t>
  </si>
  <si>
    <t>Rajkaran</t>
  </si>
  <si>
    <t>Rupesh</t>
  </si>
  <si>
    <t>7639960000 </t>
  </si>
  <si>
    <t>No MEP R-XS(19.31)</t>
  </si>
  <si>
    <t>2 SAs on account should be automatically reassigned to Tier 1 soon</t>
  </si>
  <si>
    <t>9798231000 </t>
  </si>
  <si>
    <t>Caldwell</t>
  </si>
  <si>
    <t>4834742574 </t>
  </si>
  <si>
    <t>Ollerton</t>
  </si>
  <si>
    <t>Senior / Fixed Income</t>
  </si>
  <si>
    <t>3713921000 </t>
  </si>
  <si>
    <t>Ohare</t>
  </si>
  <si>
    <t>Nukala</t>
  </si>
  <si>
    <t>Vijay</t>
  </si>
  <si>
    <t>8169892620 </t>
  </si>
  <si>
    <t>REV47</t>
  </si>
  <si>
    <t>Virigineni</t>
  </si>
  <si>
    <t>Udayakumar</t>
  </si>
  <si>
    <t>0539435347 </t>
  </si>
  <si>
    <t>Carrillo</t>
  </si>
  <si>
    <t>5702540000 </t>
  </si>
  <si>
    <t>Schmoldt</t>
  </si>
  <si>
    <t>Lia</t>
  </si>
  <si>
    <t>2813530000 </t>
  </si>
  <si>
    <t>Reber</t>
  </si>
  <si>
    <t>Brad</t>
  </si>
  <si>
    <t>4260226461 </t>
  </si>
  <si>
    <t>Sarocka</t>
  </si>
  <si>
    <t>Doninique</t>
  </si>
  <si>
    <t>Fountain Hills</t>
  </si>
  <si>
    <t>Greedy companies</t>
  </si>
  <si>
    <t>Osteen</t>
  </si>
  <si>
    <t>7175791215 </t>
  </si>
  <si>
    <t>No MEP R3-47($174.04)</t>
  </si>
  <si>
    <t xml:space="preserve">OBC 10/06/2025 COR declined changing to MEP </t>
  </si>
  <si>
    <t xml:space="preserve">Small </t>
  </si>
  <si>
    <t>Senior / everything is too much money</t>
  </si>
  <si>
    <t>4884885514 </t>
  </si>
  <si>
    <t>Swinson</t>
  </si>
  <si>
    <t>Tony</t>
  </si>
  <si>
    <t>6673831000 </t>
  </si>
  <si>
    <t>Kote</t>
  </si>
  <si>
    <t>Raghavendra</t>
  </si>
  <si>
    <t>7999643303 </t>
  </si>
  <si>
    <t>Chakka</t>
  </si>
  <si>
    <t>Sriramulu</t>
  </si>
  <si>
    <t>5909021014 </t>
  </si>
  <si>
    <t>No MEP R3-47(105.89)</t>
  </si>
  <si>
    <t>Left VM 10/06/2025// COR CB AND STATED HE WILL THINK ABOUT CHANGING PLANS</t>
  </si>
  <si>
    <t>Vasanthakumar</t>
  </si>
  <si>
    <t>Amar</t>
  </si>
  <si>
    <t>1040821177 </t>
  </si>
  <si>
    <t>Stopped services 10/27</t>
  </si>
  <si>
    <t>Nunez</t>
  </si>
  <si>
    <t>Maria</t>
  </si>
  <si>
    <t>6593130000 </t>
  </si>
  <si>
    <t>Calcaterra</t>
  </si>
  <si>
    <t>Drew</t>
  </si>
  <si>
    <t>3151454631 </t>
  </si>
  <si>
    <t>Jenkins</t>
  </si>
  <si>
    <t>Camille</t>
  </si>
  <si>
    <t>Spend more on electricity than food</t>
  </si>
  <si>
    <t>5982620000 </t>
  </si>
  <si>
    <t>Lawler</t>
  </si>
  <si>
    <t>Donna</t>
  </si>
  <si>
    <t>9823890000 </t>
  </si>
  <si>
    <t>Huskey</t>
  </si>
  <si>
    <t>Raymond</t>
  </si>
  <si>
    <t>Peter</t>
  </si>
  <si>
    <t>5408340000 </t>
  </si>
  <si>
    <t>Ikeler</t>
  </si>
  <si>
    <t>5195558690 </t>
  </si>
  <si>
    <t>No MEP R-BASIC ($40.75)</t>
  </si>
  <si>
    <t>Samuels</t>
  </si>
  <si>
    <t>Shaun</t>
  </si>
  <si>
    <t>8384335318 </t>
  </si>
  <si>
    <t>No MEP RTOUE ($2.35)</t>
  </si>
  <si>
    <t>Bahoura</t>
  </si>
  <si>
    <t>Jayne</t>
  </si>
  <si>
    <t>Bolanos</t>
  </si>
  <si>
    <t>Irene</t>
  </si>
  <si>
    <t>Have to choose between eating every day or paying bills</t>
  </si>
  <si>
    <t>Zagoryanu</t>
  </si>
  <si>
    <t>Marius</t>
  </si>
  <si>
    <t>4708815097 </t>
  </si>
  <si>
    <t>Phan</t>
  </si>
  <si>
    <t>Detrimental to many households</t>
  </si>
  <si>
    <t>Porchia</t>
  </si>
  <si>
    <t>Dominic</t>
  </si>
  <si>
    <t>Josh</t>
  </si>
  <si>
    <t>Niles</t>
  </si>
  <si>
    <t>Romero</t>
  </si>
  <si>
    <t>Cristobal</t>
  </si>
  <si>
    <t>3555354916 </t>
  </si>
  <si>
    <t>Chokkalingam</t>
  </si>
  <si>
    <t>Sankar</t>
  </si>
  <si>
    <t>Already paying huge amount</t>
  </si>
  <si>
    <t>1516066562 </t>
  </si>
  <si>
    <t>Khandelwal</t>
  </si>
  <si>
    <t>Vivek</t>
  </si>
  <si>
    <t>2602229474 </t>
  </si>
  <si>
    <t>Swanson</t>
  </si>
  <si>
    <t>Zachary</t>
  </si>
  <si>
    <t>4830007876 </t>
  </si>
  <si>
    <t>Vallinayagam</t>
  </si>
  <si>
    <t>Subramanian</t>
  </si>
  <si>
    <t>9391573388 </t>
  </si>
  <si>
    <t>Vivekananthan</t>
  </si>
  <si>
    <t>Amarnath</t>
  </si>
  <si>
    <t>Smith</t>
  </si>
  <si>
    <t>Greedy</t>
  </si>
  <si>
    <t>Nelson</t>
  </si>
  <si>
    <t>Opposed, struggling</t>
  </si>
  <si>
    <t>1731130049</t>
  </si>
  <si>
    <t>Trudell</t>
  </si>
  <si>
    <t>Stephanie</t>
  </si>
  <si>
    <t>No rate increase</t>
  </si>
  <si>
    <t>Scarano</t>
  </si>
  <si>
    <t>Nick</t>
  </si>
  <si>
    <t>5498445656 </t>
  </si>
  <si>
    <t>Shaikh</t>
  </si>
  <si>
    <t>Mohammed</t>
  </si>
  <si>
    <t>Ali</t>
  </si>
  <si>
    <t>Hawkins</t>
  </si>
  <si>
    <t>Sabrina</t>
  </si>
  <si>
    <t>Punishing residential property owners</t>
  </si>
  <si>
    <t>Brahmecha</t>
  </si>
  <si>
    <t>Swapnil</t>
  </si>
  <si>
    <t>Ponnoli</t>
  </si>
  <si>
    <t>Rukmini</t>
  </si>
  <si>
    <t>Opposed to rate increase</t>
  </si>
  <si>
    <t>8225159115 </t>
  </si>
  <si>
    <t>No MEP R3-47(226.25)</t>
  </si>
  <si>
    <t>Decided to change to R3-47</t>
  </si>
  <si>
    <t>Terwadkar</t>
  </si>
  <si>
    <t>Aniket</t>
  </si>
  <si>
    <t>4160660000 </t>
  </si>
  <si>
    <t>Thangavelu</t>
  </si>
  <si>
    <t>Nandha</t>
  </si>
  <si>
    <t>6149005878 </t>
  </si>
  <si>
    <t>Ruiz</t>
  </si>
  <si>
    <t>Berenice</t>
  </si>
  <si>
    <t>Negatively impact customers</t>
  </si>
  <si>
    <t>9366820000 </t>
  </si>
  <si>
    <t>No MEP R3-47 ($17.24)</t>
  </si>
  <si>
    <t>Ravikumar</t>
  </si>
  <si>
    <t>Vinoth Kumar</t>
  </si>
  <si>
    <t>Already suffering from job loss and tariff impact</t>
  </si>
  <si>
    <t>1735662106 </t>
  </si>
  <si>
    <t>No MEP R3-47(220.87)</t>
  </si>
  <si>
    <t>10/06/2025 Left VM, cor  conf he wants to change plans, reviewed other resources- e3,crisis,liheap,project share</t>
  </si>
  <si>
    <t>Dlugosz</t>
  </si>
  <si>
    <t>A</t>
  </si>
  <si>
    <t>Ganesan</t>
  </si>
  <si>
    <t>Mithu</t>
  </si>
  <si>
    <t>7495690000 </t>
  </si>
  <si>
    <t>No MEP R3-47($10.65)</t>
  </si>
  <si>
    <t>J</t>
  </si>
  <si>
    <t>Ramu</t>
  </si>
  <si>
    <t>No comment</t>
  </si>
  <si>
    <t xml:space="preserve">Martinez  </t>
  </si>
  <si>
    <t>Hardship</t>
  </si>
  <si>
    <t>1165327687 </t>
  </si>
  <si>
    <t>Syed</t>
  </si>
  <si>
    <t>Meherudding</t>
  </si>
  <si>
    <t>Jimenez</t>
  </si>
  <si>
    <t>Arilene</t>
  </si>
  <si>
    <t>4057601000 </t>
  </si>
  <si>
    <t>Singth</t>
  </si>
  <si>
    <t>Gaurav</t>
  </si>
  <si>
    <t>Robinson</t>
  </si>
  <si>
    <t>4421402302 </t>
  </si>
  <si>
    <t>Arfa</t>
  </si>
  <si>
    <t>Douglas</t>
  </si>
  <si>
    <t>Against any rate hike</t>
  </si>
  <si>
    <t>6442661000 </t>
  </si>
  <si>
    <t>Kalkowsli</t>
  </si>
  <si>
    <t>Chambers</t>
  </si>
  <si>
    <t>Dedra</t>
  </si>
  <si>
    <t>Waddell</t>
  </si>
  <si>
    <t>Greedy monopoly</t>
  </si>
  <si>
    <t>9399510000 </t>
  </si>
  <si>
    <t>4029770000 </t>
  </si>
  <si>
    <t>Kalra</t>
  </si>
  <si>
    <t>Kamini</t>
  </si>
  <si>
    <t>Faulkner</t>
  </si>
  <si>
    <t>Retired/Fixed income</t>
  </si>
  <si>
    <t>8289821000 </t>
  </si>
  <si>
    <t>Stephenson Nunes</t>
  </si>
  <si>
    <t>Heidi</t>
  </si>
  <si>
    <t>Households can't afford this</t>
  </si>
  <si>
    <t>4197620114 </t>
  </si>
  <si>
    <t>No MEP R3-47($104.12)</t>
  </si>
  <si>
    <t>10/06/2025 Left Vm</t>
  </si>
  <si>
    <t>Babcock</t>
  </si>
  <si>
    <t>Kristen</t>
  </si>
  <si>
    <t>5575896939 </t>
  </si>
  <si>
    <t>Welch</t>
  </si>
  <si>
    <t>Arthur</t>
  </si>
  <si>
    <t>Commercial users in data space should take on increase</t>
  </si>
  <si>
    <t>3482449172 </t>
  </si>
  <si>
    <t>Langdon</t>
  </si>
  <si>
    <t>Jamie</t>
  </si>
  <si>
    <t>7095896229 </t>
  </si>
  <si>
    <t>No MEP R3-47 (50.52</t>
  </si>
  <si>
    <t>Requiested rate change online 11/1</t>
  </si>
  <si>
    <t>Damm-O'Donnell</t>
  </si>
  <si>
    <t>Suzanne</t>
  </si>
  <si>
    <t>Cather</t>
  </si>
  <si>
    <t>6996682837 </t>
  </si>
  <si>
    <t>No MEP R3-47($163.02)</t>
  </si>
  <si>
    <t>10/06/2025Left VM -COR initiated rate change online 10/6</t>
  </si>
  <si>
    <t>Pfeil</t>
  </si>
  <si>
    <t>Carole</t>
  </si>
  <si>
    <t>Beyond what is affordable</t>
  </si>
  <si>
    <t>8783763808 </t>
  </si>
  <si>
    <t>Walsh</t>
  </si>
  <si>
    <t>Richell</t>
  </si>
  <si>
    <t>4613459862 </t>
  </si>
  <si>
    <t>No MEP R3-47($98.19)</t>
  </si>
  <si>
    <t>10/06/2025 Left VM</t>
  </si>
  <si>
    <t>Dicerni</t>
  </si>
  <si>
    <t>Nguyen</t>
  </si>
  <si>
    <t>Minh</t>
  </si>
  <si>
    <t>8501883965 </t>
  </si>
  <si>
    <t>Nacim</t>
  </si>
  <si>
    <t>3248157690 </t>
  </si>
  <si>
    <t>No MEP R3-47($184.81)</t>
  </si>
  <si>
    <t>8215139884 </t>
  </si>
  <si>
    <t>No MEP R3-47($80.80)</t>
  </si>
  <si>
    <t>Valencia</t>
  </si>
  <si>
    <t>5372451122 </t>
  </si>
  <si>
    <t>No MEP R-BASIC ($11.26)</t>
  </si>
  <si>
    <t>Junior</t>
  </si>
  <si>
    <t>Barton</t>
  </si>
  <si>
    <t>Bill $700 a month with AC at 83 right now</t>
  </si>
  <si>
    <t>3204790000 </t>
  </si>
  <si>
    <t>Filed ACC complaint regarding unbundled charges in 2021</t>
  </si>
  <si>
    <t>Obe</t>
  </si>
  <si>
    <t>Tirupati</t>
  </si>
  <si>
    <t>Kiran</t>
  </si>
  <si>
    <t>Maleno</t>
  </si>
  <si>
    <t>Ysbeck</t>
  </si>
  <si>
    <t>Katherine</t>
  </si>
  <si>
    <t>It is hard enough right now</t>
  </si>
  <si>
    <t>6591101000 </t>
  </si>
  <si>
    <t>Barnes</t>
  </si>
  <si>
    <t xml:space="preserve">Need to manage their costs </t>
  </si>
  <si>
    <t>7295561000 </t>
  </si>
  <si>
    <t>Sawant</t>
  </si>
  <si>
    <t>Ajay</t>
  </si>
  <si>
    <t>6697601000 </t>
  </si>
  <si>
    <t>Dautia</t>
  </si>
  <si>
    <t>Lark</t>
  </si>
  <si>
    <t>Can't afford high electric bills</t>
  </si>
  <si>
    <t>Samora</t>
  </si>
  <si>
    <t>8065380000 </t>
  </si>
  <si>
    <t>Layne</t>
  </si>
  <si>
    <t>Monopoly, break up company</t>
  </si>
  <si>
    <t>5257261000 </t>
  </si>
  <si>
    <t>Degado</t>
  </si>
  <si>
    <t>Bill is already high enough</t>
  </si>
  <si>
    <t>1461856288 </t>
  </si>
  <si>
    <t>Edala</t>
  </si>
  <si>
    <t>Suneel</t>
  </si>
  <si>
    <t>Bonnett</t>
  </si>
  <si>
    <t>9378830912 </t>
  </si>
  <si>
    <t>Ebel</t>
  </si>
  <si>
    <t>Lawrence</t>
  </si>
  <si>
    <t>5843594786 </t>
  </si>
  <si>
    <t>No MEP R3-47($216.68)</t>
  </si>
  <si>
    <t>Cor will review comp tool online and decide later</t>
  </si>
  <si>
    <t>Covarrubias</t>
  </si>
  <si>
    <t>Natalia</t>
  </si>
  <si>
    <t>San Luis</t>
  </si>
  <si>
    <t>Murphy</t>
  </si>
  <si>
    <t xml:space="preserve">Charles </t>
  </si>
  <si>
    <t>Wickenburg</t>
  </si>
  <si>
    <t>7667970000 </t>
  </si>
  <si>
    <t>Merkle</t>
  </si>
  <si>
    <t>Fielder</t>
  </si>
  <si>
    <t>Veronica</t>
  </si>
  <si>
    <t>6947951000 </t>
  </si>
  <si>
    <t>E3 questions?</t>
  </si>
  <si>
    <t>Habrouck</t>
  </si>
  <si>
    <t>Candace</t>
  </si>
  <si>
    <t>Robyn</t>
  </si>
  <si>
    <t>3660458784 </t>
  </si>
  <si>
    <t>No MEP R-BASIC ($33.40)</t>
  </si>
  <si>
    <t>Wells</t>
  </si>
  <si>
    <t>Bill already too high</t>
  </si>
  <si>
    <t>0519511958 </t>
  </si>
  <si>
    <t>Huston</t>
  </si>
  <si>
    <t>9840231734 </t>
  </si>
  <si>
    <t>10/3 requested rate change to REV</t>
  </si>
  <si>
    <t>Sobarzo</t>
  </si>
  <si>
    <t>April</t>
  </si>
  <si>
    <t>Moinet</t>
  </si>
  <si>
    <t>Alyssa</t>
  </si>
  <si>
    <t>Opposed (page 288)</t>
  </si>
  <si>
    <t>6393049300 </t>
  </si>
  <si>
    <t>MacPherson</t>
  </si>
  <si>
    <t>Denis</t>
  </si>
  <si>
    <t>5751430000 </t>
  </si>
  <si>
    <t>https://images.edocket.azcc.gov/docketpdf/E000046204.pdf</t>
  </si>
  <si>
    <t>4222480000</t>
  </si>
  <si>
    <t xml:space="preserve">Z </t>
  </si>
  <si>
    <t>Stebe</t>
  </si>
  <si>
    <t>Osorio</t>
  </si>
  <si>
    <t>Juan E &amp; Helen</t>
  </si>
  <si>
    <t>Retired/Hurt Financially</t>
  </si>
  <si>
    <t>2964440000</t>
  </si>
  <si>
    <t>Gregersen</t>
  </si>
  <si>
    <t>3208550000</t>
  </si>
  <si>
    <t>Hileman</t>
  </si>
  <si>
    <t>4748252186</t>
  </si>
  <si>
    <t>Townsend</t>
  </si>
  <si>
    <t>Shawna</t>
  </si>
  <si>
    <t>6860890000</t>
  </si>
  <si>
    <t>Darfus</t>
  </si>
  <si>
    <t xml:space="preserve">Doug </t>
  </si>
  <si>
    <t>Strain on family</t>
  </si>
  <si>
    <t>5790100875</t>
  </si>
  <si>
    <t>Whitney</t>
  </si>
  <si>
    <t>7818070439</t>
  </si>
  <si>
    <t>Berkowitz</t>
  </si>
  <si>
    <t>Lynn</t>
  </si>
  <si>
    <t>Haslett</t>
  </si>
  <si>
    <t>7464750000</t>
  </si>
  <si>
    <t>Pamela</t>
  </si>
  <si>
    <t>6497921796</t>
  </si>
  <si>
    <t>Sanders</t>
  </si>
  <si>
    <t>Cagle</t>
  </si>
  <si>
    <t>5132068013</t>
  </si>
  <si>
    <t>Duell</t>
  </si>
  <si>
    <t>3455401000</t>
  </si>
  <si>
    <t>Roberts</t>
  </si>
  <si>
    <t>Aria</t>
  </si>
  <si>
    <t>7983231354</t>
  </si>
  <si>
    <t>Schuit</t>
  </si>
  <si>
    <t>2243371013</t>
  </si>
  <si>
    <t>Zinn</t>
  </si>
  <si>
    <t>Extortion/Monopoly</t>
  </si>
  <si>
    <t>9340408913</t>
  </si>
  <si>
    <t>Zick-Heath</t>
  </si>
  <si>
    <t>Kathy</t>
  </si>
  <si>
    <t>Wolfe</t>
  </si>
  <si>
    <t>Phillip</t>
  </si>
  <si>
    <t>5986916429</t>
  </si>
  <si>
    <t>Losty</t>
  </si>
  <si>
    <t>Sheila</t>
  </si>
  <si>
    <t>Marz</t>
  </si>
  <si>
    <t>Illene</t>
  </si>
  <si>
    <t>Buruato</t>
  </si>
  <si>
    <t>Tolleson</t>
  </si>
  <si>
    <t>Fajaddo</t>
  </si>
  <si>
    <t>B</t>
  </si>
  <si>
    <t>Noelle</t>
  </si>
  <si>
    <t>Kukkapalli</t>
  </si>
  <si>
    <t>Vasu</t>
  </si>
  <si>
    <t>9875751000</t>
  </si>
  <si>
    <t>N MEP TOU-E ($165.17)</t>
  </si>
  <si>
    <t xml:space="preserve">COR switched to suggest RTOUE47 </t>
  </si>
  <si>
    <t>Sangeetha</t>
  </si>
  <si>
    <t>4425211190</t>
  </si>
  <si>
    <t>Jaiswal</t>
  </si>
  <si>
    <t>Karishma</t>
  </si>
  <si>
    <t>Gottipati</t>
  </si>
  <si>
    <t>Srinivasa</t>
  </si>
  <si>
    <t>6079940000</t>
  </si>
  <si>
    <t>No MEP R3-47 ($295.59)</t>
  </si>
  <si>
    <t>Penny</t>
  </si>
  <si>
    <t>Leigh</t>
  </si>
  <si>
    <t>4878430000</t>
  </si>
  <si>
    <t>Krishnamoorthy</t>
  </si>
  <si>
    <t>Prabhu</t>
  </si>
  <si>
    <t>Kilcup</t>
  </si>
  <si>
    <t>Myckenzie</t>
  </si>
  <si>
    <t>Koripella</t>
  </si>
  <si>
    <t>Ravi</t>
  </si>
  <si>
    <t>5835127577</t>
  </si>
  <si>
    <t>Kuppuswamy</t>
  </si>
  <si>
    <t>Balaji</t>
  </si>
  <si>
    <t>9757441000</t>
  </si>
  <si>
    <t>Not available yet</t>
  </si>
  <si>
    <t>COR requested rate change to R3-47 on 10/1</t>
  </si>
  <si>
    <t>Reddy</t>
  </si>
  <si>
    <t>Pavan</t>
  </si>
  <si>
    <t>Ziller</t>
  </si>
  <si>
    <t>7502531000</t>
  </si>
  <si>
    <t>No MEP R3-47 ($90.87)</t>
  </si>
  <si>
    <t>Rajasekharan</t>
  </si>
  <si>
    <t>Girish</t>
  </si>
  <si>
    <t>Rajan</t>
  </si>
  <si>
    <t>6050230000</t>
  </si>
  <si>
    <t>NA</t>
  </si>
  <si>
    <t>MEP does not appear on bill due to 'flagged for irregular usage' - Ashley is looking into it.</t>
  </si>
  <si>
    <t>Vanos</t>
  </si>
  <si>
    <t>Kimberly</t>
  </si>
  <si>
    <t>5719941000</t>
  </si>
  <si>
    <t>Arrowsmith</t>
  </si>
  <si>
    <t>Kelsey</t>
  </si>
  <si>
    <t>0987457107</t>
  </si>
  <si>
    <t>No MEP R3-47 ($701.02)</t>
  </si>
  <si>
    <t>10/6 Left VM</t>
  </si>
  <si>
    <t>Hina</t>
  </si>
  <si>
    <t>Yadav</t>
  </si>
  <si>
    <t>Ashish</t>
  </si>
  <si>
    <t>3043741000</t>
  </si>
  <si>
    <t>Ahmad</t>
  </si>
  <si>
    <t>Ammara</t>
  </si>
  <si>
    <t>1316621000</t>
  </si>
  <si>
    <t>No MEP R3-47 ($55.98)</t>
  </si>
  <si>
    <t>Chinta</t>
  </si>
  <si>
    <t>Bhavanishankar</t>
  </si>
  <si>
    <t>7992160000</t>
  </si>
  <si>
    <t>Rauschkolb</t>
  </si>
  <si>
    <t>4026025798</t>
  </si>
  <si>
    <t>No MEP R3-47 ($30.33)</t>
  </si>
  <si>
    <t>Justin</t>
  </si>
  <si>
    <t>6379311000</t>
  </si>
  <si>
    <t>Fugiel</t>
  </si>
  <si>
    <t>Kirsten</t>
  </si>
  <si>
    <t>0843128737</t>
  </si>
  <si>
    <t>Brower</t>
  </si>
  <si>
    <t>Randall</t>
  </si>
  <si>
    <t>3675324926</t>
  </si>
  <si>
    <t>Willems</t>
  </si>
  <si>
    <t>3143419434</t>
  </si>
  <si>
    <t>Shivachalianda Vijayakumar</t>
  </si>
  <si>
    <t>Pooja Ponnamma</t>
  </si>
  <si>
    <t>Panda</t>
  </si>
  <si>
    <t>Nishnu Prasad</t>
  </si>
  <si>
    <t>Anna</t>
  </si>
  <si>
    <t>Pradeep</t>
  </si>
  <si>
    <t>2624811000</t>
  </si>
  <si>
    <t>Albrecht</t>
  </si>
  <si>
    <t>Rivarde</t>
  </si>
  <si>
    <t>Renee</t>
  </si>
  <si>
    <t>4290041000</t>
  </si>
  <si>
    <t>Beierle</t>
  </si>
  <si>
    <t>Vladut</t>
  </si>
  <si>
    <t xml:space="preserve">White </t>
  </si>
  <si>
    <t>0187524477</t>
  </si>
  <si>
    <t>Vidyasahar</t>
  </si>
  <si>
    <t>Prasad</t>
  </si>
  <si>
    <t>Boersma</t>
  </si>
  <si>
    <t>Patti</t>
  </si>
  <si>
    <t>6966001000</t>
  </si>
  <si>
    <t>Arpaia</t>
  </si>
  <si>
    <t>Mary</t>
  </si>
  <si>
    <t>1842320000</t>
  </si>
  <si>
    <t>No MEP R3-47 ($165.42)</t>
  </si>
  <si>
    <t>Pandit</t>
  </si>
  <si>
    <t>Najaraj</t>
  </si>
  <si>
    <t>4348840000</t>
  </si>
  <si>
    <t>Erra</t>
  </si>
  <si>
    <t>Mohan</t>
  </si>
  <si>
    <t>3553261000</t>
  </si>
  <si>
    <t>No MEP R3-47 ($86.44)</t>
  </si>
  <si>
    <t>Mallory</t>
  </si>
  <si>
    <t>Evan</t>
  </si>
  <si>
    <t>1080850989</t>
  </si>
  <si>
    <t>RCPw/R-2</t>
  </si>
  <si>
    <t>Stanley</t>
  </si>
  <si>
    <t>Alesia</t>
  </si>
  <si>
    <t>5784101000</t>
  </si>
  <si>
    <t>No MEP R3-47 ($159.25)</t>
  </si>
  <si>
    <t>Kuri</t>
  </si>
  <si>
    <t>8302625379</t>
  </si>
  <si>
    <t>Gonuguntla</t>
  </si>
  <si>
    <t>Gopinath</t>
  </si>
  <si>
    <t>Mahato</t>
  </si>
  <si>
    <t>Partha</t>
  </si>
  <si>
    <t>0364421000</t>
  </si>
  <si>
    <t>Klug</t>
  </si>
  <si>
    <t>Cameron</t>
  </si>
  <si>
    <t>2046439451</t>
  </si>
  <si>
    <t>Cuadras</t>
  </si>
  <si>
    <t>JoVon</t>
  </si>
  <si>
    <t>3862538912</t>
  </si>
  <si>
    <t>No MEP R3-47 ($348.67)</t>
  </si>
  <si>
    <t>10/6 Spoke with customer, he's interested to learn more and wanted to review his online account. Offered our phone number if he'd like to discuss it further.</t>
  </si>
  <si>
    <t>Monteleone</t>
  </si>
  <si>
    <t>Opposed/will cause hardships</t>
  </si>
  <si>
    <t>0974119043</t>
  </si>
  <si>
    <t>N MEP R3-47 ($273.17)</t>
  </si>
  <si>
    <t>Moosman</t>
  </si>
  <si>
    <t>Louis-Jacques</t>
  </si>
  <si>
    <t>Melanie</t>
  </si>
  <si>
    <t>Pahuja</t>
  </si>
  <si>
    <t>Himanshu</t>
  </si>
  <si>
    <t>8849042993</t>
  </si>
  <si>
    <t>No MEP R3-47 ($461.51)</t>
  </si>
  <si>
    <t>Bedadala</t>
  </si>
  <si>
    <t>Harinatha</t>
  </si>
  <si>
    <t>1275245123</t>
  </si>
  <si>
    <t>Clow</t>
  </si>
  <si>
    <t>4095200000</t>
  </si>
  <si>
    <t>No MEP R3-47 ($517.20)</t>
  </si>
  <si>
    <t>10/6 Tried to leave VM - mailbox full, 11/12 tried again and number is not in service</t>
  </si>
  <si>
    <t>Chintalapuri</t>
  </si>
  <si>
    <t>0616290000 </t>
  </si>
  <si>
    <t>RCPw/REV47</t>
  </si>
  <si>
    <t xml:space="preserve">Ram </t>
  </si>
  <si>
    <t>Ajit Kumar</t>
  </si>
  <si>
    <t>2174790000 </t>
  </si>
  <si>
    <t>Jaycox</t>
  </si>
  <si>
    <t>Sharon</t>
  </si>
  <si>
    <t>Opposed/Households struggling</t>
  </si>
  <si>
    <t>1040090000 </t>
  </si>
  <si>
    <t>Noriega</t>
  </si>
  <si>
    <t>Mario</t>
  </si>
  <si>
    <t>Opposed/pure greed</t>
  </si>
  <si>
    <t>2426870000 </t>
  </si>
  <si>
    <t>Hogan</t>
  </si>
  <si>
    <t>7393110000 </t>
  </si>
  <si>
    <t>Sonnentag</t>
  </si>
  <si>
    <t xml:space="preserve">Shawn </t>
  </si>
  <si>
    <t>Peeples Valley</t>
  </si>
  <si>
    <t>1130640000 </t>
  </si>
  <si>
    <t>Stenzel</t>
  </si>
  <si>
    <t>LeRoy</t>
  </si>
  <si>
    <t>4161750000 </t>
  </si>
  <si>
    <t>Ellis</t>
  </si>
  <si>
    <t>Strongly against</t>
  </si>
  <si>
    <t>McDonale</t>
  </si>
  <si>
    <t>Ellyn</t>
  </si>
  <si>
    <t>Form Letter</t>
  </si>
  <si>
    <t>Neukom</t>
  </si>
  <si>
    <t xml:space="preserve">David </t>
  </si>
  <si>
    <t xml:space="preserve">Senior/Fixed Income </t>
  </si>
  <si>
    <t>9230683411 </t>
  </si>
  <si>
    <t>No MEP R3-47($173.42)</t>
  </si>
  <si>
    <t>Niehaus</t>
  </si>
  <si>
    <t>8465277693 </t>
  </si>
  <si>
    <t>No MEP R3-47($281.20)</t>
  </si>
  <si>
    <t>Carlson</t>
  </si>
  <si>
    <t>Lorri</t>
  </si>
  <si>
    <t>2414554339 </t>
  </si>
  <si>
    <t>Sather</t>
  </si>
  <si>
    <t>Vance</t>
  </si>
  <si>
    <t>6810195712 </t>
  </si>
  <si>
    <t>Prather</t>
  </si>
  <si>
    <t>0800411000 </t>
  </si>
  <si>
    <t>Maldonado</t>
  </si>
  <si>
    <t>Sebastian</t>
  </si>
  <si>
    <t>7131023762 </t>
  </si>
  <si>
    <t>No MEP R-BASIC($219.04)</t>
  </si>
  <si>
    <t>Sidney</t>
  </si>
  <si>
    <t>1733200000 </t>
  </si>
  <si>
    <t>R-2 SOLAR PARTNER</t>
  </si>
  <si>
    <t>Benkert</t>
  </si>
  <si>
    <t>Jess</t>
  </si>
  <si>
    <t>9697522299 </t>
  </si>
  <si>
    <t>Lukson</t>
  </si>
  <si>
    <t>Fred &amp; Carolyn</t>
  </si>
  <si>
    <t>1405160798</t>
  </si>
  <si>
    <t>Williams</t>
  </si>
  <si>
    <t>Nichole</t>
  </si>
  <si>
    <t>4130294914</t>
  </si>
  <si>
    <t>Y</t>
  </si>
  <si>
    <t>Malladi</t>
  </si>
  <si>
    <t>Ravindranath</t>
  </si>
  <si>
    <t>9555640000</t>
  </si>
  <si>
    <t>Padurang</t>
  </si>
  <si>
    <t>Sainath</t>
  </si>
  <si>
    <t>Falkenberg</t>
  </si>
  <si>
    <t>https://images.edocket.azcc.gov/docketpdf/E000046206.pdf</t>
  </si>
  <si>
    <t>6512865567 </t>
  </si>
  <si>
    <t>Bucklin</t>
  </si>
  <si>
    <t>Kathryn</t>
  </si>
  <si>
    <t>6910890000 </t>
  </si>
  <si>
    <t>8043001000 </t>
  </si>
  <si>
    <t>Nordhaugen</t>
  </si>
  <si>
    <t>Kristian</t>
  </si>
  <si>
    <t>3995860000 </t>
  </si>
  <si>
    <t>No MEP R3-47($65.32)</t>
  </si>
  <si>
    <t>Tridle</t>
  </si>
  <si>
    <t>Opposed/fixed income</t>
  </si>
  <si>
    <t>7251710000 </t>
  </si>
  <si>
    <t>Nathaniel</t>
  </si>
  <si>
    <t>Adler</t>
  </si>
  <si>
    <t>Outlandish/Opposed</t>
  </si>
  <si>
    <t>1346040000 </t>
  </si>
  <si>
    <t>Hollander</t>
  </si>
  <si>
    <t>4329109684 </t>
  </si>
  <si>
    <t>No MEP R3-47($10.54)</t>
  </si>
  <si>
    <t>Granado</t>
  </si>
  <si>
    <t>Isabel</t>
  </si>
  <si>
    <t>Eloy</t>
  </si>
  <si>
    <t>Horta</t>
  </si>
  <si>
    <t>Emilio</t>
  </si>
  <si>
    <t>8400273014 </t>
  </si>
  <si>
    <t>Tremblay</t>
  </si>
  <si>
    <t>No MEP R-XS ($209.15)</t>
  </si>
  <si>
    <t xml:space="preserve">10/10 - Spoke to customer about MEP - will review online before deciding to switch </t>
  </si>
  <si>
    <t>Skiff</t>
  </si>
  <si>
    <t>Alaura</t>
  </si>
  <si>
    <t>Opposed, just had a rate increase</t>
  </si>
  <si>
    <t>4420690000 </t>
  </si>
  <si>
    <t>Bates</t>
  </si>
  <si>
    <t>DeFilippo</t>
  </si>
  <si>
    <t>Michele</t>
  </si>
  <si>
    <t>Householder</t>
  </si>
  <si>
    <t>Too high of an increase</t>
  </si>
  <si>
    <t>1367611000 </t>
  </si>
  <si>
    <t>No MEP R-BASIC($60.78)</t>
  </si>
  <si>
    <t>Macias</t>
  </si>
  <si>
    <t>Alicia</t>
  </si>
  <si>
    <t>Rates high enough</t>
  </si>
  <si>
    <t>Cyr</t>
  </si>
  <si>
    <t>Malachi</t>
  </si>
  <si>
    <t>Krogmann</t>
  </si>
  <si>
    <t>Rachael</t>
  </si>
  <si>
    <t>2508401000 </t>
  </si>
  <si>
    <t>4048489946 </t>
  </si>
  <si>
    <t>Marvella</t>
  </si>
  <si>
    <t>5865680000 </t>
  </si>
  <si>
    <t>Springer</t>
  </si>
  <si>
    <t>5145361000 </t>
  </si>
  <si>
    <t>Gillihan</t>
  </si>
  <si>
    <t>Julie</t>
  </si>
  <si>
    <t>2236812917 </t>
  </si>
  <si>
    <t>Frances</t>
  </si>
  <si>
    <t>3472511000 </t>
  </si>
  <si>
    <t>Srinivasan</t>
  </si>
  <si>
    <t>Karthikeyan</t>
  </si>
  <si>
    <t>5649900000 </t>
  </si>
  <si>
    <t>No MEP R3-47($156.54)</t>
  </si>
  <si>
    <t>10/9 - Account  has already been changed to MEP before call was made</t>
  </si>
  <si>
    <t>Powers</t>
  </si>
  <si>
    <t>Fox</t>
  </si>
  <si>
    <t>Noah</t>
  </si>
  <si>
    <t>5729136090 </t>
  </si>
  <si>
    <t>Ahern</t>
  </si>
  <si>
    <t>Devin</t>
  </si>
  <si>
    <t>4235588313 </t>
  </si>
  <si>
    <t>Parsons</t>
  </si>
  <si>
    <t>2531312124 </t>
  </si>
  <si>
    <t>Gervasio</t>
  </si>
  <si>
    <t>Pedro</t>
  </si>
  <si>
    <t>1657964605 </t>
  </si>
  <si>
    <t>Aboud</t>
  </si>
  <si>
    <t>7283731000 </t>
  </si>
  <si>
    <t>Pederson</t>
  </si>
  <si>
    <t>Halie</t>
  </si>
  <si>
    <t xml:space="preserve">1772154718 </t>
  </si>
  <si>
    <t>Swift</t>
  </si>
  <si>
    <t>Bill</t>
  </si>
  <si>
    <t>Stinson</t>
  </si>
  <si>
    <t>5106490000 </t>
  </si>
  <si>
    <t>Assistance</t>
  </si>
  <si>
    <t>Bishop</t>
  </si>
  <si>
    <t>Rebert</t>
  </si>
  <si>
    <t xml:space="preserve">9474035507 </t>
  </si>
  <si>
    <t>No MEP R-XS( $250.58)</t>
  </si>
  <si>
    <t>Gram</t>
  </si>
  <si>
    <t xml:space="preserve">7135590000 </t>
  </si>
  <si>
    <t>Multiple SAs</t>
  </si>
  <si>
    <t>Marshall</t>
  </si>
  <si>
    <t>Allen</t>
  </si>
  <si>
    <t xml:space="preserve">4997806847 </t>
  </si>
  <si>
    <t>No MEP R3-47($36.70)</t>
  </si>
  <si>
    <t>Liddell</t>
  </si>
  <si>
    <t>Lianne</t>
  </si>
  <si>
    <t xml:space="preserve">3244078434 </t>
  </si>
  <si>
    <t>Vestl</t>
  </si>
  <si>
    <t xml:space="preserve">Sun City </t>
  </si>
  <si>
    <t>Rees</t>
  </si>
  <si>
    <t xml:space="preserve">8166327537 </t>
  </si>
  <si>
    <t>Vestal</t>
  </si>
  <si>
    <t xml:space="preserve">4308401000 </t>
  </si>
  <si>
    <t>Opposed, usage is not high, it is normal in AZ extreme climate</t>
  </si>
  <si>
    <t xml:space="preserve">2166343167 </t>
  </si>
  <si>
    <t>No MEP R3-47 ($888.73)</t>
  </si>
  <si>
    <t>Coble</t>
  </si>
  <si>
    <t>https://images.edocket.azcc.gov/docketpdf/E000046198.pdf</t>
  </si>
  <si>
    <t>Wallace</t>
  </si>
  <si>
    <t>Raetta</t>
  </si>
  <si>
    <t>https://images.edocket.azcc.gov/docketpdf/E000046196.pdf</t>
  </si>
  <si>
    <t>Moore</t>
  </si>
  <si>
    <t>Mike</t>
  </si>
  <si>
    <t>Alvarez</t>
  </si>
  <si>
    <t>Melody</t>
  </si>
  <si>
    <t>Woehl</t>
  </si>
  <si>
    <t>Timothy</t>
  </si>
  <si>
    <t>No MEP R3-47(630.50)</t>
  </si>
  <si>
    <t>Belt</t>
  </si>
  <si>
    <t>Steve</t>
  </si>
  <si>
    <t>Beall</t>
  </si>
  <si>
    <t>Gus</t>
  </si>
  <si>
    <t>Also filed this notice https://images.edocket.azcc.gov/docketpdf/E000046202.pdf</t>
  </si>
  <si>
    <t>McLeod</t>
  </si>
  <si>
    <t>Hereford</t>
  </si>
  <si>
    <t>Manning</t>
  </si>
  <si>
    <t>https://images.edocket.azcc.gov/docketpdf/E000046212.pdf</t>
  </si>
  <si>
    <t>Mannella</t>
  </si>
  <si>
    <t>https://images.edocket.azcc.gov/docketpdf/E000046230.pdf</t>
  </si>
  <si>
    <t>Monaco</t>
  </si>
  <si>
    <t>Carpenter</t>
  </si>
  <si>
    <t>Bonny</t>
  </si>
  <si>
    <t>Out of hand</t>
  </si>
  <si>
    <t xml:space="preserve">0040730000 </t>
  </si>
  <si>
    <t>Delaney</t>
  </si>
  <si>
    <t xml:space="preserve">0555026441 </t>
  </si>
  <si>
    <t>No MEP R-BASIC(110.71)</t>
  </si>
  <si>
    <t>10/06/2025 left VM</t>
  </si>
  <si>
    <t>Price</t>
  </si>
  <si>
    <t xml:space="preserve">5372102528 </t>
  </si>
  <si>
    <t>No MEP R-BASIC(31.45)</t>
  </si>
  <si>
    <t>Votypka</t>
  </si>
  <si>
    <t>Lindsay</t>
  </si>
  <si>
    <t xml:space="preserve">3305713016 </t>
  </si>
  <si>
    <t>No MEP R-BASIC($19.26)</t>
  </si>
  <si>
    <t>Glanzer</t>
  </si>
  <si>
    <t>Addison</t>
  </si>
  <si>
    <t>Facing financial hardship</t>
  </si>
  <si>
    <t xml:space="preserve">8801331688 </t>
  </si>
  <si>
    <t>Sundarachar</t>
  </si>
  <si>
    <t>Hema</t>
  </si>
  <si>
    <t>1687826451</t>
  </si>
  <si>
    <t>No MEP R3-47(3.29)</t>
  </si>
  <si>
    <t>Stecker</t>
  </si>
  <si>
    <t>Stacey</t>
  </si>
  <si>
    <t xml:space="preserve">0185829085 </t>
  </si>
  <si>
    <t xml:space="preserve">6640329915 </t>
  </si>
  <si>
    <t>Shank</t>
  </si>
  <si>
    <t>Judd</t>
  </si>
  <si>
    <t>Short</t>
  </si>
  <si>
    <t>Gregory</t>
  </si>
  <si>
    <t xml:space="preserve">8993658310 </t>
  </si>
  <si>
    <t>Kom</t>
  </si>
  <si>
    <t>Venu</t>
  </si>
  <si>
    <t>Flam</t>
  </si>
  <si>
    <t>Sara</t>
  </si>
  <si>
    <t xml:space="preserve">2550279335 </t>
  </si>
  <si>
    <t>Laszczak</t>
  </si>
  <si>
    <t xml:space="preserve">5718650660 </t>
  </si>
  <si>
    <t>No R-XS($56.43)</t>
  </si>
  <si>
    <t>Lewis</t>
  </si>
  <si>
    <t>Blocker</t>
  </si>
  <si>
    <t xml:space="preserve">9800380431 </t>
  </si>
  <si>
    <t>No MEP R3-47(439.76)</t>
  </si>
  <si>
    <t>COR will review with his wife before changing the rate plan - 11/3 Customer initiated rate change</t>
  </si>
  <si>
    <t>Kwon</t>
  </si>
  <si>
    <t xml:space="preserve">3505331000 </t>
  </si>
  <si>
    <t>Sacrison</t>
  </si>
  <si>
    <t>3207210000 </t>
  </si>
  <si>
    <t>No MEP R3-47($221.11)</t>
  </si>
  <si>
    <t>Edalski</t>
  </si>
  <si>
    <t>Hernandez</t>
  </si>
  <si>
    <t xml:space="preserve">Monopoly,  </t>
  </si>
  <si>
    <t xml:space="preserve">7114611000 </t>
  </si>
  <si>
    <t>Pierce</t>
  </si>
  <si>
    <t>Coleen</t>
  </si>
  <si>
    <t xml:space="preserve">2942450000 </t>
  </si>
  <si>
    <t>Sedillo</t>
  </si>
  <si>
    <t>0998552497</t>
  </si>
  <si>
    <t>NO MEP R-BASICL ($75.86)</t>
  </si>
  <si>
    <t>Joe Anthony</t>
  </si>
  <si>
    <t>1440430000 </t>
  </si>
  <si>
    <t>Roe</t>
  </si>
  <si>
    <t xml:space="preserve">4490163832 </t>
  </si>
  <si>
    <t>Richey</t>
  </si>
  <si>
    <t>Getting ridiculous</t>
  </si>
  <si>
    <t xml:space="preserve">1880001294 </t>
  </si>
  <si>
    <t>Esman</t>
  </si>
  <si>
    <t>Dava</t>
  </si>
  <si>
    <t>Unfair and discriminatory</t>
  </si>
  <si>
    <t xml:space="preserve">8806340000 </t>
  </si>
  <si>
    <t xml:space="preserve">He </t>
  </si>
  <si>
    <t>Luke</t>
  </si>
  <si>
    <t xml:space="preserve">7096364439 </t>
  </si>
  <si>
    <t>Duensing</t>
  </si>
  <si>
    <t xml:space="preserve">0002746863 </t>
  </si>
  <si>
    <t>Naik</t>
  </si>
  <si>
    <t>Pradad</t>
  </si>
  <si>
    <t>Day</t>
  </si>
  <si>
    <t>Ravyn</t>
  </si>
  <si>
    <t xml:space="preserve">2122958371 </t>
  </si>
  <si>
    <t>Larry</t>
  </si>
  <si>
    <t xml:space="preserve">5769060000 </t>
  </si>
  <si>
    <t>Mahony</t>
  </si>
  <si>
    <t>Monica</t>
  </si>
  <si>
    <t xml:space="preserve">5214610000 </t>
  </si>
  <si>
    <t>Jara</t>
  </si>
  <si>
    <t>Briney</t>
  </si>
  <si>
    <t>Dave</t>
  </si>
  <si>
    <t xml:space="preserve">9294235852 </t>
  </si>
  <si>
    <t>Daniel</t>
  </si>
  <si>
    <t xml:space="preserve">9660984623 </t>
  </si>
  <si>
    <t>No MEP R3-47($82.55)</t>
  </si>
  <si>
    <t>Nabity</t>
  </si>
  <si>
    <t>Mariah</t>
  </si>
  <si>
    <t xml:space="preserve">0887574779 </t>
  </si>
  <si>
    <t xml:space="preserve">5278430000 </t>
  </si>
  <si>
    <t>No MEP R-XS ($43.07)</t>
  </si>
  <si>
    <t>Lund</t>
  </si>
  <si>
    <t>Jason</t>
  </si>
  <si>
    <t xml:space="preserve">3884451846 </t>
  </si>
  <si>
    <t>Scheigert</t>
  </si>
  <si>
    <t xml:space="preserve">9575044862 </t>
  </si>
  <si>
    <t>Turner-Warren</t>
  </si>
  <si>
    <t>Tenneh</t>
  </si>
  <si>
    <t>0362190628 </t>
  </si>
  <si>
    <t>Zeman</t>
  </si>
  <si>
    <t>Cher</t>
  </si>
  <si>
    <t>9651100000 </t>
  </si>
  <si>
    <t>Scheele</t>
  </si>
  <si>
    <t xml:space="preserve">5622315139 </t>
  </si>
  <si>
    <t>Geiger</t>
  </si>
  <si>
    <t xml:space="preserve">6031103650 </t>
  </si>
  <si>
    <t>McGehean</t>
  </si>
  <si>
    <t xml:space="preserve">Singh </t>
  </si>
  <si>
    <t>Soni</t>
  </si>
  <si>
    <t>Too high already, opposed</t>
  </si>
  <si>
    <t xml:space="preserve">7532070000 </t>
  </si>
  <si>
    <t>Lyell</t>
  </si>
  <si>
    <t>Kasha</t>
  </si>
  <si>
    <t>Insane increase</t>
  </si>
  <si>
    <t>Pratik</t>
  </si>
  <si>
    <t>Rahul</t>
  </si>
  <si>
    <t xml:space="preserve">5526300000 </t>
  </si>
  <si>
    <t>Bodempudi</t>
  </si>
  <si>
    <t>Vinod</t>
  </si>
  <si>
    <t xml:space="preserve">8251801000 </t>
  </si>
  <si>
    <t>Corianne</t>
  </si>
  <si>
    <t xml:space="preserve">3135361000 </t>
  </si>
  <si>
    <t>Syring</t>
  </si>
  <si>
    <t>Lani</t>
  </si>
  <si>
    <t xml:space="preserve">5579377804 </t>
  </si>
  <si>
    <t>Van Marter</t>
  </si>
  <si>
    <t xml:space="preserve">0869170000 </t>
  </si>
  <si>
    <t>Gulotta</t>
  </si>
  <si>
    <t xml:space="preserve">4875496471 </t>
  </si>
  <si>
    <t>Caballero Sosa</t>
  </si>
  <si>
    <t>Gabriel</t>
  </si>
  <si>
    <t xml:space="preserve">4100903949 </t>
  </si>
  <si>
    <t>Harrison</t>
  </si>
  <si>
    <t>Chelsie</t>
  </si>
  <si>
    <t>Detrimental to our financial stability</t>
  </si>
  <si>
    <t xml:space="preserve">6747966884 </t>
  </si>
  <si>
    <t>C</t>
  </si>
  <si>
    <t>Casas</t>
  </si>
  <si>
    <t>Nidya</t>
  </si>
  <si>
    <t>Disabled veteran on fixed income</t>
  </si>
  <si>
    <t>Berry</t>
  </si>
  <si>
    <t>Mason</t>
  </si>
  <si>
    <t>No MEP R3-47 ($90.56)</t>
  </si>
  <si>
    <t>Bartley</t>
  </si>
  <si>
    <t>Leslie</t>
  </si>
  <si>
    <t xml:space="preserve">Unfair  </t>
  </si>
  <si>
    <t xml:space="preserve">9756846766 </t>
  </si>
  <si>
    <t>Lawson</t>
  </si>
  <si>
    <t xml:space="preserve">3718280000 </t>
  </si>
  <si>
    <t>Ficarra</t>
  </si>
  <si>
    <t xml:space="preserve">2290331000 </t>
  </si>
  <si>
    <t>No MEP R-XS ($58.00)</t>
  </si>
  <si>
    <t>Ramos</t>
  </si>
  <si>
    <t xml:space="preserve">4333270000 </t>
  </si>
  <si>
    <t>No MEP R3-47($230.57)</t>
  </si>
  <si>
    <t>Spanish CX Team Lead attempted to call customer with number on file, number is no longer in service</t>
  </si>
  <si>
    <t>Ismail</t>
  </si>
  <si>
    <t>Zakaria</t>
  </si>
  <si>
    <t>Quain-Kollar</t>
  </si>
  <si>
    <t xml:space="preserve">2216771581 </t>
  </si>
  <si>
    <t>R3-47//R-XS</t>
  </si>
  <si>
    <t>Carson</t>
  </si>
  <si>
    <t>Loren</t>
  </si>
  <si>
    <t>Opposed, already paying grid access</t>
  </si>
  <si>
    <t xml:space="preserve">9214141000 </t>
  </si>
  <si>
    <t>Hanel</t>
  </si>
  <si>
    <t>Beverly</t>
  </si>
  <si>
    <t>Data centers pay less that residential</t>
  </si>
  <si>
    <t xml:space="preserve">4328013004 </t>
  </si>
  <si>
    <t>Cross</t>
  </si>
  <si>
    <t xml:space="preserve">4789794091 </t>
  </si>
  <si>
    <t>No MEP R3-47($32.46)</t>
  </si>
  <si>
    <t>Hermida</t>
  </si>
  <si>
    <t>Anne</t>
  </si>
  <si>
    <t xml:space="preserve">8551601000 </t>
  </si>
  <si>
    <t>Matelski</t>
  </si>
  <si>
    <t xml:space="preserve">5582530000 </t>
  </si>
  <si>
    <t>No MEP R3-47($149.40)</t>
  </si>
  <si>
    <t>Brooksby</t>
  </si>
  <si>
    <t>Impossible to keep up with</t>
  </si>
  <si>
    <t xml:space="preserve">4220132529 </t>
  </si>
  <si>
    <t>Humphrey</t>
  </si>
  <si>
    <t>Talon</t>
  </si>
  <si>
    <t xml:space="preserve">5703576714 </t>
  </si>
  <si>
    <t xml:space="preserve">0448028030 </t>
  </si>
  <si>
    <t>Erickson</t>
  </si>
  <si>
    <t>Caitlin</t>
  </si>
  <si>
    <t>Mesa</t>
  </si>
  <si>
    <t>Scallorns</t>
  </si>
  <si>
    <t>Melodie</t>
  </si>
  <si>
    <t xml:space="preserve">5780730097 </t>
  </si>
  <si>
    <t>Hoffa</t>
  </si>
  <si>
    <t>Geoffery</t>
  </si>
  <si>
    <t xml:space="preserve">8651110000 </t>
  </si>
  <si>
    <t>Testo</t>
  </si>
  <si>
    <t xml:space="preserve">2697623904 </t>
  </si>
  <si>
    <t>No MEP R-XS ($49.64)</t>
  </si>
  <si>
    <t>McAdams</t>
  </si>
  <si>
    <t>Levi</t>
  </si>
  <si>
    <t xml:space="preserve">0086465467 </t>
  </si>
  <si>
    <t>Brunetti</t>
  </si>
  <si>
    <t>Unfair</t>
  </si>
  <si>
    <t xml:space="preserve">7036097429 </t>
  </si>
  <si>
    <t>No MEP R-BASIC($187.87)</t>
  </si>
  <si>
    <t>10/06/2025 Number is not in service - Initiated rate change on 10/17</t>
  </si>
  <si>
    <t>Court</t>
  </si>
  <si>
    <t>Charge companies running massive data centers instead</t>
  </si>
  <si>
    <t xml:space="preserve">9890161000 </t>
  </si>
  <si>
    <t>Pera</t>
  </si>
  <si>
    <t>Natalie</t>
  </si>
  <si>
    <t xml:space="preserve">0947385737 </t>
  </si>
  <si>
    <t>No MEP R3-47 ($108.13)</t>
  </si>
  <si>
    <t>Rate change already in place as of 9/18</t>
  </si>
  <si>
    <t>Stroup</t>
  </si>
  <si>
    <t xml:space="preserve">9738604563 </t>
  </si>
  <si>
    <t>Fortson</t>
  </si>
  <si>
    <t xml:space="preserve">6892964511 </t>
  </si>
  <si>
    <t>Walker</t>
  </si>
  <si>
    <t>Clint</t>
  </si>
  <si>
    <t xml:space="preserve">8233981790 </t>
  </si>
  <si>
    <t>Glass</t>
  </si>
  <si>
    <t>Louis</t>
  </si>
  <si>
    <t xml:space="preserve">7482519669 </t>
  </si>
  <si>
    <t>Beltz</t>
  </si>
  <si>
    <t>Sherri</t>
  </si>
  <si>
    <t>Strongly opposed</t>
  </si>
  <si>
    <t xml:space="preserve">4321958928 </t>
  </si>
  <si>
    <t>Sies</t>
  </si>
  <si>
    <t>Negative impact on our household</t>
  </si>
  <si>
    <t xml:space="preserve">9277734775 </t>
  </si>
  <si>
    <t>Fatima</t>
  </si>
  <si>
    <t xml:space="preserve">5786437888 </t>
  </si>
  <si>
    <t xml:space="preserve">3530497128 </t>
  </si>
  <si>
    <t>Out of line</t>
  </si>
  <si>
    <t>Unjustified, unethical and unnecessary</t>
  </si>
  <si>
    <t>Pennington</t>
  </si>
  <si>
    <t>Maurice</t>
  </si>
  <si>
    <t xml:space="preserve">0240641000 </t>
  </si>
  <si>
    <t>Devarapu</t>
  </si>
  <si>
    <t>Kondal</t>
  </si>
  <si>
    <t xml:space="preserve">1560882175 </t>
  </si>
  <si>
    <t>Kennedy</t>
  </si>
  <si>
    <t xml:space="preserve">0189241000 </t>
  </si>
  <si>
    <t>No MEP R-XS ($287.81)</t>
  </si>
  <si>
    <t>COR initiated rate change on 11/2</t>
  </si>
  <si>
    <t>Spicola</t>
  </si>
  <si>
    <t>Opposed, will worsen financial stress</t>
  </si>
  <si>
    <t xml:space="preserve">2815878027 </t>
  </si>
  <si>
    <t>Enough with the rate hikes</t>
  </si>
  <si>
    <t>5976850000</t>
  </si>
  <si>
    <t>No MEP R3-47($271.50)</t>
  </si>
  <si>
    <t>COR will check aps.com comp tool and potentially change plans there</t>
  </si>
  <si>
    <t>Anbakagan</t>
  </si>
  <si>
    <t>Dharmaraja</t>
  </si>
  <si>
    <t>Maheshwari</t>
  </si>
  <si>
    <t>Vishal</t>
  </si>
  <si>
    <t xml:space="preserve">0208180000 </t>
  </si>
  <si>
    <t>Abitz</t>
  </si>
  <si>
    <t>Enough is enough</t>
  </si>
  <si>
    <t xml:space="preserve">9504901000 </t>
  </si>
  <si>
    <t>No MEP R3-47($426.81)</t>
  </si>
  <si>
    <t>10/6/2025 left vm</t>
  </si>
  <si>
    <t>Chaffin</t>
  </si>
  <si>
    <t>Dustin</t>
  </si>
  <si>
    <t>Not a good economic decision</t>
  </si>
  <si>
    <t xml:space="preserve">8950883553 </t>
  </si>
  <si>
    <t>Henderson</t>
  </si>
  <si>
    <t xml:space="preserve">9467156300 </t>
  </si>
  <si>
    <t>No MEP R-BASIC($140.27)</t>
  </si>
  <si>
    <t xml:space="preserve">Cor will review w/aps comp tool online and decided </t>
  </si>
  <si>
    <t>Feldman</t>
  </si>
  <si>
    <t>Opposed, abusing their power</t>
  </si>
  <si>
    <t xml:space="preserve">6677040000 </t>
  </si>
  <si>
    <t>Siddavatam</t>
  </si>
  <si>
    <t>Govardhan Reddy</t>
  </si>
  <si>
    <t xml:space="preserve">1876163520 </t>
  </si>
  <si>
    <t>No MEP R3-47($305.79)</t>
  </si>
  <si>
    <t>COR will think about it and potentially change plans if he decides to he will cb</t>
  </si>
  <si>
    <t>Zohn</t>
  </si>
  <si>
    <t>Not good</t>
  </si>
  <si>
    <t xml:space="preserve">0901196121 </t>
  </si>
  <si>
    <t>No MEP R-XS($38.65)</t>
  </si>
  <si>
    <t>Welsch</t>
  </si>
  <si>
    <t>1714040979 </t>
  </si>
  <si>
    <t>Hanshew</t>
  </si>
  <si>
    <t xml:space="preserve">3106790000 </t>
  </si>
  <si>
    <t>Royster</t>
  </si>
  <si>
    <t>Aaron</t>
  </si>
  <si>
    <t xml:space="preserve">0363441000 </t>
  </si>
  <si>
    <t>No MEP R3-47 ($130.61)</t>
  </si>
  <si>
    <t>10/06/2025 left vm</t>
  </si>
  <si>
    <t>German</t>
  </si>
  <si>
    <t xml:space="preserve">8098420000 </t>
  </si>
  <si>
    <t>Reynolds</t>
  </si>
  <si>
    <t>Opposed, discourages solar</t>
  </si>
  <si>
    <t xml:space="preserve">0225558656 </t>
  </si>
  <si>
    <t>Gorman</t>
  </si>
  <si>
    <t xml:space="preserve">3472796278 </t>
  </si>
  <si>
    <t>Macagni</t>
  </si>
  <si>
    <t xml:space="preserve">9986232210 </t>
  </si>
  <si>
    <t>No MEP R3-47($392.95)</t>
  </si>
  <si>
    <t>Killingsworth</t>
  </si>
  <si>
    <t>Ellen</t>
  </si>
  <si>
    <t xml:space="preserve">3240422325 </t>
  </si>
  <si>
    <t>Blue</t>
  </si>
  <si>
    <t>No MEP R-BASIC(149.26)</t>
  </si>
  <si>
    <t>Cor will discuss with his partner about rate change - 10/17 RATE CHANGE ONLINE</t>
  </si>
  <si>
    <t>Ionova</t>
  </si>
  <si>
    <t>Cynthia</t>
  </si>
  <si>
    <t>Saraniero</t>
  </si>
  <si>
    <t>8493970000 </t>
  </si>
  <si>
    <t>Daniels</t>
  </si>
  <si>
    <t xml:space="preserve">7248154783 </t>
  </si>
  <si>
    <t>Heiser</t>
  </si>
  <si>
    <t>Morgan</t>
  </si>
  <si>
    <t xml:space="preserve">4586872061 </t>
  </si>
  <si>
    <t>No MEP R-XS($171.24)</t>
  </si>
  <si>
    <t>Michels</t>
  </si>
  <si>
    <t>Aleshia</t>
  </si>
  <si>
    <t>Mayer</t>
  </si>
  <si>
    <t xml:space="preserve">1975660000 </t>
  </si>
  <si>
    <t>Phipps</t>
  </si>
  <si>
    <t>Opposed, out of control</t>
  </si>
  <si>
    <t xml:space="preserve">5137610000 </t>
  </si>
  <si>
    <t>No MEP R3-47($1.24)</t>
  </si>
  <si>
    <t>Claire</t>
  </si>
  <si>
    <t>Albers</t>
  </si>
  <si>
    <t xml:space="preserve">Ann </t>
  </si>
  <si>
    <t xml:space="preserve">2398680000 </t>
  </si>
  <si>
    <t>Montes</t>
  </si>
  <si>
    <t>Velazquez</t>
  </si>
  <si>
    <t>Torri</t>
  </si>
  <si>
    <t>Calvert</t>
  </si>
  <si>
    <t>Tess</t>
  </si>
  <si>
    <t>Barely afford now</t>
  </si>
  <si>
    <t>9093518390 </t>
  </si>
  <si>
    <t>No MEP R3-47(517.75)</t>
  </si>
  <si>
    <t>COR will think about potentially changing to MEP- cor is upset at potentiall rate changes in the future - 10/15 COR MADE RATE CHANGE ONLINE</t>
  </si>
  <si>
    <t>Rick</t>
  </si>
  <si>
    <t>Hurd</t>
  </si>
  <si>
    <t>Middle class are suffering enough</t>
  </si>
  <si>
    <t>8365380635 </t>
  </si>
  <si>
    <t>Li</t>
  </si>
  <si>
    <t>Duo</t>
  </si>
  <si>
    <t xml:space="preserve">2557440000 </t>
  </si>
  <si>
    <t>Pereluka</t>
  </si>
  <si>
    <t>Vasyl</t>
  </si>
  <si>
    <t>not interested in paying more</t>
  </si>
  <si>
    <t xml:space="preserve">6098358533 </t>
  </si>
  <si>
    <t>Wagner</t>
  </si>
  <si>
    <t xml:space="preserve">2160086156 </t>
  </si>
  <si>
    <t>10/9 changed rate to REV</t>
  </si>
  <si>
    <t>Jordon</t>
  </si>
  <si>
    <t xml:space="preserve">5161972296 </t>
  </si>
  <si>
    <t>No MEP R3-47($694.71)</t>
  </si>
  <si>
    <t>Hanson</t>
  </si>
  <si>
    <t>Opposed, APS runs a monopoly</t>
  </si>
  <si>
    <t>Long</t>
  </si>
  <si>
    <t>Dana</t>
  </si>
  <si>
    <t xml:space="preserve">8133906758 </t>
  </si>
  <si>
    <t xml:space="preserve">6062541000 </t>
  </si>
  <si>
    <t>Duncan</t>
  </si>
  <si>
    <t xml:space="preserve">4386253597 </t>
  </si>
  <si>
    <t>No call, will be reassigned next month but total energy usage might keep COR on Tier 2</t>
  </si>
  <si>
    <t>Sommer</t>
  </si>
  <si>
    <t>Bryce</t>
  </si>
  <si>
    <t>Horrible policy</t>
  </si>
  <si>
    <t xml:space="preserve">6017698985 </t>
  </si>
  <si>
    <t>No MEP R-XS(125.13)</t>
  </si>
  <si>
    <t>Increase outpaces inflation</t>
  </si>
  <si>
    <t xml:space="preserve">8168993129 </t>
  </si>
  <si>
    <t>Kaples</t>
  </si>
  <si>
    <t>Kameron</t>
  </si>
  <si>
    <t>Coolidge</t>
  </si>
  <si>
    <t>APS is predatory</t>
  </si>
  <si>
    <t xml:space="preserve">8830066687 </t>
  </si>
  <si>
    <t>Duffy</t>
  </si>
  <si>
    <t>Dewey</t>
  </si>
  <si>
    <t xml:space="preserve">5377231000 </t>
  </si>
  <si>
    <t>Opposed, unjust and wrong</t>
  </si>
  <si>
    <t xml:space="preserve">6228956660 </t>
  </si>
  <si>
    <t>No MEP R3-47(145.00)</t>
  </si>
  <si>
    <t>COR will check aps.com comp tool and potentially change plans there - MADE A RATE CHANGE ON 10/7</t>
  </si>
  <si>
    <t>Chrico</t>
  </si>
  <si>
    <t>Matt</t>
  </si>
  <si>
    <t>opposed, too greedy</t>
  </si>
  <si>
    <t>Keehn</t>
  </si>
  <si>
    <t xml:space="preserve">0980512306 </t>
  </si>
  <si>
    <t>Pham</t>
  </si>
  <si>
    <t>Opposed (included news story of indoor heat deaths)</t>
  </si>
  <si>
    <t xml:space="preserve">9746250000 </t>
  </si>
  <si>
    <t>No MEP R-BASIC($135.72)</t>
  </si>
  <si>
    <t>Should automatically be reassigned soon</t>
  </si>
  <si>
    <t>Stefan</t>
  </si>
  <si>
    <t xml:space="preserve">4022467820 </t>
  </si>
  <si>
    <t>No MEP R-BASIC ($0.57)</t>
  </si>
  <si>
    <t>Ruth</t>
  </si>
  <si>
    <t>Unnecessary</t>
  </si>
  <si>
    <t>https://docket.images.azcc.gov/E000046235.pdf</t>
  </si>
  <si>
    <t xml:space="preserve">2800620000 </t>
  </si>
  <si>
    <t>Willits</t>
  </si>
  <si>
    <t xml:space="preserve">3957802541 </t>
  </si>
  <si>
    <t>Grassi</t>
  </si>
  <si>
    <t>Benjamin</t>
  </si>
  <si>
    <t xml:space="preserve">0747358204 </t>
  </si>
  <si>
    <t xml:space="preserve">4860597868 </t>
  </si>
  <si>
    <t>Herrin</t>
  </si>
  <si>
    <t xml:space="preserve">Dani </t>
  </si>
  <si>
    <t xml:space="preserve">8125471475 </t>
  </si>
  <si>
    <t>Bandy</t>
  </si>
  <si>
    <t xml:space="preserve">7247493303 </t>
  </si>
  <si>
    <t>Rascon</t>
  </si>
  <si>
    <t>Diego</t>
  </si>
  <si>
    <t xml:space="preserve">3852813845 </t>
  </si>
  <si>
    <t>De Simone</t>
  </si>
  <si>
    <t xml:space="preserve">7042751772 </t>
  </si>
  <si>
    <t>No MEP R-BASIC($60.32)</t>
  </si>
  <si>
    <t>Jerome</t>
  </si>
  <si>
    <t xml:space="preserve">2698642394 </t>
  </si>
  <si>
    <t>Mongini</t>
  </si>
  <si>
    <t>Joey</t>
  </si>
  <si>
    <t xml:space="preserve">0871451000 </t>
  </si>
  <si>
    <t>Frey</t>
  </si>
  <si>
    <t xml:space="preserve">8085100837 </t>
  </si>
  <si>
    <t>Siegel</t>
  </si>
  <si>
    <t xml:space="preserve">6040546107 </t>
  </si>
  <si>
    <t>Harjeet</t>
  </si>
  <si>
    <t xml:space="preserve">1459950257 </t>
  </si>
  <si>
    <t>Hepler</t>
  </si>
  <si>
    <t>Cassie</t>
  </si>
  <si>
    <t>Klemm</t>
  </si>
  <si>
    <t>Unacceptable and wrong</t>
  </si>
  <si>
    <t>2445041000 </t>
  </si>
  <si>
    <t>Mesch</t>
  </si>
  <si>
    <t xml:space="preserve">Strongly against </t>
  </si>
  <si>
    <t xml:space="preserve">0126527094 </t>
  </si>
  <si>
    <t>McWilliams</t>
  </si>
  <si>
    <t>Jesse</t>
  </si>
  <si>
    <t xml:space="preserve">4096651000 </t>
  </si>
  <si>
    <t>No MEP R3-47($631.55)</t>
  </si>
  <si>
    <t>11/10 Left VM regarding MEP</t>
  </si>
  <si>
    <t>Quine</t>
  </si>
  <si>
    <t>3920858144</t>
  </si>
  <si>
    <t>Montano</t>
  </si>
  <si>
    <t>Sierra</t>
  </si>
  <si>
    <t>Wadsworth</t>
  </si>
  <si>
    <t>Bowen</t>
  </si>
  <si>
    <t>Sunsarae</t>
  </si>
  <si>
    <t xml:space="preserve">8764120000 </t>
  </si>
  <si>
    <t>Irwin</t>
  </si>
  <si>
    <t xml:space="preserve">1567183764 </t>
  </si>
  <si>
    <t>DeMelo</t>
  </si>
  <si>
    <t>Marc</t>
  </si>
  <si>
    <t>Blatant gouging</t>
  </si>
  <si>
    <t>6206172265</t>
  </si>
  <si>
    <t>Bryant</t>
  </si>
  <si>
    <t>Shelby</t>
  </si>
  <si>
    <t>Opposed, unfair burden on families and seniors</t>
  </si>
  <si>
    <t xml:space="preserve">4300170000 </t>
  </si>
  <si>
    <t>No MEP R3-47(28.19)</t>
  </si>
  <si>
    <t>Sidebottom</t>
  </si>
  <si>
    <t xml:space="preserve">3300419615 </t>
  </si>
  <si>
    <t>Perelman</t>
  </si>
  <si>
    <t>Increase will be very onerous for those on fixed income</t>
  </si>
  <si>
    <t xml:space="preserve">5127241787 </t>
  </si>
  <si>
    <t>No MEP R-BSIC(32.84)</t>
  </si>
  <si>
    <t>McKinney</t>
  </si>
  <si>
    <t xml:space="preserve">3567250984 </t>
  </si>
  <si>
    <t>Vontran</t>
  </si>
  <si>
    <t>Brady</t>
  </si>
  <si>
    <t xml:space="preserve">7298780000 </t>
  </si>
  <si>
    <t>Ingraham</t>
  </si>
  <si>
    <t xml:space="preserve">4409132093 </t>
  </si>
  <si>
    <t>Briden</t>
  </si>
  <si>
    <t>Increase will break many fixed income seniors</t>
  </si>
  <si>
    <t>6085118737 </t>
  </si>
  <si>
    <t>Leal</t>
  </si>
  <si>
    <t xml:space="preserve">4864054917 </t>
  </si>
  <si>
    <t>No MEP RTOUE47($18.11)</t>
  </si>
  <si>
    <t>Lakshmipathy</t>
  </si>
  <si>
    <t>Arunkumar</t>
  </si>
  <si>
    <t xml:space="preserve">0228851000 </t>
  </si>
  <si>
    <t>No MEP R3-47($52.51)</t>
  </si>
  <si>
    <t>Filed 2x on this day</t>
  </si>
  <si>
    <t>Lengowski</t>
  </si>
  <si>
    <t>7209213637 </t>
  </si>
  <si>
    <t>Greenfield</t>
  </si>
  <si>
    <t>Ronald</t>
  </si>
  <si>
    <t xml:space="preserve">0020521000 </t>
  </si>
  <si>
    <t>V</t>
  </si>
  <si>
    <t>Duclos</t>
  </si>
  <si>
    <t xml:space="preserve">7447867552 </t>
  </si>
  <si>
    <t>Santoyo</t>
  </si>
  <si>
    <t xml:space="preserve">0356005964 </t>
  </si>
  <si>
    <t>No MEP R3-47($153.61)</t>
  </si>
  <si>
    <r>
      <t xml:space="preserve">COR will remain on current serv plan, </t>
    </r>
    <r>
      <rPr>
        <sz val="9"/>
        <color rgb="FFFF0000"/>
        <rFont val="Arial Nova Cond"/>
        <family val="2"/>
      </rPr>
      <t>Assistance?</t>
    </r>
  </si>
  <si>
    <t>Guerin</t>
  </si>
  <si>
    <t>Ajo</t>
  </si>
  <si>
    <t xml:space="preserve">7898944772 </t>
  </si>
  <si>
    <t>Kevin Jr</t>
  </si>
  <si>
    <t>Bello</t>
  </si>
  <si>
    <t>Ridiculously high</t>
  </si>
  <si>
    <t>0849482490</t>
  </si>
  <si>
    <t>Copeland</t>
  </si>
  <si>
    <t>Joen</t>
  </si>
  <si>
    <t xml:space="preserve">7370951000 </t>
  </si>
  <si>
    <t>No MEP R3-47(498.46)</t>
  </si>
  <si>
    <t>COR conf she wanted to change to R3-47Rate changed per request</t>
  </si>
  <si>
    <t>Fransen</t>
  </si>
  <si>
    <t xml:space="preserve">4650100233 </t>
  </si>
  <si>
    <t>Alba</t>
  </si>
  <si>
    <t xml:space="preserve">2090761111 </t>
  </si>
  <si>
    <t>Willer</t>
  </si>
  <si>
    <t>can't afford</t>
  </si>
  <si>
    <t xml:space="preserve">7675631000 </t>
  </si>
  <si>
    <t xml:space="preserve">9779470098 </t>
  </si>
  <si>
    <t>Rothen</t>
  </si>
  <si>
    <t xml:space="preserve">6229785331 </t>
  </si>
  <si>
    <t>Ling</t>
  </si>
  <si>
    <t>Against rate hike</t>
  </si>
  <si>
    <t xml:space="preserve">1794260000 </t>
  </si>
  <si>
    <t>Alcantar</t>
  </si>
  <si>
    <t>Outrageously greedy</t>
  </si>
  <si>
    <t>Callahan</t>
  </si>
  <si>
    <t>Kurtis</t>
  </si>
  <si>
    <t>Bate</t>
  </si>
  <si>
    <t>Noel</t>
  </si>
  <si>
    <t xml:space="preserve">7776290000 </t>
  </si>
  <si>
    <t xml:space="preserve">Lim </t>
  </si>
  <si>
    <t>Jaclyn</t>
  </si>
  <si>
    <t>0342680000 </t>
  </si>
  <si>
    <t>Mroczek</t>
  </si>
  <si>
    <t>Rayanne</t>
  </si>
  <si>
    <t>Bisbee</t>
  </si>
  <si>
    <t xml:space="preserve">6833563852 </t>
  </si>
  <si>
    <t>M</t>
  </si>
  <si>
    <t xml:space="preserve">Karthik </t>
  </si>
  <si>
    <t>Bracken</t>
  </si>
  <si>
    <t xml:space="preserve">5604121000 </t>
  </si>
  <si>
    <t>No MEP R3-47($150.38)</t>
  </si>
  <si>
    <t>Not interested in changing plans</t>
  </si>
  <si>
    <t>Linda</t>
  </si>
  <si>
    <t>Cannot afford</t>
  </si>
  <si>
    <t>3856949221 </t>
  </si>
  <si>
    <t>Hull</t>
  </si>
  <si>
    <t xml:space="preserve">7671960000 </t>
  </si>
  <si>
    <t>3604131000 </t>
  </si>
  <si>
    <t>No MEP R3-47($352.39)</t>
  </si>
  <si>
    <t>10/07/2025 left VM</t>
  </si>
  <si>
    <t xml:space="preserve">3846098682 </t>
  </si>
  <si>
    <t>Granato</t>
  </si>
  <si>
    <t>2720371841 </t>
  </si>
  <si>
    <t>No MEP R-XS($118.46)</t>
  </si>
  <si>
    <t>Fanning</t>
  </si>
  <si>
    <t>Ace</t>
  </si>
  <si>
    <t>Already unreasonably high</t>
  </si>
  <si>
    <t>Lagana</t>
  </si>
  <si>
    <t>Eugene</t>
  </si>
  <si>
    <t>Parrish</t>
  </si>
  <si>
    <t>Irresponsible</t>
  </si>
  <si>
    <t xml:space="preserve">5983450000 </t>
  </si>
  <si>
    <t>No MEP R-XS(127.55)</t>
  </si>
  <si>
    <t>Zamenick</t>
  </si>
  <si>
    <t xml:space="preserve">6393740000 </t>
  </si>
  <si>
    <t xml:space="preserve">1164092226 </t>
  </si>
  <si>
    <t>English</t>
  </si>
  <si>
    <t>Fiona</t>
  </si>
  <si>
    <t>Standridge</t>
  </si>
  <si>
    <t>Misty</t>
  </si>
  <si>
    <t>Good</t>
  </si>
  <si>
    <t>Travis</t>
  </si>
  <si>
    <t>2356371197</t>
  </si>
  <si>
    <t>McKeever</t>
  </si>
  <si>
    <t>This is insanity</t>
  </si>
  <si>
    <t xml:space="preserve">0510900360 </t>
  </si>
  <si>
    <t>Vega</t>
  </si>
  <si>
    <t>Macario</t>
  </si>
  <si>
    <t xml:space="preserve">6346280696 </t>
  </si>
  <si>
    <t>Enriquez</t>
  </si>
  <si>
    <t>Edith</t>
  </si>
  <si>
    <t>Opposed, if approved implement meaningful assistance programs</t>
  </si>
  <si>
    <t>Talamantez</t>
  </si>
  <si>
    <t>6276745354</t>
  </si>
  <si>
    <t>Gayed</t>
  </si>
  <si>
    <t>Manal</t>
  </si>
  <si>
    <t>Unbearable financial burden</t>
  </si>
  <si>
    <t>5730448493 </t>
  </si>
  <si>
    <t>Rayepudi</t>
  </si>
  <si>
    <t>Vamseekrishna</t>
  </si>
  <si>
    <t>7866236989 </t>
  </si>
  <si>
    <t>Dinnerstein</t>
  </si>
  <si>
    <t>Already astronomical</t>
  </si>
  <si>
    <t xml:space="preserve">3128248912 </t>
  </si>
  <si>
    <t>No MEP R3-47(675.81)</t>
  </si>
  <si>
    <t>COR will remain on current serv plan</t>
  </si>
  <si>
    <t>Feehery</t>
  </si>
  <si>
    <t>Lorraine</t>
  </si>
  <si>
    <t>Unjust and greedy money grab</t>
  </si>
  <si>
    <t xml:space="preserve">9775140000 </t>
  </si>
  <si>
    <t>Vidal</t>
  </si>
  <si>
    <t>Chanel</t>
  </si>
  <si>
    <t xml:space="preserve">2655378250 </t>
  </si>
  <si>
    <t>No MEP R3-47($70.31)</t>
  </si>
  <si>
    <t>F</t>
  </si>
  <si>
    <t>L</t>
  </si>
  <si>
    <t>Unfair and unjustified</t>
  </si>
  <si>
    <t>Searles</t>
  </si>
  <si>
    <t>Ian</t>
  </si>
  <si>
    <t>Penaloza</t>
  </si>
  <si>
    <t>Reyna</t>
  </si>
  <si>
    <t xml:space="preserve">1908399537 </t>
  </si>
  <si>
    <t>Rose</t>
  </si>
  <si>
    <t xml:space="preserve">7791021977 </t>
  </si>
  <si>
    <t>Wright</t>
  </si>
  <si>
    <t>9065406549 </t>
  </si>
  <si>
    <t>-</t>
  </si>
  <si>
    <t>Armenta</t>
  </si>
  <si>
    <t>Xavier</t>
  </si>
  <si>
    <t xml:space="preserve">2649331000 </t>
  </si>
  <si>
    <t>No MEP R3-47(860.51)</t>
  </si>
  <si>
    <t xml:space="preserve">CPR changed to MEP </t>
  </si>
  <si>
    <t>Agostini-Walesch</t>
  </si>
  <si>
    <t>Erika</t>
  </si>
  <si>
    <t>6128271693 </t>
  </si>
  <si>
    <t xml:space="preserve">Kovacs </t>
  </si>
  <si>
    <t>Beyond reason, outrageous request</t>
  </si>
  <si>
    <t xml:space="preserve">4218400000 </t>
  </si>
  <si>
    <t>Movich</t>
  </si>
  <si>
    <t>Trudy</t>
  </si>
  <si>
    <t>Rimrock</t>
  </si>
  <si>
    <t>info not redacted</t>
  </si>
  <si>
    <t>Gaber</t>
  </si>
  <si>
    <t>https://docket.images.azcc.gov/E000046266.pdf</t>
  </si>
  <si>
    <t>Borror</t>
  </si>
  <si>
    <t>Keep it affordable</t>
  </si>
  <si>
    <t xml:space="preserve">0460101000 </t>
  </si>
  <si>
    <t>Horne</t>
  </si>
  <si>
    <t xml:space="preserve">8598239302 </t>
  </si>
  <si>
    <t>No MEP R3-47($84.78)</t>
  </si>
  <si>
    <t>Ferguson</t>
  </si>
  <si>
    <t xml:space="preserve">5554267371 </t>
  </si>
  <si>
    <t>Cobb</t>
  </si>
  <si>
    <t>People are already hurting</t>
  </si>
  <si>
    <t xml:space="preserve">4656135575 </t>
  </si>
  <si>
    <t>Laskey</t>
  </si>
  <si>
    <t>Mary Ann</t>
  </si>
  <si>
    <t>inappropriate burden</t>
  </si>
  <si>
    <t>Pray</t>
  </si>
  <si>
    <t>Lisa</t>
  </si>
  <si>
    <t>Object to charging residential customer for the power needs of AI &amp; IT</t>
  </si>
  <si>
    <t xml:space="preserve">7871459753 </t>
  </si>
  <si>
    <t xml:space="preserve">Scheid </t>
  </si>
  <si>
    <t>Opposed, need oversight on their contractors</t>
  </si>
  <si>
    <t xml:space="preserve">8270011000 </t>
  </si>
  <si>
    <t>Burt</t>
  </si>
  <si>
    <t>On the backs of struggling seniors statewide</t>
  </si>
  <si>
    <t xml:space="preserve">0949968967 </t>
  </si>
  <si>
    <t>Vanity</t>
  </si>
  <si>
    <t>Dakota</t>
  </si>
  <si>
    <t>Toma</t>
  </si>
  <si>
    <t>Ramiz</t>
  </si>
  <si>
    <t xml:space="preserve">5463797477 </t>
  </si>
  <si>
    <t>Hochgraver</t>
  </si>
  <si>
    <t>Jeremy</t>
  </si>
  <si>
    <t xml:space="preserve">5485214420 </t>
  </si>
  <si>
    <t>No MEP R3-47($285.34)</t>
  </si>
  <si>
    <t>11/03 - LM</t>
  </si>
  <si>
    <t>Escarcega-Lopez</t>
  </si>
  <si>
    <t>Nathalie</t>
  </si>
  <si>
    <t>Misner</t>
  </si>
  <si>
    <t xml:space="preserve">8372996858 </t>
  </si>
  <si>
    <t>Gilliland</t>
  </si>
  <si>
    <t>Clark</t>
  </si>
  <si>
    <t>They are in a class action suit, we do not want to foot this bill</t>
  </si>
  <si>
    <t xml:space="preserve">0915272757 </t>
  </si>
  <si>
    <t>Such drastic rates</t>
  </si>
  <si>
    <t>Franovich</t>
  </si>
  <si>
    <t xml:space="preserve">Ridiculous </t>
  </si>
  <si>
    <t xml:space="preserve">1939300000 </t>
  </si>
  <si>
    <t>Jeyabal</t>
  </si>
  <si>
    <t>Cholan</t>
  </si>
  <si>
    <t>Rosenberger</t>
  </si>
  <si>
    <t>Absolutely insane</t>
  </si>
  <si>
    <t xml:space="preserve">3664029144 </t>
  </si>
  <si>
    <t>Simone</t>
  </si>
  <si>
    <t>Do the right thing, deny the rate increase</t>
  </si>
  <si>
    <t xml:space="preserve">9414462931 </t>
  </si>
  <si>
    <t>No MEP R3-47(35.30)</t>
  </si>
  <si>
    <t>Mora</t>
  </si>
  <si>
    <t xml:space="preserve">2321911932 </t>
  </si>
  <si>
    <t>Nathanael</t>
  </si>
  <si>
    <t>9282570000 </t>
  </si>
  <si>
    <t>7961900940 </t>
  </si>
  <si>
    <t>Altiveros</t>
  </si>
  <si>
    <t>Armand</t>
  </si>
  <si>
    <t xml:space="preserve">2205290521 </t>
  </si>
  <si>
    <t>Roman</t>
  </si>
  <si>
    <t>Florence</t>
  </si>
  <si>
    <t>Retired, cannot afford this</t>
  </si>
  <si>
    <t xml:space="preserve">8573211000 </t>
  </si>
  <si>
    <t>Hooker</t>
  </si>
  <si>
    <t xml:space="preserve">6799540000 </t>
  </si>
  <si>
    <t>Bihms</t>
  </si>
  <si>
    <t xml:space="preserve">2372410000 </t>
  </si>
  <si>
    <t>Cotton</t>
  </si>
  <si>
    <t>Opposed to outrageous request</t>
  </si>
  <si>
    <t xml:space="preserve">3850123644 </t>
  </si>
  <si>
    <t>No MEP TOUE($139.14)</t>
  </si>
  <si>
    <t>10/15 Left VM</t>
  </si>
  <si>
    <t>Hayter</t>
  </si>
  <si>
    <t xml:space="preserve">2801777569 </t>
  </si>
  <si>
    <t>Pydimarry</t>
  </si>
  <si>
    <t>Srinivascharandeepak</t>
  </si>
  <si>
    <t xml:space="preserve">8157321000 </t>
  </si>
  <si>
    <t>N MEP R3-47($240.90)</t>
  </si>
  <si>
    <t>Rhodes</t>
  </si>
  <si>
    <t xml:space="preserve">6916550547 </t>
  </si>
  <si>
    <t>Coltom</t>
  </si>
  <si>
    <t>Janene</t>
  </si>
  <si>
    <t xml:space="preserve">7488840436 </t>
  </si>
  <si>
    <t>Behling</t>
  </si>
  <si>
    <t>Newton</t>
  </si>
  <si>
    <t>Laura</t>
  </si>
  <si>
    <t xml:space="preserve">1636279128 </t>
  </si>
  <si>
    <t>No MEP R3-47($65.26)</t>
  </si>
  <si>
    <t>Meiergerd</t>
  </si>
  <si>
    <t>Celeste</t>
  </si>
  <si>
    <t xml:space="preserve">2874030000 </t>
  </si>
  <si>
    <t>No MEP R3-47($92.94)</t>
  </si>
  <si>
    <t>Families have to make difficult choices</t>
  </si>
  <si>
    <t xml:space="preserve">6154479450 </t>
  </si>
  <si>
    <t>No MEP R-BASIC($175.71)</t>
  </si>
  <si>
    <t>Based on average monthly energy usage, COR will likely remain on Tier 3 next month during rate reassignment. No call made. As of 11/3 COR is just under average monthly usage limit and should be automatically reassigned to Tier 2</t>
  </si>
  <si>
    <t>Lanier</t>
  </si>
  <si>
    <t>Daija</t>
  </si>
  <si>
    <t>Lowrance</t>
  </si>
  <si>
    <t>Hardee</t>
  </si>
  <si>
    <t xml:space="preserve">4789087884 </t>
  </si>
  <si>
    <t xml:space="preserve">9045311000 </t>
  </si>
  <si>
    <t>Deltoro</t>
  </si>
  <si>
    <t xml:space="preserve">9336980000 </t>
  </si>
  <si>
    <t>No MEP R3-47($253.38)</t>
  </si>
  <si>
    <t>10/9 Left VM</t>
  </si>
  <si>
    <t>Lanchbury</t>
  </si>
  <si>
    <t>Hunter</t>
  </si>
  <si>
    <t xml:space="preserve">4051995898 </t>
  </si>
  <si>
    <t>Ivan</t>
  </si>
  <si>
    <t xml:space="preserve">1333897739 </t>
  </si>
  <si>
    <t>Jaeger</t>
  </si>
  <si>
    <t xml:space="preserve">3727344076 </t>
  </si>
  <si>
    <t>Young</t>
  </si>
  <si>
    <t xml:space="preserve">8964410000 </t>
  </si>
  <si>
    <t>Sellers</t>
  </si>
  <si>
    <t>Clements</t>
  </si>
  <si>
    <t xml:space="preserve">7013259359 </t>
  </si>
  <si>
    <t>Fredy</t>
  </si>
  <si>
    <t>Jender</t>
  </si>
  <si>
    <t xml:space="preserve">7972989951 </t>
  </si>
  <si>
    <t>No MEP R-XS ($47.79)</t>
  </si>
  <si>
    <t>Paynter</t>
  </si>
  <si>
    <t>DJ</t>
  </si>
  <si>
    <t xml:space="preserve">6898240000 </t>
  </si>
  <si>
    <t>Ferrales</t>
  </si>
  <si>
    <t>Marlenne</t>
  </si>
  <si>
    <t xml:space="preserve">6154174693 </t>
  </si>
  <si>
    <t>No MEP R-BASIC ($18.51)</t>
  </si>
  <si>
    <t>Pesala</t>
  </si>
  <si>
    <t>Harikrishna</t>
  </si>
  <si>
    <t>rake hike is not good</t>
  </si>
  <si>
    <t xml:space="preserve">6531421867 </t>
  </si>
  <si>
    <t>No MEP R3-47($83.41)</t>
  </si>
  <si>
    <t xml:space="preserve">10/9 - Spoke to COR and discussed plan options and how the R3-47 plan works. He would like to review the details online and call back if he decides to switch. </t>
  </si>
  <si>
    <t>Kachur</t>
  </si>
  <si>
    <t>Marina</t>
  </si>
  <si>
    <t xml:space="preserve">1682180000 </t>
  </si>
  <si>
    <t>Gallagher</t>
  </si>
  <si>
    <t xml:space="preserve">3126570303 </t>
  </si>
  <si>
    <t>MEP not showing on the bill "flagged irregular usage" - Ashley is checking in to it</t>
  </si>
  <si>
    <t>Juneau</t>
  </si>
  <si>
    <t xml:space="preserve">5236586269 </t>
  </si>
  <si>
    <t>Leone</t>
  </si>
  <si>
    <t xml:space="preserve">6327806553 </t>
  </si>
  <si>
    <t>Landau</t>
  </si>
  <si>
    <t xml:space="preserve">0394780000 </t>
  </si>
  <si>
    <t>Mandala</t>
  </si>
  <si>
    <t xml:space="preserve">5644842190 </t>
  </si>
  <si>
    <t>Money grab</t>
  </si>
  <si>
    <t>3998480631</t>
  </si>
  <si>
    <t>Thibodeaux-Nunez</t>
  </si>
  <si>
    <t>Robbin</t>
  </si>
  <si>
    <t>rates are high enough</t>
  </si>
  <si>
    <t>Orillie</t>
  </si>
  <si>
    <t>Case Grande</t>
  </si>
  <si>
    <t>Cost are already obscene</t>
  </si>
  <si>
    <t xml:space="preserve">0947452464 </t>
  </si>
  <si>
    <t>Kulandaivadivelu</t>
  </si>
  <si>
    <t>Rajesh</t>
  </si>
  <si>
    <t xml:space="preserve">7400931000 </t>
  </si>
  <si>
    <t>No MEP RTOUE47($181.10)</t>
  </si>
  <si>
    <t>Gunderson</t>
  </si>
  <si>
    <t>Massive financial burden on my family</t>
  </si>
  <si>
    <t xml:space="preserve">5160556053 </t>
  </si>
  <si>
    <t>McPherson</t>
  </si>
  <si>
    <t xml:space="preserve">3520685256 </t>
  </si>
  <si>
    <t>Neville</t>
  </si>
  <si>
    <t xml:space="preserve">3812550000 </t>
  </si>
  <si>
    <t>Ezrre</t>
  </si>
  <si>
    <t>2822550977</t>
  </si>
  <si>
    <t>Cafagna</t>
  </si>
  <si>
    <t>Caryn</t>
  </si>
  <si>
    <t>Cornville</t>
  </si>
  <si>
    <t>Will be burdensome on a fixed income</t>
  </si>
  <si>
    <t xml:space="preserve">6238293189 </t>
  </si>
  <si>
    <t>Weiner</t>
  </si>
  <si>
    <t xml:space="preserve">2037614704 </t>
  </si>
  <si>
    <t>Verdi</t>
  </si>
  <si>
    <t>Enough already</t>
  </si>
  <si>
    <t xml:space="preserve">5486441000 </t>
  </si>
  <si>
    <t>Duckworth</t>
  </si>
  <si>
    <t>Loyiel</t>
  </si>
  <si>
    <t xml:space="preserve">3615886354  </t>
  </si>
  <si>
    <t>Holt</t>
  </si>
  <si>
    <t>Brianna</t>
  </si>
  <si>
    <t>6597211402 </t>
  </si>
  <si>
    <t>No MEP RTOUE47($42.59)</t>
  </si>
  <si>
    <t>Prakriya</t>
  </si>
  <si>
    <t>Veena</t>
  </si>
  <si>
    <t>Unaffordable</t>
  </si>
  <si>
    <t xml:space="preserve">0574011608 </t>
  </si>
  <si>
    <t>Funk</t>
  </si>
  <si>
    <t>Cecilia</t>
  </si>
  <si>
    <t>https://docket.images.azcc.gov/E000046554.pdf</t>
  </si>
  <si>
    <t>2291912909</t>
  </si>
  <si>
    <t>Filed Twice</t>
  </si>
  <si>
    <t>Watson</t>
  </si>
  <si>
    <t>APS reports profits</t>
  </si>
  <si>
    <t>Sesha</t>
  </si>
  <si>
    <t>Arun Kumar</t>
  </si>
  <si>
    <t>9287216468 </t>
  </si>
  <si>
    <t>Rodriguez</t>
  </si>
  <si>
    <t>Angel</t>
  </si>
  <si>
    <t>Fehr</t>
  </si>
  <si>
    <t>Unreasonably high</t>
  </si>
  <si>
    <t>1637250000</t>
  </si>
  <si>
    <t>Greibesland</t>
  </si>
  <si>
    <t>Bevan</t>
  </si>
  <si>
    <t xml:space="preserve">5245451000 </t>
  </si>
  <si>
    <t>No MEP R3-47($138.04)</t>
  </si>
  <si>
    <t>Hepner</t>
  </si>
  <si>
    <t>Supports FRM</t>
  </si>
  <si>
    <t xml:space="preserve">3430450000 </t>
  </si>
  <si>
    <t>Lind</t>
  </si>
  <si>
    <t>Hart</t>
  </si>
  <si>
    <t xml:space="preserve">6046328982 </t>
  </si>
  <si>
    <t>Kosowicz</t>
  </si>
  <si>
    <t>Diane</t>
  </si>
  <si>
    <t>becoming unaffordable</t>
  </si>
  <si>
    <t>3157160000 </t>
  </si>
  <si>
    <t>McCloud</t>
  </si>
  <si>
    <t>Unchecked greed</t>
  </si>
  <si>
    <t xml:space="preserve">6846061000 </t>
  </si>
  <si>
    <t>No MEP R3-47($74.50)</t>
  </si>
  <si>
    <t>Martinez</t>
  </si>
  <si>
    <t>Evelin</t>
  </si>
  <si>
    <t>Unaffordable and unfair</t>
  </si>
  <si>
    <t xml:space="preserve">0491835909 </t>
  </si>
  <si>
    <t>Stittleburg</t>
  </si>
  <si>
    <t>Stop stealing from the poor</t>
  </si>
  <si>
    <t>Litton</t>
  </si>
  <si>
    <t>Miranda</t>
  </si>
  <si>
    <t xml:space="preserve">4757278626 </t>
  </si>
  <si>
    <t>No MEP R3-47 ($110.70)</t>
  </si>
  <si>
    <t>Too much too often</t>
  </si>
  <si>
    <t xml:space="preserve">7619340000 </t>
  </si>
  <si>
    <t>No MEP R3-47($130.18)</t>
  </si>
  <si>
    <t>10/9 - tried to call, phone number is no longer in service</t>
  </si>
  <si>
    <t>Bahrie</t>
  </si>
  <si>
    <t>Atul</t>
  </si>
  <si>
    <t xml:space="preserve">5662251000 </t>
  </si>
  <si>
    <t>No MEP R3-47($481.47)</t>
  </si>
  <si>
    <t>Pludowski</t>
  </si>
  <si>
    <t>Increase approved last year</t>
  </si>
  <si>
    <t xml:space="preserve">7397370000 </t>
  </si>
  <si>
    <t>No MRP R3-47($305.33)</t>
  </si>
  <si>
    <t xml:space="preserve">10/9 reviewed account and notes indicate he spoke to an advisor within the last several  months and specifically asked to be removed from the demand plan. </t>
  </si>
  <si>
    <t>Tucker</t>
  </si>
  <si>
    <t>against any increase</t>
  </si>
  <si>
    <t xml:space="preserve">5744736365 </t>
  </si>
  <si>
    <t>Trending over average monthly usage limit</t>
  </si>
  <si>
    <t>Washatka</t>
  </si>
  <si>
    <t xml:space="preserve">0103650000 </t>
  </si>
  <si>
    <t>Nicholson</t>
  </si>
  <si>
    <t xml:space="preserve">5391718246 </t>
  </si>
  <si>
    <t>No R3-47($76.57)</t>
  </si>
  <si>
    <t>Haynes</t>
  </si>
  <si>
    <t xml:space="preserve">0181561492 </t>
  </si>
  <si>
    <t>No R3-47($147.75)</t>
  </si>
  <si>
    <t xml:space="preserve">10/9 Spoke with Ms. Haynes regarding her MEP, R3-47. She does not want to change at this time. Advised her to monitor monthly plan comparison details. </t>
  </si>
  <si>
    <t>Bauer</t>
  </si>
  <si>
    <t>4581830000</t>
  </si>
  <si>
    <t>Zschunke</t>
  </si>
  <si>
    <t>Bonnie</t>
  </si>
  <si>
    <t>Carroll</t>
  </si>
  <si>
    <t>Can't afford higher bills</t>
  </si>
  <si>
    <t xml:space="preserve">6157060000 </t>
  </si>
  <si>
    <t>Dutta</t>
  </si>
  <si>
    <t>Samrat</t>
  </si>
  <si>
    <t>2547200000 </t>
  </si>
  <si>
    <t xml:space="preserve">Willer </t>
  </si>
  <si>
    <t>New River</t>
  </si>
  <si>
    <t xml:space="preserve">3353472148 </t>
  </si>
  <si>
    <t>Madeline</t>
  </si>
  <si>
    <t xml:space="preserve">6807568001 </t>
  </si>
  <si>
    <t>Valeev</t>
  </si>
  <si>
    <t>Margaret</t>
  </si>
  <si>
    <t>Furious</t>
  </si>
  <si>
    <t xml:space="preserve">2224828876 </t>
  </si>
  <si>
    <t>Cannochka</t>
  </si>
  <si>
    <t>Dmitrii</t>
  </si>
  <si>
    <t>Hareza</t>
  </si>
  <si>
    <t>Darla</t>
  </si>
  <si>
    <t>Stop being so greedy</t>
  </si>
  <si>
    <t xml:space="preserve">4684530000 </t>
  </si>
  <si>
    <t>9849411000 </t>
  </si>
  <si>
    <t>Sawminathan</t>
  </si>
  <si>
    <t>Balaganesan</t>
  </si>
  <si>
    <t>Sheri</t>
  </si>
  <si>
    <t>7953727588 </t>
  </si>
  <si>
    <t>Downey</t>
  </si>
  <si>
    <t xml:space="preserve">5248721000 </t>
  </si>
  <si>
    <t>Yip</t>
  </si>
  <si>
    <t>Indy</t>
  </si>
  <si>
    <t xml:space="preserve">3805928813 </t>
  </si>
  <si>
    <t>No MEP R3-47($37.53)</t>
  </si>
  <si>
    <t>Mathews Scott</t>
  </si>
  <si>
    <t xml:space="preserve">Mary </t>
  </si>
  <si>
    <t>Desert Hills</t>
  </si>
  <si>
    <t>Greed</t>
  </si>
  <si>
    <t>Handelman</t>
  </si>
  <si>
    <t xml:space="preserve">Jeff </t>
  </si>
  <si>
    <t>Opposed, gouging customers</t>
  </si>
  <si>
    <t xml:space="preserve">8715441000 </t>
  </si>
  <si>
    <t>Wollman</t>
  </si>
  <si>
    <t>Kenneth</t>
  </si>
  <si>
    <t>Ridiculous and a hardship</t>
  </si>
  <si>
    <t xml:space="preserve">2752541344 </t>
  </si>
  <si>
    <t>No MEP R3-47($88.73)</t>
  </si>
  <si>
    <t>Fulton</t>
  </si>
  <si>
    <t>Celena</t>
  </si>
  <si>
    <t>Morristown</t>
  </si>
  <si>
    <t>Lassner</t>
  </si>
  <si>
    <t xml:space="preserve">8171441100 </t>
  </si>
  <si>
    <t>No MEP R-BASIC($42.83)</t>
  </si>
  <si>
    <t>Palaniraj</t>
  </si>
  <si>
    <t>Selvakumar</t>
  </si>
  <si>
    <t xml:space="preserve">0831730979 </t>
  </si>
  <si>
    <t>Kumis</t>
  </si>
  <si>
    <t>Bessie</t>
  </si>
  <si>
    <t>Becus</t>
  </si>
  <si>
    <t>Lucie</t>
  </si>
  <si>
    <t xml:space="preserve">0179082566 </t>
  </si>
  <si>
    <t>Wesley</t>
  </si>
  <si>
    <t xml:space="preserve">1027321000 </t>
  </si>
  <si>
    <t>No MEP R3-47($419.59)</t>
  </si>
  <si>
    <t>Zausmer</t>
  </si>
  <si>
    <t xml:space="preserve">7586510000 </t>
  </si>
  <si>
    <t>10/8 Spoke with COR and discussed MEP of R3-47 - she agreed to try R3-47. Dom helped to make the rate change in C&amp;CB.</t>
  </si>
  <si>
    <t xml:space="preserve">8422252988 </t>
  </si>
  <si>
    <t>Undue burden on residential customers</t>
  </si>
  <si>
    <t>Taft</t>
  </si>
  <si>
    <t>Konrad</t>
  </si>
  <si>
    <t>Data centers coming in and nothing to with energy use</t>
  </si>
  <si>
    <t xml:space="preserve">6220501000 </t>
  </si>
  <si>
    <t>Futi</t>
  </si>
  <si>
    <t>Ruben</t>
  </si>
  <si>
    <t xml:space="preserve">0829573314 </t>
  </si>
  <si>
    <t>COR JUST STARTED SERV</t>
  </si>
  <si>
    <t>Rohit</t>
  </si>
  <si>
    <t>0119612479</t>
  </si>
  <si>
    <t>Stout</t>
  </si>
  <si>
    <t>Grand Canyon</t>
  </si>
  <si>
    <t xml:space="preserve">6942363976 </t>
  </si>
  <si>
    <t>Lenick</t>
  </si>
  <si>
    <t xml:space="preserve">3846299964 </t>
  </si>
  <si>
    <t>Lamar</t>
  </si>
  <si>
    <t xml:space="preserve">Nathan </t>
  </si>
  <si>
    <t xml:space="preserve">Merican </t>
  </si>
  <si>
    <t>Kari</t>
  </si>
  <si>
    <t>Opposed, unstainable</t>
  </si>
  <si>
    <t>Ramia</t>
  </si>
  <si>
    <t xml:space="preserve">9041804996 </t>
  </si>
  <si>
    <t>No MEP R3-47 ($9.57)</t>
  </si>
  <si>
    <t>Derek</t>
  </si>
  <si>
    <t xml:space="preserve">7925230997 </t>
  </si>
  <si>
    <t>Rivera</t>
  </si>
  <si>
    <t>Kane</t>
  </si>
  <si>
    <t xml:space="preserve">1669206811 </t>
  </si>
  <si>
    <t>No MEP RTOUE47 ($0.81)</t>
  </si>
  <si>
    <t>Sandra</t>
  </si>
  <si>
    <t xml:space="preserve">4455318107 </t>
  </si>
  <si>
    <t>Opposed, not fair</t>
  </si>
  <si>
    <t xml:space="preserve">6541680000 </t>
  </si>
  <si>
    <t>Jamison</t>
  </si>
  <si>
    <t xml:space="preserve">3242131815 </t>
  </si>
  <si>
    <t>No MEP R-BASIC($44.93)</t>
  </si>
  <si>
    <t>Energy usage barely eligible for BASIC - Might stay on BASICL at annual reassignment</t>
  </si>
  <si>
    <t>Kirby</t>
  </si>
  <si>
    <t>Corirossi</t>
  </si>
  <si>
    <t xml:space="preserve">2303209836 </t>
  </si>
  <si>
    <t>No MEP R3-47($62.68)</t>
  </si>
  <si>
    <t>Talbott</t>
  </si>
  <si>
    <t>Cut the fat</t>
  </si>
  <si>
    <t xml:space="preserve">8231151000 </t>
  </si>
  <si>
    <t>No MEP R3-47($235.10)</t>
  </si>
  <si>
    <t>10/8 Left VM</t>
  </si>
  <si>
    <t>DeBay</t>
  </si>
  <si>
    <t xml:space="preserve">Jan </t>
  </si>
  <si>
    <t>already very high</t>
  </si>
  <si>
    <t xml:space="preserve">7014080000 </t>
  </si>
  <si>
    <t>Traverso</t>
  </si>
  <si>
    <t>Luca</t>
  </si>
  <si>
    <t xml:space="preserve">2239392578 </t>
  </si>
  <si>
    <t>Reed</t>
  </si>
  <si>
    <t>Ralph</t>
  </si>
  <si>
    <t>Retired, fixed income</t>
  </si>
  <si>
    <t xml:space="preserve">2798910000 </t>
  </si>
  <si>
    <t>Magee</t>
  </si>
  <si>
    <t>9798240000 </t>
  </si>
  <si>
    <t>Non-AMI Customer</t>
  </si>
  <si>
    <t>Stumpf</t>
  </si>
  <si>
    <t>Yvette</t>
  </si>
  <si>
    <t>3006885688</t>
  </si>
  <si>
    <t>Gilmore</t>
  </si>
  <si>
    <t>0786386957</t>
  </si>
  <si>
    <t>No MEP TOUE ($420.43)</t>
  </si>
  <si>
    <t>10/08/2025 left VM</t>
  </si>
  <si>
    <t>Funke</t>
  </si>
  <si>
    <t>Carrie</t>
  </si>
  <si>
    <t>3973394094</t>
  </si>
  <si>
    <t>Kriechbaum</t>
  </si>
  <si>
    <t>Sherry</t>
  </si>
  <si>
    <t>1468123073</t>
  </si>
  <si>
    <t>Robb</t>
  </si>
  <si>
    <t>Vaughn</t>
  </si>
  <si>
    <t>Blaser</t>
  </si>
  <si>
    <t>Vujic</t>
  </si>
  <si>
    <t>Inman</t>
  </si>
  <si>
    <t>0902311000</t>
  </si>
  <si>
    <t>No MEP R3-47 ($79.77)</t>
  </si>
  <si>
    <t>Hobson</t>
  </si>
  <si>
    <t>https://docket.images.azcc.gov/E000046269.pdf</t>
  </si>
  <si>
    <t>9549931000</t>
  </si>
  <si>
    <t>No MEP R3-47 ($482.61)</t>
  </si>
  <si>
    <t>Boardman</t>
  </si>
  <si>
    <t>Julia</t>
  </si>
  <si>
    <t>5373695965</t>
  </si>
  <si>
    <t>Dara</t>
  </si>
  <si>
    <t>Krishna</t>
  </si>
  <si>
    <t>Already getting difficult to pay the bill</t>
  </si>
  <si>
    <t>5997041000</t>
  </si>
  <si>
    <t>8418910000</t>
  </si>
  <si>
    <t>Bethany</t>
  </si>
  <si>
    <t>Kaelyn</t>
  </si>
  <si>
    <t>9984188572</t>
  </si>
  <si>
    <t>Kumar</t>
  </si>
  <si>
    <t>Sumit</t>
  </si>
  <si>
    <t>7756951000</t>
  </si>
  <si>
    <t>Kalikar</t>
  </si>
  <si>
    <t>Vinayak</t>
  </si>
  <si>
    <t>3063800000</t>
  </si>
  <si>
    <t>Rushing</t>
  </si>
  <si>
    <t>Ayla</t>
  </si>
  <si>
    <t>Greedy company</t>
  </si>
  <si>
    <t>4026100541 </t>
  </si>
  <si>
    <t>No MEP R3-47 ($221.91)</t>
  </si>
  <si>
    <t>Hudgins</t>
  </si>
  <si>
    <t>Eldeen</t>
  </si>
  <si>
    <t>Opposed / submitted request to intervene</t>
  </si>
  <si>
    <t>6552151000</t>
  </si>
  <si>
    <t>Burkes</t>
  </si>
  <si>
    <t>https://docket.images.azcc.gov/E000046289.pdf</t>
  </si>
  <si>
    <t>5001808687</t>
  </si>
  <si>
    <t>Kathryne</t>
  </si>
  <si>
    <t>1247840000</t>
  </si>
  <si>
    <t>No MEP R3-47 ($161.55)</t>
  </si>
  <si>
    <t>Hollie</t>
  </si>
  <si>
    <t>7888410000</t>
  </si>
  <si>
    <t>5739710087</t>
  </si>
  <si>
    <t>Beck</t>
  </si>
  <si>
    <t>Stolarski</t>
  </si>
  <si>
    <t>7411200000</t>
  </si>
  <si>
    <t>Catie</t>
  </si>
  <si>
    <t>9763988768</t>
  </si>
  <si>
    <t>Post</t>
  </si>
  <si>
    <t>Dunn</t>
  </si>
  <si>
    <t>Rates were raised last year</t>
  </si>
  <si>
    <t>4455045278</t>
  </si>
  <si>
    <t>Bernhardt</t>
  </si>
  <si>
    <t>8069970000</t>
  </si>
  <si>
    <t>Opposed, 8% last year</t>
  </si>
  <si>
    <t>Gwen</t>
  </si>
  <si>
    <t>Hunt</t>
  </si>
  <si>
    <t>Bills are already high</t>
  </si>
  <si>
    <t xml:space="preserve">Jenni </t>
  </si>
  <si>
    <t>Kobus</t>
  </si>
  <si>
    <t>1139701000</t>
  </si>
  <si>
    <t>Benuncosa</t>
  </si>
  <si>
    <t>Emery</t>
  </si>
  <si>
    <t>7740741000</t>
  </si>
  <si>
    <t>Sosnicki</t>
  </si>
  <si>
    <t>Got 8% last year, now they want 14%</t>
  </si>
  <si>
    <t>4807360000</t>
  </si>
  <si>
    <t>Wyatt</t>
  </si>
  <si>
    <t>Kristin</t>
  </si>
  <si>
    <t>7745120000</t>
  </si>
  <si>
    <t>Coschigano</t>
  </si>
  <si>
    <t>9186920000</t>
  </si>
  <si>
    <t>Decker</t>
  </si>
  <si>
    <t>Courtland</t>
  </si>
  <si>
    <t>not fair nor financially respectful to ask for 22% increase in two years</t>
  </si>
  <si>
    <t>5805736054</t>
  </si>
  <si>
    <t>Boisvert</t>
  </si>
  <si>
    <t>4181641000</t>
  </si>
  <si>
    <t>Coronado</t>
  </si>
  <si>
    <t>Unacceptable and should not be allowed</t>
  </si>
  <si>
    <t>Grondin</t>
  </si>
  <si>
    <t>Sarah &amp; Micah</t>
  </si>
  <si>
    <t>5506921000</t>
  </si>
  <si>
    <t>Morrison</t>
  </si>
  <si>
    <t>Quandra</t>
  </si>
  <si>
    <t>3459240757</t>
  </si>
  <si>
    <t>No MEP R-BASIC ($78.14)</t>
  </si>
  <si>
    <t>Lander</t>
  </si>
  <si>
    <t>Opposed, monopoly</t>
  </si>
  <si>
    <t>1593380000</t>
  </si>
  <si>
    <t>Lane</t>
  </si>
  <si>
    <t>Genevieve</t>
  </si>
  <si>
    <t>Bezanson</t>
  </si>
  <si>
    <t>4494941000</t>
  </si>
  <si>
    <t>Katsura</t>
  </si>
  <si>
    <t>0879272556</t>
  </si>
  <si>
    <t>Filed 2x</t>
  </si>
  <si>
    <t>Boos</t>
  </si>
  <si>
    <t>Al</t>
  </si>
  <si>
    <t>egregious and possibly unaffordable by many customers</t>
  </si>
  <si>
    <t>9093670000</t>
  </si>
  <si>
    <t>Farnsworth</t>
  </si>
  <si>
    <t>0607010210</t>
  </si>
  <si>
    <t>Parr</t>
  </si>
  <si>
    <t>Joshua Roy</t>
  </si>
  <si>
    <t>5406537242</t>
  </si>
  <si>
    <t>No MEP R3-47 ($137.94)</t>
  </si>
  <si>
    <t>Orr</t>
  </si>
  <si>
    <t>Opposed, will have to move away</t>
  </si>
  <si>
    <t>Peteet</t>
  </si>
  <si>
    <t>We aren't getting any benefit from proposed increase</t>
  </si>
  <si>
    <t>https://docket.images.azcc.gov/E000046305.pdf</t>
  </si>
  <si>
    <t>Egregious, I pay approx $126 just in service charges</t>
  </si>
  <si>
    <t>7176661000</t>
  </si>
  <si>
    <t>Not in line with the current CPI</t>
  </si>
  <si>
    <t>Shaver</t>
  </si>
  <si>
    <t>4935500000</t>
  </si>
  <si>
    <t>Colon</t>
  </si>
  <si>
    <t>3940259300</t>
  </si>
  <si>
    <t>Edmondson</t>
  </si>
  <si>
    <t>Minimal increase is acceptable</t>
  </si>
  <si>
    <t>https://docket.images.azcc.gov/E000046290.pdf</t>
  </si>
  <si>
    <t>Mataraza</t>
  </si>
  <si>
    <t>When is enough, enough?</t>
  </si>
  <si>
    <t>https://docket.images.azcc.gov/E000046309.pdf</t>
  </si>
  <si>
    <t>Brumund</t>
  </si>
  <si>
    <t>Randy</t>
  </si>
  <si>
    <t>Barely have enough to cover the increase of food</t>
  </si>
  <si>
    <t>2387100000</t>
  </si>
  <si>
    <t>Malaki</t>
  </si>
  <si>
    <t>Samantha</t>
  </si>
  <si>
    <t>8027967579</t>
  </si>
  <si>
    <t>No MEP R3-47 ($84.85)</t>
  </si>
  <si>
    <t>Shah</t>
  </si>
  <si>
    <t>Raju</t>
  </si>
  <si>
    <t>1914731000</t>
  </si>
  <si>
    <t>Dermott</t>
  </si>
  <si>
    <t>Pircaro</t>
  </si>
  <si>
    <t>0029211000</t>
  </si>
  <si>
    <t>Tanika</t>
  </si>
  <si>
    <t>5458953850</t>
  </si>
  <si>
    <t>No MEP R-XS ($24.15)</t>
  </si>
  <si>
    <t>Josselyn</t>
  </si>
  <si>
    <t>https://docket.images.azcc.gov/E000046316.pdf</t>
  </si>
  <si>
    <t>4528501000</t>
  </si>
  <si>
    <t>No MEP R-XS ($117.00)</t>
  </si>
  <si>
    <t>10/8/2025 Left VM</t>
  </si>
  <si>
    <t>Ray</t>
  </si>
  <si>
    <t>Ingeborg</t>
  </si>
  <si>
    <t>6428400000</t>
  </si>
  <si>
    <t>Parker</t>
  </si>
  <si>
    <t>Opposed, small business struggling due to extreme heat waves</t>
  </si>
  <si>
    <t>Wellton</t>
  </si>
  <si>
    <t>Mikkola</t>
  </si>
  <si>
    <t>Cheryl</t>
  </si>
  <si>
    <t>Opposed, seniors, spouse has cancer, his temp is regulated for health</t>
  </si>
  <si>
    <t>https://docket.images.azcc.gov/E000046329.pdf</t>
  </si>
  <si>
    <t>9414462931</t>
  </si>
  <si>
    <t>No MEP R3-47 ($35.30)</t>
  </si>
  <si>
    <t>Frederick</t>
  </si>
  <si>
    <t>8805404344</t>
  </si>
  <si>
    <t>Craycroft</t>
  </si>
  <si>
    <t>4344550000</t>
  </si>
  <si>
    <t>This comment was submitted by The Arizona House of Rep Constituent Office</t>
  </si>
  <si>
    <t>Deer</t>
  </si>
  <si>
    <t>Payton</t>
  </si>
  <si>
    <t>3161149182</t>
  </si>
  <si>
    <t>No MEP R-XS ($119.86)</t>
  </si>
  <si>
    <t>10/9 reviewed account, average monthly energy usage is trending high so customer would be bumped up to tier 2</t>
  </si>
  <si>
    <t>No MEP R-XS ($78.14)</t>
  </si>
  <si>
    <t>5862540000</t>
  </si>
  <si>
    <t>Using hold on energy selection against Arizona families</t>
  </si>
  <si>
    <t>https://docket.images.azcc.gov/E000046349.pdf</t>
  </si>
  <si>
    <t>7228908122</t>
  </si>
  <si>
    <t>Mohajerin</t>
  </si>
  <si>
    <t>Saeed</t>
  </si>
  <si>
    <t>How much is enough</t>
  </si>
  <si>
    <t>8092710000</t>
  </si>
  <si>
    <t>Varner</t>
  </si>
  <si>
    <t>Edie</t>
  </si>
  <si>
    <t>Constant increase in utilities bill, senior, strict budget</t>
  </si>
  <si>
    <t>2482408877</t>
  </si>
  <si>
    <t>No MEP R3-47 ($15.79)</t>
  </si>
  <si>
    <t>Iewan</t>
  </si>
  <si>
    <t>Jim</t>
  </si>
  <si>
    <t>3459240757 </t>
  </si>
  <si>
    <t>Thompson</t>
  </si>
  <si>
    <t>Shirley</t>
  </si>
  <si>
    <t>https://docket.images.azcc.gov/E000046359.pdf</t>
  </si>
  <si>
    <t>4175541000</t>
  </si>
  <si>
    <t>https://docket.images.azcc.gov/E000046388.pdf</t>
  </si>
  <si>
    <t>Driver</t>
  </si>
  <si>
    <t>Robin</t>
  </si>
  <si>
    <t>https://docket.images.azcc.gov/E000046404.pdf</t>
  </si>
  <si>
    <t>Saltzman</t>
  </si>
  <si>
    <t>2594531000</t>
  </si>
  <si>
    <t>No MEP R-BASIC ($77.70)</t>
  </si>
  <si>
    <t>Bejar</t>
  </si>
  <si>
    <t>Christen</t>
  </si>
  <si>
    <t>2001860000</t>
  </si>
  <si>
    <t>No MEP R3-47 ($120.96)</t>
  </si>
  <si>
    <t>10/08/2025 Left VM</t>
  </si>
  <si>
    <t>Redman</t>
  </si>
  <si>
    <t>0417096787</t>
  </si>
  <si>
    <t xml:space="preserve">Salt </t>
  </si>
  <si>
    <t>1444600000</t>
  </si>
  <si>
    <t>Menoche</t>
  </si>
  <si>
    <t>Kaitlynn</t>
  </si>
  <si>
    <t>https://docket.images.azcc.gov/E000046437.pdf</t>
  </si>
  <si>
    <t>Harms</t>
  </si>
  <si>
    <t>Reduced exorbitant salaries</t>
  </si>
  <si>
    <t>5304030000</t>
  </si>
  <si>
    <t>Heaton</t>
  </si>
  <si>
    <t>price gouging</t>
  </si>
  <si>
    <t>Sinks</t>
  </si>
  <si>
    <t xml:space="preserve">O'Neil </t>
  </si>
  <si>
    <t>7224390000</t>
  </si>
  <si>
    <t>No MEP R3-47 ($19.36)</t>
  </si>
  <si>
    <t>Dukart</t>
  </si>
  <si>
    <t>Corporate Greed</t>
  </si>
  <si>
    <t>2139544986</t>
  </si>
  <si>
    <t>Fylan</t>
  </si>
  <si>
    <t>3066285596</t>
  </si>
  <si>
    <t>No MEP R3-47 ($355.98)</t>
  </si>
  <si>
    <t xml:space="preserve">10/08/2025 Left VM </t>
  </si>
  <si>
    <t>Martin</t>
  </si>
  <si>
    <t>0436289551</t>
  </si>
  <si>
    <t>No MEP R3-47 ($159.33)</t>
  </si>
  <si>
    <t>Mobley</t>
  </si>
  <si>
    <t>Susan</t>
  </si>
  <si>
    <t>3375784078</t>
  </si>
  <si>
    <t>No MEP R3-47 ($498.46)</t>
  </si>
  <si>
    <t>Andrews</t>
  </si>
  <si>
    <t>Firmly against</t>
  </si>
  <si>
    <t>4155800832</t>
  </si>
  <si>
    <t>Harris</t>
  </si>
  <si>
    <t>5288821061</t>
  </si>
  <si>
    <t>Pending stop 11/3</t>
  </si>
  <si>
    <t>Nancy</t>
  </si>
  <si>
    <t>Unreasonable</t>
  </si>
  <si>
    <t>5531290000</t>
  </si>
  <si>
    <t>No MEP R3-47 ($188.91))</t>
  </si>
  <si>
    <t>10/9 Tried to leave a VM, mailbox is full, Tried to call again on 11/10</t>
  </si>
  <si>
    <t>Camacho</t>
  </si>
  <si>
    <t>Chevon</t>
  </si>
  <si>
    <t>Mercado-Tarango</t>
  </si>
  <si>
    <t>Brenda</t>
  </si>
  <si>
    <t>4456121000</t>
  </si>
  <si>
    <t>Messing</t>
  </si>
  <si>
    <t>Manville</t>
  </si>
  <si>
    <t>La Plant</t>
  </si>
  <si>
    <t xml:space="preserve">Lind </t>
  </si>
  <si>
    <t>Sylvester</t>
  </si>
  <si>
    <t>Zachery</t>
  </si>
  <si>
    <t>9854457444</t>
  </si>
  <si>
    <t>Weigand</t>
  </si>
  <si>
    <t>Mathew</t>
  </si>
  <si>
    <t>0406230633</t>
  </si>
  <si>
    <t>R-Basic</t>
  </si>
  <si>
    <t>No MEP TOUE ($20.50)</t>
  </si>
  <si>
    <t>Callingham</t>
  </si>
  <si>
    <t>5672030668</t>
  </si>
  <si>
    <t>We are struggling</t>
  </si>
  <si>
    <t>Mercedes</t>
  </si>
  <si>
    <t>Extremely expensive</t>
  </si>
  <si>
    <t>2060349043</t>
  </si>
  <si>
    <t>No MEP TOUE ($157.52)</t>
  </si>
  <si>
    <t>10/9 Reviewed account, on 9/29 customer called to switch to MEP</t>
  </si>
  <si>
    <t>Called into CX center to switch plans to MEP on 9/29</t>
  </si>
  <si>
    <t>Quinet</t>
  </si>
  <si>
    <t>3985295602</t>
  </si>
  <si>
    <t>Gaydosz</t>
  </si>
  <si>
    <t xml:space="preserve">Ridiculous  </t>
  </si>
  <si>
    <t>Enough is enough, already paying $160 for a 700 sqdt apartment</t>
  </si>
  <si>
    <t>3081131103</t>
  </si>
  <si>
    <t>No MEP R-XS ($98.76)</t>
  </si>
  <si>
    <t>Donato</t>
  </si>
  <si>
    <t xml:space="preserve">This is a significant burden, especially at a time when cost of living continues to rise </t>
  </si>
  <si>
    <t>https://docket.images.azcc.gov/E000046472.pdf</t>
  </si>
  <si>
    <t xml:space="preserve">5447681797 </t>
  </si>
  <si>
    <t>No MEP R3-47(336.10)</t>
  </si>
  <si>
    <t>Bramble</t>
  </si>
  <si>
    <t>The proposed rate increase is excessive</t>
  </si>
  <si>
    <t>https://docket.images.azcc.gov/E000046494.pdf</t>
  </si>
  <si>
    <t xml:space="preserve">1353321000 </t>
  </si>
  <si>
    <t>Craig</t>
  </si>
  <si>
    <t xml:space="preserve">1694440000 </t>
  </si>
  <si>
    <t>Fein</t>
  </si>
  <si>
    <t>Opposed-I wont survive another summer in AZ</t>
  </si>
  <si>
    <t xml:space="preserve">5831790000 </t>
  </si>
  <si>
    <t xml:space="preserve">4572687906 </t>
  </si>
  <si>
    <t>Keates</t>
  </si>
  <si>
    <t>Rob</t>
  </si>
  <si>
    <t>Opposed-Price gouging</t>
  </si>
  <si>
    <t>https://docket.images.azcc.gov/E000046502.pdf</t>
  </si>
  <si>
    <t xml:space="preserve">6651244518 </t>
  </si>
  <si>
    <t>No MEP R-BASIC(126.09)</t>
  </si>
  <si>
    <t>10/9 Reviewed account and average monthly energe use is 760 kwh - want to confirm BASIC is a good recommendation?</t>
  </si>
  <si>
    <t>Gregg</t>
  </si>
  <si>
    <t>Opposed-APS sees a profit margin already of 9.55%</t>
  </si>
  <si>
    <t>3547350000</t>
  </si>
  <si>
    <t>Mensinger</t>
  </si>
  <si>
    <t>Opposed-Lets take a closer look at company spending habits</t>
  </si>
  <si>
    <t xml:space="preserve">2613256425 </t>
  </si>
  <si>
    <t>Houck</t>
  </si>
  <si>
    <t>Opposed-APS sis 25% higher than SRP</t>
  </si>
  <si>
    <t>https://docket.images.azcc.gov/E000046525.pdf</t>
  </si>
  <si>
    <t xml:space="preserve">5669951000 </t>
  </si>
  <si>
    <t>Pop</t>
  </si>
  <si>
    <t>Don’t raise the rates for electricity</t>
  </si>
  <si>
    <t>Already had an 8% increase last year</t>
  </si>
  <si>
    <t>Opposed-AC set 83 and still high bills</t>
  </si>
  <si>
    <t xml:space="preserve">1806989657 </t>
  </si>
  <si>
    <t>Hendricks</t>
  </si>
  <si>
    <t>Joseph City</t>
  </si>
  <si>
    <t>Opposed-Why am I forced to APS and not someone else?</t>
  </si>
  <si>
    <t xml:space="preserve">2491806502 </t>
  </si>
  <si>
    <t>Several missed payments</t>
  </si>
  <si>
    <t>Walton</t>
  </si>
  <si>
    <t>Opposed-Shareholders interests are prioritized</t>
  </si>
  <si>
    <t>Frausto</t>
  </si>
  <si>
    <t>Esmeralda</t>
  </si>
  <si>
    <t>Opposed-Think of customers first, high cost of living</t>
  </si>
  <si>
    <t>3516164640 </t>
  </si>
  <si>
    <t>Continuous payment arrangements for a couple years, may need more assistance?</t>
  </si>
  <si>
    <t>Opposed- Going to contact Attorney Gen. to allow SRP serv</t>
  </si>
  <si>
    <t xml:space="preserve">0573685084 </t>
  </si>
  <si>
    <t>Avalos</t>
  </si>
  <si>
    <t>Opposed-It will only drive away more jobs</t>
  </si>
  <si>
    <t>Hulsey</t>
  </si>
  <si>
    <t>Strongly Oppose 14% increase</t>
  </si>
  <si>
    <t xml:space="preserve">7420351130 </t>
  </si>
  <si>
    <t>Multiple ACC Complaints (2023 and 2024)</t>
  </si>
  <si>
    <t>Munson</t>
  </si>
  <si>
    <t>Show Low</t>
  </si>
  <si>
    <t>Opposed-Corporate greed</t>
  </si>
  <si>
    <t xml:space="preserve">7765620000 </t>
  </si>
  <si>
    <t>Craft</t>
  </si>
  <si>
    <t xml:space="preserve">Opposed-Ridiculous for such a large company </t>
  </si>
  <si>
    <t xml:space="preserve">9868436686 </t>
  </si>
  <si>
    <t>Lopardo</t>
  </si>
  <si>
    <t>Corinna</t>
  </si>
  <si>
    <t xml:space="preserve">6906826313 </t>
  </si>
  <si>
    <t>No MEP R3-47 ($13.58)</t>
  </si>
  <si>
    <t>Trisha</t>
  </si>
  <si>
    <t>Opposed-Absolutely ridiculous</t>
  </si>
  <si>
    <t>Siers</t>
  </si>
  <si>
    <t>Wade</t>
  </si>
  <si>
    <t>Opposed-14% appears rather excessive</t>
  </si>
  <si>
    <t xml:space="preserve">6651001000 </t>
  </si>
  <si>
    <t>Boerner</t>
  </si>
  <si>
    <t>Rhonda</t>
  </si>
  <si>
    <t>Opposed-Unfair to residential customers</t>
  </si>
  <si>
    <t xml:space="preserve">0454456361 </t>
  </si>
  <si>
    <t>Zamudio</t>
  </si>
  <si>
    <t>Alejandro</t>
  </si>
  <si>
    <t>Opposed- Unacceptable and unreasonable</t>
  </si>
  <si>
    <t xml:space="preserve">4738111000 </t>
  </si>
  <si>
    <t>Ducar</t>
  </si>
  <si>
    <t>Outraged the commission would even consider this</t>
  </si>
  <si>
    <t xml:space="preserve">0440430000 </t>
  </si>
  <si>
    <t>Sept</t>
  </si>
  <si>
    <t>Opposed-Monopoly</t>
  </si>
  <si>
    <t>Vandenberg</t>
  </si>
  <si>
    <t>Opposed-Terrible idea for Arizonans</t>
  </si>
  <si>
    <t xml:space="preserve">4573855715 </t>
  </si>
  <si>
    <t>No MEP R3-47(175.40)</t>
  </si>
  <si>
    <t>Downing</t>
  </si>
  <si>
    <t>Opposed-increase is 4X higher than prevailing inflation</t>
  </si>
  <si>
    <t>2235600000 </t>
  </si>
  <si>
    <t>Marinero</t>
  </si>
  <si>
    <t>Walter</t>
  </si>
  <si>
    <t xml:space="preserve">Strongly Opposed- Undue and unsustainable financial burden </t>
  </si>
  <si>
    <t xml:space="preserve">4171727671 </t>
  </si>
  <si>
    <t>No MEP R3-47(1039.42)</t>
  </si>
  <si>
    <t>10/10/2025 Left VM</t>
  </si>
  <si>
    <t>Sharley</t>
  </si>
  <si>
    <t>Opposed- Financial burden if passed</t>
  </si>
  <si>
    <t>https://docket.images.azcc.gov/E000046531.pdf</t>
  </si>
  <si>
    <t>0636160358</t>
  </si>
  <si>
    <t>Opposed-16.6% increase? That's Crazy!!!</t>
  </si>
  <si>
    <t>https://docket.images.azcc.gov/E000046900.pdf</t>
  </si>
  <si>
    <t>Opposed- New Mexico bill is cheaper</t>
  </si>
  <si>
    <t>2829931000</t>
  </si>
  <si>
    <t>Opposed-Pinnacle West netted 600 million in profit</t>
  </si>
  <si>
    <t>Dagerman</t>
  </si>
  <si>
    <t>Opposed-Energy is a necessity not luxury</t>
  </si>
  <si>
    <t>6014831000</t>
  </si>
  <si>
    <t>Good payment history, shows a recent missed payment</t>
  </si>
  <si>
    <t>Denton</t>
  </si>
  <si>
    <t>Opposed, Ludicrous</t>
  </si>
  <si>
    <t>Gina</t>
  </si>
  <si>
    <t>Strongly Oppose</t>
  </si>
  <si>
    <t>Friedman</t>
  </si>
  <si>
    <t>Ashleigh</t>
  </si>
  <si>
    <t>Opposed- too much wit increased cost of living</t>
  </si>
  <si>
    <t>Sawyer</t>
  </si>
  <si>
    <t>Opposed-SRP model is superior</t>
  </si>
  <si>
    <t>9300806707</t>
  </si>
  <si>
    <t>Suckow</t>
  </si>
  <si>
    <t>Opposed-Rates already incredibly high</t>
  </si>
  <si>
    <t>3389991021</t>
  </si>
  <si>
    <t>No MEP R3-47 (101.27)</t>
  </si>
  <si>
    <t>Cor will think about this and request a cb at her convenience</t>
  </si>
  <si>
    <t>Swett</t>
  </si>
  <si>
    <t>Paige</t>
  </si>
  <si>
    <t xml:space="preserve">Glendale </t>
  </si>
  <si>
    <t xml:space="preserve">Strongly against rate increase </t>
  </si>
  <si>
    <t>2219505228</t>
  </si>
  <si>
    <t xml:space="preserve">Mathews </t>
  </si>
  <si>
    <t>Dajiah</t>
  </si>
  <si>
    <t>Opposed-increase e3 and crises base lines to match</t>
  </si>
  <si>
    <t>https://docket.images.azcc.gov/E000046548.pdf</t>
  </si>
  <si>
    <t>4591969515</t>
  </si>
  <si>
    <t>Norquist</t>
  </si>
  <si>
    <t>Paradise Valley</t>
  </si>
  <si>
    <t>Chip factories and AI are driving up costs</t>
  </si>
  <si>
    <t>9097961505</t>
  </si>
  <si>
    <t>Hamilton</t>
  </si>
  <si>
    <t>Opposed-retired on a fixed income</t>
  </si>
  <si>
    <t>3630760766</t>
  </si>
  <si>
    <t>R</t>
  </si>
  <si>
    <t>Opposed-too many increases</t>
  </si>
  <si>
    <t>Ilya</t>
  </si>
  <si>
    <t xml:space="preserve">Opposed- deep concern and frustration </t>
  </si>
  <si>
    <t>9308190000</t>
  </si>
  <si>
    <t>Machuca</t>
  </si>
  <si>
    <t>Senorina</t>
  </si>
  <si>
    <t xml:space="preserve">El Mirage </t>
  </si>
  <si>
    <t>Opposed-600 million in net income</t>
  </si>
  <si>
    <t>Bourdieu</t>
  </si>
  <si>
    <t>Krystal</t>
  </si>
  <si>
    <t xml:space="preserve">Opposed-2024 net income 600 million </t>
  </si>
  <si>
    <t>3083620000</t>
  </si>
  <si>
    <t>Ruddy</t>
  </si>
  <si>
    <t>Cayla</t>
  </si>
  <si>
    <t>Opposed-APS is not interested in providing affordable energy</t>
  </si>
  <si>
    <t>7002436554</t>
  </si>
  <si>
    <t>Toback</t>
  </si>
  <si>
    <t>Opposed-Average family wont be able to keep up</t>
  </si>
  <si>
    <t>0355361000</t>
  </si>
  <si>
    <t>Phay</t>
  </si>
  <si>
    <t>Brittney</t>
  </si>
  <si>
    <t>Opposed-protect rate payers and reject this</t>
  </si>
  <si>
    <t>3392630000</t>
  </si>
  <si>
    <t>Sexton</t>
  </si>
  <si>
    <t>5316089188</t>
  </si>
  <si>
    <t>No MEP R-XS ($126.36)</t>
  </si>
  <si>
    <t>Will reassign soon</t>
  </si>
  <si>
    <t>Freda</t>
  </si>
  <si>
    <t>Opposed-other utilities have increased</t>
  </si>
  <si>
    <t>Vollmer</t>
  </si>
  <si>
    <t>Opposed-Bogus rate increase, money grab</t>
  </si>
  <si>
    <t>9129688999</t>
  </si>
  <si>
    <t>Schiff</t>
  </si>
  <si>
    <t>1326918238</t>
  </si>
  <si>
    <t>Knaeble</t>
  </si>
  <si>
    <t>Opposed-Charge data centers more</t>
  </si>
  <si>
    <t>6830451000</t>
  </si>
  <si>
    <t>Valerio</t>
  </si>
  <si>
    <t>Veronica R.</t>
  </si>
  <si>
    <t>Opposed-increase is concerning</t>
  </si>
  <si>
    <t>9727210000</t>
  </si>
  <si>
    <t>9/192025</t>
  </si>
  <si>
    <t>Eggert</t>
  </si>
  <si>
    <t>Opposed-Is there a reason AZ doesn’t allow competition?</t>
  </si>
  <si>
    <t>4021850045</t>
  </si>
  <si>
    <t>Bottlinger</t>
  </si>
  <si>
    <t>Janelle</t>
  </si>
  <si>
    <t>Rates are extremely expensive</t>
  </si>
  <si>
    <t>0823076351</t>
  </si>
  <si>
    <t>Filed Multiple Complaints</t>
  </si>
  <si>
    <t>Romesburg</t>
  </si>
  <si>
    <t>Denise</t>
  </si>
  <si>
    <t>APS does not need a rate hike</t>
  </si>
  <si>
    <t>Gibson</t>
  </si>
  <si>
    <t>No one can keep up with their bills</t>
  </si>
  <si>
    <t>3159030000</t>
  </si>
  <si>
    <t>Lorig</t>
  </si>
  <si>
    <t>Apache Jct</t>
  </si>
  <si>
    <t>My mom wont be able to afford to eat</t>
  </si>
  <si>
    <t>Haggard</t>
  </si>
  <si>
    <t>Opposed- no reason for a rate hike</t>
  </si>
  <si>
    <t>1450385073</t>
  </si>
  <si>
    <t>Pickett</t>
  </si>
  <si>
    <t>Opposed- impacting working income families</t>
  </si>
  <si>
    <t>Baskovitz</t>
  </si>
  <si>
    <t>Opposed- Monopoly energy market</t>
  </si>
  <si>
    <t>Peralta</t>
  </si>
  <si>
    <t>Opposed-We need full disclosure on spending</t>
  </si>
  <si>
    <t>4978619668</t>
  </si>
  <si>
    <t>LeVangie</t>
  </si>
  <si>
    <t>Opposed-I'm moving to SRP territory</t>
  </si>
  <si>
    <t>2646435979</t>
  </si>
  <si>
    <t>Connie</t>
  </si>
  <si>
    <t>Owsley</t>
  </si>
  <si>
    <t>Dawn</t>
  </si>
  <si>
    <t>Unacceptable- will leave many unable to pay their bills</t>
  </si>
  <si>
    <t>3566321000</t>
  </si>
  <si>
    <t>Castano</t>
  </si>
  <si>
    <t>Opposed-already struggling with cost of living</t>
  </si>
  <si>
    <t>6222147125</t>
  </si>
  <si>
    <t>Madilyn</t>
  </si>
  <si>
    <t>Opposed-prioritizes share holders over customers</t>
  </si>
  <si>
    <t>https://docket.images.azcc.gov/E000046578.pdf</t>
  </si>
  <si>
    <t>No MEP R-BASIC ($254.29)</t>
  </si>
  <si>
    <t>Will cb at a later time - Final Bill Sent 10/27</t>
  </si>
  <si>
    <t>Mulugen</t>
  </si>
  <si>
    <t>Strongly Oppose formula rates, unaffordable</t>
  </si>
  <si>
    <t>Addair</t>
  </si>
  <si>
    <t>SRP is cheaper</t>
  </si>
  <si>
    <t>McCloskey</t>
  </si>
  <si>
    <t>7210380000</t>
  </si>
  <si>
    <t>Barley</t>
  </si>
  <si>
    <t>Kaitlynne</t>
  </si>
  <si>
    <t>Strongly Opposed</t>
  </si>
  <si>
    <t>0627214453</t>
  </si>
  <si>
    <t>APS needs to be kept inn check and ave rates controlled</t>
  </si>
  <si>
    <t>6338318391</t>
  </si>
  <si>
    <t>No MEP R3-47 ($65.89)</t>
  </si>
  <si>
    <t>Hoffner</t>
  </si>
  <si>
    <t>6407918651</t>
  </si>
  <si>
    <t>No MEP R3-47 ($91.07)</t>
  </si>
  <si>
    <t>Pablo</t>
  </si>
  <si>
    <t>Power is already expensive</t>
  </si>
  <si>
    <t>9340701000</t>
  </si>
  <si>
    <t>No MEP R3-47 ($310.77)</t>
  </si>
  <si>
    <t>Barbarite</t>
  </si>
  <si>
    <t>Absolutely Unjust</t>
  </si>
  <si>
    <t>6736335990</t>
  </si>
  <si>
    <t>McElroy</t>
  </si>
  <si>
    <t>Opposed-Money grab</t>
  </si>
  <si>
    <t>Rooen</t>
  </si>
  <si>
    <t>Cheyenne</t>
  </si>
  <si>
    <t>I cannot afford this</t>
  </si>
  <si>
    <t>Opposed-Unacceptable</t>
  </si>
  <si>
    <t xml:space="preserve">5055918329 </t>
  </si>
  <si>
    <t>Valdivia</t>
  </si>
  <si>
    <t>Why put everyone in a worse situation</t>
  </si>
  <si>
    <t xml:space="preserve">5085875679 </t>
  </si>
  <si>
    <t>Opposed-High cost of living- living paycheck to paycheck</t>
  </si>
  <si>
    <t>Barone</t>
  </si>
  <si>
    <t>Opposed-Prices too high</t>
  </si>
  <si>
    <t>Mccann</t>
  </si>
  <si>
    <t>Haley</t>
  </si>
  <si>
    <t xml:space="preserve">People can barely afford electricity as is now </t>
  </si>
  <si>
    <t xml:space="preserve">2553232071  </t>
  </si>
  <si>
    <t>Warneke</t>
  </si>
  <si>
    <t>I do not wish any further increases in APS rates</t>
  </si>
  <si>
    <t>https://docket.images.azcc.gov/E000046586.pdf</t>
  </si>
  <si>
    <t>Ross</t>
  </si>
  <si>
    <t>Shelreece</t>
  </si>
  <si>
    <t xml:space="preserve">2400731000 </t>
  </si>
  <si>
    <t>Dueringer</t>
  </si>
  <si>
    <t>Helen</t>
  </si>
  <si>
    <t>Rates should only be risen for Commercial properties</t>
  </si>
  <si>
    <t>https://docket.images.azcc.gov/E000046579.pdf</t>
  </si>
  <si>
    <t xml:space="preserve">4755350632 </t>
  </si>
  <si>
    <t>De Santiago</t>
  </si>
  <si>
    <t>Marisol</t>
  </si>
  <si>
    <t>I object</t>
  </si>
  <si>
    <t xml:space="preserve">2792050000 </t>
  </si>
  <si>
    <t>No MEP R3-47(104.05)</t>
  </si>
  <si>
    <t>Cor will remain on current plan</t>
  </si>
  <si>
    <t>Mckinney</t>
  </si>
  <si>
    <t>Strongly disagree</t>
  </si>
  <si>
    <t xml:space="preserve">9713457751 </t>
  </si>
  <si>
    <t>Cisneros</t>
  </si>
  <si>
    <t>Completely against any increase in prices</t>
  </si>
  <si>
    <t>Perkins</t>
  </si>
  <si>
    <t>Rayney</t>
  </si>
  <si>
    <t>Opposed- Single income family of 8</t>
  </si>
  <si>
    <t>1055401000 </t>
  </si>
  <si>
    <t>Skaric</t>
  </si>
  <si>
    <t>Miroslav</t>
  </si>
  <si>
    <t>APS fees are outrageous</t>
  </si>
  <si>
    <t>https://docket.images.azcc.gov/E000046826.pdf</t>
  </si>
  <si>
    <t>Opposed-already struggling with the last increase</t>
  </si>
  <si>
    <t xml:space="preserve">2283931000 </t>
  </si>
  <si>
    <t>I am against the rate increase</t>
  </si>
  <si>
    <t>https://docket.images.azcc.gov/E000046638.pdf</t>
  </si>
  <si>
    <t xml:space="preserve">0823076351 </t>
  </si>
  <si>
    <t>Hakes</t>
  </si>
  <si>
    <t>Linnea</t>
  </si>
  <si>
    <t>Camp Verde</t>
  </si>
  <si>
    <t>It’s a shame for APS to think of raising rates</t>
  </si>
  <si>
    <t>4774490000 </t>
  </si>
  <si>
    <t>No MEP RTOUE ($149.70)</t>
  </si>
  <si>
    <t xml:space="preserve">Nelson </t>
  </si>
  <si>
    <t>Opposed-Bills are unaffordable</t>
  </si>
  <si>
    <t>Fenton</t>
  </si>
  <si>
    <t>Fixed Income, cannot afford an increase</t>
  </si>
  <si>
    <t xml:space="preserve">7423629431 </t>
  </si>
  <si>
    <t>Apostolides</t>
  </si>
  <si>
    <t>Opposed and upset over fuel pricing</t>
  </si>
  <si>
    <t xml:space="preserve">2644830000 </t>
  </si>
  <si>
    <t>First SA is on MEP, Second SA could save $41.57 on Tier 2 (should be reassigned next month)</t>
  </si>
  <si>
    <t>Lynne</t>
  </si>
  <si>
    <t>Opposed-Outrageous</t>
  </si>
  <si>
    <t>4875921000 </t>
  </si>
  <si>
    <t>Wheeler</t>
  </si>
  <si>
    <t>Opposed-CEO needs a pay cut</t>
  </si>
  <si>
    <t>https://docket.images.azcc.gov/E000046665.pdf</t>
  </si>
  <si>
    <t>Huina</t>
  </si>
  <si>
    <t>My husband and I are really upset about it</t>
  </si>
  <si>
    <t>https://docket.images.azcc.gov/E000046645.pdf</t>
  </si>
  <si>
    <t>Gonzales</t>
  </si>
  <si>
    <t>Opposed-I don’t want to use aps but have no choice</t>
  </si>
  <si>
    <t xml:space="preserve">9126001412 </t>
  </si>
  <si>
    <t>Please consider delaying rate increase</t>
  </si>
  <si>
    <t>https://docket.images.azcc.gov/E000046726.pdf</t>
  </si>
  <si>
    <t>Hage</t>
  </si>
  <si>
    <t>What cost cutting measures has aps taken internally?</t>
  </si>
  <si>
    <t xml:space="preserve">4246694688 </t>
  </si>
  <si>
    <t>Gerblick</t>
  </si>
  <si>
    <t>Alison</t>
  </si>
  <si>
    <t>Opposed-AC is a necessity not a luxury for survival</t>
  </si>
  <si>
    <t xml:space="preserve">7304972242 </t>
  </si>
  <si>
    <t>Elliot</t>
  </si>
  <si>
    <t>Opposed-Stop wasting our hard earned money</t>
  </si>
  <si>
    <t>Gillespie</t>
  </si>
  <si>
    <t>Elissa</t>
  </si>
  <si>
    <t>Opposed-request something more inline with inflation</t>
  </si>
  <si>
    <t>4722240000 </t>
  </si>
  <si>
    <t>Mankiewicz</t>
  </si>
  <si>
    <t>Leo</t>
  </si>
  <si>
    <t>Unacceptable</t>
  </si>
  <si>
    <t>https://docket.images.azcc.gov/E000046710.pdf</t>
  </si>
  <si>
    <t>Trethewey</t>
  </si>
  <si>
    <t>Rate increase outpasses the rate of inflation</t>
  </si>
  <si>
    <t xml:space="preserve">1816340000 </t>
  </si>
  <si>
    <t>Opposed-highway robbery</t>
  </si>
  <si>
    <t xml:space="preserve">2786739945 </t>
  </si>
  <si>
    <t>Filed complaint with AG and ACC</t>
  </si>
  <si>
    <t>Dietrich</t>
  </si>
  <si>
    <t>Enough is enough with increases</t>
  </si>
  <si>
    <t xml:space="preserve">4078611000 </t>
  </si>
  <si>
    <t>Not eligible</t>
  </si>
  <si>
    <t>Non-AMI customer</t>
  </si>
  <si>
    <t>Morales</t>
  </si>
  <si>
    <t>Linnette</t>
  </si>
  <si>
    <t xml:space="preserve">7903115868 </t>
  </si>
  <si>
    <t>No MEP R-XS(143.13)</t>
  </si>
  <si>
    <t xml:space="preserve">Cor is satisfied with her current service plan </t>
  </si>
  <si>
    <t>Kapolas</t>
  </si>
  <si>
    <t>From letter</t>
  </si>
  <si>
    <t xml:space="preserve">5307870697 </t>
  </si>
  <si>
    <t>No MEP R3-47(7.05)</t>
  </si>
  <si>
    <t>Eskew</t>
  </si>
  <si>
    <t>Kendall</t>
  </si>
  <si>
    <t>Opposed- Solar customers are to shoulder the financial burden</t>
  </si>
  <si>
    <t>https://docket.images.azcc.gov/E000046709.pdf</t>
  </si>
  <si>
    <t xml:space="preserve">9738841000 </t>
  </si>
  <si>
    <t>No MEP R3-47(23.91)</t>
  </si>
  <si>
    <t>Hughes</t>
  </si>
  <si>
    <t>Joy</t>
  </si>
  <si>
    <t>Simply too high</t>
  </si>
  <si>
    <t>https://docket.images.azcc.gov/E000046762.pdf</t>
  </si>
  <si>
    <t>Lynch</t>
  </si>
  <si>
    <t>Blake</t>
  </si>
  <si>
    <t xml:space="preserve">Opposed-Why are you letting aps increase their rates </t>
  </si>
  <si>
    <t>https://docket.images.azcc.gov/E000046791.pdf</t>
  </si>
  <si>
    <t xml:space="preserve">6829562710 </t>
  </si>
  <si>
    <t>Kozerski</t>
  </si>
  <si>
    <t>Alaxandra</t>
  </si>
  <si>
    <t>https://edocket.azcc.gov/search/document-search/item-detail/448293</t>
  </si>
  <si>
    <t xml:space="preserve">7789171149 </t>
  </si>
  <si>
    <t>Respectfully Opposed-already financially strained</t>
  </si>
  <si>
    <t xml:space="preserve">9539410000 </t>
  </si>
  <si>
    <t>Recently changed from Basic to R-EV</t>
  </si>
  <si>
    <t>Opposed-Phoenix families are struggling</t>
  </si>
  <si>
    <t>https://docket.images.azcc.gov/E000046833.pdf</t>
  </si>
  <si>
    <t xml:space="preserve">4949150000 </t>
  </si>
  <si>
    <t>Hellring</t>
  </si>
  <si>
    <t>Opposed-no salary has seen an equivalent increase</t>
  </si>
  <si>
    <t>https://docket.images.azcc.gov/E000046843.pdf</t>
  </si>
  <si>
    <t xml:space="preserve">8072751000 </t>
  </si>
  <si>
    <t>Elofson</t>
  </si>
  <si>
    <t>Opposed-limited income</t>
  </si>
  <si>
    <t>https://docket.images.azcc.gov/E000046876.pdf</t>
  </si>
  <si>
    <t>R-XS//R-2</t>
  </si>
  <si>
    <t>Yes/Frozen</t>
  </si>
  <si>
    <t>Moffat</t>
  </si>
  <si>
    <t xml:space="preserve">Opposed-I find it appalling </t>
  </si>
  <si>
    <t xml:space="preserve">9524460000 </t>
  </si>
  <si>
    <t>Retiree, increase will cause hardship</t>
  </si>
  <si>
    <t xml:space="preserve">6543951000 </t>
  </si>
  <si>
    <t>No MEP R-BASIC(90.00)</t>
  </si>
  <si>
    <t>Stephen</t>
  </si>
  <si>
    <t>Totally inappropriate</t>
  </si>
  <si>
    <t xml:space="preserve">0770620000 </t>
  </si>
  <si>
    <t>Colan</t>
  </si>
  <si>
    <t>Whitmore</t>
  </si>
  <si>
    <t>Clarkdale</t>
  </si>
  <si>
    <t xml:space="preserve">1471520000 </t>
  </si>
  <si>
    <t>Konves</t>
  </si>
  <si>
    <t>Courtney</t>
  </si>
  <si>
    <t>Opposed, struggling to make ends meet</t>
  </si>
  <si>
    <t>Colbett</t>
  </si>
  <si>
    <t>Opposed-Senior Citizen limited/fixed income</t>
  </si>
  <si>
    <t>Pavlov</t>
  </si>
  <si>
    <t>David&amp;Tiffany</t>
  </si>
  <si>
    <t>Opposed- unaffordable</t>
  </si>
  <si>
    <t xml:space="preserve">4195950000 </t>
  </si>
  <si>
    <t>Bois</t>
  </si>
  <si>
    <t>Garret</t>
  </si>
  <si>
    <t>Yoon</t>
  </si>
  <si>
    <t>Eunice</t>
  </si>
  <si>
    <t>Opposed-Prioritize cost control</t>
  </si>
  <si>
    <t xml:space="preserve">6232280000 </t>
  </si>
  <si>
    <t>Tornetta</t>
  </si>
  <si>
    <t>Opposed-please consider seniors,families,fixed income</t>
  </si>
  <si>
    <t xml:space="preserve">4762621000 </t>
  </si>
  <si>
    <t>No MEP R3-47(68.47)</t>
  </si>
  <si>
    <t>Vallabhaneni</t>
  </si>
  <si>
    <t>Kamala</t>
  </si>
  <si>
    <t>Opposed-Simply too much</t>
  </si>
  <si>
    <t>https://docket.images.azcc.gov/E000046911.pdf</t>
  </si>
  <si>
    <t>0857783306</t>
  </si>
  <si>
    <t>Petition-21</t>
  </si>
  <si>
    <t>Petition</t>
  </si>
  <si>
    <t>Multiple</t>
  </si>
  <si>
    <t xml:space="preserve">This opposition has multiple customer signatures </t>
  </si>
  <si>
    <t>Petition-200</t>
  </si>
  <si>
    <t>Star Valley</t>
  </si>
  <si>
    <t>Opposed-APS is attempting to influence legislature</t>
  </si>
  <si>
    <t xml:space="preserve">3480611000 </t>
  </si>
  <si>
    <t>Petition-131</t>
  </si>
  <si>
    <t>Rademacher</t>
  </si>
  <si>
    <t>Judy</t>
  </si>
  <si>
    <t>Opposed-Fixed Income</t>
  </si>
  <si>
    <t xml:space="preserve">2713960000 </t>
  </si>
  <si>
    <t>Curtis</t>
  </si>
  <si>
    <t>Opposed-I will discontinue my solar service</t>
  </si>
  <si>
    <t>Behike</t>
  </si>
  <si>
    <t>https://docket.images.azcc.gov/E000046970.pdf</t>
  </si>
  <si>
    <t>Mary Lynee</t>
  </si>
  <si>
    <t>Urging you all to vote no on the APS request</t>
  </si>
  <si>
    <t>1163301000</t>
  </si>
  <si>
    <t xml:space="preserve">2 SAs </t>
  </si>
  <si>
    <t>Spencer</t>
  </si>
  <si>
    <t>Unreasonable ever-increasing rates</t>
  </si>
  <si>
    <t>1790274066</t>
  </si>
  <si>
    <t>Eason</t>
  </si>
  <si>
    <t>This rate hike would be deeply burdensome to families, seniors and working individuals</t>
  </si>
  <si>
    <t>3317467505</t>
  </si>
  <si>
    <t>Solar Communities</t>
  </si>
  <si>
    <t>unreasonable, unjustified, and harmful to Arizona families, schools, and small businesses.</t>
  </si>
  <si>
    <t>Express concerns with proposal to increase rates without appropriately considering the contribution of residential solar users</t>
  </si>
  <si>
    <t>Hall</t>
  </si>
  <si>
    <t>Rate hike would place an even heavier financial burden on families, seniors, and small businesses across our state.</t>
  </si>
  <si>
    <t>9713723488</t>
  </si>
  <si>
    <t>Quinte</t>
  </si>
  <si>
    <t>Roger</t>
  </si>
  <si>
    <t>Form Letter: Enough is enough! You must reject the latest 14% rate hikes by APS and TEP</t>
  </si>
  <si>
    <t>2707161000</t>
  </si>
  <si>
    <t>EPR-6w/ECT-2</t>
  </si>
  <si>
    <t>Ratner</t>
  </si>
  <si>
    <t>Low fixed income cannot afford such huge rate increases</t>
  </si>
  <si>
    <t>4322390000</t>
  </si>
  <si>
    <t>Non-AMI customer, has filed multiple ACC complaints and rate case comments over the years</t>
  </si>
  <si>
    <t>Tucson</t>
  </si>
  <si>
    <t>Ufnal</t>
  </si>
  <si>
    <t>Jerry</t>
  </si>
  <si>
    <t>Arbizu</t>
  </si>
  <si>
    <t>Angelina</t>
  </si>
  <si>
    <t>9543902054</t>
  </si>
  <si>
    <t>Myers</t>
  </si>
  <si>
    <t>4057076823</t>
  </si>
  <si>
    <t xml:space="preserve">No MEP R3-47 ($272.50) </t>
  </si>
  <si>
    <t>Holcombe</t>
  </si>
  <si>
    <t>Gene</t>
  </si>
  <si>
    <t>2725650087</t>
  </si>
  <si>
    <t>Only 3  months in new location and 2 months since solar was installed. Requested rate online 10/8 - moving to R3-47</t>
  </si>
  <si>
    <t>Ogledzinski</t>
  </si>
  <si>
    <t>9804331000</t>
  </si>
  <si>
    <t>Youngker</t>
  </si>
  <si>
    <t>Virginia</t>
  </si>
  <si>
    <t>5596059869</t>
  </si>
  <si>
    <t>No MEP R3-47 ($991.58)</t>
  </si>
  <si>
    <t>10/15 Left VM, payment history shows several missed payments and broken PAs</t>
  </si>
  <si>
    <t>Mahr</t>
  </si>
  <si>
    <t>RM</t>
  </si>
  <si>
    <t>Homeowners are being asked to pay for the new infrastructure required for the new data centers</t>
  </si>
  <si>
    <t>Jones</t>
  </si>
  <si>
    <t>Opposed - unfair and biased commission</t>
  </si>
  <si>
    <t>https://docket.images.azcc.gov/E000046988.pdf</t>
  </si>
  <si>
    <t>Hartley</t>
  </si>
  <si>
    <t>Collene</t>
  </si>
  <si>
    <t>5687941000</t>
  </si>
  <si>
    <t>Warnecke</t>
  </si>
  <si>
    <t>Kristi</t>
  </si>
  <si>
    <t>Senior on fixed income, could be choosing between air conditioning and medicine</t>
  </si>
  <si>
    <t>4095570000</t>
  </si>
  <si>
    <t>Noffsinger</t>
  </si>
  <si>
    <t>Exempt 25% energy discount program customers from proposed rate increase</t>
  </si>
  <si>
    <t>Foti</t>
  </si>
  <si>
    <t>Opposed - Arizonans are already struggling with inflation</t>
  </si>
  <si>
    <t>https://docket.images.azcc.gov/E000047024.pdf</t>
  </si>
  <si>
    <t>5427869471</t>
  </si>
  <si>
    <t>No MEP R-XS ($108.43)</t>
  </si>
  <si>
    <t>10/17 Left VM</t>
  </si>
  <si>
    <t>Haden</t>
  </si>
  <si>
    <t>https://docket.images.azcc.gov/E000046996.pdf</t>
  </si>
  <si>
    <t>6013821000</t>
  </si>
  <si>
    <t>No MEP R3-47 ($43.09)</t>
  </si>
  <si>
    <t>Signed petition 8</t>
  </si>
  <si>
    <t>Grimwood</t>
  </si>
  <si>
    <t>4855301000</t>
  </si>
  <si>
    <t>No MEP R3-47 ($437.04)</t>
  </si>
  <si>
    <t>Signed petition 8 - 10/17 Left VM</t>
  </si>
  <si>
    <t>Linzey</t>
  </si>
  <si>
    <t>Benson</t>
  </si>
  <si>
    <t>Gibbons</t>
  </si>
  <si>
    <t>TJ</t>
  </si>
  <si>
    <t>Guertin</t>
  </si>
  <si>
    <t>Pollock</t>
  </si>
  <si>
    <t>6922736019</t>
  </si>
  <si>
    <t>Signed petition 8 - Filed same letter again on 10/27</t>
  </si>
  <si>
    <t>Shem</t>
  </si>
  <si>
    <t>0370184572</t>
  </si>
  <si>
    <t>https://docket.images.azcc.gov/E000047057.pdf</t>
  </si>
  <si>
    <t>Ufinal</t>
  </si>
  <si>
    <t>Roxanne</t>
  </si>
  <si>
    <t>Yarber</t>
  </si>
  <si>
    <t>Seligman</t>
  </si>
  <si>
    <t>Do not allow APS to constantly raise their rates</t>
  </si>
  <si>
    <t>https://docket.images.azcc.gov/E000047007.pdf</t>
  </si>
  <si>
    <t>9297010000</t>
  </si>
  <si>
    <t>Robnett</t>
  </si>
  <si>
    <t>Sierra Vista</t>
  </si>
  <si>
    <t>What are you doing to stop this from happening?</t>
  </si>
  <si>
    <t>7395790000</t>
  </si>
  <si>
    <t>APS  needs to work with the ACC for these increases</t>
  </si>
  <si>
    <t>https://docket.images.azcc.gov/E000047028.pdf</t>
  </si>
  <si>
    <t>Settje</t>
  </si>
  <si>
    <t>Tonto Basin</t>
  </si>
  <si>
    <t>Off-peak/demand income and demand charges after outages</t>
  </si>
  <si>
    <t>https://docket.images.azcc.gov/E000047034.pdf</t>
  </si>
  <si>
    <t>9988610610</t>
  </si>
  <si>
    <t>Terrie</t>
  </si>
  <si>
    <t>Opposed, significant burden, especially when cost of living continued to rise</t>
  </si>
  <si>
    <t>https://docket.images.azcc.gov/E000047053.pdf</t>
  </si>
  <si>
    <t>7948393933</t>
  </si>
  <si>
    <t>Brent</t>
  </si>
  <si>
    <t>Opposed, vote for something more reasonable</t>
  </si>
  <si>
    <t>https://docket.images.azcc.gov/E000047091.pdf</t>
  </si>
  <si>
    <t>8909137526</t>
  </si>
  <si>
    <t>Terranova</t>
  </si>
  <si>
    <t>belt-tightening needed here</t>
  </si>
  <si>
    <t>4797590000</t>
  </si>
  <si>
    <t>No MEP R3-47 ($42.77)</t>
  </si>
  <si>
    <t>Mr. Terranova filed a separate ACC complaint on 9/30 regarding the price he sells back his solar. Beth spoke with him.</t>
  </si>
  <si>
    <t>Hecht</t>
  </si>
  <si>
    <t>Justine</t>
  </si>
  <si>
    <t xml:space="preserve">Form letter </t>
  </si>
  <si>
    <t>6641580000</t>
  </si>
  <si>
    <t>VanCleave</t>
  </si>
  <si>
    <t>Magi</t>
  </si>
  <si>
    <t>Pad corporate profits at the expense of AZ consumers</t>
  </si>
  <si>
    <t>8253620000</t>
  </si>
  <si>
    <t>No MEP TOUE ($29.42)</t>
  </si>
  <si>
    <t>Ariana</t>
  </si>
  <si>
    <t>Against the proposed rate increase</t>
  </si>
  <si>
    <t>1460051272</t>
  </si>
  <si>
    <t>Punishing for having solar</t>
  </si>
  <si>
    <t>https://docket.images.azcc.gov/E000047066.pdf</t>
  </si>
  <si>
    <t>Vermillion</t>
  </si>
  <si>
    <t>The increase is absolutely absurd</t>
  </si>
  <si>
    <t>Wittie</t>
  </si>
  <si>
    <t>Please do not vote for the APS rate increase</t>
  </si>
  <si>
    <t>0474852117</t>
  </si>
  <si>
    <t>Meixler</t>
  </si>
  <si>
    <t>Lakeside</t>
  </si>
  <si>
    <t>Revoke net zero plans for 2050</t>
  </si>
  <si>
    <t>https://docket.images.azcc.gov/E000047064.pdf</t>
  </si>
  <si>
    <t>Coking</t>
  </si>
  <si>
    <t>Margolis</t>
  </si>
  <si>
    <t>Express my frustration and disappointment regarding the recent rate increases</t>
  </si>
  <si>
    <t>https://docket.images.azcc.gov/E000047089.pdf</t>
  </si>
  <si>
    <t>0352210000</t>
  </si>
  <si>
    <t>Moving to R-XS</t>
  </si>
  <si>
    <t>Lagerquist</t>
  </si>
  <si>
    <t>That's not a reasonable increase!</t>
  </si>
  <si>
    <t>https://docket.images.azcc.gov/E000047105.pdf</t>
  </si>
  <si>
    <t>6253965494</t>
  </si>
  <si>
    <t>Rudy</t>
  </si>
  <si>
    <t>Major hardship for my family. My solar benefits APS</t>
  </si>
  <si>
    <t>5084150000</t>
  </si>
  <si>
    <t>Raymer</t>
  </si>
  <si>
    <t>Charge high users such as data centers an excessive use fee</t>
  </si>
  <si>
    <t>https://docket.images.azcc.gov/E000047136.pdf</t>
  </si>
  <si>
    <t xml:space="preserve">Object to any rate increases </t>
  </si>
  <si>
    <t>Davenport</t>
  </si>
  <si>
    <t>Preston</t>
  </si>
  <si>
    <t>Rate hike would make it harder for working residents - concerned that this appears to subsidize data centers</t>
  </si>
  <si>
    <t>1507948531</t>
  </si>
  <si>
    <t>No MEP R3-47 ($84.40)</t>
  </si>
  <si>
    <t>White</t>
  </si>
  <si>
    <t>Decline their request for a rate increase</t>
  </si>
  <si>
    <t>https://docket.images.azcc.gov/E000047160.pdf</t>
  </si>
  <si>
    <t>Koval</t>
  </si>
  <si>
    <t>Jane</t>
  </si>
  <si>
    <t>Supports the expansion and updates for energy infrastructure</t>
  </si>
  <si>
    <t>https://docket.images.azcc.gov/E000047140.pdf</t>
  </si>
  <si>
    <t>1189841000</t>
  </si>
  <si>
    <t>Bennett</t>
  </si>
  <si>
    <t>Too many rate increases</t>
  </si>
  <si>
    <t>https://docket.images.azcc.gov/E000047139.pdf</t>
  </si>
  <si>
    <t>2616411000 </t>
  </si>
  <si>
    <t>Vanessa</t>
  </si>
  <si>
    <t>Outrageous, on-peak plan is horrible, charging more when consumers are home</t>
  </si>
  <si>
    <t>Graig</t>
  </si>
  <si>
    <t>14% increase will hurt people on a fixed income</t>
  </si>
  <si>
    <t>Greig</t>
  </si>
  <si>
    <t>Can't afford increase, especially after being deceived by Odin Energy with our solar panels</t>
  </si>
  <si>
    <t>https://docket.images.azcc.gov/E000047166.pdf</t>
  </si>
  <si>
    <t>Toro</t>
  </si>
  <si>
    <t>Petty</t>
  </si>
  <si>
    <t>I object to this rate increase due to the excessive executive pay</t>
  </si>
  <si>
    <t>https://docket.images.azcc.gov/E000047175.pdf</t>
  </si>
  <si>
    <t>8709456718</t>
  </si>
  <si>
    <t>Hagen</t>
  </si>
  <si>
    <t>Rates are already too high and lack of competition</t>
  </si>
  <si>
    <t>4263668163</t>
  </si>
  <si>
    <t>Dayton</t>
  </si>
  <si>
    <t>For families like mine, the continued rise in utility costs presents a significant burden.</t>
  </si>
  <si>
    <t>6573080097</t>
  </si>
  <si>
    <t>Summons</t>
  </si>
  <si>
    <t>https://docket.images.azcc.gov/E000047191.pdf</t>
  </si>
  <si>
    <t>1205900735</t>
  </si>
  <si>
    <t>No MEP R3-47 ($3.61)</t>
  </si>
  <si>
    <t>Larsen</t>
  </si>
  <si>
    <t xml:space="preserve">Strongly against and simply repulsed </t>
  </si>
  <si>
    <t>Byman</t>
  </si>
  <si>
    <t>https://docket.images.azcc.gov/E000047270.pdf</t>
  </si>
  <si>
    <t>1039090000</t>
  </si>
  <si>
    <t>No MEP RTOUE ($1.30)</t>
  </si>
  <si>
    <t>Kourtney</t>
  </si>
  <si>
    <t>1754570000</t>
  </si>
  <si>
    <t>Skoog</t>
  </si>
  <si>
    <t>Bridget</t>
  </si>
  <si>
    <t>Castellanos</t>
  </si>
  <si>
    <t>Gaietto</t>
  </si>
  <si>
    <t>Vince</t>
  </si>
  <si>
    <t>1383444423</t>
  </si>
  <si>
    <t>Cantore</t>
  </si>
  <si>
    <t>Xiomara</t>
  </si>
  <si>
    <t>5816055793</t>
  </si>
  <si>
    <t>No MEP RBASIC ($65.01)</t>
  </si>
  <si>
    <t>Menjivar</t>
  </si>
  <si>
    <t>Edna</t>
  </si>
  <si>
    <t>Marino</t>
  </si>
  <si>
    <t>Susie</t>
  </si>
  <si>
    <t>8510901315</t>
  </si>
  <si>
    <t>Lyda</t>
  </si>
  <si>
    <t>Marissa</t>
  </si>
  <si>
    <t>https://docket.images.azcc.gov/E000047255.pdf</t>
  </si>
  <si>
    <t>4077484827</t>
  </si>
  <si>
    <t>Jaffe</t>
  </si>
  <si>
    <t>Russell</t>
  </si>
  <si>
    <t>This is an insane request in these challenging times</t>
  </si>
  <si>
    <t>https://docket.images.azcc.gov/E000047250.pdf</t>
  </si>
  <si>
    <t>1946751000</t>
  </si>
  <si>
    <t>Cota</t>
  </si>
  <si>
    <t>https://docket.images.azcc.gov/E000047297.pdf</t>
  </si>
  <si>
    <t>Soqui</t>
  </si>
  <si>
    <t>Jubal</t>
  </si>
  <si>
    <t>7591331000</t>
  </si>
  <si>
    <t>Felicia</t>
  </si>
  <si>
    <t>6818845467</t>
  </si>
  <si>
    <t>3806613194</t>
  </si>
  <si>
    <t>Evans</t>
  </si>
  <si>
    <t>Medina</t>
  </si>
  <si>
    <t>Alexandria</t>
  </si>
  <si>
    <t>3297731000</t>
  </si>
  <si>
    <t>ER-6w/ET-2</t>
  </si>
  <si>
    <t>Ponce</t>
  </si>
  <si>
    <t>Joi</t>
  </si>
  <si>
    <t>Form Letter: For families like mine this is simply too much</t>
  </si>
  <si>
    <t>https://docket.images.azcc.gov/E000047324.pdf</t>
  </si>
  <si>
    <t>2271888532</t>
  </si>
  <si>
    <t>Ortiz</t>
  </si>
  <si>
    <t>6473321000</t>
  </si>
  <si>
    <t>Willeford</t>
  </si>
  <si>
    <t>Nolan</t>
  </si>
  <si>
    <t>Koren</t>
  </si>
  <si>
    <t>That is an unacceptable increase</t>
  </si>
  <si>
    <t>Fisher</t>
  </si>
  <si>
    <t>Nathan</t>
  </si>
  <si>
    <t>16% increase is egregious</t>
  </si>
  <si>
    <t>3214901000</t>
  </si>
  <si>
    <t>Prichard</t>
  </si>
  <si>
    <t>Barth</t>
  </si>
  <si>
    <t>Pat</t>
  </si>
  <si>
    <t>Protect Arizonans - Reject APS's 14% rate hike</t>
  </si>
  <si>
    <t>I oppose the rate hike</t>
  </si>
  <si>
    <t>Cavanaugh</t>
  </si>
  <si>
    <t>Sundell</t>
  </si>
  <si>
    <t>As a senior citizen, this rate increase request will directly affect my financial situation.</t>
  </si>
  <si>
    <t>https://docket.images.azcc.gov/0000215502.pdf</t>
  </si>
  <si>
    <t>1150201000</t>
  </si>
  <si>
    <t>Previously filed two different ACC Complaints in 2021 and 2024</t>
  </si>
  <si>
    <t xml:space="preserve">Proposed rate increase will undoubtedly exacerbate the financial burden on the citizens of Glendale. </t>
  </si>
  <si>
    <t>https://docket.images.azcc.gov/0000215501.pdf</t>
  </si>
  <si>
    <t>Hayden</t>
  </si>
  <si>
    <t>Cezanne</t>
  </si>
  <si>
    <t>https://docket.images.azcc.gov/E000047338.pdf</t>
  </si>
  <si>
    <t>Opposed, Infrastructure expansion caused by large commercial loads should be paid for by those same corporation</t>
  </si>
  <si>
    <t>Stines</t>
  </si>
  <si>
    <t>Stop net zero plans</t>
  </si>
  <si>
    <t>9452141000</t>
  </si>
  <si>
    <t>Barry</t>
  </si>
  <si>
    <t>rapid datacenter growth should not shift infrastructure and generation costs onto ordinary families.</t>
  </si>
  <si>
    <t>Greg</t>
  </si>
  <si>
    <t>https://docket.images.azcc.gov/E000047365.pdf</t>
  </si>
  <si>
    <t>4309031000</t>
  </si>
  <si>
    <t xml:space="preserve">Senior citizen, Opposed to the request for a fourteen percent raise in electrical rates. </t>
  </si>
  <si>
    <t>Rojas</t>
  </si>
  <si>
    <t>Chrystin &amp; Raul</t>
  </si>
  <si>
    <t>Concerns about the proposed rate increase and formula rate mechanism.</t>
  </si>
  <si>
    <t>6003957639</t>
  </si>
  <si>
    <t>No MEP R3-47 ($62.21)</t>
  </si>
  <si>
    <t xml:space="preserve">Assistance? In collections Note: Spanish Bill </t>
  </si>
  <si>
    <t>Nacinovich</t>
  </si>
  <si>
    <t>reject this proposed rate increase and to ensure that the financial responsibility for new grid demand falls on the businesses creating i</t>
  </si>
  <si>
    <t>5470751000</t>
  </si>
  <si>
    <t>Drobnica</t>
  </si>
  <si>
    <t>Many customers are on a fixed income that isn't growing with the rates APS, Focus on providing safe, reliable and affordable energy not corporate philanthropy</t>
  </si>
  <si>
    <t>9058887734</t>
  </si>
  <si>
    <t>Susser</t>
  </si>
  <si>
    <t>Norm</t>
  </si>
  <si>
    <t>Fees, taxes, surcharges and adjustors seem excessive</t>
  </si>
  <si>
    <t>https://docket.images.azcc.gov/E000047398.pdf</t>
  </si>
  <si>
    <t>3801590000</t>
  </si>
  <si>
    <t>3505651000</t>
  </si>
  <si>
    <t>No MEP R3-47 ($176.69)</t>
  </si>
  <si>
    <t>11/10 Left VM regarding MEP at Flagstaff SA</t>
  </si>
  <si>
    <t>Dershowitz</t>
  </si>
  <si>
    <t>SS going up 2.8%, suggest rate increase be limited to the same</t>
  </si>
  <si>
    <t>https://docket.images.azcc.gov/E000047371.pdf</t>
  </si>
  <si>
    <t>2990380000</t>
  </si>
  <si>
    <t>No MEP R3-47 ($255.76)</t>
  </si>
  <si>
    <t xml:space="preserve">11/10 Spoke to customer briefly then he said "leave me alone" and hung up. </t>
  </si>
  <si>
    <t>Curds</t>
  </si>
  <si>
    <t>I oppose the rate hike. Bills are high enough. No one can survive paying $650.</t>
  </si>
  <si>
    <t>https://docket.images.azcc.gov/E000047425.pdf</t>
  </si>
  <si>
    <t>3304816868</t>
  </si>
  <si>
    <t>No MEP R3-47 ($113.52)</t>
  </si>
  <si>
    <t>Customer filed an ACC complaint 11/3</t>
  </si>
  <si>
    <t>Doe</t>
  </si>
  <si>
    <t>Opposed to advertising at sports arena. Opposed to donations made to charity.</t>
  </si>
  <si>
    <t>Thome</t>
  </si>
  <si>
    <t>Cari</t>
  </si>
  <si>
    <t>Opposed to another rate hike - they have frequently asked for rate increases</t>
  </si>
  <si>
    <t>7319203567</t>
  </si>
  <si>
    <t>Huff</t>
  </si>
  <si>
    <t>High percentage of reitrees in Arizona who are on a fixed income. Data centers should pay for themselves.</t>
  </si>
  <si>
    <t>https://docket.images.azcc.gov/E000047417.pdf</t>
  </si>
  <si>
    <t>Boyd</t>
  </si>
  <si>
    <t>Magan</t>
  </si>
  <si>
    <t>Tonopah</t>
  </si>
  <si>
    <t>It makes no sense that the rates are higher… Issues with energy water agreements (PV).</t>
  </si>
  <si>
    <t>https://docket.images.azcc.gov/E000047432.pdf</t>
  </si>
  <si>
    <t>3647741244</t>
  </si>
  <si>
    <t>Smitt</t>
  </si>
  <si>
    <t>Erik</t>
  </si>
  <si>
    <t xml:space="preserve">Do not support green new deal nor the net zero </t>
  </si>
  <si>
    <t>Arnold</t>
  </si>
  <si>
    <t>Terrence</t>
  </si>
  <si>
    <t>The recent APS request to rate increase of 16% is absurd</t>
  </si>
  <si>
    <t>9909801000</t>
  </si>
  <si>
    <t>Elder</t>
  </si>
  <si>
    <t>Scottland</t>
  </si>
  <si>
    <t>https://docket.images.azcc.gov/E000047451.pdf</t>
  </si>
  <si>
    <t>Cordova</t>
  </si>
  <si>
    <t>Form Letter: Enough is enough! You must reject the latest 14% rate hikes by APS bby TEP</t>
  </si>
  <si>
    <t>Jeronimo</t>
  </si>
  <si>
    <t>Form Letter: Enough is enough! You must reject the latest 14% rate hikes by APS lda TEP</t>
  </si>
  <si>
    <t>4506338330</t>
  </si>
  <si>
    <t>Petition - Assistance?</t>
  </si>
  <si>
    <t>Debrum</t>
  </si>
  <si>
    <t>Sophia</t>
  </si>
  <si>
    <t>Form Letter: Enough is enough! You must reject the latest 14% rate hikes by APS  TEP</t>
  </si>
  <si>
    <t>Bojado</t>
  </si>
  <si>
    <t>Form Letter: Enough is enough! You must reject the latest 14% rate hikes by APS a TEP</t>
  </si>
  <si>
    <t>Fonseca</t>
  </si>
  <si>
    <t>Jasmine</t>
  </si>
  <si>
    <t>Form Letter: Enough is enough! You must reject the latest 14% rate hikes by APS e TEP</t>
  </si>
  <si>
    <t>4885204722</t>
  </si>
  <si>
    <t>Ellison</t>
  </si>
  <si>
    <t>Sylvia</t>
  </si>
  <si>
    <t xml:space="preserve">Opposed: No options other than APS. Senior Citizens, AC is a life saving need. </t>
  </si>
  <si>
    <t>https://docket.images.azcc.gov/E000047554.pdf?i=1763105891311</t>
  </si>
  <si>
    <t>Krakora</t>
  </si>
  <si>
    <t>Opposed, As a retiree with a limited income, and do not qualify for assistance</t>
  </si>
  <si>
    <t>https://docket.images.azcc.gov/E000047658.pdf</t>
  </si>
  <si>
    <t>Anand</t>
  </si>
  <si>
    <t>Anupama</t>
  </si>
  <si>
    <t>Do not approve the proposed rate increase</t>
  </si>
  <si>
    <t>https://docket.images.azcc.gov/E000047665.pdf</t>
  </si>
  <si>
    <t>No MEP RTOU47 ($53.39)</t>
  </si>
  <si>
    <t>Oswald</t>
  </si>
  <si>
    <t>Fred</t>
  </si>
  <si>
    <t>Rate hike is grossly excessive, oppose formula rates</t>
  </si>
  <si>
    <t>https://docket.images.azcc.gov/E000047735.pdf</t>
  </si>
  <si>
    <t>Leeper</t>
  </si>
  <si>
    <t>Tom and Melissa</t>
  </si>
  <si>
    <t>Stop the proposed rate hikes</t>
  </si>
  <si>
    <t>https://docket.images.azcc.gov/E000047729.pdf</t>
  </si>
  <si>
    <t>EPR6w/ET-1</t>
  </si>
  <si>
    <t xml:space="preserve">Cheri </t>
  </si>
  <si>
    <t>Opposed: Senior on a fixed income in a mobile home</t>
  </si>
  <si>
    <t>https://docket.images.azcc.gov/E000047757.pdf</t>
  </si>
  <si>
    <t>No MEP R-XS</t>
  </si>
  <si>
    <t>Should be automatically reassigned to Tier 1 this month</t>
  </si>
  <si>
    <t>Koplan</t>
  </si>
  <si>
    <t>Katelyn</t>
  </si>
  <si>
    <t>I strongly urge you to reconsider this proposal in light of economic pressures facing Arizona families</t>
  </si>
  <si>
    <t>https://docket.images.azcc.gov/E000047784.pdf</t>
  </si>
  <si>
    <t>Buttler</t>
  </si>
  <si>
    <t>Carol and Alan</t>
  </si>
  <si>
    <t>ACC has obligation to protect APS customers from consistently high rate increases</t>
  </si>
  <si>
    <t>https://docket.images.azcc.gov/E000047808.pdf</t>
  </si>
  <si>
    <t>No MEP R-BASIC ($41.34)</t>
  </si>
  <si>
    <t>The proposed rate of increase on seniors is outrageous!</t>
  </si>
  <si>
    <t>Putnam</t>
  </si>
  <si>
    <t>Marla</t>
  </si>
  <si>
    <t>The rates have steadily increased</t>
  </si>
  <si>
    <t>RCPw/TOUE</t>
  </si>
  <si>
    <t>Anonymous</t>
  </si>
  <si>
    <t>I am against the APS rate increase</t>
  </si>
  <si>
    <t>https://docket.images.azcc.gov/E000047827.pdf</t>
  </si>
  <si>
    <t>Adeline</t>
  </si>
  <si>
    <t>APS prices are too high</t>
  </si>
  <si>
    <t>Dowling</t>
  </si>
  <si>
    <t>Means</t>
  </si>
  <si>
    <t>Vote no</t>
  </si>
  <si>
    <t>https://docket.images.azcc.gov/E000047828.pdf?i=1764228532333</t>
  </si>
  <si>
    <t>Boontjer</t>
  </si>
  <si>
    <t>Ken and JoAnn</t>
  </si>
  <si>
    <t>Research APS net zero plan, open Cholla</t>
  </si>
  <si>
    <t>EPR6w/E-12</t>
  </si>
  <si>
    <t>Kissling</t>
  </si>
  <si>
    <t xml:space="preserve">Shari </t>
  </si>
  <si>
    <t>stop approving rate increases</t>
  </si>
  <si>
    <t>https://docket.images.azcc.gov/E000047852.pdf</t>
  </si>
  <si>
    <t>Logan</t>
  </si>
  <si>
    <t>https://docket.images.azcc.gov/E000047963.pdf</t>
  </si>
  <si>
    <t>Spence</t>
  </si>
  <si>
    <t>Stop the price hike that APS is planning to impose.</t>
  </si>
  <si>
    <t>https://docket.images.azcc.gov/E000047971.pdf</t>
  </si>
  <si>
    <t>Palomera</t>
  </si>
  <si>
    <t>https://docket.images.azcc.gov/E000047935.pdf</t>
  </si>
  <si>
    <t>No MEP R-BASIC ($167.08)</t>
  </si>
  <si>
    <t>Salaiz</t>
  </si>
  <si>
    <t>Stefanie</t>
  </si>
  <si>
    <t>Walberg</t>
  </si>
  <si>
    <t xml:space="preserve">I am a middle class single mom on a teacher income. I don't qualilfy for assistance. </t>
  </si>
  <si>
    <t>EPR6-ET-1</t>
  </si>
  <si>
    <t>Charlene</t>
  </si>
  <si>
    <t>No more rate increases. We are struggling to pay already!</t>
  </si>
  <si>
    <t>No MEP R3-47 ($295.17)</t>
  </si>
  <si>
    <t>Wallach</t>
  </si>
  <si>
    <t>Kurt</t>
  </si>
  <si>
    <t xml:space="preserve">I am voicing concern over repeated rate requests from APS. </t>
  </si>
  <si>
    <t>Hayes</t>
  </si>
  <si>
    <t>There is no need to increase residential rates. we are already paying an all-time high</t>
  </si>
  <si>
    <t>Barbosa</t>
  </si>
  <si>
    <t>Beatriz</t>
  </si>
  <si>
    <t>Whittmann</t>
  </si>
  <si>
    <t>Cassandra</t>
  </si>
  <si>
    <t>Opposed rate hike, increase solar buy back.</t>
  </si>
  <si>
    <t>Rodriquez</t>
  </si>
  <si>
    <t>Jennav</t>
  </si>
  <si>
    <t>Ghiardi</t>
  </si>
  <si>
    <t>Opposed to rate hike and solar fee. Main lines going to data centers</t>
  </si>
  <si>
    <t>T</t>
  </si>
  <si>
    <t>https://docket.images.azcc.gov/E000048010.pdf</t>
  </si>
  <si>
    <t>Elleray</t>
  </si>
  <si>
    <t>Philip and Vicky</t>
  </si>
  <si>
    <t xml:space="preserve"> For a retired person and disabled veteran, that is an excessive rate increase</t>
  </si>
  <si>
    <t>https://docket.images.azcc.gov/E000047995.pdf</t>
  </si>
  <si>
    <t>3762361661</t>
  </si>
  <si>
    <t>Pedroza</t>
  </si>
  <si>
    <t>Maricela</t>
  </si>
  <si>
    <t>I do not want to turn on the air conditioning because the cost of electricity is too high.</t>
  </si>
  <si>
    <t>https://docket.images.azcc.gov/0000215712.pdf</t>
  </si>
  <si>
    <t>Spanish letter docketed</t>
  </si>
  <si>
    <t>Pichardo</t>
  </si>
  <si>
    <t xml:space="preserve">Martha C. </t>
  </si>
  <si>
    <t>It is too expensive. I can hardly decide whether to pay for electricity or buy food.</t>
  </si>
  <si>
    <t>Elizarraras</t>
  </si>
  <si>
    <t>Juana</t>
  </si>
  <si>
    <t>For equity and humanity in this state of heat, they should not be supporting so many increases.</t>
  </si>
  <si>
    <t>Isidro Chavez</t>
  </si>
  <si>
    <t>We have to buy basic things like food and other services, and adjust our base salary to cover</t>
  </si>
  <si>
    <t xml:space="preserve">Wages have been the same for years while payments keep rising, </t>
  </si>
  <si>
    <t>Eriksen</t>
  </si>
  <si>
    <t xml:space="preserve">Maria </t>
  </si>
  <si>
    <t>I would tell APS to stop increasing rates because this will affect our low-income population</t>
  </si>
  <si>
    <t>5070041000</t>
  </si>
  <si>
    <t>No MEP R-XS ($51.48)</t>
  </si>
  <si>
    <t>Spanish letter docketed, Customer should automatically be reassigned to R-XS tier 1</t>
  </si>
  <si>
    <t>For me, it wasn't too expensive because I was in a program</t>
  </si>
  <si>
    <t>Clara Alvaro</t>
  </si>
  <si>
    <t>I have to limit buying food in order to pay for electricity because it is not easy to pay for everything</t>
  </si>
  <si>
    <t>Juan</t>
  </si>
  <si>
    <t>Ambrocia Sausado</t>
  </si>
  <si>
    <t>I dont earn enough to pay all my expenses with increase in electricity</t>
  </si>
  <si>
    <t>Armando</t>
  </si>
  <si>
    <t>my finances off balance because the cost keeps increasing,</t>
  </si>
  <si>
    <t>Loaizd</t>
  </si>
  <si>
    <t>Jasmin</t>
  </si>
  <si>
    <t>Sacrafice buying food or turning on the lights</t>
  </si>
  <si>
    <t>Saurez</t>
  </si>
  <si>
    <t>Hellen</t>
  </si>
  <si>
    <t>Would have to choose between which bill to pay first</t>
  </si>
  <si>
    <t>Minnesota</t>
  </si>
  <si>
    <t>Dorothy</t>
  </si>
  <si>
    <t>Fixed income, my pay doesn't go up at this rate</t>
  </si>
  <si>
    <t>0807760000</t>
  </si>
  <si>
    <t>Energy charges are already my 2nd largest expense</t>
  </si>
  <si>
    <t>Marisela</t>
  </si>
  <si>
    <t>Make decisions between buying groceries and cooling down my house</t>
  </si>
  <si>
    <t>RTOU47</t>
  </si>
  <si>
    <t>No MEP R3-47 ($116.16)</t>
  </si>
  <si>
    <t>Please contact customer regarding plan options</t>
  </si>
  <si>
    <t>Deja</t>
  </si>
  <si>
    <t>working overtime to be able to afford to just llive, another increase is unacceptable</t>
  </si>
  <si>
    <t>Chaves</t>
  </si>
  <si>
    <t>Diana Trejo</t>
  </si>
  <si>
    <t>My dad works overtime in the heat to keep up with the bills</t>
  </si>
  <si>
    <t>Fernatt</t>
  </si>
  <si>
    <t>ACC should consider the needs of the citzens</t>
  </si>
  <si>
    <t>Behreas</t>
  </si>
  <si>
    <t>Rosario</t>
  </si>
  <si>
    <t>Energy costs already affect everyone's quality of life</t>
  </si>
  <si>
    <t>Ulin</t>
  </si>
  <si>
    <t>Unacceptable to me that the ACC would approve such an enormous rate hike</t>
  </si>
  <si>
    <t>1845644568</t>
  </si>
  <si>
    <t>No MEP R3-47 ($8.47)</t>
  </si>
  <si>
    <t>Silva</t>
  </si>
  <si>
    <t>Knor</t>
  </si>
  <si>
    <t>I have to choose between paying the electricity bill or paying for the food I put on the table for my family or their medications</t>
  </si>
  <si>
    <t>Alcazar</t>
  </si>
  <si>
    <t xml:space="preserve">Jose P. </t>
  </si>
  <si>
    <t>To be able to pay for energy, I have to limit my spending on basic needs such as food, clothing, and health</t>
  </si>
  <si>
    <t>Habern</t>
  </si>
  <si>
    <t>Marianna</t>
  </si>
  <si>
    <t>My wages have not increased at all while APS makes record profits</t>
  </si>
  <si>
    <t>Curiel</t>
  </si>
  <si>
    <t>Lahayla</t>
  </si>
  <si>
    <t>A higher utility bill will compete with my grocery bills</t>
  </si>
  <si>
    <t>Jorge</t>
  </si>
  <si>
    <t>ACC needs to represent the people not the corporations</t>
  </si>
  <si>
    <t>Ballmann</t>
  </si>
  <si>
    <t>Beth</t>
  </si>
  <si>
    <t>Seek solutions that will lower rates for all of Arizona</t>
  </si>
  <si>
    <t>8351131000</t>
  </si>
  <si>
    <t>Avila</t>
  </si>
  <si>
    <t>Lidia</t>
  </si>
  <si>
    <t>lt affects my health a lot with the stress. If I cannot afford the bills</t>
  </si>
  <si>
    <t>Leticia</t>
  </si>
  <si>
    <t>These increases affect poor families the most</t>
  </si>
  <si>
    <t>Aricelia</t>
  </si>
  <si>
    <t>The ACC should vote against an increase because of corporate profits and econimic situation</t>
  </si>
  <si>
    <t>Ruelas</t>
  </si>
  <si>
    <t>Thais Beltran</t>
  </si>
  <si>
    <t>Vote against it becuase it's just unreasonable</t>
  </si>
  <si>
    <t>Cuevas</t>
  </si>
  <si>
    <t xml:space="preserve">Italia M. </t>
  </si>
  <si>
    <t>Pheonix</t>
  </si>
  <si>
    <t xml:space="preserve">In addition to paying for the solar panels, I continue to receive a high bill from SRP. </t>
  </si>
  <si>
    <t>Elva</t>
  </si>
  <si>
    <t>Twitchell</t>
  </si>
  <si>
    <t xml:space="preserve">Melissa </t>
  </si>
  <si>
    <t>Seems like it would be absolutely crippling if it goes any higher.</t>
  </si>
  <si>
    <t>https://docket.images.azcc.gov/E000048049.pdf</t>
  </si>
  <si>
    <t>Multiple Accts</t>
  </si>
  <si>
    <t>R-XS and EPR6w/ET-2</t>
  </si>
  <si>
    <t>Marrapodi</t>
  </si>
  <si>
    <t>I believe this request is unjustified and harmful to ordinary ratepayers</t>
  </si>
  <si>
    <t>https://docket.images.azcc.gov/E000048069.pdf</t>
  </si>
  <si>
    <t>0895261000</t>
  </si>
  <si>
    <t>No MEP R3-47 ($139.25)</t>
  </si>
  <si>
    <t>Greene</t>
  </si>
  <si>
    <t>Small business owner against proposed rate increase</t>
  </si>
  <si>
    <t>https://docket.images.azcc.gov/E000048180.pdf</t>
  </si>
  <si>
    <t>Ranchhod</t>
  </si>
  <si>
    <t>Kamal</t>
  </si>
  <si>
    <t>Opposed: Retired on fixed income</t>
  </si>
  <si>
    <t>7571491082</t>
  </si>
  <si>
    <t>Saez</t>
  </si>
  <si>
    <t>Elia</t>
  </si>
  <si>
    <t>We need the ACC to stand up for Arizona households</t>
  </si>
  <si>
    <t>4776840675</t>
  </si>
  <si>
    <t>RCPw/TOUE-47</t>
  </si>
  <si>
    <t>Barrett</t>
  </si>
  <si>
    <t>On a fixed income- this rate increase is unjustified</t>
  </si>
  <si>
    <t>6559521559</t>
  </si>
  <si>
    <t>RCPw/R2</t>
  </si>
  <si>
    <t>Frozen Plan</t>
  </si>
  <si>
    <t>https://docket.images.azcc.gov/E000048199.pdf</t>
  </si>
  <si>
    <t>Opposed - against solar and wind, only reliable sources are nuclear, hydro-electric, natural gas and coal.</t>
  </si>
  <si>
    <t>https://docket.images.azcc.gov/E000048206.pdf</t>
  </si>
  <si>
    <t>7171143951</t>
  </si>
  <si>
    <t>Diaz</t>
  </si>
  <si>
    <t>Valandra</t>
  </si>
  <si>
    <t>Opposed to water rate increases from Global Water Resources</t>
  </si>
  <si>
    <t>https://docket.images.azcc.gov/E000048235.pdf</t>
  </si>
  <si>
    <t>Espinoza</t>
  </si>
  <si>
    <t>Las Vegas</t>
  </si>
  <si>
    <t>Against the recent decision to approve the Bring Your Own Device battery program</t>
  </si>
  <si>
    <t>https://docket.images.azcc.gov/E000048229.pdf</t>
  </si>
  <si>
    <t>This is getting out of hand! It's time for a change at ACC</t>
  </si>
  <si>
    <t>https://docket.images.azcc.gov/E000048266.pdf</t>
  </si>
  <si>
    <t>Hotham</t>
  </si>
  <si>
    <t xml:space="preserve">Sharon </t>
  </si>
  <si>
    <t>https://docket.images.azcc.gov/E000048302.pdf</t>
  </si>
  <si>
    <t>6181201000</t>
  </si>
  <si>
    <t>No MEP R3-47 ($232.55)</t>
  </si>
  <si>
    <t>Anissa</t>
  </si>
  <si>
    <t>Kaeleigh</t>
  </si>
  <si>
    <t>Daza-Smith</t>
  </si>
  <si>
    <t>https://docket.images.azcc.gov/E000048311.pdf</t>
  </si>
  <si>
    <t>Kaitlyn Q</t>
  </si>
  <si>
    <t>Posey</t>
  </si>
  <si>
    <t xml:space="preserve">0509660000 </t>
  </si>
  <si>
    <t>No MEP R3-47 ($326.27)</t>
  </si>
  <si>
    <t>Please contact customer regarding plan options and assistance programs</t>
  </si>
  <si>
    <t>Marmor</t>
  </si>
  <si>
    <t>Arvizu</t>
  </si>
  <si>
    <t>Rokke</t>
  </si>
  <si>
    <t>Audrey</t>
  </si>
  <si>
    <t>1969900000</t>
  </si>
  <si>
    <t>7382953794</t>
  </si>
  <si>
    <t>No MEP R3-47 ($306.58)</t>
  </si>
  <si>
    <t>Figgins</t>
  </si>
  <si>
    <t>Keith</t>
  </si>
  <si>
    <t>https://docket.images.azcc.gov/E000048356.pdf</t>
  </si>
  <si>
    <t>Vail</t>
  </si>
  <si>
    <t>Mason-Ewing</t>
  </si>
  <si>
    <t>Sauiqui</t>
  </si>
  <si>
    <t>Pattie</t>
  </si>
  <si>
    <t>https://docket.images.azcc.gov/E000048402.pdf</t>
  </si>
  <si>
    <t>Lengele</t>
  </si>
  <si>
    <t>Opposed to any rate increase request that subsidize costs associated with infrastructure for industrial custoemrs/data centers</t>
  </si>
  <si>
    <t>3711421000</t>
  </si>
  <si>
    <t>Krause</t>
  </si>
  <si>
    <t>Glenda</t>
  </si>
  <si>
    <t>https://docket.images.azcc.gov/E000048419.pdf</t>
  </si>
  <si>
    <t>9762601000</t>
  </si>
  <si>
    <t>Kendrick</t>
  </si>
  <si>
    <t>5434621000</t>
  </si>
  <si>
    <t>Vastbinder</t>
  </si>
  <si>
    <t>1276931000</t>
  </si>
  <si>
    <t>Pal</t>
  </si>
  <si>
    <t>EV charging stations and Data Center - make them pay</t>
  </si>
  <si>
    <t>https://docket.images.azcc.gov/E000048447.pdf</t>
  </si>
  <si>
    <t>Davina</t>
  </si>
  <si>
    <t>Opposed: I don't belileve residents should have to foot the bill for data centers</t>
  </si>
  <si>
    <t>https://docket.images.azcc.gov/E000048452.pdf</t>
  </si>
  <si>
    <t>Rieger</t>
  </si>
  <si>
    <t xml:space="preserve">1116019420 </t>
  </si>
  <si>
    <t>Loveland</t>
  </si>
  <si>
    <t>Taunia</t>
  </si>
  <si>
    <t>3668790000</t>
  </si>
  <si>
    <t>Durbin</t>
  </si>
  <si>
    <t xml:space="preserve">Daryl </t>
  </si>
  <si>
    <t>Kurtz</t>
  </si>
  <si>
    <t>O'Neill</t>
  </si>
  <si>
    <t>Hellard</t>
  </si>
  <si>
    <t>Joyce</t>
  </si>
  <si>
    <t>Vasquez</t>
  </si>
  <si>
    <t>Shaw</t>
  </si>
  <si>
    <t>Tom</t>
  </si>
  <si>
    <t>https://docket.images.azcc.gov/E000048497.pdf</t>
  </si>
  <si>
    <t>3406690000</t>
  </si>
  <si>
    <t>Mayberry</t>
  </si>
  <si>
    <t>8746371337</t>
  </si>
  <si>
    <t>Marsha</t>
  </si>
  <si>
    <t>3898390000</t>
  </si>
  <si>
    <t>Offer Assistance Programs?</t>
  </si>
  <si>
    <t>Sidhu</t>
  </si>
  <si>
    <t>Arman</t>
  </si>
  <si>
    <t>Filed two petitions 12/31 and 1/2</t>
  </si>
  <si>
    <t xml:space="preserve">Phoenix </t>
  </si>
  <si>
    <t>5434101000</t>
  </si>
  <si>
    <t>Salazar</t>
  </si>
  <si>
    <t>ER Lara</t>
  </si>
  <si>
    <t>TM</t>
  </si>
  <si>
    <t>Kok</t>
  </si>
  <si>
    <t>Queen Creek</t>
  </si>
  <si>
    <t>LaBarbera</t>
  </si>
  <si>
    <t>9194711000</t>
  </si>
  <si>
    <t>No MEP R3-47 ($84.61)</t>
  </si>
  <si>
    <t>Cearns</t>
  </si>
  <si>
    <t>Katharine</t>
  </si>
  <si>
    <t>7401033818</t>
  </si>
  <si>
    <t>Frozen</t>
  </si>
  <si>
    <t>Customer filed ACC complaint about automatic PA on 10/16/2025</t>
  </si>
  <si>
    <t>0037795787</t>
  </si>
  <si>
    <t>Winslow</t>
  </si>
  <si>
    <t>4471111000</t>
  </si>
  <si>
    <t>No MEP R3-47 ($274.25)</t>
  </si>
  <si>
    <t>Walewski</t>
  </si>
  <si>
    <t>2582490000</t>
  </si>
  <si>
    <t>Drumm</t>
  </si>
  <si>
    <t>S Marie</t>
  </si>
  <si>
    <t>Hager</t>
  </si>
  <si>
    <t>Janine</t>
  </si>
  <si>
    <t>6810330000</t>
  </si>
  <si>
    <t>Adams</t>
  </si>
  <si>
    <t>Shaffer</t>
  </si>
  <si>
    <t>3744670000</t>
  </si>
  <si>
    <t>No MEP TOUE-47 ($171.32)</t>
  </si>
  <si>
    <t>https://docket.images.azcc.gov/E000048522.pdf</t>
  </si>
  <si>
    <t>Williamson</t>
  </si>
  <si>
    <t>Elaine</t>
  </si>
  <si>
    <t>Holmquist</t>
  </si>
  <si>
    <t>Furlong</t>
  </si>
  <si>
    <t>2887570000</t>
  </si>
  <si>
    <t>Aycock</t>
  </si>
  <si>
    <t>5126480000</t>
  </si>
  <si>
    <t>Foushee</t>
  </si>
  <si>
    <t>3336741000</t>
  </si>
  <si>
    <t>No MEP R3-47 ($446.36)</t>
  </si>
  <si>
    <t>Sise</t>
  </si>
  <si>
    <t>6007103080</t>
  </si>
  <si>
    <t>Cummings</t>
  </si>
  <si>
    <t>Opposed: Data Centers are causing the issue; vote for the people not the corporations</t>
  </si>
  <si>
    <t>6353724277</t>
  </si>
  <si>
    <t>Patrovich</t>
  </si>
  <si>
    <t>Marcie</t>
  </si>
  <si>
    <t>Opposed: Too many fees, deny the rate increase</t>
  </si>
  <si>
    <t>2463621000</t>
  </si>
  <si>
    <t>EPR6w/ET-2</t>
  </si>
  <si>
    <t>Macek</t>
  </si>
  <si>
    <t>Marlene</t>
  </si>
  <si>
    <t>Opposed: APS is highly profitable. What about APS's expenses and spending?</t>
  </si>
  <si>
    <t>https://docket.images.azcc.gov/E000048542.pdf</t>
  </si>
  <si>
    <t>2897563325</t>
  </si>
  <si>
    <t>Arroyo</t>
  </si>
  <si>
    <t>Arielle</t>
  </si>
  <si>
    <t>Nurse and mother in protest of rate increase. Bills are astronomical.</t>
  </si>
  <si>
    <t>Palowoda</t>
  </si>
  <si>
    <t>APS just had a rate increase and $600 M in neet income. Prices are drive up becuase of EV charging ad Data Centers.</t>
  </si>
  <si>
    <t>9099650000</t>
  </si>
  <si>
    <t>Deny rate increase; quoting AZ Republic article 11/2/2025 and Kris Mayes. Against AI and data centers</t>
  </si>
  <si>
    <t>https://docket.images.azcc.gov/E000048535.pdf</t>
  </si>
  <si>
    <t>0211611000</t>
  </si>
  <si>
    <t>Hatler</t>
  </si>
  <si>
    <t>Carol (Phil)</t>
  </si>
  <si>
    <t>Deny rate increase: quoting Kris Mayes</t>
  </si>
  <si>
    <t>6381851000</t>
  </si>
  <si>
    <t>Winkler</t>
  </si>
  <si>
    <t>Laurie</t>
  </si>
  <si>
    <t>Deny the APS request for increased prices</t>
  </si>
  <si>
    <t>Levinshon</t>
  </si>
  <si>
    <t>Allyson</t>
  </si>
  <si>
    <t>https://docket.images.azcc.gov/E000048550.pdf</t>
  </si>
  <si>
    <t>Docketed 2x</t>
  </si>
  <si>
    <t>Alger</t>
  </si>
  <si>
    <t>Widow on a very fixed income. Supporting data centers bulit on my back. APS has never been honest or transparent</t>
  </si>
  <si>
    <t>https://docket.images.azcc.gov/E000048581.pdf</t>
  </si>
  <si>
    <t>5254461000</t>
  </si>
  <si>
    <t>Offer Assistance Program Info?</t>
  </si>
  <si>
    <t xml:space="preserve"> Seniors on fixed incomes are disproportionately affected by higher summer electric bills</t>
  </si>
  <si>
    <t>https://docket.images.azcc.gov/E000048641.pdf</t>
  </si>
  <si>
    <t>No MEP R3-47 ($99.06)</t>
  </si>
  <si>
    <t>Sally</t>
  </si>
  <si>
    <t>Put a stop to this kind of spending and stop inflation. Enough is enough.</t>
  </si>
  <si>
    <t>https://docket.images.azcc.gov/E000048716.pdf</t>
  </si>
  <si>
    <t>Elliott</t>
  </si>
  <si>
    <t>APS has deep enough pockets to cover these costs. We don't.</t>
  </si>
  <si>
    <t>Pouncy</t>
  </si>
  <si>
    <t>Ernest</t>
  </si>
  <si>
    <t xml:space="preserve">Retired on a fixed income. On-peak hours should change. Unfair, APS had a rate  hike two years ago. </t>
  </si>
  <si>
    <t>Filice</t>
  </si>
  <si>
    <t>Ridiculous, 22% increase in 3 years. People are struggling. Reject the rate increase.</t>
  </si>
  <si>
    <t>Fixed income, had the foresight to install solar, should not be charged an increase again.</t>
  </si>
  <si>
    <t xml:space="preserve">Opposed: APS top execs should take a pay cut and try to live on the median income. </t>
  </si>
  <si>
    <t>Furnas</t>
  </si>
  <si>
    <t>Kirkland</t>
  </si>
  <si>
    <t>yearly reduction of export rates for the past 5 years on solar systems supplying the grid. Non-solar customers have paid the difference</t>
  </si>
  <si>
    <t>Chesney</t>
  </si>
  <si>
    <t>16% for residential on top of the previous 8% is crippling as a retired person; with solar.</t>
  </si>
  <si>
    <t>Residents should not have to shoulder repeated increases while APS reports strong profits.</t>
  </si>
  <si>
    <t>No MEP R3-47 ($64.33)</t>
  </si>
  <si>
    <t>McCann</t>
  </si>
  <si>
    <t>We can't afford this type of increase - reeks of greed and corruption and quite frankly if this is passed l'd assume the council is getting bribed.</t>
  </si>
  <si>
    <t>Burkhart</t>
  </si>
  <si>
    <t>Pretty soon, my electric bill will be HALF of what I pay in mortgage. Normal people are struggling.</t>
  </si>
  <si>
    <t>Lindmark</t>
  </si>
  <si>
    <t>Commission sides with the Developers and Utility Companies; when are you going to side with the people?</t>
  </si>
  <si>
    <t>Harmonson</t>
  </si>
  <si>
    <t>It should not be allowed to profit off of the working class for things that are a necessity to survive.</t>
  </si>
  <si>
    <t>https://docket.images.azcc.gov/E000048738.pdf</t>
  </si>
  <si>
    <t>No MEP R3-47 ($359.67)</t>
  </si>
  <si>
    <t xml:space="preserve">Owned home for 15 years and made all the EE improvements and bills are still going up. </t>
  </si>
  <si>
    <t>No MEP R3-47 ($128.88</t>
  </si>
  <si>
    <t xml:space="preserve">Cumulative 23% increase in just over 2 years. Arizona are already struggling. </t>
  </si>
  <si>
    <t>Special Handling Case on Account (3 executive referrals, 1 AG complaint and 1 BBB complaint)</t>
  </si>
  <si>
    <t>Gutierrez-Whitmire</t>
  </si>
  <si>
    <t>Karla</t>
  </si>
  <si>
    <t>35-year customer and retiree on a fixed income. Watch  my neighbors struggle while APS continues to raise rates.</t>
  </si>
  <si>
    <t xml:space="preserve">Pricing should align with SRP. Believes power and water should be government provided. </t>
  </si>
  <si>
    <t>Gruber</t>
  </si>
  <si>
    <t>Fixed rate criteria must be updated to reflect hotter climate.</t>
  </si>
  <si>
    <t>Culligan</t>
  </si>
  <si>
    <t>Marianne</t>
  </si>
  <si>
    <t>Huge chip plant - costs should not be shouldered by homeowners/renters and those with solar shoulder an additional monthly fee</t>
  </si>
  <si>
    <t>Behnke</t>
  </si>
  <si>
    <t>Lynea</t>
  </si>
  <si>
    <t>Mother to young children, huge portion of paycheck is already going toward electric bill, impossible to save.</t>
  </si>
  <si>
    <t>https://images.edocket.azcc.gov/docketpdf/E000048753.pdf</t>
  </si>
  <si>
    <t>Yates-Reiser</t>
  </si>
  <si>
    <t xml:space="preserve">Seen bill  jump from $122 to over $300 after solar panel lease. Fighting to get onto the off-peak plan. </t>
  </si>
  <si>
    <t>Mancuso</t>
  </si>
  <si>
    <t>already too high, wages are stagnant, and the profit margins of this company are absurd.</t>
  </si>
  <si>
    <t>No MEP R3-47 ($336.56)</t>
  </si>
  <si>
    <t>Dzezinski</t>
  </si>
  <si>
    <t>APS's greed is asking for another hike less than 2  years after the last increase is borderline criminal.</t>
  </si>
  <si>
    <t>Ollis</t>
  </si>
  <si>
    <t>Cannot attend the public comment meeting. Monopoly, $483M profits, Their solar reimbursement program is a scam</t>
  </si>
  <si>
    <t>https://images.edocket.azcc.gov/docketpdf/E000048762.pdf</t>
  </si>
  <si>
    <t>1/22/2026+</t>
  </si>
  <si>
    <t>Ciasnocha</t>
  </si>
  <si>
    <t>Opposed, another increase after an 8% increase just 2 y ears ago, punishing solar, alarming FRM, quoting AG</t>
  </si>
  <si>
    <t>https://docket.images.azcc.gov/E000048791.pdf</t>
  </si>
  <si>
    <t>Apolinar</t>
  </si>
  <si>
    <t>Alexia</t>
  </si>
  <si>
    <t>Oppose -rate was just increased less than 2 years ago</t>
  </si>
  <si>
    <t>RCPw/TOUE47</t>
  </si>
  <si>
    <t>No MEP R3-47 ($84.24)</t>
  </si>
  <si>
    <t>Please contact customer regarding plan options and additional assistance programs</t>
  </si>
  <si>
    <t>Doris</t>
  </si>
  <si>
    <t>They just got a 16% rate increase and now those greedy people demand more?</t>
  </si>
  <si>
    <t>Participated in public comment session on 1/20</t>
  </si>
  <si>
    <t>Lister</t>
  </si>
  <si>
    <t xml:space="preserve">Thank you for the opportunity to testify today. Representing Opportunity Arizona. Quotes 12News for data center growth make up energy demand. </t>
  </si>
  <si>
    <t>Participated in public comment session on 1/20 - Representing Opportunity Arizona</t>
  </si>
  <si>
    <t>Kaur</t>
  </si>
  <si>
    <t>Sue</t>
  </si>
  <si>
    <t xml:space="preserve">Your Constitutional role as Commissioners... set just and reasonalbe rates. Majority of the commission has eyes on higher offices. </t>
  </si>
  <si>
    <t>My bill in the winter was almost $300 last month, and the heat and air were never used - that is criminal.</t>
  </si>
  <si>
    <t>Liu</t>
  </si>
  <si>
    <t>Yijeng</t>
  </si>
  <si>
    <t>Why do residents have to pay APS shareholders' dividends more and more each year?</t>
  </si>
  <si>
    <t>Lucas</t>
  </si>
  <si>
    <t xml:space="preserve">For families like mine, this is simply too much... customers should not be expected to absorb constant hikes whiles APS continues to report healthy returns. </t>
  </si>
  <si>
    <t>Simon</t>
  </si>
  <si>
    <t xml:space="preserve">Approving yet another rate ncrease-especially one that penalizes solar adoption and inflates transmission costs-would violate your duty. </t>
  </si>
  <si>
    <t>Arriola</t>
  </si>
  <si>
    <t>It's tough as it is to try to keep up with life without yet another increase from APS</t>
  </si>
  <si>
    <t>Pottorf</t>
  </si>
  <si>
    <t>Jaimie</t>
  </si>
  <si>
    <t>APS is a regulated utility with a statutory right to seek recovery of reasonable costs, however the magnitude of the request, paired with existing profits and the ongoing financial strain on AZ residents makes this application neither fair nor reasonable</t>
  </si>
  <si>
    <t>Conte</t>
  </si>
  <si>
    <t>Davide</t>
  </si>
  <si>
    <t xml:space="preserve">Commission review APS's solar rate design and consider whether forcing all solar customers into sunset-aligned peak pricing is consistent with fair cost allocation. </t>
  </si>
  <si>
    <t>Baird</t>
  </si>
  <si>
    <t>I have filed numerous complaints with BBB because our bills are sometimes $700! How does a family living on one income afford anymore?!</t>
  </si>
  <si>
    <t>Vassallo</t>
  </si>
  <si>
    <t>Kayla</t>
  </si>
  <si>
    <t>Burke</t>
  </si>
  <si>
    <t>Victoria</t>
  </si>
  <si>
    <t>Dahne</t>
  </si>
  <si>
    <t xml:space="preserve">Demand Charge Limiter and Demand Charge Credit... l've dropped my bills about 13% through my work on my electricity usage. Now APS wants to wipe that out just for the benefit of their shareholders and executive pay. </t>
  </si>
  <si>
    <t>Peterson</t>
  </si>
  <si>
    <t xml:space="preserve">Familes are trying to survive high interest rates, inflation, and provide for themselves and children. The name Arizona Public Service should be a reminder that electricity is a publis service, not a slush fund. </t>
  </si>
  <si>
    <t>No MEP R3-47 ($402.12)</t>
  </si>
  <si>
    <t>More effective and cheaper "green" policies on your part, APS, can make elevated usage of clean and cheap electricity happen,  not with the rising of prices</t>
  </si>
  <si>
    <t>Newbern</t>
  </si>
  <si>
    <t>James Marshall</t>
  </si>
  <si>
    <t>It is not evident that the current return on eequity being earned by APS is inadequate or that it threatens the company's ability to continue its already reliably service</t>
  </si>
  <si>
    <t>Sagadraca</t>
  </si>
  <si>
    <t>heavily against this price increase as it will add strain to the rising cost of living</t>
  </si>
  <si>
    <t>Green</t>
  </si>
  <si>
    <t xml:space="preserve">we are already struggling to balance the rising costs of childcare with our monthly utility bills. </t>
  </si>
  <si>
    <t>No MEP TOUE-47 ($139.27)</t>
  </si>
  <si>
    <t>Downs</t>
  </si>
  <si>
    <t>On a budget and already working 2 jobs to make ends meet, the price hike is nothing but greed.</t>
  </si>
  <si>
    <t>No MEP R3-47 ($42.04)</t>
  </si>
  <si>
    <t>Bergeron</t>
  </si>
  <si>
    <t>Electricity is an essential function of daily life and Arizona Public Service is a monolith in service provision in the valley.</t>
  </si>
  <si>
    <t>Scarborough</t>
  </si>
  <si>
    <t xml:space="preserve">I live with my mentally disabled uncle who is on a low-income. The last rate increased almost sent him to the hospital for heat stroke trying to k eep the AC bill down in his 1000 sq ft house. </t>
  </si>
  <si>
    <t>William III</t>
  </si>
  <si>
    <t>Retired, 2,000 sqft home, large solar system, 2 EV. APS is punishing us and h olding us hostage for doing the right thing for the environment</t>
  </si>
  <si>
    <t>https://docket.images.azcc.gov/E000048819.pdf</t>
  </si>
  <si>
    <t>Harrington</t>
  </si>
  <si>
    <t>APS's proposed 14% rate hike is an erroneous and unjustified increase that places unnecessary financial strain on the residents</t>
  </si>
  <si>
    <t xml:space="preserve">Gabriel </t>
  </si>
  <si>
    <t xml:space="preserve">Prices are outrageous and 4 or 5 increases in 5 years is disgraceful and completely shows it's about just money. Old boyz club. </t>
  </si>
  <si>
    <t xml:space="preserve">households are already struggling with rising costs for housing, food, healthcare, and fuel. Wages have not increased at the same pace as utility costs. </t>
  </si>
  <si>
    <t>At what time do we expect APS to reinvest their own profits to upgrade infrastructure?</t>
  </si>
  <si>
    <t>No MEP R3-47 ($55.05)</t>
  </si>
  <si>
    <t>Akers</t>
  </si>
  <si>
    <t xml:space="preserve">The Federal Government uses is about 2.7%. Why a 14% increase? When does it stop? I understand they need to make a profit but at what point do we say enough is enough. </t>
  </si>
  <si>
    <t>Donovan</t>
  </si>
  <si>
    <t>Tricia</t>
  </si>
  <si>
    <t xml:space="preserve">These rate increases are unsubstantiated on a consumer level. There should be an adjusted rate for the corporation over a certain size against the homeowner. </t>
  </si>
  <si>
    <t>Maynard</t>
  </si>
  <si>
    <t>Margie</t>
  </si>
  <si>
    <t>It is unethical for APS to increase rates 14% after just raising costs by 8% last year. Arizonans are already struggling</t>
  </si>
  <si>
    <t>Morris</t>
  </si>
  <si>
    <t>Abigail</t>
  </si>
  <si>
    <t xml:space="preserve">We are experiencing a death by a thousand rate hikes with no pathway to homeownership to start our family. </t>
  </si>
  <si>
    <t>Cupp</t>
  </si>
  <si>
    <t>Eva</t>
  </si>
  <si>
    <t>I am against any further hikes or increases in cost for electricity</t>
  </si>
  <si>
    <t>Duesbury</t>
  </si>
  <si>
    <t>As a senior on a fixed income, I cannot afford another rate hike by APS especially after they have gotten two in the last few years</t>
  </si>
  <si>
    <t>Marquez</t>
  </si>
  <si>
    <t>people cannot afford another APS price hike. We live in the desert, and to this company all you see is dollar signs. YOU GUYS SUCK IF YOU INCREASE MORE RATES</t>
  </si>
  <si>
    <t>No MEP RTOUE47 ($27.85)</t>
  </si>
  <si>
    <t>Musselman</t>
  </si>
  <si>
    <t>Williametta</t>
  </si>
  <si>
    <t xml:space="preserve">We purchased solar many  years ago. Now we hear APS wants to double the rate for solar customers. Why? </t>
  </si>
  <si>
    <t xml:space="preserve">Horton </t>
  </si>
  <si>
    <t>Daryl</t>
  </si>
  <si>
    <t xml:space="preserve">Arizonans are struggling with costs for housing, food, and other essentials. This increase is unjust and unreasonable. The Proposed FRM is a blank check. </t>
  </si>
  <si>
    <t>Berger</t>
  </si>
  <si>
    <t>No MEP R3-47 ($311.33)</t>
  </si>
  <si>
    <t>Akram</t>
  </si>
  <si>
    <t>Rami</t>
  </si>
  <si>
    <t xml:space="preserve">Aps needs to stop increase the bills. The gas and oil is cheaper there is no reason to increase the rate. </t>
  </si>
  <si>
    <t>Tocco</t>
  </si>
  <si>
    <t>Hailee</t>
  </si>
  <si>
    <t>Kocho</t>
  </si>
  <si>
    <t>Eileen</t>
  </si>
  <si>
    <t>rising costs places an undue financial burden on households-especially those on fixed incomes,</t>
  </si>
  <si>
    <t>No MEP R-XS ($11.32)</t>
  </si>
  <si>
    <t>Gewargis</t>
  </si>
  <si>
    <t>Sargis</t>
  </si>
  <si>
    <t xml:space="preserve">I am not fine with this increase and this will be so bad to manage for my home and business. </t>
  </si>
  <si>
    <t>Youshia</t>
  </si>
  <si>
    <t>This increase places a significant financial burden on households and small businesses</t>
  </si>
  <si>
    <t>No MEP R3-47 ($108.10)</t>
  </si>
  <si>
    <t xml:space="preserve">Costs of electricity are rising much faster than our incomes. People with fixed/limited income can't afford these drastic increases year over year. </t>
  </si>
  <si>
    <t>Not eligible yet</t>
  </si>
  <si>
    <t>Just transitioned from Tier 1 to Tier 2</t>
  </si>
  <si>
    <t>Kelcey</t>
  </si>
  <si>
    <t>Higher utility rates will place an undue burden on Arizona residents. Energy should remain affordable and accessible to all</t>
  </si>
  <si>
    <t>Montoya</t>
  </si>
  <si>
    <t>We personally have solar panels which we pay slot of money for only to have our electric bill still high. Our account should be in the negative.</t>
  </si>
  <si>
    <t>Seifert</t>
  </si>
  <si>
    <t>Lyn</t>
  </si>
  <si>
    <t>APS needs to be pressured to figure out how to keep costs down and find other ways to create cost-effective energy, such as portable nuclear power and natural gas.</t>
  </si>
  <si>
    <t>No MEP R3-47 ($339.29)</t>
  </si>
  <si>
    <t>Rueda</t>
  </si>
  <si>
    <t>Cristiana</t>
  </si>
  <si>
    <t>consider how this affects our total cost of living - many of us struggle to pay rising rent prices without utilities</t>
  </si>
  <si>
    <t>No MEP R-XS ($103.62)</t>
  </si>
  <si>
    <t>Huizenga</t>
  </si>
  <si>
    <t>Spend money within their means as opposed to growing the grid to prepare for future growth at the expense of the sonsumer. I invested in solar... costs continue to grow.</t>
  </si>
  <si>
    <t>Lundin</t>
  </si>
  <si>
    <t>This is pure GREED and negatively impacts all constituents. Do not pass this!</t>
  </si>
  <si>
    <t>No MEP R-XS ($845.52)</t>
  </si>
  <si>
    <t>Please contact customer regarding plan options - 3 properties total but 1 property is not on MEP.</t>
  </si>
  <si>
    <t>Pillsbury</t>
  </si>
  <si>
    <t>No more rate hikes! Already increased 8% last year! I oppose the 14% proposed increase!</t>
  </si>
  <si>
    <t>Zegarac</t>
  </si>
  <si>
    <t>Mara</t>
  </si>
  <si>
    <t>No increase in rates is needed or warranted. Put people over profits,</t>
  </si>
  <si>
    <t>No MEP R-BASIC ($40.52)</t>
  </si>
  <si>
    <t>Zach</t>
  </si>
  <si>
    <t>Increase on those awful dat centers which I'm going tonight to protest against the possibility of Surprise, Arizona, adding another one.</t>
  </si>
  <si>
    <t>Sukhera</t>
  </si>
  <si>
    <t>Jasim</t>
  </si>
  <si>
    <t>a resident of Phoenix AZ oppose the 14% utilities rate increase</t>
  </si>
  <si>
    <t>Mahoney</t>
  </si>
  <si>
    <t>Brindle</t>
  </si>
  <si>
    <t xml:space="preserve">Newly widowed, disabled snior. Half the time I don't even use the utilities because I can barely afford them. </t>
  </si>
  <si>
    <t>Arias</t>
  </si>
  <si>
    <t>Tessa</t>
  </si>
  <si>
    <t>Double the price I paid in SRP territory. Troubled by the proposal for FRM</t>
  </si>
  <si>
    <t>Currie</t>
  </si>
  <si>
    <t>Donald</t>
  </si>
  <si>
    <t xml:space="preserve">Solar customers got solar to help sustain the grid and keep our price stable. We paid for these panels. We should not be fee'd to death. Inrease data center even more. </t>
  </si>
  <si>
    <t>Neal</t>
  </si>
  <si>
    <t xml:space="preserve">14% APS rate hike is excessive for consumers. I am a senior citizen, struggling already. </t>
  </si>
  <si>
    <t>No MEP R3-47 ($235.41)</t>
  </si>
  <si>
    <t>Murton</t>
  </si>
  <si>
    <t>OPPOSE the proposed 14% rate increase by APS. Coming on the heels of an 8% increase just last year.</t>
  </si>
  <si>
    <t>Baughman Vincent</t>
  </si>
  <si>
    <t>Ericaanne</t>
  </si>
  <si>
    <t>Please do not let APS hike our rates! I already  had to cut vidal expenses such as food, medicine because the utilities rates are already out rages!</t>
  </si>
  <si>
    <t>Loomis</t>
  </si>
  <si>
    <t>The rate hike for 14 percent is crazy and to change solar customer's a sur change is not right</t>
  </si>
  <si>
    <t>My wife and I are on fixed incomes and our bill has risen from $103.52 per month to $174.52 in the last 2 years.</t>
  </si>
  <si>
    <t>No MEP R3-47 ($30.74)</t>
  </si>
  <si>
    <t>Pendergraft</t>
  </si>
  <si>
    <t xml:space="preserve">It is unreasonable to expect Arizona families to shoulder another significant iincrease. Quotes APS  mission statement on 'About Us' page. </t>
  </si>
  <si>
    <t>Mueller</t>
  </si>
  <si>
    <t xml:space="preserve">Why do they need YET ANOTHER INCREASE? APS is already charging WAAAAY more than SRP. </t>
  </si>
  <si>
    <t>Barraza</t>
  </si>
  <si>
    <t xml:space="preserve">Parent of  three children, like many Arizona families, we are already struggling with the rising cost of living. </t>
  </si>
  <si>
    <t>No MEP R-BASIC ($1.22)</t>
  </si>
  <si>
    <t>I also think that data centers should be paying their share for the increased electricity</t>
  </si>
  <si>
    <t>https://docket.images.azcc.gov/E000048828.pdf</t>
  </si>
  <si>
    <t>McKee</t>
  </si>
  <si>
    <t xml:space="preserve">It is unfathomable that they would request yet another rate hike, especially considering the outrageous amount the APS officers are taking in sompensation. </t>
  </si>
  <si>
    <t>Pays for advertising and sponsorships and events. APS could care less about the rate payers</t>
  </si>
  <si>
    <t>Devlin</t>
  </si>
  <si>
    <t>difficult to enjoy my retirement from hard work for 50 years. My family consistently tries to conserve but it seems like large businesses are not pulling their weight.</t>
  </si>
  <si>
    <t>Johancen</t>
  </si>
  <si>
    <t>Pls do NOT let them raise the elec rate, $600 million last year seems like they are doing OK</t>
  </si>
  <si>
    <t>https://docket.images.azcc.gov/E000048860.pdf</t>
  </si>
  <si>
    <t>Keliher</t>
  </si>
  <si>
    <t>Prices at the grocery store and it has tripled the cost per month that we pay for food. This has really out into our budget.</t>
  </si>
  <si>
    <t>Schedler</t>
  </si>
  <si>
    <t xml:space="preserve">As a person of faith, I believe it is morally wrong to ask for yet another rate increase for APS customers while simultaneously abandoning clean energy goals. </t>
  </si>
  <si>
    <t>Regen</t>
  </si>
  <si>
    <t>Dapcedich</t>
  </si>
  <si>
    <t>A 16%+ increase is unreasonable and unjustified. APS has made little improvements to their infrastructure compared to the increased amount of customers and revenue.</t>
  </si>
  <si>
    <t>https://docket.images.azcc.gov/E000048844.pdf</t>
  </si>
  <si>
    <t>Triggs</t>
  </si>
  <si>
    <t>Jovada</t>
  </si>
  <si>
    <t>Live with my daughter and am on a fixed income. Even with a discounted plan, I am still paying over $100 per month. I can't afford another increase. This is unfair</t>
  </si>
  <si>
    <t>https://docket.images.azcc.gov/E000048847.pdf</t>
  </si>
  <si>
    <t>Gaydos</t>
  </si>
  <si>
    <t>I worry about our schools. It should be the developers building that should be paying for the expansion and infrastructure to support our power grid.</t>
  </si>
  <si>
    <t>Griffis</t>
  </si>
  <si>
    <t>Arizonans are already struggling to afford. This proposal comes after multiple rate increases in recent years,</t>
  </si>
  <si>
    <t>https://docket.images.azcc.gov/E000048888.pdf</t>
  </si>
  <si>
    <t>Crawley</t>
  </si>
  <si>
    <t xml:space="preserve">I'm opposed to a rate increase from APS. It is difficult to pay our current bill, let alone an additional increase. We (retired folks) only received a $34 increase on our SS. </t>
  </si>
  <si>
    <t>??</t>
  </si>
  <si>
    <t>Frampton</t>
  </si>
  <si>
    <t>This is an unreasonable increase, particularly since APS just abandoned its clean energy goals.</t>
  </si>
  <si>
    <t>Tuggle</t>
  </si>
  <si>
    <t>Nora</t>
  </si>
  <si>
    <t xml:space="preserve">I am 72 years old, a disabled veteran on a fixed income. I am left questiong what options are available to me. </t>
  </si>
  <si>
    <t>Previous utility employee. Keep coal plants running. Solar customers should  not be penalized.</t>
  </si>
  <si>
    <t>The data copanies monopolizing the most usage need to pair their fair share. Do not put it off on the residential customers</t>
  </si>
  <si>
    <t>Gerald</t>
  </si>
  <si>
    <t>A 14% rate increase is unreasonable and unconscionable.It puts an unnecessary burden upon the average consumer</t>
  </si>
  <si>
    <t>https://docket.images.azcc.gov/E000048866.pdf</t>
  </si>
  <si>
    <t>Chettle</t>
  </si>
  <si>
    <t>We are opposed to the proposed rate increase of 14% in 2026</t>
  </si>
  <si>
    <t xml:space="preserve">Hill </t>
  </si>
  <si>
    <t>We the people the voters can't afford to have another increase in our electric. Data centers should be paying even more</t>
  </si>
  <si>
    <t>Participated in public comment session on 1/26</t>
  </si>
  <si>
    <t>Ewing</t>
  </si>
  <si>
    <t>We are already paying historic rate heights while the data centers receive their power at a discounted rate. Enough is enough!</t>
  </si>
  <si>
    <t>https://docket.images.azcc.gov/E000048893.pdf</t>
  </si>
  <si>
    <t>Threadgill</t>
  </si>
  <si>
    <t>If their expenses are on the rise pass the rate increases off to the mega users-Al &amp; Fab, plants not us</t>
  </si>
  <si>
    <t>Multiple Acct</t>
  </si>
  <si>
    <t xml:space="preserve">ACC should require APS to demonstrate stronger cost controls, clearer justification for projected expensses and meaningful efforts to protect low-income customers. </t>
  </si>
  <si>
    <t>This customer was re-assigned from Tier 1 to Tier 3. Likely not their best rate. Needs 3 months of data to see if RTOUE or R3 would be better.</t>
  </si>
  <si>
    <t>Hamrick</t>
  </si>
  <si>
    <t>Trying get help because every year my rent goes up</t>
  </si>
  <si>
    <t>https://docket.images.azcc.gov/E000048917.pdf</t>
  </si>
  <si>
    <t>May need information for additional assistance programs?</t>
  </si>
  <si>
    <t xml:space="preserve">Make a change now away from the Green new deal and do not allow APS to rais their rates. </t>
  </si>
  <si>
    <t>Unkown</t>
  </si>
  <si>
    <t>Representing Arizona Mormon Women for Ethical Government</t>
  </si>
  <si>
    <t>https://images.edocket.azcc.gov/docketpdf/E000048922.pdf</t>
  </si>
  <si>
    <t>Roberta</t>
  </si>
  <si>
    <t>I would like to ask why you weren't at the meeting as you are an elected official and you are one of the members in charge of making this important decision. I have lived in my current home that uses APS for 11 years. I have seen my rates inrease 3 times.</t>
  </si>
  <si>
    <t>https://docket.images.azcc.gov/E000048953.pdf</t>
  </si>
  <si>
    <t>1511021000</t>
  </si>
  <si>
    <t>No MEP R3-47 ($393.92)</t>
  </si>
  <si>
    <t>Please contact customer regarding rate options. Participated in public comment session on 1/20, Docketed 2x</t>
  </si>
  <si>
    <t>Keithly</t>
  </si>
  <si>
    <t>https://docket.images.azcc.gov/E000048950.pdf</t>
  </si>
  <si>
    <t>2146811000</t>
  </si>
  <si>
    <t>???</t>
  </si>
  <si>
    <t xml:space="preserve">Let's not California our state. As a republican I know that you'r first instinct is to help the people of Arizona not to line APS pockets. </t>
  </si>
  <si>
    <t>Cook</t>
  </si>
  <si>
    <t>$5 billion scheme to build a pipeline to bring gas from Texas, they're moving Arizona away from a clean energy future</t>
  </si>
  <si>
    <t>https://docket.images.azcc.gov/E000048958.pdf</t>
  </si>
  <si>
    <t>Gerheauser</t>
  </si>
  <si>
    <t>Why aren't savings from the alternate sources applied to customers, or invested in more alternate sources?</t>
  </si>
  <si>
    <t>0470347729</t>
  </si>
  <si>
    <t>Spear</t>
  </si>
  <si>
    <t>I don't think it is right for the existing residential homes to foot the bill in the form of rate increases for new residential and new commercial development.</t>
  </si>
  <si>
    <t>6336530000</t>
  </si>
  <si>
    <t>Chaison</t>
  </si>
  <si>
    <t>Please don't raise my rates! l can't afford the rates now! Help!</t>
  </si>
  <si>
    <t>Gloria</t>
  </si>
  <si>
    <t>They are already initially to high '??</t>
  </si>
  <si>
    <t>Jeana</t>
  </si>
  <si>
    <t xml:space="preserve">Over the past 12 months our electricy expenses have totaled under $5,000 for a family of five, despite having no major electricity draws or unusually high usage. </t>
  </si>
  <si>
    <t>3115810000</t>
  </si>
  <si>
    <t>Bollinger</t>
  </si>
  <si>
    <t>You want to raise but what are you going to tell disabled people like me that are basically trying to stay afloat</t>
  </si>
  <si>
    <t>5696755909</t>
  </si>
  <si>
    <t>No MEP TOUE-47 ($384.68)</t>
  </si>
  <si>
    <t>Hudson</t>
  </si>
  <si>
    <t xml:space="preserve"> it's impossible for the average Arizona. To afford electricity , if they continue to do this every single year.</t>
  </si>
  <si>
    <t>8552949923</t>
  </si>
  <si>
    <t>RTOUE</t>
  </si>
  <si>
    <t>No MEP R3-47 ($641.78)</t>
  </si>
  <si>
    <t>Gardella</t>
  </si>
  <si>
    <t>An average of $20 being added to simmer until bill will make it almost unmanageable for residents on a fixed income.</t>
  </si>
  <si>
    <t>https://docket.images.azcc.gov/E000048995.pdf</t>
  </si>
  <si>
    <t>2196530000</t>
  </si>
  <si>
    <t>Zamora</t>
  </si>
  <si>
    <t>Jeannette</t>
  </si>
  <si>
    <t>I am a retired individual who really can't afford the rate hikes that you continue to add. Tell the good people of Arizona why the hikes are so high</t>
  </si>
  <si>
    <t>3750358464</t>
  </si>
  <si>
    <t>Adena</t>
  </si>
  <si>
    <t>I live on a fixed income. Take care of an 82-year-old man you continuously increase these rates. I am unable to sustain payments so consider this my hardship letter if rates go up.</t>
  </si>
  <si>
    <t>3381172505</t>
  </si>
  <si>
    <t>Aho</t>
  </si>
  <si>
    <t>Tammy</t>
  </si>
  <si>
    <t>I'm currently 3 months behind and I've called every publlis assistance agency for help. Rate hikes will for sure 100% cut my electric off for my family. When is enough enough???</t>
  </si>
  <si>
    <t>8823390000</t>
  </si>
  <si>
    <t>Raggio</t>
  </si>
  <si>
    <t xml:space="preserve">Family of 6... I've already seen enough increases over the years that l'm constantly having to decide how to move my budget around to adjust for rising power costs. </t>
  </si>
  <si>
    <t>https://docket.images.azcc.gov/E000048963.pdf</t>
  </si>
  <si>
    <t>2493851000</t>
  </si>
  <si>
    <t>Murad</t>
  </si>
  <si>
    <t xml:space="preserve">I live in a 2-bedroom, 2-bathroom unit, yet last summer my bill was as high as someone living in a 2,000 sq. ft. house. The tier system they use is also a mess. </t>
  </si>
  <si>
    <t>This customer was re-assigned from Tier 1 to Tier 2. Likely not their best rate. Needs 3 months of data to see if RTOUE or R3 would be better.</t>
  </si>
  <si>
    <t>Maillie</t>
  </si>
  <si>
    <t xml:space="preserve">I work part time since 2023 march when I lost my job due to an accident. I help take care of a 73yr. cripple that requires 24/7/365 care. </t>
  </si>
  <si>
    <t>Vitagliano</t>
  </si>
  <si>
    <t>Lori</t>
  </si>
  <si>
    <t>As a teacher I can barely afford the costs of electricity as is let alone with a 14% increase.</t>
  </si>
  <si>
    <t>https://images.edocket.azcc.gov/docketpdf/E000049005.pdf</t>
  </si>
  <si>
    <t>6253351000</t>
  </si>
  <si>
    <t>Cortez</t>
  </si>
  <si>
    <t>They already got a hike no more greed please</t>
  </si>
  <si>
    <t>3425146909</t>
  </si>
  <si>
    <t>Deborah</t>
  </si>
  <si>
    <t>I am one of the many retired members living here and feel that they ahve taken advantage of the people long enough</t>
  </si>
  <si>
    <t>https://docket.images.azcc.gov/E000048921.pdf</t>
  </si>
  <si>
    <t>Parkhurst</t>
  </si>
  <si>
    <t>Phil</t>
  </si>
  <si>
    <t>APS's Continued quest for rate increases must be stopped.either they are guilty of outlandish greed or are incredibly inefficient</t>
  </si>
  <si>
    <t>9163322510</t>
  </si>
  <si>
    <t>Holmes</t>
  </si>
  <si>
    <t>They are selling there power to California at a profit. They should be cost conscious of the people of AZ!</t>
  </si>
  <si>
    <t>6608681161</t>
  </si>
  <si>
    <t>Perez</t>
  </si>
  <si>
    <t>Martha</t>
  </si>
  <si>
    <t>Have a heart in Jesus Christ we beg for lower cost. Please help American people with solar is the best option for all if</t>
  </si>
  <si>
    <t>Bingham</t>
  </si>
  <si>
    <t>Why does the commission always side with APS ? When will you side with poor and retired citizens</t>
  </si>
  <si>
    <t>2146939294</t>
  </si>
  <si>
    <t>Yolanda</t>
  </si>
  <si>
    <t>struggling to stay a float and you're trying to add another blow to our lives, NO WAY! Stop this madness and let us be able to feed our families</t>
  </si>
  <si>
    <t>1254845445</t>
  </si>
  <si>
    <t>Palomino</t>
  </si>
  <si>
    <t>Erica</t>
  </si>
  <si>
    <t>The service is expensive.</t>
  </si>
  <si>
    <t>9873429265</t>
  </si>
  <si>
    <t>Spanish Preference</t>
  </si>
  <si>
    <t xml:space="preserve">I worked for a water company at for 27 years in California... people are flocking to AZ which creates huge amounts of revenue. </t>
  </si>
  <si>
    <t>7219224316</t>
  </si>
  <si>
    <t>Munoz</t>
  </si>
  <si>
    <t>Olga</t>
  </si>
  <si>
    <t>Please do not allow APS to rise the rate on electricity.</t>
  </si>
  <si>
    <t>Ann</t>
  </si>
  <si>
    <t xml:space="preserve">As a senior citizen on a very fixed income; aware of help services but qualify for none. I haven't been able to afford red meat for 3 years. </t>
  </si>
  <si>
    <t>8289031000</t>
  </si>
  <si>
    <t>Crnich</t>
  </si>
  <si>
    <t>Betty</t>
  </si>
  <si>
    <t>everyone keep raising prices and the increase they give each year doesn't even begin to help us on cost of living</t>
  </si>
  <si>
    <t>8471280303</t>
  </si>
  <si>
    <t>Richter</t>
  </si>
  <si>
    <t>Klaus</t>
  </si>
  <si>
    <t>I am against the increase APS is planning</t>
  </si>
  <si>
    <t>9120261000</t>
  </si>
  <si>
    <t>EPR6w/ET</t>
  </si>
  <si>
    <t>Hopper</t>
  </si>
  <si>
    <t xml:space="preserve"> I'm on a payment plan now. Paying back the money owed during summer. (Which I can't afford) I still have 2-3 more payments</t>
  </si>
  <si>
    <t>2894811000</t>
  </si>
  <si>
    <t>Reis</t>
  </si>
  <si>
    <t>I am apposed to APS rate hike stop using the inefficient green energy and get more of the power from the PV plant</t>
  </si>
  <si>
    <t>7320710000</t>
  </si>
  <si>
    <t>Velasquez</t>
  </si>
  <si>
    <t>Geordanny</t>
  </si>
  <si>
    <t>APS already earns substantial profits, and raising rates again would place an unfair burden on Arizona households</t>
  </si>
  <si>
    <t>7653356618</t>
  </si>
  <si>
    <t>Orville</t>
  </si>
  <si>
    <t>Laveen</t>
  </si>
  <si>
    <t xml:space="preserve">When is enough enough. The more we give the more they ask for. But our pay as employees remains the same. </t>
  </si>
  <si>
    <t>Devita</t>
  </si>
  <si>
    <t>This company is scamming their customers... newsletter tips, want people to only do their heave use during off hours, they are the AT&amp;T of Arizona</t>
  </si>
  <si>
    <t>Merriam</t>
  </si>
  <si>
    <t>Danyial</t>
  </si>
  <si>
    <t>When you have to decide to cool your home so your babies wont die, or to buy food something is terribly wrong.</t>
  </si>
  <si>
    <t>9190810517</t>
  </si>
  <si>
    <t>Theadora</t>
  </si>
  <si>
    <t>They are charging at least half of the APS charges in taxes on top of the usage charges. That's wrong.</t>
  </si>
  <si>
    <t>6812133768</t>
  </si>
  <si>
    <t>Avery</t>
  </si>
  <si>
    <t>Some of us are barely making ends meet as it is already! Please vote NO to APS!!</t>
  </si>
  <si>
    <t>8747623529</t>
  </si>
  <si>
    <t>Parks</t>
  </si>
  <si>
    <t>Drop some of your expensive sponsorships that benefit few of us and keep your rates the same.</t>
  </si>
  <si>
    <t>6372180000</t>
  </si>
  <si>
    <t>Hubler</t>
  </si>
  <si>
    <t>Sherrie</t>
  </si>
  <si>
    <t xml:space="preserve">Notes company revenue, executive order to re-open Cholla, donations to Katie Hobbs and Kari Lake. </t>
  </si>
  <si>
    <t>0638230000</t>
  </si>
  <si>
    <t>Merrick</t>
  </si>
  <si>
    <t>m against the continuous increase in utilities. The cost of living isn't keeping up with these hikes.</t>
  </si>
  <si>
    <t>May be linked to a closed account in Peoria with a write off balance</t>
  </si>
  <si>
    <t>Nield</t>
  </si>
  <si>
    <t>Carolyn</t>
  </si>
  <si>
    <t xml:space="preserve">Most AZ citizens are like my Mother in law living on a fxed income from Social Security or disability. The prices are getting out of control. </t>
  </si>
  <si>
    <t>Wahlert</t>
  </si>
  <si>
    <t xml:space="preserve">Our living expenses have skyrocketed and it I have to stay cool in summer and warm in the winter. Please don't raise the fees again. </t>
  </si>
  <si>
    <t>3835027127</t>
  </si>
  <si>
    <t>No MEP R3-47 ($173.12)</t>
  </si>
  <si>
    <t>Amaro</t>
  </si>
  <si>
    <t>I have only one limited income to keep my home warm in the winter and especiall cooler in the hot hot summer months</t>
  </si>
  <si>
    <t>2488431000</t>
  </si>
  <si>
    <t>Chrzanowski</t>
  </si>
  <si>
    <t>Alma</t>
  </si>
  <si>
    <t>The average family is struggling enough just to put food on the table...we don't need our power company to "stick it to us",</t>
  </si>
  <si>
    <t>McAnney</t>
  </si>
  <si>
    <t>Congress</t>
  </si>
  <si>
    <t>APS already charges exorbitant fees for poor quality services. We as consumers cannot afford higher prices</t>
  </si>
  <si>
    <t>9193700000</t>
  </si>
  <si>
    <t xml:space="preserve"> I struggle and inconvenience my family trying to keep power bill under 400.00! And most of the time can't.</t>
  </si>
  <si>
    <t>Dunne</t>
  </si>
  <si>
    <t>Utility costs are already high, unaffordable energy costs will hurt our economy.</t>
  </si>
  <si>
    <t>7717350000</t>
  </si>
  <si>
    <t>Wyndy</t>
  </si>
  <si>
    <t>Enough is enough. People are at the limit, trying to make ends meet.</t>
  </si>
  <si>
    <t>5848920000</t>
  </si>
  <si>
    <t>Loiselle</t>
  </si>
  <si>
    <t>Jeffery</t>
  </si>
  <si>
    <t>APS continues to make 100+ million in profit. How much is enough? Till people particularly the elderly on fixed incomes can't afford it in the extreme heat or cold?</t>
  </si>
  <si>
    <t>Corlew</t>
  </si>
  <si>
    <t>We can no longer afford it I will need to sell and move if this continues Can you please give seniors a discount??</t>
  </si>
  <si>
    <t>2946131433</t>
  </si>
  <si>
    <t>Sadolfo</t>
  </si>
  <si>
    <t>As a military veteran and current government employee, we only received a 1% raise for 2026</t>
  </si>
  <si>
    <t>8914350000</t>
  </si>
  <si>
    <t>Harlene</t>
  </si>
  <si>
    <t xml:space="preserve">decide if I want heat or cool or or food and medicines. Using increases are going way over my head. Please help to keep them not going up. </t>
  </si>
  <si>
    <t>9780090000</t>
  </si>
  <si>
    <t>No MEP R3-47 ($66.61)</t>
  </si>
  <si>
    <t>DiGiovanni</t>
  </si>
  <si>
    <t>Vote No and gain some respect and integrity for once in your life.</t>
  </si>
  <si>
    <t>Milinovich</t>
  </si>
  <si>
    <t>Seniors will suffer in the summer heat because they can't afford to cool their homes in the summer.</t>
  </si>
  <si>
    <t>Kenyon</t>
  </si>
  <si>
    <t>From 2023 to 2024 they increase profits by about 400%. Now wanting an 18% increase is just corporate theft from the Arizona residents.</t>
  </si>
  <si>
    <t>Busby</t>
  </si>
  <si>
    <t>Public utilities along with a mortgage and food are necessities. Controlling the cost of these things is a must.</t>
  </si>
  <si>
    <t>3718560000</t>
  </si>
  <si>
    <t>Casillas</t>
  </si>
  <si>
    <t>Danielle Salas</t>
  </si>
  <si>
    <t>It breeds gentrification and pushes out already at risk communities. The last thing our communities need are price hikes.</t>
  </si>
  <si>
    <t>The 14% rate hike your company is asking for is uncalled for. You raised your rate last year.</t>
  </si>
  <si>
    <t>5836280000</t>
  </si>
  <si>
    <t>Don't you think we pay enough for power ? The data centers should pay any increase in power rates.</t>
  </si>
  <si>
    <t>Company already making millions in profits and therefore does not need an increase in revenue.</t>
  </si>
  <si>
    <t>Helie</t>
  </si>
  <si>
    <t>Jay</t>
  </si>
  <si>
    <t>Who in there right mind would vote Democrat and higher rates, there isn't any God nor the people in these price gougers</t>
  </si>
  <si>
    <t>7979387407</t>
  </si>
  <si>
    <t>Hanlon</t>
  </si>
  <si>
    <t>I am a 71 year old senior and my Social security is $956.00 a month. I am having trouble keeping my electric bill paid now</t>
  </si>
  <si>
    <t>1223180000</t>
  </si>
  <si>
    <t>Koukal</t>
  </si>
  <si>
    <t>Autumn</t>
  </si>
  <si>
    <t>ONE MILLION DOLLARS. ONE MILLION DOLLARS base pay is what Our APS CEO's salary is! That's Outrageous!</t>
  </si>
  <si>
    <t>3156865214</t>
  </si>
  <si>
    <t>No MEP R-BASIC ($213.65)</t>
  </si>
  <si>
    <t>Birtciel</t>
  </si>
  <si>
    <t>We can barely afford the electric bills now! No to a rate increase!</t>
  </si>
  <si>
    <t>Mosher</t>
  </si>
  <si>
    <t>Tonia</t>
  </si>
  <si>
    <t>customers cannot afford such a large increase at this time, especially because it has been only a short time since the rates were last raised.</t>
  </si>
  <si>
    <t>Chester</t>
  </si>
  <si>
    <t>When is enough enough ? The price is already at an all time high. No more increase</t>
  </si>
  <si>
    <t>1641700000</t>
  </si>
  <si>
    <t>EPR6w/ECT-2</t>
  </si>
  <si>
    <t>Ricci</t>
  </si>
  <si>
    <t>the cost of everything else skyrocketing someone like me who is 66 yrs old and 100% disabled will be homeless if the rates go up AGAIN!</t>
  </si>
  <si>
    <t>Past account has write off balance</t>
  </si>
  <si>
    <t>Andrea</t>
  </si>
  <si>
    <t xml:space="preserve">we cannot lower the A/C enough to stay cool in the summer. Sleeping in temps above 70 are not optimal for our health and well being and feeling rested. </t>
  </si>
  <si>
    <t>3987590960</t>
  </si>
  <si>
    <t>Andujar</t>
  </si>
  <si>
    <t>I believe that aps should lower the cost because not all of us has the funds to keep paying a lot of money</t>
  </si>
  <si>
    <t>8998382174</t>
  </si>
  <si>
    <t>No MEP RTOUE47 ($64.15)</t>
  </si>
  <si>
    <t>Vallejo</t>
  </si>
  <si>
    <t>David S</t>
  </si>
  <si>
    <t>I could agree to a rate increase if the salaries of the highest paid were lessened and bonuses across the board were eliminated.</t>
  </si>
  <si>
    <t>5752931000</t>
  </si>
  <si>
    <t>Arends</t>
  </si>
  <si>
    <t>TeNisha</t>
  </si>
  <si>
    <t>We have the sun at our disposal. Why isn't APS taking advantage of that to help the consumers that need their services</t>
  </si>
  <si>
    <t>7201057343</t>
  </si>
  <si>
    <t xml:space="preserve">I believe all the data centers you've allowed in our state are the biggest reason for the proposed increase. </t>
  </si>
  <si>
    <t>9059000000</t>
  </si>
  <si>
    <t>No MEP RTOUE47 ($37.10)</t>
  </si>
  <si>
    <t>Kleiner</t>
  </si>
  <si>
    <t>I am sick and tired of APS ripping me off every time you turn around the rates are going up because they can't manage their business</t>
  </si>
  <si>
    <t>8584354754</t>
  </si>
  <si>
    <t>Benge</t>
  </si>
  <si>
    <t>Robert E</t>
  </si>
  <si>
    <t>Power is hi enough</t>
  </si>
  <si>
    <t>7756330000</t>
  </si>
  <si>
    <t>Senior on a fixed income... I will petition to not pass the rate hike. How much more do you need? Will blood be enough?</t>
  </si>
  <si>
    <t>6957903863</t>
  </si>
  <si>
    <t>RCPw/RTOUE</t>
  </si>
  <si>
    <t>Krukovsky</t>
  </si>
  <si>
    <t xml:space="preserve">Aps has raised our bills enough they need to be stopped people on social security can't afford it </t>
  </si>
  <si>
    <t>9085230000</t>
  </si>
  <si>
    <t>Danica</t>
  </si>
  <si>
    <t>Utility prices are high enough and your profit margin is also high enough.</t>
  </si>
  <si>
    <t>3305306760</t>
  </si>
  <si>
    <t>Zickau</t>
  </si>
  <si>
    <t>l'm against the concept of consent price hikes</t>
  </si>
  <si>
    <t>Mitchell</t>
  </si>
  <si>
    <t>Electricity costs are already causing people to go without enough heat.</t>
  </si>
  <si>
    <t>Foutch</t>
  </si>
  <si>
    <t xml:space="preserve"> Everytime we turn around our rates go up. Enough is enough</t>
  </si>
  <si>
    <t>8037650000</t>
  </si>
  <si>
    <t>Young Town</t>
  </si>
  <si>
    <t>Against</t>
  </si>
  <si>
    <t>Rodger</t>
  </si>
  <si>
    <t>Electric need to come down on price the power plant in joe city need to be operation at 100 %</t>
  </si>
  <si>
    <t>Cassidy</t>
  </si>
  <si>
    <t>In my opinion APS rates are already crippling high for a lot of people</t>
  </si>
  <si>
    <t>8774200000</t>
  </si>
  <si>
    <t>Don't raise rates!</t>
  </si>
  <si>
    <t>4250340000</t>
  </si>
  <si>
    <t>Varga</t>
  </si>
  <si>
    <t>affordable access to power can be a matter of life and death.</t>
  </si>
  <si>
    <t>Bugenski</t>
  </si>
  <si>
    <t>I'm against the rate hike we are expensive enough</t>
  </si>
  <si>
    <t>3323516971</t>
  </si>
  <si>
    <t>We already pay for high electric bills why raise it? Why not help the community</t>
  </si>
  <si>
    <t>Brewer</t>
  </si>
  <si>
    <t>No price increase. APS is price gauging. They spent millions to keep solar energy out of Arizona.</t>
  </si>
  <si>
    <t>5904989349</t>
  </si>
  <si>
    <t>Tracy</t>
  </si>
  <si>
    <t>Stop this current rate hike</t>
  </si>
  <si>
    <t>7017440000</t>
  </si>
  <si>
    <t>Herrington</t>
  </si>
  <si>
    <t>Holly</t>
  </si>
  <si>
    <t>Aps is already making huge profits. Americans are already struggling. 14% would just hurt already struggling</t>
  </si>
  <si>
    <t>Masingale</t>
  </si>
  <si>
    <t>Drayanna</t>
  </si>
  <si>
    <t>Seniors; We are already down to remen daily if we want our Rx or no meds if we eat a roast.</t>
  </si>
  <si>
    <t>7135791485</t>
  </si>
  <si>
    <t>Terra</t>
  </si>
  <si>
    <t xml:space="preserve">I am against a rate increase for APS or SRP or any other peivate entity wishing to raise rates </t>
  </si>
  <si>
    <t>Rasor</t>
  </si>
  <si>
    <t>Against yet ANOTHER rate increase.</t>
  </si>
  <si>
    <t>7167141848</t>
  </si>
  <si>
    <t>Noe</t>
  </si>
  <si>
    <t>Kelli</t>
  </si>
  <si>
    <t>APS is receiving over millions of dollars and this price increase would negatively affect our families</t>
  </si>
  <si>
    <t>7837541989</t>
  </si>
  <si>
    <t>Guerena</t>
  </si>
  <si>
    <t>We don't need a rate increase. We pay enough as is. We have other things to pay for as well.</t>
  </si>
  <si>
    <t>4728431000</t>
  </si>
  <si>
    <t xml:space="preserve"> l'm a senior citizen on a fixed income and they are already profiting millions of dollars a year</t>
  </si>
  <si>
    <t>1584750000</t>
  </si>
  <si>
    <t>Jasmyne</t>
  </si>
  <si>
    <t xml:space="preserve">I am a single mom of 6.  I am already working two jobs just to handle the demand of the bills and other necessities </t>
  </si>
  <si>
    <t>Richardson</t>
  </si>
  <si>
    <t>This hike will hurt me and make me choose food or electricity. We do everything we can to conserve energy</t>
  </si>
  <si>
    <t>9393011000</t>
  </si>
  <si>
    <t>No MEP R3-47 ($239.72)</t>
  </si>
  <si>
    <t>Terrones</t>
  </si>
  <si>
    <t>Sharice</t>
  </si>
  <si>
    <t>I urge the commission and APS to consider alternative solutions that do not disproportionately impact customers</t>
  </si>
  <si>
    <t>8421411000</t>
  </si>
  <si>
    <t>Lederer</t>
  </si>
  <si>
    <t>Gordon</t>
  </si>
  <si>
    <t>Economy is barely catching up and we've just recently had a rate hike of 8% in 2024.</t>
  </si>
  <si>
    <t>Lawhead</t>
  </si>
  <si>
    <t>Jon</t>
  </si>
  <si>
    <t>l'll not pay more. l'II go off the grid</t>
  </si>
  <si>
    <t>1348524311</t>
  </si>
  <si>
    <t>No MEP R-BASIC ($73.44)</t>
  </si>
  <si>
    <t>Colcord</t>
  </si>
  <si>
    <t>APS already makes millions off of us. Corporate greed is a pox on society and the people deserve better.</t>
  </si>
  <si>
    <t>9329250000</t>
  </si>
  <si>
    <t>please take a minute or two and try to remember what it was like to get through the day when you don't have all the money in the world</t>
  </si>
  <si>
    <t>3529182418</t>
  </si>
  <si>
    <t>No MEP R-XS ($159.52)</t>
  </si>
  <si>
    <t>Rothanburg</t>
  </si>
  <si>
    <t>I have not turned my heat on this winter because I can't afford it. Yet their pockets and those of stockholders get fatter</t>
  </si>
  <si>
    <t>8128520000</t>
  </si>
  <si>
    <t>Sisco</t>
  </si>
  <si>
    <t>Christina</t>
  </si>
  <si>
    <t xml:space="preserve">My husband and I are retired. We can barely pay for our utilities, food, mortgage and meds. </t>
  </si>
  <si>
    <t>3918610000</t>
  </si>
  <si>
    <t>Perryman</t>
  </si>
  <si>
    <t xml:space="preserve">I also believe the higher cost of electricity is caused by electric car use. The country was not prepared for this at all. The grid is too small so APS... make prices higher. </t>
  </si>
  <si>
    <t xml:space="preserve">1935101000 </t>
  </si>
  <si>
    <t>Saliba</t>
  </si>
  <si>
    <t>(APS) already profits millions, but they're trying to raise our prices even more</t>
  </si>
  <si>
    <t>8253626106</t>
  </si>
  <si>
    <t>Maribel</t>
  </si>
  <si>
    <t>Bills are already high I'm living pay check to pay check. Please don't raise the price up.</t>
  </si>
  <si>
    <t>You people keep raising prices having no concern for the customers and are only focused on your shareholders</t>
  </si>
  <si>
    <t>5811606019</t>
  </si>
  <si>
    <t>Sours</t>
  </si>
  <si>
    <t>No NetZero... Keep energy cheap and affordable and reliable!! Nobody wants blackouts when it's 114 at night time!</t>
  </si>
  <si>
    <t>4886048295</t>
  </si>
  <si>
    <t>Kasten</t>
  </si>
  <si>
    <t>Surpsie</t>
  </si>
  <si>
    <t>No other company in the world gets to increase rates over 20% in a years time. If you make record profits</t>
  </si>
  <si>
    <t>9312211000</t>
  </si>
  <si>
    <t>Hatfield</t>
  </si>
  <si>
    <t>lm a handicapped senior with medical problems and I live on sandi so I have no money for a increase</t>
  </si>
  <si>
    <t>1293888411</t>
  </si>
  <si>
    <t>Zazzi</t>
  </si>
  <si>
    <t>My APS bill is so high . I struggle every month just to get it paid.</t>
  </si>
  <si>
    <t>3587630000</t>
  </si>
  <si>
    <t>its CEO almost $15,000,00. Seriously. And we have to pay an increase on a $30,000 salary a year.</t>
  </si>
  <si>
    <t>Rates have risen every year up to 5% We even have solar and are still paying over 200.00</t>
  </si>
  <si>
    <t>7156731000</t>
  </si>
  <si>
    <t>They say the grid needs improvement and corporations pay little or nothing ; they need to pay for improvements not residential</t>
  </si>
  <si>
    <t>Shauna</t>
  </si>
  <si>
    <t>Please don't raise prices I'm already trying my hardest at 64 years old and working restaurants</t>
  </si>
  <si>
    <t>8951210000</t>
  </si>
  <si>
    <t>Viggiani</t>
  </si>
  <si>
    <t>Karineh</t>
  </si>
  <si>
    <t>My bill is already high and for single seniors that are living off of social security it will be almost impossible</t>
  </si>
  <si>
    <t>0820101000</t>
  </si>
  <si>
    <t>Stop the price increases let the utilities take it out of thief not consumers pockets</t>
  </si>
  <si>
    <t>Bell</t>
  </si>
  <si>
    <t>Esther</t>
  </si>
  <si>
    <t>Prices are too high already being on a fixed income it will hurt</t>
  </si>
  <si>
    <t>9614631000</t>
  </si>
  <si>
    <t>No MEP R3-47 ($97.32)</t>
  </si>
  <si>
    <t>Weiss</t>
  </si>
  <si>
    <t>Please stop raising our electric bills no one can afford this . Plus the big shots are getting very rich</t>
  </si>
  <si>
    <t>0395270000</t>
  </si>
  <si>
    <t xml:space="preserve">Bradley </t>
  </si>
  <si>
    <t xml:space="preserve">The company is already making so much and instead of working to reduce costs, they just go for price increases. </t>
  </si>
  <si>
    <t>0676710000</t>
  </si>
  <si>
    <t>Zavala</t>
  </si>
  <si>
    <t>everything is so expensive we can't no longer are able to support ourselves on the income we receive from social security</t>
  </si>
  <si>
    <t>4591520000</t>
  </si>
  <si>
    <t>Lorrie</t>
  </si>
  <si>
    <t>Do not support increase for APS Please!!!!!!</t>
  </si>
  <si>
    <t>9044440000</t>
  </si>
  <si>
    <t>Qiyan</t>
  </si>
  <si>
    <t>Bee</t>
  </si>
  <si>
    <t>APS NEEDS TO INVEST IN WINDMILL POWER SOURCE.</t>
  </si>
  <si>
    <t>Stewart</t>
  </si>
  <si>
    <t>They dent need a rate increase. They make millions in profits. Consumers deserve a rate cut!</t>
  </si>
  <si>
    <t>6124887026</t>
  </si>
  <si>
    <t>Wilkes</t>
  </si>
  <si>
    <t>Give us all a break! Prices way too high!</t>
  </si>
  <si>
    <t>Ong</t>
  </si>
  <si>
    <t>Please do not approve this, many of us are already living paycheck to paycheck for these billionaires to line their pockets</t>
  </si>
  <si>
    <t>7862501317</t>
  </si>
  <si>
    <t>La Fever</t>
  </si>
  <si>
    <t>we are already getting taxed a bunch I can varely afford the bill now</t>
  </si>
  <si>
    <t>In today's improved economy (just ask Trump) and with the help from AI, APS should be able to figure out how to keep expenses down</t>
  </si>
  <si>
    <t>Use least amount of electricity, best plan, hard time now paying my bill</t>
  </si>
  <si>
    <t>3334230000</t>
  </si>
  <si>
    <t>Jacobs</t>
  </si>
  <si>
    <t>Rodney</t>
  </si>
  <si>
    <t>They claim to be honest and trustworthy to help it's customers but at the same time increase utilities with a smile</t>
  </si>
  <si>
    <t>Marilyn</t>
  </si>
  <si>
    <t>The Corporation Commission has burdened the rate payers of Arizona for years.</t>
  </si>
  <si>
    <t>1190311000</t>
  </si>
  <si>
    <t>Heller Walstra</t>
  </si>
  <si>
    <t>MORE hardship than already has been committed, I want to use harsher language, but am restraining myself</t>
  </si>
  <si>
    <t>I am widowed, on a fixed income. My income dropped in half after my husband passed away. My income pretty much stays the same</t>
  </si>
  <si>
    <t>3107488641</t>
  </si>
  <si>
    <t>Paulden</t>
  </si>
  <si>
    <t xml:space="preserve">The current rates are high enough and any increase would put an unfair burden on those of us in the lower income bracket. </t>
  </si>
  <si>
    <t>4148665323</t>
  </si>
  <si>
    <t>Delores</t>
  </si>
  <si>
    <t>Senior on a fixed income with UTILITIES CONSTANTLY GOING UP..CAN WE PLEASE GET A BREAK...PLEASE.. THANK YOU AND</t>
  </si>
  <si>
    <t>3166080000</t>
  </si>
  <si>
    <t>Monroe</t>
  </si>
  <si>
    <t>Constance</t>
  </si>
  <si>
    <t>We are on a fixed income and can't afford this utilities hike. Our golden years is now fools gold .</t>
  </si>
  <si>
    <t>No hike needed</t>
  </si>
  <si>
    <t>Buglione</t>
  </si>
  <si>
    <t>Jerald</t>
  </si>
  <si>
    <t xml:space="preserve">Once the economy is better we can talk about it. Everything right now is in a up wing. So please wait. </t>
  </si>
  <si>
    <t>8641426607</t>
  </si>
  <si>
    <t>Mer</t>
  </si>
  <si>
    <t>watch and say maybe this one will break them. Then start raking in all your mafia corporation greed blood money</t>
  </si>
  <si>
    <t>Crow</t>
  </si>
  <si>
    <t>Becky</t>
  </si>
  <si>
    <t>It can mean children won't have heat, people could end up losing their kids because of this. Money only goes so far</t>
  </si>
  <si>
    <t>Cannon</t>
  </si>
  <si>
    <t>We the people cannot, for the most part, cannot afford a raise on our port bills. The rich are already rich</t>
  </si>
  <si>
    <t>No More Rate hikes. We are paying for their upgrades without them having to spend from their bottom line.</t>
  </si>
  <si>
    <t>7220682240</t>
  </si>
  <si>
    <t>Shirk</t>
  </si>
  <si>
    <t>There presently no justification for an increase in utility rates. The present profit level meets their operating needs</t>
  </si>
  <si>
    <t>5802184548</t>
  </si>
  <si>
    <t>Corinne</t>
  </si>
  <si>
    <t xml:space="preserve">Proces on everything has increased enough and wages for my work aren't changing with it. </t>
  </si>
  <si>
    <t>Beas</t>
  </si>
  <si>
    <t>Kristina</t>
  </si>
  <si>
    <t>increase in cost is hurting my family to the point we almost get our services shut down.</t>
  </si>
  <si>
    <t>Pittenridge</t>
  </si>
  <si>
    <t>My summer bills are already between $500-$600, I have solar (another $110) that APS buys for pennies on the dollar</t>
  </si>
  <si>
    <t>7106518603</t>
  </si>
  <si>
    <t>Denning</t>
  </si>
  <si>
    <t>Charlene (Mark)</t>
  </si>
  <si>
    <t>HAVE NO MONEY TO LIVE ON. An a.p.s. keep sucking and sucking more money out of us elderly and disable.</t>
  </si>
  <si>
    <t>2138130000</t>
  </si>
  <si>
    <t>May need information for additional assistance programs? COR filed ACC complaint 3/26/2025</t>
  </si>
  <si>
    <t>What we need is more reliable service before we ever discuss rate increases</t>
  </si>
  <si>
    <t>3853770000</t>
  </si>
  <si>
    <t>Multiple accts</t>
  </si>
  <si>
    <t>I'm begging you to freeze the price increase. We simply can't afford to be squeezed any more,</t>
  </si>
  <si>
    <t>0961541000</t>
  </si>
  <si>
    <t>Isis</t>
  </si>
  <si>
    <t>After the emergency heat warning is over, I shouldn't be paying off my light bill from a few months ago. It's sick to profit off of a necessity</t>
  </si>
  <si>
    <t>Fought</t>
  </si>
  <si>
    <t>Jacquelyn</t>
  </si>
  <si>
    <t xml:space="preserve">Should be rejected unless APS demonstrates that residential customers are not subsidizing private industrial development. Quotes AG... </t>
  </si>
  <si>
    <t>Weston</t>
  </si>
  <si>
    <t>Your CEO and CFO and all the top executives are making a fortune off of us! Please think of the average Arizonans.</t>
  </si>
  <si>
    <t>5044377438</t>
  </si>
  <si>
    <t>Caruso</t>
  </si>
  <si>
    <t xml:space="preserve">Aps can't keep my power going as it is and want to raise rates. When the service gets better then we can talk about the 15% insrease. </t>
  </si>
  <si>
    <t>Ellingson</t>
  </si>
  <si>
    <t xml:space="preserve"> It is already so expensive - when I lived in MN it was cheaper to heat a four story house in the middle of a snow storm!</t>
  </si>
  <si>
    <t>Please stop raising the utility rates</t>
  </si>
  <si>
    <t>0970302756</t>
  </si>
  <si>
    <t>Melvinna</t>
  </si>
  <si>
    <t xml:space="preserve"> it's time to humble oneself because God is coming to humble those who feel they are in control</t>
  </si>
  <si>
    <t>4067480384</t>
  </si>
  <si>
    <t>Escalera</t>
  </si>
  <si>
    <t>Arturo</t>
  </si>
  <si>
    <t>We are against any more rate hikes from APS</t>
  </si>
  <si>
    <t>Corrales</t>
  </si>
  <si>
    <t>please don't let asp rise the price on our electric bill and l don't find it fair</t>
  </si>
  <si>
    <t>2249152989</t>
  </si>
  <si>
    <t>No MEP R3-47 ($170.72)</t>
  </si>
  <si>
    <t>DeMarco</t>
  </si>
  <si>
    <t>As it is as a senior it is hard enough to pay the electric bill now without a raise. Enough is enough.</t>
  </si>
  <si>
    <t>2175301000</t>
  </si>
  <si>
    <t>Sluis</t>
  </si>
  <si>
    <t xml:space="preserve">I think the service fees are already very high. It is hard enough to pay the bills. </t>
  </si>
  <si>
    <t>7684247240</t>
  </si>
  <si>
    <t>Hopley</t>
  </si>
  <si>
    <t>The increases in utilities are ridiculous. Our income is fixed and does not increase</t>
  </si>
  <si>
    <t>Gier</t>
  </si>
  <si>
    <t>Sandye</t>
  </si>
  <si>
    <t>Pine</t>
  </si>
  <si>
    <t>Make it STOP please! Enough is enough. The burden is too much. These constant rate hikes are breaking us</t>
  </si>
  <si>
    <t>5031931000</t>
  </si>
  <si>
    <t>Not Eligible - Non-AMI Analog</t>
  </si>
  <si>
    <t>Boyle</t>
  </si>
  <si>
    <t>nothing to do with improving services. They are pricing consumers right out of living.</t>
  </si>
  <si>
    <t>7962260520</t>
  </si>
  <si>
    <t>Chaparro</t>
  </si>
  <si>
    <t>Giselle</t>
  </si>
  <si>
    <t>we are being censored and how none of the people we voted for care about the citizens of Arizona. May I remind them we pay their underseved salaries</t>
  </si>
  <si>
    <t>Gayle</t>
  </si>
  <si>
    <t>APS is raping the customers! The educated have not forgotten the APS &amp; Republicans scandal just a few years ago! It's time to stop the corruption.</t>
  </si>
  <si>
    <t>0457800000</t>
  </si>
  <si>
    <t>Luchini</t>
  </si>
  <si>
    <t>Lining the pockets of the people at the top, but if there's no substantial change in infrastructure, there's no reason to increase our bills</t>
  </si>
  <si>
    <t>2197965965</t>
  </si>
  <si>
    <t>Vago</t>
  </si>
  <si>
    <t>Most of us are going to have to pay around 50.00 more per month than 2 years ago. When is the public going to get a break.</t>
  </si>
  <si>
    <t>7653281462</t>
  </si>
  <si>
    <t>Chavira</t>
  </si>
  <si>
    <t>In this day &amp; age of changes to our atmosphere, climate shifting to Mid Central, Southwestern states in our Country.</t>
  </si>
  <si>
    <t>Temp</t>
  </si>
  <si>
    <t>People can't afford things as it is. Please don't raise rates on our utilities.</t>
  </si>
  <si>
    <t>Alcaraz</t>
  </si>
  <si>
    <t>get rid of all the unnecessary fees and reduce the salary of your executives and board of directors.</t>
  </si>
  <si>
    <t>Dannen</t>
  </si>
  <si>
    <t xml:space="preserve">APS needs to start cutting costs just like the rest of us... instead of running a poor business model and coming running to the Corporation Commission. </t>
  </si>
  <si>
    <t>7538194993</t>
  </si>
  <si>
    <t>Bapst</t>
  </si>
  <si>
    <t xml:space="preserve">I'm a single mom - I can't even afford internet let alone an increase in one of my normal costs. </t>
  </si>
  <si>
    <t>8063548465</t>
  </si>
  <si>
    <t>Gruhlke</t>
  </si>
  <si>
    <t>Why? Are energy prices not high enough? in an era of gauging, be less greedy.</t>
  </si>
  <si>
    <t>Brunton</t>
  </si>
  <si>
    <t>It's hard to keep up with the cost in the heat of Arizona let alone for the rest of the year. I have a family of four and it's really hard</t>
  </si>
  <si>
    <t>Nepley</t>
  </si>
  <si>
    <t>Claudia</t>
  </si>
  <si>
    <t>Best plan; solar panels, turn off electric from 4-7, affects my fibromyalgia.</t>
  </si>
  <si>
    <t>Ariel</t>
  </si>
  <si>
    <t>APS already profits millions off us. There is no other reason to raise rates other than greed.</t>
  </si>
  <si>
    <t>Stevens</t>
  </si>
  <si>
    <t>There is no need to raise consumer rates. The need is for APS to cut the fat!</t>
  </si>
  <si>
    <t>Kamb</t>
  </si>
  <si>
    <t>If the parent company is unable to run the utility without requiring huge profits from the public need, perhaps they should sell to the State of Arizona</t>
  </si>
  <si>
    <t>7376875088</t>
  </si>
  <si>
    <t>Mikles</t>
  </si>
  <si>
    <t>Merry</t>
  </si>
  <si>
    <t>I invested in solar and they still charge excessive amounts in the summer when it's high usage in Arizona</t>
  </si>
  <si>
    <t>9237480000</t>
  </si>
  <si>
    <t>company shouldn't be benefiting from their customers as everything is so expensive and we no longe can afford anything with social security income</t>
  </si>
  <si>
    <t xml:space="preserve">4591520000 </t>
  </si>
  <si>
    <t>Griffin</t>
  </si>
  <si>
    <t>Robert S</t>
  </si>
  <si>
    <t>We are Directors if the Southwest Indian Missionary Association. APS classifies the chapel and SWIMA office accounts as commercial. We are NOT a store or a business</t>
  </si>
  <si>
    <t>Jorgensen</t>
  </si>
  <si>
    <t>Faith</t>
  </si>
  <si>
    <t>We already pay incredibly high energy prices in the summer. I do not approve of any increases in prices.</t>
  </si>
  <si>
    <t>3686490000</t>
  </si>
  <si>
    <t>Quit with the money grab and lower our bills, charge the data centers and other high users more</t>
  </si>
  <si>
    <t>https://docket.images.azcc.gov/E000049100.pdf</t>
  </si>
  <si>
    <t>Instead of raising utilities, why can't you find out how to recycle cables, copper, metal and use it like SRP. I am a retired... can't afford the rate hikes</t>
  </si>
  <si>
    <t>This seems to be a total disregard for the welfare of others with such a ridiculous increase. l'd like for someone, anyone to explain why</t>
  </si>
  <si>
    <t>My experience with APS has been defined by a total lack of transparency and poor service</t>
  </si>
  <si>
    <t>4132830000</t>
  </si>
  <si>
    <t>Gajon</t>
  </si>
  <si>
    <t>Anaisabel</t>
  </si>
  <si>
    <t>Everything is too expensive. It is impossible to afford electricity in this heat as is,</t>
  </si>
  <si>
    <t>0339264588</t>
  </si>
  <si>
    <t>No MEP R3-47 ($107.12)</t>
  </si>
  <si>
    <t>Please contact customer regarding plan options and additional assistance programs?</t>
  </si>
  <si>
    <t>Prices continue to go up as l currently sit in a power outage at 8:30pm which was scheduled with less than 24 hours notice.</t>
  </si>
  <si>
    <t>Pittman</t>
  </si>
  <si>
    <t>you've supported everything the federal government has done in the last year. Eat your costs, provide your public service</t>
  </si>
  <si>
    <t>9771481818</t>
  </si>
  <si>
    <t>The continual increase of pricing is hurting the community more than they know.</t>
  </si>
  <si>
    <t>STOP RAISING THE PRICES WE CANT KEEP DOING THIS</t>
  </si>
  <si>
    <t>Carmody</t>
  </si>
  <si>
    <t>I am 75 years old and living on a fixed income. APS is constantly raising the electric bill because of political nonsense</t>
  </si>
  <si>
    <t>Bright</t>
  </si>
  <si>
    <t>it is wrong to ask for more when their profits are through the roof. People are already struggling to pay their basic bills</t>
  </si>
  <si>
    <t xml:space="preserve">My fiance and I are raising two kids as a middle-class household, but with these increasing costs, it doesn't even feel like we are middle class anymore. </t>
  </si>
  <si>
    <t>1970970000</t>
  </si>
  <si>
    <t>Smouse</t>
  </si>
  <si>
    <t>Rachelle</t>
  </si>
  <si>
    <t xml:space="preserve"> I am a public school teacher and my pay cannot keep up. AC set to 80 degrees, got solar</t>
  </si>
  <si>
    <t>Crozier</t>
  </si>
  <si>
    <t xml:space="preserve">We are living paycheck to paycheck, but it's just over the limit for help with our utilities. We live in a small trailer in a RV park. </t>
  </si>
  <si>
    <t>1023732719</t>
  </si>
  <si>
    <t>Kolodinsky</t>
  </si>
  <si>
    <t>seeking to skirt the historical process of public comment and rate making procedure. Particularly in light of the fact that APS has not followed through with prior commitment to clean energy</t>
  </si>
  <si>
    <t>7279540000</t>
  </si>
  <si>
    <t>Alsbrook</t>
  </si>
  <si>
    <t>Darlene</t>
  </si>
  <si>
    <t>The  mental &amp; emotional impact of rising costs in each of these areas is contributing to the decline in mental health and directly to the riots &amp; civil unrest</t>
  </si>
  <si>
    <t>2697756949</t>
  </si>
  <si>
    <t>They already got a hike no more greed please.</t>
  </si>
  <si>
    <t>APS wants to increase cost of payback of line use on transmission of solar that they sell to others at a higer rate.</t>
  </si>
  <si>
    <t>1694440000</t>
  </si>
  <si>
    <t>Schrieber</t>
  </si>
  <si>
    <t>Silvia</t>
  </si>
  <si>
    <t>Cut back other places and do not charge residents one penny for the construction of data centers</t>
  </si>
  <si>
    <t>https://docket.images.azcc.gov/E000049142.pdf</t>
  </si>
  <si>
    <t>Tolmachoff</t>
  </si>
  <si>
    <t>As a mom helping to support a family of six, our electricity costs are already overwhelming</t>
  </si>
  <si>
    <t>2159340000</t>
  </si>
  <si>
    <t>Gorski</t>
  </si>
  <si>
    <t>Rates continue rising every year without any protection for consumers. We need help lowering rates.</t>
  </si>
  <si>
    <t>3984073978</t>
  </si>
  <si>
    <t>No MEP R3-47 ($106.33)</t>
  </si>
  <si>
    <t>Take care of an 82-year-old man you continuously increase these rates... will need assistance.</t>
  </si>
  <si>
    <t>asking ratepayers to absorb such a significant increase while the utility continues to receive guaranteed returns and protected profits-raises serious concerns about fairness,</t>
  </si>
  <si>
    <t>3846299964</t>
  </si>
  <si>
    <t>Ulreich-Power</t>
  </si>
  <si>
    <t>Siobhan</t>
  </si>
  <si>
    <t>Do NOT pass the bill to increase our costs. Encourage solar power - Arizona should be a leader in solar, not dragging our feet!</t>
  </si>
  <si>
    <t>8629551000</t>
  </si>
  <si>
    <t>If the ACC votes to allow APS to have ANY increase again, I can assure you not one Republican will be voted into office again. Y</t>
  </si>
  <si>
    <t>https://docket.images.azcc.gov/E000049112.pdf</t>
  </si>
  <si>
    <t xml:space="preserve"> I have emailed you numerous times stating how STRONGLY I AM AGAINST ANY RATE INCREASE FOR APS. I will be waiting for you to email me with the requested information. </t>
  </si>
  <si>
    <t>https://docket.images.azcc.gov/E000049115.pdf</t>
  </si>
  <si>
    <t>5494061000</t>
  </si>
  <si>
    <t>Rosalina</t>
  </si>
  <si>
    <t>A $700 light bill for a 1,691 square foot house is outrageous. Why should we need to depend on (assistance) programs...</t>
  </si>
  <si>
    <t>https://docket.images.azcc.gov/E000049211.pdf</t>
  </si>
  <si>
    <t>Haas</t>
  </si>
  <si>
    <t>(Rates) are well above inflation and need to be skated back. These large increases should be placed on all the large data centers</t>
  </si>
  <si>
    <t>Jan</t>
  </si>
  <si>
    <t>we just can not afford all these increases. Especially not when we see the savings being passed on to the large customers in terms of lower rates.</t>
  </si>
  <si>
    <t>https://docket.images.azcc.gov/E000049176.pdf</t>
  </si>
  <si>
    <t>Larson</t>
  </si>
  <si>
    <t>As someone who works n education, I am often home during the summer months and the ever rising costs for utilities sting quite a</t>
  </si>
  <si>
    <t>Thayer</t>
  </si>
  <si>
    <t>No on APS rate increase until they stop all advertising at the Phoenix Suns! Do they have a suite there? No to data centers</t>
  </si>
  <si>
    <t>Rosas</t>
  </si>
  <si>
    <t>Snowflake</t>
  </si>
  <si>
    <t>Prioritize affordability and bill stability for residential and rural customers Reliable electricity is essential, but it must remain affordable.</t>
  </si>
  <si>
    <t>https://docket.images.azcc.gov/E000049239.pdf</t>
  </si>
  <si>
    <t>Bright Future?</t>
  </si>
  <si>
    <t>I propose aperformance-based interconnection standard centered on Industrial Thermal Symbiosis</t>
  </si>
  <si>
    <t>https://docket.images.azcc.gov/E000049228.pdf</t>
  </si>
  <si>
    <t>Wederski</t>
  </si>
  <si>
    <t>Lonnie and Billie</t>
  </si>
  <si>
    <t>I'm writing to request a no vot on the FRM which would allow APS free reign to raise rates</t>
  </si>
  <si>
    <t>https://docket.images.azcc.gov/E000049260.pdf</t>
  </si>
  <si>
    <t>Maura</t>
  </si>
  <si>
    <t>*Spanish comments*</t>
  </si>
  <si>
    <t>As a military family with a son, we strongly oppose this rate increase. It is not fair that regular families are being charged more while big corp get discounts</t>
  </si>
  <si>
    <t>No MEP R3-47 ($27.99)</t>
  </si>
  <si>
    <t>Legrand</t>
  </si>
  <si>
    <t>Kareem</t>
  </si>
  <si>
    <t xml:space="preserve">APS is taking advantage of the Arizona weather and it is hurting the citizens who have no choice in the matter. </t>
  </si>
  <si>
    <t>Ostreicher</t>
  </si>
  <si>
    <t>As a single father of 2 kids, a 14% rate increase in just over a year is ridiculous</t>
  </si>
  <si>
    <t>https://docket.images.azcc.gov/E000049265.pdf</t>
  </si>
  <si>
    <t>COR is linked to multiple accounts</t>
  </si>
  <si>
    <t>Keneally</t>
  </si>
  <si>
    <t xml:space="preserve">I am fortunate enough to be able to afford any proposed rate increases, but that doesn't mean that I think its right. </t>
  </si>
  <si>
    <t>They are taking money from their customers... while donating to charities and advertising on TV</t>
  </si>
  <si>
    <t>https://docket.images.azcc.gov/E000049336.pdf</t>
  </si>
  <si>
    <t>I been living in my place for 24 years. I get low-income discounts and equalizer. I will start setting my AC to 85.</t>
  </si>
  <si>
    <t>Gerkin</t>
  </si>
  <si>
    <t>$240 extra per year for the average household. I am retired and on a fixed income, so I and many others like me, cannot afford</t>
  </si>
  <si>
    <t>Graham</t>
  </si>
  <si>
    <t>86 y/o, lives alone, Social Security Cost of Living 2.8 percent</t>
  </si>
  <si>
    <t>https://docket.images.azcc.gov/E000049357.pdf</t>
  </si>
  <si>
    <t>Litke</t>
  </si>
  <si>
    <t>Senior living in subsidized housing on a low income</t>
  </si>
  <si>
    <t>Valladares</t>
  </si>
  <si>
    <t>Data Centers are ready to work with the water and electricity.</t>
  </si>
  <si>
    <t>No MEP R3-47 ($248.22)</t>
  </si>
  <si>
    <t>SPANISH PREFERRED CUSTOMER - Please contact customer regarding plan options</t>
  </si>
  <si>
    <t xml:space="preserve">Relying solely on our Social Security benefits... we are already struggling with the rising costs of living. </t>
  </si>
  <si>
    <t>Varanauski</t>
  </si>
  <si>
    <t>Joan</t>
  </si>
  <si>
    <t>A nearly 15% increase on my utility bill is an excessive financial burden that l simply cannot afford.</t>
  </si>
  <si>
    <t>Sun City Home Owners Association</t>
  </si>
  <si>
    <t>Unknow</t>
  </si>
  <si>
    <t>SCHOA does formally oppose granting this proposed APS increase as we believe it is unfair, unjustified, and harmful to nearly 40k residents</t>
  </si>
  <si>
    <t>Rosalva</t>
  </si>
  <si>
    <t>If APS really cares about its customers look into blocking these data centers from moving to Arizona</t>
  </si>
  <si>
    <t>No MEP R3-47 ($64.75)</t>
  </si>
  <si>
    <t>Ender</t>
  </si>
  <si>
    <t xml:space="preserve">Working citizens should not have to have to have an increase on an already rising cost of living. Data centers are the ones that are taking so much energy. </t>
  </si>
  <si>
    <t>Shirreff</t>
  </si>
  <si>
    <t>Wanda</t>
  </si>
  <si>
    <t>large commercial and business customers are not bearing a greater share of this increase. Protect residential customers</t>
  </si>
  <si>
    <t>G</t>
  </si>
  <si>
    <t>Stan</t>
  </si>
  <si>
    <t>Uknown</t>
  </si>
  <si>
    <t>Concerned with the rate change from Tier 1 to Tier 2 and provides transcript of the chat with aps</t>
  </si>
  <si>
    <t>Malter</t>
  </si>
  <si>
    <t>Rosalie</t>
  </si>
  <si>
    <t>APS greed is causing suffering among people like us 80+ aged seniors.</t>
  </si>
  <si>
    <t>Hilliard</t>
  </si>
  <si>
    <t>I am concerned about the economic impact of the proposed 13.99% increase on Navajo County residential and business customers</t>
  </si>
  <si>
    <t>https://docket.images.azcc.gov/E000049383.pdf</t>
  </si>
  <si>
    <t>Sherman</t>
  </si>
  <si>
    <t>express my concern with APS's proposed rate increases, particularl the solar Grid Access Charge alongside the continued erosion of affordability for Arizona families.</t>
  </si>
  <si>
    <t>Conner</t>
  </si>
  <si>
    <t xml:space="preserve">I am a retiree on a fixed income and am very concerned about the continuing raising costs of living. </t>
  </si>
  <si>
    <t>Snapp</t>
  </si>
  <si>
    <t>I have solar and believe this should not raise my rates. I believe more investment in solar would benefit APS.</t>
  </si>
  <si>
    <t>Pappin</t>
  </si>
  <si>
    <t>My wife and I are retired and our only income is from My Navy Retirement and Social Security Benefits. You should limit the rate increase to the COLA increase.</t>
  </si>
  <si>
    <t>https://docket.images.azcc.gov/E000049378.pdf</t>
  </si>
  <si>
    <t>Stoop</t>
  </si>
  <si>
    <t>I would like to know if The ACC is requiring APS to keep Four Corners Online?</t>
  </si>
  <si>
    <t>https://docket.images.azcc.gov/E000049379.pdf</t>
  </si>
  <si>
    <t>Bean</t>
  </si>
  <si>
    <t>I dent think APS needs another 14% rate hike people are barely making ends meet.</t>
  </si>
  <si>
    <t>No MEP R3-47 ($326.85)</t>
  </si>
  <si>
    <t>Docketed 2x Please contact customer regarding plan options and additional assistance programs?</t>
  </si>
  <si>
    <t>Please stop letting APS having constant rate hikes! I leased solar panels to reduce my energy costs.</t>
  </si>
  <si>
    <t>not all that long ago that APS did not need to have an "on peak/offpeak" ... renewable energy sources are driving up costs.</t>
  </si>
  <si>
    <t>https://docket.images.azcc.gov/E000049400.pdf</t>
  </si>
  <si>
    <t>We had a rateincrease of 8% in 2024 another 8% increase in 2025 and now you expect that we should allow another increase of 14%</t>
  </si>
  <si>
    <t>January, my demand charge was $240.55. My total bill was $513.80. I am paying nearly as much for one hour of peak demand per month as I am for all 30 days</t>
  </si>
  <si>
    <t>Little</t>
  </si>
  <si>
    <t>Despite ratepayers using virtually the same or fewer KWHs, we are now being asked AGAIN to accommodate a rate increase. Let those that use the most, pay the most.</t>
  </si>
  <si>
    <t>https://docket.images.azcc.gov/E000049387.pdf</t>
  </si>
  <si>
    <t>St Clair</t>
  </si>
  <si>
    <t>APS rate increase. When is enough, enough!?!? No more rate increases. It's outrageous!</t>
  </si>
  <si>
    <t>Bowman</t>
  </si>
  <si>
    <t>My husband and I are both nurses and we have one child. Even living modestly with two professional degrees and employment, we struggle to keep up</t>
  </si>
  <si>
    <t>Noyes</t>
  </si>
  <si>
    <t>Wage growth has not caught up to the rising costs of living, especially here in Arizona</t>
  </si>
  <si>
    <t>Jack</t>
  </si>
  <si>
    <t>I am a native born Arizonan and always believed APS was here to serve the people who lived in Arizona.But I no longer feel that way.</t>
  </si>
  <si>
    <t>2 locations are AMI Opt Out</t>
  </si>
  <si>
    <t>Fleet</t>
  </si>
  <si>
    <t>October 2023 $67 credit, October 2024 $71 credit, October 2025 $81 bill</t>
  </si>
  <si>
    <t>Solar United Neighbors</t>
  </si>
  <si>
    <t>Organizational Comment Opposing APS's Proposed Grid Access Charge, Excessive ROE, and Unaffordable Rate Increase</t>
  </si>
  <si>
    <t>https://docket.images.azcc.gov/E000049395.pdf</t>
  </si>
  <si>
    <t>N/A</t>
  </si>
  <si>
    <t>Please vote against the APS rate increase application and any other increase application APS applies for</t>
  </si>
  <si>
    <t>https://docket.images.azcc.gov/E000049441.pdf</t>
  </si>
  <si>
    <t>As a senior citizen the rate increase will impact me but I do have an income. My COLA from Social Security was 2.8% this past year.</t>
  </si>
  <si>
    <t>Near retirement and invested in 34 solar panels to cover our long-term energy needs. Do not yet cover our full electrical costs and proposed increase will exacerbate this issue.</t>
  </si>
  <si>
    <t>https://docket.images.azcc.gov/E000049487.pdf</t>
  </si>
  <si>
    <t>No MEP R3-47 ($14.60)</t>
  </si>
  <si>
    <t>Furber</t>
  </si>
  <si>
    <t>Sharyn</t>
  </si>
  <si>
    <t>notes job listing for 'Leader Creative Services' and the millions of $ it will take to change the logo</t>
  </si>
  <si>
    <t>Wilkening</t>
  </si>
  <si>
    <t xml:space="preserve">They are agreeing to provide expensive gas generated power to hyperscale data centers. 2024 there were 608 heat related deaths. The number will only keep increasing. </t>
  </si>
  <si>
    <t>Sapundzhiev</t>
  </si>
  <si>
    <t>ILiya</t>
  </si>
  <si>
    <t xml:space="preserve">I am an Arizona resident, a small business owner, and a solar customer since 2020. I am writing to strongly oppose. </t>
  </si>
  <si>
    <t>Dallam</t>
  </si>
  <si>
    <t>Enough with these unnecessary rate increases! You folks campaigned on the promise of keeping rates reasonable, what happened to that?</t>
  </si>
  <si>
    <t>Lasky</t>
  </si>
  <si>
    <t>we feel ( solar people) the 50k we spent to provide additional power to the grid is a waisted money</t>
  </si>
  <si>
    <t>We don't need rate hikes, we need more investment in solar and other lower cost forms of power.</t>
  </si>
  <si>
    <t>Lipson</t>
  </si>
  <si>
    <t>Leonard</t>
  </si>
  <si>
    <t>Solar panels worth les Retired on fixed income Paying enough now.</t>
  </si>
  <si>
    <t>even with solar panels, I have to still pay APS bc of their rate increase through the years</t>
  </si>
  <si>
    <t>Meek</t>
  </si>
  <si>
    <t>concern with rate increases, particularly the solar Grid Access Charge alongside the continued erosion of affordability for AZ families</t>
  </si>
  <si>
    <t>Osborn</t>
  </si>
  <si>
    <t>Dwayne</t>
  </si>
  <si>
    <t xml:space="preserve">fixed income, with solar, do not support any increase in APS rate increases while continuing to set record profits. </t>
  </si>
  <si>
    <t>Moreno</t>
  </si>
  <si>
    <t>Energy should be free! Tesla showed us that already. Stop being greedy. Stop stop stop you greedy miserable pople whoever you are</t>
  </si>
  <si>
    <t>No MEP R3-47 ($73.15)</t>
  </si>
  <si>
    <t>Hedenreich</t>
  </si>
  <si>
    <t>Flagstff</t>
  </si>
  <si>
    <t>I strongly request that permission to raise rates for APS be denied for the common good.</t>
  </si>
  <si>
    <t>Ceballos</t>
  </si>
  <si>
    <t>I am an elderly citizen of 86 yrs. I have had increasing APS bills over the years making it harder.</t>
  </si>
  <si>
    <t>No MEP R3-47 ($142.29)</t>
  </si>
  <si>
    <t>Flgastaff</t>
  </si>
  <si>
    <t>Against further utillity rate increases. More importantly, I am against the limitations you are putting on Wind and Solar Power in Arizona.</t>
  </si>
  <si>
    <t>Armstrong</t>
  </si>
  <si>
    <t>It is criminal to ignore cheaper clearn energy like solar and wind. APS would not need to even consider a rate hike if they stopped ignoring clean</t>
  </si>
  <si>
    <t>Families across this state already struggle to pay their mortgages, cover their bills and make ends meet</t>
  </si>
  <si>
    <t>Galloway</t>
  </si>
  <si>
    <t>Electricity bills are becoming profoundly unaffordable for everyday Arizona citizens.</t>
  </si>
  <si>
    <t>Newell</t>
  </si>
  <si>
    <t>Shawn</t>
  </si>
  <si>
    <t>when APS customers like me are struggling with affordability, APS should not be guaranteed higher profits</t>
  </si>
  <si>
    <t>Budde</t>
  </si>
  <si>
    <t>How about APS stop doing commercials using the money they charge us customers for</t>
  </si>
  <si>
    <t>Chaikin</t>
  </si>
  <si>
    <t>Peggy</t>
  </si>
  <si>
    <t>As a senior citizen living on retirement income and savings, I am strongly against the proposed APS rate hike and Solar Grid Access Charge.</t>
  </si>
  <si>
    <t xml:space="preserve">Who let this happen? The correction in billing method should have been planned for </t>
  </si>
  <si>
    <t>No MEP R3-47 ($216.81)</t>
  </si>
  <si>
    <t>l am a retired postal employee and on a pension. I am sick and tired of APS ripping off its Customers</t>
  </si>
  <si>
    <t>APS has very high profits. They don't need yet another increase.</t>
  </si>
  <si>
    <t>I do not approve of allowing APS any new side steps to any rate hikes that by pass or skip the commission by the FRM</t>
  </si>
  <si>
    <t>No MEP R3-47 ($430.61)</t>
  </si>
  <si>
    <t>Sun City West Property Owners and Residents Association</t>
  </si>
  <si>
    <t>continued utility rate increases have become unsustainablew for many, Rate increases must also be dligently reviewed by RUCO without any shortcuts.</t>
  </si>
  <si>
    <t>https://docket.images.azcc.gov/E000049488.pdf</t>
  </si>
  <si>
    <t>Ybarra</t>
  </si>
  <si>
    <t>David C (or C David)</t>
  </si>
  <si>
    <t>Advanced Customer Service Advisor at APS for 2 years</t>
  </si>
  <si>
    <t>https://docket.images.azcc.gov/E000049493.pdf</t>
  </si>
  <si>
    <t>Wesolowski</t>
  </si>
  <si>
    <t>Spent over 140k on solar to negate the costs of my electricity bills and used to actually get credit on my bill each month. 2025 I never once had a month where I got a credit</t>
  </si>
  <si>
    <t>Pratt</t>
  </si>
  <si>
    <t>As a retiree, fixed income, invested in solar, prior APS rate increase negated much of my actual financial benefit and anticipated return on investment.</t>
  </si>
  <si>
    <t>Hawthorne</t>
  </si>
  <si>
    <t>Jewell</t>
  </si>
  <si>
    <t>Three rate hikes in the past three years. And to make matters worse, the utility's proposed "formula rates" would allow them to increase annually</t>
  </si>
  <si>
    <t>reject the rate increase and not allow any other tax or fee APS throws on the monthly bill.</t>
  </si>
  <si>
    <t>No MEP R3-47 ($53.67)</t>
  </si>
  <si>
    <t>Docketed 2x, Participated in public comment session on 2/18</t>
  </si>
  <si>
    <t>Conn</t>
  </si>
  <si>
    <t>IM on a fixed income and another increase. We'II be taking food off my table simple as that</t>
  </si>
  <si>
    <t>McClellan</t>
  </si>
  <si>
    <t xml:space="preserve">I am putting in more energy to their grid with my solar panels then I take out and yet they have still found back door methods to take money from  me. </t>
  </si>
  <si>
    <t>Soto</t>
  </si>
  <si>
    <t xml:space="preserve">Ratepayers should not be asked to keep footing the bill for old, expensive coal plant when cleaner, cheaper options are available. </t>
  </si>
  <si>
    <t>we need to stop this because we cannot afford these rate hikes. We are on fixed incomes.</t>
  </si>
  <si>
    <t>Ayyar</t>
  </si>
  <si>
    <t>Adarsh</t>
  </si>
  <si>
    <t>concern with APS's proposed rate increases, particularly the solar Grid Access Charge</t>
  </si>
  <si>
    <t>R-TOUE47</t>
  </si>
  <si>
    <t>Fero</t>
  </si>
  <si>
    <t>example of the already unfair and irrational penalties placed on Solar contributors to the grid.</t>
  </si>
  <si>
    <t>No MEP R3-47 ($81.32)</t>
  </si>
  <si>
    <t>Rings</t>
  </si>
  <si>
    <t xml:space="preserve">After rate increases in both 2023 and 2024, this is unconscionable, especially when APS profits last year were over $6 million. </t>
  </si>
  <si>
    <t>I am presenting this public comment on behalf of Poder Latinx</t>
  </si>
  <si>
    <t>https://docket.images.azcc.gov/E000049524.pdf</t>
  </si>
  <si>
    <t>Participated in public comment session on 2/18</t>
  </si>
  <si>
    <t>Lyall</t>
  </si>
  <si>
    <t xml:space="preserve">I am an 80 y/o low income senior citizen of Prescott Valley, AZ. I have trouble making ends meet on my Social Security income. </t>
  </si>
  <si>
    <t>Chuppa</t>
  </si>
  <si>
    <t xml:space="preserve">SRP is a not-for-profit entity... and works just fine. In cotnrast, APS is focused on making huge profits for inevestors and executieves. </t>
  </si>
  <si>
    <t>No MEP R3-47 ($319.00)</t>
  </si>
  <si>
    <t>Fine</t>
  </si>
  <si>
    <t>Jovita</t>
  </si>
  <si>
    <t>installed solar on my house a few years ago, which I appreciate having, but already APS uses most of the energy</t>
  </si>
  <si>
    <t>Tyquiengco Wilson</t>
  </si>
  <si>
    <t>Janae</t>
  </si>
  <si>
    <t>Frewer Jr.</t>
  </si>
  <si>
    <t xml:space="preserve">between the three of us, we're juggling four jobs. We work hard, pay our bills on time, and do everything America says one must do to afford a good life. Yet somehow, we're barely keeping our heads above water. </t>
  </si>
  <si>
    <t>Daily</t>
  </si>
  <si>
    <t xml:space="preserve">I think that a 14 % rate increase is a little to much to ask for all at once. Our COLA increase this year doesn't come clos to that. </t>
  </si>
  <si>
    <t>Bihary</t>
  </si>
  <si>
    <t>Judith</t>
  </si>
  <si>
    <t xml:space="preserve">We need some assurances that rate hikes will have public oversight, so future rate hikes will not be easy for APS to put through. </t>
  </si>
  <si>
    <t xml:space="preserve">considering their profits, and that they should be charging the data centers the appropriate rates they will consume, I believe they need to give consideration to permanent residents first, partial residents secondary and then businesses. </t>
  </si>
  <si>
    <t>Stallcop</t>
  </si>
  <si>
    <t>I vehemently oppose the "formula rates," which would allow the utility to fast-track rate increases every year</t>
  </si>
  <si>
    <t>Finch</t>
  </si>
  <si>
    <t>Jessie K</t>
  </si>
  <si>
    <t>Please stop charging the people of Arizona TO MAKE A PROFIT on what should be a utility FOR THE PEOPLE.</t>
  </si>
  <si>
    <t>No MEP R3-47 ($56.37)</t>
  </si>
  <si>
    <t>Sturnacle</t>
  </si>
  <si>
    <t>Arwin</t>
  </si>
  <si>
    <t>Requesting that Arizona Corporation Commission determine the relation of APS to Pinnacle West Capital Corporation</t>
  </si>
  <si>
    <t>AMI Opt-Out</t>
  </si>
  <si>
    <t xml:space="preserve">Member of Sun City PORA, with solar. </t>
  </si>
  <si>
    <t>https://docket.images.azcc.gov/0000216207.pdf</t>
  </si>
  <si>
    <t>No MEP R3-47 ($15.82)</t>
  </si>
  <si>
    <t>Opposes nuclear</t>
  </si>
  <si>
    <t>https://docket.images.azcc.gov/0000216208.pdf</t>
  </si>
  <si>
    <t>Hakari</t>
  </si>
  <si>
    <t>Lana</t>
  </si>
  <si>
    <t>The considerable increase of 14% would disproportionately affect fixed-income customers, such as myself</t>
  </si>
  <si>
    <t>https://docket.images.azcc.gov/E000049528.pdf</t>
  </si>
  <si>
    <t>Reeese</t>
  </si>
  <si>
    <t>Mykel</t>
  </si>
  <si>
    <t>The company is already profitable and the fact that they are demanding a rate increase is a great burden to folks like me who are on fixed incomes.</t>
  </si>
  <si>
    <t xml:space="preserve">I feel that APS is unfairly raising bills on homeowners without requiring the new chip manufacturers and the housing developers to pay their share of the rate increases. </t>
  </si>
  <si>
    <t>Steinert</t>
  </si>
  <si>
    <t>APS residential power rates have already increased far beyond those of SRP and I can see no good reason for this except a thirst for excessive profits</t>
  </si>
  <si>
    <t>Brame</t>
  </si>
  <si>
    <t>conern with APS's proposed rate increases, particularly the solar Grid Access Charge</t>
  </si>
  <si>
    <t>https://docket.images.azcc.gov/E000049547.pdf</t>
  </si>
  <si>
    <t>NO</t>
  </si>
  <si>
    <t>Kerata</t>
  </si>
  <si>
    <t>Pleas consider supporting solar power, solar tax credits and infrastructure so these electricity rates start to Go Down instead of continually UP.</t>
  </si>
  <si>
    <t>APS argues this increase is necessary for grid reliability, the burden is being unfairly placed on residential households</t>
  </si>
  <si>
    <t>Brianne</t>
  </si>
  <si>
    <t xml:space="preserve">Representing Arizona Alliance for Retired Americans (AARA) advocates for retirees and seniors to ensure social and economic justice after a lifetime of work. </t>
  </si>
  <si>
    <t>Engelman</t>
  </si>
  <si>
    <t xml:space="preserve">try living in the AZ heat with minimal air conditioning such as this. Try it, and I can assure you, you would never approve a rate hike. </t>
  </si>
  <si>
    <t>https://docket.images.azcc.gov/E000049561.pdf</t>
  </si>
  <si>
    <t>Hardin</t>
  </si>
  <si>
    <t xml:space="preserve">Is it possible for the company to have multi-tiered rates, considering that some power usage is for "WANTS" rather than "NEEDS". </t>
  </si>
  <si>
    <t>Arnon</t>
  </si>
  <si>
    <t xml:space="preserve">Oppose rate increase, FRM, APS will not allow solar customer to operate stand-alone facilities, deny Grid Access Charge, abandoned their clean energy goals. </t>
  </si>
  <si>
    <t>https://docket.images.azcc.gov/E000049585.pdf</t>
  </si>
  <si>
    <t>No MEP R3-47 ($310.50)</t>
  </si>
  <si>
    <t xml:space="preserve">They've made big profits and had several recent rate increases. </t>
  </si>
  <si>
    <t>https://docket.images.azcc.gov/E000049618.pdf</t>
  </si>
  <si>
    <t>Stambaugh</t>
  </si>
  <si>
    <t>Alice</t>
  </si>
  <si>
    <t>APS does NOT need to make life harder for the masses and more lucrative for shareholders,</t>
  </si>
  <si>
    <t>Left VM 10/03/2025 - Initiated rate change to MEP on 10/10 - MAY NEED MORE ASSISTANCE</t>
  </si>
  <si>
    <t>COR will remain on current serv plan, Assistance?</t>
  </si>
  <si>
    <t>Associate Name</t>
  </si>
  <si>
    <t>Date Called</t>
  </si>
  <si>
    <t>VM?</t>
  </si>
  <si>
    <t>Outcome</t>
  </si>
  <si>
    <t>Notes2</t>
  </si>
  <si>
    <t/>
  </si>
  <si>
    <t>Joaquin</t>
  </si>
  <si>
    <t>YES</t>
  </si>
  <si>
    <t xml:space="preserve">LEFT VOICE MAIL  </t>
  </si>
  <si>
    <t xml:space="preserve">DID TALK PHILLIPS,CRYSTAL OFFER REVIEW ACCT </t>
  </si>
  <si>
    <t>CLOSED ACCT 07/09/2015</t>
  </si>
  <si>
    <t>SOLAR ACCT</t>
  </si>
  <si>
    <t xml:space="preserve">DID TALK TO CORE OFFER TO REVIEW ACCT </t>
  </si>
  <si>
    <t xml:space="preserve">CORE ON BB PROGRAM </t>
  </si>
  <si>
    <t xml:space="preserve">IS ON DEMAND &amp; IS VERY HIGH </t>
  </si>
  <si>
    <t>PHONE DISCONNECTED / NOT ON BEST PLAN</t>
  </si>
  <si>
    <t xml:space="preserve">REFUSED TOTAKE CALL HUNG UP  </t>
  </si>
  <si>
    <t>DID NOT WANT TO TALK / NOT ON BEST RATE PLAN</t>
  </si>
  <si>
    <t>VERY UP SET ABOUT THE RATES POSSIBLY GOING UP</t>
  </si>
  <si>
    <t xml:space="preserve">LEFT VOICE MESSAGE </t>
  </si>
  <si>
    <t>Rate Change</t>
  </si>
  <si>
    <t xml:space="preserve">RATE CHANGE </t>
  </si>
  <si>
    <t xml:space="preserve">BETTER RATE TIME OF USE WITH DEMAND </t>
  </si>
  <si>
    <t xml:space="preserve">WANTED INFO DATA CENTER RATES </t>
  </si>
  <si>
    <t xml:space="preserve">VOICE MAIL WAS FULL </t>
  </si>
  <si>
    <t>ON PA, DID ADVISE BB AFTER PA IS DONE</t>
  </si>
  <si>
    <t>BETTER RATE TIME OF USE WITH DEMAND $1046</t>
  </si>
  <si>
    <t xml:space="preserve">ACT 0644019886   </t>
  </si>
  <si>
    <t>E3/E4</t>
  </si>
  <si>
    <t xml:space="preserve">SENT E3 </t>
  </si>
  <si>
    <t xml:space="preserve">VOICE MESSAGE </t>
  </si>
  <si>
    <t>SOLAR, E-3</t>
  </si>
  <si>
    <t xml:space="preserve">solar acct </t>
  </si>
  <si>
    <t xml:space="preserve">TIME OF USE PLAN WITH DEMAND BEST PLAN </t>
  </si>
  <si>
    <t>General Education</t>
  </si>
  <si>
    <t xml:space="preserve">sent claim form to fill out updated contact# </t>
  </si>
  <si>
    <t>Other (fill in)</t>
  </si>
  <si>
    <t>solar acct////WILL CB TO REVIEW OPTION TO LOWER BILL</t>
  </si>
  <si>
    <t xml:space="preserve">TIME OF USE WITH DEMAND BEST PLAN </t>
  </si>
  <si>
    <t>ON THE BEST PLAN</t>
  </si>
  <si>
    <t>NUMBER OUT OF SERVICE /2ND PH # CALL CANT BE COMPLETED</t>
  </si>
  <si>
    <t>SOLAR</t>
  </si>
  <si>
    <t>SOLAR, PA</t>
  </si>
  <si>
    <t>PA, ON BEST RATE PLAN</t>
  </si>
  <si>
    <t>GAVE ASSISTANCE NUMBERS AND ADVISED TO APPLY FOR E-3</t>
  </si>
  <si>
    <t>SAID SHE DID SIGN PETITION</t>
  </si>
  <si>
    <t xml:space="preserve">COULD SAVE MONEY ON TOU 4-7 W/DEMAND </t>
  </si>
  <si>
    <t xml:space="preserve">IS ON P-A &amp;  NO E3 ON ACCT </t>
  </si>
  <si>
    <t xml:space="preserve">ACCT CURRENT NO PAST DUE NO E3  </t>
  </si>
  <si>
    <t xml:space="preserve">DID TALK TO ROMINA LYNDH IS ON P-A MAILED E3 </t>
  </si>
  <si>
    <t xml:space="preserve">DID TALK TO CORE WILL APPLY ON LINE FOR E3 </t>
  </si>
  <si>
    <t xml:space="preserve">CURRENT ON ACT LEFT VM </t>
  </si>
  <si>
    <t xml:space="preserve">ACCT IS ON P-A PAST DUE NO E3 ON ACCT </t>
  </si>
  <si>
    <t xml:space="preserve">ACCT CURRENT NO E3 LEFT VM </t>
  </si>
  <si>
    <t xml:space="preserve">DID TALK TO CORE IS ON P-A SENT E3 </t>
  </si>
  <si>
    <t># ON ACCT NO GOOD CALLED 12/6/25</t>
  </si>
  <si>
    <t xml:space="preserve">ACCT CURRENT NO E3 </t>
  </si>
  <si>
    <t xml:space="preserve">ACCT IS ON P-A NO E3 OR MED </t>
  </si>
  <si>
    <t xml:space="preserve">NO E3 ON ACCT IS ON PAYMENT ARRANGEMENT </t>
  </si>
  <si>
    <t xml:space="preserve">ACCT IS CURRENT .NO E3 </t>
  </si>
  <si>
    <t xml:space="preserve">CHANGE PLAN TIME OF USE PLAN ACCT CURRENT </t>
  </si>
  <si>
    <t xml:space="preserve"> IS ON PAYMENT ARRANGEMENT </t>
  </si>
  <si>
    <t xml:space="preserve">NOT SAME NAME FOR ACCT HAS CREDIT 1122.94 </t>
  </si>
  <si>
    <t xml:space="preserve">DID TALK TO MS BARBOSA ENROLLED IN BB PROGRAM </t>
  </si>
  <si>
    <t>ON BEST PLAN, NOT ON BB, NOT E-3</t>
  </si>
  <si>
    <t>SPOKE W/COR ON BEST PLAN, ON BB,, UNHAPPY W/RATE CASE</t>
  </si>
  <si>
    <t xml:space="preserve">UNHAPPY W/ RATE CASE </t>
  </si>
  <si>
    <t>LEFT VM, ON BEST PLAN, NOT ON BB, NOT E-3</t>
  </si>
  <si>
    <t>ON BEST RATE PLAN, NOT ON BB, NOT ON E-3</t>
  </si>
  <si>
    <t xml:space="preserve">DID NOT WANT TO SPEAK WITH ME AND HUNG UP </t>
  </si>
  <si>
    <t xml:space="preserve">ON BEST PLAN, ON BB, NOT E-3 </t>
  </si>
  <si>
    <t>PHONE WAS PICKED UP AND HUNG UP</t>
  </si>
  <si>
    <t>LEFT VM, NOT ON BEST PLAN, NOT BB, NOT E-3</t>
  </si>
  <si>
    <t>LEFT VM, SOLAR ACCT, NOT ON BB, NOT E-3</t>
  </si>
  <si>
    <t>LEFT VM, NOT ON BB, NOT E-3</t>
  </si>
  <si>
    <t xml:space="preserve">SPOKE W/CUST THEY WILL CALL BACK </t>
  </si>
  <si>
    <t xml:space="preserve">SOLAR ACCT </t>
  </si>
  <si>
    <t xml:space="preserve">SPOKE W/CUST,  ON BEST RATE PLAN, HAS SOLAR </t>
  </si>
  <si>
    <t>NOT ON BEST PLAN, WILL CALL  CTS TO SEE ABOUT CHANGING RATE PLAN</t>
  </si>
  <si>
    <t xml:space="preserve">LEFT VM, ON BEST PLAN, E-3, NOT ON BB </t>
  </si>
  <si>
    <t>LEFT VM,  ON BEST PLAN, NOT E-3 NOT ON BB</t>
  </si>
  <si>
    <t xml:space="preserve">LEFT VM, ON THE BEST PLAN, NOT E-3, NOT ON BB </t>
  </si>
  <si>
    <t xml:space="preserve">LEFT VM </t>
  </si>
  <si>
    <t xml:space="preserve">LEFT VM, E-3, PA, SOLAR, </t>
  </si>
  <si>
    <t xml:space="preserve">LEFT VM, ON BEST PLAN, NOT E-3, NOT ON BB </t>
  </si>
  <si>
    <t xml:space="preserve">RECENTLY CHANGED RATE PLAN, EXPLAINED BB </t>
  </si>
  <si>
    <t>LEFT VM, NOT ON BEST RATE PLAN</t>
  </si>
  <si>
    <t>LEFT VM, ON BEST PLAN, ON BB, NOT E-3</t>
  </si>
  <si>
    <t>WRONG ACCT# , CORRECT ACCT # 7306420000</t>
  </si>
  <si>
    <t>LEFT VM, NOT E-3</t>
  </si>
  <si>
    <t xml:space="preserve">SPOKE W/CUST, ON BEST PLAN, EXPLAINED BB </t>
  </si>
  <si>
    <t xml:space="preserve">SPOKE W/CUST, ON BEST PLAN, E-3 AND ON BB </t>
  </si>
  <si>
    <t>LEFT VM, NOT E-3, SOLAR ACCT</t>
  </si>
  <si>
    <t xml:space="preserve">LEFT VM,  ON BEST PLAN, NOT E-3, SOLAR ACCT </t>
  </si>
  <si>
    <t>SPOKE W/CUST,  WILL CALL SOLAR TO CHECK IF ON BEST PLAN, NOT E-3</t>
  </si>
  <si>
    <t>LEFT VM, ON BEST PLAN, NOT E-3, NOT ON BB</t>
  </si>
  <si>
    <t>LEFT VM, NOT ON BEST PLAN, NOT E-3, NOT ON BB</t>
  </si>
  <si>
    <t>NOT ON BEST PLAN, NOT E-3, ON BB,  SPOKE WITH CUST</t>
  </si>
  <si>
    <t>SAID HE WAS GOOD</t>
  </si>
  <si>
    <t>SPOKE W/COR,  NOT ON BB, NOT E-3, WILL CALL BACK IF INTERESTED</t>
  </si>
  <si>
    <t xml:space="preserve">WILL CALL US BACK </t>
  </si>
  <si>
    <t>ON BEST PLAN, ON BB, NOT E-3</t>
  </si>
  <si>
    <t>SPOKE W/COR, ON BEST PLAN, SET UP BB $123 TO START</t>
  </si>
  <si>
    <t xml:space="preserve">SET UP BB $123 </t>
  </si>
  <si>
    <t>LEFT VM</t>
  </si>
  <si>
    <t xml:space="preserve">LEFT VM, 2 PROPERTIES BOTH NOT ON BEST RATE PLANS </t>
  </si>
  <si>
    <t>LEFT VM, ON BEST PLAN, E-3, NOT ON BB</t>
  </si>
  <si>
    <t>SPOKE W/COR, ADVISED E-3, WILL CALL CTS TO CHECK RATE PLAN</t>
  </si>
  <si>
    <t>SPOKE W/COR, ON BEST PLAN, WILL APPLY FOR E-3 AND BB ONLINE</t>
  </si>
  <si>
    <t>LEFT VM, ON BEST PLAN, NOT E-3, ON BB BUT NOT PAYING CORRECT AMOUNT</t>
  </si>
  <si>
    <t>SPOKE W/COR, ON BEST PLAN, MAILED E-3 LETTER,  RESET PA</t>
  </si>
  <si>
    <t>Updated/New PA</t>
  </si>
  <si>
    <t xml:space="preserve">SPLOKE W/COR, ON BEST PLAN, NOT E-3, </t>
  </si>
  <si>
    <t>LEFT VM, ON SAVER CHOICE, NOT ON BB, NOT E-3</t>
  </si>
  <si>
    <t xml:space="preserve">SPOKE  W/COR, ON BEST PLAN, EXPLAINED BB </t>
  </si>
  <si>
    <t>LEFT VM, SOLAR ACCT, E-3</t>
  </si>
  <si>
    <t>LEFT VM,  ON SAVER CHOICE RCP PLAN, NOT E-3</t>
  </si>
  <si>
    <t xml:space="preserve">SPOKE W/COR, ON BEST PLAN, ON BB, NOT E-3 </t>
  </si>
  <si>
    <t xml:space="preserve">LEFT MESSAGE </t>
  </si>
  <si>
    <t>SPOKE W/COR,  NOT ON BEST PLAN, NOT E-3, EXPLAINED BB</t>
  </si>
  <si>
    <t>LEFT VOICE MAIL</t>
  </si>
  <si>
    <t>SPOKE W/COR, ON BEST RATE PLAN, EXPLAINED BB</t>
  </si>
  <si>
    <t>SPOKE W/COR, NOT E-3, EXPLAINED BB, ON SAVER CHOICE, WENT OVER RATE PLANS</t>
  </si>
  <si>
    <t xml:space="preserve">LEFT VM, SOLAR, NOT OMN BEST PLAN, </t>
  </si>
  <si>
    <t>LEFT  VM</t>
  </si>
  <si>
    <t>LEFT VM, SOLAR ACCT, NOT E-3</t>
  </si>
  <si>
    <t>WENT OVER THE TOU 4-7 W/DEMAND PLAN</t>
  </si>
  <si>
    <t xml:space="preserve">UN ABLE TO LEAVE MESSAGE </t>
  </si>
  <si>
    <t>SPOKE WITH JAH CRANE,LORI</t>
  </si>
  <si>
    <t xml:space="preserve">LEFT VM  </t>
  </si>
  <si>
    <t xml:space="preserve">SPOKE W/COR, SOLAR, ON BEST PLAN,  CAN APPLY FOR E-3 </t>
  </si>
  <si>
    <t xml:space="preserve">SPOKE W/COR, ON BEST PLAN, NOT E-3, EXPLAINED BB </t>
  </si>
  <si>
    <t>LEFT VM, NOT ON THE BEST RATE PLAN</t>
  </si>
  <si>
    <t xml:space="preserve">LEFT VM, NOT ON BEST RATE PLN </t>
  </si>
  <si>
    <t>SPOKE W/CUST, SHE WILL CALL BACK T SEE HOW TO LOWER BILLS</t>
  </si>
  <si>
    <t xml:space="preserve">SPOKE W/COR, ON SAVERS CHOICE PLAN, NOT ON BB, NOT E-3 </t>
  </si>
  <si>
    <t>LEFT VM, RATE PLAN RECENTLY CHANGED</t>
  </si>
  <si>
    <t>LEFT VM, RATE PLAN RECENTLY CHANGED FROM FIXED T-2 TO FIXED T-1</t>
  </si>
  <si>
    <t xml:space="preserve">SPOKE W/CUST  OK AT THIS TIME </t>
  </si>
  <si>
    <t>SOLAR ACCT, NOT E-3</t>
  </si>
  <si>
    <t>SOLAR ACCT,  VERY UNHAPPY WITH RATE INCREASE CASE</t>
  </si>
  <si>
    <t>LEFT VM, NOT ON BEST PLAN, NOT E-3</t>
  </si>
  <si>
    <t>3 PROPERTIES  2 NOT ON BEST RATE PLANS</t>
  </si>
  <si>
    <t>HUNG UP ON ME</t>
  </si>
  <si>
    <t>LEFT VM, SOLAR ACCT, NOT ON BEST RATE PLAN</t>
  </si>
  <si>
    <t>LEFT VM, SOLAR, NOT ON BEST RATE PLAN</t>
  </si>
  <si>
    <t>MAILED E-3 LETTER, PA  ON ACCOUNT, MAY CALL FOR AGENCY NUMBERS</t>
  </si>
  <si>
    <t xml:space="preserve">SPOKE W/CUST, ON THE BEST RATE PLAN </t>
  </si>
  <si>
    <t>LEFT VM, SOLAR ACCT</t>
  </si>
  <si>
    <t>E-3, OFFERED ASSISTANCE AGENCY NUMBERS DID NOT WANT AT THIS TIME</t>
  </si>
  <si>
    <t>ON BEST RATE PLAN, BB, NOT E-3</t>
  </si>
  <si>
    <t>SPOKE WITH CUSTOMER, ON BEST PLAN, NOT ON BB, WILL APPLY FOR E-3</t>
  </si>
  <si>
    <t>LEFT VM, ON BB, ON BEST RATE PLAN</t>
  </si>
  <si>
    <t xml:space="preserve">LEFT VM, SOLAR, E-3, PA </t>
  </si>
  <si>
    <t>LEFT VM, NEW RATE PLAN TOU 4-7 W/D STARTS ON 1/26/26</t>
  </si>
  <si>
    <t xml:space="preserve">LEFT VM, NOT ON BEST RATE PLAN </t>
  </si>
  <si>
    <t>ON BEST RATE PLAN, HAS PA, WILL APPLY FOR E-3 ON APS.COM</t>
  </si>
  <si>
    <t>LEFT VM, NOT ON BEST PLAN</t>
  </si>
  <si>
    <t>SPOKE W/COR MAILED E-3 APPLICATION</t>
  </si>
  <si>
    <t xml:space="preserve">WILL CB TO MAKE CHANGES </t>
  </si>
  <si>
    <t>LEFT VM, NOT ONN BEST RATE PLAN</t>
  </si>
  <si>
    <t xml:space="preserve">SPOKE W/COR,  COULD SAVE WITH TOU 4-7 W/D </t>
  </si>
  <si>
    <t>LEFT VM, NOT ON BEST RATE PLAN, NOT ON BB, NOT E-3</t>
  </si>
  <si>
    <t>NOT ON BEST RATE PLAN, UNABLE TO LEAVE VM</t>
  </si>
  <si>
    <t xml:space="preserve">COULD NOT LEAVE MESSAGE, NUMBER NOT IN SERVICE </t>
  </si>
  <si>
    <t xml:space="preserve">PHONE NUMBER NOT IN SERVICE </t>
  </si>
  <si>
    <t>CHANGED RATE PLAN TO FIXED T-1</t>
  </si>
  <si>
    <t>SERVICE STOPPED ON 12/18/25, DESEASED CUSTOMER</t>
  </si>
  <si>
    <t xml:space="preserve">LEFT VM, E-3 ON PA </t>
  </si>
  <si>
    <t>SPOKE W/ COR, NOT ON BEST RATE PLAN, DID NOT WANT TO CHANGE</t>
  </si>
  <si>
    <t>UNHAPPY WITH THE RATE INCREASE CASE</t>
  </si>
  <si>
    <t>ON BEST RATE PLAN, SUMMER BILLS WERE HIGH, BB MAY BE AN OPTION</t>
  </si>
  <si>
    <t xml:space="preserve">LEFT V-M </t>
  </si>
  <si>
    <t>NOT ON BEST RATE PLAN, NOT ON BB, NOT E-3</t>
  </si>
  <si>
    <t>E-3, BEST PLAN, PA, GAVE NUMBERS FOR ASSISTANCE AGENCYS</t>
  </si>
  <si>
    <t>Utility Assistance</t>
  </si>
  <si>
    <t xml:space="preserve">PHONE NUMBER DISCONNECTED </t>
  </si>
  <si>
    <t>NUMBER DISCONNECTED</t>
  </si>
  <si>
    <t>COULD NOT LEAVE MESSAGE</t>
  </si>
  <si>
    <t>COULD NOT LEAVE MESSAGE, VM NOT SET UP</t>
  </si>
  <si>
    <t xml:space="preserve">LEFT VM, ON BEST RATE PLAN, NOT ON BB, NOT E-3 </t>
  </si>
  <si>
    <t>VM NOT SET UP</t>
  </si>
  <si>
    <t xml:space="preserve">LEFT VM NOT ON BEST RATE PLAN </t>
  </si>
  <si>
    <t xml:space="preserve">NO GOOD CBR# ON FILE </t>
  </si>
  <si>
    <t>NOT FOR THE RATE CASE PROPOSAL</t>
  </si>
  <si>
    <t xml:space="preserve">RATE CHANGE  NEXT BILL DATE 2/21/26 </t>
  </si>
  <si>
    <t xml:space="preserve">NO V-M OPTION </t>
  </si>
  <si>
    <t xml:space="preserve">SOLAR ACT </t>
  </si>
  <si>
    <t xml:space="preserve">PROVIDED TIPS LINE #S </t>
  </si>
  <si>
    <t xml:space="preserve">CORE HUNG UP CALL </t>
  </si>
  <si>
    <t xml:space="preserve"> STOPPED S-A 2025-06-04 to 2025-11-03</t>
  </si>
  <si>
    <t xml:space="preserve">MAILED OUT E3 </t>
  </si>
  <si>
    <t xml:space="preserve">OFFER OPTION TO LOWER BILL </t>
  </si>
  <si>
    <t xml:space="preserve">NO VOICE MAIL OPTION </t>
  </si>
  <si>
    <t>LEFT VOICE MESSAGE</t>
  </si>
  <si>
    <t>BB NEW 148.00 NEXT BILL DATE 3/5/26</t>
  </si>
  <si>
    <t xml:space="preserve">POSITIVE INFO </t>
  </si>
  <si>
    <t xml:space="preserve">WILL REVIEW ON LINE THEN MAKE CHANGES </t>
  </si>
  <si>
    <t xml:space="preserve">DID REVIEW OPTION TO LOWER BILL </t>
  </si>
  <si>
    <t xml:space="preserve">SENT E3 TO APPLY </t>
  </si>
  <si>
    <t xml:space="preserve">LEFT VOICE MAIL </t>
  </si>
  <si>
    <t xml:space="preserve">NO GOOD CONTACT # ON ACCT </t>
  </si>
  <si>
    <t xml:space="preserve">DID OFFER OPTION TO LOWER BILL </t>
  </si>
  <si>
    <t>S-A WAS STOPPED AS OF 12/11/25</t>
  </si>
  <si>
    <t xml:space="preserve">NO VM OPTION </t>
  </si>
  <si>
    <t xml:space="preserve">DID TALK TO CORE BUT HUNG UP  </t>
  </si>
  <si>
    <t xml:space="preserve"> WILL CB IF NEEDED </t>
  </si>
  <si>
    <t xml:space="preserve">BETTER RATE </t>
  </si>
  <si>
    <t xml:space="preserve">WILL CB IF NEEDED </t>
  </si>
  <si>
    <t xml:space="preserve">NOT  FOR RATE INCREASE </t>
  </si>
  <si>
    <t xml:space="preserve">CALLER HUNG UP </t>
  </si>
  <si>
    <t xml:space="preserve">CALLER HUNG UP  </t>
  </si>
  <si>
    <t xml:space="preserve">OPTIONS TO HELP LOWER BILL </t>
  </si>
  <si>
    <t>POSITIVE WITH OPTION OFFERED TO SAVE OR LOWER BILL</t>
  </si>
  <si>
    <t xml:space="preserve">DID OFFER OPTION CALLER HUNG UP  </t>
  </si>
  <si>
    <t xml:space="preserve">CORE HUNG UP </t>
  </si>
  <si>
    <t xml:space="preserve">BETTER PLAN TIME OF USE WITH DEMAND </t>
  </si>
  <si>
    <t xml:space="preserve">MOVED OUT OF STATE </t>
  </si>
  <si>
    <t>PENDING STOP OF SERVICES FOR 1/7/25</t>
  </si>
  <si>
    <t>PENDING STOP OF SERVICES FOR 1/23/26</t>
  </si>
  <si>
    <t xml:space="preserve">TIME OF USE WITH DEMAND </t>
  </si>
  <si>
    <t xml:space="preserve">STILL NOT FOR RATE INCREASE </t>
  </si>
  <si>
    <t xml:space="preserve">ACCT IS CURRENT .NO E3  LEFT VM </t>
  </si>
  <si>
    <t xml:space="preserve">WILL CB TO REVIEW OPTIONS TO LOWER BILL </t>
  </si>
  <si>
    <t>CLOSED ACCT 10/27/25</t>
  </si>
  <si>
    <t xml:space="preserve">WILL REVIEW THEN CB TO MAKE CHANGES TO ACT </t>
  </si>
  <si>
    <t>WILL APPLY ON LINE FOR E-3</t>
  </si>
  <si>
    <t xml:space="preserve">CONTACT # NEEDS TO BE UPDATED ON ACCT </t>
  </si>
  <si>
    <t xml:space="preserve">AGENCYS #S TO ASSIST WITH BILL </t>
  </si>
  <si>
    <t xml:space="preserve">WILL APPLY ON LINE </t>
  </si>
  <si>
    <t xml:space="preserve">JUST NOT HAPPY WITH  HIGHER PRICES </t>
  </si>
  <si>
    <t>not for rate increases</t>
  </si>
  <si>
    <t xml:space="preserve">E-3 BB PROGRAM </t>
  </si>
  <si>
    <t xml:space="preserve">NEW BB  AMOUNT 309.00 </t>
  </si>
  <si>
    <t xml:space="preserve">BETTER RATE FIXXED ENERGY PLAN </t>
  </si>
  <si>
    <t>2ND TIME LEAVING V-M</t>
  </si>
  <si>
    <t xml:space="preserve">DID NOT WANT TO BE CALLED </t>
  </si>
  <si>
    <t xml:space="preserve">OFFER OPTION TO LOWER BILL E3 --SOLAR ACCT </t>
  </si>
  <si>
    <t xml:space="preserve">REJECTED CALL </t>
  </si>
  <si>
    <t xml:space="preserve">DOUBLE IN SPREAD SHEET </t>
  </si>
  <si>
    <t xml:space="preserve"> </t>
  </si>
  <si>
    <t xml:space="preserve">DOUBLE IN SPREAD DHEET </t>
  </si>
  <si>
    <t xml:space="preserve">BETTER PLAN TIME OF WITH DEMAND </t>
  </si>
  <si>
    <t xml:space="preserve">NEW BB  Total Budget Amount $237.00Next Bill Date 03-10-2026  </t>
  </si>
  <si>
    <t xml:space="preserve">ACT HAS 2 SERVICES ADDRESS </t>
  </si>
  <si>
    <t xml:space="preserve">ED ON PLANS TO HELP SAVE &amp; REBATE INFO </t>
  </si>
  <si>
    <t xml:space="preserve">CORE WAS PROVIDED WITH AGENCYS # </t>
  </si>
  <si>
    <t xml:space="preserve">TUCSON NOT APS </t>
  </si>
  <si>
    <t xml:space="preserve">E3 </t>
  </si>
  <si>
    <t>Real qu</t>
  </si>
  <si>
    <t xml:space="preserve">NOT IN CCB NOT APS CUSTOMER </t>
  </si>
  <si>
    <t xml:space="preserve">WILL CB NEXT  WEEK </t>
  </si>
  <si>
    <t>SOLAR ACCT GRANDFATHER  PLAN 9-9</t>
  </si>
  <si>
    <t xml:space="preserve">HUNG UP  </t>
  </si>
  <si>
    <t>STREETLIGHT ISSUE REPORTED  CONFIRMATION # SR660870</t>
  </si>
  <si>
    <t xml:space="preserve">INFO ON E3 </t>
  </si>
  <si>
    <t>BB PROGRAM 114.00</t>
  </si>
  <si>
    <t xml:space="preserve">NO ACCT INFO TO CONTACT </t>
  </si>
  <si>
    <t>DID CB TO GET ON BETER RATE ON 1/5/26</t>
  </si>
  <si>
    <t xml:space="preserve">WILL REVIEW BILL THEN CB </t>
  </si>
  <si>
    <t>Total Calls Made</t>
  </si>
  <si>
    <t>VMs</t>
  </si>
  <si>
    <t>Remaining Customers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</si>
</sst>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quot;$&quot;#,##0.00"/>
  </numFmts>
  <fonts count="22">
    <font>
      <sz val="11"/>
      <color theme="1"/>
      <name val="Aptos Narrow"/>
      <family val="2"/>
      <scheme val="minor"/>
    </font>
    <font>
      <u/>
      <sz val="11"/>
      <color theme="10"/>
      <name val="Aptos Narrow"/>
      <family val="2"/>
      <scheme val="minor"/>
    </font>
    <font>
      <b/>
      <sz val="9"/>
      <color rgb="FF000000"/>
      <name val="Arial Nova Cond"/>
      <family val="2"/>
    </font>
    <font>
      <b/>
      <sz val="9"/>
      <color theme="1"/>
      <name val="Arial Nova Cond"/>
      <family val="2"/>
    </font>
    <font>
      <sz val="9"/>
      <color theme="1"/>
      <name val="Arial Nova Cond"/>
      <family val="2"/>
    </font>
    <font>
      <sz val="9"/>
      <color rgb="FF212121"/>
      <name val="Arial Nova Cond"/>
      <family val="2"/>
    </font>
    <font>
      <u/>
      <sz val="9"/>
      <color theme="10"/>
      <name val="Arial Nova Cond"/>
      <family val="2"/>
    </font>
    <font>
      <sz val="9"/>
      <name val="Arial Nova Cond"/>
      <family val="2"/>
    </font>
    <font>
      <sz val="9"/>
      <color rgb="FFFF0000"/>
      <name val="Arial Nova Cond"/>
      <family val="2"/>
    </font>
    <font>
      <sz val="9"/>
      <color rgb="FF000000"/>
      <name val="Arial Nova Cond"/>
      <family val="2"/>
    </font>
    <font>
      <sz val="9"/>
      <color rgb="FF000000"/>
      <name val="Arial Nova Cond"/>
    </font>
    <font>
      <sz val="9"/>
      <color theme="1"/>
      <name val="Arial Unicode MS"/>
      <family val="2"/>
    </font>
    <font>
      <sz val="9"/>
      <color rgb="FFFF0000"/>
      <name val="Arial Unicode MS"/>
      <family val="2"/>
    </font>
    <font>
      <b/>
      <sz val="18"/>
      <color theme="1"/>
      <name val="Aptos Display"/>
      <family val="2"/>
      <scheme val="major"/>
    </font>
    <font>
      <b/>
      <sz val="12"/>
      <color theme="1"/>
      <name val="Arial Unicode MS"/>
    </font>
    <font>
      <sz val="12"/>
      <color theme="1"/>
      <name val="Aptos Display"/>
      <family val="2"/>
      <scheme val="major"/>
    </font>
    <font>
      <b/>
      <sz val="16"/>
      <color theme="3"/>
      <name val="Aptos Narrow"/>
      <family val="2"/>
      <scheme val="minor"/>
    </font>
    <font>
      <sz val="9"/>
      <color theme="1"/>
      <name val="Arial Nova Cond"/>
    </font>
    <font>
      <sz val="9"/>
      <color rgb="FFFF0000"/>
      <name val="Arial Nova Cond"/>
    </font>
    <font>
      <sz val="9"/>
      <color rgb="FF000000"/>
      <name val="Arial Unicode MS"/>
      <family val="2"/>
    </font>
    <font>
      <sz val="9"/>
      <color rgb="FFFF0000"/>
      <name val="Source Sans Pro"/>
      <charset val="1"/>
    </font>
    <font>
      <b/>
      <sz val="11"/>
      <color rgb="FF000000"/>
      <name val="Aptos Narrow"/>
    </font>
  </fonts>
  <fills count="11">
    <fill>
      <patternFill patternType="none"/>
    </fill>
    <fill>
      <patternFill patternType="gray125"/>
    </fill>
    <fill>
      <patternFill patternType="solid">
        <fgColor theme="5" tint="0.39997558519241921"/>
        <bgColor rgb="FF000000"/>
      </patternFill>
    </fill>
    <fill>
      <patternFill patternType="solid">
        <fgColor theme="5" tint="0.39997558519241921"/>
        <bgColor indexed="64"/>
      </patternFill>
    </fill>
    <fill>
      <patternFill patternType="solid">
        <fgColor rgb="FF00FF00"/>
        <bgColor indexed="64"/>
      </patternFill>
    </fill>
    <fill>
      <patternFill patternType="solid">
        <fgColor rgb="FFFFFF00"/>
        <bgColor indexed="64"/>
      </patternFill>
    </fill>
    <fill>
      <patternFill patternType="solid">
        <fgColor theme="8" tint="0.59999389629810485"/>
        <bgColor indexed="64"/>
      </patternFill>
    </fill>
    <fill>
      <patternFill patternType="solid">
        <fgColor rgb="FFD9D9D9"/>
        <bgColor rgb="FF000000"/>
      </patternFill>
    </fill>
    <fill>
      <patternFill patternType="solid">
        <fgColor theme="0" tint="-0.14999847407452621"/>
        <bgColor indexed="64"/>
      </patternFill>
    </fill>
    <fill>
      <patternFill patternType="solid">
        <fgColor theme="3" tint="0.749992370372631"/>
        <bgColor indexed="64"/>
      </patternFill>
    </fill>
    <fill>
      <patternFill patternType="solid">
        <fgColor theme="3" tint="0.89999084444715716"/>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20">
    <xf numFmtId="0" fontId="0" fillId="0" borderId="0" xfId="0"/>
    <xf numFmtId="0" fontId="4" fillId="0" borderId="0" xfId="0" applyFont="1"/>
    <xf numFmtId="14" fontId="4" fillId="0" borderId="0" xfId="0" applyNumberFormat="1" applyFont="1" applyAlignment="1">
      <alignment horizontal="center"/>
    </xf>
    <xf numFmtId="0" fontId="4" fillId="0" borderId="0" xfId="0" applyFont="1" applyAlignment="1">
      <alignment wrapText="1"/>
    </xf>
    <xf numFmtId="49" fontId="4" fillId="0" borderId="0" xfId="0" applyNumberFormat="1" applyFont="1" applyAlignment="1">
      <alignment horizontal="center"/>
    </xf>
    <xf numFmtId="0" fontId="4" fillId="0" borderId="0" xfId="0" applyFont="1" applyAlignment="1">
      <alignment horizontal="center"/>
    </xf>
    <xf numFmtId="0" fontId="5" fillId="0" borderId="0" xfId="0" applyFont="1" applyAlignment="1">
      <alignment horizontal="center"/>
    </xf>
    <xf numFmtId="0" fontId="4" fillId="4" borderId="0" xfId="0" applyFont="1" applyFill="1" applyAlignment="1">
      <alignment horizontal="center"/>
    </xf>
    <xf numFmtId="0" fontId="6" fillId="0" borderId="0" xfId="1" applyFont="1"/>
    <xf numFmtId="49" fontId="4" fillId="4" borderId="0" xfId="0" applyNumberFormat="1" applyFont="1" applyFill="1" applyAlignment="1">
      <alignment horizontal="center"/>
    </xf>
    <xf numFmtId="0" fontId="7" fillId="0" borderId="0" xfId="0" applyFont="1" applyAlignment="1">
      <alignment horizontal="center"/>
    </xf>
    <xf numFmtId="0" fontId="4" fillId="5" borderId="0" xfId="0" applyFont="1" applyFill="1" applyAlignment="1">
      <alignment wrapText="1"/>
    </xf>
    <xf numFmtId="49" fontId="4" fillId="0" borderId="0" xfId="0" applyNumberFormat="1" applyFont="1" applyAlignment="1">
      <alignment horizontal="center" vertical="top"/>
    </xf>
    <xf numFmtId="8" fontId="4" fillId="0" borderId="0" xfId="0" applyNumberFormat="1" applyFont="1" applyAlignment="1">
      <alignment horizontal="center"/>
    </xf>
    <xf numFmtId="14" fontId="4" fillId="5" borderId="0" xfId="0" applyNumberFormat="1" applyFont="1" applyFill="1" applyAlignment="1">
      <alignment horizontal="center"/>
    </xf>
    <xf numFmtId="8" fontId="4" fillId="4" borderId="0" xfId="0" applyNumberFormat="1" applyFont="1" applyFill="1" applyAlignment="1">
      <alignment horizontal="center"/>
    </xf>
    <xf numFmtId="0" fontId="7" fillId="0" borderId="0" xfId="1" applyFont="1" applyAlignment="1">
      <alignment horizontal="center"/>
    </xf>
    <xf numFmtId="0" fontId="4" fillId="5" borderId="0" xfId="0" applyFont="1" applyFill="1" applyAlignment="1">
      <alignment horizontal="center"/>
    </xf>
    <xf numFmtId="0" fontId="9" fillId="0" borderId="0" xfId="0" applyFont="1" applyAlignment="1">
      <alignment horizontal="center" vertical="center"/>
    </xf>
    <xf numFmtId="0" fontId="9" fillId="0" borderId="0" xfId="0" applyFont="1" applyAlignment="1">
      <alignment horizontal="center"/>
    </xf>
    <xf numFmtId="6" fontId="4" fillId="0" borderId="0" xfId="0" applyNumberFormat="1" applyFont="1" applyAlignment="1">
      <alignment horizontal="center"/>
    </xf>
    <xf numFmtId="16" fontId="4" fillId="0" borderId="0" xfId="0" applyNumberFormat="1" applyFont="1"/>
    <xf numFmtId="49" fontId="9" fillId="0" borderId="0" xfId="0" applyNumberFormat="1" applyFont="1" applyAlignment="1">
      <alignment horizontal="center"/>
    </xf>
    <xf numFmtId="14" fontId="4" fillId="0" borderId="0" xfId="0" applyNumberFormat="1" applyFont="1"/>
    <xf numFmtId="0" fontId="4" fillId="0" borderId="0" xfId="0" applyFont="1" applyAlignment="1">
      <alignment horizontal="right"/>
    </xf>
    <xf numFmtId="0" fontId="4" fillId="5" borderId="0" xfId="0" applyFont="1" applyFill="1"/>
    <xf numFmtId="49" fontId="4" fillId="5" borderId="0" xfId="0" applyNumberFormat="1" applyFont="1" applyFill="1" applyAlignment="1">
      <alignment horizontal="center"/>
    </xf>
    <xf numFmtId="49" fontId="4" fillId="0" borderId="0" xfId="0" applyNumberFormat="1" applyFont="1" applyAlignment="1">
      <alignment horizontal="left"/>
    </xf>
    <xf numFmtId="0" fontId="7" fillId="0" borderId="0" xfId="0" applyFont="1"/>
    <xf numFmtId="0" fontId="4" fillId="6" borderId="0" xfId="0" applyFont="1" applyFill="1"/>
    <xf numFmtId="14" fontId="4" fillId="4" borderId="0" xfId="0" applyNumberFormat="1" applyFont="1" applyFill="1" applyAlignment="1">
      <alignment horizontal="center"/>
    </xf>
    <xf numFmtId="0" fontId="4" fillId="0" borderId="0" xfId="0" applyFont="1" applyAlignment="1">
      <alignment horizontal="left"/>
    </xf>
    <xf numFmtId="0" fontId="6" fillId="0" borderId="0" xfId="1" applyFont="1" applyFill="1"/>
    <xf numFmtId="0" fontId="8" fillId="0" borderId="0" xfId="0" applyFont="1"/>
    <xf numFmtId="14" fontId="9" fillId="0" borderId="0" xfId="0" applyNumberFormat="1" applyFont="1" applyAlignment="1">
      <alignment horizontal="center"/>
    </xf>
    <xf numFmtId="0" fontId="9" fillId="0" borderId="0" xfId="0" applyFont="1"/>
    <xf numFmtId="0" fontId="10" fillId="0" borderId="0" xfId="0" applyFont="1"/>
    <xf numFmtId="14" fontId="9" fillId="7" borderId="0" xfId="0" applyNumberFormat="1" applyFont="1" applyFill="1" applyAlignment="1">
      <alignment horizontal="center"/>
    </xf>
    <xf numFmtId="0" fontId="9" fillId="7" borderId="0" xfId="0" applyFont="1" applyFill="1"/>
    <xf numFmtId="0" fontId="9" fillId="7" borderId="0" xfId="0" applyFont="1" applyFill="1" applyAlignment="1">
      <alignment horizontal="center"/>
    </xf>
    <xf numFmtId="0" fontId="11" fillId="0" borderId="0" xfId="0" applyFont="1"/>
    <xf numFmtId="0" fontId="1" fillId="0" borderId="0" xfId="1" applyFill="1"/>
    <xf numFmtId="14" fontId="8" fillId="0" borderId="0" xfId="0" applyNumberFormat="1" applyFont="1" applyAlignment="1">
      <alignment horizontal="center"/>
    </xf>
    <xf numFmtId="0" fontId="8" fillId="0" borderId="0" xfId="0" applyFont="1" applyAlignment="1">
      <alignment horizontal="center"/>
    </xf>
    <xf numFmtId="0" fontId="12" fillId="0" borderId="0" xfId="0" applyFont="1"/>
    <xf numFmtId="49" fontId="8" fillId="0" borderId="0" xfId="0" applyNumberFormat="1" applyFont="1" applyAlignment="1">
      <alignment horizontal="center"/>
    </xf>
    <xf numFmtId="0" fontId="4" fillId="8" borderId="0" xfId="0" applyFont="1" applyFill="1"/>
    <xf numFmtId="0" fontId="2" fillId="2" borderId="2" xfId="0" applyFont="1" applyFill="1" applyBorder="1" applyAlignment="1">
      <alignment horizontal="center" wrapText="1"/>
    </xf>
    <xf numFmtId="0" fontId="2" fillId="2" borderId="2" xfId="0" applyFont="1" applyFill="1" applyBorder="1" applyAlignment="1">
      <alignment horizontal="center"/>
    </xf>
    <xf numFmtId="49" fontId="3" fillId="3" borderId="2" xfId="0" applyNumberFormat="1" applyFont="1" applyFill="1" applyBorder="1" applyAlignment="1">
      <alignment horizontal="center"/>
    </xf>
    <xf numFmtId="0" fontId="2" fillId="3" borderId="2" xfId="0" applyFont="1" applyFill="1" applyBorder="1" applyAlignment="1">
      <alignment horizontal="center" wrapText="1"/>
    </xf>
    <xf numFmtId="0" fontId="3" fillId="3" borderId="2" xfId="0" applyFont="1" applyFill="1" applyBorder="1" applyAlignment="1">
      <alignment horizontal="center"/>
    </xf>
    <xf numFmtId="0" fontId="3" fillId="3" borderId="2" xfId="0" applyFont="1" applyFill="1" applyBorder="1" applyAlignment="1">
      <alignment horizontal="center" wrapText="1"/>
    </xf>
    <xf numFmtId="0" fontId="2" fillId="2" borderId="2" xfId="0" applyFont="1" applyFill="1" applyBorder="1" applyAlignment="1">
      <alignment wrapText="1"/>
    </xf>
    <xf numFmtId="0" fontId="4" fillId="8" borderId="0" xfId="1" applyFont="1" applyFill="1"/>
    <xf numFmtId="22" fontId="0" fillId="0" borderId="0" xfId="0" applyNumberFormat="1"/>
    <xf numFmtId="0" fontId="0" fillId="0" borderId="1" xfId="0" applyBorder="1"/>
    <xf numFmtId="14" fontId="0" fillId="0" borderId="1" xfId="0" applyNumberFormat="1" applyBorder="1"/>
    <xf numFmtId="1" fontId="0" fillId="0" borderId="1" xfId="0" applyNumberFormat="1" applyBorder="1"/>
    <xf numFmtId="1" fontId="0" fillId="0" borderId="1" xfId="0" applyNumberFormat="1" applyBorder="1" applyAlignment="1">
      <alignment horizontal="center"/>
    </xf>
    <xf numFmtId="14" fontId="13" fillId="10" borderId="3" xfId="0" applyNumberFormat="1" applyFont="1" applyFill="1" applyBorder="1"/>
    <xf numFmtId="0" fontId="13" fillId="10" borderId="3" xfId="0" applyFont="1" applyFill="1" applyBorder="1"/>
    <xf numFmtId="0" fontId="13" fillId="0" borderId="3" xfId="0" applyFont="1" applyBorder="1"/>
    <xf numFmtId="0" fontId="14" fillId="10" borderId="3" xfId="0" applyFont="1" applyFill="1" applyBorder="1"/>
    <xf numFmtId="14" fontId="15" fillId="0" borderId="3" xfId="0" applyNumberFormat="1" applyFont="1" applyBorder="1"/>
    <xf numFmtId="14" fontId="0" fillId="0" borderId="3" xfId="0" applyNumberFormat="1" applyBorder="1"/>
    <xf numFmtId="0" fontId="15" fillId="0" borderId="3" xfId="0" applyFont="1" applyBorder="1"/>
    <xf numFmtId="0" fontId="0" fillId="0" borderId="3" xfId="0" applyBorder="1"/>
    <xf numFmtId="14" fontId="0" fillId="0" borderId="1" xfId="0" applyNumberFormat="1" applyBorder="1" applyProtection="1">
      <protection locked="0"/>
    </xf>
    <xf numFmtId="0" fontId="0" fillId="0" borderId="1" xfId="0" applyBorder="1" applyProtection="1">
      <protection locked="0"/>
    </xf>
    <xf numFmtId="0" fontId="14" fillId="10" borderId="1" xfId="0" applyFont="1" applyFill="1" applyBorder="1"/>
    <xf numFmtId="14" fontId="0" fillId="0" borderId="4" xfId="0" applyNumberFormat="1" applyBorder="1"/>
    <xf numFmtId="14" fontId="0" fillId="0" borderId="5" xfId="0" applyNumberFormat="1" applyBorder="1" applyProtection="1">
      <protection locked="0"/>
    </xf>
    <xf numFmtId="0" fontId="0" fillId="0" borderId="5" xfId="0" applyBorder="1" applyProtection="1">
      <protection locked="0"/>
    </xf>
    <xf numFmtId="14" fontId="0" fillId="0" borderId="8" xfId="0" applyNumberFormat="1" applyBorder="1"/>
    <xf numFmtId="0" fontId="0" fillId="0" borderId="9" xfId="0" applyBorder="1"/>
    <xf numFmtId="1" fontId="0" fillId="0" borderId="9" xfId="0" applyNumberFormat="1" applyBorder="1"/>
    <xf numFmtId="1" fontId="0" fillId="0" borderId="9" xfId="0" applyNumberFormat="1" applyBorder="1" applyAlignment="1">
      <alignment horizontal="center"/>
    </xf>
    <xf numFmtId="14" fontId="0" fillId="0" borderId="9" xfId="0" applyNumberFormat="1" applyBorder="1"/>
    <xf numFmtId="0" fontId="0" fillId="0" borderId="9" xfId="0" applyBorder="1" applyProtection="1">
      <protection locked="0"/>
    </xf>
    <xf numFmtId="14" fontId="0" fillId="0" borderId="9" xfId="0" applyNumberFormat="1" applyBorder="1" applyProtection="1">
      <protection locked="0"/>
    </xf>
    <xf numFmtId="0" fontId="0" fillId="0" borderId="10" xfId="0" applyBorder="1" applyProtection="1">
      <protection locked="0"/>
    </xf>
    <xf numFmtId="14" fontId="16" fillId="9" borderId="6" xfId="0" applyNumberFormat="1" applyFont="1" applyFill="1" applyBorder="1" applyAlignment="1">
      <alignment horizontal="center" wrapText="1"/>
    </xf>
    <xf numFmtId="0" fontId="16" fillId="9" borderId="2" xfId="0" applyFont="1" applyFill="1" applyBorder="1" applyAlignment="1">
      <alignment horizontal="center" wrapText="1"/>
    </xf>
    <xf numFmtId="1" fontId="16" fillId="9" borderId="2" xfId="0" applyNumberFormat="1" applyFont="1" applyFill="1" applyBorder="1" applyAlignment="1">
      <alignment horizontal="center" wrapText="1"/>
    </xf>
    <xf numFmtId="14" fontId="16" fillId="9" borderId="2" xfId="0" applyNumberFormat="1" applyFont="1" applyFill="1" applyBorder="1" applyAlignment="1">
      <alignment horizontal="center" wrapText="1"/>
    </xf>
    <xf numFmtId="0" fontId="16" fillId="9" borderId="2" xfId="0" applyFont="1" applyFill="1" applyBorder="1" applyAlignment="1" applyProtection="1">
      <alignment horizontal="center" wrapText="1"/>
      <protection locked="0"/>
    </xf>
    <xf numFmtId="14" fontId="16" fillId="9" borderId="2" xfId="0" applyNumberFormat="1" applyFont="1" applyFill="1" applyBorder="1" applyAlignment="1" applyProtection="1">
      <alignment horizontal="center" wrapText="1"/>
      <protection locked="0"/>
    </xf>
    <xf numFmtId="0" fontId="16" fillId="9" borderId="7" xfId="0" applyFont="1" applyFill="1" applyBorder="1" applyAlignment="1" applyProtection="1">
      <alignment horizontal="center" wrapText="1"/>
      <protection locked="0"/>
    </xf>
    <xf numFmtId="0" fontId="16" fillId="9" borderId="1" xfId="0" applyFont="1" applyFill="1" applyBorder="1" applyAlignment="1">
      <alignment horizontal="center" wrapText="1"/>
    </xf>
    <xf numFmtId="8" fontId="8" fillId="0" borderId="0" xfId="0" applyNumberFormat="1" applyFont="1" applyAlignment="1">
      <alignment horizontal="center"/>
    </xf>
    <xf numFmtId="49" fontId="17" fillId="0" borderId="0" xfId="0" applyNumberFormat="1" applyFont="1" applyAlignment="1">
      <alignment horizontal="center"/>
    </xf>
    <xf numFmtId="0" fontId="11" fillId="0" borderId="0" xfId="0" applyFont="1" applyAlignment="1">
      <alignment horizontal="left"/>
    </xf>
    <xf numFmtId="0" fontId="17" fillId="0" borderId="0" xfId="0" applyFont="1" applyAlignment="1">
      <alignment horizontal="center"/>
    </xf>
    <xf numFmtId="0" fontId="10" fillId="0" borderId="0" xfId="1" applyFont="1" applyFill="1" applyAlignment="1">
      <alignment horizontal="left"/>
    </xf>
    <xf numFmtId="0" fontId="18" fillId="0" borderId="0" xfId="1" applyFont="1" applyFill="1" applyAlignment="1">
      <alignment horizontal="left"/>
    </xf>
    <xf numFmtId="14" fontId="10" fillId="8" borderId="0" xfId="0" applyNumberFormat="1" applyFont="1" applyFill="1"/>
    <xf numFmtId="0" fontId="10" fillId="8" borderId="0" xfId="0" applyFont="1" applyFill="1"/>
    <xf numFmtId="14" fontId="18" fillId="8" borderId="0" xfId="0" applyNumberFormat="1" applyFont="1" applyFill="1"/>
    <xf numFmtId="0" fontId="18" fillId="8" borderId="0" xfId="0" applyFont="1" applyFill="1"/>
    <xf numFmtId="14" fontId="2" fillId="2" borderId="2" xfId="0" applyNumberFormat="1" applyFont="1" applyFill="1" applyBorder="1" applyAlignment="1">
      <alignment wrapText="1"/>
    </xf>
    <xf numFmtId="0" fontId="21" fillId="0" borderId="0" xfId="0" applyFont="1"/>
    <xf numFmtId="14" fontId="10" fillId="0" borderId="0" xfId="0" applyNumberFormat="1" applyFont="1"/>
    <xf numFmtId="14" fontId="8" fillId="0" borderId="0" xfId="0" applyNumberFormat="1" applyFont="1"/>
    <xf numFmtId="0" fontId="17" fillId="0" borderId="0" xfId="0" applyFont="1"/>
    <xf numFmtId="14" fontId="9" fillId="0" borderId="0" xfId="0" applyNumberFormat="1" applyFont="1"/>
    <xf numFmtId="0" fontId="19" fillId="0" borderId="0" xfId="0" applyFont="1"/>
    <xf numFmtId="0" fontId="18" fillId="0" borderId="0" xfId="0" applyFont="1"/>
    <xf numFmtId="0" fontId="20" fillId="0" borderId="0" xfId="0" applyFont="1" applyAlignment="1">
      <alignment horizontal="center"/>
    </xf>
    <xf numFmtId="164" fontId="8" fillId="0" borderId="0" xfId="0" applyNumberFormat="1" applyFont="1" applyAlignment="1">
      <alignment horizontal="center"/>
    </xf>
    <xf numFmtId="0" fontId="4" fillId="0" borderId="0" xfId="0" quotePrefix="1" applyFont="1"/>
    <xf numFmtId="0" fontId="8" fillId="0" borderId="0" xfId="0" quotePrefix="1" applyFont="1"/>
    <xf numFmtId="0" fontId="10" fillId="0" borderId="0" xfId="0" applyFont="1" applyAlignment="1">
      <alignment horizontal="center"/>
    </xf>
    <xf numFmtId="14" fontId="10" fillId="0" borderId="0" xfId="0" applyNumberFormat="1" applyFont="1" applyAlignment="1">
      <alignment horizontal="center"/>
    </xf>
    <xf numFmtId="14" fontId="18" fillId="0" borderId="0" xfId="0" applyNumberFormat="1" applyFont="1"/>
    <xf numFmtId="0" fontId="18" fillId="0" borderId="0" xfId="0" applyFont="1" applyAlignment="1">
      <alignment horizontal="center"/>
    </xf>
    <xf numFmtId="8" fontId="18" fillId="0" borderId="0" xfId="0" applyNumberFormat="1" applyFont="1" applyAlignment="1">
      <alignment horizontal="center"/>
    </xf>
    <xf numFmtId="14" fontId="18" fillId="0" borderId="0" xfId="0" applyNumberFormat="1" applyFont="1" applyAlignment="1">
      <alignment horizontal="center"/>
    </xf>
    <xf numFmtId="8" fontId="18" fillId="0" borderId="0" xfId="0" applyNumberFormat="1" applyFont="1"/>
    <xf numFmtId="8" fontId="10" fillId="8" borderId="0" xfId="0" applyNumberFormat="1" applyFont="1" applyFill="1"/>
  </cellXfs>
  <cellStyles count="2">
    <cellStyle name="Hyperlink" xfId="1" builtinId="8"/>
    <cellStyle name="Normal" xfId="0" builtinId="0"/>
  </cellStyles>
  <dxfs count="101">
    <dxf>
      <border diagonalUp="0" diagonalDown="0">
        <left style="thin">
          <color indexed="64"/>
        </left>
        <right/>
        <top style="thin">
          <color indexed="64"/>
        </top>
        <bottom style="thin">
          <color indexed="64"/>
        </bottom>
        <vertical/>
        <horizontal/>
      </border>
      <protection locked="0" hidden="0"/>
    </dxf>
    <dxf>
      <border diagonalUp="0" diagonalDown="0">
        <left style="thin">
          <color indexed="64"/>
        </left>
        <right style="thin">
          <color indexed="64"/>
        </right>
        <top style="thin">
          <color indexed="64"/>
        </top>
        <bottom style="thin">
          <color indexed="64"/>
        </bottom>
        <vertical/>
        <horizontal/>
      </border>
      <protection locked="0" hidden="0"/>
    </dxf>
    <dxf>
      <border diagonalUp="0" diagonalDown="0">
        <left style="thin">
          <color indexed="64"/>
        </left>
        <right style="thin">
          <color indexed="64"/>
        </right>
        <top style="thin">
          <color indexed="64"/>
        </top>
        <bottom style="thin">
          <color indexed="64"/>
        </bottom>
        <vertical/>
        <horizontal/>
      </border>
      <protection locked="0" hidden="0"/>
    </dxf>
    <dxf>
      <numFmt numFmtId="19" formatCode="m/d/yyyy"/>
      <border diagonalUp="0" diagonalDown="0">
        <left style="thin">
          <color indexed="64"/>
        </left>
        <right style="thin">
          <color indexed="64"/>
        </right>
        <top style="thin">
          <color indexed="64"/>
        </top>
        <bottom style="thin">
          <color indexed="64"/>
        </bottom>
        <vertical/>
        <horizontal/>
      </border>
      <protection locked="0" hidden="0"/>
    </dxf>
    <dxf>
      <border diagonalUp="0" diagonalDown="0">
        <left style="thin">
          <color indexed="64"/>
        </left>
        <right style="thin">
          <color indexed="64"/>
        </right>
        <top style="thin">
          <color indexed="64"/>
        </top>
        <bottom style="thin">
          <color indexed="64"/>
        </bottom>
        <vertical/>
        <horizontal/>
      </border>
      <protection locked="0" hidden="0"/>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 formatCode="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protection locked="0" hidden="0"/>
    </dxf>
    <dxf>
      <font>
        <b/>
        <i val="0"/>
        <strike val="0"/>
        <condense val="0"/>
        <extend val="0"/>
        <outline val="0"/>
        <shadow val="0"/>
        <u val="none"/>
        <vertAlign val="baseline"/>
        <sz val="16"/>
        <color theme="3"/>
        <name val="Aptos Narrow"/>
        <family val="2"/>
        <scheme val="minor"/>
      </font>
      <fill>
        <patternFill patternType="solid">
          <fgColor indexed="64"/>
          <bgColor theme="3" tint="0.749992370372631"/>
        </patternFill>
      </fill>
      <alignment horizontal="center" vertical="bottom" textRotation="0" wrapText="1" indent="0" justifyLastLine="0" shrinkToFit="0" readingOrder="0"/>
      <border diagonalUp="0" diagonalDown="0" outline="0">
        <left style="thin">
          <color indexed="64"/>
        </left>
        <right style="thin">
          <color indexed="64"/>
        </right>
        <top/>
        <bottom/>
      </border>
      <protection locked="0" hidden="0"/>
    </dxf>
    <dxf>
      <fill>
        <patternFill>
          <bgColor rgb="FF00B050"/>
        </patternFill>
      </fill>
    </dxf>
    <dxf>
      <fill>
        <patternFill>
          <bgColor rgb="FFFFFF00"/>
        </patternFill>
      </fill>
    </dxf>
    <dxf>
      <fill>
        <patternFill>
          <bgColor theme="5" tint="0.39994506668294322"/>
        </patternFill>
      </fill>
    </dxf>
    <dxf>
      <fill>
        <patternFill>
          <bgColor theme="5" tint="0.59996337778862885"/>
        </patternFill>
      </fill>
    </dxf>
    <dxf>
      <fill>
        <patternFill>
          <bgColor theme="5" tint="0.59996337778862885"/>
        </patternFill>
      </fill>
    </dxf>
    <dxf>
      <fill>
        <patternFill>
          <bgColor rgb="FF00B050"/>
        </patternFill>
      </fill>
    </dxf>
    <dxf>
      <fill>
        <patternFill>
          <bgColor rgb="FFFFFF00"/>
        </patternFill>
      </fill>
    </dxf>
    <dxf>
      <fill>
        <patternFill>
          <bgColor theme="5" tint="0.39994506668294322"/>
        </patternFill>
      </fill>
    </dxf>
    <dxf>
      <fill>
        <patternFill>
          <bgColor rgb="FF92D050"/>
        </patternFill>
      </fill>
    </dxf>
    <dxf>
      <fill>
        <patternFill>
          <bgColor theme="5" tint="0.59996337778862885"/>
        </patternFill>
      </fil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font>
        <b val="0"/>
        <i val="0"/>
        <strike val="0"/>
        <condense val="0"/>
        <extend val="0"/>
        <outline val="0"/>
        <shadow val="0"/>
        <u val="none"/>
        <vertAlign val="baseline"/>
        <sz val="9"/>
        <color theme="1"/>
        <name val="Arial Nova Cond"/>
        <family val="2"/>
        <scheme val="none"/>
      </font>
      <numFmt numFmtId="0" formatCode="General"/>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numFmt numFmtId="30" formatCode="@"/>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Unicode MS"/>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numFmt numFmtId="19" formatCode="m/d/yyyy"/>
      <fill>
        <patternFill patternType="solid">
          <fgColor indexed="64"/>
          <bgColor theme="0" tint="-0.14999847407452621"/>
        </patternFill>
      </fill>
      <alignment horizontal="center" vertical="bottom" textRotation="0" wrapText="0" indent="0" justifyLastLine="0" shrinkToFit="0" readingOrder="0"/>
    </dxf>
    <dxf>
      <border outline="0">
        <bottom style="thin">
          <color indexed="64"/>
        </bottom>
      </border>
    </dxf>
    <dxf>
      <border outline="0">
        <top style="thin">
          <color indexed="64"/>
        </top>
      </border>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i val="0"/>
        <strike val="0"/>
        <condense val="0"/>
        <extend val="0"/>
        <outline val="0"/>
        <shadow val="0"/>
        <u val="none"/>
        <vertAlign val="baseline"/>
        <sz val="9"/>
        <color rgb="FF000000"/>
        <name val="Arial Nova Cond"/>
        <family val="2"/>
        <scheme val="none"/>
      </font>
      <fill>
        <patternFill patternType="solid">
          <fgColor rgb="FF000000"/>
          <bgColor theme="5" tint="0.39997558519241921"/>
        </patternFill>
      </fill>
      <alignment horizontal="general" vertical="bottom"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5EC0A0AE-43AB-4282-A925-5426597A1AF7}" autoFormatId="16" applyNumberFormats="0" applyBorderFormats="0" applyFontFormats="0" applyPatternFormats="0" applyAlignmentFormats="0" applyWidthHeightFormats="0">
  <queryTableRefresh nextId="23">
    <queryTableFields count="22">
      <queryTableField id="1" name="Date" tableColumnId="1"/>
      <queryTableField id="2" name="Last Name" tableColumnId="2"/>
      <queryTableField id="3" name="First Name" tableColumnId="3"/>
      <queryTableField id="4" name="City" tableColumnId="4"/>
      <queryTableField id="5" name="Zip code" tableColumnId="5"/>
      <queryTableField id="6" name="Issue / Complaint" tableColumnId="6"/>
      <queryTableField id="7" name="Docketed Consumer Comments" tableColumnId="7"/>
      <queryTableField id="8" name="Account #" tableColumnId="8"/>
      <queryTableField id="9" name="Rate Plan" tableColumnId="9"/>
      <queryTableField id="10" name="E3?" tableColumnId="10"/>
      <queryTableField id="11" name="MCP?" tableColumnId="11"/>
      <queryTableField id="12" name="Cust on MEP" tableColumnId="12"/>
      <queryTableField id="13" name="PA?" tableColumnId="13"/>
      <queryTableField id="14" name="Payoff Balance" tableColumnId="14"/>
      <queryTableField id="15" name="Team Reviewed" tableColumnId="15"/>
      <queryTableField id="16" name="Response Y(date)/N" tableColumnId="16"/>
      <queryTableField id="17" name="Last date of Account review" tableColumnId="17"/>
      <queryTableField id="18" name="Notes" tableColumnId="18"/>
      <queryTableField id="19" name="ACC Inquiry Sent to CA" tableColumnId="19"/>
      <queryTableField id="20" name="APS CA Referral" tableColumnId="20"/>
      <queryTableField id="21" name="Comments" tableColumnId="21"/>
      <queryTableField id="22" name="Include_Row"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00F6A1DB-1357-4209-8921-4ED54531B2A9}" autoFormatId="16" applyNumberFormats="0" applyBorderFormats="0" applyFontFormats="0" applyPatternFormats="0" applyAlignmentFormats="0" applyWidthHeightFormats="0">
  <queryTableRefresh nextId="27">
    <queryTableFields count="26">
      <queryTableField id="1" name="Date" tableColumnId="1"/>
      <queryTableField id="2" name="Last Name" tableColumnId="2"/>
      <queryTableField id="3" name="First Name" tableColumnId="3"/>
      <queryTableField id="4" name="City" tableColumnId="4"/>
      <queryTableField id="5" name="Zip code" tableColumnId="5"/>
      <queryTableField id="6" name="Issue / Complaint" tableColumnId="6"/>
      <queryTableField id="7" name="Docketed Consumer Comments" tableColumnId="7"/>
      <queryTableField id="8" name="Account #" tableColumnId="8"/>
      <queryTableField id="9" name="Rate Plan" tableColumnId="9"/>
      <queryTableField id="10" name="E3?" tableColumnId="10"/>
      <queryTableField id="11" name="MCP?" tableColumnId="11"/>
      <queryTableField id="12" name="Cust on MEP" tableColumnId="12"/>
      <queryTableField id="13" name="PA?" tableColumnId="13"/>
      <queryTableField id="14" name="Payoff Balance" tableColumnId="14"/>
      <queryTableField id="15" name="Team Reviewed" tableColumnId="15"/>
      <queryTableField id="16" name="Response Y(date)/N" tableColumnId="16"/>
      <queryTableField id="17" name="Last date of Account review" tableColumnId="17"/>
      <queryTableField id="18" name="Notes" tableColumnId="18"/>
      <queryTableField id="19" name="ACC Inquiry Sent to CA" tableColumnId="19"/>
      <queryTableField id="20" name="APS CA Referral" tableColumnId="20"/>
      <queryTableField id="21" name="Comments" tableColumnId="21"/>
      <queryTableField id="22" name="Associate Name" tableColumnId="22"/>
      <queryTableField id="23" name="Date Called" tableColumnId="23"/>
      <queryTableField id="24" name="VM?" tableColumnId="24"/>
      <queryTableField id="25" name="Outcome" tableColumnId="25"/>
      <queryTableField id="26" name="Notes2" tableColumnId="26"/>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3ECC22-5000-4B81-8AD9-7A0546146C56}" name="tblDocketedComments" displayName="tblDocketedComments" ref="A1:V1437" totalsRowShown="0" headerRowDxfId="100" dataDxfId="99" headerRowBorderDxfId="97" tableBorderDxfId="98">
  <autoFilter ref="A1:V1437" xr:uid="{553ECC22-5000-4B81-8AD9-7A0546146C56}">
    <filterColumn colId="1">
      <filters>
        <filter val="Hall"/>
      </filters>
    </filterColumn>
    <filterColumn colId="7">
      <customFilters>
        <customFilter operator="notEqual" val="*unable*"/>
      </customFilters>
    </filterColumn>
    <filterColumn colId="17">
      <filters blank="1"/>
    </filterColumn>
    <filterColumn colId="18">
      <filters blank="1"/>
    </filterColumn>
  </autoFilter>
  <tableColumns count="22">
    <tableColumn id="1" xr3:uid="{E4B9745C-4273-40E7-883A-9E596B402E74}" name="Date" dataDxfId="96"/>
    <tableColumn id="2" xr3:uid="{E95AB26C-A20E-401E-A50D-AD28831FDD6D}" name="Last Name" dataDxfId="95"/>
    <tableColumn id="3" xr3:uid="{2B0DC8A7-3C6B-4704-AA1A-FCEC82A05F6F}" name="First Name" dataDxfId="94"/>
    <tableColumn id="4" xr3:uid="{0AED137A-FEAB-44FF-BBB5-75C656A0C58C}" name="City" dataDxfId="93"/>
    <tableColumn id="5" xr3:uid="{0A255EA7-2F02-4036-AC79-92147DF412A5}" name="Zip code" dataDxfId="92"/>
    <tableColumn id="6" xr3:uid="{4465E407-E612-468D-8A5D-45EF1D685B0B}" name="Issue / Complaint" dataDxfId="91"/>
    <tableColumn id="7" xr3:uid="{86785CEF-DACE-4E84-A553-3F625DDFBA88}" name="Docketed Consumer Comments" dataDxfId="90"/>
    <tableColumn id="8" xr3:uid="{29884FE9-C9D9-4AC9-B77C-F6155ED83DD4}" name="Account #" dataDxfId="89"/>
    <tableColumn id="9" xr3:uid="{16DD30F1-9DD7-4A34-890F-E6A7FC8A7F55}" name="Rate Plan" dataDxfId="88"/>
    <tableColumn id="10" xr3:uid="{9F98B7C2-6EE6-409C-9460-281763628DEF}" name="E3?" dataDxfId="87"/>
    <tableColumn id="11" xr3:uid="{031E5A87-2562-4F54-ADE8-1A4092C917FC}" name="MCP?" dataDxfId="86"/>
    <tableColumn id="12" xr3:uid="{ECCB4753-5728-401B-98F5-1420A59F31D9}" name="Cust on MEP" dataDxfId="85"/>
    <tableColumn id="13" xr3:uid="{B1D89EB0-3E86-4B21-9834-AF8EAD79EE6A}" name="PA?" dataDxfId="84"/>
    <tableColumn id="14" xr3:uid="{844D0CEE-5708-4EDA-A10B-4A2306C6C9EB}" name="Payoff Balance" dataDxfId="83"/>
    <tableColumn id="15" xr3:uid="{24AB0749-49BF-4674-BB3F-C69CE98CB21F}" name="Team Reviewed" dataDxfId="82"/>
    <tableColumn id="16" xr3:uid="{30C7FE8B-5DF2-446D-8637-7F09233A8345}" name="Response Y(date)/N" dataDxfId="81"/>
    <tableColumn id="17" xr3:uid="{743F67D8-60FF-43A2-948E-DFA227732B8C}" name="Last date of Account review"/>
    <tableColumn id="18" xr3:uid="{DF85349F-1019-4882-B27E-89BC23EE4E80}" name="Notes" dataDxfId="80"/>
    <tableColumn id="19" xr3:uid="{8B1B90E2-EBC0-428E-8638-AF63AB1E69CA}" name="ACC Inquiry Sent to CA" dataDxfId="79"/>
    <tableColumn id="20" xr3:uid="{939C72A8-2207-43B3-8551-3EA069B26C66}" name="APS CA Referral" dataDxfId="78"/>
    <tableColumn id="21" xr3:uid="{B60A159D-8C37-4918-BC1D-247DC8A23F6E}" name="Comments" dataDxfId="77"/>
    <tableColumn id="22" xr3:uid="{B5C9691D-F0C1-4D7C-8CB5-08C931FABBFC}" name="Include_Row" dataDxfId="76">
      <calculatedColumnFormula>IF(
  OR(
    ISNUMBER(SEARCH("unable to locate acct", tblDocketedComments[[#This Row],[Docketed Consumer Comments]])),
    ISNUMBER(SEARCH("unknown", tblDocketedComments[[#This Row],[Docketed Consumer Comments]])),
    ISNUMBER(SEARCH("inactive", tblDocketedComments[[#This Row],[Docketed Consumer Comments]]))
  ),
  0,
  1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40BBD-C42F-4F07-950B-8BCF02DA75F2}" name="tblDocketedComments_1" displayName="tblDocketedComments_1" ref="A1:V995" tableType="queryTable" totalsRowShown="0">
  <autoFilter ref="A1:V995" xr:uid="{B8340BBD-C42F-4F07-950B-8BCF02DA75F2}">
    <filterColumn colId="7">
      <filters blank="1">
        <filter val="_x0009_9798231000"/>
        <filter val="0002746863"/>
        <filter val="0014802989 "/>
        <filter val="0020521000"/>
        <filter val="0029211000"/>
        <filter val="0040730000"/>
        <filter val="0050340630 "/>
        <filter val="0066499647"/>
        <filter val="0072923417"/>
        <filter val="0086465467"/>
        <filter val="0103650000"/>
        <filter val="0110711000"/>
        <filter val="0119612479"/>
        <filter val="0126527094"/>
        <filter val="0138600000 "/>
        <filter val="0179082566"/>
        <filter val="0181561492"/>
        <filter val="0185829085"/>
        <filter val="0187524477"/>
        <filter val="0189241000"/>
        <filter val="0208180000"/>
        <filter val="0217135178"/>
        <filter val="0225558656"/>
        <filter val="0228851000"/>
        <filter val="0240641000"/>
        <filter val="0337770119 "/>
        <filter val="0342680000 "/>
        <filter val="0352210000"/>
        <filter val="0355361000"/>
        <filter val="0356005964"/>
        <filter val="0362190628 "/>
        <filter val="0363441000"/>
        <filter val="0364421000"/>
        <filter val="0370184572"/>
        <filter val="0394780000"/>
        <filter val="0406230633"/>
        <filter val="0417096787"/>
        <filter val="0436289551"/>
        <filter val="0440430000"/>
        <filter val="0448028030"/>
        <filter val="0454456361"/>
        <filter val="0460101000"/>
        <filter val="0474852117"/>
        <filter val="0487982450"/>
        <filter val="0491835909"/>
        <filter val="0509660000"/>
        <filter val="0510900360"/>
        <filter val="0519511958 "/>
        <filter val="0539435347 "/>
        <filter val="0555026441"/>
        <filter val="0573685084"/>
        <filter val="0574011608"/>
        <filter val="0607010210"/>
        <filter val="0616290000 "/>
        <filter val="0627214453"/>
        <filter val="0636160358"/>
        <filter val="0726041000"/>
        <filter val="0747358204"/>
        <filter val="0770620000"/>
        <filter val="0786386957"/>
        <filter val="0799340889"/>
        <filter val="0800411000 "/>
        <filter val="0807760000"/>
        <filter val="0814350000"/>
        <filter val="0823076351"/>
        <filter val="0829573314"/>
        <filter val="0831730979"/>
        <filter val="0843128737"/>
        <filter val="0849482490"/>
        <filter val="0857783306"/>
        <filter val="0869170000"/>
        <filter val="0871451000"/>
        <filter val="0879272556"/>
        <filter val="0887574779"/>
        <filter val="0895261000"/>
        <filter val="0901196121"/>
        <filter val="0902311000"/>
        <filter val="0915272757"/>
        <filter val="0947385737"/>
        <filter val="0947452464"/>
        <filter val="0949968967"/>
        <filter val="0974119043"/>
        <filter val="0980512306"/>
        <filter val="0987457107"/>
        <filter val="0998552497"/>
        <filter val="1027321000"/>
        <filter val="1028298226 "/>
        <filter val="1037080000"/>
        <filter val="1039090000"/>
        <filter val="1040090000 "/>
        <filter val="1040821177 "/>
        <filter val="1055401000 "/>
        <filter val="1080436652 "/>
        <filter val="1080850989"/>
        <filter val="1084589454 "/>
        <filter val="1113187095"/>
        <filter val="1130640000 "/>
        <filter val="1139701000"/>
        <filter val="1147845609"/>
        <filter val="1150201000"/>
        <filter val="1163301000"/>
        <filter val="1164092226"/>
        <filter val="1165327687 "/>
        <filter val="1189841000"/>
        <filter val="1205900735"/>
        <filter val="1247840000"/>
        <filter val="1275245123"/>
        <filter val="1316621000"/>
        <filter val="1326918238"/>
        <filter val="1333897739"/>
        <filter val="1346040000 "/>
        <filter val="1353321000"/>
        <filter val="1367611000 "/>
        <filter val="1370139140"/>
        <filter val="1370851931"/>
        <filter val="1383444423"/>
        <filter val="1391416918"/>
        <filter val="1405160798"/>
        <filter val="1440430000 "/>
        <filter val="1444600000"/>
        <filter val="1450385073"/>
        <filter val="1459950257"/>
        <filter val="1460051272"/>
        <filter val="1461856288 "/>
        <filter val="1468123073"/>
        <filter val="1471520000"/>
        <filter val="1501070000"/>
        <filter val="1507948531"/>
        <filter val="1516066562 "/>
        <filter val="1541553890"/>
        <filter val="1560131000"/>
        <filter val="1560882175"/>
        <filter val="1565756559"/>
        <filter val="1567183764"/>
        <filter val="1567963536"/>
        <filter val="1569851000"/>
        <filter val="1593380000"/>
        <filter val="1636279128"/>
        <filter val="1637250000"/>
        <filter val="1657964605 "/>
        <filter val="1669206811"/>
        <filter val="1678080000"/>
        <filter val="1682180000"/>
        <filter val="1687826451"/>
        <filter val="1694440000"/>
        <filter val="1710517819"/>
        <filter val="1714040979 "/>
        <filter val="1717959515"/>
        <filter val="1731130049"/>
        <filter val="1733200000 "/>
        <filter val="1735662106 "/>
        <filter val="1742331189"/>
        <filter val="1750915214"/>
        <filter val="1754570000"/>
        <filter val="1772154718"/>
        <filter val="1790274066"/>
        <filter val="1794260000"/>
        <filter val="1806989657"/>
        <filter val="1816340000"/>
        <filter val="1842320000"/>
        <filter val="1845644568"/>
        <filter val="1876163520"/>
        <filter val="1880001294"/>
        <filter val="1901940000 "/>
        <filter val="1908399537"/>
        <filter val="1914731000"/>
        <filter val="1939300000"/>
        <filter val="1946751000"/>
        <filter val="1969900000"/>
        <filter val="1975660000"/>
        <filter val="2001860000"/>
        <filter val="2009184288"/>
        <filter val="2037614704"/>
        <filter val="2046439451"/>
        <filter val="2057731000"/>
        <filter val="2060349043"/>
        <filter val="2074850000"/>
        <filter val="2090761111"/>
        <filter val="2122958371"/>
        <filter val="2139544986"/>
        <filter val="2143830000 "/>
        <filter val="2160086156"/>
        <filter val="2166343167"/>
        <filter val="2174790000 "/>
        <filter val="2204984346"/>
        <filter val="2205290521"/>
        <filter val="2213731000 "/>
        <filter val="2216771581"/>
        <filter val="2219505228"/>
        <filter val="2224828876"/>
        <filter val="2235600000 "/>
        <filter val="2236812917 "/>
        <filter val="2239392578"/>
        <filter val="2243371013"/>
        <filter val="2271888532"/>
        <filter val="2283931000"/>
        <filter val="2287263111 "/>
        <filter val="2290331000"/>
        <filter val="2291912909"/>
        <filter val="2303209836"/>
        <filter val="2318631000 "/>
        <filter val="2321911932"/>
        <filter val="2344543728 "/>
        <filter val="2356371197"/>
        <filter val="2371502355"/>
        <filter val="2372410000"/>
        <filter val="2387100000"/>
        <filter val="2398680000"/>
        <filter val="2400731000"/>
        <filter val="2414554339 "/>
        <filter val="2426870000 "/>
        <filter val="2439620000"/>
        <filter val="2445041000 "/>
        <filter val="2482408877"/>
        <filter val="2484289538 "/>
        <filter val="2491806502"/>
        <filter val="2508401000 "/>
        <filter val="2531312124 "/>
        <filter val="2547200000 "/>
        <filter val="2550279335"/>
        <filter val="2553232071"/>
        <filter val="2557440000"/>
        <filter val="2584149193"/>
        <filter val="2594531000"/>
        <filter val="2602229474 "/>
        <filter val="2605161000"/>
        <filter val="2613256425"/>
        <filter val="2616411000 "/>
        <filter val="26172433356"/>
        <filter val="2624811000"/>
        <filter val="2644830000"/>
        <filter val="2646435979"/>
        <filter val="2649331000"/>
        <filter val="2655378250"/>
        <filter val="2697623904"/>
        <filter val="2698642394"/>
        <filter val="2707161000"/>
        <filter val="2713960000"/>
        <filter val="2720371841 "/>
        <filter val="2721067262"/>
        <filter val="2725650087"/>
        <filter val="2752541344"/>
        <filter val="2773271262"/>
        <filter val="2779220471"/>
        <filter val="2786739945"/>
        <filter val="2792050000"/>
        <filter val="2798910000"/>
        <filter val="2800620000"/>
        <filter val="2801777569"/>
        <filter val="2806465032"/>
        <filter val="2813530000 "/>
        <filter val="2815878027"/>
        <filter val="2822550977"/>
        <filter val="2829931000"/>
        <filter val="2874030000"/>
        <filter val="2882986476"/>
        <filter val="2931588244"/>
        <filter val="2942450000"/>
        <filter val="2964440000"/>
        <filter val="2990380000"/>
        <filter val="3000474278 "/>
        <filter val="3006885688"/>
        <filter val="3007031000"/>
        <filter val="3043741000"/>
        <filter val="3049940000"/>
        <filter val="3063800000"/>
        <filter val="3066285596"/>
        <filter val="3066335881"/>
        <filter val="3081131103"/>
        <filter val="3083620000"/>
        <filter val="3105621000"/>
        <filter val="3106790000"/>
        <filter val="3126570303"/>
        <filter val="3128248912"/>
        <filter val="3135361000"/>
        <filter val="3143419434"/>
        <filter val="3151454631 "/>
        <filter val="3157160000 "/>
        <filter val="3159030000"/>
        <filter val="3161149182"/>
        <filter val="3204790000 "/>
        <filter val="3207210000 "/>
        <filter val="3208550000"/>
        <filter val="3214901000"/>
        <filter val="3240422325"/>
        <filter val="3242131815"/>
        <filter val="3244078434"/>
        <filter val="3248157690 "/>
        <filter val="3297731000"/>
        <filter val="3300419615"/>
        <filter val="3304816868"/>
        <filter val="3305713016"/>
        <filter val="3317467505"/>
        <filter val="3322263490"/>
        <filter val="3352572159"/>
        <filter val="3353472148"/>
        <filter val="3375784078"/>
        <filter val="3389991021"/>
        <filter val="3392630000"/>
        <filter val="3401570000"/>
        <filter val="3405320000"/>
        <filter val="3411891368"/>
        <filter val="3430450000"/>
        <filter val="3455401000"/>
        <filter val="3459240757"/>
        <filter val="3459240757 "/>
        <filter val="3462131000"/>
        <filter val="3470156203"/>
        <filter val="3472511000 "/>
        <filter val="3472796278"/>
        <filter val="3480611000"/>
        <filter val="3482449172 "/>
        <filter val="3485675279"/>
        <filter val="3487507055 "/>
        <filter val="3505331000"/>
        <filter val="3505651000"/>
        <filter val="3516164640 "/>
        <filter val="3520685256"/>
        <filter val="3530497128"/>
        <filter val="3547350000"/>
        <filter val="3553261000"/>
        <filter val="3555354916 "/>
        <filter val="3556070925 "/>
        <filter val="3566321000"/>
        <filter val="3567250984"/>
        <filter val="3604131000 "/>
        <filter val="3615886354"/>
        <filter val="3616936085"/>
        <filter val="3630760766"/>
        <filter val="3647741244"/>
        <filter val="3660458784 "/>
        <filter val="3664029144"/>
        <filter val="3675324926"/>
        <filter val="3713921000 "/>
        <filter val="3718280000"/>
        <filter val="3727344076"/>
        <filter val="3736855436"/>
        <filter val="3762361661"/>
        <filter val="3801590000"/>
        <filter val="3805928813"/>
        <filter val="3806613194"/>
        <filter val="3811821000"/>
        <filter val="3812550000"/>
        <filter val="3846098682"/>
        <filter val="3846299964"/>
        <filter val="3850123644"/>
        <filter val="3852813845"/>
        <filter val="3856949221 "/>
        <filter val="3862538912"/>
        <filter val="3884451846"/>
        <filter val="3920858144"/>
        <filter val="3940259300"/>
        <filter val="3957802541"/>
        <filter val="3973394094"/>
        <filter val="3985295602"/>
        <filter val="3995860000 "/>
        <filter val="3998480631"/>
        <filter val="4014511000"/>
        <filter val="4021850045"/>
        <filter val="4022467820"/>
        <filter val="4026025798"/>
        <filter val="4026100541 "/>
        <filter val="4029770000 "/>
        <filter val="4048489946"/>
        <filter val="4048489946 "/>
        <filter val="4051995898"/>
        <filter val="4056801020"/>
        <filter val="4057076823"/>
        <filter val="4057601000 "/>
        <filter val="4073651000"/>
        <filter val="4077484827"/>
        <filter val="4078611000"/>
        <filter val="4095200000"/>
        <filter val="4095570000"/>
        <filter val="4096651000"/>
        <filter val="4100903949"/>
        <filter val="4130294914"/>
        <filter val="4133921000"/>
        <filter val="4144330000 "/>
        <filter val="4155800832"/>
        <filter val="4160660000 "/>
        <filter val="4161750000 "/>
        <filter val="4171727671"/>
        <filter val="4175541000"/>
        <filter val="4181641000"/>
        <filter val="4195950000"/>
        <filter val="4197620114 "/>
        <filter val="4218400000"/>
        <filter val="4220132529"/>
        <filter val="4222480000"/>
        <filter val="4222480000 "/>
        <filter val="4225001000"/>
        <filter val="4233804978 "/>
        <filter val="4235588313 "/>
        <filter val="4242991952"/>
        <filter val="4246694688"/>
        <filter val="4260226461 "/>
        <filter val="4262494925"/>
        <filter val="4263668163"/>
        <filter val="4273250000"/>
        <filter val="4285810000"/>
        <filter val="4290041000"/>
        <filter val="4300170000"/>
        <filter val="4308401000"/>
        <filter val="4309031000"/>
        <filter val="4321958928"/>
        <filter val="4322390000"/>
        <filter val="4328013004"/>
        <filter val="4329109684 "/>
        <filter val="4330169654 "/>
        <filter val="4333270000"/>
        <filter val="4344550000"/>
        <filter val="4348840000"/>
        <filter val="4386253597"/>
        <filter val="4392248810"/>
        <filter val="4400568112 "/>
        <filter val="4409132093"/>
        <filter val="4420690000 "/>
        <filter val="4421402302 "/>
        <filter val="4425211190"/>
        <filter val="4436732938"/>
        <filter val="4452990070"/>
        <filter val="4455045278"/>
        <filter val="4455318107"/>
        <filter val="4456121000"/>
        <filter val="4490163832"/>
        <filter val="4494941000"/>
        <filter val="4506338330"/>
        <filter val="4528501000"/>
        <filter val="4535728753 "/>
        <filter val="4557041000"/>
        <filter val="4572687906"/>
        <filter val="4573855715"/>
        <filter val="4581830000"/>
        <filter val="4586872061"/>
        <filter val="4591969515"/>
        <filter val="4613459862 "/>
        <filter val="4619651000"/>
        <filter val="4650100233"/>
        <filter val="4656135575"/>
        <filter val="4659820000"/>
        <filter val="4664521000"/>
        <filter val="4665180000"/>
        <filter val="4676231000"/>
        <filter val="4684530000"/>
        <filter val="4707610000"/>
        <filter val="4708815097 "/>
        <filter val="4722240000 "/>
        <filter val="4738111000"/>
        <filter val="4748252186"/>
        <filter val="4755350632"/>
        <filter val="4757278626"/>
        <filter val="4762621000"/>
        <filter val="4773125499"/>
        <filter val="4774490000 "/>
        <filter val="4776840675"/>
        <filter val="4789087884"/>
        <filter val="4789794091"/>
        <filter val="4797590000"/>
        <filter val="4807360000"/>
        <filter val="4823746138"/>
        <filter val="4826470000 "/>
        <filter val="4830007876 "/>
        <filter val="4834742574 "/>
        <filter val="4855301000"/>
        <filter val="4860597868"/>
        <filter val="4864054917"/>
        <filter val="4871279597"/>
        <filter val="4875496471"/>
        <filter val="4875921000 "/>
        <filter val="4878430000"/>
        <filter val="4884885514 "/>
        <filter val="4885204722"/>
        <filter val="4935500000"/>
        <filter val="49371600000"/>
        <filter val="4949150000"/>
        <filter val="4949150000 "/>
        <filter val="4978619668"/>
        <filter val="4983424677"/>
        <filter val="4997806847"/>
        <filter val="5001808687"/>
        <filter val="5055918329"/>
        <filter val="5070041000"/>
        <filter val="5084150000"/>
        <filter val="5085875679"/>
        <filter val="5100177684 "/>
        <filter val="5106490000 "/>
        <filter val="5127241787"/>
        <filter val="5131511000"/>
        <filter val="5132068013"/>
        <filter val="5137610000"/>
        <filter val="5144511000 "/>
        <filter val="5145361000 "/>
        <filter val="5160556053"/>
        <filter val="5161972296"/>
        <filter val="5172470768"/>
        <filter val="5195558690 "/>
        <filter val="5214610000"/>
        <filter val="5236586269"/>
        <filter val="5237011424"/>
        <filter val="5245451000"/>
        <filter val="5248721000"/>
        <filter val="5257261000 "/>
        <filter val="5257583600 "/>
        <filter val="5273951000"/>
        <filter val="5278430000"/>
        <filter val="5288821061"/>
        <filter val="5288831000"/>
        <filter val="5304030000"/>
        <filter val="5307300000"/>
        <filter val="5307870697"/>
        <filter val="5316089188"/>
        <filter val="5323810000 "/>
        <filter val="5334816770"/>
        <filter val="5347487924"/>
        <filter val="5372102528"/>
        <filter val="5372451122 "/>
        <filter val="5373695965"/>
        <filter val="5377231000"/>
        <filter val="5391718246"/>
        <filter val="5392330000"/>
        <filter val="5406537242"/>
        <filter val="5408340000 "/>
        <filter val="5411325149"/>
        <filter val="5425180000"/>
        <filter val="5427869471"/>
        <filter val="5428778750"/>
        <filter val="5447681797"/>
        <filter val="5458953850"/>
        <filter val="5463797477"/>
        <filter val="5470751000"/>
        <filter val="5485214420"/>
        <filter val="5486441000"/>
        <filter val="5494061000"/>
        <filter val="5498445656 "/>
        <filter val="5503296768"/>
        <filter val="5506921000"/>
        <filter val="5526300000"/>
        <filter val="5531290000"/>
        <filter val="5554267371"/>
        <filter val="5575896939 "/>
        <filter val="5579377804"/>
        <filter val="5582530000"/>
        <filter val="5596059869"/>
        <filter val="5604121000"/>
        <filter val="5622315139"/>
        <filter val="5644842190"/>
        <filter val="5649900000 "/>
        <filter val="5662251000"/>
        <filter val="5669951000"/>
        <filter val="5672030668"/>
        <filter val="5687941000"/>
        <filter val="5702540000 "/>
        <filter val="5703576714"/>
        <filter val="5718650660"/>
        <filter val="5719941000"/>
        <filter val="5729136090 "/>
        <filter val="5730448493 "/>
        <filter val="5733698031"/>
        <filter val="5739710087"/>
        <filter val="5744736365"/>
        <filter val="5751430000 "/>
        <filter val="5769060000"/>
        <filter val="5780730097"/>
        <filter val="5784101000"/>
        <filter val="5786437888"/>
        <filter val="5790100875"/>
        <filter val="5797101000 "/>
        <filter val="5805736054"/>
        <filter val="5816055793"/>
        <filter val="5831790000"/>
        <filter val="5835127577"/>
        <filter val="5843594786 "/>
        <filter val="5849875191"/>
        <filter val="5855923100"/>
        <filter val="5862540000"/>
        <filter val="5865680000 "/>
        <filter val="5872670000"/>
        <filter val="5900820000"/>
        <filter val="5909021014 "/>
        <filter val="5909528621"/>
        <filter val="591010000"/>
        <filter val="5930390000"/>
        <filter val="5931221000"/>
        <filter val="5936601000"/>
        <filter val="5976850000"/>
        <filter val="5982620000 "/>
        <filter val="5983450000"/>
        <filter val="5986916429"/>
        <filter val="5997041000"/>
        <filter val="6003957639"/>
        <filter val="6013821000"/>
        <filter val="6014831000"/>
        <filter val="6017698985"/>
        <filter val="6031103650"/>
        <filter val="6040546107"/>
        <filter val="6046328982"/>
        <filter val="6050230000"/>
        <filter val="6062541000"/>
        <filter val="6079940000"/>
        <filter val="6085118737 "/>
        <filter val="6098358533"/>
        <filter val="6128271693 "/>
        <filter val="6129600993"/>
        <filter val="6149005878 "/>
        <filter val="6154174693"/>
        <filter val="6154479450"/>
        <filter val="6157060000"/>
        <filter val="6177370000"/>
        <filter val="6178141000"/>
        <filter val="6181201000"/>
        <filter val="6206172265"/>
        <filter val="6218364523"/>
        <filter val="6220501000"/>
        <filter val="6222147125"/>
        <filter val="6228956660"/>
        <filter val="6229785331"/>
        <filter val="6230194725"/>
        <filter val="6232280000"/>
        <filter val="6238293189"/>
        <filter val="6238748397"/>
        <filter val="6242500593"/>
        <filter val="6253965494"/>
        <filter val="6276745354"/>
        <filter val="6292353892"/>
        <filter val="6322573684"/>
        <filter val="6327806553"/>
        <filter val="6338318391"/>
        <filter val="6346280696"/>
        <filter val="6354570000"/>
        <filter val="6377618578 "/>
        <filter val="6379311000"/>
        <filter val="6393049300 "/>
        <filter val="6393740000"/>
        <filter val="6407918651"/>
        <filter val="6428400000"/>
        <filter val="6430651000"/>
        <filter val="644019886"/>
        <filter val="6442661000 "/>
        <filter val="6460103590"/>
        <filter val="6473321000"/>
        <filter val="6477491967 "/>
        <filter val="6497921796"/>
        <filter val="6512865567 "/>
        <filter val="6531421867"/>
        <filter val="6541680000"/>
        <filter val="6543951000"/>
        <filter val="6552151000"/>
        <filter val="6558990000"/>
        <filter val="6559521559"/>
        <filter val="6570141000"/>
        <filter val="6573080097"/>
        <filter val="6584830202"/>
        <filter val="6591101000 "/>
        <filter val="6591717645"/>
        <filter val="6593130000 "/>
        <filter val="6594526342"/>
        <filter val="6597211402 "/>
        <filter val="6601188228"/>
        <filter val="6608972636 "/>
        <filter val="6626729560"/>
        <filter val="6635023227"/>
        <filter val="6640329915"/>
        <filter val="6641580000"/>
        <filter val="6651001000"/>
        <filter val="6651244518"/>
        <filter val="6673831000 "/>
        <filter val="6677040000"/>
        <filter val="6697601000 "/>
        <filter val="6711360000"/>
        <filter val="6736335990"/>
        <filter val="6747966884"/>
        <filter val="6780889797"/>
        <filter val="6799425771"/>
        <filter val="6799540000"/>
        <filter val="6807568001"/>
        <filter val="6810195712 "/>
        <filter val="6818845467"/>
        <filter val="6829562710"/>
        <filter val="6830451000"/>
        <filter val="6833563852"/>
        <filter val="6846061000"/>
        <filter val="6860890000"/>
        <filter val="6892964511"/>
        <filter val="6898240000"/>
        <filter val="6906826313"/>
        <filter val="6907731000"/>
        <filter val="6910890000 "/>
        <filter val="6916550547"/>
        <filter val="6922736019"/>
        <filter val="6924836428"/>
        <filter val="6932600000"/>
        <filter val="6940323949"/>
        <filter val="6942363976"/>
        <filter val="6947951000 "/>
        <filter val="6965120000 "/>
        <filter val="6966001000"/>
        <filter val="6996682837 "/>
        <filter val="7001761000"/>
        <filter val="7002436554"/>
        <filter val="7004974298"/>
        <filter val="7013259359"/>
        <filter val="7014080000"/>
        <filter val="7035930772"/>
        <filter val="7036097429"/>
        <filter val="7042751772"/>
        <filter val="7095896229 "/>
        <filter val="7096364439"/>
        <filter val="7113636850 "/>
        <filter val="7114611000"/>
        <filter val="7115261000"/>
        <filter val="7131023762 "/>
        <filter val="7135590000"/>
        <filter val="7150589750"/>
        <filter val="7171143951"/>
        <filter val="7175791215 "/>
        <filter val="7176661000"/>
        <filter val="7194070000 "/>
        <filter val="7209213637 "/>
        <filter val="7210380000"/>
        <filter val="7224390000"/>
        <filter val="7228908122"/>
        <filter val="7245245699"/>
        <filter val="7246270000"/>
        <filter val="7247493303"/>
        <filter val="7248154783"/>
        <filter val="7251710000 "/>
        <filter val="7263223413 "/>
        <filter val="7283731000 "/>
        <filter val="7295561000 "/>
        <filter val="7297283438"/>
        <filter val="7298780000"/>
        <filter val="7304972242"/>
        <filter val="73064220000"/>
        <filter val="7319203567"/>
        <filter val="7345723859"/>
        <filter val="7370951000"/>
        <filter val="7382953794"/>
        <filter val="7393110000 "/>
        <filter val="7395790000"/>
        <filter val="7397110970"/>
        <filter val="7397370000"/>
        <filter val="7400931000"/>
        <filter val="7411200000"/>
        <filter val="7413433376"/>
        <filter val="7420351130"/>
        <filter val="7423629431"/>
        <filter val="7447867552"/>
        <filter val="7464750000"/>
        <filter val="7477798096"/>
        <filter val="7482519669"/>
        <filter val="7488840436"/>
        <filter val="7495690000 "/>
        <filter val="7501590000"/>
        <filter val="7502531000"/>
        <filter val="7528633936"/>
        <filter val="7532070000"/>
        <filter val="7571491082"/>
        <filter val="7586510000"/>
        <filter val="7591331000"/>
        <filter val="7619340000"/>
        <filter val="7633370000"/>
        <filter val="7638863637 "/>
        <filter val="7639960000 "/>
        <filter val="7667970000 "/>
        <filter val="7671960000"/>
        <filter val="7675631000"/>
        <filter val="7692260000"/>
        <filter val="7700448567 "/>
        <filter val="7740741000"/>
        <filter val="7745120000"/>
        <filter val="7750680041 "/>
        <filter val="7756951000"/>
        <filter val="7765620000"/>
        <filter val="7770645738"/>
        <filter val="7776290000"/>
        <filter val="7789171149"/>
        <filter val="7791021977"/>
        <filter val="7809411352 "/>
        <filter val="7818070439"/>
        <filter val="7835950000"/>
        <filter val="7846277073"/>
        <filter val="7849027455"/>
        <filter val="7850451000"/>
        <filter val="7866236989 "/>
        <filter val="7871459753"/>
        <filter val="7888410000"/>
        <filter val="7898944772"/>
        <filter val="7903115868"/>
        <filter val="7925230997"/>
        <filter val="7938430000"/>
        <filter val="7948393933"/>
        <filter val="7949331000"/>
        <filter val="7949496672"/>
        <filter val="7953727588 "/>
        <filter val="7961900940 "/>
        <filter val="7972989951"/>
        <filter val="7980600000"/>
        <filter val="7983231354"/>
        <filter val="7992160000"/>
        <filter val="7999643303 "/>
        <filter val="8025299133"/>
        <filter val="8027967579"/>
        <filter val="8043001000"/>
        <filter val="8043001000 "/>
        <filter val="8065380000 "/>
        <filter val="8069970000"/>
        <filter val="8072751000"/>
        <filter val="8085100837"/>
        <filter val="8092710000"/>
        <filter val="8098420000"/>
        <filter val="8125471475"/>
        <filter val="8133906758"/>
        <filter val="8135798464"/>
        <filter val="8157321000"/>
        <filter val="8166327537"/>
        <filter val="8168993129"/>
        <filter val="8169892620 "/>
        <filter val="8171441100"/>
        <filter val="8212166884 "/>
        <filter val="8215139884 "/>
        <filter val="8225159115 "/>
        <filter val="8231151000"/>
        <filter val="8233981790"/>
        <filter val="8251801000"/>
        <filter val="8253620000"/>
        <filter val="8270011000"/>
        <filter val="8289821000 "/>
        <filter val="8302625379"/>
        <filter val="8351131000"/>
        <filter val="8352070000"/>
        <filter val="8365380635 "/>
        <filter val="8372996858"/>
        <filter val="8384335318 "/>
        <filter val="8400273014 "/>
        <filter val="8418910000"/>
        <filter val="8422252988"/>
        <filter val="8464670000"/>
        <filter val="8465277693 "/>
        <filter val="8493970000 "/>
        <filter val="8501883965 "/>
        <filter val="8510901315"/>
        <filter val="8551601000"/>
        <filter val="8573211000"/>
        <filter val="8598239302"/>
        <filter val="8651110000"/>
        <filter val="8701977261"/>
        <filter val="8707818706 "/>
        <filter val="8709456718"/>
        <filter val="8712521000"/>
        <filter val="8714231000"/>
        <filter val="8715441000"/>
        <filter val="8720343919"/>
        <filter val="8729590000 "/>
        <filter val="8764120000"/>
        <filter val="8773518025"/>
        <filter val="8783763808 "/>
        <filter val="8789670000"/>
        <filter val="8798080598"/>
        <filter val="8799324553"/>
        <filter val="8800511000 "/>
        <filter val="8801331688"/>
        <filter val="8805404344"/>
        <filter val="8806340000"/>
        <filter val="8809578171 "/>
        <filter val="8830066687"/>
        <filter val="8849042993"/>
        <filter val="8909137526"/>
        <filter val="8914685192"/>
        <filter val="8950883553"/>
        <filter val="8964410000"/>
        <filter val="8991140195"/>
        <filter val="8993658310"/>
        <filter val="8999251000"/>
        <filter val="9041804996"/>
        <filter val="9045311000"/>
        <filter val="9058887734"/>
        <filter val="9065406549 "/>
        <filter val="9091172317"/>
        <filter val="9093518390 "/>
        <filter val="9093670000"/>
        <filter val="9097961505"/>
        <filter val="9099805696 "/>
        <filter val="9126001412"/>
        <filter val="9129688999"/>
        <filter val="9149301000"/>
        <filter val="9186920000"/>
        <filter val="9214141000"/>
        <filter val="9229380000"/>
        <filter val="9230683411 "/>
        <filter val="9240700000 "/>
        <filter val="9268845654"/>
        <filter val="9277734775"/>
        <filter val="9282570000 "/>
        <filter val="9287216468 "/>
        <filter val="9294235852"/>
        <filter val="9297010000"/>
        <filter val="9300806707"/>
        <filter val="9308190000"/>
        <filter val="9336980000"/>
        <filter val="9340408913"/>
        <filter val="9340701000"/>
        <filter val="9366820000 "/>
        <filter val="9376851000"/>
        <filter val="9378830912 "/>
        <filter val="9391573388 "/>
        <filter val="9399510000 "/>
        <filter val="9411880000"/>
        <filter val="9414462931"/>
        <filter val="9452141000"/>
        <filter val="9462295527"/>
        <filter val="9467156300"/>
        <filter val="9467621419 "/>
        <filter val="9474035507"/>
        <filter val="9503447476"/>
        <filter val="9504901000"/>
        <filter val="9505905227"/>
        <filter val="9524460000"/>
        <filter val="9539410000"/>
        <filter val="9543902054"/>
        <filter val="9549931000"/>
        <filter val="9555640000"/>
        <filter val="9558930000"/>
        <filter val="9575044862"/>
        <filter val="9593560000"/>
        <filter val="9646530000 "/>
        <filter val="9651100000 "/>
        <filter val="9660984623"/>
        <filter val="9679340000"/>
        <filter val="9687504618"/>
        <filter val="9689247354 "/>
        <filter val="9697522299 "/>
        <filter val="9712385989"/>
        <filter val="9713457751"/>
        <filter val="9713723488"/>
        <filter val="9727210000"/>
        <filter val="9738604563"/>
        <filter val="9738841000"/>
        <filter val="9746250000"/>
        <filter val="9756846766"/>
        <filter val="9757441000"/>
        <filter val="9763988768"/>
        <filter val="9775140000"/>
        <filter val="9779470098"/>
        <filter val="9797240000"/>
        <filter val="9798231000 "/>
        <filter val="9798240000 "/>
        <filter val="9800380431"/>
        <filter val="9804331000"/>
        <filter val="9811726626 "/>
        <filter val="9812684449 "/>
        <filter val="9823890000 "/>
        <filter val="9840231734 "/>
        <filter val="9849411000 "/>
        <filter val="9851454126 "/>
        <filter val="9854457444"/>
        <filter val="9867756348"/>
        <filter val="9868436686"/>
        <filter val="9868570000 "/>
        <filter val="9875751000"/>
        <filter val="9890161000"/>
        <filter val="9909801000"/>
        <filter val="9937021000"/>
        <filter val="9938175305"/>
        <filter val="9983127893"/>
        <filter val="9984188572"/>
        <filter val="9986232210"/>
        <filter val="9988610610"/>
      </filters>
    </filterColumn>
  </autoFilter>
  <tableColumns count="22">
    <tableColumn id="1" xr3:uid="{6D418530-30EE-477E-AC3F-22B57DA1D805}" uniqueName="1" name="Date" queryTableFieldId="1" dataDxfId="75"/>
    <tableColumn id="2" xr3:uid="{2A79D5FD-9AF4-4A0C-BC00-46A176EE1B18}" uniqueName="2" name="Last Name" queryTableFieldId="2" dataDxfId="74"/>
    <tableColumn id="3" xr3:uid="{365DA713-3772-4214-B8AD-A043BF53582F}" uniqueName="3" name="First Name" queryTableFieldId="3" dataDxfId="73"/>
    <tableColumn id="4" xr3:uid="{D0CA0083-3860-467C-8131-A0E4B078930D}" uniqueName="4" name="City" queryTableFieldId="4" dataDxfId="72"/>
    <tableColumn id="5" xr3:uid="{78F3480F-C686-487D-AA9D-51B2621DBA89}" uniqueName="5" name="Zip code" queryTableFieldId="5"/>
    <tableColumn id="6" xr3:uid="{AACA62CE-910B-496B-B31C-C641630B549D}" uniqueName="6" name="Issue / Complaint" queryTableFieldId="6" dataDxfId="71"/>
    <tableColumn id="7" xr3:uid="{F44A646E-B3C2-4C6C-88FB-5A230CE2DAE8}" uniqueName="7" name="Docketed Consumer Comments" queryTableFieldId="7" dataDxfId="70"/>
    <tableColumn id="8" xr3:uid="{D1ECC0BD-617E-4F28-BAD3-D6A620574277}" uniqueName="8" name="Account #" queryTableFieldId="8"/>
    <tableColumn id="9" xr3:uid="{CE5BF928-FEB2-4913-A826-F25636C33867}" uniqueName="9" name="Rate Plan" queryTableFieldId="9" dataDxfId="69"/>
    <tableColumn id="10" xr3:uid="{EB7AA270-DD67-4294-BF5B-CAA2474361E0}" uniqueName="10" name="E3?" queryTableFieldId="10" dataDxfId="68"/>
    <tableColumn id="11" xr3:uid="{A753692F-3CD3-4767-B62D-3B4BFA450CF4}" uniqueName="11" name="MCP?" queryTableFieldId="11" dataDxfId="67"/>
    <tableColumn id="12" xr3:uid="{D12FEBCF-8E73-4F49-B63D-599FCC3D2DE9}" uniqueName="12" name="Cust on MEP" queryTableFieldId="12" dataDxfId="66"/>
    <tableColumn id="13" xr3:uid="{0D983EB7-A91B-4D18-BF65-F60267F646BF}" uniqueName="13" name="PA?" queryTableFieldId="13" dataDxfId="65"/>
    <tableColumn id="14" xr3:uid="{799A4AA9-1108-4254-99D1-B72DA5BA18F1}" uniqueName="14" name="Payoff Balance" queryTableFieldId="14"/>
    <tableColumn id="15" xr3:uid="{8E0FDB76-1CF2-4FC3-9A6D-6779E141782C}" uniqueName="15" name="Team Reviewed" queryTableFieldId="15" dataDxfId="64"/>
    <tableColumn id="16" xr3:uid="{617BED51-C1F4-4761-A935-251912D23D6B}" uniqueName="16" name="Response Y(date)/N" queryTableFieldId="16"/>
    <tableColumn id="17" xr3:uid="{C2CCDD40-E463-46F9-963D-7D8BAD2902E0}" uniqueName="17" name="Last date of Account review" queryTableFieldId="17" dataDxfId="63"/>
    <tableColumn id="18" xr3:uid="{7A1CB19A-93CE-4E6F-8FE2-749607790850}" uniqueName="18" name="Notes" queryTableFieldId="18" dataDxfId="62"/>
    <tableColumn id="19" xr3:uid="{FC488476-2299-4A27-AA44-64C11197101A}" uniqueName="19" name="ACC Inquiry Sent to CA" queryTableFieldId="19"/>
    <tableColumn id="20" xr3:uid="{966D8790-F957-4055-A6C3-58EC03CFDB12}" uniqueName="20" name="APS CA Referral" queryTableFieldId="20"/>
    <tableColumn id="21" xr3:uid="{46F7DED9-2420-4F07-BC4A-E9B4DA522F3B}" uniqueName="21" name="Comments" queryTableFieldId="21" dataDxfId="61"/>
    <tableColumn id="22" xr3:uid="{8C112EFA-DFDB-4FBB-8354-B5445256798B}" uniqueName="22" name="Include_Row" queryTableFieldId="2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92E74D2-1AA9-433B-9A58-A653CAF3C4E6}" name="tblAssociates_1" displayName="tblAssociates_1" ref="A1:Z1147" tableType="queryTable" totalsRowShown="0">
  <autoFilter ref="A1:Z1147" xr:uid="{392E74D2-1AA9-433B-9A58-A653CAF3C4E6}"/>
  <tableColumns count="26">
    <tableColumn id="1" xr3:uid="{FE7E2E56-2611-45FA-A224-93709A0985A7}" uniqueName="1" name="Date" queryTableFieldId="1" dataDxfId="60"/>
    <tableColumn id="2" xr3:uid="{D2B88485-090F-4482-9E99-C36AEA0C9275}" uniqueName="2" name="Last Name" queryTableFieldId="2" dataDxfId="59"/>
    <tableColumn id="3" xr3:uid="{9FB4CAF4-03E2-4EF1-AC72-4C8F2A1847FF}" uniqueName="3" name="First Name" queryTableFieldId="3" dataDxfId="58"/>
    <tableColumn id="4" xr3:uid="{4B3F265A-8627-4EC5-8DBF-0EC02236DA6F}" uniqueName="4" name="City" queryTableFieldId="4" dataDxfId="57"/>
    <tableColumn id="5" xr3:uid="{15388A9B-8D2C-4B87-9797-D46467BC6314}" uniqueName="5" name="Zip code" queryTableFieldId="5"/>
    <tableColumn id="6" xr3:uid="{131038F1-C450-402F-9DB3-F6D3D63E4777}" uniqueName="6" name="Issue / Complaint" queryTableFieldId="6" dataDxfId="56"/>
    <tableColumn id="7" xr3:uid="{DBD15C08-CCD2-463B-8180-8B6EA9E763D7}" uniqueName="7" name="Docketed Consumer Comments" queryTableFieldId="7" dataDxfId="55"/>
    <tableColumn id="8" xr3:uid="{9FDDB212-78B4-4D00-B43D-CF43314C9C11}" uniqueName="8" name="Account #" queryTableFieldId="8"/>
    <tableColumn id="9" xr3:uid="{5B1A288E-9B6C-4BC2-81A7-6575DD6AC5CD}" uniqueName="9" name="Rate Plan" queryTableFieldId="9" dataDxfId="54"/>
    <tableColumn id="10" xr3:uid="{6CB24B7B-AD46-4A38-B52E-A6A86D177BD3}" uniqueName="10" name="E3?" queryTableFieldId="10" dataDxfId="53"/>
    <tableColumn id="11" xr3:uid="{39469388-E946-46D6-951F-2BA67C870F74}" uniqueName="11" name="MCP?" queryTableFieldId="11" dataDxfId="52"/>
    <tableColumn id="12" xr3:uid="{6AB9C394-D5A8-4B75-89A6-D4F3AEB98914}" uniqueName="12" name="Cust on MEP" queryTableFieldId="12" dataDxfId="51"/>
    <tableColumn id="13" xr3:uid="{9B0C6003-0D4D-4076-B50A-83F3F0D0DEE3}" uniqueName="13" name="PA?" queryTableFieldId="13" dataDxfId="50"/>
    <tableColumn id="14" xr3:uid="{71E6F88C-A90D-43EB-8F03-C2E7209435AB}" uniqueName="14" name="Payoff Balance" queryTableFieldId="14"/>
    <tableColumn id="15" xr3:uid="{DFC7C074-4925-42B5-9B82-4FC337C88E76}" uniqueName="15" name="Team Reviewed" queryTableFieldId="15" dataDxfId="49"/>
    <tableColumn id="16" xr3:uid="{281999A9-9DA9-4F08-A173-2D23479C86CA}" uniqueName="16" name="Response Y(date)/N" queryTableFieldId="16"/>
    <tableColumn id="17" xr3:uid="{7C26A35E-6857-481C-AA9A-4C1D47637D8C}" uniqueName="17" name="Last date of Account review" queryTableFieldId="17" dataDxfId="48"/>
    <tableColumn id="18" xr3:uid="{8FC227DD-C6EC-4A96-AAC6-10992B044A25}" uniqueName="18" name="Notes" queryTableFieldId="18" dataDxfId="47"/>
    <tableColumn id="19" xr3:uid="{F08A8FB6-BBB3-453F-B19D-1C3B7AA43CB9}" uniqueName="19" name="ACC Inquiry Sent to CA" queryTableFieldId="19"/>
    <tableColumn id="20" xr3:uid="{86B5E1EB-34E2-4069-93D2-DDD21232986D}" uniqueName="20" name="APS CA Referral" queryTableFieldId="20"/>
    <tableColumn id="21" xr3:uid="{67731A7D-6267-42AE-8F5A-CB74255B2D4B}" uniqueName="21" name="Comments" queryTableFieldId="21" dataDxfId="46"/>
    <tableColumn id="22" xr3:uid="{74C77D24-E730-493E-8620-ED113D4B28CA}" uniqueName="22" name="Associate Name" queryTableFieldId="22" dataDxfId="45"/>
    <tableColumn id="23" xr3:uid="{E289DF34-1570-4E7A-B0DE-DBB47A9336C6}" uniqueName="23" name="Date Called" queryTableFieldId="23" dataDxfId="44"/>
    <tableColumn id="24" xr3:uid="{1A9B8718-A782-4CE7-999E-CAFDB012D7B5}" uniqueName="24" name="VM?" queryTableFieldId="24" dataDxfId="43"/>
    <tableColumn id="25" xr3:uid="{EFB749EE-72B8-41B3-94AE-257A6B581DD6}" uniqueName="25" name="Outcome" queryTableFieldId="25" dataDxfId="42"/>
    <tableColumn id="26" xr3:uid="{CDCD3752-96EE-4E9D-A66F-AC828A43A899}" uniqueName="26" name="Notes2" queryTableFieldId="26" dataDxfId="4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62FB4A7-DB1E-4041-AA41-1E0CEB41B9FF}" name="tblAssociates" displayName="tblAssociates" ref="A1:Z1147" totalsRowShown="0" headerRowDxfId="30" dataDxfId="29" headerRowBorderDxfId="27" tableBorderDxfId="28" totalsRowBorderDxfId="26">
  <autoFilter ref="A1:Z1147" xr:uid="{162FB4A7-DB1E-4041-AA41-1E0CEB41B9FF}"/>
  <tableColumns count="26">
    <tableColumn id="1" xr3:uid="{9F38B4C6-ADA3-4F06-95E3-EE584FC158CF}" name="Date" dataDxfId="25"/>
    <tableColumn id="2" xr3:uid="{B09AED9E-1248-4270-B93C-6E53E9C5E58F}" name="Last Name" dataDxfId="24"/>
    <tableColumn id="3" xr3:uid="{88A62885-AFA7-4C78-BEDB-BC0B347DB601}" name="First Name" dataDxfId="23"/>
    <tableColumn id="4" xr3:uid="{D573E55B-A694-491B-95A8-9FCBC600218C}" name="City" dataDxfId="22"/>
    <tableColumn id="5" xr3:uid="{B2FE3DF1-5389-4E13-A516-A6F549A9CD03}" name="Zip code" dataDxfId="21"/>
    <tableColumn id="6" xr3:uid="{C6A6F275-94C3-445A-9ECA-350363CF55E8}" name="Issue / Complaint" dataDxfId="20"/>
    <tableColumn id="7" xr3:uid="{CC9D7F8B-62CF-4C47-B33F-2C52826DD012}" name="Docketed Consumer Comments" dataDxfId="19"/>
    <tableColumn id="8" xr3:uid="{509DBC24-4B91-491E-ACB6-ED75222611C1}" name="Account #" dataDxfId="18"/>
    <tableColumn id="9" xr3:uid="{CEFE6C23-2DC4-4177-AA91-AA3DE39B9415}" name="Rate Plan" dataDxfId="17"/>
    <tableColumn id="10" xr3:uid="{42A9B4FF-A5B8-426C-9B53-38BB23B70BC3}" name="E3?" dataDxfId="16"/>
    <tableColumn id="11" xr3:uid="{BB6E26AC-E959-4C9D-8286-F9E852D8A1F1}" name="MCP?" dataDxfId="15"/>
    <tableColumn id="12" xr3:uid="{2FA4C6B8-B3CA-41DD-B958-61C53E4339B7}" name="Cust on MEP" dataDxfId="14"/>
    <tableColumn id="13" xr3:uid="{B3B42254-6E35-4A04-98AB-B522A3D2DB27}" name="PA?" dataDxfId="13"/>
    <tableColumn id="14" xr3:uid="{A674AB6B-4EFE-426E-84E0-D90485034BD2}" name="Payoff Balance" dataDxfId="12"/>
    <tableColumn id="15" xr3:uid="{27F78948-63C2-41EB-913E-338435A1DA45}" name="Team Reviewed" dataDxfId="11"/>
    <tableColumn id="16" xr3:uid="{F36B314B-8233-4BA6-8BED-8324CE855C2E}" name="Response Y(date)/N" dataDxfId="10"/>
    <tableColumn id="17" xr3:uid="{B89BB3B7-C455-4573-AF43-A0D194E58B50}" name="Last date of Account review" dataDxfId="9"/>
    <tableColumn id="18" xr3:uid="{6A3084F7-2A05-441C-86AA-4BA665640617}" name="Notes" dataDxfId="8"/>
    <tableColumn id="19" xr3:uid="{23ECCBD2-82C7-4369-BE8E-83CDC85FAC0B}" name="ACC Inquiry Sent to CA" dataDxfId="7"/>
    <tableColumn id="20" xr3:uid="{FF291028-EF25-4E87-A04B-51E83F88A135}" name="APS CA Referral" dataDxfId="6"/>
    <tableColumn id="21" xr3:uid="{1BD28E40-C91B-49A8-9523-15936DC2C9E1}" name="Comments" dataDxfId="5"/>
    <tableColumn id="22" xr3:uid="{409BF10D-E876-47B7-A17E-DFEAD4374030}" name="Associate Name" dataDxfId="4"/>
    <tableColumn id="23" xr3:uid="{F5505054-4EE1-4E61-ADB4-35C7AF133782}" name="Date Called" dataDxfId="3"/>
    <tableColumn id="24" xr3:uid="{338DB5C6-B827-401D-9EFF-DA977E8F6A7C}" name="VM?" dataDxfId="2"/>
    <tableColumn id="25" xr3:uid="{CD33A3F9-72EF-4720-BF53-D0915E49683A}" name="Outcome" dataDxfId="1"/>
    <tableColumn id="26" xr3:uid="{324BDF19-6FC3-44A4-86AF-2A03AC66674A}" name="Notes2" dataDxfId="0"/>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docket.images.azcc.gov/0000215712.pdf"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9853-09AE-4EF9-A42C-C1B72D126E34}">
  <dimension ref="A1:W1949"/>
  <sheetViews>
    <sheetView topLeftCell="A1922" workbookViewId="0">
      <selection activeCell="A1883" sqref="A1883:XFD1949"/>
    </sheetView>
  </sheetViews>
  <sheetFormatPr defaultColWidth="11.42578125" defaultRowHeight="12"/>
  <cols>
    <col min="1" max="1" width="13" style="23" bestFit="1" customWidth="1"/>
    <col min="2" max="2" width="17.140625" style="1" customWidth="1"/>
    <col min="3" max="3" width="18.7109375" style="1" bestFit="1" customWidth="1"/>
    <col min="4" max="4" width="14.7109375" style="1" customWidth="1"/>
    <col min="5" max="5" width="11.42578125" style="1"/>
    <col min="6" max="6" width="37.85546875" style="1" customWidth="1"/>
    <col min="7" max="7" width="24.85546875" style="1" customWidth="1"/>
    <col min="8" max="8" width="19" style="4" bestFit="1" customWidth="1"/>
    <col min="9" max="9" width="13.28515625" style="5" customWidth="1"/>
    <col min="10" max="10" width="9.5703125" style="5" customWidth="1"/>
    <col min="11" max="11" width="9.7109375" style="5" bestFit="1" customWidth="1"/>
    <col min="12" max="12" width="18.85546875" style="5" customWidth="1"/>
    <col min="13" max="13" width="11.140625" style="5" customWidth="1"/>
    <col min="14" max="14" width="13.42578125" style="5" customWidth="1"/>
    <col min="15" max="15" width="14.140625" style="5" customWidth="1"/>
    <col min="16" max="16" width="17" style="5" customWidth="1"/>
    <col min="17" max="17" width="22.42578125" style="5" customWidth="1"/>
    <col min="18" max="18" width="56.28515625" style="1" bestFit="1" customWidth="1"/>
    <col min="19" max="19" width="19.28515625" style="1" customWidth="1"/>
    <col min="20" max="20" width="14.5703125" style="1" customWidth="1"/>
    <col min="21" max="21" width="163.42578125" style="1" bestFit="1" customWidth="1"/>
    <col min="22" max="16384" width="11.42578125" style="1"/>
  </cols>
  <sheetData>
    <row r="1" spans="1:22" ht="25.5">
      <c r="A1" s="100" t="s">
        <v>0</v>
      </c>
      <c r="B1" s="47" t="s">
        <v>1</v>
      </c>
      <c r="C1" s="47" t="s">
        <v>2</v>
      </c>
      <c r="D1" s="47" t="s">
        <v>3</v>
      </c>
      <c r="E1" s="47" t="s">
        <v>4</v>
      </c>
      <c r="F1" s="47" t="s">
        <v>5</v>
      </c>
      <c r="G1" s="48" t="s">
        <v>6</v>
      </c>
      <c r="H1" s="49" t="s">
        <v>7</v>
      </c>
      <c r="I1" s="50" t="s">
        <v>8</v>
      </c>
      <c r="J1" s="51" t="s">
        <v>9</v>
      </c>
      <c r="K1" s="51" t="s">
        <v>10</v>
      </c>
      <c r="L1" s="51" t="s">
        <v>11</v>
      </c>
      <c r="M1" s="51" t="s">
        <v>12</v>
      </c>
      <c r="N1" s="52" t="s">
        <v>13</v>
      </c>
      <c r="O1" s="52" t="s">
        <v>14</v>
      </c>
      <c r="P1" s="52" t="s">
        <v>15</v>
      </c>
      <c r="Q1" s="52" t="s">
        <v>16</v>
      </c>
      <c r="R1" s="53" t="s">
        <v>17</v>
      </c>
      <c r="S1" s="53" t="s">
        <v>18</v>
      </c>
      <c r="T1" s="53" t="s">
        <v>19</v>
      </c>
      <c r="U1" s="47" t="s">
        <v>20</v>
      </c>
      <c r="V1" s="53" t="s">
        <v>21</v>
      </c>
    </row>
    <row r="2" spans="1:22" hidden="1">
      <c r="A2" s="2">
        <v>45796</v>
      </c>
      <c r="B2" s="1" t="s">
        <v>22</v>
      </c>
      <c r="C2" s="1" t="s">
        <v>23</v>
      </c>
      <c r="D2" s="1" t="s">
        <v>24</v>
      </c>
      <c r="E2" s="1">
        <v>85308</v>
      </c>
      <c r="F2" s="3" t="s">
        <v>25</v>
      </c>
      <c r="G2" s="1" t="s">
        <v>26</v>
      </c>
      <c r="H2" s="4" t="s">
        <v>27</v>
      </c>
      <c r="V2" s="46">
        <f>IF(
  OR(
    ISNUMBER(SEARCH("unable to locate acct", tblDocketedComments[[#This Row],[Docketed Consumer Comments]])),
    ISNUMBER(SEARCH("unknown", tblDocketedComments[[#This Row],[Docketed Consumer Comments]])),
    ISNUMBER(SEARCH("inactive", tblDocketedComments[[#This Row],[Docketed Consumer Comments]]))
  ),
  0,
  1
)</f>
        <v>1</v>
      </c>
    </row>
    <row r="3" spans="1:22" hidden="1">
      <c r="A3" s="2">
        <v>45797</v>
      </c>
      <c r="B3" s="1" t="s">
        <v>28</v>
      </c>
      <c r="C3" s="1" t="s">
        <v>29</v>
      </c>
      <c r="D3" s="1" t="s">
        <v>30</v>
      </c>
      <c r="E3" s="1" t="s">
        <v>30</v>
      </c>
      <c r="F3" s="3" t="s">
        <v>31</v>
      </c>
      <c r="G3" s="1" t="s">
        <v>32</v>
      </c>
      <c r="H3" s="4" t="s">
        <v>27</v>
      </c>
      <c r="V3" s="46">
        <f>IF(
  OR(
    ISNUMBER(SEARCH("unable to locate acct", tblDocketedComments[[#This Row],[Docketed Consumer Comments]])),
    ISNUMBER(SEARCH("unknown", tblDocketedComments[[#This Row],[Docketed Consumer Comments]])),
    ISNUMBER(SEARCH("inactive", tblDocketedComments[[#This Row],[Docketed Consumer Comments]]))
  ),
  0,
  1
)</f>
        <v>1</v>
      </c>
    </row>
    <row r="4" spans="1:22" hidden="1">
      <c r="A4" s="2">
        <v>45797</v>
      </c>
      <c r="B4" s="1" t="s">
        <v>33</v>
      </c>
      <c r="C4" s="1" t="s">
        <v>34</v>
      </c>
      <c r="D4" s="1" t="s">
        <v>24</v>
      </c>
      <c r="E4" s="1" t="s">
        <v>30</v>
      </c>
      <c r="F4" s="3" t="s">
        <v>31</v>
      </c>
      <c r="G4" s="1" t="s">
        <v>35</v>
      </c>
      <c r="H4" s="4">
        <v>5494061000</v>
      </c>
      <c r="I4" s="6" t="s">
        <v>36</v>
      </c>
      <c r="J4" s="5" t="s">
        <v>37</v>
      </c>
      <c r="K4" s="5" t="s">
        <v>37</v>
      </c>
      <c r="L4" s="5" t="s">
        <v>38</v>
      </c>
      <c r="M4" s="5" t="s">
        <v>37</v>
      </c>
      <c r="N4" s="5" t="s">
        <v>37</v>
      </c>
      <c r="O4" s="5" t="s">
        <v>38</v>
      </c>
      <c r="P4" s="5" t="s">
        <v>39</v>
      </c>
      <c r="Q4" s="2">
        <v>45589</v>
      </c>
      <c r="U4" s="1" t="s">
        <v>40</v>
      </c>
      <c r="V4" s="46">
        <f>IF(
  OR(
    ISNUMBER(SEARCH("unable to locate acct", tblDocketedComments[[#This Row],[Docketed Consumer Comments]])),
    ISNUMBER(SEARCH("unknown", tblDocketedComments[[#This Row],[Docketed Consumer Comments]])),
    ISNUMBER(SEARCH("inactive", tblDocketedComments[[#This Row],[Docketed Consumer Comments]]))
  ),
  0,
  1
)</f>
        <v>1</v>
      </c>
    </row>
    <row r="5" spans="1:22" hidden="1">
      <c r="A5" s="2">
        <v>45798</v>
      </c>
      <c r="B5" s="1" t="s">
        <v>41</v>
      </c>
      <c r="C5" s="1" t="s">
        <v>42</v>
      </c>
      <c r="D5" s="1" t="s">
        <v>43</v>
      </c>
      <c r="E5" s="1">
        <v>85363</v>
      </c>
      <c r="F5" s="3" t="s">
        <v>31</v>
      </c>
      <c r="G5" s="1" t="s">
        <v>44</v>
      </c>
      <c r="H5" s="4" t="s">
        <v>45</v>
      </c>
      <c r="I5" s="6" t="s">
        <v>46</v>
      </c>
      <c r="J5" s="5" t="s">
        <v>37</v>
      </c>
      <c r="K5" s="5" t="s">
        <v>37</v>
      </c>
      <c r="L5" s="5" t="s">
        <v>47</v>
      </c>
      <c r="M5" s="5" t="s">
        <v>37</v>
      </c>
      <c r="N5" s="5" t="s">
        <v>37</v>
      </c>
      <c r="O5" s="5" t="s">
        <v>38</v>
      </c>
      <c r="P5" s="5" t="s">
        <v>39</v>
      </c>
      <c r="Q5" s="2">
        <v>45589</v>
      </c>
      <c r="R5" s="1" t="s">
        <v>48</v>
      </c>
      <c r="V5" s="46">
        <f>IF(
  OR(
    ISNUMBER(SEARCH("unable to locate acct", tblDocketedComments[[#This Row],[Docketed Consumer Comments]])),
    ISNUMBER(SEARCH("unknown", tblDocketedComments[[#This Row],[Docketed Consumer Comments]])),
    ISNUMBER(SEARCH("inactive", tblDocketedComments[[#This Row],[Docketed Consumer Comments]]))
  ),
  0,
  1
)</f>
        <v>1</v>
      </c>
    </row>
    <row r="6" spans="1:22" hidden="1">
      <c r="A6" s="2">
        <v>45798</v>
      </c>
      <c r="B6" s="1" t="s">
        <v>49</v>
      </c>
      <c r="C6" s="1" t="s">
        <v>50</v>
      </c>
      <c r="D6" s="1" t="s">
        <v>51</v>
      </c>
      <c r="E6" s="1">
        <v>85554</v>
      </c>
      <c r="F6" s="3" t="s">
        <v>31</v>
      </c>
      <c r="G6" s="1" t="s">
        <v>44</v>
      </c>
      <c r="H6" s="4">
        <v>4823746138</v>
      </c>
      <c r="I6" s="5" t="s">
        <v>36</v>
      </c>
      <c r="J6" s="5" t="s">
        <v>37</v>
      </c>
      <c r="K6" s="5" t="s">
        <v>37</v>
      </c>
      <c r="L6" s="5" t="s">
        <v>38</v>
      </c>
      <c r="M6" s="5" t="s">
        <v>37</v>
      </c>
      <c r="N6" s="5" t="s">
        <v>37</v>
      </c>
      <c r="O6" s="5" t="s">
        <v>38</v>
      </c>
      <c r="P6" s="5" t="s">
        <v>39</v>
      </c>
      <c r="Q6" s="2">
        <v>45589</v>
      </c>
      <c r="V6" s="46">
        <f>IF(
  OR(
    ISNUMBER(SEARCH("unable to locate acct", tblDocketedComments[[#This Row],[Docketed Consumer Comments]])),
    ISNUMBER(SEARCH("unknown", tblDocketedComments[[#This Row],[Docketed Consumer Comments]])),
    ISNUMBER(SEARCH("inactive", tblDocketedComments[[#This Row],[Docketed Consumer Comments]]))
  ),
  0,
  1
)</f>
        <v>1</v>
      </c>
    </row>
    <row r="7" spans="1:22" hidden="1">
      <c r="A7" s="2">
        <v>45799</v>
      </c>
      <c r="B7" s="1" t="s">
        <v>52</v>
      </c>
      <c r="C7" s="1" t="s">
        <v>53</v>
      </c>
      <c r="D7" s="1" t="s">
        <v>30</v>
      </c>
      <c r="E7" s="1" t="s">
        <v>30</v>
      </c>
      <c r="F7" s="3" t="s">
        <v>54</v>
      </c>
      <c r="G7" s="1" t="s">
        <v>55</v>
      </c>
      <c r="H7" s="4" t="s">
        <v>56</v>
      </c>
      <c r="I7" s="5" t="s">
        <v>57</v>
      </c>
      <c r="J7" s="5" t="s">
        <v>37</v>
      </c>
      <c r="K7" s="5" t="s">
        <v>37</v>
      </c>
      <c r="L7" s="7" t="s">
        <v>58</v>
      </c>
      <c r="M7" s="5" t="s">
        <v>37</v>
      </c>
      <c r="N7" s="5" t="s">
        <v>37</v>
      </c>
      <c r="O7" s="5" t="s">
        <v>38</v>
      </c>
      <c r="P7" s="2">
        <v>45964</v>
      </c>
      <c r="Q7" s="2">
        <v>45954</v>
      </c>
      <c r="R7" s="1" t="s">
        <v>59</v>
      </c>
      <c r="U7" s="1" t="s">
        <v>60</v>
      </c>
      <c r="V7" s="46">
        <f>IF(
  OR(
    ISNUMBER(SEARCH("unable to locate acct", tblDocketedComments[[#This Row],[Docketed Consumer Comments]])),
    ISNUMBER(SEARCH("unknown", tblDocketedComments[[#This Row],[Docketed Consumer Comments]])),
    ISNUMBER(SEARCH("inactive", tblDocketedComments[[#This Row],[Docketed Consumer Comments]]))
  ),
  0,
  1
)</f>
        <v>1</v>
      </c>
    </row>
    <row r="8" spans="1:22" hidden="1">
      <c r="A8" s="2">
        <v>45800</v>
      </c>
      <c r="B8" s="1" t="s">
        <v>61</v>
      </c>
      <c r="C8" s="1" t="s">
        <v>62</v>
      </c>
      <c r="D8" s="1" t="s">
        <v>63</v>
      </c>
      <c r="E8" s="1">
        <v>85009</v>
      </c>
      <c r="F8" s="3" t="s">
        <v>31</v>
      </c>
      <c r="G8" s="1" t="s">
        <v>64</v>
      </c>
      <c r="H8" s="4" t="s">
        <v>30</v>
      </c>
      <c r="U8" s="1" t="s">
        <v>65</v>
      </c>
      <c r="V8" s="46">
        <f>IF(
  OR(
    ISNUMBER(SEARCH("unable to locate acct", tblDocketedComments[[#This Row],[Docketed Consumer Comments]])),
    ISNUMBER(SEARCH("unknown", tblDocketedComments[[#This Row],[Docketed Consumer Comments]])),
    ISNUMBER(SEARCH("inactive", tblDocketedComments[[#This Row],[Docketed Consumer Comments]]))
  ),
  0,
  1
)</f>
        <v>1</v>
      </c>
    </row>
    <row r="9" spans="1:22" hidden="1">
      <c r="A9" s="2">
        <v>45804</v>
      </c>
      <c r="B9" s="1" t="s">
        <v>66</v>
      </c>
      <c r="C9" s="1" t="s">
        <v>67</v>
      </c>
      <c r="D9" s="1" t="s">
        <v>68</v>
      </c>
      <c r="E9" s="1">
        <v>85331</v>
      </c>
      <c r="F9" s="3" t="s">
        <v>31</v>
      </c>
      <c r="G9" s="1" t="s">
        <v>69</v>
      </c>
      <c r="H9" s="4">
        <v>5900820000</v>
      </c>
      <c r="I9" s="6" t="s">
        <v>36</v>
      </c>
      <c r="J9" s="5" t="s">
        <v>37</v>
      </c>
      <c r="K9" s="5" t="s">
        <v>37</v>
      </c>
      <c r="L9" s="5" t="s">
        <v>38</v>
      </c>
      <c r="M9" s="5" t="s">
        <v>37</v>
      </c>
      <c r="N9" s="5" t="s">
        <v>37</v>
      </c>
      <c r="O9" s="5" t="s">
        <v>38</v>
      </c>
      <c r="P9" s="5" t="s">
        <v>39</v>
      </c>
      <c r="Q9" s="2">
        <v>45954</v>
      </c>
      <c r="V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 spans="1:22" hidden="1">
      <c r="A10" s="2">
        <v>45805</v>
      </c>
      <c r="B10" s="1" t="s">
        <v>70</v>
      </c>
      <c r="C10" s="1" t="s">
        <v>71</v>
      </c>
      <c r="D10" s="1" t="s">
        <v>30</v>
      </c>
      <c r="E10" s="1" t="s">
        <v>30</v>
      </c>
      <c r="F10" s="3" t="s">
        <v>31</v>
      </c>
      <c r="G10" s="1" t="s">
        <v>72</v>
      </c>
      <c r="H10" s="4">
        <v>1569851000</v>
      </c>
      <c r="I10" s="5" t="s">
        <v>73</v>
      </c>
      <c r="J10" s="5" t="s">
        <v>37</v>
      </c>
      <c r="K10" s="5" t="s">
        <v>37</v>
      </c>
      <c r="L10" s="5" t="s">
        <v>38</v>
      </c>
      <c r="M10" s="5" t="s">
        <v>37</v>
      </c>
      <c r="N10" s="5" t="s">
        <v>37</v>
      </c>
      <c r="O10" s="5" t="s">
        <v>38</v>
      </c>
      <c r="P10" s="5" t="s">
        <v>39</v>
      </c>
      <c r="Q10" s="2">
        <v>45954</v>
      </c>
      <c r="V1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 spans="1:22" hidden="1">
      <c r="A11" s="2">
        <v>45812</v>
      </c>
      <c r="B11" s="1" t="s">
        <v>74</v>
      </c>
      <c r="C11" s="1" t="s">
        <v>75</v>
      </c>
      <c r="D11" s="1" t="s">
        <v>30</v>
      </c>
      <c r="E11" s="1" t="s">
        <v>30</v>
      </c>
      <c r="F11" s="3" t="s">
        <v>31</v>
      </c>
      <c r="G11" s="1" t="s">
        <v>76</v>
      </c>
      <c r="H11" s="4" t="s">
        <v>27</v>
      </c>
      <c r="U11" s="1" t="s">
        <v>77</v>
      </c>
      <c r="V11" s="54">
        <f>IF(
  OR(
    ISNUMBER(SEARCH("unable to locate acct", tblDocketedComments[[#This Row],[Docketed Consumer Comments]])),
    ISNUMBER(SEARCH("unknown", tblDocketedComments[[#This Row],[Docketed Consumer Comments]])),
    ISNUMBER(SEARCH("inactive", tblDocketedComments[[#This Row],[Docketed Consumer Comments]]))
  ),
  0,
  1
)</f>
        <v>1</v>
      </c>
    </row>
    <row r="12" spans="1:22" hidden="1">
      <c r="A12" s="2">
        <v>45812</v>
      </c>
      <c r="B12" s="1" t="s">
        <v>78</v>
      </c>
      <c r="C12" s="1" t="s">
        <v>79</v>
      </c>
      <c r="D12" s="1" t="s">
        <v>30</v>
      </c>
      <c r="E12" s="1" t="s">
        <v>30</v>
      </c>
      <c r="F12" s="3" t="s">
        <v>31</v>
      </c>
      <c r="G12" s="1" t="s">
        <v>76</v>
      </c>
      <c r="H12" s="4" t="s">
        <v>80</v>
      </c>
      <c r="I12" s="5" t="s">
        <v>81</v>
      </c>
      <c r="J12" s="5" t="s">
        <v>37</v>
      </c>
      <c r="K12" s="5" t="s">
        <v>37</v>
      </c>
      <c r="L12" s="5" t="s">
        <v>82</v>
      </c>
      <c r="M12" s="5" t="s">
        <v>37</v>
      </c>
      <c r="N12" s="5" t="s">
        <v>37</v>
      </c>
      <c r="O12" s="5" t="s">
        <v>38</v>
      </c>
      <c r="P12" s="5" t="s">
        <v>39</v>
      </c>
      <c r="Q12" s="2">
        <v>45957</v>
      </c>
      <c r="V1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 spans="1:22" hidden="1">
      <c r="A13" s="2">
        <v>45813</v>
      </c>
      <c r="B13" s="1" t="s">
        <v>83</v>
      </c>
      <c r="C13" s="1" t="s">
        <v>84</v>
      </c>
      <c r="D13" s="1" t="s">
        <v>85</v>
      </c>
      <c r="E13" s="1" t="s">
        <v>30</v>
      </c>
      <c r="F13" s="3" t="s">
        <v>31</v>
      </c>
      <c r="G13" s="1" t="s">
        <v>86</v>
      </c>
      <c r="H13" s="4">
        <v>2009184288</v>
      </c>
      <c r="I13" s="6" t="s">
        <v>46</v>
      </c>
      <c r="J13" s="5" t="s">
        <v>37</v>
      </c>
      <c r="K13" s="5" t="s">
        <v>37</v>
      </c>
      <c r="L13" s="5" t="s">
        <v>38</v>
      </c>
      <c r="M13" s="5" t="s">
        <v>37</v>
      </c>
      <c r="N13" s="5" t="s">
        <v>37</v>
      </c>
      <c r="O13" s="5" t="s">
        <v>38</v>
      </c>
      <c r="P13" s="5" t="s">
        <v>39</v>
      </c>
      <c r="Q13" s="2">
        <v>45957</v>
      </c>
      <c r="V13" s="46">
        <f>IF(
  OR(
    ISNUMBER(SEARCH("unable to locate acct", tblDocketedComments[[#This Row],[Docketed Consumer Comments]])),
    ISNUMBER(SEARCH("unknown", tblDocketedComments[[#This Row],[Docketed Consumer Comments]])),
    ISNUMBER(SEARCH("inactive", tblDocketedComments[[#This Row],[Docketed Consumer Comments]]))
  ),
  0,
  1
)</f>
        <v>1</v>
      </c>
    </row>
    <row r="14" spans="1:22" hidden="1">
      <c r="A14" s="2">
        <v>45813</v>
      </c>
      <c r="B14" s="1" t="s">
        <v>87</v>
      </c>
      <c r="C14" s="1" t="s">
        <v>88</v>
      </c>
      <c r="D14" s="1" t="s">
        <v>89</v>
      </c>
      <c r="E14" s="1">
        <v>86336</v>
      </c>
      <c r="F14" s="3" t="s">
        <v>31</v>
      </c>
      <c r="G14" s="1" t="s">
        <v>86</v>
      </c>
      <c r="H14" s="4" t="s">
        <v>90</v>
      </c>
      <c r="J14" s="5" t="s">
        <v>37</v>
      </c>
      <c r="V14" s="46">
        <f>IF(
  OR(
    ISNUMBER(SEARCH("unable to locate acct", tblDocketedComments[[#This Row],[Docketed Consumer Comments]])),
    ISNUMBER(SEARCH("unknown", tblDocketedComments[[#This Row],[Docketed Consumer Comments]])),
    ISNUMBER(SEARCH("inactive", tblDocketedComments[[#This Row],[Docketed Consumer Comments]]))
  ),
  0,
  1
)</f>
        <v>1</v>
      </c>
    </row>
    <row r="15" spans="1:22" hidden="1">
      <c r="A15" s="2">
        <v>45814</v>
      </c>
      <c r="B15" s="1" t="s">
        <v>91</v>
      </c>
      <c r="C15" s="1" t="s">
        <v>92</v>
      </c>
      <c r="D15" s="1" t="s">
        <v>93</v>
      </c>
      <c r="E15" s="1">
        <v>85351</v>
      </c>
      <c r="F15" s="3" t="s">
        <v>31</v>
      </c>
      <c r="G15" s="1" t="s">
        <v>94</v>
      </c>
      <c r="H15" s="4">
        <v>1163301000</v>
      </c>
      <c r="I15" s="5" t="s">
        <v>73</v>
      </c>
      <c r="J15" s="5" t="s">
        <v>37</v>
      </c>
      <c r="K15" s="5" t="s">
        <v>37</v>
      </c>
      <c r="L15" s="5" t="s">
        <v>38</v>
      </c>
      <c r="M15" s="5" t="s">
        <v>37</v>
      </c>
      <c r="N15" s="5" t="s">
        <v>37</v>
      </c>
      <c r="O15" s="5" t="s">
        <v>38</v>
      </c>
      <c r="P15" s="5" t="s">
        <v>39</v>
      </c>
      <c r="Q15" s="2">
        <v>45957</v>
      </c>
      <c r="V15" s="46">
        <f>IF(
  OR(
    ISNUMBER(SEARCH("unable to locate acct", tblDocketedComments[[#This Row],[Docketed Consumer Comments]])),
    ISNUMBER(SEARCH("unknown", tblDocketedComments[[#This Row],[Docketed Consumer Comments]])),
    ISNUMBER(SEARCH("inactive", tblDocketedComments[[#This Row],[Docketed Consumer Comments]]))
  ),
  0,
  1
)</f>
        <v>1</v>
      </c>
    </row>
    <row r="16" spans="1:22" hidden="1">
      <c r="A16" s="2">
        <v>45821</v>
      </c>
      <c r="B16" s="1" t="s">
        <v>95</v>
      </c>
      <c r="C16" s="1" t="s">
        <v>96</v>
      </c>
      <c r="D16" s="1" t="s">
        <v>30</v>
      </c>
      <c r="E16" s="1" t="s">
        <v>30</v>
      </c>
      <c r="F16" s="3" t="s">
        <v>31</v>
      </c>
      <c r="G16" s="1" t="s">
        <v>97</v>
      </c>
      <c r="H16" s="4" t="s">
        <v>98</v>
      </c>
      <c r="I16" s="6" t="s">
        <v>46</v>
      </c>
      <c r="J16" s="5" t="s">
        <v>37</v>
      </c>
      <c r="K16" s="5" t="s">
        <v>37</v>
      </c>
      <c r="L16" s="7" t="s">
        <v>99</v>
      </c>
      <c r="M16" s="5" t="s">
        <v>37</v>
      </c>
      <c r="N16" s="5" t="s">
        <v>37</v>
      </c>
      <c r="O16" s="5" t="s">
        <v>38</v>
      </c>
      <c r="P16" s="5" t="s">
        <v>39</v>
      </c>
      <c r="Q16" s="2">
        <v>45957</v>
      </c>
      <c r="R16" s="1" t="s">
        <v>100</v>
      </c>
      <c r="V16" s="46">
        <f>IF(
  OR(
    ISNUMBER(SEARCH("unable to locate acct", tblDocketedComments[[#This Row],[Docketed Consumer Comments]])),
    ISNUMBER(SEARCH("unknown", tblDocketedComments[[#This Row],[Docketed Consumer Comments]])),
    ISNUMBER(SEARCH("inactive", tblDocketedComments[[#This Row],[Docketed Consumer Comments]]))
  ),
  0,
  1
)</f>
        <v>1</v>
      </c>
    </row>
    <row r="17" spans="1:22" ht="10.15" hidden="1" customHeight="1">
      <c r="A17" s="2">
        <v>45824</v>
      </c>
      <c r="B17" s="1" t="s">
        <v>101</v>
      </c>
      <c r="C17" s="1" t="s">
        <v>102</v>
      </c>
      <c r="D17" s="1" t="s">
        <v>30</v>
      </c>
      <c r="E17" s="1" t="s">
        <v>30</v>
      </c>
      <c r="F17" s="3" t="s">
        <v>31</v>
      </c>
      <c r="G17" s="3" t="s">
        <v>103</v>
      </c>
      <c r="H17" s="4" t="s">
        <v>27</v>
      </c>
      <c r="I17" s="6"/>
      <c r="U17" s="1" t="s">
        <v>104</v>
      </c>
      <c r="V17" s="46">
        <f>IF(
  OR(
    ISNUMBER(SEARCH("unable to locate acct", tblDocketedComments[[#This Row],[Docketed Consumer Comments]])),
    ISNUMBER(SEARCH("unknown", tblDocketedComments[[#This Row],[Docketed Consumer Comments]])),
    ISNUMBER(SEARCH("inactive", tblDocketedComments[[#This Row],[Docketed Consumer Comments]]))
  ),
  0,
  1
)</f>
        <v>1</v>
      </c>
    </row>
    <row r="18" spans="1:22" hidden="1">
      <c r="A18" s="2">
        <v>45824</v>
      </c>
      <c r="B18" s="1" t="s">
        <v>105</v>
      </c>
      <c r="C18" s="1" t="s">
        <v>106</v>
      </c>
      <c r="D18" s="1" t="s">
        <v>30</v>
      </c>
      <c r="E18" s="1" t="s">
        <v>30</v>
      </c>
      <c r="F18" s="3" t="s">
        <v>31</v>
      </c>
      <c r="G18" s="1" t="s">
        <v>107</v>
      </c>
      <c r="H18" s="4" t="s">
        <v>27</v>
      </c>
      <c r="I18" s="6"/>
      <c r="V18" s="46">
        <f>IF(
  OR(
    ISNUMBER(SEARCH("unable to locate acct", tblDocketedComments[[#This Row],[Docketed Consumer Comments]])),
    ISNUMBER(SEARCH("unknown", tblDocketedComments[[#This Row],[Docketed Consumer Comments]])),
    ISNUMBER(SEARCH("inactive", tblDocketedComments[[#This Row],[Docketed Consumer Comments]]))
  ),
  0,
  1
)</f>
        <v>1</v>
      </c>
    </row>
    <row r="19" spans="1:22" hidden="1">
      <c r="A19" s="2">
        <v>45824</v>
      </c>
      <c r="B19" s="1" t="s">
        <v>28</v>
      </c>
      <c r="C19" s="1" t="s">
        <v>29</v>
      </c>
      <c r="D19" s="1" t="s">
        <v>30</v>
      </c>
      <c r="E19" s="1" t="s">
        <v>30</v>
      </c>
      <c r="F19" s="3" t="s">
        <v>31</v>
      </c>
      <c r="G19" s="1" t="s">
        <v>108</v>
      </c>
      <c r="H19" s="4" t="s">
        <v>27</v>
      </c>
      <c r="I19" s="6"/>
      <c r="U19" s="1" t="s">
        <v>109</v>
      </c>
      <c r="V19" s="46">
        <f>IF(
  OR(
    ISNUMBER(SEARCH("unable to locate acct", tblDocketedComments[[#This Row],[Docketed Consumer Comments]])),
    ISNUMBER(SEARCH("unknown", tblDocketedComments[[#This Row],[Docketed Consumer Comments]])),
    ISNUMBER(SEARCH("inactive", tblDocketedComments[[#This Row],[Docketed Consumer Comments]]))
  ),
  0,
  1
)</f>
        <v>1</v>
      </c>
    </row>
    <row r="20" spans="1:22" hidden="1">
      <c r="A20" s="2">
        <v>45825</v>
      </c>
      <c r="B20" s="1" t="s">
        <v>110</v>
      </c>
      <c r="C20" s="1" t="s">
        <v>111</v>
      </c>
      <c r="D20" s="1" t="s">
        <v>112</v>
      </c>
      <c r="E20" s="1">
        <v>85379</v>
      </c>
      <c r="F20" s="3" t="s">
        <v>31</v>
      </c>
      <c r="G20" s="1" t="s">
        <v>113</v>
      </c>
      <c r="H20" s="4" t="s">
        <v>27</v>
      </c>
      <c r="I20" s="6"/>
      <c r="V20" s="46">
        <f>IF(
  OR(
    ISNUMBER(SEARCH("unable to locate acct", tblDocketedComments[[#This Row],[Docketed Consumer Comments]])),
    ISNUMBER(SEARCH("unknown", tblDocketedComments[[#This Row],[Docketed Consumer Comments]])),
    ISNUMBER(SEARCH("inactive", tblDocketedComments[[#This Row],[Docketed Consumer Comments]]))
  ),
  0,
  1
)</f>
        <v>1</v>
      </c>
    </row>
    <row r="21" spans="1:22" hidden="1">
      <c r="A21" s="2">
        <v>45825</v>
      </c>
      <c r="B21" s="1" t="s">
        <v>114</v>
      </c>
      <c r="C21" s="1" t="s">
        <v>115</v>
      </c>
      <c r="D21" s="1" t="s">
        <v>112</v>
      </c>
      <c r="E21" s="1">
        <v>85387</v>
      </c>
      <c r="F21" s="3" t="s">
        <v>31</v>
      </c>
      <c r="G21" s="1" t="s">
        <v>113</v>
      </c>
      <c r="H21" s="4" t="s">
        <v>27</v>
      </c>
      <c r="I21" s="6"/>
      <c r="V21" s="46">
        <f>IF(
  OR(
    ISNUMBER(SEARCH("unable to locate acct", tblDocketedComments[[#This Row],[Docketed Consumer Comments]])),
    ISNUMBER(SEARCH("unknown", tblDocketedComments[[#This Row],[Docketed Consumer Comments]])),
    ISNUMBER(SEARCH("inactive", tblDocketedComments[[#This Row],[Docketed Consumer Comments]]))
  ),
  0,
  1
)</f>
        <v>1</v>
      </c>
    </row>
    <row r="22" spans="1:22" hidden="1">
      <c r="A22" s="2">
        <v>45825</v>
      </c>
      <c r="B22" s="1" t="s">
        <v>116</v>
      </c>
      <c r="C22" s="1" t="s">
        <v>117</v>
      </c>
      <c r="D22" s="1" t="s">
        <v>24</v>
      </c>
      <c r="E22" s="1">
        <v>85308</v>
      </c>
      <c r="F22" s="3" t="s">
        <v>31</v>
      </c>
      <c r="G22" s="1" t="s">
        <v>113</v>
      </c>
      <c r="H22" s="4" t="s">
        <v>118</v>
      </c>
      <c r="I22" s="6" t="s">
        <v>36</v>
      </c>
      <c r="J22" s="5" t="s">
        <v>37</v>
      </c>
      <c r="K22" s="5" t="s">
        <v>37</v>
      </c>
      <c r="L22" s="4" t="s">
        <v>38</v>
      </c>
      <c r="M22" s="4" t="s">
        <v>37</v>
      </c>
      <c r="N22" s="4" t="s">
        <v>37</v>
      </c>
      <c r="O22" s="5" t="s">
        <v>38</v>
      </c>
      <c r="P22" s="5" t="s">
        <v>39</v>
      </c>
      <c r="Q22" s="2">
        <v>45957</v>
      </c>
      <c r="V22" s="46">
        <f>IF(
  OR(
    ISNUMBER(SEARCH("unable to locate acct", tblDocketedComments[[#This Row],[Docketed Consumer Comments]])),
    ISNUMBER(SEARCH("unknown", tblDocketedComments[[#This Row],[Docketed Consumer Comments]])),
    ISNUMBER(SEARCH("inactive", tblDocketedComments[[#This Row],[Docketed Consumer Comments]]))
  ),
  0,
  1
)</f>
        <v>1</v>
      </c>
    </row>
    <row r="23" spans="1:22" hidden="1">
      <c r="A23" s="2">
        <v>45826</v>
      </c>
      <c r="B23" s="1" t="s">
        <v>119</v>
      </c>
      <c r="C23" s="1" t="s">
        <v>120</v>
      </c>
      <c r="D23" s="1" t="s">
        <v>63</v>
      </c>
      <c r="E23" s="1">
        <v>85027</v>
      </c>
      <c r="F23" s="3" t="s">
        <v>31</v>
      </c>
      <c r="G23" s="1" t="s">
        <v>121</v>
      </c>
      <c r="H23" s="4" t="s">
        <v>27</v>
      </c>
      <c r="U23" s="1" t="s">
        <v>122</v>
      </c>
      <c r="V23" s="46">
        <f>IF(
  OR(
    ISNUMBER(SEARCH("unable to locate acct", tblDocketedComments[[#This Row],[Docketed Consumer Comments]])),
    ISNUMBER(SEARCH("unknown", tblDocketedComments[[#This Row],[Docketed Consumer Comments]])),
    ISNUMBER(SEARCH("inactive", tblDocketedComments[[#This Row],[Docketed Consumer Comments]]))
  ),
  0,
  1
)</f>
        <v>1</v>
      </c>
    </row>
    <row r="24" spans="1:22" hidden="1">
      <c r="A24" s="2">
        <v>45826</v>
      </c>
      <c r="B24" s="1" t="s">
        <v>123</v>
      </c>
      <c r="C24" s="1" t="s">
        <v>124</v>
      </c>
      <c r="D24" s="1" t="s">
        <v>125</v>
      </c>
      <c r="E24" s="1">
        <v>85254</v>
      </c>
      <c r="F24" s="3" t="s">
        <v>31</v>
      </c>
      <c r="G24" s="1" t="s">
        <v>121</v>
      </c>
      <c r="H24" s="4">
        <v>7413433376</v>
      </c>
      <c r="I24" s="5" t="s">
        <v>126</v>
      </c>
      <c r="J24" s="5" t="s">
        <v>37</v>
      </c>
      <c r="K24" s="5" t="s">
        <v>37</v>
      </c>
      <c r="L24" s="5" t="s">
        <v>38</v>
      </c>
      <c r="M24" s="5" t="s">
        <v>37</v>
      </c>
      <c r="N24" s="5" t="s">
        <v>37</v>
      </c>
      <c r="O24" s="5" t="s">
        <v>38</v>
      </c>
      <c r="P24" s="5" t="s">
        <v>39</v>
      </c>
      <c r="Q24" s="2">
        <v>45957</v>
      </c>
      <c r="V24" s="46">
        <f>IF(
  OR(
    ISNUMBER(SEARCH("unable to locate acct", tblDocketedComments[[#This Row],[Docketed Consumer Comments]])),
    ISNUMBER(SEARCH("unknown", tblDocketedComments[[#This Row],[Docketed Consumer Comments]])),
    ISNUMBER(SEARCH("inactive", tblDocketedComments[[#This Row],[Docketed Consumer Comments]]))
  ),
  0,
  1
)</f>
        <v>1</v>
      </c>
    </row>
    <row r="25" spans="1:22" hidden="1">
      <c r="A25" s="2">
        <v>45826</v>
      </c>
      <c r="B25" s="1" t="s">
        <v>127</v>
      </c>
      <c r="C25" s="1" t="s">
        <v>128</v>
      </c>
      <c r="D25" s="1" t="s">
        <v>129</v>
      </c>
      <c r="E25" s="1">
        <v>85233</v>
      </c>
      <c r="F25" s="3" t="s">
        <v>31</v>
      </c>
      <c r="G25" s="1" t="s">
        <v>121</v>
      </c>
      <c r="H25" s="4">
        <v>6601188228</v>
      </c>
      <c r="I25" s="5" t="s">
        <v>36</v>
      </c>
      <c r="J25" s="5" t="s">
        <v>37</v>
      </c>
      <c r="K25" s="5" t="s">
        <v>37</v>
      </c>
      <c r="L25" s="5" t="s">
        <v>38</v>
      </c>
      <c r="M25" s="5" t="s">
        <v>37</v>
      </c>
      <c r="N25" s="5" t="s">
        <v>37</v>
      </c>
      <c r="O25" s="5" t="s">
        <v>38</v>
      </c>
      <c r="P25" s="5" t="s">
        <v>39</v>
      </c>
      <c r="Q25" s="2">
        <v>45957</v>
      </c>
      <c r="V25" s="46">
        <f>IF(
  OR(
    ISNUMBER(SEARCH("unable to locate acct", tblDocketedComments[[#This Row],[Docketed Consumer Comments]])),
    ISNUMBER(SEARCH("unknown", tblDocketedComments[[#This Row],[Docketed Consumer Comments]])),
    ISNUMBER(SEARCH("inactive", tblDocketedComments[[#This Row],[Docketed Consumer Comments]]))
  ),
  0,
  1
)</f>
        <v>1</v>
      </c>
    </row>
    <row r="26" spans="1:22" hidden="1">
      <c r="A26" s="2">
        <v>45826</v>
      </c>
      <c r="B26" s="1" t="s">
        <v>130</v>
      </c>
      <c r="C26" s="1" t="s">
        <v>131</v>
      </c>
      <c r="D26" s="1" t="s">
        <v>112</v>
      </c>
      <c r="E26" s="1">
        <v>85388</v>
      </c>
      <c r="F26" s="3" t="s">
        <v>31</v>
      </c>
      <c r="G26" s="1" t="s">
        <v>121</v>
      </c>
      <c r="H26" s="4">
        <v>7397110970</v>
      </c>
      <c r="I26" s="5" t="s">
        <v>36</v>
      </c>
      <c r="J26" s="5" t="s">
        <v>37</v>
      </c>
      <c r="K26" s="5" t="s">
        <v>37</v>
      </c>
      <c r="L26" s="5" t="s">
        <v>38</v>
      </c>
      <c r="M26" s="5" t="s">
        <v>37</v>
      </c>
      <c r="N26" s="5" t="s">
        <v>37</v>
      </c>
      <c r="O26" s="5" t="s">
        <v>38</v>
      </c>
      <c r="P26" s="5" t="s">
        <v>39</v>
      </c>
      <c r="Q26" s="2">
        <v>45957</v>
      </c>
      <c r="V26" s="46">
        <f>IF(
  OR(
    ISNUMBER(SEARCH("unable to locate acct", tblDocketedComments[[#This Row],[Docketed Consumer Comments]])),
    ISNUMBER(SEARCH("unknown", tblDocketedComments[[#This Row],[Docketed Consumer Comments]])),
    ISNUMBER(SEARCH("inactive", tblDocketedComments[[#This Row],[Docketed Consumer Comments]]))
  ),
  0,
  1
)</f>
        <v>1</v>
      </c>
    </row>
    <row r="27" spans="1:22" hidden="1">
      <c r="A27" s="2">
        <v>45826</v>
      </c>
      <c r="B27" s="1" t="s">
        <v>132</v>
      </c>
      <c r="C27" s="1" t="s">
        <v>133</v>
      </c>
      <c r="D27" s="1" t="s">
        <v>125</v>
      </c>
      <c r="E27" s="1">
        <v>85266</v>
      </c>
      <c r="F27" s="3" t="s">
        <v>31</v>
      </c>
      <c r="G27" s="1" t="s">
        <v>121</v>
      </c>
      <c r="H27" s="4">
        <v>5288831000</v>
      </c>
      <c r="I27" s="5" t="s">
        <v>36</v>
      </c>
      <c r="J27" s="5" t="s">
        <v>37</v>
      </c>
      <c r="K27" s="5" t="s">
        <v>37</v>
      </c>
      <c r="L27" s="5" t="s">
        <v>38</v>
      </c>
      <c r="M27" s="5" t="s">
        <v>37</v>
      </c>
      <c r="N27" s="5" t="s">
        <v>37</v>
      </c>
      <c r="O27" s="5" t="s">
        <v>38</v>
      </c>
      <c r="P27" s="5" t="s">
        <v>39</v>
      </c>
      <c r="Q27" s="2">
        <v>45957</v>
      </c>
      <c r="V27" s="46">
        <f>IF(
  OR(
    ISNUMBER(SEARCH("unable to locate acct", tblDocketedComments[[#This Row],[Docketed Consumer Comments]])),
    ISNUMBER(SEARCH("unknown", tblDocketedComments[[#This Row],[Docketed Consumer Comments]])),
    ISNUMBER(SEARCH("inactive", tblDocketedComments[[#This Row],[Docketed Consumer Comments]]))
  ),
  0,
  1
)</f>
        <v>1</v>
      </c>
    </row>
    <row r="28" spans="1:22" hidden="1">
      <c r="A28" s="2">
        <v>45826</v>
      </c>
      <c r="B28" s="1" t="s">
        <v>134</v>
      </c>
      <c r="C28" s="1" t="s">
        <v>135</v>
      </c>
      <c r="D28" s="1" t="s">
        <v>136</v>
      </c>
      <c r="E28" s="1" t="s">
        <v>30</v>
      </c>
      <c r="F28" s="3" t="s">
        <v>31</v>
      </c>
      <c r="G28" s="1" t="s">
        <v>137</v>
      </c>
      <c r="H28" s="4" t="s">
        <v>27</v>
      </c>
      <c r="I28" s="6"/>
      <c r="U28" s="1" t="s">
        <v>77</v>
      </c>
      <c r="V28" s="46">
        <f>IF(
  OR(
    ISNUMBER(SEARCH("unable to locate acct", tblDocketedComments[[#This Row],[Docketed Consumer Comments]])),
    ISNUMBER(SEARCH("unknown", tblDocketedComments[[#This Row],[Docketed Consumer Comments]])),
    ISNUMBER(SEARCH("inactive", tblDocketedComments[[#This Row],[Docketed Consumer Comments]]))
  ),
  0,
  1
)</f>
        <v>1</v>
      </c>
    </row>
    <row r="29" spans="1:22" hidden="1">
      <c r="A29" s="2">
        <v>45826</v>
      </c>
      <c r="B29" s="1" t="s">
        <v>138</v>
      </c>
      <c r="C29" s="1" t="s">
        <v>139</v>
      </c>
      <c r="D29" s="1" t="s">
        <v>125</v>
      </c>
      <c r="E29" s="1">
        <v>85254</v>
      </c>
      <c r="F29" s="3" t="s">
        <v>31</v>
      </c>
      <c r="G29" s="1" t="s">
        <v>137</v>
      </c>
      <c r="H29" s="4" t="s">
        <v>140</v>
      </c>
      <c r="I29" s="5" t="s">
        <v>57</v>
      </c>
      <c r="J29" s="5" t="s">
        <v>141</v>
      </c>
      <c r="K29" s="5" t="s">
        <v>37</v>
      </c>
      <c r="L29" s="5" t="s">
        <v>142</v>
      </c>
      <c r="M29" s="5" t="s">
        <v>37</v>
      </c>
      <c r="N29" s="5" t="s">
        <v>37</v>
      </c>
      <c r="O29" s="5" t="s">
        <v>38</v>
      </c>
      <c r="P29" s="5" t="s">
        <v>39</v>
      </c>
      <c r="Q29" s="2">
        <v>45957</v>
      </c>
      <c r="U29" s="1" t="s">
        <v>143</v>
      </c>
      <c r="V29" s="46">
        <f>IF(
  OR(
    ISNUMBER(SEARCH("unable to locate acct", tblDocketedComments[[#This Row],[Docketed Consumer Comments]])),
    ISNUMBER(SEARCH("unknown", tblDocketedComments[[#This Row],[Docketed Consumer Comments]])),
    ISNUMBER(SEARCH("inactive", tblDocketedComments[[#This Row],[Docketed Consumer Comments]]))
  ),
  0,
  1
)</f>
        <v>1</v>
      </c>
    </row>
    <row r="30" spans="1:22" hidden="1">
      <c r="A30" s="2">
        <v>45826</v>
      </c>
      <c r="B30" s="1" t="s">
        <v>144</v>
      </c>
      <c r="C30" s="1" t="s">
        <v>145</v>
      </c>
      <c r="D30" s="1" t="s">
        <v>63</v>
      </c>
      <c r="E30" s="1">
        <v>85029</v>
      </c>
      <c r="F30" s="3" t="s">
        <v>31</v>
      </c>
      <c r="G30" s="1" t="s">
        <v>137</v>
      </c>
      <c r="H30" s="4" t="s">
        <v>146</v>
      </c>
      <c r="I30" s="5" t="s">
        <v>36</v>
      </c>
      <c r="J30" s="5" t="s">
        <v>37</v>
      </c>
      <c r="K30" s="5" t="s">
        <v>37</v>
      </c>
      <c r="L30" s="7" t="s">
        <v>147</v>
      </c>
      <c r="M30" s="5" t="s">
        <v>37</v>
      </c>
      <c r="N30" s="5" t="s">
        <v>37</v>
      </c>
      <c r="O30" s="5" t="s">
        <v>38</v>
      </c>
      <c r="P30" s="2">
        <v>45964</v>
      </c>
      <c r="Q30" s="2">
        <v>45957</v>
      </c>
      <c r="R30" s="1" t="s">
        <v>148</v>
      </c>
      <c r="U30" s="1" t="s">
        <v>149</v>
      </c>
      <c r="V30" s="46">
        <f>IF(
  OR(
    ISNUMBER(SEARCH("unable to locate acct", tblDocketedComments[[#This Row],[Docketed Consumer Comments]])),
    ISNUMBER(SEARCH("unknown", tblDocketedComments[[#This Row],[Docketed Consumer Comments]])),
    ISNUMBER(SEARCH("inactive", tblDocketedComments[[#This Row],[Docketed Consumer Comments]]))
  ),
  0,
  1
)</f>
        <v>1</v>
      </c>
    </row>
    <row r="31" spans="1:22" hidden="1">
      <c r="A31" s="2">
        <v>45826</v>
      </c>
      <c r="B31" s="1" t="s">
        <v>150</v>
      </c>
      <c r="C31" s="1" t="s">
        <v>133</v>
      </c>
      <c r="D31" s="1" t="s">
        <v>30</v>
      </c>
      <c r="E31" s="1" t="s">
        <v>30</v>
      </c>
      <c r="F31" s="3" t="s">
        <v>31</v>
      </c>
      <c r="G31" s="1" t="s">
        <v>151</v>
      </c>
      <c r="H31" s="4" t="s">
        <v>27</v>
      </c>
      <c r="I31" s="6"/>
      <c r="U31" s="1" t="s">
        <v>77</v>
      </c>
      <c r="V31" s="46">
        <f>IF(
  OR(
    ISNUMBER(SEARCH("unable to locate acct", tblDocketedComments[[#This Row],[Docketed Consumer Comments]])),
    ISNUMBER(SEARCH("unknown", tblDocketedComments[[#This Row],[Docketed Consumer Comments]])),
    ISNUMBER(SEARCH("inactive", tblDocketedComments[[#This Row],[Docketed Consumer Comments]]))
  ),
  0,
  1
)</f>
        <v>1</v>
      </c>
    </row>
    <row r="32" spans="1:22" hidden="1">
      <c r="A32" s="2">
        <v>45826</v>
      </c>
      <c r="B32" s="1" t="s">
        <v>152</v>
      </c>
      <c r="C32" s="1" t="s">
        <v>153</v>
      </c>
      <c r="D32" s="1" t="s">
        <v>30</v>
      </c>
      <c r="E32" s="1" t="s">
        <v>30</v>
      </c>
      <c r="F32" s="3" t="s">
        <v>31</v>
      </c>
      <c r="G32" s="1" t="s">
        <v>151</v>
      </c>
      <c r="H32" s="4" t="s">
        <v>154</v>
      </c>
      <c r="I32" s="5" t="s">
        <v>73</v>
      </c>
      <c r="J32" s="5" t="s">
        <v>37</v>
      </c>
      <c r="K32" s="5" t="s">
        <v>37</v>
      </c>
      <c r="L32" s="4" t="s">
        <v>38</v>
      </c>
      <c r="M32" s="4" t="s">
        <v>37</v>
      </c>
      <c r="N32" s="4" t="s">
        <v>37</v>
      </c>
      <c r="O32" s="5" t="s">
        <v>38</v>
      </c>
      <c r="P32" s="5" t="s">
        <v>39</v>
      </c>
      <c r="Q32" s="2">
        <v>45957</v>
      </c>
      <c r="V32" s="46">
        <f>IF(
  OR(
    ISNUMBER(SEARCH("unable to locate acct", tblDocketedComments[[#This Row],[Docketed Consumer Comments]])),
    ISNUMBER(SEARCH("unknown", tblDocketedComments[[#This Row],[Docketed Consumer Comments]])),
    ISNUMBER(SEARCH("inactive", tblDocketedComments[[#This Row],[Docketed Consumer Comments]]))
  ),
  0,
  1
)</f>
        <v>1</v>
      </c>
    </row>
    <row r="33" spans="1:22" hidden="1">
      <c r="A33" s="2">
        <v>45826</v>
      </c>
      <c r="B33" s="1" t="s">
        <v>155</v>
      </c>
      <c r="C33" s="1" t="s">
        <v>156</v>
      </c>
      <c r="D33" s="1" t="s">
        <v>30</v>
      </c>
      <c r="E33" s="1" t="s">
        <v>30</v>
      </c>
      <c r="F33" s="3" t="s">
        <v>31</v>
      </c>
      <c r="G33" s="1" t="s">
        <v>151</v>
      </c>
      <c r="H33" s="4" t="s">
        <v>157</v>
      </c>
      <c r="I33" s="6" t="s">
        <v>36</v>
      </c>
      <c r="J33" s="5" t="s">
        <v>37</v>
      </c>
      <c r="K33" s="5" t="s">
        <v>37</v>
      </c>
      <c r="L33" s="4" t="s">
        <v>38</v>
      </c>
      <c r="M33" s="4" t="s">
        <v>37</v>
      </c>
      <c r="N33" s="4" t="s">
        <v>37</v>
      </c>
      <c r="O33" s="5" t="s">
        <v>38</v>
      </c>
      <c r="P33" s="5" t="s">
        <v>39</v>
      </c>
      <c r="Q33" s="2">
        <v>45957</v>
      </c>
      <c r="R33" s="1" t="s">
        <v>158</v>
      </c>
      <c r="U33" s="1" t="s">
        <v>159</v>
      </c>
      <c r="V33" s="46">
        <f>IF(
  OR(
    ISNUMBER(SEARCH("unable to locate acct", tblDocketedComments[[#This Row],[Docketed Consumer Comments]])),
    ISNUMBER(SEARCH("unknown", tblDocketedComments[[#This Row],[Docketed Consumer Comments]])),
    ISNUMBER(SEARCH("inactive", tblDocketedComments[[#This Row],[Docketed Consumer Comments]]))
  ),
  0,
  1
)</f>
        <v>1</v>
      </c>
    </row>
    <row r="34" spans="1:22" hidden="1">
      <c r="A34" s="2">
        <v>45826</v>
      </c>
      <c r="B34" s="1" t="s">
        <v>160</v>
      </c>
      <c r="C34" s="1" t="s">
        <v>117</v>
      </c>
      <c r="D34" s="1" t="s">
        <v>24</v>
      </c>
      <c r="E34" s="1">
        <v>85310</v>
      </c>
      <c r="F34" s="3" t="s">
        <v>31</v>
      </c>
      <c r="G34" s="1" t="s">
        <v>151</v>
      </c>
      <c r="H34" s="4" t="s">
        <v>27</v>
      </c>
      <c r="I34" s="6"/>
      <c r="U34" s="1" t="s">
        <v>77</v>
      </c>
      <c r="V34" s="46">
        <f>IF(
  OR(
    ISNUMBER(SEARCH("unable to locate acct", tblDocketedComments[[#This Row],[Docketed Consumer Comments]])),
    ISNUMBER(SEARCH("unknown", tblDocketedComments[[#This Row],[Docketed Consumer Comments]])),
    ISNUMBER(SEARCH("inactive", tblDocketedComments[[#This Row],[Docketed Consumer Comments]]))
  ),
  0,
  1
)</f>
        <v>1</v>
      </c>
    </row>
    <row r="35" spans="1:22" hidden="1">
      <c r="A35" s="2">
        <v>45826</v>
      </c>
      <c r="B35" s="1" t="s">
        <v>161</v>
      </c>
      <c r="C35" s="1" t="s">
        <v>162</v>
      </c>
      <c r="D35" s="1" t="s">
        <v>68</v>
      </c>
      <c r="E35" s="1">
        <v>85331</v>
      </c>
      <c r="F35" s="3" t="s">
        <v>31</v>
      </c>
      <c r="G35" s="1" t="s">
        <v>151</v>
      </c>
      <c r="H35" s="4" t="s">
        <v>163</v>
      </c>
      <c r="I35" s="6" t="s">
        <v>164</v>
      </c>
      <c r="J35" s="5" t="s">
        <v>37</v>
      </c>
      <c r="K35" s="5" t="s">
        <v>37</v>
      </c>
      <c r="L35" s="9" t="s">
        <v>165</v>
      </c>
      <c r="M35" s="4" t="s">
        <v>37</v>
      </c>
      <c r="N35" s="4" t="s">
        <v>37</v>
      </c>
      <c r="O35" s="5" t="s">
        <v>38</v>
      </c>
      <c r="P35" s="2">
        <v>45964</v>
      </c>
      <c r="Q35" s="2">
        <v>45957</v>
      </c>
      <c r="R35" s="1" t="s">
        <v>148</v>
      </c>
      <c r="U35" s="1" t="s">
        <v>166</v>
      </c>
      <c r="V35" s="46">
        <f>IF(
  OR(
    ISNUMBER(SEARCH("unable to locate acct", tblDocketedComments[[#This Row],[Docketed Consumer Comments]])),
    ISNUMBER(SEARCH("unknown", tblDocketedComments[[#This Row],[Docketed Consumer Comments]])),
    ISNUMBER(SEARCH("inactive", tblDocketedComments[[#This Row],[Docketed Consumer Comments]]))
  ),
  0,
  1
)</f>
        <v>1</v>
      </c>
    </row>
    <row r="36" spans="1:22" hidden="1">
      <c r="A36" s="2">
        <v>45827</v>
      </c>
      <c r="B36" s="1" t="s">
        <v>167</v>
      </c>
      <c r="C36" s="1" t="s">
        <v>168</v>
      </c>
      <c r="D36" s="1" t="s">
        <v>169</v>
      </c>
      <c r="E36" s="1" t="s">
        <v>30</v>
      </c>
      <c r="F36" s="3" t="s">
        <v>170</v>
      </c>
      <c r="G36" s="1" t="s">
        <v>171</v>
      </c>
      <c r="H36" s="4" t="s">
        <v>27</v>
      </c>
      <c r="I36" s="6"/>
      <c r="L36" s="4"/>
      <c r="M36" s="4"/>
      <c r="N36" s="4"/>
      <c r="U36" s="1" t="s">
        <v>77</v>
      </c>
      <c r="V36" s="46">
        <f>IF(
  OR(
    ISNUMBER(SEARCH("unable to locate acct", tblDocketedComments[[#This Row],[Docketed Consumer Comments]])),
    ISNUMBER(SEARCH("unknown", tblDocketedComments[[#This Row],[Docketed Consumer Comments]])),
    ISNUMBER(SEARCH("inactive", tblDocketedComments[[#This Row],[Docketed Consumer Comments]]))
  ),
  0,
  1
)</f>
        <v>1</v>
      </c>
    </row>
    <row r="37" spans="1:22" hidden="1">
      <c r="A37" s="2">
        <v>45827</v>
      </c>
      <c r="B37" s="1" t="s">
        <v>172</v>
      </c>
      <c r="C37" s="1" t="s">
        <v>173</v>
      </c>
      <c r="D37" s="1" t="s">
        <v>174</v>
      </c>
      <c r="E37" s="1" t="s">
        <v>30</v>
      </c>
      <c r="F37" s="3" t="s">
        <v>31</v>
      </c>
      <c r="G37" s="1" t="s">
        <v>175</v>
      </c>
      <c r="H37" s="4" t="s">
        <v>27</v>
      </c>
      <c r="I37" s="6"/>
      <c r="L37" s="4"/>
      <c r="M37" s="4"/>
      <c r="N37" s="4"/>
      <c r="U37" s="1" t="s">
        <v>77</v>
      </c>
      <c r="V37" s="46">
        <f>IF(
  OR(
    ISNUMBER(SEARCH("unable to locate acct", tblDocketedComments[[#This Row],[Docketed Consumer Comments]])),
    ISNUMBER(SEARCH("unknown", tblDocketedComments[[#This Row],[Docketed Consumer Comments]])),
    ISNUMBER(SEARCH("inactive", tblDocketedComments[[#This Row],[Docketed Consumer Comments]]))
  ),
  0,
  1
)</f>
        <v>1</v>
      </c>
    </row>
    <row r="38" spans="1:22" hidden="1">
      <c r="A38" s="2">
        <v>45827</v>
      </c>
      <c r="B38" s="1" t="s">
        <v>176</v>
      </c>
      <c r="C38" s="1" t="s">
        <v>177</v>
      </c>
      <c r="D38" s="1" t="s">
        <v>30</v>
      </c>
      <c r="E38" s="1" t="s">
        <v>30</v>
      </c>
      <c r="F38" s="3" t="s">
        <v>31</v>
      </c>
      <c r="G38" s="1" t="s">
        <v>175</v>
      </c>
      <c r="H38" s="4" t="s">
        <v>27</v>
      </c>
      <c r="I38" s="6"/>
      <c r="L38" s="4"/>
      <c r="M38" s="4"/>
      <c r="N38" s="4"/>
      <c r="U38" s="1" t="s">
        <v>77</v>
      </c>
      <c r="V38" s="46">
        <f>IF(
  OR(
    ISNUMBER(SEARCH("unable to locate acct", tblDocketedComments[[#This Row],[Docketed Consumer Comments]])),
    ISNUMBER(SEARCH("unknown", tblDocketedComments[[#This Row],[Docketed Consumer Comments]])),
    ISNUMBER(SEARCH("inactive", tblDocketedComments[[#This Row],[Docketed Consumer Comments]]))
  ),
  0,
  1
)</f>
        <v>1</v>
      </c>
    </row>
    <row r="39" spans="1:22" hidden="1">
      <c r="A39" s="2">
        <v>45827</v>
      </c>
      <c r="B39" s="1" t="s">
        <v>178</v>
      </c>
      <c r="C39" s="1" t="s">
        <v>179</v>
      </c>
      <c r="D39" s="1" t="s">
        <v>30</v>
      </c>
      <c r="E39" s="1" t="s">
        <v>30</v>
      </c>
      <c r="F39" s="3" t="s">
        <v>31</v>
      </c>
      <c r="G39" s="1" t="s">
        <v>175</v>
      </c>
      <c r="H39" s="4">
        <v>3007031000</v>
      </c>
      <c r="I39" s="6" t="s">
        <v>36</v>
      </c>
      <c r="J39" s="5" t="s">
        <v>37</v>
      </c>
      <c r="K39" s="5" t="s">
        <v>37</v>
      </c>
      <c r="L39" s="4" t="s">
        <v>38</v>
      </c>
      <c r="M39" s="4" t="s">
        <v>37</v>
      </c>
      <c r="N39" s="4" t="s">
        <v>37</v>
      </c>
      <c r="O39" s="5" t="s">
        <v>38</v>
      </c>
      <c r="P39" s="5" t="s">
        <v>39</v>
      </c>
      <c r="Q39" s="2">
        <v>45957</v>
      </c>
      <c r="V39" s="46">
        <f>IF(
  OR(
    ISNUMBER(SEARCH("unable to locate acct", tblDocketedComments[[#This Row],[Docketed Consumer Comments]])),
    ISNUMBER(SEARCH("unknown", tblDocketedComments[[#This Row],[Docketed Consumer Comments]])),
    ISNUMBER(SEARCH("inactive", tblDocketedComments[[#This Row],[Docketed Consumer Comments]]))
  ),
  0,
  1
)</f>
        <v>1</v>
      </c>
    </row>
    <row r="40" spans="1:22" hidden="1">
      <c r="A40" s="2">
        <v>45827</v>
      </c>
      <c r="B40" s="1" t="s">
        <v>180</v>
      </c>
      <c r="C40" s="1" t="s">
        <v>181</v>
      </c>
      <c r="D40" s="1" t="s">
        <v>63</v>
      </c>
      <c r="E40" s="1" t="s">
        <v>30</v>
      </c>
      <c r="F40" s="3" t="s">
        <v>31</v>
      </c>
      <c r="G40" s="1" t="s">
        <v>182</v>
      </c>
      <c r="H40" s="4" t="s">
        <v>27</v>
      </c>
      <c r="I40" s="6"/>
      <c r="L40" s="4"/>
      <c r="M40" s="4"/>
      <c r="N40" s="4"/>
      <c r="V40" s="46">
        <f>IF(
  OR(
    ISNUMBER(SEARCH("unable to locate acct", tblDocketedComments[[#This Row],[Docketed Consumer Comments]])),
    ISNUMBER(SEARCH("unknown", tblDocketedComments[[#This Row],[Docketed Consumer Comments]])),
    ISNUMBER(SEARCH("inactive", tblDocketedComments[[#This Row],[Docketed Consumer Comments]]))
  ),
  0,
  1
)</f>
        <v>1</v>
      </c>
    </row>
    <row r="41" spans="1:22" hidden="1">
      <c r="A41" s="2">
        <v>45827</v>
      </c>
      <c r="B41" s="1" t="s">
        <v>183</v>
      </c>
      <c r="C41" s="1" t="s">
        <v>184</v>
      </c>
      <c r="D41" s="1" t="s">
        <v>112</v>
      </c>
      <c r="E41" s="1">
        <v>85374</v>
      </c>
      <c r="F41" s="3" t="s">
        <v>31</v>
      </c>
      <c r="G41" s="1" t="s">
        <v>182</v>
      </c>
      <c r="H41" s="4" t="s">
        <v>185</v>
      </c>
      <c r="I41" s="6" t="s">
        <v>126</v>
      </c>
      <c r="J41" s="5" t="s">
        <v>37</v>
      </c>
      <c r="K41" s="5" t="s">
        <v>37</v>
      </c>
      <c r="L41" s="4" t="s">
        <v>38</v>
      </c>
      <c r="M41" s="4" t="s">
        <v>37</v>
      </c>
      <c r="N41" s="4" t="s">
        <v>37</v>
      </c>
      <c r="O41" s="5" t="s">
        <v>38</v>
      </c>
      <c r="P41" s="5" t="s">
        <v>39</v>
      </c>
      <c r="Q41" s="2">
        <v>45957</v>
      </c>
      <c r="V41" s="46">
        <f>IF(
  OR(
    ISNUMBER(SEARCH("unable to locate acct", tblDocketedComments[[#This Row],[Docketed Consumer Comments]])),
    ISNUMBER(SEARCH("unknown", tblDocketedComments[[#This Row],[Docketed Consumer Comments]])),
    ISNUMBER(SEARCH("inactive", tblDocketedComments[[#This Row],[Docketed Consumer Comments]]))
  ),
  0,
  1
)</f>
        <v>1</v>
      </c>
    </row>
    <row r="42" spans="1:22" hidden="1">
      <c r="A42" s="2">
        <v>45831</v>
      </c>
      <c r="B42" s="1" t="s">
        <v>186</v>
      </c>
      <c r="C42" s="1" t="s">
        <v>102</v>
      </c>
      <c r="D42" s="1" t="s">
        <v>169</v>
      </c>
      <c r="E42" s="1">
        <v>85338</v>
      </c>
      <c r="F42" s="3" t="s">
        <v>31</v>
      </c>
      <c r="H42" s="4" t="s">
        <v>27</v>
      </c>
      <c r="L42" s="4"/>
      <c r="M42" s="4"/>
      <c r="N42" s="4"/>
      <c r="V42" s="46">
        <f>IF(
  OR(
    ISNUMBER(SEARCH("unable to locate acct", tblDocketedComments[[#This Row],[Docketed Consumer Comments]])),
    ISNUMBER(SEARCH("unknown", tblDocketedComments[[#This Row],[Docketed Consumer Comments]])),
    ISNUMBER(SEARCH("inactive", tblDocketedComments[[#This Row],[Docketed Consumer Comments]]))
  ),
  0,
  1
)</f>
        <v>1</v>
      </c>
    </row>
    <row r="43" spans="1:22" hidden="1">
      <c r="A43" s="2">
        <v>45831</v>
      </c>
      <c r="B43" s="1" t="s">
        <v>187</v>
      </c>
      <c r="C43" s="1" t="s">
        <v>188</v>
      </c>
      <c r="D43" s="1" t="s">
        <v>174</v>
      </c>
      <c r="E43" s="1">
        <v>85326</v>
      </c>
      <c r="F43" s="3" t="s">
        <v>31</v>
      </c>
      <c r="H43" s="4" t="s">
        <v>27</v>
      </c>
      <c r="L43" s="4"/>
      <c r="M43" s="4"/>
      <c r="N43" s="4"/>
      <c r="V43" s="46">
        <f>IF(
  OR(
    ISNUMBER(SEARCH("unable to locate acct", tblDocketedComments[[#This Row],[Docketed Consumer Comments]])),
    ISNUMBER(SEARCH("unknown", tblDocketedComments[[#This Row],[Docketed Consumer Comments]])),
    ISNUMBER(SEARCH("inactive", tblDocketedComments[[#This Row],[Docketed Consumer Comments]]))
  ),
  0,
  1
)</f>
        <v>1</v>
      </c>
    </row>
    <row r="44" spans="1:22" hidden="1">
      <c r="A44" s="2">
        <v>45831</v>
      </c>
      <c r="B44" s="1" t="s">
        <v>189</v>
      </c>
      <c r="C44" s="1" t="s">
        <v>190</v>
      </c>
      <c r="D44" s="1" t="s">
        <v>174</v>
      </c>
      <c r="E44" s="1" t="s">
        <v>30</v>
      </c>
      <c r="F44" s="3" t="s">
        <v>25</v>
      </c>
      <c r="H44" s="4" t="s">
        <v>191</v>
      </c>
      <c r="I44" s="5" t="s">
        <v>126</v>
      </c>
      <c r="J44" s="5" t="s">
        <v>37</v>
      </c>
      <c r="K44" s="5" t="s">
        <v>37</v>
      </c>
      <c r="L44" s="4" t="s">
        <v>192</v>
      </c>
      <c r="M44" s="4" t="s">
        <v>37</v>
      </c>
      <c r="N44" s="4" t="s">
        <v>37</v>
      </c>
      <c r="O44" s="5" t="s">
        <v>38</v>
      </c>
      <c r="P44" s="5" t="s">
        <v>39</v>
      </c>
      <c r="Q44" s="2">
        <v>45957</v>
      </c>
      <c r="V44" s="46">
        <f>IF(
  OR(
    ISNUMBER(SEARCH("unable to locate acct", tblDocketedComments[[#This Row],[Docketed Consumer Comments]])),
    ISNUMBER(SEARCH("unknown", tblDocketedComments[[#This Row],[Docketed Consumer Comments]])),
    ISNUMBER(SEARCH("inactive", tblDocketedComments[[#This Row],[Docketed Consumer Comments]]))
  ),
  0,
  1
)</f>
        <v>1</v>
      </c>
    </row>
    <row r="45" spans="1:22" hidden="1">
      <c r="A45" s="2">
        <v>45831</v>
      </c>
      <c r="B45" s="1" t="s">
        <v>193</v>
      </c>
      <c r="C45" s="1" t="s">
        <v>194</v>
      </c>
      <c r="D45" s="1" t="s">
        <v>63</v>
      </c>
      <c r="E45" s="1">
        <v>85006</v>
      </c>
      <c r="F45" s="3" t="s">
        <v>25</v>
      </c>
      <c r="H45" s="4" t="s">
        <v>195</v>
      </c>
      <c r="I45" s="5" t="s">
        <v>196</v>
      </c>
      <c r="J45" s="5" t="s">
        <v>37</v>
      </c>
      <c r="K45" s="5" t="s">
        <v>37</v>
      </c>
      <c r="L45" s="4" t="s">
        <v>197</v>
      </c>
      <c r="M45" s="4" t="s">
        <v>37</v>
      </c>
      <c r="N45" s="4" t="s">
        <v>37</v>
      </c>
      <c r="O45" s="5" t="s">
        <v>38</v>
      </c>
      <c r="P45" s="5" t="s">
        <v>39</v>
      </c>
      <c r="Q45" s="2">
        <v>45957</v>
      </c>
      <c r="V45" s="46">
        <f>IF(
  OR(
    ISNUMBER(SEARCH("unable to locate acct", tblDocketedComments[[#This Row],[Docketed Consumer Comments]])),
    ISNUMBER(SEARCH("unknown", tblDocketedComments[[#This Row],[Docketed Consumer Comments]])),
    ISNUMBER(SEARCH("inactive", tblDocketedComments[[#This Row],[Docketed Consumer Comments]]))
  ),
  0,
  1
)</f>
        <v>1</v>
      </c>
    </row>
    <row r="46" spans="1:22" hidden="1">
      <c r="A46" s="2">
        <v>45831</v>
      </c>
      <c r="B46" s="1" t="s">
        <v>198</v>
      </c>
      <c r="C46" s="1" t="s">
        <v>199</v>
      </c>
      <c r="D46" s="1" t="s">
        <v>63</v>
      </c>
      <c r="E46" s="1">
        <v>85085</v>
      </c>
      <c r="F46" s="3" t="s">
        <v>25</v>
      </c>
      <c r="H46" s="4" t="s">
        <v>90</v>
      </c>
      <c r="L46" s="4"/>
      <c r="M46" s="4"/>
      <c r="N46" s="4"/>
      <c r="V46" s="46">
        <f>IF(
  OR(
    ISNUMBER(SEARCH("unable to locate acct", tblDocketedComments[[#This Row],[Docketed Consumer Comments]])),
    ISNUMBER(SEARCH("unknown", tblDocketedComments[[#This Row],[Docketed Consumer Comments]])),
    ISNUMBER(SEARCH("inactive", tblDocketedComments[[#This Row],[Docketed Consumer Comments]]))
  ),
  0,
  1
)</f>
        <v>1</v>
      </c>
    </row>
    <row r="47" spans="1:22" hidden="1">
      <c r="A47" s="2">
        <v>45831</v>
      </c>
      <c r="B47" s="1" t="s">
        <v>200</v>
      </c>
      <c r="C47" s="1" t="s">
        <v>201</v>
      </c>
      <c r="D47" s="1" t="s">
        <v>202</v>
      </c>
      <c r="E47" s="1">
        <v>85383</v>
      </c>
      <c r="F47" s="3" t="s">
        <v>25</v>
      </c>
      <c r="H47" s="4" t="s">
        <v>203</v>
      </c>
      <c r="I47" s="5" t="s">
        <v>36</v>
      </c>
      <c r="J47" s="5" t="s">
        <v>37</v>
      </c>
      <c r="K47" s="5" t="s">
        <v>37</v>
      </c>
      <c r="L47" s="4" t="s">
        <v>204</v>
      </c>
      <c r="M47" s="4" t="s">
        <v>37</v>
      </c>
      <c r="N47" s="4" t="s">
        <v>37</v>
      </c>
      <c r="O47" s="5" t="s">
        <v>38</v>
      </c>
      <c r="P47" s="5" t="s">
        <v>39</v>
      </c>
      <c r="Q47" s="2">
        <v>45957</v>
      </c>
      <c r="V47" s="46">
        <f>IF(
  OR(
    ISNUMBER(SEARCH("unable to locate acct", tblDocketedComments[[#This Row],[Docketed Consumer Comments]])),
    ISNUMBER(SEARCH("unknown", tblDocketedComments[[#This Row],[Docketed Consumer Comments]])),
    ISNUMBER(SEARCH("inactive", tblDocketedComments[[#This Row],[Docketed Consumer Comments]]))
  ),
  0,
  1
)</f>
        <v>1</v>
      </c>
    </row>
    <row r="48" spans="1:22" hidden="1">
      <c r="A48" s="2">
        <v>45831</v>
      </c>
      <c r="B48" s="1" t="s">
        <v>205</v>
      </c>
      <c r="C48" s="1" t="s">
        <v>206</v>
      </c>
      <c r="D48" s="1" t="s">
        <v>30</v>
      </c>
      <c r="E48" s="1" t="s">
        <v>30</v>
      </c>
      <c r="F48" s="3" t="s">
        <v>25</v>
      </c>
      <c r="H48" s="4" t="s">
        <v>27</v>
      </c>
      <c r="L48" s="4"/>
      <c r="M48" s="4"/>
      <c r="N48" s="4"/>
      <c r="V48" s="46">
        <f>IF(
  OR(
    ISNUMBER(SEARCH("unable to locate acct", tblDocketedComments[[#This Row],[Docketed Consumer Comments]])),
    ISNUMBER(SEARCH("unknown", tblDocketedComments[[#This Row],[Docketed Consumer Comments]])),
    ISNUMBER(SEARCH("inactive", tblDocketedComments[[#This Row],[Docketed Consumer Comments]]))
  ),
  0,
  1
)</f>
        <v>1</v>
      </c>
    </row>
    <row r="49" spans="1:22" hidden="1">
      <c r="A49" s="2">
        <v>45831</v>
      </c>
      <c r="B49" s="1" t="s">
        <v>207</v>
      </c>
      <c r="C49" s="1" t="s">
        <v>208</v>
      </c>
      <c r="D49" s="1" t="s">
        <v>30</v>
      </c>
      <c r="E49" s="1" t="s">
        <v>30</v>
      </c>
      <c r="F49" s="3" t="s">
        <v>25</v>
      </c>
      <c r="H49" s="4" t="s">
        <v>209</v>
      </c>
      <c r="V49" s="46">
        <f>IF(
  OR(
    ISNUMBER(SEARCH("unable to locate acct", tblDocketedComments[[#This Row],[Docketed Consumer Comments]])),
    ISNUMBER(SEARCH("unknown", tblDocketedComments[[#This Row],[Docketed Consumer Comments]])),
    ISNUMBER(SEARCH("inactive", tblDocketedComments[[#This Row],[Docketed Consumer Comments]]))
  ),
  0,
  1
)</f>
        <v>1</v>
      </c>
    </row>
    <row r="50" spans="1:22" hidden="1">
      <c r="A50" s="2">
        <v>45831</v>
      </c>
      <c r="B50" s="1" t="s">
        <v>210</v>
      </c>
      <c r="C50" s="1" t="s">
        <v>211</v>
      </c>
      <c r="D50" s="1" t="s">
        <v>85</v>
      </c>
      <c r="E50" s="1">
        <v>86323</v>
      </c>
      <c r="F50" s="3" t="s">
        <v>31</v>
      </c>
      <c r="G50" s="1" t="s">
        <v>212</v>
      </c>
      <c r="H50" s="4" t="s">
        <v>213</v>
      </c>
      <c r="I50" s="5" t="s">
        <v>73</v>
      </c>
      <c r="J50" s="5" t="s">
        <v>37</v>
      </c>
      <c r="K50" s="5" t="s">
        <v>37</v>
      </c>
      <c r="L50" s="5" t="s">
        <v>38</v>
      </c>
      <c r="M50" s="5" t="s">
        <v>37</v>
      </c>
      <c r="N50" s="5" t="s">
        <v>37</v>
      </c>
      <c r="O50" s="5" t="s">
        <v>38</v>
      </c>
      <c r="P50" s="5" t="s">
        <v>39</v>
      </c>
      <c r="Q50" s="2">
        <v>45958</v>
      </c>
      <c r="V50" s="46">
        <f>IF(
  OR(
    ISNUMBER(SEARCH("unable to locate acct", tblDocketedComments[[#This Row],[Docketed Consumer Comments]])),
    ISNUMBER(SEARCH("unknown", tblDocketedComments[[#This Row],[Docketed Consumer Comments]])),
    ISNUMBER(SEARCH("inactive", tblDocketedComments[[#This Row],[Docketed Consumer Comments]]))
  ),
  0,
  1
)</f>
        <v>1</v>
      </c>
    </row>
    <row r="51" spans="1:22" hidden="1">
      <c r="A51" s="2">
        <v>45833</v>
      </c>
      <c r="B51" s="1" t="s">
        <v>214</v>
      </c>
      <c r="C51" s="1" t="s">
        <v>215</v>
      </c>
      <c r="D51" s="1" t="s">
        <v>30</v>
      </c>
      <c r="E51" s="1" t="s">
        <v>30</v>
      </c>
      <c r="F51" s="3" t="s">
        <v>31</v>
      </c>
      <c r="H51" s="4" t="s">
        <v>27</v>
      </c>
      <c r="V51" s="46">
        <f>IF(
  OR(
    ISNUMBER(SEARCH("unable to locate acct", tblDocketedComments[[#This Row],[Docketed Consumer Comments]])),
    ISNUMBER(SEARCH("unknown", tblDocketedComments[[#This Row],[Docketed Consumer Comments]])),
    ISNUMBER(SEARCH("inactive", tblDocketedComments[[#This Row],[Docketed Consumer Comments]]))
  ),
  0,
  1
)</f>
        <v>1</v>
      </c>
    </row>
    <row r="52" spans="1:22" hidden="1">
      <c r="A52" s="2">
        <v>45835</v>
      </c>
      <c r="B52" s="1" t="s">
        <v>216</v>
      </c>
      <c r="C52" s="1" t="s">
        <v>217</v>
      </c>
      <c r="D52" s="1" t="s">
        <v>125</v>
      </c>
      <c r="E52" s="1">
        <v>85260</v>
      </c>
      <c r="F52" s="3" t="s">
        <v>31</v>
      </c>
      <c r="G52" s="1" t="s">
        <v>218</v>
      </c>
      <c r="H52" s="4" t="s">
        <v>27</v>
      </c>
      <c r="V52" s="46">
        <f>IF(
  OR(
    ISNUMBER(SEARCH("unable to locate acct", tblDocketedComments[[#This Row],[Docketed Consumer Comments]])),
    ISNUMBER(SEARCH("unknown", tblDocketedComments[[#This Row],[Docketed Consumer Comments]])),
    ISNUMBER(SEARCH("inactive", tblDocketedComments[[#This Row],[Docketed Consumer Comments]]))
  ),
  0,
  1
)</f>
        <v>1</v>
      </c>
    </row>
    <row r="53" spans="1:22" hidden="1">
      <c r="A53" s="2">
        <v>45839</v>
      </c>
      <c r="B53" s="1" t="s">
        <v>219</v>
      </c>
      <c r="C53" s="1" t="s">
        <v>220</v>
      </c>
      <c r="D53" s="1" t="s">
        <v>63</v>
      </c>
      <c r="E53" s="1">
        <v>85032</v>
      </c>
      <c r="F53" s="3" t="s">
        <v>31</v>
      </c>
      <c r="G53" s="1" t="s">
        <v>221</v>
      </c>
      <c r="H53" s="4" t="s">
        <v>222</v>
      </c>
      <c r="I53" s="6" t="s">
        <v>126</v>
      </c>
      <c r="J53" s="5" t="s">
        <v>37</v>
      </c>
      <c r="K53" s="5" t="s">
        <v>37</v>
      </c>
      <c r="L53" s="5" t="s">
        <v>38</v>
      </c>
      <c r="M53" s="5" t="s">
        <v>37</v>
      </c>
      <c r="N53" s="5" t="s">
        <v>37</v>
      </c>
      <c r="O53" s="5" t="s">
        <v>38</v>
      </c>
      <c r="P53" s="5" t="s">
        <v>39</v>
      </c>
      <c r="Q53" s="2">
        <v>45958</v>
      </c>
      <c r="U53" s="1" t="s">
        <v>223</v>
      </c>
      <c r="V53" s="46">
        <f>IF(
  OR(
    ISNUMBER(SEARCH("unable to locate acct", tblDocketedComments[[#This Row],[Docketed Consumer Comments]])),
    ISNUMBER(SEARCH("unknown", tblDocketedComments[[#This Row],[Docketed Consumer Comments]])),
    ISNUMBER(SEARCH("inactive", tblDocketedComments[[#This Row],[Docketed Consumer Comments]]))
  ),
  0,
  1
)</f>
        <v>1</v>
      </c>
    </row>
    <row r="54" spans="1:22" hidden="1">
      <c r="A54" s="2">
        <v>45840</v>
      </c>
      <c r="B54" s="1" t="s">
        <v>224</v>
      </c>
      <c r="C54" s="1" t="s">
        <v>225</v>
      </c>
      <c r="D54" s="1" t="s">
        <v>30</v>
      </c>
      <c r="E54" s="1" t="s">
        <v>30</v>
      </c>
      <c r="F54" s="3" t="s">
        <v>31</v>
      </c>
      <c r="G54" s="1" t="s">
        <v>226</v>
      </c>
      <c r="H54" s="4" t="s">
        <v>27</v>
      </c>
      <c r="U54" s="1" t="s">
        <v>77</v>
      </c>
      <c r="V54" s="46">
        <f>IF(
  OR(
    ISNUMBER(SEARCH("unable to locate acct", tblDocketedComments[[#This Row],[Docketed Consumer Comments]])),
    ISNUMBER(SEARCH("unknown", tblDocketedComments[[#This Row],[Docketed Consumer Comments]])),
    ISNUMBER(SEARCH("inactive", tblDocketedComments[[#This Row],[Docketed Consumer Comments]]))
  ),
  0,
  1
)</f>
        <v>1</v>
      </c>
    </row>
    <row r="55" spans="1:22" hidden="1">
      <c r="A55" s="2">
        <v>45840</v>
      </c>
      <c r="B55" s="1" t="s">
        <v>227</v>
      </c>
      <c r="C55" s="1" t="s">
        <v>228</v>
      </c>
      <c r="D55" s="1" t="s">
        <v>30</v>
      </c>
      <c r="E55" s="1" t="s">
        <v>30</v>
      </c>
      <c r="F55" s="3" t="s">
        <v>31</v>
      </c>
      <c r="G55" s="1" t="s">
        <v>226</v>
      </c>
      <c r="H55" s="4" t="s">
        <v>27</v>
      </c>
      <c r="I55" s="10"/>
      <c r="U55" s="1" t="s">
        <v>77</v>
      </c>
      <c r="V55" s="46">
        <f>IF(
  OR(
    ISNUMBER(SEARCH("unable to locate acct", tblDocketedComments[[#This Row],[Docketed Consumer Comments]])),
    ISNUMBER(SEARCH("unknown", tblDocketedComments[[#This Row],[Docketed Consumer Comments]])),
    ISNUMBER(SEARCH("inactive", tblDocketedComments[[#This Row],[Docketed Consumer Comments]]))
  ),
  0,
  1
)</f>
        <v>1</v>
      </c>
    </row>
    <row r="56" spans="1:22" hidden="1">
      <c r="A56" s="2">
        <v>45845</v>
      </c>
      <c r="B56" s="1" t="s">
        <v>229</v>
      </c>
      <c r="C56" s="1" t="s">
        <v>230</v>
      </c>
      <c r="D56" s="1" t="s">
        <v>63</v>
      </c>
      <c r="E56" s="1">
        <v>85022</v>
      </c>
      <c r="F56" s="3" t="s">
        <v>31</v>
      </c>
      <c r="G56" s="1" t="s">
        <v>231</v>
      </c>
      <c r="H56" s="4" t="s">
        <v>27</v>
      </c>
      <c r="V56" s="46">
        <f>IF(
  OR(
    ISNUMBER(SEARCH("unable to locate acct", tblDocketedComments[[#This Row],[Docketed Consumer Comments]])),
    ISNUMBER(SEARCH("unknown", tblDocketedComments[[#This Row],[Docketed Consumer Comments]])),
    ISNUMBER(SEARCH("inactive", tblDocketedComments[[#This Row],[Docketed Consumer Comments]]))
  ),
  0,
  1
)</f>
        <v>1</v>
      </c>
    </row>
    <row r="57" spans="1:22" hidden="1">
      <c r="A57" s="2">
        <v>45846</v>
      </c>
      <c r="B57" s="1" t="s">
        <v>232</v>
      </c>
      <c r="C57" s="1" t="s">
        <v>233</v>
      </c>
      <c r="D57" s="1" t="s">
        <v>89</v>
      </c>
      <c r="E57" s="1">
        <v>86351</v>
      </c>
      <c r="F57" s="3" t="s">
        <v>31</v>
      </c>
      <c r="G57" s="1" t="s">
        <v>234</v>
      </c>
      <c r="H57" s="4" t="s">
        <v>235</v>
      </c>
      <c r="I57" s="5" t="s">
        <v>57</v>
      </c>
      <c r="J57" s="5" t="s">
        <v>37</v>
      </c>
      <c r="K57" s="5" t="s">
        <v>37</v>
      </c>
      <c r="L57" s="7" t="s">
        <v>236</v>
      </c>
      <c r="M57" s="5" t="s">
        <v>37</v>
      </c>
      <c r="N57" s="5" t="s">
        <v>37</v>
      </c>
      <c r="O57" s="5" t="s">
        <v>38</v>
      </c>
      <c r="P57" s="2">
        <v>45964</v>
      </c>
      <c r="Q57" s="2">
        <v>45958</v>
      </c>
      <c r="R57" s="1" t="s">
        <v>237</v>
      </c>
      <c r="V57" s="46">
        <f>IF(
  OR(
    ISNUMBER(SEARCH("unable to locate acct", tblDocketedComments[[#This Row],[Docketed Consumer Comments]])),
    ISNUMBER(SEARCH("unknown", tblDocketedComments[[#This Row],[Docketed Consumer Comments]])),
    ISNUMBER(SEARCH("inactive", tblDocketedComments[[#This Row],[Docketed Consumer Comments]]))
  ),
  0,
  1
)</f>
        <v>1</v>
      </c>
    </row>
    <row r="58" spans="1:22" hidden="1">
      <c r="A58" s="2">
        <v>45847</v>
      </c>
      <c r="B58" s="1" t="s">
        <v>238</v>
      </c>
      <c r="C58" s="1" t="s">
        <v>239</v>
      </c>
      <c r="D58" s="1" t="s">
        <v>240</v>
      </c>
      <c r="E58" s="1">
        <v>85340</v>
      </c>
      <c r="F58" s="3" t="s">
        <v>31</v>
      </c>
      <c r="G58" s="1" t="s">
        <v>241</v>
      </c>
      <c r="H58" s="4" t="s">
        <v>242</v>
      </c>
      <c r="I58" s="5" t="s">
        <v>243</v>
      </c>
      <c r="J58" s="5" t="s">
        <v>37</v>
      </c>
      <c r="K58" s="5" t="s">
        <v>37</v>
      </c>
      <c r="L58" s="5" t="s">
        <v>244</v>
      </c>
      <c r="M58" s="5" t="s">
        <v>37</v>
      </c>
      <c r="N58" s="5" t="s">
        <v>37</v>
      </c>
      <c r="O58" s="5" t="s">
        <v>38</v>
      </c>
      <c r="P58" s="5" t="s">
        <v>39</v>
      </c>
      <c r="Q58" s="2">
        <v>45958</v>
      </c>
      <c r="V58" s="46">
        <f>IF(
  OR(
    ISNUMBER(SEARCH("unable to locate acct", tblDocketedComments[[#This Row],[Docketed Consumer Comments]])),
    ISNUMBER(SEARCH("unknown", tblDocketedComments[[#This Row],[Docketed Consumer Comments]])),
    ISNUMBER(SEARCH("inactive", tblDocketedComments[[#This Row],[Docketed Consumer Comments]]))
  ),
  0,
  1
)</f>
        <v>1</v>
      </c>
    </row>
    <row r="59" spans="1:22" hidden="1">
      <c r="A59" s="2">
        <v>45847</v>
      </c>
      <c r="B59" s="1" t="s">
        <v>245</v>
      </c>
      <c r="C59" s="1" t="s">
        <v>246</v>
      </c>
      <c r="D59" s="1" t="s">
        <v>63</v>
      </c>
      <c r="E59" s="1">
        <v>85029</v>
      </c>
      <c r="F59" s="11" t="s">
        <v>247</v>
      </c>
      <c r="G59" s="1" t="s">
        <v>248</v>
      </c>
      <c r="H59" s="4" t="s">
        <v>249</v>
      </c>
      <c r="I59" s="5" t="s">
        <v>250</v>
      </c>
      <c r="J59" s="5" t="s">
        <v>37</v>
      </c>
      <c r="K59" s="5" t="s">
        <v>37</v>
      </c>
      <c r="L59" s="5" t="s">
        <v>38</v>
      </c>
      <c r="M59" s="5" t="s">
        <v>37</v>
      </c>
      <c r="N59" s="5" t="s">
        <v>37</v>
      </c>
      <c r="O59" s="5" t="s">
        <v>38</v>
      </c>
      <c r="P59" s="5" t="s">
        <v>39</v>
      </c>
      <c r="Q59" s="2">
        <v>45958</v>
      </c>
      <c r="V59" s="46">
        <f>IF(
  OR(
    ISNUMBER(SEARCH("unable to locate acct", tblDocketedComments[[#This Row],[Docketed Consumer Comments]])),
    ISNUMBER(SEARCH("unknown", tblDocketedComments[[#This Row],[Docketed Consumer Comments]])),
    ISNUMBER(SEARCH("inactive", tblDocketedComments[[#This Row],[Docketed Consumer Comments]]))
  ),
  0,
  1
)</f>
        <v>1</v>
      </c>
    </row>
    <row r="60" spans="1:22" hidden="1">
      <c r="A60" s="2">
        <v>45848</v>
      </c>
      <c r="B60" s="1" t="s">
        <v>251</v>
      </c>
      <c r="C60" s="1" t="s">
        <v>252</v>
      </c>
      <c r="D60" s="1" t="s">
        <v>253</v>
      </c>
      <c r="E60" s="1">
        <v>87048</v>
      </c>
      <c r="F60" s="3" t="s">
        <v>31</v>
      </c>
      <c r="G60" s="1" t="s">
        <v>254</v>
      </c>
      <c r="H60" s="4" t="s">
        <v>27</v>
      </c>
      <c r="V60" s="46">
        <f>IF(
  OR(
    ISNUMBER(SEARCH("unable to locate acct", tblDocketedComments[[#This Row],[Docketed Consumer Comments]])),
    ISNUMBER(SEARCH("unknown", tblDocketedComments[[#This Row],[Docketed Consumer Comments]])),
    ISNUMBER(SEARCH("inactive", tblDocketedComments[[#This Row],[Docketed Consumer Comments]]))
  ),
  0,
  1
)</f>
        <v>1</v>
      </c>
    </row>
    <row r="61" spans="1:22" hidden="1">
      <c r="A61" s="2">
        <v>45848</v>
      </c>
      <c r="B61" s="1" t="s">
        <v>255</v>
      </c>
      <c r="C61" s="1" t="s">
        <v>256</v>
      </c>
      <c r="D61" s="1" t="s">
        <v>89</v>
      </c>
      <c r="E61" s="1">
        <v>86336</v>
      </c>
      <c r="F61" s="3" t="s">
        <v>257</v>
      </c>
      <c r="G61" s="1" t="s">
        <v>254</v>
      </c>
      <c r="H61" s="4" t="s">
        <v>90</v>
      </c>
      <c r="V61" s="46">
        <f>IF(
  OR(
    ISNUMBER(SEARCH("unable to locate acct", tblDocketedComments[[#This Row],[Docketed Consumer Comments]])),
    ISNUMBER(SEARCH("unknown", tblDocketedComments[[#This Row],[Docketed Consumer Comments]])),
    ISNUMBER(SEARCH("inactive", tblDocketedComments[[#This Row],[Docketed Consumer Comments]]))
  ),
  0,
  1
)</f>
        <v>1</v>
      </c>
    </row>
    <row r="62" spans="1:22" hidden="1">
      <c r="A62" s="2">
        <v>45852</v>
      </c>
      <c r="B62" s="1" t="s">
        <v>258</v>
      </c>
      <c r="C62" s="1" t="s">
        <v>230</v>
      </c>
      <c r="D62" s="1" t="s">
        <v>30</v>
      </c>
      <c r="E62" s="1" t="s">
        <v>30</v>
      </c>
      <c r="F62" s="3" t="s">
        <v>31</v>
      </c>
      <c r="G62" s="1" t="s">
        <v>259</v>
      </c>
      <c r="H62" s="4">
        <v>3049940000</v>
      </c>
      <c r="I62" s="5" t="s">
        <v>73</v>
      </c>
      <c r="J62" s="5" t="s">
        <v>37</v>
      </c>
      <c r="K62" s="5" t="s">
        <v>37</v>
      </c>
      <c r="L62" s="5" t="s">
        <v>260</v>
      </c>
      <c r="M62" s="5" t="s">
        <v>37</v>
      </c>
      <c r="N62" s="5" t="s">
        <v>37</v>
      </c>
      <c r="O62" s="5" t="s">
        <v>38</v>
      </c>
      <c r="P62" s="5" t="s">
        <v>39</v>
      </c>
      <c r="Q62" s="2">
        <v>45958</v>
      </c>
      <c r="V62" s="46">
        <f>IF(
  OR(
    ISNUMBER(SEARCH("unable to locate acct", tblDocketedComments[[#This Row],[Docketed Consumer Comments]])),
    ISNUMBER(SEARCH("unknown", tblDocketedComments[[#This Row],[Docketed Consumer Comments]])),
    ISNUMBER(SEARCH("inactive", tblDocketedComments[[#This Row],[Docketed Consumer Comments]]))
  ),
  0,
  1
)</f>
        <v>1</v>
      </c>
    </row>
    <row r="63" spans="1:22" hidden="1">
      <c r="A63" s="2">
        <v>45852</v>
      </c>
      <c r="B63" s="1" t="s">
        <v>144</v>
      </c>
      <c r="C63" s="1" t="s">
        <v>145</v>
      </c>
      <c r="D63" s="1" t="s">
        <v>261</v>
      </c>
      <c r="E63" s="1">
        <v>86314</v>
      </c>
      <c r="F63" s="3" t="s">
        <v>31</v>
      </c>
      <c r="G63" s="1" t="s">
        <v>259</v>
      </c>
      <c r="H63" s="4">
        <v>3736855436</v>
      </c>
      <c r="I63" s="5" t="s">
        <v>250</v>
      </c>
      <c r="J63" s="5" t="s">
        <v>37</v>
      </c>
      <c r="K63" s="5" t="s">
        <v>37</v>
      </c>
      <c r="L63" s="5" t="s">
        <v>38</v>
      </c>
      <c r="M63" s="5" t="s">
        <v>37</v>
      </c>
      <c r="N63" s="5" t="s">
        <v>37</v>
      </c>
      <c r="O63" s="5" t="s">
        <v>38</v>
      </c>
      <c r="P63" s="5" t="s">
        <v>39</v>
      </c>
      <c r="Q63" s="2">
        <v>45958</v>
      </c>
      <c r="V63" s="46">
        <f>IF(
  OR(
    ISNUMBER(SEARCH("unable to locate acct", tblDocketedComments[[#This Row],[Docketed Consumer Comments]])),
    ISNUMBER(SEARCH("unknown", tblDocketedComments[[#This Row],[Docketed Consumer Comments]])),
    ISNUMBER(SEARCH("inactive", tblDocketedComments[[#This Row],[Docketed Consumer Comments]]))
  ),
  0,
  1
)</f>
        <v>1</v>
      </c>
    </row>
    <row r="64" spans="1:22" hidden="1">
      <c r="A64" s="2">
        <v>45854</v>
      </c>
      <c r="B64" s="1" t="s">
        <v>262</v>
      </c>
      <c r="C64" s="1" t="s">
        <v>263</v>
      </c>
      <c r="D64" s="1" t="s">
        <v>264</v>
      </c>
      <c r="E64" s="1">
        <v>85541</v>
      </c>
      <c r="F64" s="3" t="s">
        <v>257</v>
      </c>
      <c r="G64" s="1" t="s">
        <v>265</v>
      </c>
      <c r="H64" s="4" t="s">
        <v>266</v>
      </c>
      <c r="I64" s="5" t="s">
        <v>57</v>
      </c>
      <c r="J64" s="5" t="s">
        <v>37</v>
      </c>
      <c r="K64" s="5" t="s">
        <v>37</v>
      </c>
      <c r="L64" s="7" t="s">
        <v>267</v>
      </c>
      <c r="M64" s="5" t="s">
        <v>37</v>
      </c>
      <c r="N64" s="5" t="s">
        <v>37</v>
      </c>
      <c r="O64" s="5" t="s">
        <v>38</v>
      </c>
      <c r="P64" s="2">
        <v>45964</v>
      </c>
      <c r="Q64" s="2">
        <v>45958</v>
      </c>
      <c r="R64" s="1" t="s">
        <v>148</v>
      </c>
      <c r="U64" s="1" t="s">
        <v>268</v>
      </c>
      <c r="V64" s="46">
        <f>IF(
  OR(
    ISNUMBER(SEARCH("unable to locate acct", tblDocketedComments[[#This Row],[Docketed Consumer Comments]])),
    ISNUMBER(SEARCH("unknown", tblDocketedComments[[#This Row],[Docketed Consumer Comments]])),
    ISNUMBER(SEARCH("inactive", tblDocketedComments[[#This Row],[Docketed Consumer Comments]]))
  ),
  0,
  1
)</f>
        <v>1</v>
      </c>
    </row>
    <row r="65" spans="1:22" hidden="1">
      <c r="A65" s="2">
        <v>45859</v>
      </c>
      <c r="B65" s="1" t="s">
        <v>269</v>
      </c>
      <c r="C65" s="1" t="s">
        <v>270</v>
      </c>
      <c r="D65" s="1" t="s">
        <v>63</v>
      </c>
      <c r="E65" s="1">
        <v>85029</v>
      </c>
      <c r="F65" s="3" t="s">
        <v>271</v>
      </c>
      <c r="G65" s="1" t="s">
        <v>272</v>
      </c>
      <c r="H65" s="12" t="s">
        <v>273</v>
      </c>
      <c r="I65" s="5" t="s">
        <v>36</v>
      </c>
      <c r="J65" s="5" t="s">
        <v>37</v>
      </c>
      <c r="K65" s="5" t="s">
        <v>37</v>
      </c>
      <c r="L65" s="7" t="s">
        <v>274</v>
      </c>
      <c r="M65" s="5" t="s">
        <v>37</v>
      </c>
      <c r="N65" s="5" t="s">
        <v>37</v>
      </c>
      <c r="O65" s="5" t="s">
        <v>38</v>
      </c>
      <c r="P65" s="2">
        <v>45964</v>
      </c>
      <c r="Q65" s="2">
        <v>45958</v>
      </c>
      <c r="R65" s="1" t="s">
        <v>275</v>
      </c>
      <c r="V65" s="46">
        <f>IF(
  OR(
    ISNUMBER(SEARCH("unable to locate acct", tblDocketedComments[[#This Row],[Docketed Consumer Comments]])),
    ISNUMBER(SEARCH("unknown", tblDocketedComments[[#This Row],[Docketed Consumer Comments]])),
    ISNUMBER(SEARCH("inactive", tblDocketedComments[[#This Row],[Docketed Consumer Comments]]))
  ),
  0,
  1
)</f>
        <v>1</v>
      </c>
    </row>
    <row r="66" spans="1:22" hidden="1">
      <c r="A66" s="2">
        <v>45861</v>
      </c>
      <c r="B66" s="1" t="s">
        <v>276</v>
      </c>
      <c r="C66" s="1" t="s">
        <v>117</v>
      </c>
      <c r="D66" s="1" t="s">
        <v>63</v>
      </c>
      <c r="E66" s="1">
        <v>85054</v>
      </c>
      <c r="F66" s="3" t="s">
        <v>31</v>
      </c>
      <c r="G66" s="1" t="s">
        <v>277</v>
      </c>
      <c r="H66" s="4" t="s">
        <v>278</v>
      </c>
      <c r="I66" s="5" t="s">
        <v>57</v>
      </c>
      <c r="J66" s="5" t="s">
        <v>37</v>
      </c>
      <c r="K66" s="5" t="s">
        <v>37</v>
      </c>
      <c r="L66" s="5" t="s">
        <v>279</v>
      </c>
      <c r="M66" s="5" t="s">
        <v>37</v>
      </c>
      <c r="N66" s="5" t="s">
        <v>37</v>
      </c>
      <c r="O66" s="5" t="s">
        <v>38</v>
      </c>
      <c r="P66" s="5" t="s">
        <v>39</v>
      </c>
      <c r="Q66" s="2">
        <v>45958</v>
      </c>
      <c r="R66" s="1" t="s">
        <v>280</v>
      </c>
      <c r="V66" s="46">
        <f>IF(
  OR(
    ISNUMBER(SEARCH("unable to locate acct", tblDocketedComments[[#This Row],[Docketed Consumer Comments]])),
    ISNUMBER(SEARCH("unknown", tblDocketedComments[[#This Row],[Docketed Consumer Comments]])),
    ISNUMBER(SEARCH("inactive", tblDocketedComments[[#This Row],[Docketed Consumer Comments]]))
  ),
  0,
  1
)</f>
        <v>1</v>
      </c>
    </row>
    <row r="67" spans="1:22" hidden="1">
      <c r="A67" s="2">
        <v>45861</v>
      </c>
      <c r="B67" s="1" t="s">
        <v>281</v>
      </c>
      <c r="C67" s="1" t="s">
        <v>153</v>
      </c>
      <c r="D67" s="1" t="s">
        <v>30</v>
      </c>
      <c r="E67" s="1" t="s">
        <v>30</v>
      </c>
      <c r="F67" s="3" t="s">
        <v>282</v>
      </c>
      <c r="G67" s="1" t="s">
        <v>277</v>
      </c>
      <c r="H67" s="4" t="s">
        <v>27</v>
      </c>
      <c r="V67" s="46">
        <f>IF(
  OR(
    ISNUMBER(SEARCH("unable to locate acct", tblDocketedComments[[#This Row],[Docketed Consumer Comments]])),
    ISNUMBER(SEARCH("unknown", tblDocketedComments[[#This Row],[Docketed Consumer Comments]])),
    ISNUMBER(SEARCH("inactive", tblDocketedComments[[#This Row],[Docketed Consumer Comments]]))
  ),
  0,
  1
)</f>
        <v>1</v>
      </c>
    </row>
    <row r="68" spans="1:22" hidden="1">
      <c r="A68" s="2">
        <v>45883</v>
      </c>
      <c r="B68" s="1" t="s">
        <v>283</v>
      </c>
      <c r="C68" s="1" t="s">
        <v>284</v>
      </c>
      <c r="D68" s="1" t="s">
        <v>89</v>
      </c>
      <c r="E68" s="1">
        <v>85336</v>
      </c>
      <c r="F68" s="3" t="s">
        <v>285</v>
      </c>
      <c r="G68" s="1" t="s">
        <v>286</v>
      </c>
      <c r="H68" s="4" t="s">
        <v>287</v>
      </c>
      <c r="I68" s="5" t="s">
        <v>288</v>
      </c>
      <c r="J68" s="5" t="s">
        <v>37</v>
      </c>
      <c r="K68" s="5" t="s">
        <v>37</v>
      </c>
      <c r="L68" s="5" t="s">
        <v>38</v>
      </c>
      <c r="M68" s="5" t="s">
        <v>37</v>
      </c>
      <c r="N68" s="5" t="s">
        <v>37</v>
      </c>
      <c r="O68" s="5" t="s">
        <v>38</v>
      </c>
      <c r="P68" s="5" t="s">
        <v>39</v>
      </c>
      <c r="Q68" s="2">
        <v>45958</v>
      </c>
      <c r="U68" s="1" t="s">
        <v>289</v>
      </c>
      <c r="V68" s="46">
        <f>IF(
  OR(
    ISNUMBER(SEARCH("unable to locate acct", tblDocketedComments[[#This Row],[Docketed Consumer Comments]])),
    ISNUMBER(SEARCH("unknown", tblDocketedComments[[#This Row],[Docketed Consumer Comments]])),
    ISNUMBER(SEARCH("inactive", tblDocketedComments[[#This Row],[Docketed Consumer Comments]]))
  ),
  0,
  1
)</f>
        <v>1</v>
      </c>
    </row>
    <row r="69" spans="1:22" hidden="1">
      <c r="A69" s="2">
        <v>45883</v>
      </c>
      <c r="B69" s="1" t="s">
        <v>290</v>
      </c>
      <c r="C69" s="1" t="s">
        <v>291</v>
      </c>
      <c r="D69" s="1" t="s">
        <v>63</v>
      </c>
      <c r="E69" s="1">
        <v>85023</v>
      </c>
      <c r="F69" s="3" t="s">
        <v>31</v>
      </c>
      <c r="G69" s="1" t="s">
        <v>286</v>
      </c>
      <c r="H69" s="4" t="s">
        <v>27</v>
      </c>
      <c r="V69" s="46">
        <f>IF(
  OR(
    ISNUMBER(SEARCH("unable to locate acct", tblDocketedComments[[#This Row],[Docketed Consumer Comments]])),
    ISNUMBER(SEARCH("unknown", tblDocketedComments[[#This Row],[Docketed Consumer Comments]])),
    ISNUMBER(SEARCH("inactive", tblDocketedComments[[#This Row],[Docketed Consumer Comments]]))
  ),
  0,
  1
)</f>
        <v>1</v>
      </c>
    </row>
    <row r="70" spans="1:22" hidden="1">
      <c r="A70" s="2">
        <v>45895</v>
      </c>
      <c r="B70" s="1" t="s">
        <v>292</v>
      </c>
      <c r="C70" s="1" t="s">
        <v>135</v>
      </c>
      <c r="D70" s="1" t="s">
        <v>293</v>
      </c>
      <c r="E70" s="1">
        <v>85139</v>
      </c>
      <c r="F70" s="3" t="s">
        <v>294</v>
      </c>
      <c r="G70" s="1" t="s">
        <v>295</v>
      </c>
      <c r="H70" s="4" t="s">
        <v>27</v>
      </c>
      <c r="V70" s="46">
        <f>IF(
  OR(
    ISNUMBER(SEARCH("unable to locate acct", tblDocketedComments[[#This Row],[Docketed Consumer Comments]])),
    ISNUMBER(SEARCH("unknown", tblDocketedComments[[#This Row],[Docketed Consumer Comments]])),
    ISNUMBER(SEARCH("inactive", tblDocketedComments[[#This Row],[Docketed Consumer Comments]]))
  ),
  0,
  1
)</f>
        <v>1</v>
      </c>
    </row>
    <row r="71" spans="1:22" hidden="1">
      <c r="A71" s="2">
        <v>45898</v>
      </c>
      <c r="B71" s="1" t="s">
        <v>296</v>
      </c>
      <c r="C71" s="1" t="s">
        <v>297</v>
      </c>
      <c r="D71" s="1" t="s">
        <v>30</v>
      </c>
      <c r="E71" s="1" t="s">
        <v>30</v>
      </c>
      <c r="F71" s="3" t="s">
        <v>25</v>
      </c>
      <c r="G71" s="1" t="s">
        <v>298</v>
      </c>
      <c r="H71" s="4" t="s">
        <v>299</v>
      </c>
      <c r="I71" s="5" t="s">
        <v>196</v>
      </c>
      <c r="J71" s="5" t="s">
        <v>38</v>
      </c>
      <c r="K71" s="5" t="s">
        <v>37</v>
      </c>
      <c r="L71" s="5" t="s">
        <v>300</v>
      </c>
      <c r="M71" s="5" t="s">
        <v>37</v>
      </c>
      <c r="N71" s="5" t="s">
        <v>37</v>
      </c>
      <c r="O71" s="5" t="s">
        <v>38</v>
      </c>
      <c r="P71" s="5" t="s">
        <v>39</v>
      </c>
      <c r="Q71" s="2">
        <v>45958</v>
      </c>
      <c r="V71" s="46">
        <f>IF(
  OR(
    ISNUMBER(SEARCH("unable to locate acct", tblDocketedComments[[#This Row],[Docketed Consumer Comments]])),
    ISNUMBER(SEARCH("unknown", tblDocketedComments[[#This Row],[Docketed Consumer Comments]])),
    ISNUMBER(SEARCH("inactive", tblDocketedComments[[#This Row],[Docketed Consumer Comments]]))
  ),
  0,
  1
)</f>
        <v>1</v>
      </c>
    </row>
    <row r="72" spans="1:22" hidden="1">
      <c r="A72" s="2">
        <v>45902</v>
      </c>
      <c r="B72" s="1" t="s">
        <v>301</v>
      </c>
      <c r="C72" s="1" t="s">
        <v>302</v>
      </c>
      <c r="D72" s="1" t="s">
        <v>112</v>
      </c>
      <c r="E72" s="1">
        <v>85374</v>
      </c>
      <c r="F72" s="3" t="s">
        <v>31</v>
      </c>
      <c r="G72" s="1" t="s">
        <v>303</v>
      </c>
      <c r="H72" s="5">
        <v>2721067262</v>
      </c>
      <c r="I72" s="5" t="s">
        <v>126</v>
      </c>
      <c r="J72" s="5" t="s">
        <v>39</v>
      </c>
      <c r="K72" s="5" t="s">
        <v>37</v>
      </c>
      <c r="L72" s="5" t="s">
        <v>204</v>
      </c>
      <c r="M72" s="5" t="s">
        <v>37</v>
      </c>
      <c r="N72" s="5" t="s">
        <v>37</v>
      </c>
      <c r="O72" s="5" t="s">
        <v>38</v>
      </c>
      <c r="P72" s="5" t="s">
        <v>39</v>
      </c>
      <c r="Q72" s="2">
        <v>45967</v>
      </c>
      <c r="V72" s="46">
        <f>IF(
  OR(
    ISNUMBER(SEARCH("unable to locate acct", tblDocketedComments[[#This Row],[Docketed Consumer Comments]])),
    ISNUMBER(SEARCH("unknown", tblDocketedComments[[#This Row],[Docketed Consumer Comments]])),
    ISNUMBER(SEARCH("inactive", tblDocketedComments[[#This Row],[Docketed Consumer Comments]]))
  ),
  0,
  1
)</f>
        <v>1</v>
      </c>
    </row>
    <row r="73" spans="1:22" hidden="1">
      <c r="A73" s="2">
        <v>45902</v>
      </c>
      <c r="B73" s="1" t="s">
        <v>304</v>
      </c>
      <c r="C73" s="1" t="s">
        <v>225</v>
      </c>
      <c r="D73" s="1" t="s">
        <v>125</v>
      </c>
      <c r="E73" s="1">
        <v>85254</v>
      </c>
      <c r="F73" s="3" t="s">
        <v>305</v>
      </c>
      <c r="G73" s="1" t="s">
        <v>303</v>
      </c>
      <c r="H73" s="4" t="s">
        <v>27</v>
      </c>
      <c r="V73" s="46">
        <f>IF(
  OR(
    ISNUMBER(SEARCH("unable to locate acct", tblDocketedComments[[#This Row],[Docketed Consumer Comments]])),
    ISNUMBER(SEARCH("unknown", tblDocketedComments[[#This Row],[Docketed Consumer Comments]])),
    ISNUMBER(SEARCH("inactive", tblDocketedComments[[#This Row],[Docketed Consumer Comments]]))
  ),
  0,
  1
)</f>
        <v>1</v>
      </c>
    </row>
    <row r="74" spans="1:22" hidden="1">
      <c r="A74" s="2">
        <v>56859</v>
      </c>
      <c r="B74" s="1" t="s">
        <v>306</v>
      </c>
      <c r="C74" s="1" t="s">
        <v>307</v>
      </c>
      <c r="D74" s="1" t="s">
        <v>202</v>
      </c>
      <c r="E74" s="1">
        <v>85382</v>
      </c>
      <c r="F74" s="3" t="s">
        <v>305</v>
      </c>
      <c r="G74" s="1" t="s">
        <v>303</v>
      </c>
      <c r="H74" s="4" t="s">
        <v>27</v>
      </c>
      <c r="V74" s="46">
        <f>IF(
  OR(
    ISNUMBER(SEARCH("unable to locate acct", tblDocketedComments[[#This Row],[Docketed Consumer Comments]])),
    ISNUMBER(SEARCH("unknown", tblDocketedComments[[#This Row],[Docketed Consumer Comments]])),
    ISNUMBER(SEARCH("inactive", tblDocketedComments[[#This Row],[Docketed Consumer Comments]]))
  ),
  0,
  1
)</f>
        <v>1</v>
      </c>
    </row>
    <row r="75" spans="1:22" hidden="1">
      <c r="A75" s="2">
        <v>45902</v>
      </c>
      <c r="B75" s="1" t="s">
        <v>308</v>
      </c>
      <c r="C75" s="1" t="s">
        <v>309</v>
      </c>
      <c r="D75" s="1" t="s">
        <v>112</v>
      </c>
      <c r="E75" s="1">
        <v>85387</v>
      </c>
      <c r="F75" s="1" t="s">
        <v>310</v>
      </c>
      <c r="G75" s="1" t="s">
        <v>303</v>
      </c>
      <c r="H75" s="4" t="s">
        <v>27</v>
      </c>
      <c r="V75" s="46">
        <f>IF(
  OR(
    ISNUMBER(SEARCH("unable to locate acct", tblDocketedComments[[#This Row],[Docketed Consumer Comments]])),
    ISNUMBER(SEARCH("unknown", tblDocketedComments[[#This Row],[Docketed Consumer Comments]])),
    ISNUMBER(SEARCH("inactive", tblDocketedComments[[#This Row],[Docketed Consumer Comments]]))
  ),
  0,
  1
)</f>
        <v>1</v>
      </c>
    </row>
    <row r="76" spans="1:22" hidden="1">
      <c r="A76" s="2">
        <v>45902</v>
      </c>
      <c r="B76" s="1" t="s">
        <v>311</v>
      </c>
      <c r="C76" s="1" t="s">
        <v>312</v>
      </c>
      <c r="D76" s="1" t="s">
        <v>313</v>
      </c>
      <c r="E76" s="1">
        <v>85381</v>
      </c>
      <c r="F76" s="3" t="s">
        <v>31</v>
      </c>
      <c r="G76" s="1" t="s">
        <v>303</v>
      </c>
      <c r="H76" s="4">
        <v>5237011424</v>
      </c>
      <c r="I76" s="5" t="s">
        <v>196</v>
      </c>
      <c r="J76" s="5" t="s">
        <v>37</v>
      </c>
      <c r="K76" s="5" t="s">
        <v>37</v>
      </c>
      <c r="L76" s="5" t="s">
        <v>38</v>
      </c>
      <c r="M76" s="5" t="s">
        <v>37</v>
      </c>
      <c r="N76" s="5" t="s">
        <v>37</v>
      </c>
      <c r="O76" s="5" t="s">
        <v>38</v>
      </c>
      <c r="P76" s="5" t="s">
        <v>39</v>
      </c>
      <c r="Q76" s="2">
        <v>45958</v>
      </c>
      <c r="V76" s="46">
        <f>IF(
  OR(
    ISNUMBER(SEARCH("unable to locate acct", tblDocketedComments[[#This Row],[Docketed Consumer Comments]])),
    ISNUMBER(SEARCH("unknown", tblDocketedComments[[#This Row],[Docketed Consumer Comments]])),
    ISNUMBER(SEARCH("inactive", tblDocketedComments[[#This Row],[Docketed Consumer Comments]]))
  ),
  0,
  1
)</f>
        <v>1</v>
      </c>
    </row>
    <row r="77" spans="1:22" hidden="1">
      <c r="A77" s="2">
        <v>45902</v>
      </c>
      <c r="B77" s="1" t="s">
        <v>314</v>
      </c>
      <c r="C77" s="1" t="s">
        <v>315</v>
      </c>
      <c r="D77" s="1" t="s">
        <v>174</v>
      </c>
      <c r="E77" s="1">
        <v>85326</v>
      </c>
      <c r="F77" s="3" t="s">
        <v>31</v>
      </c>
      <c r="G77" s="1" t="s">
        <v>303</v>
      </c>
      <c r="H77" s="4" t="s">
        <v>27</v>
      </c>
      <c r="V77" s="46">
        <f>IF(
  OR(
    ISNUMBER(SEARCH("unable to locate acct", tblDocketedComments[[#This Row],[Docketed Consumer Comments]])),
    ISNUMBER(SEARCH("unknown", tblDocketedComments[[#This Row],[Docketed Consumer Comments]])),
    ISNUMBER(SEARCH("inactive", tblDocketedComments[[#This Row],[Docketed Consumer Comments]]))
  ),
  0,
  1
)</f>
        <v>1</v>
      </c>
    </row>
    <row r="78" spans="1:22" hidden="1">
      <c r="A78" s="2">
        <v>45902</v>
      </c>
      <c r="B78" s="1" t="s">
        <v>316</v>
      </c>
      <c r="C78" s="1" t="s">
        <v>317</v>
      </c>
      <c r="D78" s="1" t="s">
        <v>174</v>
      </c>
      <c r="E78" s="1">
        <v>85326</v>
      </c>
      <c r="F78" s="3" t="s">
        <v>31</v>
      </c>
      <c r="G78" s="1" t="s">
        <v>303</v>
      </c>
      <c r="H78" s="4">
        <v>6062541000</v>
      </c>
      <c r="I78" s="5" t="s">
        <v>36</v>
      </c>
      <c r="J78" s="5" t="s">
        <v>37</v>
      </c>
      <c r="K78" s="5" t="s">
        <v>37</v>
      </c>
      <c r="L78" s="5" t="s">
        <v>38</v>
      </c>
      <c r="M78" s="5" t="s">
        <v>37</v>
      </c>
      <c r="N78" s="5" t="s">
        <v>37</v>
      </c>
      <c r="O78" s="5" t="s">
        <v>38</v>
      </c>
      <c r="P78" s="5" t="s">
        <v>39</v>
      </c>
      <c r="Q78" s="2">
        <v>45958</v>
      </c>
      <c r="V78" s="46">
        <f>IF(
  OR(
    ISNUMBER(SEARCH("unable to locate acct", tblDocketedComments[[#This Row],[Docketed Consumer Comments]])),
    ISNUMBER(SEARCH("unknown", tblDocketedComments[[#This Row],[Docketed Consumer Comments]])),
    ISNUMBER(SEARCH("inactive", tblDocketedComments[[#This Row],[Docketed Consumer Comments]]))
  ),
  0,
  1
)</f>
        <v>1</v>
      </c>
    </row>
    <row r="79" spans="1:22" hidden="1">
      <c r="A79" s="2">
        <v>45902</v>
      </c>
      <c r="B79" s="1" t="s">
        <v>318</v>
      </c>
      <c r="C79" s="1" t="s">
        <v>75</v>
      </c>
      <c r="D79" s="1" t="s">
        <v>63</v>
      </c>
      <c r="E79" s="1">
        <v>85016</v>
      </c>
      <c r="F79" s="1" t="s">
        <v>310</v>
      </c>
      <c r="G79" s="1" t="s">
        <v>303</v>
      </c>
      <c r="H79" s="4" t="s">
        <v>209</v>
      </c>
      <c r="V79" s="46">
        <f>IF(
  OR(
    ISNUMBER(SEARCH("unable to locate acct", tblDocketedComments[[#This Row],[Docketed Consumer Comments]])),
    ISNUMBER(SEARCH("unknown", tblDocketedComments[[#This Row],[Docketed Consumer Comments]])),
    ISNUMBER(SEARCH("inactive", tblDocketedComments[[#This Row],[Docketed Consumer Comments]]))
  ),
  0,
  1
)</f>
        <v>1</v>
      </c>
    </row>
    <row r="80" spans="1:22" hidden="1">
      <c r="A80" s="2">
        <v>45902</v>
      </c>
      <c r="B80" s="1" t="s">
        <v>319</v>
      </c>
      <c r="C80" s="1" t="s">
        <v>320</v>
      </c>
      <c r="D80" s="1" t="s">
        <v>125</v>
      </c>
      <c r="E80" s="1">
        <v>85260</v>
      </c>
      <c r="F80" s="3" t="s">
        <v>31</v>
      </c>
      <c r="G80" s="1" t="s">
        <v>303</v>
      </c>
      <c r="H80" s="4" t="s">
        <v>321</v>
      </c>
      <c r="I80" s="5" t="s">
        <v>196</v>
      </c>
      <c r="J80" s="5" t="s">
        <v>37</v>
      </c>
      <c r="K80" s="5" t="s">
        <v>37</v>
      </c>
      <c r="L80" s="5" t="s">
        <v>322</v>
      </c>
      <c r="M80" s="5" t="s">
        <v>37</v>
      </c>
      <c r="N80" s="5" t="s">
        <v>37</v>
      </c>
      <c r="O80" s="5" t="s">
        <v>38</v>
      </c>
      <c r="P80" s="5" t="s">
        <v>39</v>
      </c>
      <c r="Q80" s="2">
        <v>45957</v>
      </c>
      <c r="V80" s="46">
        <f>IF(
  OR(
    ISNUMBER(SEARCH("unable to locate acct", tblDocketedComments[[#This Row],[Docketed Consumer Comments]])),
    ISNUMBER(SEARCH("unknown", tblDocketedComments[[#This Row],[Docketed Consumer Comments]])),
    ISNUMBER(SEARCH("inactive", tblDocketedComments[[#This Row],[Docketed Consumer Comments]]))
  ),
  0,
  1
)</f>
        <v>1</v>
      </c>
    </row>
    <row r="81" spans="1:22" hidden="1">
      <c r="A81" s="2">
        <v>45902</v>
      </c>
      <c r="B81" s="1" t="s">
        <v>323</v>
      </c>
      <c r="C81" s="1" t="s">
        <v>324</v>
      </c>
      <c r="D81" s="1" t="s">
        <v>63</v>
      </c>
      <c r="E81" s="1">
        <v>85085</v>
      </c>
      <c r="F81" s="1" t="s">
        <v>310</v>
      </c>
      <c r="G81" s="1" t="s">
        <v>303</v>
      </c>
      <c r="H81" s="4">
        <v>7846277073</v>
      </c>
      <c r="I81" s="5" t="s">
        <v>36</v>
      </c>
      <c r="J81" s="5" t="s">
        <v>37</v>
      </c>
      <c r="K81" s="5" t="s">
        <v>37</v>
      </c>
      <c r="L81" s="5" t="s">
        <v>38</v>
      </c>
      <c r="M81" s="5" t="s">
        <v>37</v>
      </c>
      <c r="N81" s="5" t="s">
        <v>37</v>
      </c>
      <c r="O81" s="5" t="s">
        <v>38</v>
      </c>
      <c r="P81" s="5" t="s">
        <v>39</v>
      </c>
      <c r="Q81" s="2">
        <v>45958</v>
      </c>
      <c r="V81" s="46">
        <f>IF(
  OR(
    ISNUMBER(SEARCH("unable to locate acct", tblDocketedComments[[#This Row],[Docketed Consumer Comments]])),
    ISNUMBER(SEARCH("unknown", tblDocketedComments[[#This Row],[Docketed Consumer Comments]])),
    ISNUMBER(SEARCH("inactive", tblDocketedComments[[#This Row],[Docketed Consumer Comments]]))
  ),
  0,
  1
)</f>
        <v>1</v>
      </c>
    </row>
    <row r="82" spans="1:22" hidden="1">
      <c r="A82" s="2">
        <v>45902</v>
      </c>
      <c r="B82" s="1" t="s">
        <v>325</v>
      </c>
      <c r="C82" s="1" t="s">
        <v>135</v>
      </c>
      <c r="D82" s="1" t="s">
        <v>63</v>
      </c>
      <c r="E82" s="1">
        <v>85027</v>
      </c>
      <c r="F82" s="3" t="s">
        <v>31</v>
      </c>
      <c r="G82" s="1" t="s">
        <v>303</v>
      </c>
      <c r="H82" s="4" t="s">
        <v>326</v>
      </c>
      <c r="I82" s="5" t="s">
        <v>36</v>
      </c>
      <c r="J82" s="5" t="s">
        <v>37</v>
      </c>
      <c r="K82" s="5" t="s">
        <v>37</v>
      </c>
      <c r="L82" s="5" t="s">
        <v>38</v>
      </c>
      <c r="M82" s="5" t="s">
        <v>37</v>
      </c>
      <c r="N82" s="5" t="s">
        <v>37</v>
      </c>
      <c r="O82" s="5" t="s">
        <v>38</v>
      </c>
      <c r="P82" s="5" t="s">
        <v>39</v>
      </c>
      <c r="Q82" s="2">
        <v>45958</v>
      </c>
      <c r="V82" s="46">
        <f>IF(
  OR(
    ISNUMBER(SEARCH("unable to locate acct", tblDocketedComments[[#This Row],[Docketed Consumer Comments]])),
    ISNUMBER(SEARCH("unknown", tblDocketedComments[[#This Row],[Docketed Consumer Comments]])),
    ISNUMBER(SEARCH("inactive", tblDocketedComments[[#This Row],[Docketed Consumer Comments]]))
  ),
  0,
  1
)</f>
        <v>1</v>
      </c>
    </row>
    <row r="83" spans="1:22" hidden="1">
      <c r="A83" s="2">
        <v>45902</v>
      </c>
      <c r="B83" s="1" t="s">
        <v>327</v>
      </c>
      <c r="C83" s="1" t="s">
        <v>328</v>
      </c>
      <c r="D83" s="1" t="s">
        <v>63</v>
      </c>
      <c r="E83" s="1">
        <v>85027</v>
      </c>
      <c r="F83" s="1" t="s">
        <v>310</v>
      </c>
      <c r="G83" s="1" t="s">
        <v>303</v>
      </c>
      <c r="H83" s="4">
        <v>1113187095</v>
      </c>
      <c r="I83" s="5" t="s">
        <v>126</v>
      </c>
      <c r="J83" s="5" t="s">
        <v>37</v>
      </c>
      <c r="K83" s="5" t="s">
        <v>37</v>
      </c>
      <c r="L83" s="5" t="s">
        <v>38</v>
      </c>
      <c r="M83" s="5" t="s">
        <v>37</v>
      </c>
      <c r="N83" s="5" t="s">
        <v>37</v>
      </c>
      <c r="O83" s="5" t="s">
        <v>38</v>
      </c>
      <c r="P83" s="5" t="s">
        <v>39</v>
      </c>
      <c r="Q83" s="2">
        <v>45958</v>
      </c>
      <c r="V83" s="46">
        <f>IF(
  OR(
    ISNUMBER(SEARCH("unable to locate acct", tblDocketedComments[[#This Row],[Docketed Consumer Comments]])),
    ISNUMBER(SEARCH("unknown", tblDocketedComments[[#This Row],[Docketed Consumer Comments]])),
    ISNUMBER(SEARCH("inactive", tblDocketedComments[[#This Row],[Docketed Consumer Comments]]))
  ),
  0,
  1
)</f>
        <v>1</v>
      </c>
    </row>
    <row r="84" spans="1:22" hidden="1">
      <c r="A84" s="2">
        <v>45902</v>
      </c>
      <c r="B84" s="1" t="s">
        <v>144</v>
      </c>
      <c r="C84" s="1" t="s">
        <v>329</v>
      </c>
      <c r="D84" s="1" t="s">
        <v>63</v>
      </c>
      <c r="E84" s="1">
        <v>85008</v>
      </c>
      <c r="F84" s="1" t="s">
        <v>310</v>
      </c>
      <c r="G84" s="1" t="s">
        <v>303</v>
      </c>
      <c r="H84" s="4" t="s">
        <v>330</v>
      </c>
      <c r="I84" s="5" t="s">
        <v>57</v>
      </c>
      <c r="J84" s="5" t="s">
        <v>37</v>
      </c>
      <c r="K84" s="5" t="s">
        <v>37</v>
      </c>
      <c r="L84" s="7" t="s">
        <v>331</v>
      </c>
      <c r="M84" s="5" t="s">
        <v>37</v>
      </c>
      <c r="N84" s="5" t="s">
        <v>37</v>
      </c>
      <c r="O84" s="5" t="s">
        <v>38</v>
      </c>
      <c r="P84" s="2">
        <v>45932</v>
      </c>
      <c r="Q84" s="2">
        <v>45685</v>
      </c>
      <c r="R84" s="1" t="s">
        <v>332</v>
      </c>
      <c r="V84" s="46">
        <f>IF(
  OR(
    ISNUMBER(SEARCH("unable to locate acct", tblDocketedComments[[#This Row],[Docketed Consumer Comments]])),
    ISNUMBER(SEARCH("unknown", tblDocketedComments[[#This Row],[Docketed Consumer Comments]])),
    ISNUMBER(SEARCH("inactive", tblDocketedComments[[#This Row],[Docketed Consumer Comments]]))
  ),
  0,
  1
)</f>
        <v>1</v>
      </c>
    </row>
    <row r="85" spans="1:22" hidden="1">
      <c r="A85" s="2">
        <v>45902</v>
      </c>
      <c r="B85" s="1" t="s">
        <v>333</v>
      </c>
      <c r="C85" s="1" t="s">
        <v>334</v>
      </c>
      <c r="D85" s="1" t="s">
        <v>202</v>
      </c>
      <c r="E85" s="1">
        <v>85345</v>
      </c>
      <c r="F85" s="1" t="s">
        <v>310</v>
      </c>
      <c r="G85" s="1" t="s">
        <v>303</v>
      </c>
      <c r="H85" s="4">
        <v>6178141000</v>
      </c>
      <c r="I85" s="5" t="s">
        <v>36</v>
      </c>
      <c r="J85" s="5" t="s">
        <v>37</v>
      </c>
      <c r="K85" s="5" t="s">
        <v>37</v>
      </c>
      <c r="L85" s="5" t="s">
        <v>38</v>
      </c>
      <c r="M85" s="5" t="s">
        <v>38</v>
      </c>
      <c r="N85" s="5">
        <v>175.19</v>
      </c>
      <c r="O85" s="5" t="s">
        <v>38</v>
      </c>
      <c r="P85" s="5" t="s">
        <v>39</v>
      </c>
      <c r="Q85" s="2">
        <v>45958</v>
      </c>
      <c r="V85" s="46">
        <f>IF(
  OR(
    ISNUMBER(SEARCH("unable to locate acct", tblDocketedComments[[#This Row],[Docketed Consumer Comments]])),
    ISNUMBER(SEARCH("unknown", tblDocketedComments[[#This Row],[Docketed Consumer Comments]])),
    ISNUMBER(SEARCH("inactive", tblDocketedComments[[#This Row],[Docketed Consumer Comments]]))
  ),
  0,
  1
)</f>
        <v>1</v>
      </c>
    </row>
    <row r="86" spans="1:22" hidden="1">
      <c r="A86" s="2">
        <v>45902</v>
      </c>
      <c r="B86" s="1" t="s">
        <v>335</v>
      </c>
      <c r="C86" s="1" t="s">
        <v>336</v>
      </c>
      <c r="D86" s="1" t="s">
        <v>63</v>
      </c>
      <c r="E86" s="1">
        <v>85004</v>
      </c>
      <c r="F86" s="1" t="s">
        <v>310</v>
      </c>
      <c r="G86" s="1" t="s">
        <v>303</v>
      </c>
      <c r="H86" s="4" t="s">
        <v>337</v>
      </c>
      <c r="I86" s="5" t="s">
        <v>126</v>
      </c>
      <c r="J86" s="5" t="s">
        <v>37</v>
      </c>
      <c r="K86" s="5" t="s">
        <v>37</v>
      </c>
      <c r="L86" s="5" t="s">
        <v>338</v>
      </c>
      <c r="M86" s="5" t="s">
        <v>37</v>
      </c>
      <c r="N86" s="5" t="s">
        <v>37</v>
      </c>
      <c r="O86" s="5" t="s">
        <v>38</v>
      </c>
      <c r="P86" s="5" t="s">
        <v>39</v>
      </c>
      <c r="Q86" s="2">
        <v>45958</v>
      </c>
      <c r="V86" s="46">
        <f>IF(
  OR(
    ISNUMBER(SEARCH("unable to locate acct", tblDocketedComments[[#This Row],[Docketed Consumer Comments]])),
    ISNUMBER(SEARCH("unknown", tblDocketedComments[[#This Row],[Docketed Consumer Comments]])),
    ISNUMBER(SEARCH("inactive", tblDocketedComments[[#This Row],[Docketed Consumer Comments]]))
  ),
  0,
  1
)</f>
        <v>1</v>
      </c>
    </row>
    <row r="87" spans="1:22" hidden="1">
      <c r="A87" s="2">
        <v>45902</v>
      </c>
      <c r="B87" s="1" t="s">
        <v>339</v>
      </c>
      <c r="C87" s="1" t="s">
        <v>340</v>
      </c>
      <c r="D87" s="1" t="s">
        <v>63</v>
      </c>
      <c r="E87" s="1">
        <v>85027</v>
      </c>
      <c r="F87" s="3" t="s">
        <v>31</v>
      </c>
      <c r="G87" s="1" t="s">
        <v>303</v>
      </c>
      <c r="H87" s="4">
        <v>2779220471</v>
      </c>
      <c r="I87" s="5" t="s">
        <v>196</v>
      </c>
      <c r="J87" s="5" t="s">
        <v>37</v>
      </c>
      <c r="K87" s="5" t="s">
        <v>37</v>
      </c>
      <c r="L87" s="5" t="s">
        <v>341</v>
      </c>
      <c r="M87" s="5" t="s">
        <v>37</v>
      </c>
      <c r="N87" s="5" t="s">
        <v>37</v>
      </c>
      <c r="O87" s="5" t="s">
        <v>38</v>
      </c>
      <c r="P87" s="5" t="s">
        <v>39</v>
      </c>
      <c r="Q87" s="2">
        <v>45958</v>
      </c>
      <c r="V87" s="46">
        <f>IF(
  OR(
    ISNUMBER(SEARCH("unable to locate acct", tblDocketedComments[[#This Row],[Docketed Consumer Comments]])),
    ISNUMBER(SEARCH("unknown", tblDocketedComments[[#This Row],[Docketed Consumer Comments]])),
    ISNUMBER(SEARCH("inactive", tblDocketedComments[[#This Row],[Docketed Consumer Comments]]))
  ),
  0,
  1
)</f>
        <v>1</v>
      </c>
    </row>
    <row r="88" spans="1:22" hidden="1">
      <c r="A88" s="2">
        <v>45902</v>
      </c>
      <c r="B88" s="1" t="s">
        <v>342</v>
      </c>
      <c r="C88" s="1" t="s">
        <v>343</v>
      </c>
      <c r="D88" s="1" t="s">
        <v>174</v>
      </c>
      <c r="E88" s="1">
        <v>85326</v>
      </c>
      <c r="F88" s="3" t="s">
        <v>31</v>
      </c>
      <c r="G88" s="1" t="s">
        <v>303</v>
      </c>
      <c r="H88" s="4" t="s">
        <v>344</v>
      </c>
      <c r="I88" s="5" t="s">
        <v>196</v>
      </c>
      <c r="J88" s="5" t="s">
        <v>37</v>
      </c>
      <c r="K88" s="5" t="s">
        <v>37</v>
      </c>
      <c r="L88" s="5" t="s">
        <v>38</v>
      </c>
      <c r="M88" s="5" t="s">
        <v>37</v>
      </c>
      <c r="N88" s="5" t="s">
        <v>37</v>
      </c>
      <c r="O88" s="5" t="s">
        <v>38</v>
      </c>
      <c r="P88" s="5" t="s">
        <v>39</v>
      </c>
      <c r="Q88" s="2">
        <v>45958</v>
      </c>
      <c r="V88" s="46">
        <f>IF(
  OR(
    ISNUMBER(SEARCH("unable to locate acct", tblDocketedComments[[#This Row],[Docketed Consumer Comments]])),
    ISNUMBER(SEARCH("unknown", tblDocketedComments[[#This Row],[Docketed Consumer Comments]])),
    ISNUMBER(SEARCH("inactive", tblDocketedComments[[#This Row],[Docketed Consumer Comments]]))
  ),
  0,
  1
)</f>
        <v>1</v>
      </c>
    </row>
    <row r="89" spans="1:22" hidden="1">
      <c r="A89" s="2">
        <v>45902</v>
      </c>
      <c r="B89" s="1" t="s">
        <v>345</v>
      </c>
      <c r="C89" s="1" t="s">
        <v>346</v>
      </c>
      <c r="D89" s="1" t="s">
        <v>261</v>
      </c>
      <c r="E89" s="1">
        <v>86314</v>
      </c>
      <c r="F89" s="3" t="s">
        <v>31</v>
      </c>
      <c r="G89" s="1" t="s">
        <v>303</v>
      </c>
      <c r="H89" s="4" t="s">
        <v>347</v>
      </c>
      <c r="I89" s="5" t="s">
        <v>126</v>
      </c>
      <c r="J89" s="5" t="s">
        <v>37</v>
      </c>
      <c r="K89" s="5" t="s">
        <v>37</v>
      </c>
      <c r="L89" s="7" t="s">
        <v>348</v>
      </c>
      <c r="M89" s="5" t="s">
        <v>38</v>
      </c>
      <c r="N89" s="13">
        <v>605.92999999999995</v>
      </c>
      <c r="O89" s="5" t="s">
        <v>38</v>
      </c>
      <c r="P89" s="2">
        <v>45932</v>
      </c>
      <c r="Q89" s="2"/>
      <c r="R89" s="1" t="s">
        <v>332</v>
      </c>
      <c r="V89" s="46">
        <f>IF(
  OR(
    ISNUMBER(SEARCH("unable to locate acct", tblDocketedComments[[#This Row],[Docketed Consumer Comments]])),
    ISNUMBER(SEARCH("unknown", tblDocketedComments[[#This Row],[Docketed Consumer Comments]])),
    ISNUMBER(SEARCH("inactive", tblDocketedComments[[#This Row],[Docketed Consumer Comments]]))
  ),
  0,
  1
)</f>
        <v>1</v>
      </c>
    </row>
    <row r="90" spans="1:22" hidden="1">
      <c r="A90" s="2">
        <v>45902</v>
      </c>
      <c r="B90" s="1" t="s">
        <v>349</v>
      </c>
      <c r="C90" s="1" t="s">
        <v>350</v>
      </c>
      <c r="D90" s="1" t="s">
        <v>24</v>
      </c>
      <c r="E90" s="1">
        <v>85306</v>
      </c>
      <c r="F90" s="1" t="s">
        <v>310</v>
      </c>
      <c r="G90" s="1" t="s">
        <v>303</v>
      </c>
      <c r="H90" s="4" t="s">
        <v>351</v>
      </c>
      <c r="I90" s="5" t="s">
        <v>57</v>
      </c>
      <c r="J90" s="5" t="s">
        <v>37</v>
      </c>
      <c r="K90" s="5" t="s">
        <v>37</v>
      </c>
      <c r="L90" s="7" t="s">
        <v>352</v>
      </c>
      <c r="M90" s="5" t="s">
        <v>38</v>
      </c>
      <c r="N90" s="13">
        <v>591.48</v>
      </c>
      <c r="O90" s="5" t="s">
        <v>38</v>
      </c>
      <c r="P90" s="2">
        <v>45932</v>
      </c>
      <c r="Q90" s="2">
        <v>45968</v>
      </c>
      <c r="R90" s="1" t="s">
        <v>353</v>
      </c>
      <c r="V90" s="46">
        <f>IF(
  OR(
    ISNUMBER(SEARCH("unable to locate acct", tblDocketedComments[[#This Row],[Docketed Consumer Comments]])),
    ISNUMBER(SEARCH("unknown", tblDocketedComments[[#This Row],[Docketed Consumer Comments]])),
    ISNUMBER(SEARCH("inactive", tblDocketedComments[[#This Row],[Docketed Consumer Comments]]))
  ),
  0,
  1
)</f>
        <v>1</v>
      </c>
    </row>
    <row r="91" spans="1:22" hidden="1">
      <c r="A91" s="2">
        <v>45902</v>
      </c>
      <c r="B91" s="1" t="s">
        <v>354</v>
      </c>
      <c r="C91" s="1" t="s">
        <v>355</v>
      </c>
      <c r="D91" s="1" t="s">
        <v>112</v>
      </c>
      <c r="E91" s="1">
        <v>85387</v>
      </c>
      <c r="F91" s="1" t="s">
        <v>310</v>
      </c>
      <c r="G91" s="1" t="s">
        <v>303</v>
      </c>
      <c r="H91" s="4" t="s">
        <v>356</v>
      </c>
      <c r="I91" s="5" t="s">
        <v>196</v>
      </c>
      <c r="J91" s="5" t="s">
        <v>37</v>
      </c>
      <c r="K91" s="5" t="s">
        <v>37</v>
      </c>
      <c r="L91" s="5" t="s">
        <v>357</v>
      </c>
      <c r="M91" s="5" t="s">
        <v>37</v>
      </c>
      <c r="N91" s="5" t="s">
        <v>37</v>
      </c>
      <c r="O91" s="5" t="s">
        <v>38</v>
      </c>
      <c r="P91" s="5" t="s">
        <v>39</v>
      </c>
      <c r="Q91" s="2">
        <v>45968</v>
      </c>
      <c r="V91" s="46">
        <f>IF(
  OR(
    ISNUMBER(SEARCH("unable to locate acct", tblDocketedComments[[#This Row],[Docketed Consumer Comments]])),
    ISNUMBER(SEARCH("unknown", tblDocketedComments[[#This Row],[Docketed Consumer Comments]])),
    ISNUMBER(SEARCH("inactive", tblDocketedComments[[#This Row],[Docketed Consumer Comments]]))
  ),
  0,
  1
)</f>
        <v>1</v>
      </c>
    </row>
    <row r="92" spans="1:22" hidden="1">
      <c r="A92" s="2">
        <v>45902</v>
      </c>
      <c r="B92" s="1" t="s">
        <v>358</v>
      </c>
      <c r="C92" s="1" t="s">
        <v>359</v>
      </c>
      <c r="D92" s="1" t="s">
        <v>63</v>
      </c>
      <c r="E92" s="1">
        <v>85020</v>
      </c>
      <c r="F92" s="1" t="s">
        <v>310</v>
      </c>
      <c r="G92" s="1" t="s">
        <v>303</v>
      </c>
      <c r="H92" s="4" t="s">
        <v>360</v>
      </c>
      <c r="I92" s="5" t="s">
        <v>126</v>
      </c>
      <c r="J92" s="5" t="s">
        <v>37</v>
      </c>
      <c r="K92" s="5" t="s">
        <v>37</v>
      </c>
      <c r="L92" s="5" t="s">
        <v>361</v>
      </c>
      <c r="M92" s="5" t="s">
        <v>37</v>
      </c>
      <c r="N92" s="5" t="s">
        <v>37</v>
      </c>
      <c r="O92" s="5" t="s">
        <v>38</v>
      </c>
      <c r="P92" s="5" t="s">
        <v>39</v>
      </c>
      <c r="Q92" s="2">
        <v>45968</v>
      </c>
      <c r="V92" s="46">
        <f>IF(
  OR(
    ISNUMBER(SEARCH("unable to locate acct", tblDocketedComments[[#This Row],[Docketed Consumer Comments]])),
    ISNUMBER(SEARCH("unknown", tblDocketedComments[[#This Row],[Docketed Consumer Comments]])),
    ISNUMBER(SEARCH("inactive", tblDocketedComments[[#This Row],[Docketed Consumer Comments]]))
  ),
  0,
  1
)</f>
        <v>1</v>
      </c>
    </row>
    <row r="93" spans="1:22" hidden="1">
      <c r="A93" s="2">
        <v>45902</v>
      </c>
      <c r="B93" s="1" t="s">
        <v>362</v>
      </c>
      <c r="C93" s="1" t="s">
        <v>363</v>
      </c>
      <c r="D93" s="1" t="s">
        <v>240</v>
      </c>
      <c r="E93" s="1">
        <v>85340</v>
      </c>
      <c r="F93" s="3" t="s">
        <v>31</v>
      </c>
      <c r="G93" s="1" t="s">
        <v>303</v>
      </c>
      <c r="H93" s="4" t="s">
        <v>364</v>
      </c>
      <c r="I93" s="5" t="s">
        <v>36</v>
      </c>
      <c r="J93" s="5" t="s">
        <v>37</v>
      </c>
      <c r="K93" s="5" t="s">
        <v>37</v>
      </c>
      <c r="L93" s="5" t="s">
        <v>38</v>
      </c>
      <c r="M93" s="5" t="s">
        <v>37</v>
      </c>
      <c r="N93" s="5" t="s">
        <v>37</v>
      </c>
      <c r="O93" s="5" t="s">
        <v>38</v>
      </c>
      <c r="P93" s="5" t="s">
        <v>39</v>
      </c>
      <c r="Q93" s="2">
        <v>45968</v>
      </c>
      <c r="V93" s="46">
        <f>IF(
  OR(
    ISNUMBER(SEARCH("unable to locate acct", tblDocketedComments[[#This Row],[Docketed Consumer Comments]])),
    ISNUMBER(SEARCH("unknown", tblDocketedComments[[#This Row],[Docketed Consumer Comments]])),
    ISNUMBER(SEARCH("inactive", tblDocketedComments[[#This Row],[Docketed Consumer Comments]]))
  ),
  0,
  1
)</f>
        <v>1</v>
      </c>
    </row>
    <row r="94" spans="1:22" hidden="1">
      <c r="A94" s="2">
        <v>45902</v>
      </c>
      <c r="B94" s="1" t="s">
        <v>365</v>
      </c>
      <c r="C94" s="1" t="s">
        <v>284</v>
      </c>
      <c r="D94" s="1" t="s">
        <v>112</v>
      </c>
      <c r="E94" s="1">
        <v>85387</v>
      </c>
      <c r="F94" s="3" t="s">
        <v>31</v>
      </c>
      <c r="G94" s="1" t="s">
        <v>303</v>
      </c>
      <c r="H94" s="4" t="s">
        <v>366</v>
      </c>
      <c r="I94" s="5" t="s">
        <v>288</v>
      </c>
      <c r="J94" s="5" t="s">
        <v>38</v>
      </c>
      <c r="K94" s="5" t="s">
        <v>37</v>
      </c>
      <c r="L94" s="5" t="s">
        <v>38</v>
      </c>
      <c r="M94" s="5" t="s">
        <v>37</v>
      </c>
      <c r="N94" s="5" t="s">
        <v>37</v>
      </c>
      <c r="O94" s="5" t="s">
        <v>38</v>
      </c>
      <c r="P94" s="5" t="s">
        <v>39</v>
      </c>
      <c r="Q94" s="2">
        <v>45968</v>
      </c>
      <c r="V94" s="46">
        <f>IF(
  OR(
    ISNUMBER(SEARCH("unable to locate acct", tblDocketedComments[[#This Row],[Docketed Consumer Comments]])),
    ISNUMBER(SEARCH("unknown", tblDocketedComments[[#This Row],[Docketed Consumer Comments]])),
    ISNUMBER(SEARCH("inactive", tblDocketedComments[[#This Row],[Docketed Consumer Comments]]))
  ),
  0,
  1
)</f>
        <v>1</v>
      </c>
    </row>
    <row r="95" spans="1:22" hidden="1">
      <c r="A95" s="2">
        <v>45902</v>
      </c>
      <c r="B95" s="1" t="s">
        <v>367</v>
      </c>
      <c r="C95" s="1" t="s">
        <v>225</v>
      </c>
      <c r="D95" s="1" t="s">
        <v>63</v>
      </c>
      <c r="E95" s="1">
        <v>85020</v>
      </c>
      <c r="F95" s="1" t="s">
        <v>310</v>
      </c>
      <c r="G95" s="1" t="s">
        <v>303</v>
      </c>
      <c r="H95" s="4" t="s">
        <v>209</v>
      </c>
      <c r="V95" s="46">
        <f>IF(
  OR(
    ISNUMBER(SEARCH("unable to locate acct", tblDocketedComments[[#This Row],[Docketed Consumer Comments]])),
    ISNUMBER(SEARCH("unknown", tblDocketedComments[[#This Row],[Docketed Consumer Comments]])),
    ISNUMBER(SEARCH("inactive", tblDocketedComments[[#This Row],[Docketed Consumer Comments]]))
  ),
  0,
  1
)</f>
        <v>1</v>
      </c>
    </row>
    <row r="96" spans="1:22" hidden="1">
      <c r="A96" s="2">
        <v>45902</v>
      </c>
      <c r="B96" s="1" t="s">
        <v>368</v>
      </c>
      <c r="C96" s="1" t="s">
        <v>369</v>
      </c>
      <c r="D96" s="1" t="s">
        <v>370</v>
      </c>
      <c r="E96" s="1">
        <v>85225</v>
      </c>
      <c r="F96" s="3" t="s">
        <v>31</v>
      </c>
      <c r="G96" s="1" t="s">
        <v>303</v>
      </c>
      <c r="H96" s="4" t="s">
        <v>371</v>
      </c>
      <c r="I96" s="10" t="s">
        <v>36</v>
      </c>
      <c r="J96" s="5" t="s">
        <v>37</v>
      </c>
      <c r="K96" s="5" t="s">
        <v>37</v>
      </c>
      <c r="L96" s="5" t="s">
        <v>38</v>
      </c>
      <c r="M96" s="5" t="s">
        <v>37</v>
      </c>
      <c r="N96" s="5" t="s">
        <v>37</v>
      </c>
      <c r="O96" s="5" t="s">
        <v>38</v>
      </c>
      <c r="P96" s="5" t="s">
        <v>39</v>
      </c>
      <c r="Q96" s="2">
        <v>45968</v>
      </c>
      <c r="V96" s="46">
        <f>IF(
  OR(
    ISNUMBER(SEARCH("unable to locate acct", tblDocketedComments[[#This Row],[Docketed Consumer Comments]])),
    ISNUMBER(SEARCH("unknown", tblDocketedComments[[#This Row],[Docketed Consumer Comments]])),
    ISNUMBER(SEARCH("inactive", tblDocketedComments[[#This Row],[Docketed Consumer Comments]]))
  ),
  0,
  1
)</f>
        <v>1</v>
      </c>
    </row>
    <row r="97" spans="1:22" hidden="1">
      <c r="A97" s="2">
        <v>45902</v>
      </c>
      <c r="B97" s="1" t="s">
        <v>372</v>
      </c>
      <c r="C97" s="1" t="s">
        <v>373</v>
      </c>
      <c r="D97" s="1" t="s">
        <v>63</v>
      </c>
      <c r="E97" s="1">
        <v>85006</v>
      </c>
      <c r="F97" s="3" t="s">
        <v>31</v>
      </c>
      <c r="G97" s="1" t="s">
        <v>303</v>
      </c>
      <c r="H97" s="4" t="s">
        <v>374</v>
      </c>
      <c r="I97" s="5" t="s">
        <v>196</v>
      </c>
      <c r="J97" s="5" t="s">
        <v>37</v>
      </c>
      <c r="K97" s="5" t="s">
        <v>37</v>
      </c>
      <c r="L97" s="5" t="s">
        <v>38</v>
      </c>
      <c r="M97" s="5" t="s">
        <v>37</v>
      </c>
      <c r="N97" s="5" t="s">
        <v>37</v>
      </c>
      <c r="O97" s="5" t="s">
        <v>38</v>
      </c>
      <c r="P97" s="5" t="s">
        <v>39</v>
      </c>
      <c r="Q97" s="2">
        <v>45968</v>
      </c>
      <c r="V97" s="46">
        <f>IF(
  OR(
    ISNUMBER(SEARCH("unable to locate acct", tblDocketedComments[[#This Row],[Docketed Consumer Comments]])),
    ISNUMBER(SEARCH("unknown", tblDocketedComments[[#This Row],[Docketed Consumer Comments]])),
    ISNUMBER(SEARCH("inactive", tblDocketedComments[[#This Row],[Docketed Consumer Comments]]))
  ),
  0,
  1
)</f>
        <v>1</v>
      </c>
    </row>
    <row r="98" spans="1:22" hidden="1">
      <c r="A98" s="2">
        <v>45902</v>
      </c>
      <c r="B98" s="1" t="s">
        <v>375</v>
      </c>
      <c r="C98" s="1" t="s">
        <v>376</v>
      </c>
      <c r="D98" s="1" t="s">
        <v>112</v>
      </c>
      <c r="E98" s="1">
        <v>85388</v>
      </c>
      <c r="F98" s="3" t="s">
        <v>31</v>
      </c>
      <c r="G98" s="1" t="s">
        <v>303</v>
      </c>
      <c r="H98" s="4" t="s">
        <v>377</v>
      </c>
      <c r="I98" s="5" t="s">
        <v>196</v>
      </c>
      <c r="J98" s="5" t="s">
        <v>37</v>
      </c>
      <c r="K98" s="5" t="s">
        <v>37</v>
      </c>
      <c r="L98" s="7" t="s">
        <v>378</v>
      </c>
      <c r="M98" s="5" t="s">
        <v>37</v>
      </c>
      <c r="N98" s="5" t="s">
        <v>37</v>
      </c>
      <c r="O98" s="5" t="s">
        <v>38</v>
      </c>
      <c r="P98" s="2">
        <v>45932</v>
      </c>
      <c r="Q98" s="2">
        <v>45968</v>
      </c>
      <c r="R98" s="1" t="s">
        <v>332</v>
      </c>
      <c r="V98" s="46">
        <f>IF(
  OR(
    ISNUMBER(SEARCH("unable to locate acct", tblDocketedComments[[#This Row],[Docketed Consumer Comments]])),
    ISNUMBER(SEARCH("unknown", tblDocketedComments[[#This Row],[Docketed Consumer Comments]])),
    ISNUMBER(SEARCH("inactive", tblDocketedComments[[#This Row],[Docketed Consumer Comments]]))
  ),
  0,
  1
)</f>
        <v>1</v>
      </c>
    </row>
    <row r="99" spans="1:22" hidden="1">
      <c r="A99" s="2">
        <v>45902</v>
      </c>
      <c r="B99" s="1" t="s">
        <v>379</v>
      </c>
      <c r="C99" s="1" t="s">
        <v>312</v>
      </c>
      <c r="D99" s="1" t="s">
        <v>169</v>
      </c>
      <c r="E99" s="1">
        <v>85338</v>
      </c>
      <c r="F99" s="3" t="s">
        <v>31</v>
      </c>
      <c r="G99" s="1" t="s">
        <v>303</v>
      </c>
      <c r="H99" s="4" t="s">
        <v>380</v>
      </c>
      <c r="I99" s="5" t="s">
        <v>196</v>
      </c>
      <c r="J99" s="5" t="s">
        <v>37</v>
      </c>
      <c r="K99" s="5" t="s">
        <v>37</v>
      </c>
      <c r="L99" s="5" t="s">
        <v>38</v>
      </c>
      <c r="M99" s="5" t="s">
        <v>37</v>
      </c>
      <c r="N99" s="5" t="s">
        <v>37</v>
      </c>
      <c r="O99" s="5" t="s">
        <v>38</v>
      </c>
      <c r="P99" s="5" t="s">
        <v>39</v>
      </c>
      <c r="Q99" s="2">
        <v>45968</v>
      </c>
      <c r="V9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 spans="1:22" hidden="1">
      <c r="A100" s="2">
        <v>45902</v>
      </c>
      <c r="B100" s="1" t="s">
        <v>381</v>
      </c>
      <c r="C100" s="1" t="s">
        <v>382</v>
      </c>
      <c r="D100" s="1" t="s">
        <v>202</v>
      </c>
      <c r="E100" s="1">
        <v>85345</v>
      </c>
      <c r="F100" s="3" t="s">
        <v>31</v>
      </c>
      <c r="G100" s="1" t="s">
        <v>303</v>
      </c>
      <c r="H100" s="4" t="s">
        <v>27</v>
      </c>
      <c r="V10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 spans="1:22" hidden="1">
      <c r="A101" s="2">
        <v>45902</v>
      </c>
      <c r="B101" s="1" t="s">
        <v>383</v>
      </c>
      <c r="C101" s="1" t="s">
        <v>384</v>
      </c>
      <c r="D101" s="1" t="s">
        <v>63</v>
      </c>
      <c r="E101" s="1">
        <v>85023</v>
      </c>
      <c r="F101" s="3" t="s">
        <v>31</v>
      </c>
      <c r="G101" s="1" t="s">
        <v>303</v>
      </c>
      <c r="H101" s="4" t="s">
        <v>385</v>
      </c>
      <c r="I101" s="5" t="s">
        <v>126</v>
      </c>
      <c r="J101" s="5" t="s">
        <v>37</v>
      </c>
      <c r="K101" s="5" t="s">
        <v>37</v>
      </c>
      <c r="L101" s="5" t="s">
        <v>38</v>
      </c>
      <c r="M101" s="5" t="s">
        <v>37</v>
      </c>
      <c r="N101" s="5" t="s">
        <v>37</v>
      </c>
      <c r="O101" s="5" t="s">
        <v>38</v>
      </c>
      <c r="P101" s="5" t="s">
        <v>39</v>
      </c>
      <c r="Q101" s="2">
        <v>45968</v>
      </c>
      <c r="V10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 spans="1:22" hidden="1">
      <c r="A102" s="2">
        <v>45902</v>
      </c>
      <c r="B102" s="1" t="s">
        <v>386</v>
      </c>
      <c r="C102" s="1" t="s">
        <v>387</v>
      </c>
      <c r="D102" s="1" t="s">
        <v>169</v>
      </c>
      <c r="E102" s="1">
        <v>85338</v>
      </c>
      <c r="F102" s="3" t="s">
        <v>31</v>
      </c>
      <c r="G102" s="1" t="s">
        <v>303</v>
      </c>
      <c r="H102" s="4" t="s">
        <v>388</v>
      </c>
      <c r="I102" s="5" t="s">
        <v>243</v>
      </c>
      <c r="J102" s="5" t="s">
        <v>38</v>
      </c>
      <c r="K102" s="5" t="s">
        <v>37</v>
      </c>
      <c r="L102" s="5" t="s">
        <v>389</v>
      </c>
      <c r="M102" s="5" t="s">
        <v>38</v>
      </c>
      <c r="N102" s="13">
        <v>326.87</v>
      </c>
      <c r="O102" s="5" t="s">
        <v>38</v>
      </c>
      <c r="P102" s="5" t="s">
        <v>39</v>
      </c>
      <c r="Q102" s="2">
        <v>45968</v>
      </c>
      <c r="R102" s="1" t="s">
        <v>390</v>
      </c>
      <c r="V10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 spans="1:22" hidden="1">
      <c r="A103" s="2">
        <v>45902</v>
      </c>
      <c r="B103" s="1" t="s">
        <v>391</v>
      </c>
      <c r="C103" s="1" t="s">
        <v>392</v>
      </c>
      <c r="D103" s="1" t="s">
        <v>169</v>
      </c>
      <c r="E103" s="1">
        <v>85338</v>
      </c>
      <c r="F103" s="3" t="s">
        <v>31</v>
      </c>
      <c r="G103" s="1" t="s">
        <v>303</v>
      </c>
      <c r="H103" s="4" t="s">
        <v>393</v>
      </c>
      <c r="I103" s="5" t="s">
        <v>36</v>
      </c>
      <c r="J103" s="5" t="s">
        <v>37</v>
      </c>
      <c r="K103" s="5" t="s">
        <v>37</v>
      </c>
      <c r="L103" s="5" t="s">
        <v>38</v>
      </c>
      <c r="M103" s="5" t="s">
        <v>37</v>
      </c>
      <c r="N103" s="5" t="s">
        <v>37</v>
      </c>
      <c r="O103" s="5" t="s">
        <v>38</v>
      </c>
      <c r="P103" s="5" t="s">
        <v>39</v>
      </c>
      <c r="Q103" s="2">
        <v>45968</v>
      </c>
      <c r="V10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 spans="1:22" hidden="1">
      <c r="A104" s="2">
        <v>45902</v>
      </c>
      <c r="B104" s="1" t="s">
        <v>394</v>
      </c>
      <c r="C104" s="1" t="s">
        <v>395</v>
      </c>
      <c r="D104" s="1" t="s">
        <v>396</v>
      </c>
      <c r="E104" s="1">
        <v>85303</v>
      </c>
      <c r="F104" s="3" t="s">
        <v>31</v>
      </c>
      <c r="G104" s="1" t="s">
        <v>303</v>
      </c>
      <c r="H104" s="4" t="s">
        <v>397</v>
      </c>
      <c r="I104" s="5" t="s">
        <v>126</v>
      </c>
      <c r="J104" s="5" t="s">
        <v>37</v>
      </c>
      <c r="K104" s="5" t="s">
        <v>37</v>
      </c>
      <c r="L104" s="5" t="s">
        <v>38</v>
      </c>
      <c r="M104" s="5" t="s">
        <v>37</v>
      </c>
      <c r="N104" s="5" t="s">
        <v>37</v>
      </c>
      <c r="O104" s="5" t="s">
        <v>38</v>
      </c>
      <c r="P104" s="5" t="s">
        <v>39</v>
      </c>
      <c r="Q104" s="2">
        <v>45968</v>
      </c>
      <c r="V10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 spans="1:22" hidden="1">
      <c r="A105" s="2">
        <v>45902</v>
      </c>
      <c r="B105" s="1" t="s">
        <v>398</v>
      </c>
      <c r="C105" s="1" t="s">
        <v>399</v>
      </c>
      <c r="D105" s="1" t="s">
        <v>63</v>
      </c>
      <c r="E105" s="1">
        <v>85006</v>
      </c>
      <c r="F105" s="3" t="s">
        <v>31</v>
      </c>
      <c r="G105" s="1" t="s">
        <v>303</v>
      </c>
      <c r="H105" s="4" t="s">
        <v>400</v>
      </c>
      <c r="I105" s="5" t="s">
        <v>36</v>
      </c>
      <c r="J105" s="5" t="s">
        <v>37</v>
      </c>
      <c r="K105" s="5" t="s">
        <v>37</v>
      </c>
      <c r="L105" s="5" t="s">
        <v>401</v>
      </c>
      <c r="M105" s="5" t="s">
        <v>37</v>
      </c>
      <c r="N105" s="5" t="s">
        <v>37</v>
      </c>
      <c r="O105" s="5" t="s">
        <v>38</v>
      </c>
      <c r="P105" s="5" t="s">
        <v>39</v>
      </c>
      <c r="Q105" s="2">
        <v>45968</v>
      </c>
      <c r="V10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 spans="1:22" hidden="1">
      <c r="A106" s="2">
        <v>45902</v>
      </c>
      <c r="B106" s="1" t="s">
        <v>402</v>
      </c>
      <c r="C106" s="1" t="s">
        <v>403</v>
      </c>
      <c r="D106" s="1" t="s">
        <v>24</v>
      </c>
      <c r="E106" s="1">
        <v>85307</v>
      </c>
      <c r="F106" s="1" t="s">
        <v>310</v>
      </c>
      <c r="G106" s="1" t="s">
        <v>303</v>
      </c>
      <c r="H106" s="4" t="s">
        <v>404</v>
      </c>
      <c r="I106" s="5" t="s">
        <v>126</v>
      </c>
      <c r="J106" s="5" t="s">
        <v>37</v>
      </c>
      <c r="K106" s="5" t="s">
        <v>37</v>
      </c>
      <c r="L106" s="5" t="s">
        <v>405</v>
      </c>
      <c r="M106" s="5" t="s">
        <v>37</v>
      </c>
      <c r="N106" s="5" t="s">
        <v>37</v>
      </c>
      <c r="O106" s="5" t="s">
        <v>38</v>
      </c>
      <c r="P106" s="5" t="s">
        <v>39</v>
      </c>
      <c r="Q106" s="2">
        <v>45968</v>
      </c>
      <c r="V10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 spans="1:22" hidden="1">
      <c r="A107" s="2">
        <v>45902</v>
      </c>
      <c r="B107" s="1" t="s">
        <v>406</v>
      </c>
      <c r="C107" s="1" t="s">
        <v>407</v>
      </c>
      <c r="D107" s="1" t="s">
        <v>63</v>
      </c>
      <c r="E107" s="1">
        <v>85006</v>
      </c>
      <c r="F107" s="3" t="s">
        <v>31</v>
      </c>
      <c r="G107" s="1" t="s">
        <v>303</v>
      </c>
      <c r="H107" s="4" t="s">
        <v>408</v>
      </c>
      <c r="I107" s="5" t="s">
        <v>57</v>
      </c>
      <c r="J107" s="5" t="s">
        <v>37</v>
      </c>
      <c r="K107" s="5" t="s">
        <v>37</v>
      </c>
      <c r="L107" s="7" t="s">
        <v>409</v>
      </c>
      <c r="M107" s="5" t="s">
        <v>37</v>
      </c>
      <c r="N107" s="5" t="s">
        <v>37</v>
      </c>
      <c r="O107" s="5" t="s">
        <v>38</v>
      </c>
      <c r="P107" s="2">
        <v>45932</v>
      </c>
      <c r="Q107" s="2">
        <v>45968</v>
      </c>
      <c r="R107" s="1" t="s">
        <v>332</v>
      </c>
      <c r="V10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 spans="1:22" hidden="1">
      <c r="A108" s="2">
        <v>45902</v>
      </c>
      <c r="B108" s="1" t="s">
        <v>410</v>
      </c>
      <c r="C108" s="1" t="s">
        <v>411</v>
      </c>
      <c r="D108" s="1" t="s">
        <v>412</v>
      </c>
      <c r="E108" s="1">
        <v>85123</v>
      </c>
      <c r="F108" s="1" t="s">
        <v>310</v>
      </c>
      <c r="G108" s="1" t="s">
        <v>303</v>
      </c>
      <c r="H108" s="4" t="s">
        <v>413</v>
      </c>
      <c r="I108" s="5" t="s">
        <v>196</v>
      </c>
      <c r="J108" s="5" t="s">
        <v>37</v>
      </c>
      <c r="K108" s="5" t="s">
        <v>37</v>
      </c>
      <c r="L108" s="5" t="s">
        <v>414</v>
      </c>
      <c r="M108" s="5" t="s">
        <v>37</v>
      </c>
      <c r="N108" s="5" t="s">
        <v>37</v>
      </c>
      <c r="O108" s="5" t="s">
        <v>38</v>
      </c>
      <c r="P108" s="5" t="s">
        <v>39</v>
      </c>
      <c r="Q108" s="2">
        <v>45968</v>
      </c>
      <c r="V10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 spans="1:22" hidden="1">
      <c r="A109" s="2">
        <v>45902</v>
      </c>
      <c r="B109" s="1" t="s">
        <v>415</v>
      </c>
      <c r="C109" s="1" t="s">
        <v>416</v>
      </c>
      <c r="D109" s="1" t="s">
        <v>112</v>
      </c>
      <c r="E109" s="1">
        <v>85379</v>
      </c>
      <c r="F109" s="3" t="s">
        <v>31</v>
      </c>
      <c r="G109" s="1" t="s">
        <v>303</v>
      </c>
      <c r="H109" s="4" t="s">
        <v>417</v>
      </c>
      <c r="I109" s="5" t="s">
        <v>418</v>
      </c>
      <c r="J109" s="5" t="s">
        <v>37</v>
      </c>
      <c r="K109" s="5" t="s">
        <v>37</v>
      </c>
      <c r="L109" s="5" t="s">
        <v>389</v>
      </c>
      <c r="M109" s="5" t="s">
        <v>37</v>
      </c>
      <c r="N109" s="5" t="s">
        <v>37</v>
      </c>
      <c r="O109" s="5" t="s">
        <v>38</v>
      </c>
      <c r="P109" s="5" t="s">
        <v>39</v>
      </c>
      <c r="Q109" s="2">
        <v>45968</v>
      </c>
      <c r="V10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 spans="1:22" hidden="1">
      <c r="A110" s="2">
        <v>45902</v>
      </c>
      <c r="B110" s="1" t="s">
        <v>419</v>
      </c>
      <c r="C110" s="1" t="s">
        <v>420</v>
      </c>
      <c r="D110" s="1" t="s">
        <v>174</v>
      </c>
      <c r="E110" s="1">
        <v>85326</v>
      </c>
      <c r="F110" s="3" t="s">
        <v>31</v>
      </c>
      <c r="G110" s="1" t="s">
        <v>303</v>
      </c>
      <c r="H110" s="4" t="s">
        <v>27</v>
      </c>
      <c r="V11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 spans="1:22" hidden="1">
      <c r="A111" s="2">
        <v>45902</v>
      </c>
      <c r="B111" s="1" t="s">
        <v>421</v>
      </c>
      <c r="C111" s="1" t="s">
        <v>422</v>
      </c>
      <c r="D111" s="1" t="s">
        <v>63</v>
      </c>
      <c r="E111" s="1">
        <v>85054</v>
      </c>
      <c r="F111" s="1" t="s">
        <v>310</v>
      </c>
      <c r="G111" s="1" t="s">
        <v>303</v>
      </c>
      <c r="H111" s="4">
        <v>7035930772</v>
      </c>
      <c r="I111" s="5" t="s">
        <v>196</v>
      </c>
      <c r="J111" s="5" t="s">
        <v>37</v>
      </c>
      <c r="K111" s="5" t="s">
        <v>37</v>
      </c>
      <c r="L111" s="7" t="s">
        <v>423</v>
      </c>
      <c r="M111" s="5" t="s">
        <v>37</v>
      </c>
      <c r="N111" s="5" t="s">
        <v>37</v>
      </c>
      <c r="O111" s="5" t="s">
        <v>38</v>
      </c>
      <c r="P111" s="2">
        <v>45932</v>
      </c>
      <c r="Q111" s="2">
        <v>45958</v>
      </c>
      <c r="R111" s="1" t="s">
        <v>332</v>
      </c>
      <c r="V11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 spans="1:22" hidden="1">
      <c r="A112" s="2">
        <v>45902</v>
      </c>
      <c r="B112" s="1" t="s">
        <v>424</v>
      </c>
      <c r="C112" s="1" t="s">
        <v>425</v>
      </c>
      <c r="D112" s="1" t="s">
        <v>240</v>
      </c>
      <c r="E112" s="1">
        <v>85340</v>
      </c>
      <c r="F112" s="1" t="s">
        <v>310</v>
      </c>
      <c r="G112" s="1" t="s">
        <v>303</v>
      </c>
      <c r="H112" s="4" t="s">
        <v>27</v>
      </c>
      <c r="V11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 spans="1:22" hidden="1">
      <c r="A113" s="2">
        <v>45902</v>
      </c>
      <c r="B113" s="1" t="s">
        <v>426</v>
      </c>
      <c r="C113" s="1" t="s">
        <v>427</v>
      </c>
      <c r="D113" s="1" t="s">
        <v>428</v>
      </c>
      <c r="E113" s="1">
        <v>85335</v>
      </c>
      <c r="F113" s="3" t="s">
        <v>31</v>
      </c>
      <c r="G113" s="1" t="s">
        <v>303</v>
      </c>
      <c r="H113" s="4" t="s">
        <v>27</v>
      </c>
      <c r="V11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 spans="1:22" hidden="1">
      <c r="A114" s="2">
        <v>45902</v>
      </c>
      <c r="B114" s="1" t="s">
        <v>429</v>
      </c>
      <c r="C114" s="1" t="s">
        <v>135</v>
      </c>
      <c r="D114" s="1" t="s">
        <v>63</v>
      </c>
      <c r="E114" s="1">
        <v>85029</v>
      </c>
      <c r="F114" s="1" t="s">
        <v>310</v>
      </c>
      <c r="G114" s="1" t="s">
        <v>303</v>
      </c>
      <c r="H114" s="4">
        <v>7115261000</v>
      </c>
      <c r="I114" s="5" t="s">
        <v>36</v>
      </c>
      <c r="J114" s="5" t="s">
        <v>38</v>
      </c>
      <c r="K114" s="5" t="s">
        <v>37</v>
      </c>
      <c r="L114" s="5" t="s">
        <v>38</v>
      </c>
      <c r="M114" s="5" t="s">
        <v>37</v>
      </c>
      <c r="N114" s="5" t="s">
        <v>37</v>
      </c>
      <c r="O114" s="5" t="s">
        <v>38</v>
      </c>
      <c r="P114" s="5" t="s">
        <v>430</v>
      </c>
      <c r="Q114" s="2">
        <v>45958</v>
      </c>
      <c r="V11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 spans="1:22" hidden="1">
      <c r="A115" s="2">
        <v>45902</v>
      </c>
      <c r="B115" s="1" t="s">
        <v>431</v>
      </c>
      <c r="C115" s="1" t="s">
        <v>392</v>
      </c>
      <c r="D115" s="1" t="s">
        <v>63</v>
      </c>
      <c r="E115" s="1">
        <v>85006</v>
      </c>
      <c r="F115" s="3" t="s">
        <v>31</v>
      </c>
      <c r="G115" s="1" t="s">
        <v>303</v>
      </c>
      <c r="H115" s="4" t="s">
        <v>209</v>
      </c>
      <c r="V11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 spans="1:22" hidden="1">
      <c r="A116" s="2">
        <v>45902</v>
      </c>
      <c r="B116" s="1" t="s">
        <v>432</v>
      </c>
      <c r="C116" s="1" t="s">
        <v>433</v>
      </c>
      <c r="D116" s="1" t="s">
        <v>85</v>
      </c>
      <c r="E116" s="1">
        <v>86323</v>
      </c>
      <c r="F116" s="1" t="s">
        <v>31</v>
      </c>
      <c r="G116" s="1" t="s">
        <v>303</v>
      </c>
      <c r="H116" s="4">
        <v>2773271262</v>
      </c>
      <c r="I116" s="5" t="s">
        <v>288</v>
      </c>
      <c r="J116" s="5" t="s">
        <v>37</v>
      </c>
      <c r="K116" s="5" t="s">
        <v>37</v>
      </c>
      <c r="L116" s="5" t="s">
        <v>38</v>
      </c>
      <c r="M116" s="5" t="s">
        <v>37</v>
      </c>
      <c r="N116" s="5" t="s">
        <v>37</v>
      </c>
      <c r="O116" s="5" t="s">
        <v>38</v>
      </c>
      <c r="P116" s="5" t="s">
        <v>39</v>
      </c>
      <c r="Q116" s="2">
        <v>45958</v>
      </c>
      <c r="V11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 spans="1:22" hidden="1">
      <c r="A117" s="2">
        <v>45902</v>
      </c>
      <c r="B117" s="1" t="s">
        <v>434</v>
      </c>
      <c r="C117" s="1" t="s">
        <v>145</v>
      </c>
      <c r="D117" s="1" t="s">
        <v>112</v>
      </c>
      <c r="E117" s="1">
        <v>85379</v>
      </c>
      <c r="F117" s="1" t="s">
        <v>310</v>
      </c>
      <c r="G117" s="1" t="s">
        <v>303</v>
      </c>
      <c r="H117" s="4" t="s">
        <v>435</v>
      </c>
      <c r="I117" s="5" t="s">
        <v>126</v>
      </c>
      <c r="J117" s="5" t="s">
        <v>37</v>
      </c>
      <c r="K117" s="5" t="s">
        <v>37</v>
      </c>
      <c r="L117" s="5" t="s">
        <v>38</v>
      </c>
      <c r="M117" s="5" t="s">
        <v>37</v>
      </c>
      <c r="N117" s="5" t="s">
        <v>37</v>
      </c>
      <c r="O117" s="5" t="s">
        <v>38</v>
      </c>
      <c r="P117" s="5" t="s">
        <v>39</v>
      </c>
      <c r="Q117" s="2">
        <v>45958</v>
      </c>
      <c r="V11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 spans="1:22" hidden="1">
      <c r="A118" s="2">
        <v>45902</v>
      </c>
      <c r="B118" s="1" t="s">
        <v>436</v>
      </c>
      <c r="C118" s="1" t="s">
        <v>437</v>
      </c>
      <c r="D118" s="1" t="s">
        <v>169</v>
      </c>
      <c r="E118" s="1">
        <v>85338</v>
      </c>
      <c r="F118" s="1" t="s">
        <v>31</v>
      </c>
      <c r="G118" s="1" t="s">
        <v>303</v>
      </c>
      <c r="H118" s="4" t="s">
        <v>438</v>
      </c>
      <c r="I118" s="5" t="s">
        <v>418</v>
      </c>
      <c r="J118" s="5" t="s">
        <v>38</v>
      </c>
      <c r="K118" s="5" t="s">
        <v>37</v>
      </c>
      <c r="L118" s="5" t="s">
        <v>389</v>
      </c>
      <c r="M118" s="5" t="s">
        <v>38</v>
      </c>
      <c r="N118" s="13">
        <v>179.9</v>
      </c>
      <c r="O118" s="5" t="s">
        <v>38</v>
      </c>
      <c r="P118" s="5" t="s">
        <v>39</v>
      </c>
      <c r="Q118" s="2">
        <v>45968</v>
      </c>
      <c r="V11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 spans="1:22" hidden="1">
      <c r="A119" s="2">
        <v>45902</v>
      </c>
      <c r="B119" s="1" t="s">
        <v>439</v>
      </c>
      <c r="C119" s="1" t="s">
        <v>440</v>
      </c>
      <c r="D119" s="1" t="s">
        <v>125</v>
      </c>
      <c r="E119" s="1">
        <v>85254</v>
      </c>
      <c r="F119" s="1" t="s">
        <v>310</v>
      </c>
      <c r="G119" s="1" t="s">
        <v>303</v>
      </c>
      <c r="H119" s="4" t="s">
        <v>441</v>
      </c>
      <c r="I119" s="5" t="s">
        <v>36</v>
      </c>
      <c r="J119" s="5" t="s">
        <v>37</v>
      </c>
      <c r="K119" s="5" t="s">
        <v>37</v>
      </c>
      <c r="L119" s="5" t="s">
        <v>38</v>
      </c>
      <c r="M119" s="5" t="s">
        <v>37</v>
      </c>
      <c r="N119" s="5" t="s">
        <v>37</v>
      </c>
      <c r="O119" s="5" t="s">
        <v>38</v>
      </c>
      <c r="P119" s="5" t="s">
        <v>39</v>
      </c>
      <c r="Q119" s="2">
        <v>45968</v>
      </c>
      <c r="V11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 spans="1:22" hidden="1">
      <c r="A120" s="2">
        <v>45902</v>
      </c>
      <c r="B120" s="1" t="s">
        <v>442</v>
      </c>
      <c r="C120" s="1" t="s">
        <v>443</v>
      </c>
      <c r="D120" s="1" t="s">
        <v>63</v>
      </c>
      <c r="E120" s="1">
        <v>85032</v>
      </c>
      <c r="F120" s="1" t="s">
        <v>310</v>
      </c>
      <c r="G120" s="1" t="s">
        <v>303</v>
      </c>
      <c r="H120" s="4" t="s">
        <v>444</v>
      </c>
      <c r="I120" s="5" t="s">
        <v>196</v>
      </c>
      <c r="J120" s="5" t="s">
        <v>37</v>
      </c>
      <c r="K120" s="5" t="s">
        <v>37</v>
      </c>
      <c r="L120" s="7" t="s">
        <v>445</v>
      </c>
      <c r="M120" s="5" t="s">
        <v>37</v>
      </c>
      <c r="N120" s="5" t="s">
        <v>37</v>
      </c>
      <c r="O120" s="5" t="s">
        <v>38</v>
      </c>
      <c r="P120" s="2">
        <v>45932</v>
      </c>
      <c r="Q120" s="2">
        <v>45968</v>
      </c>
      <c r="R120" s="1" t="s">
        <v>446</v>
      </c>
      <c r="V12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 spans="1:22" hidden="1">
      <c r="A121" s="2">
        <v>45902</v>
      </c>
      <c r="B121" s="1" t="s">
        <v>447</v>
      </c>
      <c r="C121" s="1" t="s">
        <v>328</v>
      </c>
      <c r="D121" s="1" t="s">
        <v>448</v>
      </c>
      <c r="E121" s="1">
        <v>85361</v>
      </c>
      <c r="F121" s="1" t="s">
        <v>310</v>
      </c>
      <c r="G121" s="1" t="s">
        <v>303</v>
      </c>
      <c r="H121" s="4" t="s">
        <v>27</v>
      </c>
      <c r="V12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 spans="1:22" hidden="1">
      <c r="A122" s="2">
        <v>45902</v>
      </c>
      <c r="B122" s="1" t="s">
        <v>449</v>
      </c>
      <c r="C122" s="1" t="s">
        <v>333</v>
      </c>
      <c r="D122" s="1" t="s">
        <v>125</v>
      </c>
      <c r="E122" s="1">
        <v>85260</v>
      </c>
      <c r="F122" s="1" t="s">
        <v>310</v>
      </c>
      <c r="G122" s="1" t="s">
        <v>303</v>
      </c>
      <c r="H122" s="4" t="s">
        <v>450</v>
      </c>
      <c r="I122" s="5" t="s">
        <v>126</v>
      </c>
      <c r="J122" s="5" t="s">
        <v>37</v>
      </c>
      <c r="K122" s="5" t="s">
        <v>37</v>
      </c>
      <c r="L122" s="5" t="s">
        <v>38</v>
      </c>
      <c r="M122" s="5" t="s">
        <v>37</v>
      </c>
      <c r="N122" s="5" t="s">
        <v>37</v>
      </c>
      <c r="O122" s="5" t="s">
        <v>38</v>
      </c>
      <c r="P122" s="5" t="s">
        <v>39</v>
      </c>
      <c r="Q122" s="2">
        <v>45968</v>
      </c>
      <c r="V12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 spans="1:22" hidden="1">
      <c r="A123" s="2">
        <v>45902</v>
      </c>
      <c r="B123" s="1" t="s">
        <v>451</v>
      </c>
      <c r="C123" s="1" t="s">
        <v>452</v>
      </c>
      <c r="D123" s="1" t="s">
        <v>202</v>
      </c>
      <c r="E123" s="1">
        <v>85345</v>
      </c>
      <c r="F123" s="1" t="s">
        <v>310</v>
      </c>
      <c r="G123" s="1" t="s">
        <v>303</v>
      </c>
      <c r="H123" s="4" t="s">
        <v>27</v>
      </c>
      <c r="V12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 spans="1:22" hidden="1">
      <c r="A124" s="2">
        <v>45902</v>
      </c>
      <c r="B124" s="1" t="s">
        <v>453</v>
      </c>
      <c r="C124" s="1" t="s">
        <v>454</v>
      </c>
      <c r="D124" s="1" t="s">
        <v>125</v>
      </c>
      <c r="E124" s="1">
        <v>85255</v>
      </c>
      <c r="F124" s="1" t="s">
        <v>310</v>
      </c>
      <c r="G124" s="1" t="s">
        <v>303</v>
      </c>
      <c r="H124" s="4" t="s">
        <v>455</v>
      </c>
      <c r="I124" s="5" t="s">
        <v>288</v>
      </c>
      <c r="J124" s="5" t="s">
        <v>37</v>
      </c>
      <c r="K124" s="5" t="s">
        <v>37</v>
      </c>
      <c r="L124" s="5" t="s">
        <v>38</v>
      </c>
      <c r="M124" s="5" t="s">
        <v>37</v>
      </c>
      <c r="N124" s="5" t="s">
        <v>37</v>
      </c>
      <c r="O124" s="5" t="s">
        <v>38</v>
      </c>
      <c r="P124" s="5" t="s">
        <v>39</v>
      </c>
      <c r="Q124" s="2">
        <v>45968</v>
      </c>
      <c r="V12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 spans="1:22" hidden="1">
      <c r="A125" s="2">
        <v>45902</v>
      </c>
      <c r="B125" s="1" t="s">
        <v>432</v>
      </c>
      <c r="C125" s="1" t="s">
        <v>456</v>
      </c>
      <c r="D125" s="1" t="s">
        <v>85</v>
      </c>
      <c r="E125" s="1">
        <v>86323</v>
      </c>
      <c r="F125" s="1" t="s">
        <v>310</v>
      </c>
      <c r="G125" s="1" t="s">
        <v>303</v>
      </c>
      <c r="H125" s="4" t="s">
        <v>457</v>
      </c>
      <c r="I125" s="5" t="s">
        <v>288</v>
      </c>
      <c r="J125" s="5" t="s">
        <v>37</v>
      </c>
      <c r="K125" s="5" t="s">
        <v>37</v>
      </c>
      <c r="L125" s="5" t="s">
        <v>38</v>
      </c>
      <c r="M125" s="5" t="s">
        <v>37</v>
      </c>
      <c r="N125" s="5" t="s">
        <v>37</v>
      </c>
      <c r="O125" s="5" t="s">
        <v>38</v>
      </c>
      <c r="P125" s="5" t="s">
        <v>39</v>
      </c>
      <c r="Q125" s="2">
        <v>45968</v>
      </c>
      <c r="V12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 spans="1:22" hidden="1">
      <c r="A126" s="2">
        <v>45902</v>
      </c>
      <c r="B126" s="1" t="s">
        <v>458</v>
      </c>
      <c r="C126" s="1" t="s">
        <v>459</v>
      </c>
      <c r="D126" s="1" t="s">
        <v>125</v>
      </c>
      <c r="E126" s="1">
        <v>85255</v>
      </c>
      <c r="F126" s="1" t="s">
        <v>310</v>
      </c>
      <c r="G126" s="1" t="s">
        <v>303</v>
      </c>
      <c r="H126" s="4" t="s">
        <v>460</v>
      </c>
      <c r="I126" s="5" t="s">
        <v>288</v>
      </c>
      <c r="J126" s="5" t="s">
        <v>37</v>
      </c>
      <c r="K126" s="5" t="s">
        <v>37</v>
      </c>
      <c r="L126" s="5" t="s">
        <v>38</v>
      </c>
      <c r="M126" s="5" t="s">
        <v>37</v>
      </c>
      <c r="N126" s="5" t="s">
        <v>37</v>
      </c>
      <c r="O126" s="5" t="s">
        <v>38</v>
      </c>
      <c r="P126" s="5" t="s">
        <v>39</v>
      </c>
      <c r="Q126" s="2">
        <v>45968</v>
      </c>
      <c r="V12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 spans="1:22" hidden="1">
      <c r="A127" s="2">
        <v>45902</v>
      </c>
      <c r="B127" s="1" t="s">
        <v>461</v>
      </c>
      <c r="C127" s="1" t="s">
        <v>443</v>
      </c>
      <c r="D127" s="1" t="s">
        <v>125</v>
      </c>
      <c r="E127" s="1">
        <v>85254</v>
      </c>
      <c r="F127" s="1" t="s">
        <v>310</v>
      </c>
      <c r="G127" s="1" t="s">
        <v>303</v>
      </c>
      <c r="H127" s="4" t="s">
        <v>462</v>
      </c>
      <c r="I127" s="5" t="s">
        <v>36</v>
      </c>
      <c r="J127" s="5" t="s">
        <v>37</v>
      </c>
      <c r="K127" s="5" t="s">
        <v>37</v>
      </c>
      <c r="L127" s="5" t="s">
        <v>38</v>
      </c>
      <c r="M127" s="5" t="s">
        <v>37</v>
      </c>
      <c r="N127" s="5" t="s">
        <v>37</v>
      </c>
      <c r="O127" s="5" t="s">
        <v>38</v>
      </c>
      <c r="P127" s="5" t="s">
        <v>39</v>
      </c>
      <c r="Q127" s="2">
        <v>45968</v>
      </c>
      <c r="V12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 spans="1:22" hidden="1">
      <c r="A128" s="2">
        <v>45902</v>
      </c>
      <c r="B128" s="1" t="s">
        <v>463</v>
      </c>
      <c r="C128" s="1" t="s">
        <v>464</v>
      </c>
      <c r="D128" s="1" t="s">
        <v>63</v>
      </c>
      <c r="E128" s="1">
        <v>85024</v>
      </c>
      <c r="F128" s="1" t="s">
        <v>310</v>
      </c>
      <c r="G128" s="1" t="s">
        <v>303</v>
      </c>
      <c r="H128" s="4" t="s">
        <v>465</v>
      </c>
      <c r="I128" s="5" t="s">
        <v>418</v>
      </c>
      <c r="J128" s="5" t="s">
        <v>37</v>
      </c>
      <c r="K128" s="5" t="s">
        <v>37</v>
      </c>
      <c r="L128" s="5" t="s">
        <v>389</v>
      </c>
      <c r="M128" s="5" t="s">
        <v>37</v>
      </c>
      <c r="N128" s="5" t="s">
        <v>37</v>
      </c>
      <c r="O128" s="5" t="s">
        <v>38</v>
      </c>
      <c r="P128" s="5" t="s">
        <v>39</v>
      </c>
      <c r="Q128" s="2">
        <v>45968</v>
      </c>
      <c r="V12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 spans="1:22" hidden="1">
      <c r="A129" s="2">
        <v>45902</v>
      </c>
      <c r="B129" s="1" t="s">
        <v>426</v>
      </c>
      <c r="C129" s="1" t="s">
        <v>466</v>
      </c>
      <c r="D129" s="1" t="s">
        <v>428</v>
      </c>
      <c r="E129" s="1">
        <v>85335</v>
      </c>
      <c r="F129" s="1" t="s">
        <v>310</v>
      </c>
      <c r="G129" s="1" t="s">
        <v>303</v>
      </c>
      <c r="H129" s="4" t="s">
        <v>27</v>
      </c>
      <c r="V12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 spans="1:22" hidden="1">
      <c r="A130" s="2">
        <v>45902</v>
      </c>
      <c r="B130" s="1" t="s">
        <v>467</v>
      </c>
      <c r="C130" s="1" t="s">
        <v>468</v>
      </c>
      <c r="D130" s="1" t="s">
        <v>63</v>
      </c>
      <c r="E130" s="1">
        <v>85008</v>
      </c>
      <c r="F130" s="1" t="s">
        <v>310</v>
      </c>
      <c r="G130" s="1" t="s">
        <v>303</v>
      </c>
      <c r="H130" s="4" t="s">
        <v>469</v>
      </c>
      <c r="I130" s="5" t="s">
        <v>36</v>
      </c>
      <c r="J130" s="5" t="s">
        <v>37</v>
      </c>
      <c r="K130" s="5" t="s">
        <v>37</v>
      </c>
      <c r="L130" s="5" t="s">
        <v>38</v>
      </c>
      <c r="M130" s="5" t="s">
        <v>37</v>
      </c>
      <c r="N130" s="5" t="s">
        <v>37</v>
      </c>
      <c r="O130" s="5" t="s">
        <v>38</v>
      </c>
      <c r="P130" s="5" t="s">
        <v>39</v>
      </c>
      <c r="Q130" s="2">
        <v>45968</v>
      </c>
      <c r="V13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 spans="1:22" hidden="1">
      <c r="A131" s="2">
        <v>45902</v>
      </c>
      <c r="B131" s="1" t="s">
        <v>470</v>
      </c>
      <c r="C131" s="1" t="s">
        <v>471</v>
      </c>
      <c r="D131" s="1" t="s">
        <v>63</v>
      </c>
      <c r="E131" s="1">
        <v>85004</v>
      </c>
      <c r="F131" s="1" t="s">
        <v>310</v>
      </c>
      <c r="G131" s="1" t="s">
        <v>303</v>
      </c>
      <c r="H131" s="4" t="s">
        <v>472</v>
      </c>
      <c r="I131" s="5" t="s">
        <v>288</v>
      </c>
      <c r="J131" s="5" t="s">
        <v>37</v>
      </c>
      <c r="K131" s="5" t="s">
        <v>37</v>
      </c>
      <c r="L131" s="5" t="s">
        <v>38</v>
      </c>
      <c r="M131" s="5" t="s">
        <v>37</v>
      </c>
      <c r="N131" s="5" t="s">
        <v>37</v>
      </c>
      <c r="O131" s="5" t="s">
        <v>38</v>
      </c>
      <c r="P131" s="5" t="s">
        <v>39</v>
      </c>
      <c r="Q131" s="2">
        <v>45968</v>
      </c>
      <c r="V13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 spans="1:22" hidden="1">
      <c r="A132" s="2">
        <v>45902</v>
      </c>
      <c r="B132" s="1" t="s">
        <v>473</v>
      </c>
      <c r="C132" s="1" t="s">
        <v>474</v>
      </c>
      <c r="D132" s="1" t="s">
        <v>169</v>
      </c>
      <c r="E132" s="1">
        <v>85395</v>
      </c>
      <c r="F132" s="1" t="s">
        <v>310</v>
      </c>
      <c r="G132" s="1" t="s">
        <v>303</v>
      </c>
      <c r="H132" s="4" t="s">
        <v>27</v>
      </c>
      <c r="V13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 spans="1:22" hidden="1">
      <c r="A133" s="2">
        <v>45902</v>
      </c>
      <c r="B133" s="1" t="s">
        <v>475</v>
      </c>
      <c r="C133" s="1" t="s">
        <v>476</v>
      </c>
      <c r="D133" s="1" t="s">
        <v>63</v>
      </c>
      <c r="E133" s="1">
        <v>85050</v>
      </c>
      <c r="F133" s="1" t="s">
        <v>31</v>
      </c>
      <c r="G133" s="1" t="s">
        <v>303</v>
      </c>
      <c r="H133" s="4" t="s">
        <v>477</v>
      </c>
      <c r="I133" s="5" t="s">
        <v>36</v>
      </c>
      <c r="J133" s="5" t="s">
        <v>37</v>
      </c>
      <c r="K133" s="5" t="s">
        <v>37</v>
      </c>
      <c r="L133" s="5" t="s">
        <v>38</v>
      </c>
      <c r="M133" s="5" t="s">
        <v>37</v>
      </c>
      <c r="N133" s="5" t="s">
        <v>37</v>
      </c>
      <c r="O133" s="5" t="s">
        <v>38</v>
      </c>
      <c r="P133" s="5" t="s">
        <v>39</v>
      </c>
      <c r="Q133" s="2">
        <v>45968</v>
      </c>
      <c r="V13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 spans="1:22" hidden="1">
      <c r="A134" s="2">
        <v>45902</v>
      </c>
      <c r="B134" s="1" t="s">
        <v>478</v>
      </c>
      <c r="C134" s="1" t="s">
        <v>479</v>
      </c>
      <c r="D134" s="1" t="s">
        <v>63</v>
      </c>
      <c r="E134" s="1">
        <v>85028</v>
      </c>
      <c r="F134" s="1" t="s">
        <v>310</v>
      </c>
      <c r="G134" s="1" t="s">
        <v>303</v>
      </c>
      <c r="H134" s="4" t="s">
        <v>27</v>
      </c>
      <c r="V13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 spans="1:22" hidden="1">
      <c r="A135" s="2">
        <v>45902</v>
      </c>
      <c r="B135" s="1" t="s">
        <v>480</v>
      </c>
      <c r="C135" s="1" t="s">
        <v>481</v>
      </c>
      <c r="D135" s="1" t="s">
        <v>63</v>
      </c>
      <c r="E135" s="1">
        <v>85083</v>
      </c>
      <c r="F135" s="1" t="s">
        <v>310</v>
      </c>
      <c r="G135" s="1" t="s">
        <v>303</v>
      </c>
      <c r="H135" s="4" t="s">
        <v>482</v>
      </c>
      <c r="I135" s="5" t="s">
        <v>46</v>
      </c>
      <c r="J135" s="5" t="s">
        <v>37</v>
      </c>
      <c r="K135" s="5" t="s">
        <v>37</v>
      </c>
      <c r="L135" s="7" t="s">
        <v>483</v>
      </c>
      <c r="M135" s="5" t="s">
        <v>37</v>
      </c>
      <c r="N135" s="5" t="s">
        <v>37</v>
      </c>
      <c r="O135" s="5" t="s">
        <v>38</v>
      </c>
      <c r="P135" s="2">
        <v>45939</v>
      </c>
      <c r="Q135" s="2">
        <v>45968</v>
      </c>
      <c r="R135" s="1" t="s">
        <v>484</v>
      </c>
      <c r="V13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 spans="1:22" hidden="1">
      <c r="A136" s="2">
        <v>45902</v>
      </c>
      <c r="B136" s="1" t="s">
        <v>485</v>
      </c>
      <c r="C136" s="1" t="s">
        <v>486</v>
      </c>
      <c r="D136" s="1" t="s">
        <v>63</v>
      </c>
      <c r="E136" s="1">
        <v>85013</v>
      </c>
      <c r="F136" s="1" t="s">
        <v>310</v>
      </c>
      <c r="G136" s="1" t="s">
        <v>303</v>
      </c>
      <c r="H136" s="4" t="s">
        <v>27</v>
      </c>
      <c r="V13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 spans="1:22" hidden="1">
      <c r="A137" s="2">
        <v>45902</v>
      </c>
      <c r="B137" s="1" t="s">
        <v>487</v>
      </c>
      <c r="C137" s="1" t="s">
        <v>488</v>
      </c>
      <c r="D137" s="1" t="s">
        <v>63</v>
      </c>
      <c r="E137" s="1">
        <v>85013</v>
      </c>
      <c r="F137" s="1" t="s">
        <v>310</v>
      </c>
      <c r="G137" s="1" t="s">
        <v>303</v>
      </c>
      <c r="H137" s="4" t="s">
        <v>489</v>
      </c>
      <c r="I137" s="5" t="s">
        <v>126</v>
      </c>
      <c r="J137" s="5" t="s">
        <v>37</v>
      </c>
      <c r="K137" s="5" t="s">
        <v>37</v>
      </c>
      <c r="L137" s="5" t="s">
        <v>38</v>
      </c>
      <c r="M137" s="5" t="s">
        <v>37</v>
      </c>
      <c r="N137" s="5" t="s">
        <v>37</v>
      </c>
      <c r="O137" s="5" t="s">
        <v>38</v>
      </c>
      <c r="P137" s="5" t="s">
        <v>39</v>
      </c>
      <c r="Q137" s="2">
        <v>45968</v>
      </c>
      <c r="V13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 spans="1:22" hidden="1">
      <c r="A138" s="14">
        <v>45902</v>
      </c>
      <c r="B138" s="1" t="s">
        <v>490</v>
      </c>
      <c r="C138" s="1" t="s">
        <v>491</v>
      </c>
      <c r="D138" s="1" t="s">
        <v>30</v>
      </c>
      <c r="E138" s="1" t="s">
        <v>30</v>
      </c>
      <c r="F138" s="1" t="s">
        <v>31</v>
      </c>
      <c r="G138" s="1" t="s">
        <v>303</v>
      </c>
      <c r="H138" s="4" t="s">
        <v>492</v>
      </c>
      <c r="I138" s="5" t="s">
        <v>126</v>
      </c>
      <c r="J138" s="5" t="s">
        <v>38</v>
      </c>
      <c r="K138" s="5" t="s">
        <v>37</v>
      </c>
      <c r="L138" s="5" t="s">
        <v>38</v>
      </c>
      <c r="M138" s="5" t="s">
        <v>37</v>
      </c>
      <c r="N138" s="5" t="s">
        <v>37</v>
      </c>
      <c r="O138" s="5" t="s">
        <v>38</v>
      </c>
      <c r="P138" s="5" t="s">
        <v>39</v>
      </c>
      <c r="Q138" s="2">
        <v>45968</v>
      </c>
      <c r="V13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 spans="1:22" hidden="1">
      <c r="A139" s="2">
        <v>45902</v>
      </c>
      <c r="B139" s="1" t="s">
        <v>493</v>
      </c>
      <c r="C139" s="1" t="s">
        <v>333</v>
      </c>
      <c r="D139" s="1" t="s">
        <v>63</v>
      </c>
      <c r="E139" s="1">
        <v>85009</v>
      </c>
      <c r="F139" s="1" t="s">
        <v>31</v>
      </c>
      <c r="G139" s="1" t="s">
        <v>303</v>
      </c>
      <c r="H139" s="4" t="s">
        <v>494</v>
      </c>
      <c r="I139" s="5" t="s">
        <v>36</v>
      </c>
      <c r="J139" s="5" t="s">
        <v>37</v>
      </c>
      <c r="K139" s="5" t="s">
        <v>37</v>
      </c>
      <c r="L139" s="5" t="s">
        <v>38</v>
      </c>
      <c r="M139" s="5" t="s">
        <v>38</v>
      </c>
      <c r="N139" s="15">
        <v>942.59</v>
      </c>
      <c r="O139" s="5" t="s">
        <v>38</v>
      </c>
      <c r="P139" s="7"/>
      <c r="Q139" s="2">
        <v>45968</v>
      </c>
      <c r="R139" s="1" t="s">
        <v>495</v>
      </c>
      <c r="V139"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 spans="1:22" ht="11.25" hidden="1" customHeight="1">
      <c r="A140" s="2">
        <v>45902</v>
      </c>
      <c r="B140" s="1" t="s">
        <v>496</v>
      </c>
      <c r="C140" s="1" t="s">
        <v>497</v>
      </c>
      <c r="D140" s="1" t="s">
        <v>63</v>
      </c>
      <c r="E140" s="1">
        <v>85028</v>
      </c>
      <c r="F140" s="1" t="s">
        <v>310</v>
      </c>
      <c r="G140" s="1" t="s">
        <v>303</v>
      </c>
      <c r="H140" s="4" t="s">
        <v>27</v>
      </c>
      <c r="V140"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 spans="1:22" hidden="1">
      <c r="A141" s="2">
        <v>45902</v>
      </c>
      <c r="B141" s="1" t="s">
        <v>498</v>
      </c>
      <c r="C141" s="1" t="s">
        <v>443</v>
      </c>
      <c r="D141" s="1" t="s">
        <v>63</v>
      </c>
      <c r="E141" s="1">
        <v>85023</v>
      </c>
      <c r="F141" s="1" t="s">
        <v>310</v>
      </c>
      <c r="G141" s="1" t="s">
        <v>303</v>
      </c>
      <c r="H141" s="4" t="s">
        <v>27</v>
      </c>
      <c r="V141" s="46">
        <f>IF(
  OR(
    ISNUMBER(SEARCH("unable to locate acct", tblDocketedComments[[#This Row],[Docketed Consumer Comments]])),
    ISNUMBER(SEARCH("unknown", tblDocketedComments[[#This Row],[Docketed Consumer Comments]])),
    ISNUMBER(SEARCH("inactive", tblDocketedComments[[#This Row],[Docketed Consumer Comments]]))
  ),
  0,
  1
)</f>
        <v>1</v>
      </c>
    </row>
    <row r="142" spans="1:22" hidden="1">
      <c r="A142" s="2">
        <v>45903</v>
      </c>
      <c r="B142" s="1" t="s">
        <v>499</v>
      </c>
      <c r="C142" s="1" t="s">
        <v>334</v>
      </c>
      <c r="D142" s="1" t="s">
        <v>30</v>
      </c>
      <c r="E142" s="1" t="s">
        <v>30</v>
      </c>
      <c r="F142" s="1" t="s">
        <v>31</v>
      </c>
      <c r="G142" s="1" t="s">
        <v>500</v>
      </c>
      <c r="H142" s="4" t="s">
        <v>501</v>
      </c>
      <c r="I142" s="5" t="s">
        <v>36</v>
      </c>
      <c r="J142" s="5" t="s">
        <v>37</v>
      </c>
      <c r="K142" s="5" t="s">
        <v>37</v>
      </c>
      <c r="L142" s="5" t="s">
        <v>38</v>
      </c>
      <c r="M142" s="5" t="s">
        <v>37</v>
      </c>
      <c r="N142" s="5" t="s">
        <v>37</v>
      </c>
      <c r="O142" s="5" t="s">
        <v>38</v>
      </c>
      <c r="P142" s="5" t="s">
        <v>39</v>
      </c>
      <c r="Q142" s="2">
        <v>45968</v>
      </c>
      <c r="V142" s="46">
        <f>IF(
  OR(
    ISNUMBER(SEARCH("unable to locate acct", tblDocketedComments[[#This Row],[Docketed Consumer Comments]])),
    ISNUMBER(SEARCH("unknown", tblDocketedComments[[#This Row],[Docketed Consumer Comments]])),
    ISNUMBER(SEARCH("inactive", tblDocketedComments[[#This Row],[Docketed Consumer Comments]]))
  ),
  0,
  1
)</f>
        <v>1</v>
      </c>
    </row>
    <row r="143" spans="1:22" hidden="1">
      <c r="A143" s="2">
        <v>45903</v>
      </c>
      <c r="B143" s="1" t="s">
        <v>502</v>
      </c>
      <c r="C143" s="1" t="s">
        <v>503</v>
      </c>
      <c r="D143" s="1" t="s">
        <v>504</v>
      </c>
      <c r="E143" s="1">
        <v>86001</v>
      </c>
      <c r="F143" s="1" t="s">
        <v>505</v>
      </c>
      <c r="G143" s="1" t="s">
        <v>506</v>
      </c>
      <c r="H143" s="4" t="s">
        <v>507</v>
      </c>
      <c r="I143" s="5" t="s">
        <v>73</v>
      </c>
      <c r="J143" s="5" t="s">
        <v>37</v>
      </c>
      <c r="K143" s="5" t="s">
        <v>37</v>
      </c>
      <c r="L143" s="5" t="s">
        <v>38</v>
      </c>
      <c r="M143" s="5" t="s">
        <v>37</v>
      </c>
      <c r="N143" s="5" t="s">
        <v>37</v>
      </c>
      <c r="O143" s="5" t="s">
        <v>38</v>
      </c>
      <c r="P143" s="5" t="s">
        <v>39</v>
      </c>
      <c r="Q143" s="2">
        <v>45968</v>
      </c>
      <c r="V143" s="46">
        <f>IF(
  OR(
    ISNUMBER(SEARCH("unable to locate acct", tblDocketedComments[[#This Row],[Docketed Consumer Comments]])),
    ISNUMBER(SEARCH("unknown", tblDocketedComments[[#This Row],[Docketed Consumer Comments]])),
    ISNUMBER(SEARCH("inactive", tblDocketedComments[[#This Row],[Docketed Consumer Comments]]))
  ),
  0,
  1
)</f>
        <v>1</v>
      </c>
    </row>
    <row r="144" spans="1:22" hidden="1">
      <c r="A144" s="2">
        <v>45903</v>
      </c>
      <c r="B144" s="1" t="s">
        <v>508</v>
      </c>
      <c r="C144" s="1" t="s">
        <v>509</v>
      </c>
      <c r="D144" s="1" t="s">
        <v>24</v>
      </c>
      <c r="E144" s="1">
        <v>85308</v>
      </c>
      <c r="F144" s="1" t="s">
        <v>31</v>
      </c>
      <c r="G144" s="1" t="s">
        <v>506</v>
      </c>
      <c r="H144" s="4" t="s">
        <v>510</v>
      </c>
      <c r="I144" s="5" t="s">
        <v>196</v>
      </c>
      <c r="J144" s="5" t="s">
        <v>37</v>
      </c>
      <c r="K144" s="5" t="s">
        <v>37</v>
      </c>
      <c r="L144" s="7" t="s">
        <v>511</v>
      </c>
      <c r="M144" s="5" t="s">
        <v>37</v>
      </c>
      <c r="N144" s="5" t="s">
        <v>37</v>
      </c>
      <c r="O144" s="5" t="s">
        <v>38</v>
      </c>
      <c r="P144" s="2">
        <v>45932</v>
      </c>
      <c r="Q144" s="2">
        <v>45968</v>
      </c>
      <c r="R144" s="1" t="s">
        <v>512</v>
      </c>
      <c r="V144" s="46">
        <f>IF(
  OR(
    ISNUMBER(SEARCH("unable to locate acct", tblDocketedComments[[#This Row],[Docketed Consumer Comments]])),
    ISNUMBER(SEARCH("unknown", tblDocketedComments[[#This Row],[Docketed Consumer Comments]])),
    ISNUMBER(SEARCH("inactive", tblDocketedComments[[#This Row],[Docketed Consumer Comments]]))
  ),
  0,
  1
)</f>
        <v>1</v>
      </c>
    </row>
    <row r="145" spans="1:22" hidden="1">
      <c r="A145" s="2">
        <v>45903</v>
      </c>
      <c r="B145" s="1" t="s">
        <v>513</v>
      </c>
      <c r="C145" s="1" t="s">
        <v>369</v>
      </c>
      <c r="D145" s="1" t="s">
        <v>63</v>
      </c>
      <c r="E145" s="1">
        <v>85024</v>
      </c>
      <c r="F145" s="1" t="s">
        <v>310</v>
      </c>
      <c r="G145" s="1" t="s">
        <v>506</v>
      </c>
      <c r="H145" s="4" t="s">
        <v>514</v>
      </c>
      <c r="I145" s="5" t="s">
        <v>126</v>
      </c>
      <c r="J145" s="5" t="s">
        <v>37</v>
      </c>
      <c r="K145" s="5" t="s">
        <v>37</v>
      </c>
      <c r="L145" s="5" t="s">
        <v>38</v>
      </c>
      <c r="M145" s="5" t="s">
        <v>37</v>
      </c>
      <c r="N145" s="5" t="s">
        <v>37</v>
      </c>
      <c r="O145" s="5" t="s">
        <v>38</v>
      </c>
      <c r="P145" s="5" t="s">
        <v>39</v>
      </c>
      <c r="Q145" s="2">
        <v>45968</v>
      </c>
      <c r="V145" s="46">
        <f>IF(
  OR(
    ISNUMBER(SEARCH("unable to locate acct", tblDocketedComments[[#This Row],[Docketed Consumer Comments]])),
    ISNUMBER(SEARCH("unknown", tblDocketedComments[[#This Row],[Docketed Consumer Comments]])),
    ISNUMBER(SEARCH("inactive", tblDocketedComments[[#This Row],[Docketed Consumer Comments]]))
  ),
  0,
  1
)</f>
        <v>1</v>
      </c>
    </row>
    <row r="146" spans="1:22" hidden="1">
      <c r="A146" s="2">
        <v>45903</v>
      </c>
      <c r="B146" s="1" t="s">
        <v>515</v>
      </c>
      <c r="C146" s="1" t="s">
        <v>516</v>
      </c>
      <c r="D146" s="1" t="s">
        <v>202</v>
      </c>
      <c r="E146" s="1">
        <v>85383</v>
      </c>
      <c r="F146" s="1" t="s">
        <v>517</v>
      </c>
      <c r="G146" s="1" t="s">
        <v>506</v>
      </c>
      <c r="H146" s="4" t="s">
        <v>518</v>
      </c>
      <c r="I146" s="5" t="s">
        <v>196</v>
      </c>
      <c r="J146" s="5" t="s">
        <v>37</v>
      </c>
      <c r="K146" s="5" t="s">
        <v>37</v>
      </c>
      <c r="L146" s="7" t="s">
        <v>519</v>
      </c>
      <c r="M146" s="5" t="s">
        <v>37</v>
      </c>
      <c r="N146" s="5" t="s">
        <v>37</v>
      </c>
      <c r="O146" s="5" t="s">
        <v>38</v>
      </c>
      <c r="P146" s="2">
        <v>45932</v>
      </c>
      <c r="Q146" s="2">
        <v>45968</v>
      </c>
      <c r="R146" s="1" t="s">
        <v>520</v>
      </c>
      <c r="V146" s="46">
        <f>IF(
  OR(
    ISNUMBER(SEARCH("unable to locate acct", tblDocketedComments[[#This Row],[Docketed Consumer Comments]])),
    ISNUMBER(SEARCH("unknown", tblDocketedComments[[#This Row],[Docketed Consumer Comments]])),
    ISNUMBER(SEARCH("inactive", tblDocketedComments[[#This Row],[Docketed Consumer Comments]]))
  ),
  0,
  1
)</f>
        <v>1</v>
      </c>
    </row>
    <row r="147" spans="1:22" hidden="1">
      <c r="A147" s="2">
        <v>45903</v>
      </c>
      <c r="B147" s="1" t="s">
        <v>521</v>
      </c>
      <c r="C147" s="1" t="s">
        <v>522</v>
      </c>
      <c r="D147" s="1" t="s">
        <v>523</v>
      </c>
      <c r="E147" s="1">
        <v>85392</v>
      </c>
      <c r="F147" s="1" t="s">
        <v>31</v>
      </c>
      <c r="G147" s="1" t="s">
        <v>506</v>
      </c>
      <c r="H147" s="4" t="s">
        <v>524</v>
      </c>
      <c r="I147" s="5" t="s">
        <v>36</v>
      </c>
      <c r="J147" s="5" t="s">
        <v>37</v>
      </c>
      <c r="K147" s="5" t="s">
        <v>37</v>
      </c>
      <c r="L147" s="5" t="s">
        <v>38</v>
      </c>
      <c r="M147" s="5" t="s">
        <v>37</v>
      </c>
      <c r="N147" s="5" t="s">
        <v>37</v>
      </c>
      <c r="O147" s="5" t="s">
        <v>38</v>
      </c>
      <c r="P147" s="5" t="s">
        <v>39</v>
      </c>
      <c r="Q147" s="2">
        <v>45968</v>
      </c>
      <c r="R147" s="1" t="s">
        <v>525</v>
      </c>
      <c r="V147" s="46">
        <f>IF(
  OR(
    ISNUMBER(SEARCH("unable to locate acct", tblDocketedComments[[#This Row],[Docketed Consumer Comments]])),
    ISNUMBER(SEARCH("unknown", tblDocketedComments[[#This Row],[Docketed Consumer Comments]])),
    ISNUMBER(SEARCH("inactive", tblDocketedComments[[#This Row],[Docketed Consumer Comments]]))
  ),
  0,
  1
)</f>
        <v>1</v>
      </c>
    </row>
    <row r="148" spans="1:22" hidden="1">
      <c r="A148" s="2">
        <v>45903</v>
      </c>
      <c r="B148" s="1" t="s">
        <v>526</v>
      </c>
      <c r="C148" s="1" t="s">
        <v>133</v>
      </c>
      <c r="D148" s="1" t="s">
        <v>63</v>
      </c>
      <c r="E148" s="1">
        <v>85014</v>
      </c>
      <c r="F148" s="1" t="s">
        <v>310</v>
      </c>
      <c r="G148" s="1" t="s">
        <v>506</v>
      </c>
      <c r="H148" s="4" t="s">
        <v>209</v>
      </c>
      <c r="V148" s="46">
        <f>IF(
  OR(
    ISNUMBER(SEARCH("unable to locate acct", tblDocketedComments[[#This Row],[Docketed Consumer Comments]])),
    ISNUMBER(SEARCH("unknown", tblDocketedComments[[#This Row],[Docketed Consumer Comments]])),
    ISNUMBER(SEARCH("inactive", tblDocketedComments[[#This Row],[Docketed Consumer Comments]]))
  ),
  0,
  1
)</f>
        <v>1</v>
      </c>
    </row>
    <row r="149" spans="1:22" hidden="1">
      <c r="A149" s="2">
        <v>45903</v>
      </c>
      <c r="B149" s="1" t="s">
        <v>527</v>
      </c>
      <c r="C149" s="1" t="s">
        <v>471</v>
      </c>
      <c r="D149" s="1" t="s">
        <v>169</v>
      </c>
      <c r="E149" s="1">
        <v>85338</v>
      </c>
      <c r="F149" s="1" t="s">
        <v>31</v>
      </c>
      <c r="G149" s="1" t="s">
        <v>506</v>
      </c>
      <c r="H149" s="4" t="s">
        <v>27</v>
      </c>
      <c r="V149" s="46">
        <f>IF(
  OR(
    ISNUMBER(SEARCH("unable to locate acct", tblDocketedComments[[#This Row],[Docketed Consumer Comments]])),
    ISNUMBER(SEARCH("unknown", tblDocketedComments[[#This Row],[Docketed Consumer Comments]])),
    ISNUMBER(SEARCH("inactive", tblDocketedComments[[#This Row],[Docketed Consumer Comments]]))
  ),
  0,
  1
)</f>
        <v>1</v>
      </c>
    </row>
    <row r="150" spans="1:22" hidden="1">
      <c r="A150" s="2">
        <v>45903</v>
      </c>
      <c r="B150" s="1" t="s">
        <v>528</v>
      </c>
      <c r="C150" s="1" t="s">
        <v>529</v>
      </c>
      <c r="D150" s="1" t="s">
        <v>24</v>
      </c>
      <c r="E150" s="1">
        <v>85310</v>
      </c>
      <c r="F150" s="1" t="s">
        <v>310</v>
      </c>
      <c r="G150" s="1" t="s">
        <v>506</v>
      </c>
      <c r="H150" s="4" t="s">
        <v>530</v>
      </c>
      <c r="I150" s="5" t="s">
        <v>196</v>
      </c>
      <c r="J150" s="5" t="s">
        <v>37</v>
      </c>
      <c r="K150" s="5" t="s">
        <v>37</v>
      </c>
      <c r="L150" s="5" t="s">
        <v>38</v>
      </c>
      <c r="M150" s="5" t="s">
        <v>37</v>
      </c>
      <c r="N150" s="5" t="s">
        <v>37</v>
      </c>
      <c r="O150" s="5" t="s">
        <v>38</v>
      </c>
      <c r="P150" s="5" t="s">
        <v>39</v>
      </c>
      <c r="Q150" s="2">
        <v>45968</v>
      </c>
      <c r="V150" s="46">
        <f>IF(
  OR(
    ISNUMBER(SEARCH("unable to locate acct", tblDocketedComments[[#This Row],[Docketed Consumer Comments]])),
    ISNUMBER(SEARCH("unknown", tblDocketedComments[[#This Row],[Docketed Consumer Comments]])),
    ISNUMBER(SEARCH("inactive", tblDocketedComments[[#This Row],[Docketed Consumer Comments]]))
  ),
  0,
  1
)</f>
        <v>1</v>
      </c>
    </row>
    <row r="151" spans="1:22" hidden="1">
      <c r="A151" s="2">
        <v>45903</v>
      </c>
      <c r="B151" s="1" t="s">
        <v>531</v>
      </c>
      <c r="C151" s="1" t="s">
        <v>532</v>
      </c>
      <c r="D151" s="1" t="s">
        <v>169</v>
      </c>
      <c r="E151" s="1">
        <v>85395</v>
      </c>
      <c r="F151" s="1" t="s">
        <v>31</v>
      </c>
      <c r="G151" s="1" t="s">
        <v>506</v>
      </c>
      <c r="H151" s="4" t="s">
        <v>533</v>
      </c>
      <c r="I151" s="5" t="s">
        <v>36</v>
      </c>
      <c r="J151" s="5" t="s">
        <v>37</v>
      </c>
      <c r="K151" s="5" t="s">
        <v>37</v>
      </c>
      <c r="L151" s="5" t="s">
        <v>38</v>
      </c>
      <c r="M151" s="5" t="s">
        <v>37</v>
      </c>
      <c r="N151" s="5" t="s">
        <v>37</v>
      </c>
      <c r="O151" s="5" t="s">
        <v>38</v>
      </c>
      <c r="P151" s="5" t="s">
        <v>39</v>
      </c>
      <c r="Q151" s="2">
        <v>45968</v>
      </c>
      <c r="V151" s="46">
        <f>IF(
  OR(
    ISNUMBER(SEARCH("unable to locate acct", tblDocketedComments[[#This Row],[Docketed Consumer Comments]])),
    ISNUMBER(SEARCH("unknown", tblDocketedComments[[#This Row],[Docketed Consumer Comments]])),
    ISNUMBER(SEARCH("inactive", tblDocketedComments[[#This Row],[Docketed Consumer Comments]]))
  ),
  0,
  1
)</f>
        <v>1</v>
      </c>
    </row>
    <row r="152" spans="1:22" hidden="1">
      <c r="A152" s="2">
        <v>45903</v>
      </c>
      <c r="B152" s="1" t="s">
        <v>534</v>
      </c>
      <c r="C152" s="1" t="s">
        <v>535</v>
      </c>
      <c r="D152" s="1" t="s">
        <v>523</v>
      </c>
      <c r="E152" s="1">
        <v>85392</v>
      </c>
      <c r="F152" s="1" t="s">
        <v>31</v>
      </c>
      <c r="G152" s="1" t="s">
        <v>506</v>
      </c>
      <c r="H152" s="4" t="s">
        <v>536</v>
      </c>
      <c r="I152" s="5" t="s">
        <v>418</v>
      </c>
      <c r="J152" s="5" t="s">
        <v>37</v>
      </c>
      <c r="K152" s="5" t="s">
        <v>37</v>
      </c>
      <c r="L152" s="5" t="s">
        <v>389</v>
      </c>
      <c r="M152" s="5" t="s">
        <v>37</v>
      </c>
      <c r="N152" s="5" t="s">
        <v>37</v>
      </c>
      <c r="O152" s="5" t="s">
        <v>38</v>
      </c>
      <c r="P152" s="5" t="s">
        <v>39</v>
      </c>
      <c r="Q152" s="2">
        <v>45968</v>
      </c>
      <c r="V152" s="46">
        <f>IF(
  OR(
    ISNUMBER(SEARCH("unable to locate acct", tblDocketedComments[[#This Row],[Docketed Consumer Comments]])),
    ISNUMBER(SEARCH("unknown", tblDocketedComments[[#This Row],[Docketed Consumer Comments]])),
    ISNUMBER(SEARCH("inactive", tblDocketedComments[[#This Row],[Docketed Consumer Comments]]))
  ),
  0,
  1
)</f>
        <v>1</v>
      </c>
    </row>
    <row r="153" spans="1:22" hidden="1">
      <c r="A153" s="2">
        <v>45903</v>
      </c>
      <c r="B153" s="1" t="s">
        <v>537</v>
      </c>
      <c r="C153" s="1" t="s">
        <v>538</v>
      </c>
      <c r="D153" s="1" t="s">
        <v>539</v>
      </c>
      <c r="E153" s="1">
        <v>85194</v>
      </c>
      <c r="F153" s="1" t="s">
        <v>310</v>
      </c>
      <c r="G153" s="1" t="s">
        <v>506</v>
      </c>
      <c r="H153" s="4" t="s">
        <v>540</v>
      </c>
      <c r="I153" s="5" t="s">
        <v>541</v>
      </c>
      <c r="J153" s="5" t="s">
        <v>37</v>
      </c>
      <c r="K153" s="5" t="s">
        <v>37</v>
      </c>
      <c r="L153" s="5" t="s">
        <v>389</v>
      </c>
      <c r="M153" s="5" t="s">
        <v>37</v>
      </c>
      <c r="N153" s="5" t="s">
        <v>37</v>
      </c>
      <c r="O153" s="5" t="s">
        <v>38</v>
      </c>
      <c r="P153" s="5" t="s">
        <v>39</v>
      </c>
      <c r="Q153" s="2">
        <v>45968</v>
      </c>
      <c r="V153" s="46">
        <f>IF(
  OR(
    ISNUMBER(SEARCH("unable to locate acct", tblDocketedComments[[#This Row],[Docketed Consumer Comments]])),
    ISNUMBER(SEARCH("unknown", tblDocketedComments[[#This Row],[Docketed Consumer Comments]])),
    ISNUMBER(SEARCH("inactive", tblDocketedComments[[#This Row],[Docketed Consumer Comments]]))
  ),
  0,
  1
)</f>
        <v>1</v>
      </c>
    </row>
    <row r="154" spans="1:22" hidden="1">
      <c r="A154" s="2">
        <v>45903</v>
      </c>
      <c r="B154" s="1" t="s">
        <v>542</v>
      </c>
      <c r="C154" s="1" t="s">
        <v>543</v>
      </c>
      <c r="D154" s="1" t="s">
        <v>63</v>
      </c>
      <c r="E154" s="1">
        <v>85050</v>
      </c>
      <c r="F154" s="1" t="s">
        <v>310</v>
      </c>
      <c r="G154" s="1" t="s">
        <v>506</v>
      </c>
      <c r="H154" s="4" t="s">
        <v>544</v>
      </c>
      <c r="I154" s="5" t="s">
        <v>36</v>
      </c>
      <c r="J154" s="5" t="s">
        <v>37</v>
      </c>
      <c r="K154" s="5" t="s">
        <v>37</v>
      </c>
      <c r="L154" s="5" t="s">
        <v>38</v>
      </c>
      <c r="M154" s="5" t="s">
        <v>37</v>
      </c>
      <c r="N154" s="5" t="s">
        <v>37</v>
      </c>
      <c r="O154" s="5" t="s">
        <v>38</v>
      </c>
      <c r="P154" s="5" t="s">
        <v>39</v>
      </c>
      <c r="Q154" s="2">
        <v>45968</v>
      </c>
      <c r="V154" s="46">
        <f>IF(
  OR(
    ISNUMBER(SEARCH("unable to locate acct", tblDocketedComments[[#This Row],[Docketed Consumer Comments]])),
    ISNUMBER(SEARCH("unknown", tblDocketedComments[[#This Row],[Docketed Consumer Comments]])),
    ISNUMBER(SEARCH("inactive", tblDocketedComments[[#This Row],[Docketed Consumer Comments]]))
  ),
  0,
  1
)</f>
        <v>1</v>
      </c>
    </row>
    <row r="155" spans="1:22" hidden="1">
      <c r="A155" s="2">
        <v>45903</v>
      </c>
      <c r="B155" s="1" t="s">
        <v>545</v>
      </c>
      <c r="C155" s="1" t="s">
        <v>546</v>
      </c>
      <c r="D155" s="1" t="s">
        <v>63</v>
      </c>
      <c r="E155" s="1">
        <v>85022</v>
      </c>
      <c r="F155" s="1" t="s">
        <v>31</v>
      </c>
      <c r="G155" s="1" t="s">
        <v>506</v>
      </c>
      <c r="H155" s="4" t="s">
        <v>209</v>
      </c>
      <c r="O155" s="16"/>
      <c r="V155" s="46">
        <f>IF(
  OR(
    ISNUMBER(SEARCH("unable to locate acct", tblDocketedComments[[#This Row],[Docketed Consumer Comments]])),
    ISNUMBER(SEARCH("unknown", tblDocketedComments[[#This Row],[Docketed Consumer Comments]])),
    ISNUMBER(SEARCH("inactive", tblDocketedComments[[#This Row],[Docketed Consumer Comments]]))
  ),
  0,
  1
)</f>
        <v>1</v>
      </c>
    </row>
    <row r="156" spans="1:22" hidden="1">
      <c r="A156" s="2">
        <v>45903</v>
      </c>
      <c r="B156" s="1" t="s">
        <v>547</v>
      </c>
      <c r="C156" s="1" t="s">
        <v>548</v>
      </c>
      <c r="D156" s="1" t="s">
        <v>63</v>
      </c>
      <c r="E156" s="1">
        <v>85085</v>
      </c>
      <c r="F156" s="1" t="s">
        <v>31</v>
      </c>
      <c r="G156" s="1" t="s">
        <v>506</v>
      </c>
      <c r="H156" s="4" t="s">
        <v>27</v>
      </c>
      <c r="V156" s="46">
        <f>IF(
  OR(
    ISNUMBER(SEARCH("unable to locate acct", tblDocketedComments[[#This Row],[Docketed Consumer Comments]])),
    ISNUMBER(SEARCH("unknown", tblDocketedComments[[#This Row],[Docketed Consumer Comments]])),
    ISNUMBER(SEARCH("inactive", tblDocketedComments[[#This Row],[Docketed Consumer Comments]]))
  ),
  0,
  1
)</f>
        <v>1</v>
      </c>
    </row>
    <row r="157" spans="1:22" hidden="1">
      <c r="A157" s="2">
        <v>45903</v>
      </c>
      <c r="B157" s="1" t="s">
        <v>549</v>
      </c>
      <c r="C157" s="1" t="s">
        <v>550</v>
      </c>
      <c r="D157" s="1" t="s">
        <v>169</v>
      </c>
      <c r="E157" s="1">
        <v>85338</v>
      </c>
      <c r="F157" s="1" t="s">
        <v>31</v>
      </c>
      <c r="G157" s="1" t="s">
        <v>506</v>
      </c>
      <c r="H157" s="4" t="s">
        <v>551</v>
      </c>
      <c r="I157" s="5" t="s">
        <v>36</v>
      </c>
      <c r="J157" s="5" t="s">
        <v>37</v>
      </c>
      <c r="K157" s="5" t="s">
        <v>37</v>
      </c>
      <c r="L157" s="5" t="s">
        <v>38</v>
      </c>
      <c r="M157" s="5" t="s">
        <v>37</v>
      </c>
      <c r="N157" s="5" t="s">
        <v>37</v>
      </c>
      <c r="O157" s="5" t="s">
        <v>38</v>
      </c>
      <c r="P157" s="5" t="s">
        <v>39</v>
      </c>
      <c r="Q157" s="2">
        <v>45968</v>
      </c>
      <c r="V157" s="46">
        <f>IF(
  OR(
    ISNUMBER(SEARCH("unable to locate acct", tblDocketedComments[[#This Row],[Docketed Consumer Comments]])),
    ISNUMBER(SEARCH("unknown", tblDocketedComments[[#This Row],[Docketed Consumer Comments]])),
    ISNUMBER(SEARCH("inactive", tblDocketedComments[[#This Row],[Docketed Consumer Comments]]))
  ),
  0,
  1
)</f>
        <v>1</v>
      </c>
    </row>
    <row r="158" spans="1:22" hidden="1">
      <c r="A158" s="2">
        <v>45903</v>
      </c>
      <c r="B158" s="1" t="s">
        <v>552</v>
      </c>
      <c r="C158" s="1" t="s">
        <v>553</v>
      </c>
      <c r="D158" s="1" t="s">
        <v>63</v>
      </c>
      <c r="E158" s="1">
        <v>85012</v>
      </c>
      <c r="F158" s="1" t="s">
        <v>310</v>
      </c>
      <c r="G158" s="1" t="s">
        <v>506</v>
      </c>
      <c r="H158" s="4" t="s">
        <v>554</v>
      </c>
      <c r="I158" s="5" t="s">
        <v>36</v>
      </c>
      <c r="J158" s="5" t="s">
        <v>37</v>
      </c>
      <c r="K158" s="5" t="s">
        <v>37</v>
      </c>
      <c r="L158" s="5" t="s">
        <v>38</v>
      </c>
      <c r="M158" s="5" t="s">
        <v>37</v>
      </c>
      <c r="N158" s="5" t="s">
        <v>37</v>
      </c>
      <c r="O158" s="5" t="s">
        <v>38</v>
      </c>
      <c r="P158" s="5" t="s">
        <v>39</v>
      </c>
      <c r="Q158" s="2">
        <v>45968</v>
      </c>
      <c r="V158" s="46">
        <f>IF(
  OR(
    ISNUMBER(SEARCH("unable to locate acct", tblDocketedComments[[#This Row],[Docketed Consumer Comments]])),
    ISNUMBER(SEARCH("unknown", tblDocketedComments[[#This Row],[Docketed Consumer Comments]])),
    ISNUMBER(SEARCH("inactive", tblDocketedComments[[#This Row],[Docketed Consumer Comments]]))
  ),
  0,
  1
)</f>
        <v>1</v>
      </c>
    </row>
    <row r="159" spans="1:22" hidden="1">
      <c r="A159" s="2">
        <v>45903</v>
      </c>
      <c r="B159" s="1" t="s">
        <v>555</v>
      </c>
      <c r="C159" s="1" t="s">
        <v>556</v>
      </c>
      <c r="D159" s="1" t="s">
        <v>125</v>
      </c>
      <c r="E159" s="1">
        <v>85255</v>
      </c>
      <c r="F159" s="1" t="s">
        <v>31</v>
      </c>
      <c r="G159" s="1" t="s">
        <v>506</v>
      </c>
      <c r="H159" s="4" t="s">
        <v>27</v>
      </c>
      <c r="V159" s="46">
        <f>IF(
  OR(
    ISNUMBER(SEARCH("unable to locate acct", tblDocketedComments[[#This Row],[Docketed Consumer Comments]])),
    ISNUMBER(SEARCH("unknown", tblDocketedComments[[#This Row],[Docketed Consumer Comments]])),
    ISNUMBER(SEARCH("inactive", tblDocketedComments[[#This Row],[Docketed Consumer Comments]]))
  ),
  0,
  1
)</f>
        <v>1</v>
      </c>
    </row>
    <row r="160" spans="1:22" hidden="1">
      <c r="A160" s="2">
        <v>45903</v>
      </c>
      <c r="B160" s="1" t="s">
        <v>557</v>
      </c>
      <c r="C160" s="1" t="s">
        <v>558</v>
      </c>
      <c r="D160" s="1" t="s">
        <v>63</v>
      </c>
      <c r="E160" s="1">
        <v>85020</v>
      </c>
      <c r="F160" s="1" t="s">
        <v>310</v>
      </c>
      <c r="G160" s="1" t="s">
        <v>506</v>
      </c>
      <c r="H160" s="4" t="s">
        <v>559</v>
      </c>
      <c r="I160" s="5" t="s">
        <v>126</v>
      </c>
      <c r="J160" s="5" t="s">
        <v>37</v>
      </c>
      <c r="K160" s="5" t="s">
        <v>37</v>
      </c>
      <c r="L160" s="7" t="s">
        <v>560</v>
      </c>
      <c r="M160" s="5" t="s">
        <v>37</v>
      </c>
      <c r="N160" s="5" t="s">
        <v>37</v>
      </c>
      <c r="O160" s="5" t="s">
        <v>38</v>
      </c>
      <c r="P160" s="2">
        <v>45933</v>
      </c>
      <c r="Q160" s="2">
        <v>45968</v>
      </c>
      <c r="R160" s="1" t="s">
        <v>561</v>
      </c>
      <c r="V160" s="46">
        <f>IF(
  OR(
    ISNUMBER(SEARCH("unable to locate acct", tblDocketedComments[[#This Row],[Docketed Consumer Comments]])),
    ISNUMBER(SEARCH("unknown", tblDocketedComments[[#This Row],[Docketed Consumer Comments]])),
    ISNUMBER(SEARCH("inactive", tblDocketedComments[[#This Row],[Docketed Consumer Comments]]))
  ),
  0,
  1
)</f>
        <v>1</v>
      </c>
    </row>
    <row r="161" spans="1:22" hidden="1">
      <c r="A161" s="2">
        <v>45903</v>
      </c>
      <c r="B161" s="1" t="s">
        <v>562</v>
      </c>
      <c r="C161" s="1" t="s">
        <v>363</v>
      </c>
      <c r="D161" s="1" t="s">
        <v>63</v>
      </c>
      <c r="E161" s="1">
        <v>85023</v>
      </c>
      <c r="F161" s="1" t="s">
        <v>563</v>
      </c>
      <c r="G161" s="1" t="s">
        <v>506</v>
      </c>
      <c r="H161" s="4" t="s">
        <v>564</v>
      </c>
      <c r="I161" s="5" t="s">
        <v>36</v>
      </c>
      <c r="J161" s="5" t="s">
        <v>37</v>
      </c>
      <c r="K161" s="5" t="s">
        <v>37</v>
      </c>
      <c r="L161" s="5" t="s">
        <v>38</v>
      </c>
      <c r="M161" s="5" t="s">
        <v>37</v>
      </c>
      <c r="N161" s="5" t="s">
        <v>37</v>
      </c>
      <c r="O161" s="5" t="s">
        <v>38</v>
      </c>
      <c r="P161" s="5" t="s">
        <v>39</v>
      </c>
      <c r="Q161" s="2">
        <v>45968</v>
      </c>
      <c r="V161" s="46">
        <f>IF(
  OR(
    ISNUMBER(SEARCH("unable to locate acct", tblDocketedComments[[#This Row],[Docketed Consumer Comments]])),
    ISNUMBER(SEARCH("unknown", tblDocketedComments[[#This Row],[Docketed Consumer Comments]])),
    ISNUMBER(SEARCH("inactive", tblDocketedComments[[#This Row],[Docketed Consumer Comments]]))
  ),
  0,
  1
)</f>
        <v>1</v>
      </c>
    </row>
    <row r="162" spans="1:22" hidden="1">
      <c r="A162" s="2">
        <v>45903</v>
      </c>
      <c r="B162" s="1" t="s">
        <v>565</v>
      </c>
      <c r="C162" s="1" t="s">
        <v>256</v>
      </c>
      <c r="D162" s="1" t="s">
        <v>63</v>
      </c>
      <c r="E162" s="1">
        <v>85020</v>
      </c>
      <c r="F162" s="1" t="s">
        <v>310</v>
      </c>
      <c r="G162" s="1" t="s">
        <v>506</v>
      </c>
      <c r="H162" s="4" t="s">
        <v>566</v>
      </c>
      <c r="I162" s="5" t="s">
        <v>196</v>
      </c>
      <c r="J162" s="5" t="s">
        <v>37</v>
      </c>
      <c r="K162" s="5" t="s">
        <v>37</v>
      </c>
      <c r="L162" s="5" t="s">
        <v>38</v>
      </c>
      <c r="M162" s="5" t="s">
        <v>37</v>
      </c>
      <c r="N162" s="5" t="s">
        <v>37</v>
      </c>
      <c r="O162" s="5" t="s">
        <v>38</v>
      </c>
      <c r="P162" s="5" t="s">
        <v>39</v>
      </c>
      <c r="Q162" s="2">
        <v>45968</v>
      </c>
      <c r="V162" s="46">
        <f>IF(
  OR(
    ISNUMBER(SEARCH("unable to locate acct", tblDocketedComments[[#This Row],[Docketed Consumer Comments]])),
    ISNUMBER(SEARCH("unknown", tblDocketedComments[[#This Row],[Docketed Consumer Comments]])),
    ISNUMBER(SEARCH("inactive", tblDocketedComments[[#This Row],[Docketed Consumer Comments]]))
  ),
  0,
  1
)</f>
        <v>1</v>
      </c>
    </row>
    <row r="163" spans="1:22" hidden="1">
      <c r="A163" s="2">
        <v>45903</v>
      </c>
      <c r="B163" s="1" t="s">
        <v>567</v>
      </c>
      <c r="C163" s="1" t="s">
        <v>568</v>
      </c>
      <c r="D163" s="1" t="s">
        <v>63</v>
      </c>
      <c r="E163" s="1">
        <v>85004</v>
      </c>
      <c r="F163" s="1" t="s">
        <v>310</v>
      </c>
      <c r="G163" s="1" t="s">
        <v>506</v>
      </c>
      <c r="H163" s="4" t="s">
        <v>27</v>
      </c>
      <c r="V163" s="46">
        <f>IF(
  OR(
    ISNUMBER(SEARCH("unable to locate acct", tblDocketedComments[[#This Row],[Docketed Consumer Comments]])),
    ISNUMBER(SEARCH("unknown", tblDocketedComments[[#This Row],[Docketed Consumer Comments]])),
    ISNUMBER(SEARCH("inactive", tblDocketedComments[[#This Row],[Docketed Consumer Comments]]))
  ),
  0,
  1
)</f>
        <v>1</v>
      </c>
    </row>
    <row r="164" spans="1:22" hidden="1">
      <c r="A164" s="2">
        <v>45903</v>
      </c>
      <c r="B164" s="1" t="s">
        <v>569</v>
      </c>
      <c r="C164" s="1" t="s">
        <v>570</v>
      </c>
      <c r="D164" s="1" t="s">
        <v>202</v>
      </c>
      <c r="E164" s="1">
        <v>85383</v>
      </c>
      <c r="F164" s="1" t="s">
        <v>310</v>
      </c>
      <c r="G164" s="1" t="s">
        <v>506</v>
      </c>
      <c r="H164" s="4" t="s">
        <v>571</v>
      </c>
      <c r="I164" s="5" t="s">
        <v>36</v>
      </c>
      <c r="J164" s="5" t="s">
        <v>37</v>
      </c>
      <c r="K164" s="5" t="s">
        <v>37</v>
      </c>
      <c r="L164" s="5" t="s">
        <v>38</v>
      </c>
      <c r="M164" s="5" t="s">
        <v>37</v>
      </c>
      <c r="N164" s="5" t="s">
        <v>37</v>
      </c>
      <c r="O164" s="5" t="s">
        <v>38</v>
      </c>
      <c r="P164" s="5" t="s">
        <v>39</v>
      </c>
      <c r="Q164" s="2">
        <v>45968</v>
      </c>
      <c r="V164" s="46">
        <f>IF(
  OR(
    ISNUMBER(SEARCH("unable to locate acct", tblDocketedComments[[#This Row],[Docketed Consumer Comments]])),
    ISNUMBER(SEARCH("unknown", tblDocketedComments[[#This Row],[Docketed Consumer Comments]])),
    ISNUMBER(SEARCH("inactive", tblDocketedComments[[#This Row],[Docketed Consumer Comments]]))
  ),
  0,
  1
)</f>
        <v>1</v>
      </c>
    </row>
    <row r="165" spans="1:22" hidden="1">
      <c r="A165" s="2">
        <v>45903</v>
      </c>
      <c r="B165" s="1" t="s">
        <v>572</v>
      </c>
      <c r="C165" s="1" t="s">
        <v>573</v>
      </c>
      <c r="D165" s="1" t="s">
        <v>63</v>
      </c>
      <c r="E165" s="1">
        <v>85024</v>
      </c>
      <c r="F165" s="1" t="s">
        <v>310</v>
      </c>
      <c r="G165" s="1" t="s">
        <v>506</v>
      </c>
      <c r="H165" s="4" t="s">
        <v>574</v>
      </c>
      <c r="I165" s="5" t="s">
        <v>196</v>
      </c>
      <c r="J165" s="5" t="s">
        <v>37</v>
      </c>
      <c r="K165" s="5" t="s">
        <v>37</v>
      </c>
      <c r="L165" s="5" t="s">
        <v>38</v>
      </c>
      <c r="M165" s="5" t="s">
        <v>37</v>
      </c>
      <c r="N165" s="5" t="s">
        <v>37</v>
      </c>
      <c r="O165" s="5" t="s">
        <v>38</v>
      </c>
      <c r="P165" s="5" t="s">
        <v>39</v>
      </c>
      <c r="Q165" s="2">
        <v>45968</v>
      </c>
      <c r="V165" s="46">
        <f>IF(
  OR(
    ISNUMBER(SEARCH("unable to locate acct", tblDocketedComments[[#This Row],[Docketed Consumer Comments]])),
    ISNUMBER(SEARCH("unknown", tblDocketedComments[[#This Row],[Docketed Consumer Comments]])),
    ISNUMBER(SEARCH("inactive", tblDocketedComments[[#This Row],[Docketed Consumer Comments]]))
  ),
  0,
  1
)</f>
        <v>1</v>
      </c>
    </row>
    <row r="166" spans="1:22" hidden="1">
      <c r="A166" s="2">
        <v>45903</v>
      </c>
      <c r="B166" s="1" t="s">
        <v>575</v>
      </c>
      <c r="C166" s="1" t="s">
        <v>134</v>
      </c>
      <c r="D166" s="1" t="s">
        <v>63</v>
      </c>
      <c r="E166" s="1">
        <v>85004</v>
      </c>
      <c r="F166" s="1" t="s">
        <v>310</v>
      </c>
      <c r="G166" s="1" t="s">
        <v>506</v>
      </c>
      <c r="H166" s="4" t="s">
        <v>576</v>
      </c>
      <c r="I166" s="5" t="s">
        <v>73</v>
      </c>
      <c r="J166" s="5" t="s">
        <v>37</v>
      </c>
      <c r="K166" s="5" t="s">
        <v>37</v>
      </c>
      <c r="L166" s="5" t="s">
        <v>38</v>
      </c>
      <c r="M166" s="5" t="s">
        <v>37</v>
      </c>
      <c r="N166" s="5" t="s">
        <v>37</v>
      </c>
      <c r="O166" s="5" t="s">
        <v>38</v>
      </c>
      <c r="P166" s="5" t="s">
        <v>39</v>
      </c>
      <c r="Q166" s="2">
        <v>45968</v>
      </c>
      <c r="V166" s="46">
        <f>IF(
  OR(
    ISNUMBER(SEARCH("unable to locate acct", tblDocketedComments[[#This Row],[Docketed Consumer Comments]])),
    ISNUMBER(SEARCH("unknown", tblDocketedComments[[#This Row],[Docketed Consumer Comments]])),
    ISNUMBER(SEARCH("inactive", tblDocketedComments[[#This Row],[Docketed Consumer Comments]]))
  ),
  0,
  1
)</f>
        <v>1</v>
      </c>
    </row>
    <row r="167" spans="1:22" hidden="1">
      <c r="A167" s="2">
        <v>45903</v>
      </c>
      <c r="B167" s="1" t="s">
        <v>577</v>
      </c>
      <c r="C167" s="1" t="s">
        <v>578</v>
      </c>
      <c r="D167" s="1" t="s">
        <v>125</v>
      </c>
      <c r="E167" s="1">
        <v>85260</v>
      </c>
      <c r="F167" s="1" t="s">
        <v>579</v>
      </c>
      <c r="G167" s="1" t="s">
        <v>506</v>
      </c>
      <c r="H167" s="4" t="s">
        <v>580</v>
      </c>
      <c r="I167" s="5" t="s">
        <v>196</v>
      </c>
      <c r="J167" s="5" t="s">
        <v>37</v>
      </c>
      <c r="K167" s="5" t="s">
        <v>37</v>
      </c>
      <c r="L167" s="5" t="s">
        <v>38</v>
      </c>
      <c r="M167" s="5" t="s">
        <v>37</v>
      </c>
      <c r="N167" s="5" t="s">
        <v>37</v>
      </c>
      <c r="O167" s="5" t="s">
        <v>38</v>
      </c>
      <c r="P167" s="5" t="s">
        <v>39</v>
      </c>
      <c r="Q167" s="2">
        <v>45968</v>
      </c>
      <c r="V167" s="46">
        <f>IF(
  OR(
    ISNUMBER(SEARCH("unable to locate acct", tblDocketedComments[[#This Row],[Docketed Consumer Comments]])),
    ISNUMBER(SEARCH("unknown", tblDocketedComments[[#This Row],[Docketed Consumer Comments]])),
    ISNUMBER(SEARCH("inactive", tblDocketedComments[[#This Row],[Docketed Consumer Comments]]))
  ),
  0,
  1
)</f>
        <v>1</v>
      </c>
    </row>
    <row r="168" spans="1:22" hidden="1">
      <c r="A168" s="2">
        <v>45903</v>
      </c>
      <c r="B168" s="1" t="s">
        <v>581</v>
      </c>
      <c r="C168" s="1" t="s">
        <v>550</v>
      </c>
      <c r="D168" s="1" t="s">
        <v>63</v>
      </c>
      <c r="E168" s="1">
        <v>85015</v>
      </c>
      <c r="F168" s="1" t="s">
        <v>310</v>
      </c>
      <c r="G168" s="1" t="s">
        <v>506</v>
      </c>
      <c r="H168" s="4" t="s">
        <v>582</v>
      </c>
      <c r="I168" s="5" t="s">
        <v>57</v>
      </c>
      <c r="J168" s="5" t="s">
        <v>37</v>
      </c>
      <c r="K168" s="5" t="s">
        <v>37</v>
      </c>
      <c r="L168" s="5" t="s">
        <v>583</v>
      </c>
      <c r="M168" s="5" t="s">
        <v>37</v>
      </c>
      <c r="N168" s="5" t="s">
        <v>37</v>
      </c>
      <c r="O168" s="5" t="s">
        <v>38</v>
      </c>
      <c r="P168" s="5" t="s">
        <v>39</v>
      </c>
      <c r="Q168" s="2">
        <v>45968</v>
      </c>
      <c r="V168" s="46">
        <f>IF(
  OR(
    ISNUMBER(SEARCH("unable to locate acct", tblDocketedComments[[#This Row],[Docketed Consumer Comments]])),
    ISNUMBER(SEARCH("unknown", tblDocketedComments[[#This Row],[Docketed Consumer Comments]])),
    ISNUMBER(SEARCH("inactive", tblDocketedComments[[#This Row],[Docketed Consumer Comments]]))
  ),
  0,
  1
)</f>
        <v>1</v>
      </c>
    </row>
    <row r="169" spans="1:22" hidden="1">
      <c r="A169" s="2">
        <v>45903</v>
      </c>
      <c r="B169" s="1" t="s">
        <v>584</v>
      </c>
      <c r="C169" s="1" t="s">
        <v>585</v>
      </c>
      <c r="D169" s="1" t="s">
        <v>63</v>
      </c>
      <c r="E169" s="1">
        <v>85016</v>
      </c>
      <c r="F169" s="1" t="s">
        <v>310</v>
      </c>
      <c r="G169" s="1" t="s">
        <v>506</v>
      </c>
      <c r="H169" s="4" t="s">
        <v>27</v>
      </c>
      <c r="V169" s="46">
        <f>IF(
  OR(
    ISNUMBER(SEARCH("unable to locate acct", tblDocketedComments[[#This Row],[Docketed Consumer Comments]])),
    ISNUMBER(SEARCH("unknown", tblDocketedComments[[#This Row],[Docketed Consumer Comments]])),
    ISNUMBER(SEARCH("inactive", tblDocketedComments[[#This Row],[Docketed Consumer Comments]]))
  ),
  0,
  1
)</f>
        <v>1</v>
      </c>
    </row>
    <row r="170" spans="1:22" hidden="1">
      <c r="A170" s="2">
        <v>45903</v>
      </c>
      <c r="B170" s="1" t="s">
        <v>586</v>
      </c>
      <c r="C170" s="1" t="s">
        <v>587</v>
      </c>
      <c r="D170" s="1" t="s">
        <v>63</v>
      </c>
      <c r="E170" s="1">
        <v>85028</v>
      </c>
      <c r="F170" s="1" t="s">
        <v>588</v>
      </c>
      <c r="G170" s="1" t="s">
        <v>506</v>
      </c>
      <c r="H170" s="4" t="s">
        <v>589</v>
      </c>
      <c r="I170" s="5" t="s">
        <v>36</v>
      </c>
      <c r="J170" s="5" t="s">
        <v>37</v>
      </c>
      <c r="K170" s="5" t="s">
        <v>37</v>
      </c>
      <c r="L170" s="5" t="s">
        <v>38</v>
      </c>
      <c r="M170" s="5" t="s">
        <v>37</v>
      </c>
      <c r="N170" s="5" t="s">
        <v>37</v>
      </c>
      <c r="O170" s="5" t="s">
        <v>38</v>
      </c>
      <c r="P170" s="5" t="s">
        <v>39</v>
      </c>
      <c r="Q170" s="2">
        <v>45968</v>
      </c>
      <c r="V170" s="46">
        <f>IF(
  OR(
    ISNUMBER(SEARCH("unable to locate acct", tblDocketedComments[[#This Row],[Docketed Consumer Comments]])),
    ISNUMBER(SEARCH("unknown", tblDocketedComments[[#This Row],[Docketed Consumer Comments]])),
    ISNUMBER(SEARCH("inactive", tblDocketedComments[[#This Row],[Docketed Consumer Comments]]))
  ),
  0,
  1
)</f>
        <v>1</v>
      </c>
    </row>
    <row r="171" spans="1:22" hidden="1">
      <c r="A171" s="2">
        <v>45903</v>
      </c>
      <c r="B171" s="1" t="s">
        <v>590</v>
      </c>
      <c r="C171" s="1" t="s">
        <v>591</v>
      </c>
      <c r="D171" s="1" t="s">
        <v>240</v>
      </c>
      <c r="E171" s="1">
        <v>85340</v>
      </c>
      <c r="F171" s="1" t="s">
        <v>31</v>
      </c>
      <c r="G171" s="1" t="s">
        <v>506</v>
      </c>
      <c r="H171" s="4" t="s">
        <v>592</v>
      </c>
      <c r="I171" s="5" t="s">
        <v>36</v>
      </c>
      <c r="J171" s="5" t="s">
        <v>37</v>
      </c>
      <c r="K171" s="5" t="s">
        <v>37</v>
      </c>
      <c r="L171" s="5" t="s">
        <v>38</v>
      </c>
      <c r="M171" s="5" t="s">
        <v>37</v>
      </c>
      <c r="N171" s="5" t="s">
        <v>37</v>
      </c>
      <c r="O171" s="5" t="s">
        <v>38</v>
      </c>
      <c r="P171" s="5" t="s">
        <v>39</v>
      </c>
      <c r="Q171" s="2">
        <v>45968</v>
      </c>
      <c r="V171" s="46">
        <f>IF(
  OR(
    ISNUMBER(SEARCH("unable to locate acct", tblDocketedComments[[#This Row],[Docketed Consumer Comments]])),
    ISNUMBER(SEARCH("unknown", tblDocketedComments[[#This Row],[Docketed Consumer Comments]])),
    ISNUMBER(SEARCH("inactive", tblDocketedComments[[#This Row],[Docketed Consumer Comments]]))
  ),
  0,
  1
)</f>
        <v>1</v>
      </c>
    </row>
    <row r="172" spans="1:22" hidden="1">
      <c r="A172" s="2">
        <v>45903</v>
      </c>
      <c r="B172" s="1" t="s">
        <v>593</v>
      </c>
      <c r="C172" s="1" t="s">
        <v>594</v>
      </c>
      <c r="D172" s="1" t="s">
        <v>63</v>
      </c>
      <c r="E172" s="1">
        <v>85024</v>
      </c>
      <c r="F172" s="1" t="s">
        <v>310</v>
      </c>
      <c r="G172" s="1" t="s">
        <v>506</v>
      </c>
      <c r="H172" s="4" t="s">
        <v>595</v>
      </c>
      <c r="I172" s="5" t="s">
        <v>36</v>
      </c>
      <c r="J172" s="5" t="s">
        <v>37</v>
      </c>
      <c r="K172" s="5" t="s">
        <v>37</v>
      </c>
      <c r="L172" s="5" t="s">
        <v>38</v>
      </c>
      <c r="M172" s="5" t="s">
        <v>37</v>
      </c>
      <c r="N172" s="5" t="s">
        <v>37</v>
      </c>
      <c r="O172" s="5" t="s">
        <v>38</v>
      </c>
      <c r="P172" s="5" t="s">
        <v>39</v>
      </c>
      <c r="Q172" s="2">
        <v>45968</v>
      </c>
      <c r="V172" s="46">
        <f>IF(
  OR(
    ISNUMBER(SEARCH("unable to locate acct", tblDocketedComments[[#This Row],[Docketed Consumer Comments]])),
    ISNUMBER(SEARCH("unknown", tblDocketedComments[[#This Row],[Docketed Consumer Comments]])),
    ISNUMBER(SEARCH("inactive", tblDocketedComments[[#This Row],[Docketed Consumer Comments]]))
  ),
  0,
  1
)</f>
        <v>1</v>
      </c>
    </row>
    <row r="173" spans="1:22" hidden="1">
      <c r="A173" s="2">
        <v>45903</v>
      </c>
      <c r="B173" s="1" t="s">
        <v>596</v>
      </c>
      <c r="C173" s="1" t="s">
        <v>597</v>
      </c>
      <c r="D173" s="1" t="s">
        <v>240</v>
      </c>
      <c r="E173" s="1">
        <v>85340</v>
      </c>
      <c r="F173" s="1" t="s">
        <v>598</v>
      </c>
      <c r="G173" s="1" t="s">
        <v>506</v>
      </c>
      <c r="H173" s="4" t="s">
        <v>599</v>
      </c>
      <c r="I173" s="5" t="s">
        <v>126</v>
      </c>
      <c r="J173" s="5" t="s">
        <v>37</v>
      </c>
      <c r="K173" s="5" t="s">
        <v>37</v>
      </c>
      <c r="L173" s="5" t="s">
        <v>38</v>
      </c>
      <c r="M173" s="5" t="s">
        <v>37</v>
      </c>
      <c r="N173" s="5" t="s">
        <v>37</v>
      </c>
      <c r="O173" s="5" t="s">
        <v>38</v>
      </c>
      <c r="P173" s="5" t="s">
        <v>39</v>
      </c>
      <c r="Q173" s="2">
        <v>45968</v>
      </c>
      <c r="V173" s="46">
        <f>IF(
  OR(
    ISNUMBER(SEARCH("unable to locate acct", tblDocketedComments[[#This Row],[Docketed Consumer Comments]])),
    ISNUMBER(SEARCH("unknown", tblDocketedComments[[#This Row],[Docketed Consumer Comments]])),
    ISNUMBER(SEARCH("inactive", tblDocketedComments[[#This Row],[Docketed Consumer Comments]]))
  ),
  0,
  1
)</f>
        <v>1</v>
      </c>
    </row>
    <row r="174" spans="1:22" hidden="1">
      <c r="A174" s="2">
        <v>45903</v>
      </c>
      <c r="B174" s="1" t="s">
        <v>600</v>
      </c>
      <c r="C174" s="1" t="s">
        <v>601</v>
      </c>
      <c r="D174" s="1" t="s">
        <v>63</v>
      </c>
      <c r="E174" s="1">
        <v>85022</v>
      </c>
      <c r="F174" s="1" t="s">
        <v>310</v>
      </c>
      <c r="G174" s="1" t="s">
        <v>506</v>
      </c>
      <c r="H174" s="4" t="s">
        <v>602</v>
      </c>
      <c r="I174" s="5" t="s">
        <v>196</v>
      </c>
      <c r="J174" s="5" t="s">
        <v>37</v>
      </c>
      <c r="K174" s="5" t="s">
        <v>37</v>
      </c>
      <c r="L174" s="5" t="s">
        <v>603</v>
      </c>
      <c r="M174" s="5" t="s">
        <v>37</v>
      </c>
      <c r="N174" s="5" t="s">
        <v>37</v>
      </c>
      <c r="O174" s="5" t="s">
        <v>38</v>
      </c>
      <c r="P174" s="2">
        <v>45933</v>
      </c>
      <c r="Q174" s="2">
        <v>45968</v>
      </c>
      <c r="R174" s="1" t="s">
        <v>561</v>
      </c>
      <c r="V174" s="46">
        <f>IF(
  OR(
    ISNUMBER(SEARCH("unable to locate acct", tblDocketedComments[[#This Row],[Docketed Consumer Comments]])),
    ISNUMBER(SEARCH("unknown", tblDocketedComments[[#This Row],[Docketed Consumer Comments]])),
    ISNUMBER(SEARCH("inactive", tblDocketedComments[[#This Row],[Docketed Consumer Comments]]))
  ),
  0,
  1
)</f>
        <v>1</v>
      </c>
    </row>
    <row r="175" spans="1:22" hidden="1">
      <c r="A175" s="2">
        <v>45903</v>
      </c>
      <c r="B175" s="1" t="s">
        <v>604</v>
      </c>
      <c r="C175" s="1" t="s">
        <v>420</v>
      </c>
      <c r="D175" s="1" t="s">
        <v>24</v>
      </c>
      <c r="E175" s="1">
        <v>85308</v>
      </c>
      <c r="F175" s="1" t="s">
        <v>310</v>
      </c>
      <c r="G175" s="1" t="s">
        <v>506</v>
      </c>
      <c r="H175" s="4">
        <v>8043001000</v>
      </c>
      <c r="I175" s="5" t="s">
        <v>73</v>
      </c>
      <c r="J175" s="5" t="s">
        <v>37</v>
      </c>
      <c r="L175" s="5" t="s">
        <v>38</v>
      </c>
      <c r="O175" s="5" t="s">
        <v>38</v>
      </c>
      <c r="P175" s="5" t="s">
        <v>39</v>
      </c>
      <c r="V175" s="46">
        <f>IF(
  OR(
    ISNUMBER(SEARCH("unable to locate acct", tblDocketedComments[[#This Row],[Docketed Consumer Comments]])),
    ISNUMBER(SEARCH("unknown", tblDocketedComments[[#This Row],[Docketed Consumer Comments]])),
    ISNUMBER(SEARCH("inactive", tblDocketedComments[[#This Row],[Docketed Consumer Comments]]))
  ),
  0,
  1
)</f>
        <v>1</v>
      </c>
    </row>
    <row r="176" spans="1:22" hidden="1">
      <c r="A176" s="2">
        <v>45903</v>
      </c>
      <c r="B176" s="1" t="s">
        <v>605</v>
      </c>
      <c r="C176" s="1" t="s">
        <v>606</v>
      </c>
      <c r="D176" s="1" t="s">
        <v>63</v>
      </c>
      <c r="E176" s="1">
        <v>85022</v>
      </c>
      <c r="F176" s="1" t="s">
        <v>607</v>
      </c>
      <c r="G176" s="1" t="s">
        <v>506</v>
      </c>
      <c r="H176" s="4" t="s">
        <v>608</v>
      </c>
      <c r="I176" s="5" t="s">
        <v>57</v>
      </c>
      <c r="J176" s="5" t="s">
        <v>37</v>
      </c>
      <c r="K176" s="5" t="s">
        <v>37</v>
      </c>
      <c r="L176" s="7" t="s">
        <v>609</v>
      </c>
      <c r="M176" s="5" t="s">
        <v>37</v>
      </c>
      <c r="N176" s="5" t="s">
        <v>37</v>
      </c>
      <c r="O176" s="5" t="s">
        <v>38</v>
      </c>
      <c r="P176" s="2">
        <v>45933</v>
      </c>
      <c r="Q176" s="2">
        <v>45968</v>
      </c>
      <c r="R176" s="1" t="s">
        <v>610</v>
      </c>
      <c r="V176" s="46">
        <f>IF(
  OR(
    ISNUMBER(SEARCH("unable to locate acct", tblDocketedComments[[#This Row],[Docketed Consumer Comments]])),
    ISNUMBER(SEARCH("unknown", tblDocketedComments[[#This Row],[Docketed Consumer Comments]])),
    ISNUMBER(SEARCH("inactive", tblDocketedComments[[#This Row],[Docketed Consumer Comments]]))
  ),
  0,
  1
)</f>
        <v>1</v>
      </c>
    </row>
    <row r="177" spans="1:22" hidden="1">
      <c r="A177" s="2">
        <v>45903</v>
      </c>
      <c r="B177" s="1" t="s">
        <v>447</v>
      </c>
      <c r="C177" s="1" t="s">
        <v>611</v>
      </c>
      <c r="D177" s="1" t="s">
        <v>504</v>
      </c>
      <c r="E177" s="1">
        <v>86001</v>
      </c>
      <c r="F177" s="1" t="s">
        <v>31</v>
      </c>
      <c r="G177" s="1" t="s">
        <v>506</v>
      </c>
      <c r="H177" s="4" t="s">
        <v>612</v>
      </c>
      <c r="I177" s="5" t="s">
        <v>126</v>
      </c>
      <c r="J177" s="5" t="s">
        <v>37</v>
      </c>
      <c r="K177" s="5" t="s">
        <v>37</v>
      </c>
      <c r="L177" s="7" t="s">
        <v>613</v>
      </c>
      <c r="M177" s="5" t="s">
        <v>37</v>
      </c>
      <c r="N177" s="5" t="s">
        <v>37</v>
      </c>
      <c r="O177" s="5" t="s">
        <v>38</v>
      </c>
      <c r="P177" s="2">
        <v>45933</v>
      </c>
      <c r="Q177" s="2">
        <v>45968</v>
      </c>
      <c r="R177" s="1" t="s">
        <v>561</v>
      </c>
      <c r="V177" s="46">
        <f>IF(
  OR(
    ISNUMBER(SEARCH("unable to locate acct", tblDocketedComments[[#This Row],[Docketed Consumer Comments]])),
    ISNUMBER(SEARCH("unknown", tblDocketedComments[[#This Row],[Docketed Consumer Comments]])),
    ISNUMBER(SEARCH("inactive", tblDocketedComments[[#This Row],[Docketed Consumer Comments]]))
  ),
  0,
  1
)</f>
        <v>1</v>
      </c>
    </row>
    <row r="178" spans="1:22" hidden="1">
      <c r="A178" s="2">
        <v>45903</v>
      </c>
      <c r="B178" s="1" t="s">
        <v>614</v>
      </c>
      <c r="C178" s="1" t="s">
        <v>553</v>
      </c>
      <c r="D178" s="1" t="s">
        <v>63</v>
      </c>
      <c r="E178" s="1">
        <v>85014</v>
      </c>
      <c r="F178" s="1" t="s">
        <v>615</v>
      </c>
      <c r="G178" s="1" t="s">
        <v>506</v>
      </c>
      <c r="H178" s="4" t="s">
        <v>616</v>
      </c>
      <c r="I178" s="5" t="s">
        <v>73</v>
      </c>
      <c r="J178" s="5" t="s">
        <v>37</v>
      </c>
      <c r="K178" s="5" t="s">
        <v>37</v>
      </c>
      <c r="L178" s="5" t="s">
        <v>38</v>
      </c>
      <c r="M178" s="5" t="s">
        <v>37</v>
      </c>
      <c r="N178" s="5" t="s">
        <v>37</v>
      </c>
      <c r="O178" s="5" t="s">
        <v>38</v>
      </c>
      <c r="P178" s="5" t="s">
        <v>39</v>
      </c>
      <c r="Q178" s="2">
        <v>45968</v>
      </c>
      <c r="V178" s="46">
        <f>IF(
  OR(
    ISNUMBER(SEARCH("unable to locate acct", tblDocketedComments[[#This Row],[Docketed Consumer Comments]])),
    ISNUMBER(SEARCH("unknown", tblDocketedComments[[#This Row],[Docketed Consumer Comments]])),
    ISNUMBER(SEARCH("inactive", tblDocketedComments[[#This Row],[Docketed Consumer Comments]]))
  ),
  0,
  1
)</f>
        <v>1</v>
      </c>
    </row>
    <row r="179" spans="1:22" hidden="1">
      <c r="A179" s="2">
        <v>45903</v>
      </c>
      <c r="B179" s="1" t="s">
        <v>617</v>
      </c>
      <c r="C179" s="1" t="s">
        <v>618</v>
      </c>
      <c r="D179" s="1" t="s">
        <v>619</v>
      </c>
      <c r="E179" s="1">
        <v>85365</v>
      </c>
      <c r="F179" s="1" t="s">
        <v>310</v>
      </c>
      <c r="G179" s="1" t="s">
        <v>506</v>
      </c>
      <c r="H179" s="4" t="s">
        <v>620</v>
      </c>
      <c r="I179" s="5" t="s">
        <v>196</v>
      </c>
      <c r="J179" s="5" t="s">
        <v>37</v>
      </c>
      <c r="K179" s="5" t="s">
        <v>37</v>
      </c>
      <c r="L179" s="5" t="s">
        <v>621</v>
      </c>
      <c r="M179" s="5" t="s">
        <v>37</v>
      </c>
      <c r="N179" s="5" t="s">
        <v>37</v>
      </c>
      <c r="O179" s="5" t="s">
        <v>38</v>
      </c>
      <c r="P179" s="5" t="s">
        <v>39</v>
      </c>
      <c r="Q179" s="2">
        <v>45968</v>
      </c>
      <c r="R179" s="1" t="s">
        <v>622</v>
      </c>
      <c r="V179" s="46">
        <f>IF(
  OR(
    ISNUMBER(SEARCH("unable to locate acct", tblDocketedComments[[#This Row],[Docketed Consumer Comments]])),
    ISNUMBER(SEARCH("unknown", tblDocketedComments[[#This Row],[Docketed Consumer Comments]])),
    ISNUMBER(SEARCH("inactive", tblDocketedComments[[#This Row],[Docketed Consumer Comments]]))
  ),
  0,
  1
)</f>
        <v>1</v>
      </c>
    </row>
    <row r="180" spans="1:22" hidden="1">
      <c r="A180" s="2">
        <v>45903</v>
      </c>
      <c r="B180" s="1" t="s">
        <v>623</v>
      </c>
      <c r="C180" s="1" t="s">
        <v>624</v>
      </c>
      <c r="D180" s="1" t="s">
        <v>63</v>
      </c>
      <c r="E180" s="1">
        <v>85013</v>
      </c>
      <c r="F180" s="1" t="s">
        <v>310</v>
      </c>
      <c r="G180" s="1" t="s">
        <v>506</v>
      </c>
      <c r="H180" s="4" t="s">
        <v>27</v>
      </c>
      <c r="V180" s="46">
        <f>IF(
  OR(
    ISNUMBER(SEARCH("unable to locate acct", tblDocketedComments[[#This Row],[Docketed Consumer Comments]])),
    ISNUMBER(SEARCH("unknown", tblDocketedComments[[#This Row],[Docketed Consumer Comments]])),
    ISNUMBER(SEARCH("inactive", tblDocketedComments[[#This Row],[Docketed Consumer Comments]]))
  ),
  0,
  1
)</f>
        <v>1</v>
      </c>
    </row>
    <row r="181" spans="1:22" hidden="1">
      <c r="A181" s="2">
        <v>45903</v>
      </c>
      <c r="B181" s="1" t="s">
        <v>625</v>
      </c>
      <c r="C181" s="1" t="s">
        <v>626</v>
      </c>
      <c r="D181" s="1" t="s">
        <v>63</v>
      </c>
      <c r="E181" s="1">
        <v>85085</v>
      </c>
      <c r="F181" s="1" t="s">
        <v>627</v>
      </c>
      <c r="G181" s="1" t="s">
        <v>506</v>
      </c>
      <c r="H181" s="4" t="s">
        <v>628</v>
      </c>
      <c r="I181" s="5" t="s">
        <v>36</v>
      </c>
      <c r="J181" s="5" t="s">
        <v>37</v>
      </c>
      <c r="K181" s="5" t="s">
        <v>37</v>
      </c>
      <c r="L181" s="5" t="s">
        <v>38</v>
      </c>
      <c r="M181" s="5" t="s">
        <v>37</v>
      </c>
      <c r="N181" s="5" t="s">
        <v>37</v>
      </c>
      <c r="O181" s="5" t="s">
        <v>38</v>
      </c>
      <c r="P181" s="5" t="s">
        <v>39</v>
      </c>
      <c r="Q181" s="2">
        <v>45968</v>
      </c>
      <c r="V181" s="46">
        <f>IF(
  OR(
    ISNUMBER(SEARCH("unable to locate acct", tblDocketedComments[[#This Row],[Docketed Consumer Comments]])),
    ISNUMBER(SEARCH("unknown", tblDocketedComments[[#This Row],[Docketed Consumer Comments]])),
    ISNUMBER(SEARCH("inactive", tblDocketedComments[[#This Row],[Docketed Consumer Comments]]))
  ),
  0,
  1
)</f>
        <v>1</v>
      </c>
    </row>
    <row r="182" spans="1:22" hidden="1">
      <c r="A182" s="2">
        <v>45903</v>
      </c>
      <c r="B182" s="1" t="s">
        <v>629</v>
      </c>
      <c r="C182" s="1" t="s">
        <v>630</v>
      </c>
      <c r="D182" s="1" t="s">
        <v>523</v>
      </c>
      <c r="E182" s="1">
        <v>85392</v>
      </c>
      <c r="F182" s="1" t="s">
        <v>631</v>
      </c>
      <c r="G182" s="1" t="s">
        <v>506</v>
      </c>
      <c r="H182" s="4" t="s">
        <v>632</v>
      </c>
      <c r="I182" s="5" t="s">
        <v>126</v>
      </c>
      <c r="J182" s="5" t="s">
        <v>37</v>
      </c>
      <c r="K182" s="5" t="s">
        <v>37</v>
      </c>
      <c r="L182" s="5" t="s">
        <v>38</v>
      </c>
      <c r="M182" s="5" t="s">
        <v>37</v>
      </c>
      <c r="N182" s="5" t="s">
        <v>37</v>
      </c>
      <c r="O182" s="5" t="s">
        <v>38</v>
      </c>
      <c r="P182" s="5" t="s">
        <v>39</v>
      </c>
      <c r="Q182" s="2">
        <v>45968</v>
      </c>
      <c r="V182" s="46">
        <f>IF(
  OR(
    ISNUMBER(SEARCH("unable to locate acct", tblDocketedComments[[#This Row],[Docketed Consumer Comments]])),
    ISNUMBER(SEARCH("unknown", tblDocketedComments[[#This Row],[Docketed Consumer Comments]])),
    ISNUMBER(SEARCH("inactive", tblDocketedComments[[#This Row],[Docketed Consumer Comments]]))
  ),
  0,
  1
)</f>
        <v>1</v>
      </c>
    </row>
    <row r="183" spans="1:22" hidden="1">
      <c r="A183" s="2">
        <v>45903</v>
      </c>
      <c r="B183" s="1" t="s">
        <v>633</v>
      </c>
      <c r="C183" s="1" t="s">
        <v>634</v>
      </c>
      <c r="D183" s="1" t="s">
        <v>635</v>
      </c>
      <c r="E183" s="1">
        <v>85281</v>
      </c>
      <c r="F183" s="1" t="s">
        <v>310</v>
      </c>
      <c r="G183" s="1" t="s">
        <v>506</v>
      </c>
      <c r="H183" s="4" t="s">
        <v>27</v>
      </c>
      <c r="V183" s="46">
        <f>IF(
  OR(
    ISNUMBER(SEARCH("unable to locate acct", tblDocketedComments[[#This Row],[Docketed Consumer Comments]])),
    ISNUMBER(SEARCH("unknown", tblDocketedComments[[#This Row],[Docketed Consumer Comments]])),
    ISNUMBER(SEARCH("inactive", tblDocketedComments[[#This Row],[Docketed Consumer Comments]]))
  ),
  0,
  1
)</f>
        <v>1</v>
      </c>
    </row>
    <row r="184" spans="1:22" hidden="1">
      <c r="A184" s="2">
        <v>45903</v>
      </c>
      <c r="B184" s="1" t="s">
        <v>636</v>
      </c>
      <c r="C184" s="1" t="s">
        <v>529</v>
      </c>
      <c r="D184" s="1" t="s">
        <v>504</v>
      </c>
      <c r="E184" s="1">
        <v>86001</v>
      </c>
      <c r="F184" s="1" t="s">
        <v>310</v>
      </c>
      <c r="G184" s="1" t="s">
        <v>506</v>
      </c>
      <c r="H184" s="4" t="s">
        <v>637</v>
      </c>
      <c r="I184" s="5" t="s">
        <v>73</v>
      </c>
      <c r="J184" s="5" t="s">
        <v>37</v>
      </c>
      <c r="K184" s="5" t="s">
        <v>37</v>
      </c>
      <c r="L184" s="5" t="s">
        <v>38</v>
      </c>
      <c r="M184" s="5" t="s">
        <v>37</v>
      </c>
      <c r="N184" s="5" t="s">
        <v>37</v>
      </c>
      <c r="O184" s="5" t="s">
        <v>38</v>
      </c>
      <c r="P184" s="5" t="s">
        <v>39</v>
      </c>
      <c r="Q184" s="2">
        <v>45968</v>
      </c>
      <c r="V184" s="46">
        <f>IF(
  OR(
    ISNUMBER(SEARCH("unable to locate acct", tblDocketedComments[[#This Row],[Docketed Consumer Comments]])),
    ISNUMBER(SEARCH("unknown", tblDocketedComments[[#This Row],[Docketed Consumer Comments]])),
    ISNUMBER(SEARCH("inactive", tblDocketedComments[[#This Row],[Docketed Consumer Comments]]))
  ),
  0,
  1
)</f>
        <v>1</v>
      </c>
    </row>
    <row r="185" spans="1:22" hidden="1">
      <c r="A185" s="2">
        <v>45903</v>
      </c>
      <c r="B185" s="1" t="s">
        <v>638</v>
      </c>
      <c r="C185" s="1" t="s">
        <v>639</v>
      </c>
      <c r="D185" s="1" t="s">
        <v>202</v>
      </c>
      <c r="E185" s="1">
        <v>85383</v>
      </c>
      <c r="F185" s="1" t="s">
        <v>310</v>
      </c>
      <c r="G185" s="1" t="s">
        <v>506</v>
      </c>
      <c r="H185" s="4" t="s">
        <v>640</v>
      </c>
      <c r="I185" s="5" t="s">
        <v>196</v>
      </c>
      <c r="J185" s="5" t="s">
        <v>37</v>
      </c>
      <c r="K185" s="5" t="s">
        <v>37</v>
      </c>
      <c r="L185" s="7" t="s">
        <v>641</v>
      </c>
      <c r="M185" s="5" t="s">
        <v>37</v>
      </c>
      <c r="N185" s="5" t="s">
        <v>37</v>
      </c>
      <c r="O185" s="5" t="s">
        <v>38</v>
      </c>
      <c r="P185" s="2">
        <v>45933</v>
      </c>
      <c r="Q185" s="2">
        <v>45968</v>
      </c>
      <c r="R185" s="1" t="s">
        <v>561</v>
      </c>
      <c r="V185" s="46">
        <f>IF(
  OR(
    ISNUMBER(SEARCH("unable to locate acct", tblDocketedComments[[#This Row],[Docketed Consumer Comments]])),
    ISNUMBER(SEARCH("unknown", tblDocketedComments[[#This Row],[Docketed Consumer Comments]])),
    ISNUMBER(SEARCH("inactive", tblDocketedComments[[#This Row],[Docketed Consumer Comments]]))
  ),
  0,
  1
)</f>
        <v>1</v>
      </c>
    </row>
    <row r="186" spans="1:22" hidden="1">
      <c r="A186" s="2">
        <v>45903</v>
      </c>
      <c r="B186" s="1" t="s">
        <v>642</v>
      </c>
      <c r="C186" s="1" t="s">
        <v>643</v>
      </c>
      <c r="D186" s="1" t="s">
        <v>125</v>
      </c>
      <c r="E186" s="1">
        <v>85255</v>
      </c>
      <c r="F186" s="1" t="s">
        <v>310</v>
      </c>
      <c r="G186" s="1" t="s">
        <v>506</v>
      </c>
      <c r="H186" s="4" t="s">
        <v>644</v>
      </c>
      <c r="I186" s="5" t="s">
        <v>36</v>
      </c>
      <c r="J186" s="5" t="s">
        <v>37</v>
      </c>
      <c r="K186" s="5" t="s">
        <v>37</v>
      </c>
      <c r="L186" s="5" t="s">
        <v>38</v>
      </c>
      <c r="M186" s="5" t="s">
        <v>37</v>
      </c>
      <c r="N186" s="5" t="s">
        <v>37</v>
      </c>
      <c r="O186" s="5" t="s">
        <v>38</v>
      </c>
      <c r="P186" s="5" t="s">
        <v>39</v>
      </c>
      <c r="Q186" s="2">
        <v>45968</v>
      </c>
      <c r="V186" s="46">
        <f>IF(
  OR(
    ISNUMBER(SEARCH("unable to locate acct", tblDocketedComments[[#This Row],[Docketed Consumer Comments]])),
    ISNUMBER(SEARCH("unknown", tblDocketedComments[[#This Row],[Docketed Consumer Comments]])),
    ISNUMBER(SEARCH("inactive", tblDocketedComments[[#This Row],[Docketed Consumer Comments]]))
  ),
  0,
  1
)</f>
        <v>1</v>
      </c>
    </row>
    <row r="187" spans="1:22" hidden="1">
      <c r="A187" s="2">
        <v>45903</v>
      </c>
      <c r="B187" s="1" t="s">
        <v>645</v>
      </c>
      <c r="C187" s="1" t="s">
        <v>646</v>
      </c>
      <c r="D187" s="1" t="s">
        <v>370</v>
      </c>
      <c r="E187" s="1">
        <v>85225</v>
      </c>
      <c r="F187" s="1" t="s">
        <v>310</v>
      </c>
      <c r="G187" s="1" t="s">
        <v>506</v>
      </c>
      <c r="H187" s="4" t="s">
        <v>209</v>
      </c>
      <c r="V187" s="46">
        <f>IF(
  OR(
    ISNUMBER(SEARCH("unable to locate acct", tblDocketedComments[[#This Row],[Docketed Consumer Comments]])),
    ISNUMBER(SEARCH("unknown", tblDocketedComments[[#This Row],[Docketed Consumer Comments]])),
    ISNUMBER(SEARCH("inactive", tblDocketedComments[[#This Row],[Docketed Consumer Comments]]))
  ),
  0,
  1
)</f>
        <v>1</v>
      </c>
    </row>
    <row r="188" spans="1:22" hidden="1">
      <c r="A188" s="2">
        <v>45903</v>
      </c>
      <c r="B188" s="1" t="s">
        <v>647</v>
      </c>
      <c r="C188" s="1" t="s">
        <v>648</v>
      </c>
      <c r="D188" s="1" t="s">
        <v>63</v>
      </c>
      <c r="E188" s="1">
        <v>85022</v>
      </c>
      <c r="F188" s="1" t="s">
        <v>310</v>
      </c>
      <c r="G188" s="1" t="s">
        <v>506</v>
      </c>
      <c r="H188" s="4" t="s">
        <v>649</v>
      </c>
      <c r="I188" s="5" t="s">
        <v>73</v>
      </c>
      <c r="J188" s="5" t="s">
        <v>37</v>
      </c>
      <c r="K188" s="5" t="s">
        <v>37</v>
      </c>
      <c r="L188" s="5" t="s">
        <v>38</v>
      </c>
      <c r="M188" s="5" t="s">
        <v>37</v>
      </c>
      <c r="N188" s="5" t="s">
        <v>37</v>
      </c>
      <c r="O188" s="5" t="s">
        <v>38</v>
      </c>
      <c r="P188" s="5" t="s">
        <v>39</v>
      </c>
      <c r="Q188" s="2">
        <v>45968</v>
      </c>
      <c r="V188" s="46">
        <f>IF(
  OR(
    ISNUMBER(SEARCH("unable to locate acct", tblDocketedComments[[#This Row],[Docketed Consumer Comments]])),
    ISNUMBER(SEARCH("unknown", tblDocketedComments[[#This Row],[Docketed Consumer Comments]])),
    ISNUMBER(SEARCH("inactive", tblDocketedComments[[#This Row],[Docketed Consumer Comments]]))
  ),
  0,
  1
)</f>
        <v>1</v>
      </c>
    </row>
    <row r="189" spans="1:22" hidden="1">
      <c r="A189" s="2">
        <v>45903</v>
      </c>
      <c r="B189" s="1" t="s">
        <v>650</v>
      </c>
      <c r="C189" s="1" t="s">
        <v>117</v>
      </c>
      <c r="D189" s="1" t="s">
        <v>169</v>
      </c>
      <c r="E189" s="1">
        <v>85338</v>
      </c>
      <c r="F189" s="1" t="s">
        <v>651</v>
      </c>
      <c r="G189" s="1" t="s">
        <v>506</v>
      </c>
      <c r="H189" s="4" t="s">
        <v>209</v>
      </c>
      <c r="V189" s="46">
        <f>IF(
  OR(
    ISNUMBER(SEARCH("unable to locate acct", tblDocketedComments[[#This Row],[Docketed Consumer Comments]])),
    ISNUMBER(SEARCH("unknown", tblDocketedComments[[#This Row],[Docketed Consumer Comments]])),
    ISNUMBER(SEARCH("inactive", tblDocketedComments[[#This Row],[Docketed Consumer Comments]]))
  ),
  0,
  1
)</f>
        <v>1</v>
      </c>
    </row>
    <row r="190" spans="1:22" hidden="1">
      <c r="A190" s="2">
        <v>45903</v>
      </c>
      <c r="B190" s="1" t="s">
        <v>652</v>
      </c>
      <c r="C190" s="1" t="s">
        <v>653</v>
      </c>
      <c r="D190" s="1" t="s">
        <v>112</v>
      </c>
      <c r="E190" s="1">
        <v>85388</v>
      </c>
      <c r="F190" s="1" t="s">
        <v>25</v>
      </c>
      <c r="G190" s="1" t="s">
        <v>506</v>
      </c>
      <c r="H190" s="4" t="s">
        <v>209</v>
      </c>
      <c r="V190" s="46">
        <f>IF(
  OR(
    ISNUMBER(SEARCH("unable to locate acct", tblDocketedComments[[#This Row],[Docketed Consumer Comments]])),
    ISNUMBER(SEARCH("unknown", tblDocketedComments[[#This Row],[Docketed Consumer Comments]])),
    ISNUMBER(SEARCH("inactive", tblDocketedComments[[#This Row],[Docketed Consumer Comments]]))
  ),
  0,
  1
)</f>
        <v>1</v>
      </c>
    </row>
    <row r="191" spans="1:22" hidden="1">
      <c r="A191" s="2">
        <v>45903</v>
      </c>
      <c r="B191" s="1" t="s">
        <v>654</v>
      </c>
      <c r="C191" s="1" t="s">
        <v>655</v>
      </c>
      <c r="D191" s="1" t="s">
        <v>30</v>
      </c>
      <c r="E191" s="1">
        <v>85254</v>
      </c>
      <c r="F191" s="1" t="s">
        <v>310</v>
      </c>
      <c r="G191" s="1" t="s">
        <v>506</v>
      </c>
      <c r="H191" s="4" t="s">
        <v>656</v>
      </c>
      <c r="I191" s="5" t="s">
        <v>126</v>
      </c>
      <c r="J191" s="5" t="s">
        <v>37</v>
      </c>
      <c r="K191" s="5" t="s">
        <v>37</v>
      </c>
      <c r="L191" s="5" t="s">
        <v>38</v>
      </c>
      <c r="M191" s="5" t="s">
        <v>38</v>
      </c>
      <c r="N191" s="15">
        <v>664.06</v>
      </c>
      <c r="O191" s="5" t="s">
        <v>38</v>
      </c>
      <c r="P191" s="7"/>
      <c r="Q191" s="2">
        <v>45968</v>
      </c>
      <c r="V191" s="46">
        <f>IF(
  OR(
    ISNUMBER(SEARCH("unable to locate acct", tblDocketedComments[[#This Row],[Docketed Consumer Comments]])),
    ISNUMBER(SEARCH("unknown", tblDocketedComments[[#This Row],[Docketed Consumer Comments]])),
    ISNUMBER(SEARCH("inactive", tblDocketedComments[[#This Row],[Docketed Consumer Comments]]))
  ),
  0,
  1
)</f>
        <v>1</v>
      </c>
    </row>
    <row r="192" spans="1:22" hidden="1">
      <c r="A192" s="2">
        <v>45903</v>
      </c>
      <c r="B192" s="1" t="s">
        <v>657</v>
      </c>
      <c r="C192" s="1" t="s">
        <v>658</v>
      </c>
      <c r="D192" s="1" t="s">
        <v>659</v>
      </c>
      <c r="E192" s="1">
        <v>85350</v>
      </c>
      <c r="F192" s="1" t="s">
        <v>660</v>
      </c>
      <c r="G192" s="1" t="s">
        <v>506</v>
      </c>
      <c r="H192" s="4" t="s">
        <v>27</v>
      </c>
      <c r="V192" s="46">
        <f>IF(
  OR(
    ISNUMBER(SEARCH("unable to locate acct", tblDocketedComments[[#This Row],[Docketed Consumer Comments]])),
    ISNUMBER(SEARCH("unknown", tblDocketedComments[[#This Row],[Docketed Consumer Comments]])),
    ISNUMBER(SEARCH("inactive", tblDocketedComments[[#This Row],[Docketed Consumer Comments]]))
  ),
  0,
  1
)</f>
        <v>1</v>
      </c>
    </row>
    <row r="193" spans="1:22" hidden="1">
      <c r="A193" s="2">
        <v>45903</v>
      </c>
      <c r="B193" s="1" t="s">
        <v>661</v>
      </c>
      <c r="C193" s="1" t="s">
        <v>662</v>
      </c>
      <c r="D193" s="1" t="s">
        <v>24</v>
      </c>
      <c r="E193" s="1">
        <v>85308</v>
      </c>
      <c r="F193" s="1" t="s">
        <v>310</v>
      </c>
      <c r="G193" s="1" t="s">
        <v>506</v>
      </c>
      <c r="H193" s="4" t="s">
        <v>27</v>
      </c>
      <c r="V193" s="46">
        <f>IF(
  OR(
    ISNUMBER(SEARCH("unable to locate acct", tblDocketedComments[[#This Row],[Docketed Consumer Comments]])),
    ISNUMBER(SEARCH("unknown", tblDocketedComments[[#This Row],[Docketed Consumer Comments]])),
    ISNUMBER(SEARCH("inactive", tblDocketedComments[[#This Row],[Docketed Consumer Comments]]))
  ),
  0,
  1
)</f>
        <v>1</v>
      </c>
    </row>
    <row r="194" spans="1:22" hidden="1">
      <c r="A194" s="2">
        <v>45903</v>
      </c>
      <c r="B194" s="1" t="s">
        <v>663</v>
      </c>
      <c r="C194" s="1" t="s">
        <v>312</v>
      </c>
      <c r="D194" s="1" t="s">
        <v>169</v>
      </c>
      <c r="E194" s="1">
        <v>85338</v>
      </c>
      <c r="F194" s="1" t="s">
        <v>664</v>
      </c>
      <c r="G194" s="1" t="s">
        <v>506</v>
      </c>
      <c r="H194" s="4" t="s">
        <v>27</v>
      </c>
      <c r="V194" s="46">
        <f>IF(
  OR(
    ISNUMBER(SEARCH("unable to locate acct", tblDocketedComments[[#This Row],[Docketed Consumer Comments]])),
    ISNUMBER(SEARCH("unknown", tblDocketedComments[[#This Row],[Docketed Consumer Comments]])),
    ISNUMBER(SEARCH("inactive", tblDocketedComments[[#This Row],[Docketed Consumer Comments]]))
  ),
  0,
  1
)</f>
        <v>1</v>
      </c>
    </row>
    <row r="195" spans="1:22" hidden="1">
      <c r="A195" s="2">
        <v>45903</v>
      </c>
      <c r="B195" s="1" t="s">
        <v>665</v>
      </c>
      <c r="C195" s="1" t="s">
        <v>666</v>
      </c>
      <c r="D195" s="1" t="s">
        <v>169</v>
      </c>
      <c r="E195" s="1">
        <v>85338</v>
      </c>
      <c r="F195" s="1" t="s">
        <v>667</v>
      </c>
      <c r="G195" s="1" t="s">
        <v>506</v>
      </c>
      <c r="H195" s="4" t="s">
        <v>668</v>
      </c>
      <c r="I195" s="5" t="s">
        <v>57</v>
      </c>
      <c r="J195" s="5" t="s">
        <v>38</v>
      </c>
      <c r="K195" s="5" t="s">
        <v>37</v>
      </c>
      <c r="L195" s="7" t="s">
        <v>669</v>
      </c>
      <c r="M195" s="5" t="s">
        <v>38</v>
      </c>
      <c r="N195" s="15">
        <v>3681.83</v>
      </c>
      <c r="O195" s="5" t="s">
        <v>38</v>
      </c>
      <c r="P195" s="2">
        <v>45933</v>
      </c>
      <c r="Q195" s="2">
        <v>45968</v>
      </c>
      <c r="R195" s="1" t="s">
        <v>670</v>
      </c>
      <c r="V195" s="46">
        <f>IF(
  OR(
    ISNUMBER(SEARCH("unable to locate acct", tblDocketedComments[[#This Row],[Docketed Consumer Comments]])),
    ISNUMBER(SEARCH("unknown", tblDocketedComments[[#This Row],[Docketed Consumer Comments]])),
    ISNUMBER(SEARCH("inactive", tblDocketedComments[[#This Row],[Docketed Consumer Comments]]))
  ),
  0,
  1
)</f>
        <v>1</v>
      </c>
    </row>
    <row r="196" spans="1:22" hidden="1">
      <c r="A196" s="2">
        <v>45903</v>
      </c>
      <c r="B196" s="1" t="s">
        <v>671</v>
      </c>
      <c r="C196" s="1" t="s">
        <v>376</v>
      </c>
      <c r="D196" s="1" t="s">
        <v>63</v>
      </c>
      <c r="E196" s="1">
        <v>85083</v>
      </c>
      <c r="F196" s="1" t="s">
        <v>310</v>
      </c>
      <c r="G196" s="1" t="s">
        <v>506</v>
      </c>
      <c r="H196" s="4" t="s">
        <v>209</v>
      </c>
      <c r="V196" s="46">
        <f>IF(
  OR(
    ISNUMBER(SEARCH("unable to locate acct", tblDocketedComments[[#This Row],[Docketed Consumer Comments]])),
    ISNUMBER(SEARCH("unknown", tblDocketedComments[[#This Row],[Docketed Consumer Comments]])),
    ISNUMBER(SEARCH("inactive", tblDocketedComments[[#This Row],[Docketed Consumer Comments]]))
  ),
  0,
  1
)</f>
        <v>1</v>
      </c>
    </row>
    <row r="197" spans="1:22" hidden="1">
      <c r="A197" s="2">
        <v>45903</v>
      </c>
      <c r="B197" s="1" t="s">
        <v>672</v>
      </c>
      <c r="C197" s="1" t="s">
        <v>673</v>
      </c>
      <c r="D197" s="1" t="s">
        <v>202</v>
      </c>
      <c r="E197" s="1">
        <v>85382</v>
      </c>
      <c r="F197" s="1" t="s">
        <v>31</v>
      </c>
      <c r="G197" s="1" t="s">
        <v>506</v>
      </c>
      <c r="H197" s="4" t="s">
        <v>674</v>
      </c>
      <c r="I197" s="5" t="s">
        <v>73</v>
      </c>
      <c r="J197" s="5" t="s">
        <v>37</v>
      </c>
      <c r="K197" s="5" t="s">
        <v>37</v>
      </c>
      <c r="L197" s="5" t="s">
        <v>38</v>
      </c>
      <c r="M197" s="5" t="s">
        <v>37</v>
      </c>
      <c r="N197" s="5" t="s">
        <v>37</v>
      </c>
      <c r="O197" s="5" t="s">
        <v>38</v>
      </c>
      <c r="P197" s="5" t="s">
        <v>39</v>
      </c>
      <c r="Q197" s="2">
        <v>45968</v>
      </c>
      <c r="V197" s="46">
        <f>IF(
  OR(
    ISNUMBER(SEARCH("unable to locate acct", tblDocketedComments[[#This Row],[Docketed Consumer Comments]])),
    ISNUMBER(SEARCH("unknown", tblDocketedComments[[#This Row],[Docketed Consumer Comments]])),
    ISNUMBER(SEARCH("inactive", tblDocketedComments[[#This Row],[Docketed Consumer Comments]]))
  ),
  0,
  1
)</f>
        <v>1</v>
      </c>
    </row>
    <row r="198" spans="1:22" hidden="1">
      <c r="A198" s="2">
        <v>45903</v>
      </c>
      <c r="B198" s="1" t="s">
        <v>675</v>
      </c>
      <c r="C198" s="1" t="s">
        <v>676</v>
      </c>
      <c r="D198" s="1" t="s">
        <v>523</v>
      </c>
      <c r="E198" s="1">
        <v>85392</v>
      </c>
      <c r="F198" s="1" t="s">
        <v>677</v>
      </c>
      <c r="G198" s="1" t="s">
        <v>506</v>
      </c>
      <c r="H198" s="4" t="s">
        <v>678</v>
      </c>
      <c r="I198" s="5" t="s">
        <v>36</v>
      </c>
      <c r="J198" s="5" t="s">
        <v>37</v>
      </c>
      <c r="K198" s="5" t="s">
        <v>37</v>
      </c>
      <c r="L198" s="5" t="s">
        <v>38</v>
      </c>
      <c r="M198" s="5" t="s">
        <v>37</v>
      </c>
      <c r="N198" s="5" t="s">
        <v>37</v>
      </c>
      <c r="O198" s="5" t="s">
        <v>38</v>
      </c>
      <c r="P198" s="5" t="s">
        <v>39</v>
      </c>
      <c r="Q198" s="2">
        <v>45968</v>
      </c>
      <c r="V198" s="46">
        <f>IF(
  OR(
    ISNUMBER(SEARCH("unable to locate acct", tblDocketedComments[[#This Row],[Docketed Consumer Comments]])),
    ISNUMBER(SEARCH("unknown", tblDocketedComments[[#This Row],[Docketed Consumer Comments]])),
    ISNUMBER(SEARCH("inactive", tblDocketedComments[[#This Row],[Docketed Consumer Comments]]))
  ),
  0,
  1
)</f>
        <v>1</v>
      </c>
    </row>
    <row r="199" spans="1:22" hidden="1">
      <c r="A199" s="2">
        <v>45903</v>
      </c>
      <c r="B199" s="1" t="s">
        <v>679</v>
      </c>
      <c r="C199" s="1" t="s">
        <v>680</v>
      </c>
      <c r="D199" s="1" t="s">
        <v>202</v>
      </c>
      <c r="E199" s="1">
        <v>85383</v>
      </c>
      <c r="F199" s="1" t="s">
        <v>310</v>
      </c>
      <c r="G199" s="1" t="s">
        <v>506</v>
      </c>
      <c r="H199" s="4" t="s">
        <v>681</v>
      </c>
      <c r="I199" s="5" t="s">
        <v>36</v>
      </c>
      <c r="J199" s="5" t="s">
        <v>37</v>
      </c>
      <c r="K199" s="5" t="s">
        <v>37</v>
      </c>
      <c r="L199" s="5" t="s">
        <v>38</v>
      </c>
      <c r="M199" s="5" t="s">
        <v>37</v>
      </c>
      <c r="N199" s="5" t="s">
        <v>37</v>
      </c>
      <c r="O199" s="5" t="s">
        <v>38</v>
      </c>
      <c r="P199" s="5" t="s">
        <v>39</v>
      </c>
      <c r="Q199" s="2">
        <v>45968</v>
      </c>
      <c r="V199" s="46">
        <f>IF(
  OR(
    ISNUMBER(SEARCH("unable to locate acct", tblDocketedComments[[#This Row],[Docketed Consumer Comments]])),
    ISNUMBER(SEARCH("unknown", tblDocketedComments[[#This Row],[Docketed Consumer Comments]])),
    ISNUMBER(SEARCH("inactive", tblDocketedComments[[#This Row],[Docketed Consumer Comments]]))
  ),
  0,
  1
)</f>
        <v>1</v>
      </c>
    </row>
    <row r="200" spans="1:22" hidden="1">
      <c r="A200" s="2">
        <v>45903</v>
      </c>
      <c r="B200" s="1" t="s">
        <v>682</v>
      </c>
      <c r="C200" s="1" t="s">
        <v>683</v>
      </c>
      <c r="D200" s="1" t="s">
        <v>63</v>
      </c>
      <c r="E200" s="1">
        <v>85085</v>
      </c>
      <c r="F200" s="1" t="s">
        <v>684</v>
      </c>
      <c r="G200" s="1" t="s">
        <v>506</v>
      </c>
      <c r="H200" s="4" t="s">
        <v>27</v>
      </c>
      <c r="V200" s="46">
        <f>IF(
  OR(
    ISNUMBER(SEARCH("unable to locate acct", tblDocketedComments[[#This Row],[Docketed Consumer Comments]])),
    ISNUMBER(SEARCH("unknown", tblDocketedComments[[#This Row],[Docketed Consumer Comments]])),
    ISNUMBER(SEARCH("inactive", tblDocketedComments[[#This Row],[Docketed Consumer Comments]]))
  ),
  0,
  1
)</f>
        <v>1</v>
      </c>
    </row>
    <row r="201" spans="1:22" hidden="1">
      <c r="A201" s="2">
        <v>45903</v>
      </c>
      <c r="B201" s="1" t="s">
        <v>685</v>
      </c>
      <c r="C201" s="1" t="s">
        <v>420</v>
      </c>
      <c r="D201" s="1" t="s">
        <v>63</v>
      </c>
      <c r="E201" s="1">
        <v>85326</v>
      </c>
      <c r="F201" s="1" t="s">
        <v>310</v>
      </c>
      <c r="G201" s="1" t="s">
        <v>506</v>
      </c>
      <c r="H201" s="4" t="s">
        <v>27</v>
      </c>
      <c r="V201" s="46">
        <f>IF(
  OR(
    ISNUMBER(SEARCH("unable to locate acct", tblDocketedComments[[#This Row],[Docketed Consumer Comments]])),
    ISNUMBER(SEARCH("unknown", tblDocketedComments[[#This Row],[Docketed Consumer Comments]])),
    ISNUMBER(SEARCH("inactive", tblDocketedComments[[#This Row],[Docketed Consumer Comments]]))
  ),
  0,
  1
)</f>
        <v>1</v>
      </c>
    </row>
    <row r="202" spans="1:22" hidden="1">
      <c r="A202" s="2">
        <v>45903</v>
      </c>
      <c r="B202" s="1" t="s">
        <v>686</v>
      </c>
      <c r="C202" s="1" t="s">
        <v>687</v>
      </c>
      <c r="D202" s="1" t="s">
        <v>68</v>
      </c>
      <c r="E202" s="1">
        <v>85331</v>
      </c>
      <c r="F202" s="1" t="s">
        <v>310</v>
      </c>
      <c r="G202" s="1" t="s">
        <v>506</v>
      </c>
      <c r="H202" s="4" t="s">
        <v>27</v>
      </c>
      <c r="V202" s="46">
        <f>IF(
  OR(
    ISNUMBER(SEARCH("unable to locate acct", tblDocketedComments[[#This Row],[Docketed Consumer Comments]])),
    ISNUMBER(SEARCH("unknown", tblDocketedComments[[#This Row],[Docketed Consumer Comments]])),
    ISNUMBER(SEARCH("inactive", tblDocketedComments[[#This Row],[Docketed Consumer Comments]]))
  ),
  0,
  1
)</f>
        <v>1</v>
      </c>
    </row>
    <row r="203" spans="1:22" hidden="1">
      <c r="A203" s="2">
        <v>45903</v>
      </c>
      <c r="B203" s="1" t="s">
        <v>688</v>
      </c>
      <c r="C203" s="1" t="s">
        <v>312</v>
      </c>
      <c r="D203" s="1" t="s">
        <v>63</v>
      </c>
      <c r="E203" s="1">
        <v>85053</v>
      </c>
      <c r="F203" s="1" t="s">
        <v>310</v>
      </c>
      <c r="G203" s="1" t="s">
        <v>506</v>
      </c>
      <c r="H203" s="4" t="s">
        <v>209</v>
      </c>
      <c r="V203" s="46">
        <f>IF(
  OR(
    ISNUMBER(SEARCH("unable to locate acct", tblDocketedComments[[#This Row],[Docketed Consumer Comments]])),
    ISNUMBER(SEARCH("unknown", tblDocketedComments[[#This Row],[Docketed Consumer Comments]])),
    ISNUMBER(SEARCH("inactive", tblDocketedComments[[#This Row],[Docketed Consumer Comments]]))
  ),
  0,
  1
)</f>
        <v>1</v>
      </c>
    </row>
    <row r="204" spans="1:22" hidden="1">
      <c r="A204" s="2">
        <v>45903</v>
      </c>
      <c r="B204" s="1" t="s">
        <v>689</v>
      </c>
      <c r="C204" s="1" t="s">
        <v>690</v>
      </c>
      <c r="D204" s="1" t="s">
        <v>63</v>
      </c>
      <c r="E204" s="1">
        <v>85040</v>
      </c>
      <c r="F204" s="1" t="s">
        <v>691</v>
      </c>
      <c r="G204" s="1" t="s">
        <v>506</v>
      </c>
      <c r="H204" s="4" t="s">
        <v>27</v>
      </c>
      <c r="V204" s="46">
        <f>IF(
  OR(
    ISNUMBER(SEARCH("unable to locate acct", tblDocketedComments[[#This Row],[Docketed Consumer Comments]])),
    ISNUMBER(SEARCH("unknown", tblDocketedComments[[#This Row],[Docketed Consumer Comments]])),
    ISNUMBER(SEARCH("inactive", tblDocketedComments[[#This Row],[Docketed Consumer Comments]]))
  ),
  0,
  1
)</f>
        <v>1</v>
      </c>
    </row>
    <row r="205" spans="1:22" hidden="1">
      <c r="A205" s="2">
        <v>45903</v>
      </c>
      <c r="B205" s="1" t="s">
        <v>692</v>
      </c>
      <c r="C205" s="1" t="s">
        <v>693</v>
      </c>
      <c r="D205" s="1" t="s">
        <v>202</v>
      </c>
      <c r="E205" s="1">
        <v>85383</v>
      </c>
      <c r="F205" s="1" t="s">
        <v>310</v>
      </c>
      <c r="G205" s="1" t="s">
        <v>506</v>
      </c>
      <c r="H205" s="4" t="s">
        <v>694</v>
      </c>
      <c r="I205" s="5" t="s">
        <v>196</v>
      </c>
      <c r="J205" s="5" t="s">
        <v>37</v>
      </c>
      <c r="K205" s="5" t="s">
        <v>37</v>
      </c>
      <c r="L205" s="7" t="s">
        <v>695</v>
      </c>
      <c r="M205" s="5" t="s">
        <v>37</v>
      </c>
      <c r="N205" s="5" t="s">
        <v>37</v>
      </c>
      <c r="O205" s="5" t="s">
        <v>38</v>
      </c>
      <c r="P205" s="2">
        <v>45933</v>
      </c>
      <c r="Q205" s="2">
        <v>45968</v>
      </c>
      <c r="R205" s="1" t="s">
        <v>561</v>
      </c>
      <c r="V205" s="46">
        <f>IF(
  OR(
    ISNUMBER(SEARCH("unable to locate acct", tblDocketedComments[[#This Row],[Docketed Consumer Comments]])),
    ISNUMBER(SEARCH("unknown", tblDocketedComments[[#This Row],[Docketed Consumer Comments]])),
    ISNUMBER(SEARCH("inactive", tblDocketedComments[[#This Row],[Docketed Consumer Comments]]))
  ),
  0,
  1
)</f>
        <v>1</v>
      </c>
    </row>
    <row r="206" spans="1:22" hidden="1">
      <c r="A206" s="2">
        <v>45903</v>
      </c>
      <c r="B206" s="1" t="s">
        <v>696</v>
      </c>
      <c r="C206" s="1" t="s">
        <v>697</v>
      </c>
      <c r="D206" s="1" t="s">
        <v>698</v>
      </c>
      <c r="E206" s="1">
        <v>85375</v>
      </c>
      <c r="F206" s="1" t="s">
        <v>699</v>
      </c>
      <c r="G206" s="1" t="s">
        <v>506</v>
      </c>
      <c r="H206" s="4" t="s">
        <v>700</v>
      </c>
      <c r="I206" s="5" t="s">
        <v>73</v>
      </c>
      <c r="J206" s="5" t="s">
        <v>37</v>
      </c>
      <c r="K206" s="5" t="s">
        <v>37</v>
      </c>
      <c r="L206" s="5" t="s">
        <v>38</v>
      </c>
      <c r="M206" s="5" t="s">
        <v>37</v>
      </c>
      <c r="N206" s="5" t="s">
        <v>37</v>
      </c>
      <c r="O206" s="5" t="s">
        <v>38</v>
      </c>
      <c r="P206" s="5" t="s">
        <v>39</v>
      </c>
      <c r="Q206" s="2">
        <v>45968</v>
      </c>
      <c r="V206" s="46">
        <f>IF(
  OR(
    ISNUMBER(SEARCH("unable to locate acct", tblDocketedComments[[#This Row],[Docketed Consumer Comments]])),
    ISNUMBER(SEARCH("unknown", tblDocketedComments[[#This Row],[Docketed Consumer Comments]])),
    ISNUMBER(SEARCH("inactive", tblDocketedComments[[#This Row],[Docketed Consumer Comments]]))
  ),
  0,
  1
)</f>
        <v>1</v>
      </c>
    </row>
    <row r="207" spans="1:22" hidden="1">
      <c r="A207" s="2">
        <v>45903</v>
      </c>
      <c r="B207" s="1" t="s">
        <v>701</v>
      </c>
      <c r="C207" s="1" t="s">
        <v>702</v>
      </c>
      <c r="D207" s="1" t="s">
        <v>169</v>
      </c>
      <c r="E207" s="1">
        <v>85395</v>
      </c>
      <c r="F207" s="1" t="s">
        <v>703</v>
      </c>
      <c r="G207" s="1" t="s">
        <v>506</v>
      </c>
      <c r="H207" s="4" t="s">
        <v>90</v>
      </c>
      <c r="V207" s="46">
        <f>IF(
  OR(
    ISNUMBER(SEARCH("unable to locate acct", tblDocketedComments[[#This Row],[Docketed Consumer Comments]])),
    ISNUMBER(SEARCH("unknown", tblDocketedComments[[#This Row],[Docketed Consumer Comments]])),
    ISNUMBER(SEARCH("inactive", tblDocketedComments[[#This Row],[Docketed Consumer Comments]]))
  ),
  0,
  1
)</f>
        <v>1</v>
      </c>
    </row>
    <row r="208" spans="1:22" hidden="1">
      <c r="A208" s="2">
        <v>45903</v>
      </c>
      <c r="B208" s="1" t="s">
        <v>704</v>
      </c>
      <c r="C208" s="1" t="s">
        <v>395</v>
      </c>
      <c r="D208" s="1" t="s">
        <v>63</v>
      </c>
      <c r="E208" s="1">
        <v>85003</v>
      </c>
      <c r="F208" s="1" t="s">
        <v>310</v>
      </c>
      <c r="G208" s="1" t="s">
        <v>506</v>
      </c>
      <c r="H208" s="4" t="s">
        <v>27</v>
      </c>
      <c r="V208" s="46">
        <f>IF(
  OR(
    ISNUMBER(SEARCH("unable to locate acct", tblDocketedComments[[#This Row],[Docketed Consumer Comments]])),
    ISNUMBER(SEARCH("unknown", tblDocketedComments[[#This Row],[Docketed Consumer Comments]])),
    ISNUMBER(SEARCH("inactive", tblDocketedComments[[#This Row],[Docketed Consumer Comments]]))
  ),
  0,
  1
)</f>
        <v>1</v>
      </c>
    </row>
    <row r="209" spans="1:22" hidden="1">
      <c r="A209" s="2">
        <v>45903</v>
      </c>
      <c r="B209" s="1" t="s">
        <v>367</v>
      </c>
      <c r="C209" s="1" t="s">
        <v>705</v>
      </c>
      <c r="D209" s="1" t="s">
        <v>240</v>
      </c>
      <c r="E209" s="1">
        <v>85340</v>
      </c>
      <c r="F209" s="1" t="s">
        <v>310</v>
      </c>
      <c r="G209" s="1" t="s">
        <v>506</v>
      </c>
      <c r="H209" s="4" t="s">
        <v>27</v>
      </c>
      <c r="V209" s="46">
        <f>IF(
  OR(
    ISNUMBER(SEARCH("unable to locate acct", tblDocketedComments[[#This Row],[Docketed Consumer Comments]])),
    ISNUMBER(SEARCH("unknown", tblDocketedComments[[#This Row],[Docketed Consumer Comments]])),
    ISNUMBER(SEARCH("inactive", tblDocketedComments[[#This Row],[Docketed Consumer Comments]]))
  ),
  0,
  1
)</f>
        <v>1</v>
      </c>
    </row>
    <row r="210" spans="1:22" hidden="1">
      <c r="A210" s="2">
        <v>45903</v>
      </c>
      <c r="B210" s="1" t="s">
        <v>706</v>
      </c>
      <c r="C210" s="1" t="s">
        <v>707</v>
      </c>
      <c r="D210" s="1" t="s">
        <v>112</v>
      </c>
      <c r="E210" s="1">
        <v>85388</v>
      </c>
      <c r="F210" s="1" t="s">
        <v>708</v>
      </c>
      <c r="G210" s="1" t="s">
        <v>506</v>
      </c>
      <c r="H210" s="4" t="s">
        <v>709</v>
      </c>
      <c r="I210" s="5" t="s">
        <v>36</v>
      </c>
      <c r="J210" s="5" t="s">
        <v>37</v>
      </c>
      <c r="K210" s="5" t="s">
        <v>37</v>
      </c>
      <c r="L210" s="5" t="s">
        <v>38</v>
      </c>
      <c r="M210" s="5" t="s">
        <v>37</v>
      </c>
      <c r="N210" s="5" t="s">
        <v>37</v>
      </c>
      <c r="O210" s="5" t="s">
        <v>38</v>
      </c>
      <c r="P210" s="5" t="s">
        <v>39</v>
      </c>
      <c r="Q210" s="2">
        <v>45968</v>
      </c>
      <c r="V210" s="46">
        <f>IF(
  OR(
    ISNUMBER(SEARCH("unable to locate acct", tblDocketedComments[[#This Row],[Docketed Consumer Comments]])),
    ISNUMBER(SEARCH("unknown", tblDocketedComments[[#This Row],[Docketed Consumer Comments]])),
    ISNUMBER(SEARCH("inactive", tblDocketedComments[[#This Row],[Docketed Consumer Comments]]))
  ),
  0,
  1
)</f>
        <v>1</v>
      </c>
    </row>
    <row r="211" spans="1:22" hidden="1">
      <c r="A211" s="2">
        <v>45903</v>
      </c>
      <c r="B211" s="1" t="s">
        <v>710</v>
      </c>
      <c r="C211" s="1" t="s">
        <v>711</v>
      </c>
      <c r="D211" s="1" t="s">
        <v>174</v>
      </c>
      <c r="E211" s="1">
        <v>85326</v>
      </c>
      <c r="F211" s="1" t="s">
        <v>712</v>
      </c>
      <c r="G211" s="1" t="s">
        <v>506</v>
      </c>
      <c r="H211" s="4" t="s">
        <v>90</v>
      </c>
      <c r="V211" s="46">
        <f>IF(
  OR(
    ISNUMBER(SEARCH("unable to locate acct", tblDocketedComments[[#This Row],[Docketed Consumer Comments]])),
    ISNUMBER(SEARCH("unknown", tblDocketedComments[[#This Row],[Docketed Consumer Comments]])),
    ISNUMBER(SEARCH("inactive", tblDocketedComments[[#This Row],[Docketed Consumer Comments]]))
  ),
  0,
  1
)</f>
        <v>1</v>
      </c>
    </row>
    <row r="212" spans="1:22" hidden="1">
      <c r="A212" s="2">
        <v>45903</v>
      </c>
      <c r="B212" s="1" t="s">
        <v>713</v>
      </c>
      <c r="C212" s="1" t="s">
        <v>714</v>
      </c>
      <c r="D212" s="1" t="s">
        <v>63</v>
      </c>
      <c r="E212" s="1">
        <v>85085</v>
      </c>
      <c r="F212" s="1" t="s">
        <v>310</v>
      </c>
      <c r="G212" s="1" t="s">
        <v>506</v>
      </c>
      <c r="H212" s="4" t="s">
        <v>715</v>
      </c>
      <c r="I212" s="5" t="s">
        <v>36</v>
      </c>
      <c r="J212" s="5" t="s">
        <v>37</v>
      </c>
      <c r="K212" s="5" t="s">
        <v>37</v>
      </c>
      <c r="L212" s="5" t="s">
        <v>38</v>
      </c>
      <c r="M212" s="5" t="s">
        <v>37</v>
      </c>
      <c r="N212" s="5" t="s">
        <v>37</v>
      </c>
      <c r="O212" s="5" t="s">
        <v>38</v>
      </c>
      <c r="P212" s="5" t="s">
        <v>39</v>
      </c>
      <c r="Q212" s="2">
        <v>45968</v>
      </c>
      <c r="V212" s="46">
        <f>IF(
  OR(
    ISNUMBER(SEARCH("unable to locate acct", tblDocketedComments[[#This Row],[Docketed Consumer Comments]])),
    ISNUMBER(SEARCH("unknown", tblDocketedComments[[#This Row],[Docketed Consumer Comments]])),
    ISNUMBER(SEARCH("inactive", tblDocketedComments[[#This Row],[Docketed Consumer Comments]]))
  ),
  0,
  1
)</f>
        <v>1</v>
      </c>
    </row>
    <row r="213" spans="1:22" ht="12.75" hidden="1" customHeight="1">
      <c r="A213" s="2">
        <v>45903</v>
      </c>
      <c r="B213" s="1" t="s">
        <v>716</v>
      </c>
      <c r="C213" s="1" t="s">
        <v>717</v>
      </c>
      <c r="D213" s="1" t="s">
        <v>240</v>
      </c>
      <c r="E213" s="1">
        <v>85340</v>
      </c>
      <c r="F213" s="1" t="s">
        <v>718</v>
      </c>
      <c r="G213" s="1" t="s">
        <v>506</v>
      </c>
      <c r="H213" s="4" t="s">
        <v>719</v>
      </c>
      <c r="I213" s="17" t="s">
        <v>720</v>
      </c>
      <c r="J213" s="5" t="s">
        <v>37</v>
      </c>
      <c r="K213" s="5" t="s">
        <v>37</v>
      </c>
      <c r="L213" s="5" t="s">
        <v>721</v>
      </c>
      <c r="M213" s="5" t="s">
        <v>37</v>
      </c>
      <c r="N213" s="5" t="s">
        <v>37</v>
      </c>
      <c r="O213" s="5" t="s">
        <v>38</v>
      </c>
      <c r="P213" s="5" t="s">
        <v>39</v>
      </c>
      <c r="Q213" s="2">
        <v>45968</v>
      </c>
      <c r="V213" s="46">
        <f>IF(
  OR(
    ISNUMBER(SEARCH("unable to locate acct", tblDocketedComments[[#This Row],[Docketed Consumer Comments]])),
    ISNUMBER(SEARCH("unknown", tblDocketedComments[[#This Row],[Docketed Consumer Comments]])),
    ISNUMBER(SEARCH("inactive", tblDocketedComments[[#This Row],[Docketed Consumer Comments]]))
  ),
  0,
  1
)</f>
        <v>1</v>
      </c>
    </row>
    <row r="214" spans="1:22" hidden="1">
      <c r="A214" s="2">
        <v>45903</v>
      </c>
      <c r="B214" s="1" t="s">
        <v>686</v>
      </c>
      <c r="C214" s="1" t="s">
        <v>722</v>
      </c>
      <c r="D214" s="1" t="s">
        <v>370</v>
      </c>
      <c r="E214" s="1">
        <v>85225</v>
      </c>
      <c r="F214" s="1" t="s">
        <v>310</v>
      </c>
      <c r="G214" s="1" t="s">
        <v>506</v>
      </c>
      <c r="H214" s="4" t="s">
        <v>723</v>
      </c>
      <c r="I214" s="5" t="s">
        <v>36</v>
      </c>
      <c r="J214" s="5" t="s">
        <v>37</v>
      </c>
      <c r="K214" s="5" t="s">
        <v>37</v>
      </c>
      <c r="L214" s="5" t="s">
        <v>38</v>
      </c>
      <c r="M214" s="5" t="s">
        <v>37</v>
      </c>
      <c r="N214" s="5" t="s">
        <v>37</v>
      </c>
      <c r="O214" s="5" t="s">
        <v>38</v>
      </c>
      <c r="P214" s="5" t="s">
        <v>39</v>
      </c>
      <c r="Q214" s="2">
        <v>45968</v>
      </c>
      <c r="U214" s="1" t="s">
        <v>724</v>
      </c>
      <c r="V214" s="46">
        <f>IF(
  OR(
    ISNUMBER(SEARCH("unable to locate acct", tblDocketedComments[[#This Row],[Docketed Consumer Comments]])),
    ISNUMBER(SEARCH("unknown", tblDocketedComments[[#This Row],[Docketed Consumer Comments]])),
    ISNUMBER(SEARCH("inactive", tblDocketedComments[[#This Row],[Docketed Consumer Comments]]))
  ),
  0,
  1
)</f>
        <v>1</v>
      </c>
    </row>
    <row r="215" spans="1:22" hidden="1">
      <c r="A215" s="2">
        <v>45903</v>
      </c>
      <c r="B215" s="1" t="s">
        <v>725</v>
      </c>
      <c r="C215" s="1" t="s">
        <v>153</v>
      </c>
      <c r="D215" s="1" t="s">
        <v>63</v>
      </c>
      <c r="E215" s="1">
        <v>85051</v>
      </c>
      <c r="F215" s="1" t="s">
        <v>310</v>
      </c>
      <c r="G215" s="1" t="s">
        <v>506</v>
      </c>
      <c r="H215" s="4" t="s">
        <v>726</v>
      </c>
      <c r="I215" s="5" t="s">
        <v>73</v>
      </c>
      <c r="J215" s="5" t="s">
        <v>37</v>
      </c>
      <c r="K215" s="5" t="s">
        <v>37</v>
      </c>
      <c r="L215" s="5" t="s">
        <v>38</v>
      </c>
      <c r="M215" s="5" t="s">
        <v>37</v>
      </c>
      <c r="N215" s="5" t="s">
        <v>37</v>
      </c>
      <c r="O215" s="5" t="s">
        <v>38</v>
      </c>
      <c r="P215" s="5" t="s">
        <v>39</v>
      </c>
      <c r="Q215" s="2">
        <v>45968</v>
      </c>
      <c r="V215" s="46">
        <f>IF(
  OR(
    ISNUMBER(SEARCH("unable to locate acct", tblDocketedComments[[#This Row],[Docketed Consumer Comments]])),
    ISNUMBER(SEARCH("unknown", tblDocketedComments[[#This Row],[Docketed Consumer Comments]])),
    ISNUMBER(SEARCH("inactive", tblDocketedComments[[#This Row],[Docketed Consumer Comments]]))
  ),
  0,
  1
)</f>
        <v>1</v>
      </c>
    </row>
    <row r="216" spans="1:22" hidden="1">
      <c r="A216" s="2">
        <v>45903</v>
      </c>
      <c r="B216" s="1" t="s">
        <v>727</v>
      </c>
      <c r="C216" s="1" t="s">
        <v>728</v>
      </c>
      <c r="D216" s="1" t="s">
        <v>63</v>
      </c>
      <c r="E216" s="1">
        <v>85393</v>
      </c>
      <c r="F216" s="1" t="s">
        <v>310</v>
      </c>
      <c r="G216" s="1" t="s">
        <v>506</v>
      </c>
      <c r="H216" s="4" t="s">
        <v>27</v>
      </c>
      <c r="V216" s="46">
        <f>IF(
  OR(
    ISNUMBER(SEARCH("unable to locate acct", tblDocketedComments[[#This Row],[Docketed Consumer Comments]])),
    ISNUMBER(SEARCH("unknown", tblDocketedComments[[#This Row],[Docketed Consumer Comments]])),
    ISNUMBER(SEARCH("inactive", tblDocketedComments[[#This Row],[Docketed Consumer Comments]]))
  ),
  0,
  1
)</f>
        <v>1</v>
      </c>
    </row>
    <row r="217" spans="1:22" hidden="1">
      <c r="A217" s="2">
        <v>45903</v>
      </c>
      <c r="B217" s="1" t="s">
        <v>729</v>
      </c>
      <c r="C217" s="1" t="s">
        <v>690</v>
      </c>
      <c r="D217" s="1" t="s">
        <v>112</v>
      </c>
      <c r="E217" s="1">
        <v>85388</v>
      </c>
      <c r="F217" s="1" t="s">
        <v>730</v>
      </c>
      <c r="G217" s="1" t="s">
        <v>506</v>
      </c>
      <c r="H217" s="4" t="s">
        <v>731</v>
      </c>
      <c r="I217" s="5" t="s">
        <v>46</v>
      </c>
      <c r="J217" s="5" t="s">
        <v>37</v>
      </c>
      <c r="K217" s="5" t="s">
        <v>37</v>
      </c>
      <c r="L217" s="5" t="s">
        <v>38</v>
      </c>
      <c r="M217" s="5" t="s">
        <v>37</v>
      </c>
      <c r="N217" s="5" t="s">
        <v>37</v>
      </c>
      <c r="O217" s="5" t="s">
        <v>38</v>
      </c>
      <c r="P217" s="5" t="s">
        <v>39</v>
      </c>
      <c r="Q217" s="2">
        <v>45968</v>
      </c>
      <c r="V217" s="46">
        <f>IF(
  OR(
    ISNUMBER(SEARCH("unable to locate acct", tblDocketedComments[[#This Row],[Docketed Consumer Comments]])),
    ISNUMBER(SEARCH("unknown", tblDocketedComments[[#This Row],[Docketed Consumer Comments]])),
    ISNUMBER(SEARCH("inactive", tblDocketedComments[[#This Row],[Docketed Consumer Comments]]))
  ),
  0,
  1
)</f>
        <v>1</v>
      </c>
    </row>
    <row r="218" spans="1:22" hidden="1">
      <c r="A218" s="2">
        <v>45903</v>
      </c>
      <c r="B218" s="1" t="s">
        <v>732</v>
      </c>
      <c r="C218" s="1" t="s">
        <v>733</v>
      </c>
      <c r="D218" s="1" t="s">
        <v>169</v>
      </c>
      <c r="E218" s="1">
        <v>85338</v>
      </c>
      <c r="F218" s="1" t="s">
        <v>734</v>
      </c>
      <c r="G218" s="1" t="s">
        <v>506</v>
      </c>
      <c r="H218" s="4" t="s">
        <v>735</v>
      </c>
      <c r="I218" s="5" t="s">
        <v>73</v>
      </c>
      <c r="J218" s="5" t="s">
        <v>37</v>
      </c>
      <c r="K218" s="5" t="s">
        <v>37</v>
      </c>
      <c r="L218" s="5" t="s">
        <v>38</v>
      </c>
      <c r="M218" s="5" t="s">
        <v>37</v>
      </c>
      <c r="N218" s="5" t="s">
        <v>37</v>
      </c>
      <c r="O218" s="5" t="s">
        <v>38</v>
      </c>
      <c r="P218" s="5" t="s">
        <v>39</v>
      </c>
      <c r="Q218" s="2">
        <v>45968</v>
      </c>
      <c r="V218" s="46">
        <f>IF(
  OR(
    ISNUMBER(SEARCH("unable to locate acct", tblDocketedComments[[#This Row],[Docketed Consumer Comments]])),
    ISNUMBER(SEARCH("unknown", tblDocketedComments[[#This Row],[Docketed Consumer Comments]])),
    ISNUMBER(SEARCH("inactive", tblDocketedComments[[#This Row],[Docketed Consumer Comments]]))
  ),
  0,
  1
)</f>
        <v>1</v>
      </c>
    </row>
    <row r="219" spans="1:22" hidden="1">
      <c r="A219" s="2">
        <v>45903</v>
      </c>
      <c r="B219" s="1" t="s">
        <v>736</v>
      </c>
      <c r="C219" s="1" t="s">
        <v>411</v>
      </c>
      <c r="D219" s="1" t="s">
        <v>737</v>
      </c>
      <c r="E219" s="1">
        <v>86326</v>
      </c>
      <c r="F219" s="1" t="s">
        <v>738</v>
      </c>
      <c r="G219" s="1" t="s">
        <v>506</v>
      </c>
      <c r="H219" s="4" t="s">
        <v>739</v>
      </c>
      <c r="I219" s="5" t="s">
        <v>541</v>
      </c>
      <c r="J219" s="5" t="s">
        <v>37</v>
      </c>
      <c r="K219" s="5" t="s">
        <v>37</v>
      </c>
      <c r="L219" s="5" t="s">
        <v>389</v>
      </c>
      <c r="M219" s="5" t="s">
        <v>37</v>
      </c>
      <c r="N219" s="5" t="s">
        <v>37</v>
      </c>
      <c r="O219" s="5" t="s">
        <v>38</v>
      </c>
      <c r="P219" s="5" t="s">
        <v>39</v>
      </c>
      <c r="Q219" s="2">
        <v>45968</v>
      </c>
      <c r="V219" s="46">
        <f>IF(
  OR(
    ISNUMBER(SEARCH("unable to locate acct", tblDocketedComments[[#This Row],[Docketed Consumer Comments]])),
    ISNUMBER(SEARCH("unknown", tblDocketedComments[[#This Row],[Docketed Consumer Comments]])),
    ISNUMBER(SEARCH("inactive", tblDocketedComments[[#This Row],[Docketed Consumer Comments]]))
  ),
  0,
  1
)</f>
        <v>1</v>
      </c>
    </row>
    <row r="220" spans="1:22" hidden="1">
      <c r="A220" s="2">
        <v>45903</v>
      </c>
      <c r="B220" s="1" t="s">
        <v>740</v>
      </c>
      <c r="C220" s="1" t="s">
        <v>597</v>
      </c>
      <c r="D220" s="1" t="s">
        <v>169</v>
      </c>
      <c r="E220" s="1">
        <v>85338</v>
      </c>
      <c r="F220" s="1" t="s">
        <v>741</v>
      </c>
      <c r="G220" s="1" t="s">
        <v>506</v>
      </c>
      <c r="H220" s="4" t="s">
        <v>742</v>
      </c>
      <c r="I220" s="5" t="s">
        <v>541</v>
      </c>
      <c r="J220" s="5" t="s">
        <v>37</v>
      </c>
      <c r="K220" s="5" t="s">
        <v>37</v>
      </c>
      <c r="L220" s="5" t="s">
        <v>389</v>
      </c>
      <c r="M220" s="5" t="s">
        <v>37</v>
      </c>
      <c r="N220" s="5" t="s">
        <v>37</v>
      </c>
      <c r="O220" s="5" t="s">
        <v>38</v>
      </c>
      <c r="P220" s="5" t="s">
        <v>39</v>
      </c>
      <c r="Q220" s="2">
        <v>45968</v>
      </c>
      <c r="V220" s="46">
        <f>IF(
  OR(
    ISNUMBER(SEARCH("unable to locate acct", tblDocketedComments[[#This Row],[Docketed Consumer Comments]])),
    ISNUMBER(SEARCH("unknown", tblDocketedComments[[#This Row],[Docketed Consumer Comments]])),
    ISNUMBER(SEARCH("inactive", tblDocketedComments[[#This Row],[Docketed Consumer Comments]]))
  ),
  0,
  1
)</f>
        <v>1</v>
      </c>
    </row>
    <row r="221" spans="1:22" hidden="1">
      <c r="A221" s="2">
        <v>45903</v>
      </c>
      <c r="B221" s="1" t="s">
        <v>743</v>
      </c>
      <c r="C221" s="1" t="s">
        <v>744</v>
      </c>
      <c r="D221" s="1" t="s">
        <v>63</v>
      </c>
      <c r="E221" s="1">
        <v>85023</v>
      </c>
      <c r="F221" s="1" t="s">
        <v>310</v>
      </c>
      <c r="G221" s="1" t="s">
        <v>506</v>
      </c>
      <c r="H221" s="4" t="s">
        <v>745</v>
      </c>
      <c r="I221" s="5" t="s">
        <v>36</v>
      </c>
      <c r="J221" s="5" t="s">
        <v>37</v>
      </c>
      <c r="K221" s="5" t="s">
        <v>37</v>
      </c>
      <c r="L221" s="5" t="s">
        <v>38</v>
      </c>
      <c r="M221" s="5" t="s">
        <v>37</v>
      </c>
      <c r="N221" s="5" t="s">
        <v>37</v>
      </c>
      <c r="O221" s="5" t="s">
        <v>38</v>
      </c>
      <c r="P221" s="5" t="s">
        <v>39</v>
      </c>
      <c r="Q221" s="2">
        <v>45968</v>
      </c>
      <c r="V221" s="46">
        <f>IF(
  OR(
    ISNUMBER(SEARCH("unable to locate acct", tblDocketedComments[[#This Row],[Docketed Consumer Comments]])),
    ISNUMBER(SEARCH("unknown", tblDocketedComments[[#This Row],[Docketed Consumer Comments]])),
    ISNUMBER(SEARCH("inactive", tblDocketedComments[[#This Row],[Docketed Consumer Comments]]))
  ),
  0,
  1
)</f>
        <v>1</v>
      </c>
    </row>
    <row r="222" spans="1:22" hidden="1">
      <c r="A222" s="2">
        <v>45903</v>
      </c>
      <c r="B222" s="1" t="s">
        <v>746</v>
      </c>
      <c r="C222" s="1" t="s">
        <v>747</v>
      </c>
      <c r="D222" s="1" t="s">
        <v>202</v>
      </c>
      <c r="E222" s="1">
        <v>85383</v>
      </c>
      <c r="F222" s="1" t="s">
        <v>748</v>
      </c>
      <c r="G222" s="1" t="s">
        <v>506</v>
      </c>
      <c r="H222" s="4" t="s">
        <v>749</v>
      </c>
      <c r="I222" s="5" t="s">
        <v>126</v>
      </c>
      <c r="J222" s="5" t="s">
        <v>37</v>
      </c>
      <c r="K222" s="5" t="s">
        <v>37</v>
      </c>
      <c r="L222" s="5" t="s">
        <v>38</v>
      </c>
      <c r="M222" s="5" t="s">
        <v>37</v>
      </c>
      <c r="N222" s="5" t="s">
        <v>37</v>
      </c>
      <c r="O222" s="5" t="s">
        <v>38</v>
      </c>
      <c r="P222" s="5" t="s">
        <v>39</v>
      </c>
      <c r="Q222" s="2">
        <v>45968</v>
      </c>
      <c r="V222" s="46">
        <f>IF(
  OR(
    ISNUMBER(SEARCH("unable to locate acct", tblDocketedComments[[#This Row],[Docketed Consumer Comments]])),
    ISNUMBER(SEARCH("unknown", tblDocketedComments[[#This Row],[Docketed Consumer Comments]])),
    ISNUMBER(SEARCH("inactive", tblDocketedComments[[#This Row],[Docketed Consumer Comments]]))
  ),
  0,
  1
)</f>
        <v>1</v>
      </c>
    </row>
    <row r="223" spans="1:22" hidden="1">
      <c r="A223" s="2">
        <v>45903</v>
      </c>
      <c r="B223" s="1" t="s">
        <v>750</v>
      </c>
      <c r="C223" s="1" t="s">
        <v>230</v>
      </c>
      <c r="D223" s="1" t="s">
        <v>169</v>
      </c>
      <c r="E223" s="1">
        <v>85395</v>
      </c>
      <c r="F223" s="1" t="s">
        <v>751</v>
      </c>
      <c r="G223" s="1" t="s">
        <v>506</v>
      </c>
      <c r="H223" s="4" t="s">
        <v>27</v>
      </c>
      <c r="U223" s="1" t="s">
        <v>724</v>
      </c>
      <c r="V223" s="46">
        <f>IF(
  OR(
    ISNUMBER(SEARCH("unable to locate acct", tblDocketedComments[[#This Row],[Docketed Consumer Comments]])),
    ISNUMBER(SEARCH("unknown", tblDocketedComments[[#This Row],[Docketed Consumer Comments]])),
    ISNUMBER(SEARCH("inactive", tblDocketedComments[[#This Row],[Docketed Consumer Comments]]))
  ),
  0,
  1
)</f>
        <v>1</v>
      </c>
    </row>
    <row r="224" spans="1:22" hidden="1">
      <c r="A224" s="2">
        <v>45903</v>
      </c>
      <c r="B224" s="1" t="s">
        <v>752</v>
      </c>
      <c r="C224" s="1" t="s">
        <v>411</v>
      </c>
      <c r="D224" s="1" t="s">
        <v>63</v>
      </c>
      <c r="E224" s="1">
        <v>85085</v>
      </c>
      <c r="F224" s="1" t="s">
        <v>310</v>
      </c>
      <c r="G224" s="1" t="s">
        <v>506</v>
      </c>
      <c r="H224" s="4" t="s">
        <v>753</v>
      </c>
      <c r="I224" s="5" t="s">
        <v>73</v>
      </c>
      <c r="J224" s="5" t="s">
        <v>37</v>
      </c>
      <c r="K224" s="5" t="s">
        <v>37</v>
      </c>
      <c r="L224" s="5" t="s">
        <v>38</v>
      </c>
      <c r="M224" s="5" t="s">
        <v>37</v>
      </c>
      <c r="N224" s="5" t="s">
        <v>37</v>
      </c>
      <c r="O224" s="5" t="s">
        <v>38</v>
      </c>
      <c r="P224" s="5" t="s">
        <v>39</v>
      </c>
      <c r="Q224" s="2">
        <v>45968</v>
      </c>
      <c r="V224" s="46">
        <f>IF(
  OR(
    ISNUMBER(SEARCH("unable to locate acct", tblDocketedComments[[#This Row],[Docketed Consumer Comments]])),
    ISNUMBER(SEARCH("unknown", tblDocketedComments[[#This Row],[Docketed Consumer Comments]])),
    ISNUMBER(SEARCH("inactive", tblDocketedComments[[#This Row],[Docketed Consumer Comments]]))
  ),
  0,
  1
)</f>
        <v>1</v>
      </c>
    </row>
    <row r="225" spans="1:22" hidden="1">
      <c r="A225" s="2">
        <v>45903</v>
      </c>
      <c r="B225" s="1" t="s">
        <v>754</v>
      </c>
      <c r="C225" s="1" t="s">
        <v>755</v>
      </c>
      <c r="D225" s="1" t="s">
        <v>63</v>
      </c>
      <c r="E225" s="1">
        <v>85034</v>
      </c>
      <c r="F225" s="1" t="s">
        <v>31</v>
      </c>
      <c r="G225" s="1" t="s">
        <v>506</v>
      </c>
      <c r="H225" s="4" t="s">
        <v>90</v>
      </c>
      <c r="V225" s="46">
        <f>IF(
  OR(
    ISNUMBER(SEARCH("unable to locate acct", tblDocketedComments[[#This Row],[Docketed Consumer Comments]])),
    ISNUMBER(SEARCH("unknown", tblDocketedComments[[#This Row],[Docketed Consumer Comments]])),
    ISNUMBER(SEARCH("inactive", tblDocketedComments[[#This Row],[Docketed Consumer Comments]]))
  ),
  0,
  1
)</f>
        <v>1</v>
      </c>
    </row>
    <row r="226" spans="1:22" hidden="1">
      <c r="A226" s="2">
        <v>45903</v>
      </c>
      <c r="B226" s="1" t="s">
        <v>756</v>
      </c>
      <c r="C226" s="1" t="s">
        <v>757</v>
      </c>
      <c r="D226" s="1" t="s">
        <v>24</v>
      </c>
      <c r="E226" s="1">
        <v>85310</v>
      </c>
      <c r="F226" s="1" t="s">
        <v>758</v>
      </c>
      <c r="G226" s="1" t="s">
        <v>506</v>
      </c>
      <c r="H226" s="4" t="s">
        <v>759</v>
      </c>
      <c r="I226" s="5" t="s">
        <v>36</v>
      </c>
      <c r="J226" s="5" t="s">
        <v>37</v>
      </c>
      <c r="K226" s="5" t="s">
        <v>37</v>
      </c>
      <c r="L226" s="5" t="s">
        <v>38</v>
      </c>
      <c r="M226" s="5" t="s">
        <v>37</v>
      </c>
      <c r="N226" s="5" t="s">
        <v>37</v>
      </c>
      <c r="O226" s="5" t="s">
        <v>38</v>
      </c>
      <c r="P226" s="5" t="s">
        <v>39</v>
      </c>
      <c r="Q226" s="2">
        <v>45968</v>
      </c>
      <c r="V226" s="46">
        <f>IF(
  OR(
    ISNUMBER(SEARCH("unable to locate acct", tblDocketedComments[[#This Row],[Docketed Consumer Comments]])),
    ISNUMBER(SEARCH("unknown", tblDocketedComments[[#This Row],[Docketed Consumer Comments]])),
    ISNUMBER(SEARCH("inactive", tblDocketedComments[[#This Row],[Docketed Consumer Comments]]))
  ),
  0,
  1
)</f>
        <v>1</v>
      </c>
    </row>
    <row r="227" spans="1:22" hidden="1">
      <c r="A227" s="2">
        <v>45903</v>
      </c>
      <c r="B227" s="1" t="s">
        <v>227</v>
      </c>
      <c r="C227" s="1" t="s">
        <v>760</v>
      </c>
      <c r="D227" s="1" t="s">
        <v>112</v>
      </c>
      <c r="E227" s="1">
        <v>85388</v>
      </c>
      <c r="F227" s="1" t="s">
        <v>761</v>
      </c>
      <c r="G227" s="1" t="s">
        <v>506</v>
      </c>
      <c r="H227" s="4" t="s">
        <v>209</v>
      </c>
      <c r="V227" s="46">
        <f>IF(
  OR(
    ISNUMBER(SEARCH("unable to locate acct", tblDocketedComments[[#This Row],[Docketed Consumer Comments]])),
    ISNUMBER(SEARCH("unknown", tblDocketedComments[[#This Row],[Docketed Consumer Comments]])),
    ISNUMBER(SEARCH("inactive", tblDocketedComments[[#This Row],[Docketed Consumer Comments]]))
  ),
  0,
  1
)</f>
        <v>1</v>
      </c>
    </row>
    <row r="228" spans="1:22" hidden="1">
      <c r="A228" s="2">
        <v>45903</v>
      </c>
      <c r="B228" s="1" t="s">
        <v>762</v>
      </c>
      <c r="C228" s="1" t="s">
        <v>763</v>
      </c>
      <c r="D228" s="1" t="s">
        <v>63</v>
      </c>
      <c r="E228" s="1">
        <v>85006</v>
      </c>
      <c r="F228" s="1" t="s">
        <v>310</v>
      </c>
      <c r="G228" s="1" t="s">
        <v>506</v>
      </c>
      <c r="H228" s="4" t="s">
        <v>764</v>
      </c>
      <c r="I228" s="5" t="s">
        <v>196</v>
      </c>
      <c r="J228" s="5" t="s">
        <v>37</v>
      </c>
      <c r="K228" s="5" t="s">
        <v>37</v>
      </c>
      <c r="L228" s="7" t="s">
        <v>765</v>
      </c>
      <c r="M228" s="5" t="s">
        <v>37</v>
      </c>
      <c r="N228" s="5" t="s">
        <v>37</v>
      </c>
      <c r="O228" s="5" t="s">
        <v>38</v>
      </c>
      <c r="P228" s="2">
        <v>45933</v>
      </c>
      <c r="Q228" s="2">
        <v>45968</v>
      </c>
      <c r="R228" s="1" t="s">
        <v>766</v>
      </c>
      <c r="V228" s="46">
        <f>IF(
  OR(
    ISNUMBER(SEARCH("unable to locate acct", tblDocketedComments[[#This Row],[Docketed Consumer Comments]])),
    ISNUMBER(SEARCH("unknown", tblDocketedComments[[#This Row],[Docketed Consumer Comments]])),
    ISNUMBER(SEARCH("inactive", tblDocketedComments[[#This Row],[Docketed Consumer Comments]]))
  ),
  0,
  1
)</f>
        <v>1</v>
      </c>
    </row>
    <row r="229" spans="1:22" hidden="1">
      <c r="A229" s="2">
        <v>45903</v>
      </c>
      <c r="B229" s="1" t="s">
        <v>767</v>
      </c>
      <c r="C229" s="1" t="s">
        <v>768</v>
      </c>
      <c r="D229" s="1" t="s">
        <v>125</v>
      </c>
      <c r="E229" s="1">
        <v>85254</v>
      </c>
      <c r="F229" s="1" t="s">
        <v>310</v>
      </c>
      <c r="G229" s="1" t="s">
        <v>506</v>
      </c>
      <c r="H229" s="4" t="s">
        <v>769</v>
      </c>
      <c r="I229" s="5" t="s">
        <v>196</v>
      </c>
      <c r="J229" s="5" t="s">
        <v>37</v>
      </c>
      <c r="K229" s="5" t="s">
        <v>37</v>
      </c>
      <c r="L229" s="5" t="s">
        <v>38</v>
      </c>
      <c r="M229" s="5" t="s">
        <v>37</v>
      </c>
      <c r="N229" s="5" t="s">
        <v>37</v>
      </c>
      <c r="O229" s="5" t="s">
        <v>38</v>
      </c>
      <c r="P229" s="5" t="s">
        <v>39</v>
      </c>
      <c r="Q229" s="2">
        <v>45968</v>
      </c>
      <c r="V229" s="46">
        <f>IF(
  OR(
    ISNUMBER(SEARCH("unable to locate acct", tblDocketedComments[[#This Row],[Docketed Consumer Comments]])),
    ISNUMBER(SEARCH("unknown", tblDocketedComments[[#This Row],[Docketed Consumer Comments]])),
    ISNUMBER(SEARCH("inactive", tblDocketedComments[[#This Row],[Docketed Consumer Comments]]))
  ),
  0,
  1
)</f>
        <v>1</v>
      </c>
    </row>
    <row r="230" spans="1:22" hidden="1">
      <c r="A230" s="2">
        <v>45903</v>
      </c>
      <c r="B230" s="1" t="s">
        <v>770</v>
      </c>
      <c r="C230" s="1" t="s">
        <v>771</v>
      </c>
      <c r="D230" s="1" t="s">
        <v>202</v>
      </c>
      <c r="E230" s="1">
        <v>85383</v>
      </c>
      <c r="F230" s="1" t="s">
        <v>772</v>
      </c>
      <c r="G230" s="1" t="s">
        <v>506</v>
      </c>
      <c r="H230" s="4" t="s">
        <v>773</v>
      </c>
      <c r="I230" s="5" t="s">
        <v>196</v>
      </c>
      <c r="J230" s="5" t="s">
        <v>38</v>
      </c>
      <c r="K230" s="5" t="s">
        <v>37</v>
      </c>
      <c r="L230" s="5" t="s">
        <v>38</v>
      </c>
      <c r="M230" s="5" t="s">
        <v>37</v>
      </c>
      <c r="N230" s="5" t="s">
        <v>37</v>
      </c>
      <c r="O230" s="5" t="s">
        <v>38</v>
      </c>
      <c r="P230" s="5" t="s">
        <v>39</v>
      </c>
      <c r="Q230" s="2">
        <v>45968</v>
      </c>
      <c r="V230" s="46">
        <f>IF(
  OR(
    ISNUMBER(SEARCH("unable to locate acct", tblDocketedComments[[#This Row],[Docketed Consumer Comments]])),
    ISNUMBER(SEARCH("unknown", tblDocketedComments[[#This Row],[Docketed Consumer Comments]])),
    ISNUMBER(SEARCH("inactive", tblDocketedComments[[#This Row],[Docketed Consumer Comments]]))
  ),
  0,
  1
)</f>
        <v>1</v>
      </c>
    </row>
    <row r="231" spans="1:22" hidden="1">
      <c r="A231" s="2">
        <v>45903</v>
      </c>
      <c r="B231" s="1" t="s">
        <v>774</v>
      </c>
      <c r="C231" s="1" t="s">
        <v>320</v>
      </c>
      <c r="D231" s="1" t="s">
        <v>428</v>
      </c>
      <c r="E231" s="1">
        <v>85335</v>
      </c>
      <c r="F231" s="1" t="s">
        <v>310</v>
      </c>
      <c r="G231" s="1" t="s">
        <v>506</v>
      </c>
      <c r="H231" s="4" t="s">
        <v>775</v>
      </c>
      <c r="I231" s="5" t="s">
        <v>36</v>
      </c>
      <c r="J231" s="5" t="s">
        <v>37</v>
      </c>
      <c r="K231" s="5" t="s">
        <v>37</v>
      </c>
      <c r="L231" s="5" t="s">
        <v>38</v>
      </c>
      <c r="M231" s="5" t="s">
        <v>37</v>
      </c>
      <c r="N231" s="5" t="s">
        <v>37</v>
      </c>
      <c r="O231" s="5" t="s">
        <v>38</v>
      </c>
      <c r="P231" s="5" t="s">
        <v>39</v>
      </c>
      <c r="Q231" s="2">
        <v>45968</v>
      </c>
      <c r="V231" s="46">
        <f>IF(
  OR(
    ISNUMBER(SEARCH("unable to locate acct", tblDocketedComments[[#This Row],[Docketed Consumer Comments]])),
    ISNUMBER(SEARCH("unknown", tblDocketedComments[[#This Row],[Docketed Consumer Comments]])),
    ISNUMBER(SEARCH("inactive", tblDocketedComments[[#This Row],[Docketed Consumer Comments]]))
  ),
  0,
  1
)</f>
        <v>1</v>
      </c>
    </row>
    <row r="232" spans="1:22" hidden="1">
      <c r="A232" s="2">
        <v>45903</v>
      </c>
      <c r="B232" s="1" t="s">
        <v>776</v>
      </c>
      <c r="C232" s="1" t="s">
        <v>777</v>
      </c>
      <c r="D232" s="1" t="s">
        <v>174</v>
      </c>
      <c r="E232" s="1">
        <v>85326</v>
      </c>
      <c r="F232" s="1" t="s">
        <v>310</v>
      </c>
      <c r="G232" s="1" t="s">
        <v>506</v>
      </c>
      <c r="H232" s="18" t="s">
        <v>778</v>
      </c>
      <c r="I232" s="5" t="s">
        <v>36</v>
      </c>
      <c r="J232" s="5" t="s">
        <v>37</v>
      </c>
      <c r="K232" s="5" t="s">
        <v>37</v>
      </c>
      <c r="L232" s="5" t="s">
        <v>38</v>
      </c>
      <c r="M232" s="5" t="s">
        <v>37</v>
      </c>
      <c r="N232" s="5" t="s">
        <v>37</v>
      </c>
      <c r="O232" s="5" t="s">
        <v>38</v>
      </c>
      <c r="P232" s="5" t="s">
        <v>39</v>
      </c>
      <c r="Q232" s="2">
        <v>45968</v>
      </c>
      <c r="V232" s="46">
        <f>IF(
  OR(
    ISNUMBER(SEARCH("unable to locate acct", tblDocketedComments[[#This Row],[Docketed Consumer Comments]])),
    ISNUMBER(SEARCH("unknown", tblDocketedComments[[#This Row],[Docketed Consumer Comments]])),
    ISNUMBER(SEARCH("inactive", tblDocketedComments[[#This Row],[Docketed Consumer Comments]]))
  ),
  0,
  1
)</f>
        <v>1</v>
      </c>
    </row>
    <row r="233" spans="1:22" hidden="1">
      <c r="A233" s="2">
        <v>45903</v>
      </c>
      <c r="B233" s="1" t="s">
        <v>779</v>
      </c>
      <c r="C233" s="1" t="s">
        <v>780</v>
      </c>
      <c r="D233" s="1" t="s">
        <v>63</v>
      </c>
      <c r="E233" s="1">
        <v>85023</v>
      </c>
      <c r="F233" s="1" t="s">
        <v>31</v>
      </c>
      <c r="G233" s="1" t="s">
        <v>506</v>
      </c>
      <c r="H233" s="4" t="s">
        <v>90</v>
      </c>
      <c r="V233" s="46">
        <f>IF(
  OR(
    ISNUMBER(SEARCH("unable to locate acct", tblDocketedComments[[#This Row],[Docketed Consumer Comments]])),
    ISNUMBER(SEARCH("unknown", tblDocketedComments[[#This Row],[Docketed Consumer Comments]])),
    ISNUMBER(SEARCH("inactive", tblDocketedComments[[#This Row],[Docketed Consumer Comments]]))
  ),
  0,
  1
)</f>
        <v>1</v>
      </c>
    </row>
    <row r="234" spans="1:22" hidden="1">
      <c r="A234" s="2">
        <v>45903</v>
      </c>
      <c r="B234" s="1" t="s">
        <v>781</v>
      </c>
      <c r="C234" s="1" t="s">
        <v>782</v>
      </c>
      <c r="D234" s="1" t="s">
        <v>202</v>
      </c>
      <c r="E234" s="1">
        <v>85383</v>
      </c>
      <c r="F234" s="1" t="s">
        <v>31</v>
      </c>
      <c r="G234" s="1" t="s">
        <v>506</v>
      </c>
      <c r="H234" s="4" t="s">
        <v>27</v>
      </c>
      <c r="V234" s="46">
        <f>IF(
  OR(
    ISNUMBER(SEARCH("unable to locate acct", tblDocketedComments[[#This Row],[Docketed Consumer Comments]])),
    ISNUMBER(SEARCH("unknown", tblDocketedComments[[#This Row],[Docketed Consumer Comments]])),
    ISNUMBER(SEARCH("inactive", tblDocketedComments[[#This Row],[Docketed Consumer Comments]]))
  ),
  0,
  1
)</f>
        <v>1</v>
      </c>
    </row>
    <row r="235" spans="1:22" hidden="1">
      <c r="A235" s="2">
        <v>45903</v>
      </c>
      <c r="B235" s="1" t="s">
        <v>783</v>
      </c>
      <c r="C235" s="1" t="s">
        <v>784</v>
      </c>
      <c r="D235" s="1" t="s">
        <v>63</v>
      </c>
      <c r="E235" s="1">
        <v>85015</v>
      </c>
      <c r="F235" s="1" t="s">
        <v>785</v>
      </c>
      <c r="G235" s="1" t="s">
        <v>506</v>
      </c>
      <c r="H235" s="4" t="s">
        <v>27</v>
      </c>
      <c r="U235" s="1" t="s">
        <v>724</v>
      </c>
      <c r="V235" s="46">
        <f>IF(
  OR(
    ISNUMBER(SEARCH("unable to locate acct", tblDocketedComments[[#This Row],[Docketed Consumer Comments]])),
    ISNUMBER(SEARCH("unknown", tblDocketedComments[[#This Row],[Docketed Consumer Comments]])),
    ISNUMBER(SEARCH("inactive", tblDocketedComments[[#This Row],[Docketed Consumer Comments]]))
  ),
  0,
  1
)</f>
        <v>1</v>
      </c>
    </row>
    <row r="236" spans="1:22" hidden="1">
      <c r="A236" s="2">
        <v>45903</v>
      </c>
      <c r="B236" s="1" t="s">
        <v>786</v>
      </c>
      <c r="C236" s="1" t="s">
        <v>787</v>
      </c>
      <c r="D236" s="1" t="s">
        <v>313</v>
      </c>
      <c r="E236" s="1">
        <v>85383</v>
      </c>
      <c r="F236" s="1" t="s">
        <v>310</v>
      </c>
      <c r="G236" s="1" t="s">
        <v>506</v>
      </c>
      <c r="H236" s="4" t="s">
        <v>788</v>
      </c>
      <c r="I236" s="5" t="s">
        <v>36</v>
      </c>
      <c r="J236" s="5" t="s">
        <v>37</v>
      </c>
      <c r="K236" s="5" t="s">
        <v>37</v>
      </c>
      <c r="L236" s="5" t="s">
        <v>38</v>
      </c>
      <c r="M236" s="5" t="s">
        <v>37</v>
      </c>
      <c r="N236" s="5" t="s">
        <v>37</v>
      </c>
      <c r="O236" s="5" t="s">
        <v>38</v>
      </c>
      <c r="P236" s="5" t="s">
        <v>39</v>
      </c>
      <c r="Q236" s="2">
        <v>45968</v>
      </c>
      <c r="V236" s="46">
        <f>IF(
  OR(
    ISNUMBER(SEARCH("unable to locate acct", tblDocketedComments[[#This Row],[Docketed Consumer Comments]])),
    ISNUMBER(SEARCH("unknown", tblDocketedComments[[#This Row],[Docketed Consumer Comments]])),
    ISNUMBER(SEARCH("inactive", tblDocketedComments[[#This Row],[Docketed Consumer Comments]]))
  ),
  0,
  1
)</f>
        <v>1</v>
      </c>
    </row>
    <row r="237" spans="1:22" hidden="1">
      <c r="A237" s="2">
        <v>45903</v>
      </c>
      <c r="B237" s="1" t="s">
        <v>789</v>
      </c>
      <c r="C237" s="1" t="s">
        <v>790</v>
      </c>
      <c r="D237" s="1" t="s">
        <v>523</v>
      </c>
      <c r="E237" s="1">
        <v>85392</v>
      </c>
      <c r="F237" s="1" t="s">
        <v>791</v>
      </c>
      <c r="G237" s="1" t="s">
        <v>506</v>
      </c>
      <c r="H237" s="4" t="s">
        <v>27</v>
      </c>
      <c r="V237" s="46">
        <f>IF(
  OR(
    ISNUMBER(SEARCH("unable to locate acct", tblDocketedComments[[#This Row],[Docketed Consumer Comments]])),
    ISNUMBER(SEARCH("unknown", tblDocketedComments[[#This Row],[Docketed Consumer Comments]])),
    ISNUMBER(SEARCH("inactive", tblDocketedComments[[#This Row],[Docketed Consumer Comments]]))
  ),
  0,
  1
)</f>
        <v>1</v>
      </c>
    </row>
    <row r="238" spans="1:22" hidden="1">
      <c r="A238" s="2">
        <v>45903</v>
      </c>
      <c r="B238" s="1" t="s">
        <v>792</v>
      </c>
      <c r="C238" s="1" t="s">
        <v>793</v>
      </c>
      <c r="D238" s="1" t="s">
        <v>63</v>
      </c>
      <c r="E238" s="1">
        <v>85028</v>
      </c>
      <c r="F238" s="1" t="s">
        <v>310</v>
      </c>
      <c r="G238" s="1" t="s">
        <v>506</v>
      </c>
      <c r="H238" s="19" t="s">
        <v>794</v>
      </c>
      <c r="I238" s="5" t="s">
        <v>36</v>
      </c>
      <c r="J238" s="5" t="s">
        <v>37</v>
      </c>
      <c r="K238" s="5" t="s">
        <v>37</v>
      </c>
      <c r="L238" s="5" t="s">
        <v>38</v>
      </c>
      <c r="M238" s="5" t="s">
        <v>37</v>
      </c>
      <c r="N238" s="5" t="s">
        <v>37</v>
      </c>
      <c r="O238" s="5" t="s">
        <v>38</v>
      </c>
      <c r="P238" s="5" t="s">
        <v>39</v>
      </c>
      <c r="Q238" s="2">
        <v>45968</v>
      </c>
      <c r="V238" s="46">
        <f>IF(
  OR(
    ISNUMBER(SEARCH("unable to locate acct", tblDocketedComments[[#This Row],[Docketed Consumer Comments]])),
    ISNUMBER(SEARCH("unknown", tblDocketedComments[[#This Row],[Docketed Consumer Comments]])),
    ISNUMBER(SEARCH("inactive", tblDocketedComments[[#This Row],[Docketed Consumer Comments]]))
  ),
  0,
  1
)</f>
        <v>1</v>
      </c>
    </row>
    <row r="239" spans="1:22" hidden="1">
      <c r="A239" s="2">
        <v>45903</v>
      </c>
      <c r="B239" s="1" t="s">
        <v>795</v>
      </c>
      <c r="C239" s="1" t="s">
        <v>796</v>
      </c>
      <c r="D239" s="1" t="s">
        <v>202</v>
      </c>
      <c r="E239" s="1">
        <v>85383</v>
      </c>
      <c r="F239" s="1" t="s">
        <v>310</v>
      </c>
      <c r="G239" s="1" t="s">
        <v>506</v>
      </c>
      <c r="H239" s="4" t="s">
        <v>27</v>
      </c>
      <c r="V239" s="46">
        <f>IF(
  OR(
    ISNUMBER(SEARCH("unable to locate acct", tblDocketedComments[[#This Row],[Docketed Consumer Comments]])),
    ISNUMBER(SEARCH("unknown", tblDocketedComments[[#This Row],[Docketed Consumer Comments]])),
    ISNUMBER(SEARCH("inactive", tblDocketedComments[[#This Row],[Docketed Consumer Comments]]))
  ),
  0,
  1
)</f>
        <v>1</v>
      </c>
    </row>
    <row r="240" spans="1:22" hidden="1">
      <c r="A240" s="2">
        <v>45903</v>
      </c>
      <c r="B240" s="1" t="s">
        <v>797</v>
      </c>
      <c r="C240" s="1" t="s">
        <v>363</v>
      </c>
      <c r="D240" s="1" t="s">
        <v>125</v>
      </c>
      <c r="E240" s="1">
        <v>85258</v>
      </c>
      <c r="F240" s="1" t="s">
        <v>798</v>
      </c>
      <c r="G240" s="1" t="s">
        <v>506</v>
      </c>
      <c r="H240" s="4" t="s">
        <v>799</v>
      </c>
      <c r="I240" s="5" t="s">
        <v>36</v>
      </c>
      <c r="J240" s="5" t="s">
        <v>37</v>
      </c>
      <c r="K240" s="5" t="s">
        <v>37</v>
      </c>
      <c r="L240" s="5" t="s">
        <v>38</v>
      </c>
      <c r="M240" s="5" t="s">
        <v>37</v>
      </c>
      <c r="N240" s="5" t="s">
        <v>37</v>
      </c>
      <c r="O240" s="5" t="s">
        <v>38</v>
      </c>
      <c r="P240" s="5" t="s">
        <v>39</v>
      </c>
      <c r="Q240" s="2">
        <v>45968</v>
      </c>
      <c r="V240" s="46">
        <f>IF(
  OR(
    ISNUMBER(SEARCH("unable to locate acct", tblDocketedComments[[#This Row],[Docketed Consumer Comments]])),
    ISNUMBER(SEARCH("unknown", tblDocketedComments[[#This Row],[Docketed Consumer Comments]])),
    ISNUMBER(SEARCH("inactive", tblDocketedComments[[#This Row],[Docketed Consumer Comments]]))
  ),
  0,
  1
)</f>
        <v>1</v>
      </c>
    </row>
    <row r="241" spans="1:22" hidden="1">
      <c r="A241" s="2">
        <v>45903</v>
      </c>
      <c r="B241" s="1" t="s">
        <v>800</v>
      </c>
      <c r="C241" s="1" t="s">
        <v>801</v>
      </c>
      <c r="D241" s="1" t="s">
        <v>63</v>
      </c>
      <c r="E241" s="1">
        <v>85028</v>
      </c>
      <c r="F241" s="1" t="s">
        <v>310</v>
      </c>
      <c r="G241" s="1" t="s">
        <v>506</v>
      </c>
      <c r="H241" s="19" t="s">
        <v>802</v>
      </c>
      <c r="I241" s="5" t="s">
        <v>73</v>
      </c>
      <c r="J241" s="5" t="s">
        <v>37</v>
      </c>
      <c r="K241" s="5" t="s">
        <v>37</v>
      </c>
      <c r="L241" s="5" t="s">
        <v>38</v>
      </c>
      <c r="M241" s="5" t="s">
        <v>37</v>
      </c>
      <c r="N241" s="5" t="s">
        <v>37</v>
      </c>
      <c r="O241" s="5" t="s">
        <v>38</v>
      </c>
      <c r="P241" s="5" t="s">
        <v>39</v>
      </c>
      <c r="Q241" s="2">
        <v>45968</v>
      </c>
      <c r="V241" s="46">
        <f>IF(
  OR(
    ISNUMBER(SEARCH("unable to locate acct", tblDocketedComments[[#This Row],[Docketed Consumer Comments]])),
    ISNUMBER(SEARCH("unknown", tblDocketedComments[[#This Row],[Docketed Consumer Comments]])),
    ISNUMBER(SEARCH("inactive", tblDocketedComments[[#This Row],[Docketed Consumer Comments]]))
  ),
  0,
  1
)</f>
        <v>1</v>
      </c>
    </row>
    <row r="242" spans="1:22" hidden="1">
      <c r="A242" s="2">
        <v>45903</v>
      </c>
      <c r="B242" s="1" t="s">
        <v>803</v>
      </c>
      <c r="C242" s="1" t="s">
        <v>804</v>
      </c>
      <c r="D242" s="1" t="s">
        <v>63</v>
      </c>
      <c r="E242" s="1">
        <v>85085</v>
      </c>
      <c r="F242" s="1" t="s">
        <v>805</v>
      </c>
      <c r="G242" s="1" t="s">
        <v>506</v>
      </c>
      <c r="H242" s="19" t="s">
        <v>806</v>
      </c>
      <c r="I242" s="5" t="s">
        <v>196</v>
      </c>
      <c r="J242" s="5" t="s">
        <v>37</v>
      </c>
      <c r="K242" s="5" t="s">
        <v>37</v>
      </c>
      <c r="L242" s="5" t="s">
        <v>38</v>
      </c>
      <c r="M242" s="5" t="s">
        <v>37</v>
      </c>
      <c r="N242" s="5" t="s">
        <v>37</v>
      </c>
      <c r="O242" s="5" t="s">
        <v>38</v>
      </c>
      <c r="P242" s="5" t="s">
        <v>39</v>
      </c>
      <c r="Q242" s="2">
        <v>45968</v>
      </c>
      <c r="V242" s="46">
        <f>IF(
  OR(
    ISNUMBER(SEARCH("unable to locate acct", tblDocketedComments[[#This Row],[Docketed Consumer Comments]])),
    ISNUMBER(SEARCH("unknown", tblDocketedComments[[#This Row],[Docketed Consumer Comments]])),
    ISNUMBER(SEARCH("inactive", tblDocketedComments[[#This Row],[Docketed Consumer Comments]]))
  ),
  0,
  1
)</f>
        <v>1</v>
      </c>
    </row>
    <row r="243" spans="1:22" hidden="1">
      <c r="A243" s="2">
        <v>45903</v>
      </c>
      <c r="B243" s="1" t="s">
        <v>807</v>
      </c>
      <c r="C243" s="1" t="s">
        <v>808</v>
      </c>
      <c r="D243" s="1" t="s">
        <v>169</v>
      </c>
      <c r="E243" s="1">
        <v>85338</v>
      </c>
      <c r="F243" s="1" t="s">
        <v>809</v>
      </c>
      <c r="G243" s="1" t="s">
        <v>506</v>
      </c>
      <c r="H243" s="4" t="s">
        <v>27</v>
      </c>
      <c r="V243" s="46">
        <f>IF(
  OR(
    ISNUMBER(SEARCH("unable to locate acct", tblDocketedComments[[#This Row],[Docketed Consumer Comments]])),
    ISNUMBER(SEARCH("unknown", tblDocketedComments[[#This Row],[Docketed Consumer Comments]])),
    ISNUMBER(SEARCH("inactive", tblDocketedComments[[#This Row],[Docketed Consumer Comments]]))
  ),
  0,
  1
)</f>
        <v>1</v>
      </c>
    </row>
    <row r="244" spans="1:22" hidden="1">
      <c r="A244" s="2">
        <v>45903</v>
      </c>
      <c r="B244" s="1" t="s">
        <v>810</v>
      </c>
      <c r="C244" s="1" t="s">
        <v>811</v>
      </c>
      <c r="D244" s="1" t="s">
        <v>169</v>
      </c>
      <c r="E244" s="1">
        <v>85338</v>
      </c>
      <c r="F244" s="1" t="s">
        <v>812</v>
      </c>
      <c r="G244" s="1" t="s">
        <v>506</v>
      </c>
      <c r="H244" s="19" t="s">
        <v>813</v>
      </c>
      <c r="I244" s="5" t="s">
        <v>541</v>
      </c>
      <c r="J244" s="5" t="s">
        <v>37</v>
      </c>
      <c r="K244" s="5" t="s">
        <v>37</v>
      </c>
      <c r="L244" s="5" t="s">
        <v>389</v>
      </c>
      <c r="M244" s="5" t="s">
        <v>37</v>
      </c>
      <c r="N244" s="5" t="s">
        <v>37</v>
      </c>
      <c r="O244" s="5" t="s">
        <v>38</v>
      </c>
      <c r="P244" s="5" t="s">
        <v>39</v>
      </c>
      <c r="Q244" s="2">
        <v>45968</v>
      </c>
      <c r="V244" s="46">
        <f>IF(
  OR(
    ISNUMBER(SEARCH("unable to locate acct", tblDocketedComments[[#This Row],[Docketed Consumer Comments]])),
    ISNUMBER(SEARCH("unknown", tblDocketedComments[[#This Row],[Docketed Consumer Comments]])),
    ISNUMBER(SEARCH("inactive", tblDocketedComments[[#This Row],[Docketed Consumer Comments]]))
  ),
  0,
  1
)</f>
        <v>1</v>
      </c>
    </row>
    <row r="245" spans="1:22" hidden="1">
      <c r="A245" s="2">
        <v>45903</v>
      </c>
      <c r="B245" s="1" t="s">
        <v>814</v>
      </c>
      <c r="C245" s="1" t="s">
        <v>815</v>
      </c>
      <c r="D245" s="1" t="s">
        <v>816</v>
      </c>
      <c r="E245" s="1">
        <v>86303</v>
      </c>
      <c r="F245" s="1" t="s">
        <v>310</v>
      </c>
      <c r="G245" s="1" t="s">
        <v>506</v>
      </c>
      <c r="H245" s="19" t="s">
        <v>817</v>
      </c>
      <c r="I245" s="5" t="s">
        <v>73</v>
      </c>
      <c r="J245" s="5" t="s">
        <v>37</v>
      </c>
      <c r="K245" s="5" t="s">
        <v>37</v>
      </c>
      <c r="L245" s="5" t="s">
        <v>38</v>
      </c>
      <c r="M245" s="5" t="s">
        <v>37</v>
      </c>
      <c r="N245" s="5" t="s">
        <v>37</v>
      </c>
      <c r="O245" s="5" t="s">
        <v>38</v>
      </c>
      <c r="P245" s="5" t="s">
        <v>39</v>
      </c>
      <c r="Q245" s="2">
        <v>45968</v>
      </c>
      <c r="V245" s="46">
        <f>IF(
  OR(
    ISNUMBER(SEARCH("unable to locate acct", tblDocketedComments[[#This Row],[Docketed Consumer Comments]])),
    ISNUMBER(SEARCH("unknown", tblDocketedComments[[#This Row],[Docketed Consumer Comments]])),
    ISNUMBER(SEARCH("inactive", tblDocketedComments[[#This Row],[Docketed Consumer Comments]]))
  ),
  0,
  1
)</f>
        <v>1</v>
      </c>
    </row>
    <row r="246" spans="1:22" hidden="1">
      <c r="A246" s="2">
        <v>45903</v>
      </c>
      <c r="B246" s="1" t="s">
        <v>818</v>
      </c>
      <c r="C246" s="1" t="s">
        <v>199</v>
      </c>
      <c r="D246" s="1" t="s">
        <v>63</v>
      </c>
      <c r="E246" s="1">
        <v>85028</v>
      </c>
      <c r="F246" s="1" t="s">
        <v>310</v>
      </c>
      <c r="G246" s="1" t="s">
        <v>506</v>
      </c>
      <c r="H246" s="4" t="s">
        <v>819</v>
      </c>
      <c r="I246" s="5" t="s">
        <v>36</v>
      </c>
      <c r="J246" s="5" t="s">
        <v>37</v>
      </c>
      <c r="K246" s="5" t="s">
        <v>37</v>
      </c>
      <c r="L246" s="5" t="s">
        <v>38</v>
      </c>
      <c r="M246" s="5" t="s">
        <v>37</v>
      </c>
      <c r="N246" s="5" t="s">
        <v>37</v>
      </c>
      <c r="O246" s="5" t="s">
        <v>38</v>
      </c>
      <c r="P246" s="5" t="s">
        <v>39</v>
      </c>
      <c r="Q246" s="2">
        <v>45968</v>
      </c>
      <c r="V246" s="46">
        <f>IF(
  OR(
    ISNUMBER(SEARCH("unable to locate acct", tblDocketedComments[[#This Row],[Docketed Consumer Comments]])),
    ISNUMBER(SEARCH("unknown", tblDocketedComments[[#This Row],[Docketed Consumer Comments]])),
    ISNUMBER(SEARCH("inactive", tblDocketedComments[[#This Row],[Docketed Consumer Comments]]))
  ),
  0,
  1
)</f>
        <v>1</v>
      </c>
    </row>
    <row r="247" spans="1:22" hidden="1">
      <c r="A247" s="2">
        <v>45903</v>
      </c>
      <c r="B247" s="1" t="s">
        <v>820</v>
      </c>
      <c r="C247" s="1" t="s">
        <v>821</v>
      </c>
      <c r="D247" s="1" t="s">
        <v>169</v>
      </c>
      <c r="E247" s="1">
        <v>85338</v>
      </c>
      <c r="F247" s="1" t="s">
        <v>822</v>
      </c>
      <c r="G247" s="1" t="s">
        <v>506</v>
      </c>
      <c r="H247" s="4" t="s">
        <v>823</v>
      </c>
      <c r="I247" s="5" t="s">
        <v>36</v>
      </c>
      <c r="J247" s="5" t="s">
        <v>37</v>
      </c>
      <c r="K247" s="5" t="s">
        <v>37</v>
      </c>
      <c r="L247" s="5" t="s">
        <v>38</v>
      </c>
      <c r="M247" s="5" t="s">
        <v>37</v>
      </c>
      <c r="N247" s="5" t="s">
        <v>37</v>
      </c>
      <c r="O247" s="5" t="s">
        <v>38</v>
      </c>
      <c r="P247" s="5" t="s">
        <v>39</v>
      </c>
      <c r="Q247" s="2">
        <v>45968</v>
      </c>
      <c r="V247" s="46">
        <f>IF(
  OR(
    ISNUMBER(SEARCH("unable to locate acct", tblDocketedComments[[#This Row],[Docketed Consumer Comments]])),
    ISNUMBER(SEARCH("unknown", tblDocketedComments[[#This Row],[Docketed Consumer Comments]])),
    ISNUMBER(SEARCH("inactive", tblDocketedComments[[#This Row],[Docketed Consumer Comments]]))
  ),
  0,
  1
)</f>
        <v>1</v>
      </c>
    </row>
    <row r="248" spans="1:22" hidden="1">
      <c r="A248" s="2">
        <v>45903</v>
      </c>
      <c r="B248" s="1" t="s">
        <v>824</v>
      </c>
      <c r="C248" s="1" t="s">
        <v>825</v>
      </c>
      <c r="D248" s="1" t="s">
        <v>63</v>
      </c>
      <c r="E248" s="1">
        <v>85013</v>
      </c>
      <c r="F248" s="1" t="s">
        <v>310</v>
      </c>
      <c r="G248" s="1" t="s">
        <v>506</v>
      </c>
      <c r="H248" s="4" t="s">
        <v>826</v>
      </c>
      <c r="I248" s="5" t="s">
        <v>73</v>
      </c>
      <c r="J248" s="5" t="s">
        <v>37</v>
      </c>
      <c r="K248" s="5" t="s">
        <v>37</v>
      </c>
      <c r="L248" s="5" t="s">
        <v>38</v>
      </c>
      <c r="M248" s="5" t="s">
        <v>37</v>
      </c>
      <c r="N248" s="5" t="s">
        <v>37</v>
      </c>
      <c r="O248" s="5" t="s">
        <v>38</v>
      </c>
      <c r="P248" s="5" t="s">
        <v>39</v>
      </c>
      <c r="Q248" s="2">
        <v>45968</v>
      </c>
      <c r="V248" s="46">
        <f>IF(
  OR(
    ISNUMBER(SEARCH("unable to locate acct", tblDocketedComments[[#This Row],[Docketed Consumer Comments]])),
    ISNUMBER(SEARCH("unknown", tblDocketedComments[[#This Row],[Docketed Consumer Comments]])),
    ISNUMBER(SEARCH("inactive", tblDocketedComments[[#This Row],[Docketed Consumer Comments]]))
  ),
  0,
  1
)</f>
        <v>1</v>
      </c>
    </row>
    <row r="249" spans="1:22" hidden="1">
      <c r="A249" s="2">
        <v>45903</v>
      </c>
      <c r="B249" s="1" t="s">
        <v>827</v>
      </c>
      <c r="C249" s="1" t="s">
        <v>256</v>
      </c>
      <c r="D249" s="1" t="s">
        <v>63</v>
      </c>
      <c r="E249" s="1">
        <v>85083</v>
      </c>
      <c r="F249" s="1" t="s">
        <v>310</v>
      </c>
      <c r="G249" s="1" t="s">
        <v>506</v>
      </c>
      <c r="H249" s="19" t="s">
        <v>828</v>
      </c>
      <c r="I249" s="5" t="s">
        <v>36</v>
      </c>
      <c r="J249" s="5" t="s">
        <v>37</v>
      </c>
      <c r="K249" s="5" t="s">
        <v>37</v>
      </c>
      <c r="L249" s="5" t="s">
        <v>829</v>
      </c>
      <c r="M249" s="5" t="s">
        <v>37</v>
      </c>
      <c r="N249" s="5" t="s">
        <v>37</v>
      </c>
      <c r="O249" s="5" t="s">
        <v>38</v>
      </c>
      <c r="P249" s="5" t="s">
        <v>39</v>
      </c>
      <c r="Q249" s="2">
        <v>45968</v>
      </c>
      <c r="V249" s="46">
        <f>IF(
  OR(
    ISNUMBER(SEARCH("unable to locate acct", tblDocketedComments[[#This Row],[Docketed Consumer Comments]])),
    ISNUMBER(SEARCH("unknown", tblDocketedComments[[#This Row],[Docketed Consumer Comments]])),
    ISNUMBER(SEARCH("inactive", tblDocketedComments[[#This Row],[Docketed Consumer Comments]]))
  ),
  0,
  1
)</f>
        <v>1</v>
      </c>
    </row>
    <row r="250" spans="1:22" hidden="1">
      <c r="A250" s="2">
        <v>45903</v>
      </c>
      <c r="B250" s="1" t="s">
        <v>830</v>
      </c>
      <c r="C250" s="1" t="s">
        <v>831</v>
      </c>
      <c r="D250" s="1" t="s">
        <v>63</v>
      </c>
      <c r="E250" s="1">
        <v>85016</v>
      </c>
      <c r="F250" s="1" t="s">
        <v>310</v>
      </c>
      <c r="G250" s="1" t="s">
        <v>506</v>
      </c>
      <c r="H250" s="4" t="s">
        <v>27</v>
      </c>
      <c r="V250" s="46">
        <f>IF(
  OR(
    ISNUMBER(SEARCH("unable to locate acct", tblDocketedComments[[#This Row],[Docketed Consumer Comments]])),
    ISNUMBER(SEARCH("unknown", tblDocketedComments[[#This Row],[Docketed Consumer Comments]])),
    ISNUMBER(SEARCH("inactive", tblDocketedComments[[#This Row],[Docketed Consumer Comments]]))
  ),
  0,
  1
)</f>
        <v>1</v>
      </c>
    </row>
    <row r="251" spans="1:22" hidden="1">
      <c r="A251" s="2">
        <v>45903</v>
      </c>
      <c r="B251" s="1" t="s">
        <v>832</v>
      </c>
      <c r="C251" s="1" t="s">
        <v>601</v>
      </c>
      <c r="D251" s="1" t="s">
        <v>63</v>
      </c>
      <c r="E251" s="1">
        <v>85013</v>
      </c>
      <c r="F251" s="1" t="s">
        <v>310</v>
      </c>
      <c r="G251" s="1" t="s">
        <v>506</v>
      </c>
      <c r="H251" s="19" t="s">
        <v>833</v>
      </c>
      <c r="I251" s="5" t="s">
        <v>73</v>
      </c>
      <c r="J251" s="5" t="s">
        <v>37</v>
      </c>
      <c r="K251" s="5" t="s">
        <v>37</v>
      </c>
      <c r="L251" s="5" t="s">
        <v>38</v>
      </c>
      <c r="M251" s="5" t="s">
        <v>37</v>
      </c>
      <c r="N251" s="5" t="s">
        <v>37</v>
      </c>
      <c r="O251" s="5" t="s">
        <v>38</v>
      </c>
      <c r="P251" s="5" t="s">
        <v>39</v>
      </c>
      <c r="Q251" s="2">
        <v>45968</v>
      </c>
      <c r="V251" s="46">
        <f>IF(
  OR(
    ISNUMBER(SEARCH("unable to locate acct", tblDocketedComments[[#This Row],[Docketed Consumer Comments]])),
    ISNUMBER(SEARCH("unknown", tblDocketedComments[[#This Row],[Docketed Consumer Comments]])),
    ISNUMBER(SEARCH("inactive", tblDocketedComments[[#This Row],[Docketed Consumer Comments]]))
  ),
  0,
  1
)</f>
        <v>1</v>
      </c>
    </row>
    <row r="252" spans="1:22" hidden="1">
      <c r="A252" s="2">
        <v>45903</v>
      </c>
      <c r="B252" s="1" t="s">
        <v>834</v>
      </c>
      <c r="C252" s="1" t="s">
        <v>835</v>
      </c>
      <c r="D252" s="1" t="s">
        <v>63</v>
      </c>
      <c r="E252" s="1">
        <v>85024</v>
      </c>
      <c r="F252" s="1" t="s">
        <v>310</v>
      </c>
      <c r="G252" s="1" t="s">
        <v>506</v>
      </c>
      <c r="H252" s="19" t="s">
        <v>836</v>
      </c>
      <c r="I252" s="5" t="s">
        <v>418</v>
      </c>
      <c r="J252" s="5" t="s">
        <v>37</v>
      </c>
      <c r="K252" s="5" t="s">
        <v>37</v>
      </c>
      <c r="L252" s="5" t="s">
        <v>389</v>
      </c>
      <c r="M252" s="5" t="s">
        <v>37</v>
      </c>
      <c r="N252" s="5" t="s">
        <v>37</v>
      </c>
      <c r="O252" s="5" t="s">
        <v>38</v>
      </c>
      <c r="P252" s="5" t="s">
        <v>39</v>
      </c>
      <c r="Q252" s="2">
        <v>45968</v>
      </c>
      <c r="V252" s="46">
        <f>IF(
  OR(
    ISNUMBER(SEARCH("unable to locate acct", tblDocketedComments[[#This Row],[Docketed Consumer Comments]])),
    ISNUMBER(SEARCH("unknown", tblDocketedComments[[#This Row],[Docketed Consumer Comments]])),
    ISNUMBER(SEARCH("inactive", tblDocketedComments[[#This Row],[Docketed Consumer Comments]]))
  ),
  0,
  1
)</f>
        <v>1</v>
      </c>
    </row>
    <row r="253" spans="1:22" hidden="1">
      <c r="A253" s="2">
        <v>45903</v>
      </c>
      <c r="B253" s="1" t="s">
        <v>837</v>
      </c>
      <c r="C253" s="1" t="s">
        <v>838</v>
      </c>
      <c r="D253" s="1" t="s">
        <v>24</v>
      </c>
      <c r="E253" s="1">
        <v>85308</v>
      </c>
      <c r="F253" s="1" t="s">
        <v>310</v>
      </c>
      <c r="G253" s="1" t="s">
        <v>506</v>
      </c>
      <c r="H253" s="19" t="s">
        <v>839</v>
      </c>
      <c r="I253" s="5" t="s">
        <v>196</v>
      </c>
      <c r="J253" s="5" t="s">
        <v>37</v>
      </c>
      <c r="K253" s="5" t="s">
        <v>37</v>
      </c>
      <c r="L253" s="7" t="s">
        <v>840</v>
      </c>
      <c r="M253" s="5" t="s">
        <v>37</v>
      </c>
      <c r="N253" s="5" t="s">
        <v>37</v>
      </c>
      <c r="O253" s="5" t="s">
        <v>38</v>
      </c>
      <c r="P253" s="2">
        <v>45933</v>
      </c>
      <c r="Q253" s="2">
        <v>45968</v>
      </c>
      <c r="R253" s="1" t="s">
        <v>561</v>
      </c>
      <c r="V253" s="46">
        <f>IF(
  OR(
    ISNUMBER(SEARCH("unable to locate acct", tblDocketedComments[[#This Row],[Docketed Consumer Comments]])),
    ISNUMBER(SEARCH("unknown", tblDocketedComments[[#This Row],[Docketed Consumer Comments]])),
    ISNUMBER(SEARCH("inactive", tblDocketedComments[[#This Row],[Docketed Consumer Comments]]))
  ),
  0,
  1
)</f>
        <v>1</v>
      </c>
    </row>
    <row r="254" spans="1:22" hidden="1">
      <c r="A254" s="2">
        <v>45903</v>
      </c>
      <c r="B254" s="1" t="s">
        <v>841</v>
      </c>
      <c r="C254" s="1" t="s">
        <v>842</v>
      </c>
      <c r="D254" s="1" t="s">
        <v>63</v>
      </c>
      <c r="E254" s="1">
        <v>85050</v>
      </c>
      <c r="F254" s="1" t="s">
        <v>31</v>
      </c>
      <c r="G254" s="1" t="s">
        <v>506</v>
      </c>
      <c r="H254" s="19" t="s">
        <v>843</v>
      </c>
      <c r="I254" s="5" t="s">
        <v>73</v>
      </c>
      <c r="J254" s="5" t="s">
        <v>37</v>
      </c>
      <c r="K254" s="5" t="s">
        <v>37</v>
      </c>
      <c r="L254" s="5" t="s">
        <v>38</v>
      </c>
      <c r="M254" s="5" t="s">
        <v>37</v>
      </c>
      <c r="N254" s="5" t="s">
        <v>37</v>
      </c>
      <c r="O254" s="5" t="s">
        <v>38</v>
      </c>
      <c r="P254" s="5" t="s">
        <v>39</v>
      </c>
      <c r="Q254" s="2">
        <v>45968</v>
      </c>
      <c r="V254" s="46">
        <f>IF(
  OR(
    ISNUMBER(SEARCH("unable to locate acct", tblDocketedComments[[#This Row],[Docketed Consumer Comments]])),
    ISNUMBER(SEARCH("unknown", tblDocketedComments[[#This Row],[Docketed Consumer Comments]])),
    ISNUMBER(SEARCH("inactive", tblDocketedComments[[#This Row],[Docketed Consumer Comments]]))
  ),
  0,
  1
)</f>
        <v>1</v>
      </c>
    </row>
    <row r="255" spans="1:22" hidden="1">
      <c r="A255" s="2">
        <v>45903</v>
      </c>
      <c r="B255" s="1" t="s">
        <v>650</v>
      </c>
      <c r="C255" s="1" t="s">
        <v>844</v>
      </c>
      <c r="D255" s="1" t="s">
        <v>63</v>
      </c>
      <c r="E255" s="1">
        <v>85029</v>
      </c>
      <c r="F255" s="1" t="s">
        <v>31</v>
      </c>
      <c r="G255" s="1" t="s">
        <v>506</v>
      </c>
      <c r="H255" s="19" t="s">
        <v>845</v>
      </c>
      <c r="I255" s="5" t="s">
        <v>36</v>
      </c>
      <c r="J255" s="5" t="s">
        <v>37</v>
      </c>
      <c r="K255" s="5" t="s">
        <v>37</v>
      </c>
      <c r="L255" s="5" t="s">
        <v>38</v>
      </c>
      <c r="M255" s="5" t="s">
        <v>37</v>
      </c>
      <c r="N255" s="5" t="s">
        <v>37</v>
      </c>
      <c r="O255" s="5" t="s">
        <v>38</v>
      </c>
      <c r="P255" s="5" t="s">
        <v>39</v>
      </c>
      <c r="Q255" s="2">
        <v>45968</v>
      </c>
      <c r="V255" s="46">
        <f>IF(
  OR(
    ISNUMBER(SEARCH("unable to locate acct", tblDocketedComments[[#This Row],[Docketed Consumer Comments]])),
    ISNUMBER(SEARCH("unknown", tblDocketedComments[[#This Row],[Docketed Consumer Comments]])),
    ISNUMBER(SEARCH("inactive", tblDocketedComments[[#This Row],[Docketed Consumer Comments]]))
  ),
  0,
  1
)</f>
        <v>1</v>
      </c>
    </row>
    <row r="256" spans="1:22" hidden="1">
      <c r="A256" s="2">
        <v>45903</v>
      </c>
      <c r="B256" s="1" t="s">
        <v>846</v>
      </c>
      <c r="C256" s="1" t="s">
        <v>847</v>
      </c>
      <c r="D256" s="1" t="s">
        <v>63</v>
      </c>
      <c r="E256" s="1">
        <v>85028</v>
      </c>
      <c r="F256" s="1" t="s">
        <v>31</v>
      </c>
      <c r="G256" s="1" t="s">
        <v>506</v>
      </c>
      <c r="H256" s="19" t="s">
        <v>848</v>
      </c>
      <c r="I256" s="5" t="s">
        <v>36</v>
      </c>
      <c r="J256" s="5" t="s">
        <v>38</v>
      </c>
      <c r="K256" s="5" t="s">
        <v>37</v>
      </c>
      <c r="L256" s="5" t="s">
        <v>38</v>
      </c>
      <c r="M256" s="5" t="s">
        <v>37</v>
      </c>
      <c r="N256" s="5" t="s">
        <v>37</v>
      </c>
      <c r="O256" s="5" t="s">
        <v>38</v>
      </c>
      <c r="P256" s="5" t="s">
        <v>39</v>
      </c>
      <c r="Q256" s="2">
        <v>45968</v>
      </c>
      <c r="V256" s="46">
        <f>IF(
  OR(
    ISNUMBER(SEARCH("unable to locate acct", tblDocketedComments[[#This Row],[Docketed Consumer Comments]])),
    ISNUMBER(SEARCH("unknown", tblDocketedComments[[#This Row],[Docketed Consumer Comments]])),
    ISNUMBER(SEARCH("inactive", tblDocketedComments[[#This Row],[Docketed Consumer Comments]]))
  ),
  0,
  1
)</f>
        <v>1</v>
      </c>
    </row>
    <row r="257" spans="1:22" hidden="1">
      <c r="A257" s="2">
        <v>45903</v>
      </c>
      <c r="B257" s="1" t="s">
        <v>849</v>
      </c>
      <c r="C257" s="1" t="s">
        <v>850</v>
      </c>
      <c r="D257" s="1" t="s">
        <v>125</v>
      </c>
      <c r="E257" s="1">
        <v>85251</v>
      </c>
      <c r="F257" s="1" t="s">
        <v>310</v>
      </c>
      <c r="G257" s="1" t="s">
        <v>506</v>
      </c>
      <c r="H257" s="4" t="s">
        <v>27</v>
      </c>
      <c r="V257" s="46">
        <f>IF(
  OR(
    ISNUMBER(SEARCH("unable to locate acct", tblDocketedComments[[#This Row],[Docketed Consumer Comments]])),
    ISNUMBER(SEARCH("unknown", tblDocketedComments[[#This Row],[Docketed Consumer Comments]])),
    ISNUMBER(SEARCH("inactive", tblDocketedComments[[#This Row],[Docketed Consumer Comments]]))
  ),
  0,
  1
)</f>
        <v>1</v>
      </c>
    </row>
    <row r="258" spans="1:22" hidden="1">
      <c r="A258" s="2">
        <v>45903</v>
      </c>
      <c r="B258" s="1" t="s">
        <v>851</v>
      </c>
      <c r="C258" s="1" t="s">
        <v>852</v>
      </c>
      <c r="D258" s="1" t="s">
        <v>635</v>
      </c>
      <c r="E258" s="1">
        <v>85281</v>
      </c>
      <c r="F258" s="1" t="s">
        <v>853</v>
      </c>
      <c r="G258" s="1" t="s">
        <v>506</v>
      </c>
      <c r="H258" s="19" t="s">
        <v>854</v>
      </c>
      <c r="I258" s="5" t="s">
        <v>541</v>
      </c>
      <c r="J258" s="5" t="s">
        <v>37</v>
      </c>
      <c r="K258" s="5" t="s">
        <v>37</v>
      </c>
      <c r="L258" s="5" t="s">
        <v>389</v>
      </c>
      <c r="M258" s="5" t="s">
        <v>37</v>
      </c>
      <c r="N258" s="5" t="s">
        <v>37</v>
      </c>
      <c r="O258" s="5" t="s">
        <v>38</v>
      </c>
      <c r="P258" s="5" t="s">
        <v>39</v>
      </c>
      <c r="Q258" s="2">
        <v>45968</v>
      </c>
      <c r="V258" s="46">
        <f>IF(
  OR(
    ISNUMBER(SEARCH("unable to locate acct", tblDocketedComments[[#This Row],[Docketed Consumer Comments]])),
    ISNUMBER(SEARCH("unknown", tblDocketedComments[[#This Row],[Docketed Consumer Comments]])),
    ISNUMBER(SEARCH("inactive", tblDocketedComments[[#This Row],[Docketed Consumer Comments]]))
  ),
  0,
  1
)</f>
        <v>1</v>
      </c>
    </row>
    <row r="259" spans="1:22" hidden="1">
      <c r="A259" s="2">
        <v>45903</v>
      </c>
      <c r="B259" s="1" t="s">
        <v>855</v>
      </c>
      <c r="C259" s="1" t="s">
        <v>135</v>
      </c>
      <c r="D259" s="1" t="s">
        <v>169</v>
      </c>
      <c r="E259" s="1">
        <v>85338</v>
      </c>
      <c r="F259" s="1" t="s">
        <v>856</v>
      </c>
      <c r="G259" s="1" t="s">
        <v>506</v>
      </c>
      <c r="H259" s="4" t="s">
        <v>857</v>
      </c>
      <c r="I259" s="5" t="s">
        <v>196</v>
      </c>
      <c r="J259" s="5" t="s">
        <v>37</v>
      </c>
      <c r="K259" s="5" t="s">
        <v>37</v>
      </c>
      <c r="L259" s="5" t="s">
        <v>858</v>
      </c>
      <c r="M259" s="5" t="s">
        <v>37</v>
      </c>
      <c r="N259" s="5" t="s">
        <v>37</v>
      </c>
      <c r="O259" s="5" t="s">
        <v>38</v>
      </c>
      <c r="P259" s="5" t="s">
        <v>39</v>
      </c>
      <c r="Q259" s="2">
        <v>45968</v>
      </c>
      <c r="R259" s="1" t="s">
        <v>859</v>
      </c>
      <c r="V259" s="46">
        <f>IF(
  OR(
    ISNUMBER(SEARCH("unable to locate acct", tblDocketedComments[[#This Row],[Docketed Consumer Comments]])),
    ISNUMBER(SEARCH("unknown", tblDocketedComments[[#This Row],[Docketed Consumer Comments]])),
    ISNUMBER(SEARCH("inactive", tblDocketedComments[[#This Row],[Docketed Consumer Comments]]))
  ),
  0,
  1
)</f>
        <v>1</v>
      </c>
    </row>
    <row r="260" spans="1:22" hidden="1">
      <c r="A260" s="2">
        <v>45903</v>
      </c>
      <c r="B260" s="1" t="s">
        <v>860</v>
      </c>
      <c r="C260" s="1" t="s">
        <v>861</v>
      </c>
      <c r="D260" s="1" t="s">
        <v>63</v>
      </c>
      <c r="E260" s="1">
        <v>85016</v>
      </c>
      <c r="F260" s="1" t="s">
        <v>31</v>
      </c>
      <c r="G260" s="1" t="s">
        <v>506</v>
      </c>
      <c r="H260" s="19" t="s">
        <v>862</v>
      </c>
      <c r="I260" s="5" t="s">
        <v>57</v>
      </c>
      <c r="J260" s="5" t="s">
        <v>37</v>
      </c>
      <c r="K260" s="5" t="s">
        <v>37</v>
      </c>
      <c r="L260" s="5" t="s">
        <v>863</v>
      </c>
      <c r="M260" s="5" t="s">
        <v>37</v>
      </c>
      <c r="N260" s="5" t="s">
        <v>37</v>
      </c>
      <c r="O260" s="5" t="s">
        <v>38</v>
      </c>
      <c r="P260" s="5" t="s">
        <v>39</v>
      </c>
      <c r="Q260" s="2">
        <v>45968</v>
      </c>
      <c r="V260" s="46">
        <f>IF(
  OR(
    ISNUMBER(SEARCH("unable to locate acct", tblDocketedComments[[#This Row],[Docketed Consumer Comments]])),
    ISNUMBER(SEARCH("unknown", tblDocketedComments[[#This Row],[Docketed Consumer Comments]])),
    ISNUMBER(SEARCH("inactive", tblDocketedComments[[#This Row],[Docketed Consumer Comments]]))
  ),
  0,
  1
)</f>
        <v>1</v>
      </c>
    </row>
    <row r="261" spans="1:22" hidden="1">
      <c r="A261" s="2">
        <v>45903</v>
      </c>
      <c r="B261" s="1" t="s">
        <v>864</v>
      </c>
      <c r="C261" s="1" t="s">
        <v>865</v>
      </c>
      <c r="D261" s="1" t="s">
        <v>63</v>
      </c>
      <c r="E261" s="1">
        <v>85028</v>
      </c>
      <c r="F261" s="1" t="s">
        <v>310</v>
      </c>
      <c r="G261" s="1" t="s">
        <v>506</v>
      </c>
      <c r="H261" s="19" t="s">
        <v>866</v>
      </c>
      <c r="I261" s="5" t="s">
        <v>36</v>
      </c>
      <c r="J261" s="5" t="s">
        <v>37</v>
      </c>
      <c r="K261" s="5" t="s">
        <v>37</v>
      </c>
      <c r="L261" s="5" t="s">
        <v>38</v>
      </c>
      <c r="M261" s="5" t="s">
        <v>37</v>
      </c>
      <c r="N261" s="5" t="s">
        <v>37</v>
      </c>
      <c r="O261" s="5" t="s">
        <v>38</v>
      </c>
      <c r="P261" s="5" t="s">
        <v>39</v>
      </c>
      <c r="Q261" s="2">
        <v>45968</v>
      </c>
      <c r="V261" s="46">
        <f>IF(
  OR(
    ISNUMBER(SEARCH("unable to locate acct", tblDocketedComments[[#This Row],[Docketed Consumer Comments]])),
    ISNUMBER(SEARCH("unknown", tblDocketedComments[[#This Row],[Docketed Consumer Comments]])),
    ISNUMBER(SEARCH("inactive", tblDocketedComments[[#This Row],[Docketed Consumer Comments]]))
  ),
  0,
  1
)</f>
        <v>1</v>
      </c>
    </row>
    <row r="262" spans="1:22" hidden="1">
      <c r="A262" s="2">
        <v>45903</v>
      </c>
      <c r="B262" s="1" t="s">
        <v>219</v>
      </c>
      <c r="C262" s="1" t="s">
        <v>867</v>
      </c>
      <c r="D262" s="1" t="s">
        <v>523</v>
      </c>
      <c r="E262" s="1">
        <v>85392</v>
      </c>
      <c r="F262" s="1" t="s">
        <v>868</v>
      </c>
      <c r="G262" s="1" t="s">
        <v>506</v>
      </c>
      <c r="H262" s="19" t="s">
        <v>869</v>
      </c>
      <c r="I262" s="5" t="s">
        <v>196</v>
      </c>
      <c r="J262" s="5" t="s">
        <v>38</v>
      </c>
      <c r="K262" s="5" t="s">
        <v>37</v>
      </c>
      <c r="L262" s="5" t="s">
        <v>38</v>
      </c>
      <c r="M262" s="5" t="s">
        <v>37</v>
      </c>
      <c r="N262" s="5" t="s">
        <v>37</v>
      </c>
      <c r="O262" s="5" t="s">
        <v>38</v>
      </c>
      <c r="P262" s="5" t="s">
        <v>39</v>
      </c>
      <c r="Q262" s="2">
        <v>45968</v>
      </c>
      <c r="V262" s="46">
        <f>IF(
  OR(
    ISNUMBER(SEARCH("unable to locate acct", tblDocketedComments[[#This Row],[Docketed Consumer Comments]])),
    ISNUMBER(SEARCH("unknown", tblDocketedComments[[#This Row],[Docketed Consumer Comments]])),
    ISNUMBER(SEARCH("inactive", tblDocketedComments[[#This Row],[Docketed Consumer Comments]]))
  ),
  0,
  1
)</f>
        <v>1</v>
      </c>
    </row>
    <row r="263" spans="1:22" hidden="1">
      <c r="A263" s="2">
        <v>45903</v>
      </c>
      <c r="B263" s="1" t="s">
        <v>870</v>
      </c>
      <c r="C263" s="1" t="s">
        <v>440</v>
      </c>
      <c r="D263" s="1" t="s">
        <v>169</v>
      </c>
      <c r="E263" s="1">
        <v>85338</v>
      </c>
      <c r="F263" s="1" t="s">
        <v>871</v>
      </c>
      <c r="G263" s="1" t="s">
        <v>506</v>
      </c>
      <c r="H263" s="4" t="s">
        <v>872</v>
      </c>
      <c r="I263" s="5" t="s">
        <v>196</v>
      </c>
      <c r="J263" s="5" t="s">
        <v>37</v>
      </c>
      <c r="K263" s="5" t="s">
        <v>37</v>
      </c>
      <c r="L263" s="5" t="s">
        <v>873</v>
      </c>
      <c r="M263" s="5" t="s">
        <v>37</v>
      </c>
      <c r="N263" s="5" t="s">
        <v>37</v>
      </c>
      <c r="O263" s="5" t="s">
        <v>38</v>
      </c>
      <c r="P263" s="5" t="s">
        <v>39</v>
      </c>
      <c r="Q263" s="2">
        <v>45968</v>
      </c>
      <c r="V263" s="46">
        <f>IF(
  OR(
    ISNUMBER(SEARCH("unable to locate acct", tblDocketedComments[[#This Row],[Docketed Consumer Comments]])),
    ISNUMBER(SEARCH("unknown", tblDocketedComments[[#This Row],[Docketed Consumer Comments]])),
    ISNUMBER(SEARCH("inactive", tblDocketedComments[[#This Row],[Docketed Consumer Comments]]))
  ),
  0,
  1
)</f>
        <v>1</v>
      </c>
    </row>
    <row r="264" spans="1:22" hidden="1">
      <c r="A264" s="2">
        <v>45903</v>
      </c>
      <c r="B264" s="1" t="s">
        <v>874</v>
      </c>
      <c r="C264" s="1" t="s">
        <v>875</v>
      </c>
      <c r="D264" s="1" t="s">
        <v>169</v>
      </c>
      <c r="E264" s="1">
        <v>85395</v>
      </c>
      <c r="F264" s="1" t="s">
        <v>876</v>
      </c>
      <c r="G264" s="1" t="s">
        <v>506</v>
      </c>
      <c r="H264" s="19" t="s">
        <v>877</v>
      </c>
      <c r="I264" s="5" t="s">
        <v>36</v>
      </c>
      <c r="J264" s="5" t="s">
        <v>37</v>
      </c>
      <c r="K264" s="5" t="s">
        <v>37</v>
      </c>
      <c r="L264" s="5" t="s">
        <v>38</v>
      </c>
      <c r="M264" s="5" t="s">
        <v>37</v>
      </c>
      <c r="N264" s="5" t="s">
        <v>37</v>
      </c>
      <c r="O264" s="5" t="s">
        <v>38</v>
      </c>
      <c r="P264" s="5" t="s">
        <v>39</v>
      </c>
      <c r="Q264" s="2">
        <v>45968</v>
      </c>
      <c r="V264" s="46">
        <f>IF(
  OR(
    ISNUMBER(SEARCH("unable to locate acct", tblDocketedComments[[#This Row],[Docketed Consumer Comments]])),
    ISNUMBER(SEARCH("unknown", tblDocketedComments[[#This Row],[Docketed Consumer Comments]])),
    ISNUMBER(SEARCH("inactive", tblDocketedComments[[#This Row],[Docketed Consumer Comments]]))
  ),
  0,
  1
)</f>
        <v>1</v>
      </c>
    </row>
    <row r="265" spans="1:22" hidden="1">
      <c r="A265" s="2">
        <v>45903</v>
      </c>
      <c r="B265" s="1" t="s">
        <v>878</v>
      </c>
      <c r="C265" s="1" t="s">
        <v>879</v>
      </c>
      <c r="D265" s="1" t="s">
        <v>880</v>
      </c>
      <c r="E265" s="1">
        <v>85086</v>
      </c>
      <c r="F265" s="1" t="s">
        <v>798</v>
      </c>
      <c r="G265" s="1" t="s">
        <v>506</v>
      </c>
      <c r="H265" s="19" t="s">
        <v>881</v>
      </c>
      <c r="I265" s="5" t="s">
        <v>36</v>
      </c>
      <c r="J265" s="5" t="s">
        <v>37</v>
      </c>
      <c r="K265" s="5" t="s">
        <v>37</v>
      </c>
      <c r="L265" s="5" t="s">
        <v>882</v>
      </c>
      <c r="M265" s="5" t="s">
        <v>37</v>
      </c>
      <c r="N265" s="5" t="s">
        <v>37</v>
      </c>
      <c r="O265" s="5" t="s">
        <v>38</v>
      </c>
      <c r="P265" s="5" t="s">
        <v>39</v>
      </c>
      <c r="Q265" s="2">
        <v>45968</v>
      </c>
      <c r="V265" s="46">
        <f>IF(
  OR(
    ISNUMBER(SEARCH("unable to locate acct", tblDocketedComments[[#This Row],[Docketed Consumer Comments]])),
    ISNUMBER(SEARCH("unknown", tblDocketedComments[[#This Row],[Docketed Consumer Comments]])),
    ISNUMBER(SEARCH("inactive", tblDocketedComments[[#This Row],[Docketed Consumer Comments]]))
  ),
  0,
  1
)</f>
        <v>1</v>
      </c>
    </row>
    <row r="266" spans="1:22" hidden="1">
      <c r="A266" s="2">
        <v>45903</v>
      </c>
      <c r="B266" s="1" t="s">
        <v>883</v>
      </c>
      <c r="C266" s="1" t="s">
        <v>459</v>
      </c>
      <c r="D266" s="1" t="s">
        <v>63</v>
      </c>
      <c r="E266" s="1">
        <v>85024</v>
      </c>
      <c r="F266" s="1" t="s">
        <v>310</v>
      </c>
      <c r="G266" s="1" t="s">
        <v>506</v>
      </c>
      <c r="H266" s="18" t="s">
        <v>884</v>
      </c>
      <c r="I266" s="5" t="s">
        <v>196</v>
      </c>
      <c r="J266" s="5" t="s">
        <v>37</v>
      </c>
      <c r="K266" s="5" t="s">
        <v>37</v>
      </c>
      <c r="L266" s="7" t="s">
        <v>885</v>
      </c>
      <c r="M266" s="5" t="s">
        <v>37</v>
      </c>
      <c r="N266" s="5" t="s">
        <v>37</v>
      </c>
      <c r="O266" s="5" t="s">
        <v>38</v>
      </c>
      <c r="P266" s="2">
        <v>45933</v>
      </c>
      <c r="Q266" s="2">
        <v>45968</v>
      </c>
      <c r="R266" s="1" t="s">
        <v>561</v>
      </c>
      <c r="V266" s="46">
        <f>IF(
  OR(
    ISNUMBER(SEARCH("unable to locate acct", tblDocketedComments[[#This Row],[Docketed Consumer Comments]])),
    ISNUMBER(SEARCH("unknown", tblDocketedComments[[#This Row],[Docketed Consumer Comments]])),
    ISNUMBER(SEARCH("inactive", tblDocketedComments[[#This Row],[Docketed Consumer Comments]]))
  ),
  0,
  1
)</f>
        <v>1</v>
      </c>
    </row>
    <row r="267" spans="1:22" hidden="1">
      <c r="A267" s="2">
        <v>45903</v>
      </c>
      <c r="B267" s="1" t="s">
        <v>886</v>
      </c>
      <c r="C267" s="1" t="s">
        <v>887</v>
      </c>
      <c r="D267" s="1" t="s">
        <v>169</v>
      </c>
      <c r="E267" s="1">
        <v>85338</v>
      </c>
      <c r="F267" s="1" t="s">
        <v>888</v>
      </c>
      <c r="G267" s="1" t="s">
        <v>506</v>
      </c>
      <c r="H267" s="19">
        <v>6626729560</v>
      </c>
      <c r="I267" s="5" t="s">
        <v>73</v>
      </c>
      <c r="J267" s="5" t="s">
        <v>37</v>
      </c>
      <c r="K267" s="5" t="s">
        <v>37</v>
      </c>
      <c r="L267" s="5" t="s">
        <v>38</v>
      </c>
      <c r="M267" s="5" t="s">
        <v>37</v>
      </c>
      <c r="N267" s="5" t="s">
        <v>37</v>
      </c>
      <c r="O267" s="5" t="s">
        <v>38</v>
      </c>
      <c r="P267" s="5" t="s">
        <v>39</v>
      </c>
      <c r="Q267" s="2">
        <v>45968</v>
      </c>
      <c r="V267" s="46">
        <f>IF(
  OR(
    ISNUMBER(SEARCH("unable to locate acct", tblDocketedComments[[#This Row],[Docketed Consumer Comments]])),
    ISNUMBER(SEARCH("unknown", tblDocketedComments[[#This Row],[Docketed Consumer Comments]])),
    ISNUMBER(SEARCH("inactive", tblDocketedComments[[#This Row],[Docketed Consumer Comments]]))
  ),
  0,
  1
)</f>
        <v>1</v>
      </c>
    </row>
    <row r="268" spans="1:22" hidden="1">
      <c r="A268" s="2">
        <v>45903</v>
      </c>
      <c r="B268" s="1" t="s">
        <v>889</v>
      </c>
      <c r="C268" s="1" t="s">
        <v>890</v>
      </c>
      <c r="D268" s="1" t="s">
        <v>202</v>
      </c>
      <c r="E268" s="1">
        <v>85383</v>
      </c>
      <c r="F268" s="1" t="s">
        <v>31</v>
      </c>
      <c r="G268" s="1" t="s">
        <v>506</v>
      </c>
      <c r="H268" s="19" t="s">
        <v>891</v>
      </c>
      <c r="I268" s="5" t="s">
        <v>196</v>
      </c>
      <c r="J268" s="5" t="s">
        <v>37</v>
      </c>
      <c r="K268" s="5" t="s">
        <v>37</v>
      </c>
      <c r="L268" s="5" t="s">
        <v>892</v>
      </c>
      <c r="M268" s="5" t="s">
        <v>37</v>
      </c>
      <c r="N268" s="5" t="s">
        <v>37</v>
      </c>
      <c r="O268" s="5" t="s">
        <v>38</v>
      </c>
      <c r="P268" s="5" t="s">
        <v>39</v>
      </c>
      <c r="Q268" s="2">
        <v>45968</v>
      </c>
      <c r="V268" s="46">
        <f>IF(
  OR(
    ISNUMBER(SEARCH("unable to locate acct", tblDocketedComments[[#This Row],[Docketed Consumer Comments]])),
    ISNUMBER(SEARCH("unknown", tblDocketedComments[[#This Row],[Docketed Consumer Comments]])),
    ISNUMBER(SEARCH("inactive", tblDocketedComments[[#This Row],[Docketed Consumer Comments]]))
  ),
  0,
  1
)</f>
        <v>1</v>
      </c>
    </row>
    <row r="269" spans="1:22" hidden="1">
      <c r="A269" s="2">
        <v>45903</v>
      </c>
      <c r="B269" s="1" t="s">
        <v>893</v>
      </c>
      <c r="C269" s="1" t="s">
        <v>777</v>
      </c>
      <c r="D269" s="1" t="s">
        <v>24</v>
      </c>
      <c r="E269" s="1">
        <v>85308</v>
      </c>
      <c r="F269" s="1" t="s">
        <v>894</v>
      </c>
      <c r="G269" s="1" t="s">
        <v>506</v>
      </c>
      <c r="H269" s="19" t="s">
        <v>895</v>
      </c>
      <c r="I269" s="5" t="s">
        <v>73</v>
      </c>
      <c r="J269" s="5" t="s">
        <v>37</v>
      </c>
      <c r="K269" s="5" t="s">
        <v>37</v>
      </c>
      <c r="L269" s="5" t="s">
        <v>38</v>
      </c>
      <c r="M269" s="5" t="s">
        <v>37</v>
      </c>
      <c r="N269" s="5" t="s">
        <v>37</v>
      </c>
      <c r="O269" s="5" t="s">
        <v>38</v>
      </c>
      <c r="P269" s="5" t="s">
        <v>39</v>
      </c>
      <c r="Q269" s="2">
        <v>45968</v>
      </c>
      <c r="V269" s="46">
        <f>IF(
  OR(
    ISNUMBER(SEARCH("unable to locate acct", tblDocketedComments[[#This Row],[Docketed Consumer Comments]])),
    ISNUMBER(SEARCH("unknown", tblDocketedComments[[#This Row],[Docketed Consumer Comments]])),
    ISNUMBER(SEARCH("inactive", tblDocketedComments[[#This Row],[Docketed Consumer Comments]]))
  ),
  0,
  1
)</f>
        <v>1</v>
      </c>
    </row>
    <row r="270" spans="1:22" hidden="1">
      <c r="A270" s="2">
        <v>45903</v>
      </c>
      <c r="B270" s="1" t="s">
        <v>896</v>
      </c>
      <c r="C270" s="1" t="s">
        <v>897</v>
      </c>
      <c r="D270" s="1" t="s">
        <v>240</v>
      </c>
      <c r="E270" s="1">
        <v>85340</v>
      </c>
      <c r="F270" s="1" t="s">
        <v>31</v>
      </c>
      <c r="G270" s="1" t="s">
        <v>506</v>
      </c>
      <c r="H270" s="4" t="s">
        <v>898</v>
      </c>
      <c r="I270" s="5" t="s">
        <v>73</v>
      </c>
      <c r="J270" s="5" t="s">
        <v>37</v>
      </c>
      <c r="K270" s="5" t="s">
        <v>37</v>
      </c>
      <c r="L270" s="5" t="s">
        <v>38</v>
      </c>
      <c r="M270" s="5" t="s">
        <v>37</v>
      </c>
      <c r="N270" s="5" t="s">
        <v>37</v>
      </c>
      <c r="O270" s="5" t="s">
        <v>38</v>
      </c>
      <c r="P270" s="5" t="s">
        <v>39</v>
      </c>
      <c r="Q270" s="2">
        <v>45968</v>
      </c>
      <c r="V270" s="46">
        <f>IF(
  OR(
    ISNUMBER(SEARCH("unable to locate acct", tblDocketedComments[[#This Row],[Docketed Consumer Comments]])),
    ISNUMBER(SEARCH("unknown", tblDocketedComments[[#This Row],[Docketed Consumer Comments]])),
    ISNUMBER(SEARCH("inactive", tblDocketedComments[[#This Row],[Docketed Consumer Comments]]))
  ),
  0,
  1
)</f>
        <v>1</v>
      </c>
    </row>
    <row r="271" spans="1:22" hidden="1">
      <c r="A271" s="2">
        <v>45903</v>
      </c>
      <c r="B271" s="1" t="s">
        <v>467</v>
      </c>
      <c r="C271" s="1" t="s">
        <v>899</v>
      </c>
      <c r="D271" s="1" t="s">
        <v>202</v>
      </c>
      <c r="E271" s="1">
        <v>85382</v>
      </c>
      <c r="F271" s="1" t="s">
        <v>310</v>
      </c>
      <c r="G271" s="1" t="s">
        <v>506</v>
      </c>
      <c r="H271" s="4" t="s">
        <v>27</v>
      </c>
      <c r="V271" s="46">
        <f>IF(
  OR(
    ISNUMBER(SEARCH("unable to locate acct", tblDocketedComments[[#This Row],[Docketed Consumer Comments]])),
    ISNUMBER(SEARCH("unknown", tblDocketedComments[[#This Row],[Docketed Consumer Comments]])),
    ISNUMBER(SEARCH("inactive", tblDocketedComments[[#This Row],[Docketed Consumer Comments]]))
  ),
  0,
  1
)</f>
        <v>1</v>
      </c>
    </row>
    <row r="272" spans="1:22" hidden="1">
      <c r="A272" s="2">
        <v>45903</v>
      </c>
      <c r="B272" s="1" t="s">
        <v>900</v>
      </c>
      <c r="C272" s="1" t="s">
        <v>901</v>
      </c>
      <c r="D272" s="1" t="s">
        <v>125</v>
      </c>
      <c r="E272" s="1">
        <v>85255</v>
      </c>
      <c r="F272" s="1" t="s">
        <v>310</v>
      </c>
      <c r="G272" s="1" t="s">
        <v>506</v>
      </c>
      <c r="H272" s="19" t="s">
        <v>902</v>
      </c>
      <c r="I272" s="5" t="s">
        <v>36</v>
      </c>
      <c r="J272" s="5" t="s">
        <v>37</v>
      </c>
      <c r="K272" s="5" t="s">
        <v>37</v>
      </c>
      <c r="L272" s="5" t="s">
        <v>38</v>
      </c>
      <c r="M272" s="5" t="s">
        <v>37</v>
      </c>
      <c r="N272" s="5" t="s">
        <v>37</v>
      </c>
      <c r="O272" s="5" t="s">
        <v>38</v>
      </c>
      <c r="P272" s="5" t="s">
        <v>39</v>
      </c>
      <c r="Q272" s="2">
        <v>45968</v>
      </c>
      <c r="V272" s="46">
        <f>IF(
  OR(
    ISNUMBER(SEARCH("unable to locate acct", tblDocketedComments[[#This Row],[Docketed Consumer Comments]])),
    ISNUMBER(SEARCH("unknown", tblDocketedComments[[#This Row],[Docketed Consumer Comments]])),
    ISNUMBER(SEARCH("inactive", tblDocketedComments[[#This Row],[Docketed Consumer Comments]]))
  ),
  0,
  1
)</f>
        <v>1</v>
      </c>
    </row>
    <row r="273" spans="1:22" hidden="1">
      <c r="A273" s="2">
        <v>45903</v>
      </c>
      <c r="B273" s="1" t="s">
        <v>903</v>
      </c>
      <c r="C273" s="1" t="s">
        <v>904</v>
      </c>
      <c r="D273" s="1" t="s">
        <v>240</v>
      </c>
      <c r="E273" s="1">
        <v>85340</v>
      </c>
      <c r="F273" s="1" t="s">
        <v>905</v>
      </c>
      <c r="G273" s="1" t="s">
        <v>506</v>
      </c>
      <c r="H273" s="19" t="s">
        <v>906</v>
      </c>
      <c r="I273" s="5" t="s">
        <v>36</v>
      </c>
      <c r="J273" s="5" t="s">
        <v>37</v>
      </c>
      <c r="K273" s="5" t="s">
        <v>37</v>
      </c>
      <c r="L273" s="5" t="s">
        <v>38</v>
      </c>
      <c r="M273" s="5" t="s">
        <v>37</v>
      </c>
      <c r="N273" s="5" t="s">
        <v>37</v>
      </c>
      <c r="O273" s="5" t="s">
        <v>38</v>
      </c>
      <c r="P273" s="5" t="s">
        <v>39</v>
      </c>
      <c r="Q273" s="2">
        <v>45968</v>
      </c>
      <c r="V273" s="46">
        <f>IF(
  OR(
    ISNUMBER(SEARCH("unable to locate acct", tblDocketedComments[[#This Row],[Docketed Consumer Comments]])),
    ISNUMBER(SEARCH("unknown", tblDocketedComments[[#This Row],[Docketed Consumer Comments]])),
    ISNUMBER(SEARCH("inactive", tblDocketedComments[[#This Row],[Docketed Consumer Comments]]))
  ),
  0,
  1
)</f>
        <v>1</v>
      </c>
    </row>
    <row r="274" spans="1:22" hidden="1">
      <c r="A274" s="2">
        <v>45903</v>
      </c>
      <c r="B274" s="1" t="s">
        <v>907</v>
      </c>
      <c r="C274" s="1" t="s">
        <v>908</v>
      </c>
      <c r="D274" s="1" t="s">
        <v>169</v>
      </c>
      <c r="E274" s="1">
        <v>85338</v>
      </c>
      <c r="F274" s="1" t="s">
        <v>909</v>
      </c>
      <c r="G274" s="1" t="s">
        <v>506</v>
      </c>
      <c r="H274" s="4" t="s">
        <v>27</v>
      </c>
      <c r="V274" s="46">
        <f>IF(
  OR(
    ISNUMBER(SEARCH("unable to locate acct", tblDocketedComments[[#This Row],[Docketed Consumer Comments]])),
    ISNUMBER(SEARCH("unknown", tblDocketedComments[[#This Row],[Docketed Consumer Comments]])),
    ISNUMBER(SEARCH("inactive", tblDocketedComments[[#This Row],[Docketed Consumer Comments]]))
  ),
  0,
  1
)</f>
        <v>1</v>
      </c>
    </row>
    <row r="275" spans="1:22" hidden="1">
      <c r="A275" s="2">
        <v>45903</v>
      </c>
      <c r="B275" s="1" t="s">
        <v>910</v>
      </c>
      <c r="C275" s="1" t="s">
        <v>911</v>
      </c>
      <c r="D275" s="1" t="s">
        <v>24</v>
      </c>
      <c r="E275" s="1">
        <v>85301</v>
      </c>
      <c r="F275" s="1" t="s">
        <v>310</v>
      </c>
      <c r="G275" s="1" t="s">
        <v>506</v>
      </c>
      <c r="H275" s="19" t="s">
        <v>912</v>
      </c>
      <c r="I275" s="5" t="s">
        <v>196</v>
      </c>
      <c r="J275" s="5" t="s">
        <v>37</v>
      </c>
      <c r="K275" s="5" t="s">
        <v>37</v>
      </c>
      <c r="L275" s="5" t="s">
        <v>38</v>
      </c>
      <c r="M275" s="5" t="s">
        <v>37</v>
      </c>
      <c r="N275" s="5" t="s">
        <v>37</v>
      </c>
      <c r="O275" s="5" t="s">
        <v>38</v>
      </c>
      <c r="P275" s="5" t="s">
        <v>39</v>
      </c>
      <c r="Q275" s="2">
        <v>45968</v>
      </c>
      <c r="V275" s="46">
        <f>IF(
  OR(
    ISNUMBER(SEARCH("unable to locate acct", tblDocketedComments[[#This Row],[Docketed Consumer Comments]])),
    ISNUMBER(SEARCH("unknown", tblDocketedComments[[#This Row],[Docketed Consumer Comments]])),
    ISNUMBER(SEARCH("inactive", tblDocketedComments[[#This Row],[Docketed Consumer Comments]]))
  ),
  0,
  1
)</f>
        <v>1</v>
      </c>
    </row>
    <row r="276" spans="1:22" hidden="1">
      <c r="A276" s="2">
        <v>45903</v>
      </c>
      <c r="B276" s="1" t="s">
        <v>913</v>
      </c>
      <c r="C276" s="1" t="s">
        <v>914</v>
      </c>
      <c r="D276" s="1" t="s">
        <v>112</v>
      </c>
      <c r="E276" s="1">
        <v>85388</v>
      </c>
      <c r="F276" s="1" t="s">
        <v>310</v>
      </c>
      <c r="G276" s="1" t="s">
        <v>506</v>
      </c>
      <c r="H276" s="19" t="s">
        <v>915</v>
      </c>
      <c r="I276" s="5" t="s">
        <v>36</v>
      </c>
      <c r="J276" s="5" t="s">
        <v>37</v>
      </c>
      <c r="K276" s="5" t="s">
        <v>37</v>
      </c>
      <c r="L276" s="5" t="s">
        <v>38</v>
      </c>
      <c r="M276" s="5" t="s">
        <v>37</v>
      </c>
      <c r="N276" s="5" t="s">
        <v>37</v>
      </c>
      <c r="O276" s="5" t="s">
        <v>38</v>
      </c>
      <c r="P276" s="5" t="s">
        <v>39</v>
      </c>
      <c r="Q276" s="2">
        <v>45968</v>
      </c>
      <c r="V276" s="46">
        <f>IF(
  OR(
    ISNUMBER(SEARCH("unable to locate acct", tblDocketedComments[[#This Row],[Docketed Consumer Comments]])),
    ISNUMBER(SEARCH("unknown", tblDocketedComments[[#This Row],[Docketed Consumer Comments]])),
    ISNUMBER(SEARCH("inactive", tblDocketedComments[[#This Row],[Docketed Consumer Comments]]))
  ),
  0,
  1
)</f>
        <v>1</v>
      </c>
    </row>
    <row r="277" spans="1:22" hidden="1">
      <c r="A277" s="2">
        <v>45903</v>
      </c>
      <c r="B277" s="1" t="s">
        <v>916</v>
      </c>
      <c r="C277" s="1" t="s">
        <v>917</v>
      </c>
      <c r="D277" s="1" t="s">
        <v>24</v>
      </c>
      <c r="E277" s="1">
        <v>85301</v>
      </c>
      <c r="F277" s="1" t="s">
        <v>31</v>
      </c>
      <c r="G277" s="1" t="s">
        <v>506</v>
      </c>
      <c r="H277" s="4" t="s">
        <v>918</v>
      </c>
      <c r="I277" s="5" t="s">
        <v>73</v>
      </c>
      <c r="J277" s="5" t="s">
        <v>37</v>
      </c>
      <c r="K277" s="5" t="s">
        <v>37</v>
      </c>
      <c r="L277" s="5" t="s">
        <v>38</v>
      </c>
      <c r="M277" s="5" t="s">
        <v>37</v>
      </c>
      <c r="N277" s="5" t="s">
        <v>37</v>
      </c>
      <c r="O277" s="5" t="s">
        <v>38</v>
      </c>
      <c r="P277" s="5" t="s">
        <v>39</v>
      </c>
      <c r="Q277" s="2">
        <v>45968</v>
      </c>
      <c r="V277" s="46">
        <f>IF(
  OR(
    ISNUMBER(SEARCH("unable to locate acct", tblDocketedComments[[#This Row],[Docketed Consumer Comments]])),
    ISNUMBER(SEARCH("unknown", tblDocketedComments[[#This Row],[Docketed Consumer Comments]])),
    ISNUMBER(SEARCH("inactive", tblDocketedComments[[#This Row],[Docketed Consumer Comments]]))
  ),
  0,
  1
)</f>
        <v>1</v>
      </c>
    </row>
    <row r="278" spans="1:22" hidden="1">
      <c r="A278" s="2">
        <v>45903</v>
      </c>
      <c r="B278" s="1" t="s">
        <v>919</v>
      </c>
      <c r="C278" s="1" t="s">
        <v>920</v>
      </c>
      <c r="D278" s="1" t="s">
        <v>63</v>
      </c>
      <c r="E278" s="1">
        <v>85054</v>
      </c>
      <c r="F278" s="1" t="s">
        <v>310</v>
      </c>
      <c r="G278" s="1" t="s">
        <v>506</v>
      </c>
      <c r="H278" s="4" t="s">
        <v>209</v>
      </c>
      <c r="V278" s="46">
        <f>IF(
  OR(
    ISNUMBER(SEARCH("unable to locate acct", tblDocketedComments[[#This Row],[Docketed Consumer Comments]])),
    ISNUMBER(SEARCH("unknown", tblDocketedComments[[#This Row],[Docketed Consumer Comments]])),
    ISNUMBER(SEARCH("inactive", tblDocketedComments[[#This Row],[Docketed Consumer Comments]]))
  ),
  0,
  1
)</f>
        <v>1</v>
      </c>
    </row>
    <row r="279" spans="1:22" hidden="1">
      <c r="A279" s="2">
        <v>45903</v>
      </c>
      <c r="B279" s="1" t="s">
        <v>921</v>
      </c>
      <c r="C279" s="1" t="s">
        <v>922</v>
      </c>
      <c r="D279" s="1" t="s">
        <v>923</v>
      </c>
      <c r="E279" s="1">
        <v>85501</v>
      </c>
      <c r="F279" s="1" t="s">
        <v>31</v>
      </c>
      <c r="G279" s="1" t="s">
        <v>506</v>
      </c>
      <c r="H279" s="19" t="s">
        <v>924</v>
      </c>
      <c r="I279" s="5" t="s">
        <v>196</v>
      </c>
      <c r="J279" s="5" t="s">
        <v>37</v>
      </c>
      <c r="K279" s="5" t="s">
        <v>37</v>
      </c>
      <c r="L279" s="5" t="s">
        <v>925</v>
      </c>
      <c r="M279" s="5" t="s">
        <v>37</v>
      </c>
      <c r="N279" s="5" t="s">
        <v>37</v>
      </c>
      <c r="O279" s="5" t="s">
        <v>38</v>
      </c>
      <c r="P279" s="5" t="s">
        <v>39</v>
      </c>
      <c r="Q279" s="2">
        <v>45968</v>
      </c>
      <c r="V279" s="46">
        <f>IF(
  OR(
    ISNUMBER(SEARCH("unable to locate acct", tblDocketedComments[[#This Row],[Docketed Consumer Comments]])),
    ISNUMBER(SEARCH("unknown", tblDocketedComments[[#This Row],[Docketed Consumer Comments]])),
    ISNUMBER(SEARCH("inactive", tblDocketedComments[[#This Row],[Docketed Consumer Comments]]))
  ),
  0,
  1
)</f>
        <v>1</v>
      </c>
    </row>
    <row r="280" spans="1:22" hidden="1">
      <c r="A280" s="2">
        <v>45903</v>
      </c>
      <c r="B280" s="1" t="s">
        <v>926</v>
      </c>
      <c r="C280" s="1" t="s">
        <v>927</v>
      </c>
      <c r="D280" s="1" t="s">
        <v>63</v>
      </c>
      <c r="E280" s="1">
        <v>85013</v>
      </c>
      <c r="F280" s="1" t="s">
        <v>310</v>
      </c>
      <c r="G280" s="1" t="s">
        <v>506</v>
      </c>
      <c r="H280" s="19" t="s">
        <v>928</v>
      </c>
      <c r="I280" s="5" t="s">
        <v>126</v>
      </c>
      <c r="J280" s="5" t="s">
        <v>37</v>
      </c>
      <c r="K280" s="5" t="s">
        <v>37</v>
      </c>
      <c r="L280" s="5" t="s">
        <v>929</v>
      </c>
      <c r="M280" s="5" t="s">
        <v>37</v>
      </c>
      <c r="N280" s="5" t="s">
        <v>37</v>
      </c>
      <c r="O280" s="5" t="s">
        <v>38</v>
      </c>
      <c r="P280" s="5" t="s">
        <v>39</v>
      </c>
      <c r="Q280" s="2">
        <v>45968</v>
      </c>
      <c r="V280" s="46">
        <f>IF(
  OR(
    ISNUMBER(SEARCH("unable to locate acct", tblDocketedComments[[#This Row],[Docketed Consumer Comments]])),
    ISNUMBER(SEARCH("unknown", tblDocketedComments[[#This Row],[Docketed Consumer Comments]])),
    ISNUMBER(SEARCH("inactive", tblDocketedComments[[#This Row],[Docketed Consumer Comments]]))
  ),
  0,
  1
)</f>
        <v>1</v>
      </c>
    </row>
    <row r="281" spans="1:22" hidden="1">
      <c r="A281" s="2">
        <v>45903</v>
      </c>
      <c r="B281" s="1" t="s">
        <v>930</v>
      </c>
      <c r="C281" s="1" t="s">
        <v>931</v>
      </c>
      <c r="D281" s="1" t="s">
        <v>169</v>
      </c>
      <c r="E281" s="1">
        <v>85395</v>
      </c>
      <c r="F281" s="1" t="s">
        <v>31</v>
      </c>
      <c r="G281" s="1" t="s">
        <v>506</v>
      </c>
      <c r="H281" s="19" t="s">
        <v>932</v>
      </c>
      <c r="I281" s="5" t="s">
        <v>36</v>
      </c>
      <c r="J281" s="5" t="s">
        <v>37</v>
      </c>
      <c r="K281" s="5" t="s">
        <v>37</v>
      </c>
      <c r="L281" s="5" t="s">
        <v>933</v>
      </c>
      <c r="M281" s="5" t="s">
        <v>37</v>
      </c>
      <c r="N281" s="5" t="s">
        <v>37</v>
      </c>
      <c r="O281" s="5" t="s">
        <v>38</v>
      </c>
      <c r="P281" s="5" t="s">
        <v>39</v>
      </c>
      <c r="Q281" s="2">
        <v>45968</v>
      </c>
      <c r="V281" s="46">
        <f>IF(
  OR(
    ISNUMBER(SEARCH("unable to locate acct", tblDocketedComments[[#This Row],[Docketed Consumer Comments]])),
    ISNUMBER(SEARCH("unknown", tblDocketedComments[[#This Row],[Docketed Consumer Comments]])),
    ISNUMBER(SEARCH("inactive", tblDocketedComments[[#This Row],[Docketed Consumer Comments]]))
  ),
  0,
  1
)</f>
        <v>1</v>
      </c>
    </row>
    <row r="282" spans="1:22" hidden="1">
      <c r="A282" s="2">
        <v>45903</v>
      </c>
      <c r="B282" s="1" t="s">
        <v>934</v>
      </c>
      <c r="C282" s="1" t="s">
        <v>935</v>
      </c>
      <c r="D282" s="1" t="s">
        <v>202</v>
      </c>
      <c r="E282" s="1">
        <v>85383</v>
      </c>
      <c r="F282" s="1" t="s">
        <v>310</v>
      </c>
      <c r="G282" s="1" t="s">
        <v>506</v>
      </c>
      <c r="H282" s="19" t="s">
        <v>936</v>
      </c>
      <c r="I282" s="5" t="s">
        <v>541</v>
      </c>
      <c r="J282" s="5" t="s">
        <v>37</v>
      </c>
      <c r="K282" s="5" t="s">
        <v>37</v>
      </c>
      <c r="L282" s="5" t="s">
        <v>389</v>
      </c>
      <c r="M282" s="5" t="s">
        <v>37</v>
      </c>
      <c r="N282" s="5" t="s">
        <v>37</v>
      </c>
      <c r="O282" s="5" t="s">
        <v>38</v>
      </c>
      <c r="P282" s="5" t="s">
        <v>39</v>
      </c>
      <c r="Q282" s="2">
        <v>45968</v>
      </c>
      <c r="V282" s="46">
        <f>IF(
  OR(
    ISNUMBER(SEARCH("unable to locate acct", tblDocketedComments[[#This Row],[Docketed Consumer Comments]])),
    ISNUMBER(SEARCH("unknown", tblDocketedComments[[#This Row],[Docketed Consumer Comments]])),
    ISNUMBER(SEARCH("inactive", tblDocketedComments[[#This Row],[Docketed Consumer Comments]]))
  ),
  0,
  1
)</f>
        <v>1</v>
      </c>
    </row>
    <row r="283" spans="1:22" hidden="1">
      <c r="A283" s="2">
        <v>45903</v>
      </c>
      <c r="B283" s="1" t="s">
        <v>937</v>
      </c>
      <c r="C283" s="1" t="s">
        <v>938</v>
      </c>
      <c r="D283" s="1" t="s">
        <v>63</v>
      </c>
      <c r="E283" s="1">
        <v>85083</v>
      </c>
      <c r="F283" s="1" t="s">
        <v>31</v>
      </c>
      <c r="G283" s="1" t="s">
        <v>506</v>
      </c>
      <c r="H283" s="19" t="s">
        <v>939</v>
      </c>
      <c r="I283" s="5" t="s">
        <v>73</v>
      </c>
      <c r="J283" s="5" t="s">
        <v>37</v>
      </c>
      <c r="K283" s="5" t="s">
        <v>37</v>
      </c>
      <c r="L283" s="5" t="s">
        <v>401</v>
      </c>
      <c r="M283" s="5" t="s">
        <v>37</v>
      </c>
      <c r="N283" s="5" t="s">
        <v>37</v>
      </c>
      <c r="O283" s="5" t="s">
        <v>38</v>
      </c>
      <c r="P283" s="5" t="s">
        <v>39</v>
      </c>
      <c r="Q283" s="2">
        <v>45968</v>
      </c>
      <c r="V283" s="46">
        <f>IF(
  OR(
    ISNUMBER(SEARCH("unable to locate acct", tblDocketedComments[[#This Row],[Docketed Consumer Comments]])),
    ISNUMBER(SEARCH("unknown", tblDocketedComments[[#This Row],[Docketed Consumer Comments]])),
    ISNUMBER(SEARCH("inactive", tblDocketedComments[[#This Row],[Docketed Consumer Comments]]))
  ),
  0,
  1
)</f>
        <v>1</v>
      </c>
    </row>
    <row r="284" spans="1:22" hidden="1">
      <c r="A284" s="2">
        <v>45903</v>
      </c>
      <c r="B284" s="1" t="s">
        <v>940</v>
      </c>
      <c r="C284" s="1" t="s">
        <v>941</v>
      </c>
      <c r="D284" s="1" t="s">
        <v>63</v>
      </c>
      <c r="E284" s="1">
        <v>85014</v>
      </c>
      <c r="F284" s="1" t="s">
        <v>310</v>
      </c>
      <c r="G284" s="1" t="s">
        <v>506</v>
      </c>
      <c r="H284" s="19" t="s">
        <v>942</v>
      </c>
      <c r="I284" s="5" t="s">
        <v>73</v>
      </c>
      <c r="J284" s="5" t="s">
        <v>37</v>
      </c>
      <c r="K284" s="5" t="s">
        <v>37</v>
      </c>
      <c r="L284" s="5" t="s">
        <v>38</v>
      </c>
      <c r="M284" s="5" t="s">
        <v>37</v>
      </c>
      <c r="N284" s="5" t="s">
        <v>37</v>
      </c>
      <c r="O284" s="5" t="s">
        <v>38</v>
      </c>
      <c r="P284" s="5" t="s">
        <v>39</v>
      </c>
      <c r="Q284" s="2">
        <v>45968</v>
      </c>
      <c r="V284" s="46">
        <f>IF(
  OR(
    ISNUMBER(SEARCH("unable to locate acct", tblDocketedComments[[#This Row],[Docketed Consumer Comments]])),
    ISNUMBER(SEARCH("unknown", tblDocketedComments[[#This Row],[Docketed Consumer Comments]])),
    ISNUMBER(SEARCH("inactive", tblDocketedComments[[#This Row],[Docketed Consumer Comments]]))
  ),
  0,
  1
)</f>
        <v>1</v>
      </c>
    </row>
    <row r="285" spans="1:22" hidden="1">
      <c r="A285" s="2">
        <v>45903</v>
      </c>
      <c r="B285" s="1" t="s">
        <v>943</v>
      </c>
      <c r="C285" s="1" t="s">
        <v>944</v>
      </c>
      <c r="D285" s="1" t="s">
        <v>202</v>
      </c>
      <c r="E285" s="1">
        <v>85382</v>
      </c>
      <c r="F285" s="1" t="s">
        <v>310</v>
      </c>
      <c r="G285" s="1" t="s">
        <v>506</v>
      </c>
      <c r="H285" s="4" t="s">
        <v>945</v>
      </c>
      <c r="I285" s="5" t="s">
        <v>36</v>
      </c>
      <c r="J285" s="5" t="s">
        <v>37</v>
      </c>
      <c r="K285" s="5" t="s">
        <v>37</v>
      </c>
      <c r="L285" s="5" t="s">
        <v>946</v>
      </c>
      <c r="M285" s="5" t="s">
        <v>37</v>
      </c>
      <c r="N285" s="5" t="s">
        <v>37</v>
      </c>
      <c r="O285" s="5" t="s">
        <v>38</v>
      </c>
      <c r="P285" s="5" t="s">
        <v>39</v>
      </c>
      <c r="Q285" s="2">
        <v>45968</v>
      </c>
      <c r="V285" s="46">
        <f>IF(
  OR(
    ISNUMBER(SEARCH("unable to locate acct", tblDocketedComments[[#This Row],[Docketed Consumer Comments]])),
    ISNUMBER(SEARCH("unknown", tblDocketedComments[[#This Row],[Docketed Consumer Comments]])),
    ISNUMBER(SEARCH("inactive", tblDocketedComments[[#This Row],[Docketed Consumer Comments]]))
  ),
  0,
  1
)</f>
        <v>1</v>
      </c>
    </row>
    <row r="286" spans="1:22" hidden="1">
      <c r="A286" s="2">
        <v>45903</v>
      </c>
      <c r="B286" s="1" t="s">
        <v>947</v>
      </c>
      <c r="C286" s="1" t="s">
        <v>948</v>
      </c>
      <c r="D286" s="1" t="s">
        <v>125</v>
      </c>
      <c r="E286" s="1">
        <v>85251</v>
      </c>
      <c r="F286" s="1" t="s">
        <v>310</v>
      </c>
      <c r="G286" s="1" t="s">
        <v>506</v>
      </c>
      <c r="H286" s="19" t="s">
        <v>949</v>
      </c>
      <c r="I286" s="5" t="s">
        <v>73</v>
      </c>
      <c r="J286" s="5" t="s">
        <v>37</v>
      </c>
      <c r="K286" s="5" t="s">
        <v>37</v>
      </c>
      <c r="L286" s="5" t="s">
        <v>38</v>
      </c>
      <c r="M286" s="5" t="s">
        <v>37</v>
      </c>
      <c r="N286" s="5" t="s">
        <v>37</v>
      </c>
      <c r="O286" s="5" t="s">
        <v>38</v>
      </c>
      <c r="P286" s="5" t="s">
        <v>39</v>
      </c>
      <c r="Q286" s="2">
        <v>45968</v>
      </c>
      <c r="V286" s="46">
        <f>IF(
  OR(
    ISNUMBER(SEARCH("unable to locate acct", tblDocketedComments[[#This Row],[Docketed Consumer Comments]])),
    ISNUMBER(SEARCH("unknown", tblDocketedComments[[#This Row],[Docketed Consumer Comments]])),
    ISNUMBER(SEARCH("inactive", tblDocketedComments[[#This Row],[Docketed Consumer Comments]]))
  ),
  0,
  1
)</f>
        <v>1</v>
      </c>
    </row>
    <row r="287" spans="1:22" hidden="1">
      <c r="A287" s="2">
        <v>45903</v>
      </c>
      <c r="B287" s="1" t="s">
        <v>950</v>
      </c>
      <c r="C287" s="1" t="s">
        <v>835</v>
      </c>
      <c r="D287" s="1" t="s">
        <v>63</v>
      </c>
      <c r="E287" s="1">
        <v>85016</v>
      </c>
      <c r="F287" s="1" t="s">
        <v>310</v>
      </c>
      <c r="G287" s="1" t="s">
        <v>506</v>
      </c>
      <c r="H287" s="19" t="s">
        <v>951</v>
      </c>
      <c r="I287" s="5" t="s">
        <v>126</v>
      </c>
      <c r="J287" s="5" t="s">
        <v>37</v>
      </c>
      <c r="K287" s="5" t="s">
        <v>37</v>
      </c>
      <c r="L287" s="5" t="s">
        <v>952</v>
      </c>
      <c r="M287" s="5" t="s">
        <v>37</v>
      </c>
      <c r="N287" s="5" t="s">
        <v>37</v>
      </c>
      <c r="O287" s="5" t="s">
        <v>38</v>
      </c>
      <c r="P287" s="5" t="s">
        <v>39</v>
      </c>
      <c r="Q287" s="2">
        <v>45968</v>
      </c>
      <c r="V287" s="46">
        <f>IF(
  OR(
    ISNUMBER(SEARCH("unable to locate acct", tblDocketedComments[[#This Row],[Docketed Consumer Comments]])),
    ISNUMBER(SEARCH("unknown", tblDocketedComments[[#This Row],[Docketed Consumer Comments]])),
    ISNUMBER(SEARCH("inactive", tblDocketedComments[[#This Row],[Docketed Consumer Comments]]))
  ),
  0,
  1
)</f>
        <v>1</v>
      </c>
    </row>
    <row r="288" spans="1:22" hidden="1">
      <c r="A288" s="2">
        <v>45903</v>
      </c>
      <c r="B288" s="1" t="s">
        <v>526</v>
      </c>
      <c r="C288" s="1" t="s">
        <v>129</v>
      </c>
      <c r="D288" s="1" t="s">
        <v>169</v>
      </c>
      <c r="E288" s="1">
        <v>85338</v>
      </c>
      <c r="F288" s="1" t="s">
        <v>31</v>
      </c>
      <c r="G288" s="1" t="s">
        <v>506</v>
      </c>
      <c r="H288" s="4" t="s">
        <v>209</v>
      </c>
      <c r="V288" s="46">
        <f>IF(
  OR(
    ISNUMBER(SEARCH("unable to locate acct", tblDocketedComments[[#This Row],[Docketed Consumer Comments]])),
    ISNUMBER(SEARCH("unknown", tblDocketedComments[[#This Row],[Docketed Consumer Comments]])),
    ISNUMBER(SEARCH("inactive", tblDocketedComments[[#This Row],[Docketed Consumer Comments]]))
  ),
  0,
  1
)</f>
        <v>1</v>
      </c>
    </row>
    <row r="289" spans="1:22" hidden="1">
      <c r="A289" s="2">
        <v>45903</v>
      </c>
      <c r="B289" s="1" t="s">
        <v>290</v>
      </c>
      <c r="C289" s="1" t="s">
        <v>953</v>
      </c>
      <c r="D289" s="1" t="s">
        <v>63</v>
      </c>
      <c r="E289" s="1">
        <v>85013</v>
      </c>
      <c r="F289" s="1" t="s">
        <v>310</v>
      </c>
      <c r="G289" s="1" t="s">
        <v>506</v>
      </c>
      <c r="H289" s="19" t="s">
        <v>954</v>
      </c>
      <c r="I289" s="5" t="s">
        <v>73</v>
      </c>
      <c r="J289" s="5" t="s">
        <v>37</v>
      </c>
      <c r="K289" s="5" t="s">
        <v>37</v>
      </c>
      <c r="L289" s="5" t="s">
        <v>38</v>
      </c>
      <c r="M289" s="5" t="s">
        <v>37</v>
      </c>
      <c r="N289" s="5" t="s">
        <v>37</v>
      </c>
      <c r="O289" s="5" t="s">
        <v>38</v>
      </c>
      <c r="P289" s="5" t="s">
        <v>39</v>
      </c>
      <c r="Q289" s="2">
        <v>45968</v>
      </c>
      <c r="V289" s="46">
        <f>IF(
  OR(
    ISNUMBER(SEARCH("unable to locate acct", tblDocketedComments[[#This Row],[Docketed Consumer Comments]])),
    ISNUMBER(SEARCH("unknown", tblDocketedComments[[#This Row],[Docketed Consumer Comments]])),
    ISNUMBER(SEARCH("inactive", tblDocketedComments[[#This Row],[Docketed Consumer Comments]]))
  ),
  0,
  1
)</f>
        <v>1</v>
      </c>
    </row>
    <row r="290" spans="1:22" hidden="1">
      <c r="A290" s="2">
        <v>45903</v>
      </c>
      <c r="B290" s="1" t="s">
        <v>955</v>
      </c>
      <c r="C290" s="1" t="s">
        <v>956</v>
      </c>
      <c r="D290" s="1" t="s">
        <v>63</v>
      </c>
      <c r="E290" s="1">
        <v>85028</v>
      </c>
      <c r="F290" s="1" t="s">
        <v>310</v>
      </c>
      <c r="G290" s="1" t="s">
        <v>506</v>
      </c>
      <c r="H290" s="19" t="s">
        <v>957</v>
      </c>
      <c r="I290" s="5" t="s">
        <v>196</v>
      </c>
      <c r="J290" s="5" t="s">
        <v>37</v>
      </c>
      <c r="K290" s="5" t="s">
        <v>37</v>
      </c>
      <c r="L290" s="5" t="s">
        <v>958</v>
      </c>
      <c r="M290" s="5" t="s">
        <v>37</v>
      </c>
      <c r="N290" s="5" t="s">
        <v>37</v>
      </c>
      <c r="O290" s="5" t="s">
        <v>38</v>
      </c>
      <c r="P290" s="5" t="s">
        <v>39</v>
      </c>
      <c r="Q290" s="2">
        <v>45968</v>
      </c>
      <c r="V290" s="46">
        <f>IF(
  OR(
    ISNUMBER(SEARCH("unable to locate acct", tblDocketedComments[[#This Row],[Docketed Consumer Comments]])),
    ISNUMBER(SEARCH("unknown", tblDocketedComments[[#This Row],[Docketed Consumer Comments]])),
    ISNUMBER(SEARCH("inactive", tblDocketedComments[[#This Row],[Docketed Consumer Comments]]))
  ),
  0,
  1
)</f>
        <v>1</v>
      </c>
    </row>
    <row r="291" spans="1:22" hidden="1">
      <c r="A291" s="2">
        <v>45903</v>
      </c>
      <c r="B291" s="1" t="s">
        <v>176</v>
      </c>
      <c r="C291" s="1" t="s">
        <v>911</v>
      </c>
      <c r="D291" s="1" t="s">
        <v>169</v>
      </c>
      <c r="E291" s="1">
        <v>85338</v>
      </c>
      <c r="F291" s="1" t="s">
        <v>517</v>
      </c>
      <c r="G291" s="1" t="s">
        <v>506</v>
      </c>
      <c r="H291" s="4" t="s">
        <v>209</v>
      </c>
      <c r="V291" s="46">
        <f>IF(
  OR(
    ISNUMBER(SEARCH("unable to locate acct", tblDocketedComments[[#This Row],[Docketed Consumer Comments]])),
    ISNUMBER(SEARCH("unknown", tblDocketedComments[[#This Row],[Docketed Consumer Comments]])),
    ISNUMBER(SEARCH("inactive", tblDocketedComments[[#This Row],[Docketed Consumer Comments]]))
  ),
  0,
  1
)</f>
        <v>1</v>
      </c>
    </row>
    <row r="292" spans="1:22" hidden="1">
      <c r="A292" s="2">
        <v>45903</v>
      </c>
      <c r="B292" s="1" t="s">
        <v>959</v>
      </c>
      <c r="C292" s="1" t="s">
        <v>228</v>
      </c>
      <c r="D292" s="1" t="s">
        <v>202</v>
      </c>
      <c r="E292" s="1">
        <v>85381</v>
      </c>
      <c r="F292" s="1" t="s">
        <v>31</v>
      </c>
      <c r="G292" s="1" t="s">
        <v>506</v>
      </c>
      <c r="H292" s="19" t="s">
        <v>960</v>
      </c>
      <c r="I292" s="5" t="s">
        <v>36</v>
      </c>
      <c r="J292" s="5" t="s">
        <v>37</v>
      </c>
      <c r="K292" s="5" t="s">
        <v>37</v>
      </c>
      <c r="L292" s="5" t="s">
        <v>38</v>
      </c>
      <c r="M292" s="5" t="s">
        <v>37</v>
      </c>
      <c r="N292" s="5" t="s">
        <v>37</v>
      </c>
      <c r="O292" s="5" t="s">
        <v>38</v>
      </c>
      <c r="P292" s="5" t="s">
        <v>39</v>
      </c>
      <c r="Q292" s="2">
        <v>45968</v>
      </c>
      <c r="V292" s="46">
        <f>IF(
  OR(
    ISNUMBER(SEARCH("unable to locate acct", tblDocketedComments[[#This Row],[Docketed Consumer Comments]])),
    ISNUMBER(SEARCH("unknown", tblDocketedComments[[#This Row],[Docketed Consumer Comments]])),
    ISNUMBER(SEARCH("inactive", tblDocketedComments[[#This Row],[Docketed Consumer Comments]]))
  ),
  0,
  1
)</f>
        <v>1</v>
      </c>
    </row>
    <row r="293" spans="1:22" hidden="1">
      <c r="A293" s="2">
        <v>45903</v>
      </c>
      <c r="B293" s="1" t="s">
        <v>961</v>
      </c>
      <c r="C293" s="1" t="s">
        <v>962</v>
      </c>
      <c r="D293" s="1" t="s">
        <v>112</v>
      </c>
      <c r="E293" s="1">
        <v>85388</v>
      </c>
      <c r="F293" s="1" t="s">
        <v>310</v>
      </c>
      <c r="G293" s="1" t="s">
        <v>506</v>
      </c>
      <c r="H293" s="19" t="s">
        <v>963</v>
      </c>
      <c r="I293" s="5" t="s">
        <v>418</v>
      </c>
      <c r="J293" s="5" t="s">
        <v>37</v>
      </c>
      <c r="K293" s="5" t="s">
        <v>37</v>
      </c>
      <c r="L293" s="5" t="s">
        <v>389</v>
      </c>
      <c r="M293" s="5" t="s">
        <v>37</v>
      </c>
      <c r="N293" s="5" t="s">
        <v>37</v>
      </c>
      <c r="O293" s="5" t="s">
        <v>38</v>
      </c>
      <c r="P293" s="5" t="s">
        <v>39</v>
      </c>
      <c r="Q293" s="2">
        <v>45968</v>
      </c>
      <c r="V293" s="46">
        <f>IF(
  OR(
    ISNUMBER(SEARCH("unable to locate acct", tblDocketedComments[[#This Row],[Docketed Consumer Comments]])),
    ISNUMBER(SEARCH("unknown", tblDocketedComments[[#This Row],[Docketed Consumer Comments]])),
    ISNUMBER(SEARCH("inactive", tblDocketedComments[[#This Row],[Docketed Consumer Comments]]))
  ),
  0,
  1
)</f>
        <v>1</v>
      </c>
    </row>
    <row r="294" spans="1:22" hidden="1">
      <c r="A294" s="2">
        <v>45903</v>
      </c>
      <c r="B294" s="1" t="s">
        <v>964</v>
      </c>
      <c r="C294" s="1" t="s">
        <v>965</v>
      </c>
      <c r="D294" s="1" t="s">
        <v>125</v>
      </c>
      <c r="E294" s="1">
        <v>85254</v>
      </c>
      <c r="F294" s="1" t="s">
        <v>31</v>
      </c>
      <c r="G294" s="1" t="s">
        <v>506</v>
      </c>
      <c r="H294" s="19" t="s">
        <v>966</v>
      </c>
      <c r="I294" s="5" t="s">
        <v>196</v>
      </c>
      <c r="J294" s="5" t="s">
        <v>37</v>
      </c>
      <c r="K294" s="5" t="s">
        <v>37</v>
      </c>
      <c r="L294" s="5" t="s">
        <v>38</v>
      </c>
      <c r="M294" s="5" t="s">
        <v>37</v>
      </c>
      <c r="N294" s="5" t="s">
        <v>37</v>
      </c>
      <c r="O294" s="5" t="s">
        <v>38</v>
      </c>
      <c r="P294" s="5" t="s">
        <v>39</v>
      </c>
      <c r="Q294" s="2">
        <v>45968</v>
      </c>
      <c r="V294" s="46">
        <f>IF(
  OR(
    ISNUMBER(SEARCH("unable to locate acct", tblDocketedComments[[#This Row],[Docketed Consumer Comments]])),
    ISNUMBER(SEARCH("unknown", tblDocketedComments[[#This Row],[Docketed Consumer Comments]])),
    ISNUMBER(SEARCH("inactive", tblDocketedComments[[#This Row],[Docketed Consumer Comments]]))
  ),
  0,
  1
)</f>
        <v>1</v>
      </c>
    </row>
    <row r="295" spans="1:22" hidden="1">
      <c r="A295" s="2">
        <v>45903</v>
      </c>
      <c r="B295" s="1" t="s">
        <v>967</v>
      </c>
      <c r="C295" s="1" t="s">
        <v>890</v>
      </c>
      <c r="D295" s="1" t="s">
        <v>202</v>
      </c>
      <c r="E295" s="1">
        <v>85383</v>
      </c>
      <c r="F295" s="1" t="s">
        <v>310</v>
      </c>
      <c r="G295" s="1" t="s">
        <v>506</v>
      </c>
      <c r="H295" s="4" t="s">
        <v>27</v>
      </c>
      <c r="V295" s="46">
        <f>IF(
  OR(
    ISNUMBER(SEARCH("unable to locate acct", tblDocketedComments[[#This Row],[Docketed Consumer Comments]])),
    ISNUMBER(SEARCH("unknown", tblDocketedComments[[#This Row],[Docketed Consumer Comments]])),
    ISNUMBER(SEARCH("inactive", tblDocketedComments[[#This Row],[Docketed Consumer Comments]]))
  ),
  0,
  1
)</f>
        <v>1</v>
      </c>
    </row>
    <row r="296" spans="1:22" hidden="1">
      <c r="A296" s="2">
        <v>45903</v>
      </c>
      <c r="B296" s="1" t="s">
        <v>160</v>
      </c>
      <c r="C296" s="1" t="s">
        <v>968</v>
      </c>
      <c r="D296" s="1" t="s">
        <v>240</v>
      </c>
      <c r="E296" s="1">
        <v>85340</v>
      </c>
      <c r="F296" s="1" t="s">
        <v>969</v>
      </c>
      <c r="G296" s="1" t="s">
        <v>506</v>
      </c>
      <c r="H296" s="4" t="s">
        <v>27</v>
      </c>
      <c r="V296" s="46">
        <f>IF(
  OR(
    ISNUMBER(SEARCH("unable to locate acct", tblDocketedComments[[#This Row],[Docketed Consumer Comments]])),
    ISNUMBER(SEARCH("unknown", tblDocketedComments[[#This Row],[Docketed Consumer Comments]])),
    ISNUMBER(SEARCH("inactive", tblDocketedComments[[#This Row],[Docketed Consumer Comments]]))
  ),
  0,
  1
)</f>
        <v>1</v>
      </c>
    </row>
    <row r="297" spans="1:22" hidden="1">
      <c r="A297" s="2">
        <v>45903</v>
      </c>
      <c r="B297" s="1" t="s">
        <v>970</v>
      </c>
      <c r="C297" s="1" t="s">
        <v>355</v>
      </c>
      <c r="D297" s="1" t="s">
        <v>202</v>
      </c>
      <c r="E297" s="1">
        <v>85382</v>
      </c>
      <c r="F297" s="1" t="s">
        <v>971</v>
      </c>
      <c r="G297" s="1" t="s">
        <v>506</v>
      </c>
      <c r="H297" s="19" t="s">
        <v>972</v>
      </c>
      <c r="I297" s="5" t="s">
        <v>541</v>
      </c>
      <c r="J297" s="5" t="s">
        <v>37</v>
      </c>
      <c r="K297" s="5" t="s">
        <v>37</v>
      </c>
      <c r="L297" s="5" t="s">
        <v>389</v>
      </c>
      <c r="M297" s="5" t="s">
        <v>37</v>
      </c>
      <c r="N297" s="5" t="s">
        <v>37</v>
      </c>
      <c r="O297" s="5" t="s">
        <v>38</v>
      </c>
      <c r="P297" s="5" t="s">
        <v>39</v>
      </c>
      <c r="Q297" s="2">
        <v>45968</v>
      </c>
      <c r="V297" s="46">
        <f>IF(
  OR(
    ISNUMBER(SEARCH("unable to locate acct", tblDocketedComments[[#This Row],[Docketed Consumer Comments]])),
    ISNUMBER(SEARCH("unknown", tblDocketedComments[[#This Row],[Docketed Consumer Comments]])),
    ISNUMBER(SEARCH("inactive", tblDocketedComments[[#This Row],[Docketed Consumer Comments]]))
  ),
  0,
  1
)</f>
        <v>1</v>
      </c>
    </row>
    <row r="298" spans="1:22" hidden="1">
      <c r="A298" s="2">
        <v>45903</v>
      </c>
      <c r="B298" s="1" t="s">
        <v>134</v>
      </c>
      <c r="C298" s="1" t="s">
        <v>789</v>
      </c>
      <c r="D298" s="1" t="s">
        <v>240</v>
      </c>
      <c r="E298" s="1">
        <v>85340</v>
      </c>
      <c r="F298" s="1" t="s">
        <v>31</v>
      </c>
      <c r="G298" s="1" t="s">
        <v>506</v>
      </c>
      <c r="H298" s="19" t="s">
        <v>973</v>
      </c>
      <c r="I298" s="5" t="s">
        <v>418</v>
      </c>
      <c r="J298" s="5" t="s">
        <v>37</v>
      </c>
      <c r="K298" s="5" t="s">
        <v>37</v>
      </c>
      <c r="L298" s="5" t="s">
        <v>389</v>
      </c>
      <c r="M298" s="5" t="s">
        <v>37</v>
      </c>
      <c r="N298" s="5" t="s">
        <v>37</v>
      </c>
      <c r="O298" s="5" t="s">
        <v>38</v>
      </c>
      <c r="P298" s="5" t="s">
        <v>39</v>
      </c>
      <c r="Q298" s="2">
        <v>45968</v>
      </c>
      <c r="V298" s="46">
        <f>IF(
  OR(
    ISNUMBER(SEARCH("unable to locate acct", tblDocketedComments[[#This Row],[Docketed Consumer Comments]])),
    ISNUMBER(SEARCH("unknown", tblDocketedComments[[#This Row],[Docketed Consumer Comments]])),
    ISNUMBER(SEARCH("inactive", tblDocketedComments[[#This Row],[Docketed Consumer Comments]]))
  ),
  0,
  1
)</f>
        <v>1</v>
      </c>
    </row>
    <row r="299" spans="1:22" hidden="1">
      <c r="A299" s="2">
        <v>45903</v>
      </c>
      <c r="B299" s="1" t="s">
        <v>974</v>
      </c>
      <c r="C299" s="1" t="s">
        <v>975</v>
      </c>
      <c r="D299" s="1" t="s">
        <v>125</v>
      </c>
      <c r="E299" s="1">
        <v>85251</v>
      </c>
      <c r="F299" s="1" t="s">
        <v>310</v>
      </c>
      <c r="G299" s="1" t="s">
        <v>506</v>
      </c>
      <c r="H299" s="19" t="s">
        <v>976</v>
      </c>
      <c r="I299" s="5" t="s">
        <v>126</v>
      </c>
      <c r="J299" s="5" t="s">
        <v>37</v>
      </c>
      <c r="K299" s="5" t="s">
        <v>37</v>
      </c>
      <c r="L299" s="7" t="s">
        <v>977</v>
      </c>
      <c r="M299" s="5" t="s">
        <v>37</v>
      </c>
      <c r="N299" s="5" t="s">
        <v>37</v>
      </c>
      <c r="O299" s="5" t="s">
        <v>38</v>
      </c>
      <c r="P299" s="2">
        <v>45933</v>
      </c>
      <c r="Q299" s="2">
        <v>45967</v>
      </c>
      <c r="R299" s="1" t="s">
        <v>978</v>
      </c>
      <c r="V299" s="46">
        <f>IF(
  OR(
    ISNUMBER(SEARCH("unable to locate acct", tblDocketedComments[[#This Row],[Docketed Consumer Comments]])),
    ISNUMBER(SEARCH("unknown", tblDocketedComments[[#This Row],[Docketed Consumer Comments]])),
    ISNUMBER(SEARCH("inactive", tblDocketedComments[[#This Row],[Docketed Consumer Comments]]))
  ),
  0,
  1
)</f>
        <v>1</v>
      </c>
    </row>
    <row r="300" spans="1:22" hidden="1">
      <c r="A300" s="2">
        <v>45903</v>
      </c>
      <c r="B300" s="1" t="s">
        <v>979</v>
      </c>
      <c r="C300" s="1" t="s">
        <v>673</v>
      </c>
      <c r="D300" s="1" t="s">
        <v>202</v>
      </c>
      <c r="E300" s="1">
        <v>85383</v>
      </c>
      <c r="F300" s="1" t="s">
        <v>310</v>
      </c>
      <c r="G300" s="1" t="s">
        <v>506</v>
      </c>
      <c r="H300" s="19" t="s">
        <v>980</v>
      </c>
      <c r="I300" s="5" t="s">
        <v>36</v>
      </c>
      <c r="J300" s="5" t="s">
        <v>37</v>
      </c>
      <c r="K300" s="5" t="s">
        <v>37</v>
      </c>
      <c r="L300" s="5" t="s">
        <v>38</v>
      </c>
      <c r="M300" s="5" t="s">
        <v>37</v>
      </c>
      <c r="N300" s="5" t="s">
        <v>37</v>
      </c>
      <c r="O300" s="5" t="s">
        <v>38</v>
      </c>
      <c r="P300" s="5" t="s">
        <v>39</v>
      </c>
      <c r="Q300" s="2">
        <v>45967</v>
      </c>
      <c r="V300" s="46">
        <f>IF(
  OR(
    ISNUMBER(SEARCH("unable to locate acct", tblDocketedComments[[#This Row],[Docketed Consumer Comments]])),
    ISNUMBER(SEARCH("unknown", tblDocketedComments[[#This Row],[Docketed Consumer Comments]])),
    ISNUMBER(SEARCH("inactive", tblDocketedComments[[#This Row],[Docketed Consumer Comments]]))
  ),
  0,
  1
)</f>
        <v>1</v>
      </c>
    </row>
    <row r="301" spans="1:22" hidden="1">
      <c r="A301" s="2">
        <v>45903</v>
      </c>
      <c r="B301" s="1" t="s">
        <v>981</v>
      </c>
      <c r="C301" s="1" t="s">
        <v>208</v>
      </c>
      <c r="D301" s="1" t="s">
        <v>261</v>
      </c>
      <c r="E301" s="1">
        <v>86314</v>
      </c>
      <c r="F301" s="1" t="s">
        <v>31</v>
      </c>
      <c r="G301" s="1" t="s">
        <v>506</v>
      </c>
      <c r="H301" s="19" t="s">
        <v>982</v>
      </c>
      <c r="I301" s="5" t="s">
        <v>126</v>
      </c>
      <c r="J301" s="5" t="s">
        <v>37</v>
      </c>
      <c r="K301" s="5" t="s">
        <v>37</v>
      </c>
      <c r="L301" s="5" t="s">
        <v>983</v>
      </c>
      <c r="M301" s="5" t="s">
        <v>37</v>
      </c>
      <c r="N301" s="5" t="s">
        <v>37</v>
      </c>
      <c r="O301" s="5" t="s">
        <v>38</v>
      </c>
      <c r="P301" s="5" t="s">
        <v>39</v>
      </c>
      <c r="Q301" s="2">
        <v>45967</v>
      </c>
      <c r="R301" s="1" t="s">
        <v>984</v>
      </c>
      <c r="V301" s="46">
        <f>IF(
  OR(
    ISNUMBER(SEARCH("unable to locate acct", tblDocketedComments[[#This Row],[Docketed Consumer Comments]])),
    ISNUMBER(SEARCH("unknown", tblDocketedComments[[#This Row],[Docketed Consumer Comments]])),
    ISNUMBER(SEARCH("inactive", tblDocketedComments[[#This Row],[Docketed Consumer Comments]]))
  ),
  0,
  1
)</f>
        <v>1</v>
      </c>
    </row>
    <row r="302" spans="1:22" hidden="1">
      <c r="A302" s="2">
        <v>45903</v>
      </c>
      <c r="B302" s="1" t="s">
        <v>985</v>
      </c>
      <c r="C302" s="1" t="s">
        <v>263</v>
      </c>
      <c r="D302" s="1" t="s">
        <v>169</v>
      </c>
      <c r="E302" s="1">
        <v>85395</v>
      </c>
      <c r="F302" s="1" t="s">
        <v>986</v>
      </c>
      <c r="G302" s="1" t="s">
        <v>506</v>
      </c>
      <c r="H302" s="19" t="s">
        <v>987</v>
      </c>
      <c r="I302" s="5" t="s">
        <v>196</v>
      </c>
      <c r="J302" s="5" t="s">
        <v>37</v>
      </c>
      <c r="K302" s="5" t="s">
        <v>37</v>
      </c>
      <c r="L302" s="5" t="s">
        <v>38</v>
      </c>
      <c r="M302" s="5" t="s">
        <v>37</v>
      </c>
      <c r="N302" s="5" t="s">
        <v>37</v>
      </c>
      <c r="O302" s="5" t="s">
        <v>38</v>
      </c>
      <c r="P302" s="5" t="s">
        <v>39</v>
      </c>
      <c r="Q302" s="2">
        <v>45967</v>
      </c>
      <c r="V302" s="46">
        <f>IF(
  OR(
    ISNUMBER(SEARCH("unable to locate acct", tblDocketedComments[[#This Row],[Docketed Consumer Comments]])),
    ISNUMBER(SEARCH("unknown", tblDocketedComments[[#This Row],[Docketed Consumer Comments]])),
    ISNUMBER(SEARCH("inactive", tblDocketedComments[[#This Row],[Docketed Consumer Comments]]))
  ),
  0,
  1
)</f>
        <v>1</v>
      </c>
    </row>
    <row r="303" spans="1:22" hidden="1">
      <c r="A303" s="2">
        <v>45903</v>
      </c>
      <c r="B303" s="1" t="s">
        <v>134</v>
      </c>
      <c r="C303" s="1" t="s">
        <v>777</v>
      </c>
      <c r="D303" s="1" t="s">
        <v>240</v>
      </c>
      <c r="E303" s="1">
        <v>85340</v>
      </c>
      <c r="F303" s="1" t="s">
        <v>31</v>
      </c>
      <c r="G303" s="1" t="s">
        <v>506</v>
      </c>
      <c r="H303" s="19" t="s">
        <v>988</v>
      </c>
      <c r="I303" s="5" t="s">
        <v>243</v>
      </c>
      <c r="J303" s="5" t="s">
        <v>37</v>
      </c>
      <c r="K303" s="5" t="s">
        <v>37</v>
      </c>
      <c r="L303" s="5" t="s">
        <v>389</v>
      </c>
      <c r="M303" s="5" t="s">
        <v>37</v>
      </c>
      <c r="N303" s="5" t="s">
        <v>37</v>
      </c>
      <c r="O303" s="5" t="s">
        <v>38</v>
      </c>
      <c r="P303" s="5" t="s">
        <v>39</v>
      </c>
      <c r="Q303" s="2">
        <v>45967</v>
      </c>
      <c r="V303" s="46">
        <f>IF(
  OR(
    ISNUMBER(SEARCH("unable to locate acct", tblDocketedComments[[#This Row],[Docketed Consumer Comments]])),
    ISNUMBER(SEARCH("unknown", tblDocketedComments[[#This Row],[Docketed Consumer Comments]])),
    ISNUMBER(SEARCH("inactive", tblDocketedComments[[#This Row],[Docketed Consumer Comments]]))
  ),
  0,
  1
)</f>
        <v>1</v>
      </c>
    </row>
    <row r="304" spans="1:22" hidden="1">
      <c r="A304" s="2">
        <v>45903</v>
      </c>
      <c r="B304" s="1" t="s">
        <v>989</v>
      </c>
      <c r="C304" s="1" t="s">
        <v>437</v>
      </c>
      <c r="D304" s="1" t="s">
        <v>63</v>
      </c>
      <c r="E304" s="1">
        <v>85028</v>
      </c>
      <c r="F304" s="1" t="s">
        <v>310</v>
      </c>
      <c r="G304" s="1" t="s">
        <v>506</v>
      </c>
      <c r="H304" s="4" t="s">
        <v>27</v>
      </c>
      <c r="V304" s="46">
        <f>IF(
  OR(
    ISNUMBER(SEARCH("unable to locate acct", tblDocketedComments[[#This Row],[Docketed Consumer Comments]])),
    ISNUMBER(SEARCH("unknown", tblDocketedComments[[#This Row],[Docketed Consumer Comments]])),
    ISNUMBER(SEARCH("inactive", tblDocketedComments[[#This Row],[Docketed Consumer Comments]]))
  ),
  0,
  1
)</f>
        <v>1</v>
      </c>
    </row>
    <row r="305" spans="1:22" hidden="1">
      <c r="A305" s="2">
        <v>45903</v>
      </c>
      <c r="B305" s="1" t="s">
        <v>990</v>
      </c>
      <c r="C305" s="1" t="s">
        <v>991</v>
      </c>
      <c r="D305" s="1" t="s">
        <v>169</v>
      </c>
      <c r="E305" s="1">
        <v>85338</v>
      </c>
      <c r="F305" s="1" t="s">
        <v>992</v>
      </c>
      <c r="G305" s="1" t="s">
        <v>506</v>
      </c>
      <c r="H305" s="19" t="s">
        <v>993</v>
      </c>
      <c r="I305" s="5" t="s">
        <v>418</v>
      </c>
      <c r="J305" s="5" t="s">
        <v>37</v>
      </c>
      <c r="K305" s="5" t="s">
        <v>37</v>
      </c>
      <c r="L305" s="5" t="s">
        <v>389</v>
      </c>
      <c r="M305" s="5" t="s">
        <v>37</v>
      </c>
      <c r="N305" s="5" t="s">
        <v>37</v>
      </c>
      <c r="O305" s="5" t="s">
        <v>38</v>
      </c>
      <c r="P305" s="5" t="s">
        <v>39</v>
      </c>
      <c r="Q305" s="2">
        <v>45967</v>
      </c>
      <c r="V305" s="46">
        <f>IF(
  OR(
    ISNUMBER(SEARCH("unable to locate acct", tblDocketedComments[[#This Row],[Docketed Consumer Comments]])),
    ISNUMBER(SEARCH("unknown", tblDocketedComments[[#This Row],[Docketed Consumer Comments]])),
    ISNUMBER(SEARCH("inactive", tblDocketedComments[[#This Row],[Docketed Consumer Comments]]))
  ),
  0,
  1
)</f>
        <v>1</v>
      </c>
    </row>
    <row r="306" spans="1:22" hidden="1">
      <c r="A306" s="2">
        <v>45903</v>
      </c>
      <c r="B306" s="1" t="s">
        <v>837</v>
      </c>
      <c r="C306" s="1" t="s">
        <v>994</v>
      </c>
      <c r="D306" s="1" t="s">
        <v>202</v>
      </c>
      <c r="E306" s="1">
        <v>85383</v>
      </c>
      <c r="F306" s="1" t="s">
        <v>31</v>
      </c>
      <c r="G306" s="1" t="s">
        <v>506</v>
      </c>
      <c r="H306" s="4" t="s">
        <v>27</v>
      </c>
      <c r="V306" s="46">
        <f>IF(
  OR(
    ISNUMBER(SEARCH("unable to locate acct", tblDocketedComments[[#This Row],[Docketed Consumer Comments]])),
    ISNUMBER(SEARCH("unknown", tblDocketedComments[[#This Row],[Docketed Consumer Comments]])),
    ISNUMBER(SEARCH("inactive", tblDocketedComments[[#This Row],[Docketed Consumer Comments]]))
  ),
  0,
  1
)</f>
        <v>1</v>
      </c>
    </row>
    <row r="307" spans="1:22" hidden="1">
      <c r="A307" s="2">
        <v>45903</v>
      </c>
      <c r="B307" s="1" t="s">
        <v>657</v>
      </c>
      <c r="C307" s="1" t="s">
        <v>42</v>
      </c>
      <c r="D307" s="1" t="s">
        <v>169</v>
      </c>
      <c r="E307" s="1">
        <v>85395</v>
      </c>
      <c r="F307" s="1" t="s">
        <v>31</v>
      </c>
      <c r="G307" s="1" t="s">
        <v>506</v>
      </c>
      <c r="H307" s="19" t="s">
        <v>995</v>
      </c>
      <c r="I307" s="5" t="s">
        <v>541</v>
      </c>
      <c r="J307" s="5" t="s">
        <v>37</v>
      </c>
      <c r="K307" s="5" t="s">
        <v>37</v>
      </c>
      <c r="L307" s="5" t="s">
        <v>389</v>
      </c>
      <c r="M307" s="5" t="s">
        <v>37</v>
      </c>
      <c r="N307" s="5" t="s">
        <v>37</v>
      </c>
      <c r="O307" s="5" t="s">
        <v>38</v>
      </c>
      <c r="P307" s="5" t="s">
        <v>39</v>
      </c>
      <c r="Q307" s="2">
        <v>45967</v>
      </c>
      <c r="V307" s="46">
        <f>IF(
  OR(
    ISNUMBER(SEARCH("unable to locate acct", tblDocketedComments[[#This Row],[Docketed Consumer Comments]])),
    ISNUMBER(SEARCH("unknown", tblDocketedComments[[#This Row],[Docketed Consumer Comments]])),
    ISNUMBER(SEARCH("inactive", tblDocketedComments[[#This Row],[Docketed Consumer Comments]]))
  ),
  0,
  1
)</f>
        <v>1</v>
      </c>
    </row>
    <row r="308" spans="1:22" hidden="1">
      <c r="A308" s="2">
        <v>45903</v>
      </c>
      <c r="B308" s="1" t="s">
        <v>996</v>
      </c>
      <c r="C308" s="1" t="s">
        <v>997</v>
      </c>
      <c r="D308" s="1" t="s">
        <v>129</v>
      </c>
      <c r="E308" s="1">
        <v>85298</v>
      </c>
      <c r="F308" s="1" t="s">
        <v>310</v>
      </c>
      <c r="G308" s="1" t="s">
        <v>506</v>
      </c>
      <c r="H308" s="4" t="s">
        <v>27</v>
      </c>
      <c r="V308" s="46">
        <f>IF(
  OR(
    ISNUMBER(SEARCH("unable to locate acct", tblDocketedComments[[#This Row],[Docketed Consumer Comments]])),
    ISNUMBER(SEARCH("unknown", tblDocketedComments[[#This Row],[Docketed Consumer Comments]])),
    ISNUMBER(SEARCH("inactive", tblDocketedComments[[#This Row],[Docketed Consumer Comments]]))
  ),
  0,
  1
)</f>
        <v>1</v>
      </c>
    </row>
    <row r="309" spans="1:22" hidden="1">
      <c r="A309" s="2">
        <v>45903</v>
      </c>
      <c r="B309" s="1" t="s">
        <v>998</v>
      </c>
      <c r="C309" s="1" t="s">
        <v>920</v>
      </c>
      <c r="D309" s="1" t="s">
        <v>63</v>
      </c>
      <c r="E309" s="1">
        <v>85004</v>
      </c>
      <c r="F309" s="1" t="s">
        <v>310</v>
      </c>
      <c r="G309" s="1" t="s">
        <v>506</v>
      </c>
      <c r="H309" s="19" t="s">
        <v>999</v>
      </c>
      <c r="I309" s="5" t="s">
        <v>126</v>
      </c>
      <c r="J309" s="5" t="s">
        <v>38</v>
      </c>
      <c r="K309" s="5" t="s">
        <v>37</v>
      </c>
      <c r="L309" s="5" t="s">
        <v>38</v>
      </c>
      <c r="M309" s="5" t="s">
        <v>37</v>
      </c>
      <c r="N309" s="5" t="s">
        <v>37</v>
      </c>
      <c r="O309" s="5" t="s">
        <v>38</v>
      </c>
      <c r="P309" s="5" t="s">
        <v>39</v>
      </c>
      <c r="Q309" s="2">
        <v>45967</v>
      </c>
      <c r="V309" s="46">
        <f>IF(
  OR(
    ISNUMBER(SEARCH("unable to locate acct", tblDocketedComments[[#This Row],[Docketed Consumer Comments]])),
    ISNUMBER(SEARCH("unknown", tblDocketedComments[[#This Row],[Docketed Consumer Comments]])),
    ISNUMBER(SEARCH("inactive", tblDocketedComments[[#This Row],[Docketed Consumer Comments]]))
  ),
  0,
  1
)</f>
        <v>1</v>
      </c>
    </row>
    <row r="310" spans="1:22" hidden="1">
      <c r="A310" s="2">
        <v>45903</v>
      </c>
      <c r="B310" s="1" t="s">
        <v>1000</v>
      </c>
      <c r="C310" s="1" t="s">
        <v>1001</v>
      </c>
      <c r="D310" s="1" t="s">
        <v>63</v>
      </c>
      <c r="E310" s="1">
        <v>85012</v>
      </c>
      <c r="F310" s="1" t="s">
        <v>1002</v>
      </c>
      <c r="G310" s="1" t="s">
        <v>506</v>
      </c>
      <c r="H310" s="19" t="s">
        <v>1003</v>
      </c>
      <c r="I310" s="5" t="s">
        <v>36</v>
      </c>
      <c r="J310" s="5" t="s">
        <v>37</v>
      </c>
      <c r="K310" s="5" t="s">
        <v>37</v>
      </c>
      <c r="L310" s="5" t="s">
        <v>1004</v>
      </c>
      <c r="M310" s="5" t="s">
        <v>37</v>
      </c>
      <c r="N310" s="5" t="s">
        <v>37</v>
      </c>
      <c r="O310" s="5" t="s">
        <v>38</v>
      </c>
      <c r="P310" s="5" t="s">
        <v>39</v>
      </c>
      <c r="Q310" s="2">
        <v>45967</v>
      </c>
      <c r="V310" s="46">
        <f>IF(
  OR(
    ISNUMBER(SEARCH("unable to locate acct", tblDocketedComments[[#This Row],[Docketed Consumer Comments]])),
    ISNUMBER(SEARCH("unknown", tblDocketedComments[[#This Row],[Docketed Consumer Comments]])),
    ISNUMBER(SEARCH("inactive", tblDocketedComments[[#This Row],[Docketed Consumer Comments]]))
  ),
  0,
  1
)</f>
        <v>1</v>
      </c>
    </row>
    <row r="311" spans="1:22" hidden="1">
      <c r="A311" s="2">
        <v>45903</v>
      </c>
      <c r="B311" s="1" t="s">
        <v>1005</v>
      </c>
      <c r="C311" s="1" t="s">
        <v>443</v>
      </c>
      <c r="D311" s="1" t="s">
        <v>63</v>
      </c>
      <c r="E311" s="1">
        <v>85027</v>
      </c>
      <c r="F311" s="1" t="s">
        <v>310</v>
      </c>
      <c r="G311" s="1" t="s">
        <v>506</v>
      </c>
      <c r="H311" s="4" t="s">
        <v>27</v>
      </c>
      <c r="V311" s="46">
        <f>IF(
  OR(
    ISNUMBER(SEARCH("unable to locate acct", tblDocketedComments[[#This Row],[Docketed Consumer Comments]])),
    ISNUMBER(SEARCH("unknown", tblDocketedComments[[#This Row],[Docketed Consumer Comments]])),
    ISNUMBER(SEARCH("inactive", tblDocketedComments[[#This Row],[Docketed Consumer Comments]]))
  ),
  0,
  1
)</f>
        <v>1</v>
      </c>
    </row>
    <row r="312" spans="1:22" hidden="1">
      <c r="A312" s="2">
        <v>45903</v>
      </c>
      <c r="B312" s="1" t="s">
        <v>1006</v>
      </c>
      <c r="C312" s="1" t="s">
        <v>1007</v>
      </c>
      <c r="D312" s="1" t="s">
        <v>63</v>
      </c>
      <c r="E312" s="1">
        <v>85085</v>
      </c>
      <c r="F312" s="1" t="s">
        <v>31</v>
      </c>
      <c r="G312" s="1" t="s">
        <v>506</v>
      </c>
      <c r="H312" s="19" t="s">
        <v>1008</v>
      </c>
      <c r="I312" s="5" t="s">
        <v>36</v>
      </c>
      <c r="J312" s="5" t="s">
        <v>37</v>
      </c>
      <c r="K312" s="5" t="s">
        <v>37</v>
      </c>
      <c r="L312" s="5" t="s">
        <v>38</v>
      </c>
      <c r="M312" s="5" t="s">
        <v>37</v>
      </c>
      <c r="N312" s="5" t="s">
        <v>37</v>
      </c>
      <c r="O312" s="5" t="s">
        <v>38</v>
      </c>
      <c r="P312" s="5" t="s">
        <v>39</v>
      </c>
      <c r="Q312" s="2">
        <v>45967</v>
      </c>
      <c r="U312" s="1" t="s">
        <v>1009</v>
      </c>
      <c r="V312" s="46">
        <f>IF(
  OR(
    ISNUMBER(SEARCH("unable to locate acct", tblDocketedComments[[#This Row],[Docketed Consumer Comments]])),
    ISNUMBER(SEARCH("unknown", tblDocketedComments[[#This Row],[Docketed Consumer Comments]])),
    ISNUMBER(SEARCH("inactive", tblDocketedComments[[#This Row],[Docketed Consumer Comments]]))
  ),
  0,
  1
)</f>
        <v>1</v>
      </c>
    </row>
    <row r="313" spans="1:22" hidden="1">
      <c r="A313" s="2">
        <v>45903</v>
      </c>
      <c r="B313" s="1" t="s">
        <v>1010</v>
      </c>
      <c r="C313" s="1" t="s">
        <v>1011</v>
      </c>
      <c r="D313" s="1" t="s">
        <v>63</v>
      </c>
      <c r="E313" s="1">
        <v>85024</v>
      </c>
      <c r="F313" s="1" t="s">
        <v>310</v>
      </c>
      <c r="G313" s="1" t="s">
        <v>506</v>
      </c>
      <c r="H313" s="19" t="s">
        <v>1012</v>
      </c>
      <c r="I313" s="5" t="s">
        <v>196</v>
      </c>
      <c r="J313" s="5" t="s">
        <v>37</v>
      </c>
      <c r="K313" s="5" t="s">
        <v>37</v>
      </c>
      <c r="L313" s="5" t="s">
        <v>38</v>
      </c>
      <c r="M313" s="5" t="s">
        <v>37</v>
      </c>
      <c r="N313" s="5" t="s">
        <v>37</v>
      </c>
      <c r="O313" s="5" t="s">
        <v>38</v>
      </c>
      <c r="P313" s="5" t="s">
        <v>39</v>
      </c>
      <c r="Q313" s="2">
        <v>45967</v>
      </c>
      <c r="V313" s="46">
        <f>IF(
  OR(
    ISNUMBER(SEARCH("unable to locate acct", tblDocketedComments[[#This Row],[Docketed Consumer Comments]])),
    ISNUMBER(SEARCH("unknown", tblDocketedComments[[#This Row],[Docketed Consumer Comments]])),
    ISNUMBER(SEARCH("inactive", tblDocketedComments[[#This Row],[Docketed Consumer Comments]]))
  ),
  0,
  1
)</f>
        <v>1</v>
      </c>
    </row>
    <row r="314" spans="1:22" hidden="1">
      <c r="A314" s="2">
        <v>45903</v>
      </c>
      <c r="B314" s="1" t="s">
        <v>1013</v>
      </c>
      <c r="C314" s="1" t="s">
        <v>1014</v>
      </c>
      <c r="D314" s="1" t="s">
        <v>125</v>
      </c>
      <c r="E314" s="1">
        <v>85259</v>
      </c>
      <c r="F314" s="1" t="s">
        <v>310</v>
      </c>
      <c r="G314" s="1" t="s">
        <v>506</v>
      </c>
      <c r="H314" s="4" t="s">
        <v>209</v>
      </c>
      <c r="V314" s="46">
        <f>IF(
  OR(
    ISNUMBER(SEARCH("unable to locate acct", tblDocketedComments[[#This Row],[Docketed Consumer Comments]])),
    ISNUMBER(SEARCH("unknown", tblDocketedComments[[#This Row],[Docketed Consumer Comments]])),
    ISNUMBER(SEARCH("inactive", tblDocketedComments[[#This Row],[Docketed Consumer Comments]]))
  ),
  0,
  1
)</f>
        <v>1</v>
      </c>
    </row>
    <row r="315" spans="1:22" hidden="1">
      <c r="A315" s="2">
        <v>45903</v>
      </c>
      <c r="B315" s="1" t="s">
        <v>779</v>
      </c>
      <c r="C315" s="1" t="s">
        <v>479</v>
      </c>
      <c r="D315" s="1" t="s">
        <v>63</v>
      </c>
      <c r="E315" s="1">
        <v>85023</v>
      </c>
      <c r="F315" s="1" t="s">
        <v>31</v>
      </c>
      <c r="G315" s="1" t="s">
        <v>506</v>
      </c>
      <c r="H315" s="4" t="s">
        <v>1015</v>
      </c>
      <c r="I315" s="5" t="s">
        <v>541</v>
      </c>
      <c r="J315" s="5" t="s">
        <v>38</v>
      </c>
      <c r="K315" s="5" t="s">
        <v>37</v>
      </c>
      <c r="L315" s="5" t="s">
        <v>389</v>
      </c>
      <c r="M315" s="5" t="s">
        <v>37</v>
      </c>
      <c r="N315" s="5" t="s">
        <v>37</v>
      </c>
      <c r="O315" s="5" t="s">
        <v>38</v>
      </c>
      <c r="P315" s="5" t="s">
        <v>39</v>
      </c>
      <c r="Q315" s="2">
        <v>45967</v>
      </c>
      <c r="V315" s="46">
        <f>IF(
  OR(
    ISNUMBER(SEARCH("unable to locate acct", tblDocketedComments[[#This Row],[Docketed Consumer Comments]])),
    ISNUMBER(SEARCH("unknown", tblDocketedComments[[#This Row],[Docketed Consumer Comments]])),
    ISNUMBER(SEARCH("inactive", tblDocketedComments[[#This Row],[Docketed Consumer Comments]]))
  ),
  0,
  1
)</f>
        <v>1</v>
      </c>
    </row>
    <row r="316" spans="1:22" hidden="1">
      <c r="A316" s="2">
        <v>45903</v>
      </c>
      <c r="B316" s="1" t="s">
        <v>1016</v>
      </c>
      <c r="C316" s="1" t="s">
        <v>1017</v>
      </c>
      <c r="D316" s="1" t="s">
        <v>112</v>
      </c>
      <c r="E316" s="1">
        <v>85387</v>
      </c>
      <c r="F316" s="1" t="s">
        <v>310</v>
      </c>
      <c r="G316" s="1" t="s">
        <v>506</v>
      </c>
      <c r="H316" s="19" t="s">
        <v>1018</v>
      </c>
      <c r="I316" s="5" t="s">
        <v>126</v>
      </c>
      <c r="J316" s="5" t="s">
        <v>37</v>
      </c>
      <c r="K316" s="5" t="s">
        <v>37</v>
      </c>
      <c r="L316" s="5" t="s">
        <v>38</v>
      </c>
      <c r="M316" s="5" t="s">
        <v>37</v>
      </c>
      <c r="N316" s="5" t="s">
        <v>37</v>
      </c>
      <c r="O316" s="5" t="s">
        <v>38</v>
      </c>
      <c r="P316" s="5" t="s">
        <v>39</v>
      </c>
      <c r="Q316" s="2">
        <v>45967</v>
      </c>
      <c r="V316" s="46">
        <f>IF(
  OR(
    ISNUMBER(SEARCH("unable to locate acct", tblDocketedComments[[#This Row],[Docketed Consumer Comments]])),
    ISNUMBER(SEARCH("unknown", tblDocketedComments[[#This Row],[Docketed Consumer Comments]])),
    ISNUMBER(SEARCH("inactive", tblDocketedComments[[#This Row],[Docketed Consumer Comments]]))
  ),
  0,
  1
)</f>
        <v>1</v>
      </c>
    </row>
    <row r="317" spans="1:22" hidden="1">
      <c r="A317" s="2">
        <v>45903</v>
      </c>
      <c r="B317" s="1" t="s">
        <v>1019</v>
      </c>
      <c r="C317" s="1" t="s">
        <v>1020</v>
      </c>
      <c r="D317" s="1" t="s">
        <v>619</v>
      </c>
      <c r="E317" s="1">
        <v>85366</v>
      </c>
      <c r="F317" s="1" t="s">
        <v>31</v>
      </c>
      <c r="G317" s="1" t="s">
        <v>506</v>
      </c>
      <c r="H317" s="4" t="s">
        <v>27</v>
      </c>
      <c r="V317" s="46">
        <f>IF(
  OR(
    ISNUMBER(SEARCH("unable to locate acct", tblDocketedComments[[#This Row],[Docketed Consumer Comments]])),
    ISNUMBER(SEARCH("unknown", tblDocketedComments[[#This Row],[Docketed Consumer Comments]])),
    ISNUMBER(SEARCH("inactive", tblDocketedComments[[#This Row],[Docketed Consumer Comments]]))
  ),
  0,
  1
)</f>
        <v>1</v>
      </c>
    </row>
    <row r="318" spans="1:22" hidden="1">
      <c r="A318" s="2">
        <v>45903</v>
      </c>
      <c r="B318" s="1" t="s">
        <v>1021</v>
      </c>
      <c r="C318" s="1" t="s">
        <v>771</v>
      </c>
      <c r="D318" s="1" t="s">
        <v>125</v>
      </c>
      <c r="E318" s="1">
        <v>85258</v>
      </c>
      <c r="F318" s="1" t="s">
        <v>310</v>
      </c>
      <c r="G318" s="1" t="s">
        <v>506</v>
      </c>
      <c r="H318" s="19" t="s">
        <v>1022</v>
      </c>
      <c r="I318" s="5" t="s">
        <v>36</v>
      </c>
      <c r="J318" s="5" t="s">
        <v>37</v>
      </c>
      <c r="K318" s="5" t="s">
        <v>37</v>
      </c>
      <c r="L318" s="7" t="s">
        <v>1023</v>
      </c>
      <c r="M318" s="5" t="s">
        <v>37</v>
      </c>
      <c r="N318" s="5" t="s">
        <v>37</v>
      </c>
      <c r="O318" s="5" t="s">
        <v>38</v>
      </c>
      <c r="P318" s="5" t="s">
        <v>39</v>
      </c>
      <c r="Q318" s="2">
        <v>45967</v>
      </c>
      <c r="R318" s="1" t="s">
        <v>1024</v>
      </c>
      <c r="V318" s="46">
        <f>IF(
  OR(
    ISNUMBER(SEARCH("unable to locate acct", tblDocketedComments[[#This Row],[Docketed Consumer Comments]])),
    ISNUMBER(SEARCH("unknown", tblDocketedComments[[#This Row],[Docketed Consumer Comments]])),
    ISNUMBER(SEARCH("inactive", tblDocketedComments[[#This Row],[Docketed Consumer Comments]]))
  ),
  0,
  1
)</f>
        <v>1</v>
      </c>
    </row>
    <row r="319" spans="1:22" ht="11.25" hidden="1" customHeight="1">
      <c r="A319" s="2">
        <v>45903</v>
      </c>
      <c r="B319" s="1" t="s">
        <v>1025</v>
      </c>
      <c r="C319" s="1" t="s">
        <v>1026</v>
      </c>
      <c r="D319" s="1" t="s">
        <v>202</v>
      </c>
      <c r="E319" s="1">
        <v>85383</v>
      </c>
      <c r="F319" s="1" t="s">
        <v>31</v>
      </c>
      <c r="G319" s="1" t="s">
        <v>506</v>
      </c>
      <c r="H319" s="19" t="s">
        <v>1027</v>
      </c>
      <c r="I319" s="5" t="s">
        <v>126</v>
      </c>
      <c r="J319" s="5" t="s">
        <v>37</v>
      </c>
      <c r="K319" s="5" t="s">
        <v>37</v>
      </c>
      <c r="L319" s="5" t="s">
        <v>1028</v>
      </c>
      <c r="M319" s="5" t="s">
        <v>37</v>
      </c>
      <c r="N319" s="5" t="s">
        <v>37</v>
      </c>
      <c r="O319" s="5" t="s">
        <v>38</v>
      </c>
      <c r="P319" s="5" t="s">
        <v>39</v>
      </c>
      <c r="Q319" s="2">
        <v>45967</v>
      </c>
      <c r="R319" s="1" t="s">
        <v>1029</v>
      </c>
      <c r="V319" s="46">
        <f>IF(
  OR(
    ISNUMBER(SEARCH("unable to locate acct", tblDocketedComments[[#This Row],[Docketed Consumer Comments]])),
    ISNUMBER(SEARCH("unknown", tblDocketedComments[[#This Row],[Docketed Consumer Comments]])),
    ISNUMBER(SEARCH("inactive", tblDocketedComments[[#This Row],[Docketed Consumer Comments]]))
  ),
  0,
  1
)</f>
        <v>1</v>
      </c>
    </row>
    <row r="320" spans="1:22" hidden="1">
      <c r="A320" s="2">
        <v>45903</v>
      </c>
      <c r="B320" s="1" t="s">
        <v>818</v>
      </c>
      <c r="C320" s="1" t="s">
        <v>135</v>
      </c>
      <c r="D320" s="1" t="s">
        <v>63</v>
      </c>
      <c r="E320" s="1">
        <v>85028</v>
      </c>
      <c r="F320" s="1" t="s">
        <v>31</v>
      </c>
      <c r="G320" s="1" t="s">
        <v>506</v>
      </c>
      <c r="H320" s="19" t="s">
        <v>1030</v>
      </c>
      <c r="I320" s="5" t="s">
        <v>36</v>
      </c>
      <c r="J320" s="5" t="s">
        <v>37</v>
      </c>
      <c r="K320" s="5" t="s">
        <v>37</v>
      </c>
      <c r="L320" s="5" t="s">
        <v>38</v>
      </c>
      <c r="M320" s="5" t="s">
        <v>37</v>
      </c>
      <c r="N320" s="5" t="s">
        <v>37</v>
      </c>
      <c r="O320" s="5" t="s">
        <v>38</v>
      </c>
      <c r="P320" s="5" t="s">
        <v>39</v>
      </c>
      <c r="Q320" s="2">
        <v>45967</v>
      </c>
      <c r="U320" s="1" t="s">
        <v>724</v>
      </c>
      <c r="V320" s="46">
        <f>IF(
  OR(
    ISNUMBER(SEARCH("unable to locate acct", tblDocketedComments[[#This Row],[Docketed Consumer Comments]])),
    ISNUMBER(SEARCH("unknown", tblDocketedComments[[#This Row],[Docketed Consumer Comments]])),
    ISNUMBER(SEARCH("inactive", tblDocketedComments[[#This Row],[Docketed Consumer Comments]]))
  ),
  0,
  1
)</f>
        <v>1</v>
      </c>
    </row>
    <row r="321" spans="1:22" hidden="1">
      <c r="A321" s="2">
        <v>45903</v>
      </c>
      <c r="B321" s="1" t="s">
        <v>1031</v>
      </c>
      <c r="C321" s="1" t="s">
        <v>652</v>
      </c>
      <c r="D321" s="1" t="s">
        <v>63</v>
      </c>
      <c r="E321" s="1">
        <v>85016</v>
      </c>
      <c r="F321" s="1" t="s">
        <v>310</v>
      </c>
      <c r="G321" s="1" t="s">
        <v>506</v>
      </c>
      <c r="H321" s="19" t="s">
        <v>1032</v>
      </c>
      <c r="I321" s="5" t="s">
        <v>36</v>
      </c>
      <c r="J321" s="5" t="s">
        <v>37</v>
      </c>
      <c r="K321" s="5" t="s">
        <v>37</v>
      </c>
      <c r="L321" s="5" t="s">
        <v>38</v>
      </c>
      <c r="M321" s="5" t="s">
        <v>37</v>
      </c>
      <c r="N321" s="5" t="s">
        <v>37</v>
      </c>
      <c r="O321" s="5" t="s">
        <v>38</v>
      </c>
      <c r="P321" s="5" t="s">
        <v>39</v>
      </c>
      <c r="Q321" s="2">
        <v>45967</v>
      </c>
      <c r="V321" s="46">
        <f>IF(
  OR(
    ISNUMBER(SEARCH("unable to locate acct", tblDocketedComments[[#This Row],[Docketed Consumer Comments]])),
    ISNUMBER(SEARCH("unknown", tblDocketedComments[[#This Row],[Docketed Consumer Comments]])),
    ISNUMBER(SEARCH("inactive", tblDocketedComments[[#This Row],[Docketed Consumer Comments]]))
  ),
  0,
  1
)</f>
        <v>1</v>
      </c>
    </row>
    <row r="322" spans="1:22" hidden="1">
      <c r="A322" s="2">
        <v>45903</v>
      </c>
      <c r="B322" s="1" t="s">
        <v>1033</v>
      </c>
      <c r="C322" s="1" t="s">
        <v>784</v>
      </c>
      <c r="D322" s="1" t="s">
        <v>169</v>
      </c>
      <c r="E322" s="1">
        <v>85395</v>
      </c>
      <c r="F322" s="1" t="s">
        <v>1034</v>
      </c>
      <c r="G322" s="1" t="s">
        <v>506</v>
      </c>
      <c r="H322" s="19" t="s">
        <v>1035</v>
      </c>
      <c r="I322" s="5" t="s">
        <v>36</v>
      </c>
      <c r="J322" s="5" t="s">
        <v>37</v>
      </c>
      <c r="K322" s="5" t="s">
        <v>37</v>
      </c>
      <c r="L322" s="5" t="s">
        <v>38</v>
      </c>
      <c r="M322" s="5" t="s">
        <v>37</v>
      </c>
      <c r="N322" s="5" t="s">
        <v>37</v>
      </c>
      <c r="O322" s="5" t="s">
        <v>38</v>
      </c>
      <c r="P322" s="5" t="s">
        <v>39</v>
      </c>
      <c r="Q322" s="2">
        <v>45967</v>
      </c>
      <c r="V322" s="46">
        <f>IF(
  OR(
    ISNUMBER(SEARCH("unable to locate acct", tblDocketedComments[[#This Row],[Docketed Consumer Comments]])),
    ISNUMBER(SEARCH("unknown", tblDocketedComments[[#This Row],[Docketed Consumer Comments]])),
    ISNUMBER(SEARCH("inactive", tblDocketedComments[[#This Row],[Docketed Consumer Comments]]))
  ),
  0,
  1
)</f>
        <v>1</v>
      </c>
    </row>
    <row r="323" spans="1:22" hidden="1">
      <c r="A323" s="2">
        <v>45903</v>
      </c>
      <c r="B323" s="1" t="s">
        <v>1036</v>
      </c>
      <c r="C323" s="1" t="s">
        <v>658</v>
      </c>
      <c r="D323" s="1" t="s">
        <v>24</v>
      </c>
      <c r="E323" s="1">
        <v>85310</v>
      </c>
      <c r="F323" s="1" t="s">
        <v>310</v>
      </c>
      <c r="G323" s="1" t="s">
        <v>506</v>
      </c>
      <c r="H323" s="4" t="s">
        <v>90</v>
      </c>
      <c r="V323" s="46">
        <f>IF(
  OR(
    ISNUMBER(SEARCH("unable to locate acct", tblDocketedComments[[#This Row],[Docketed Consumer Comments]])),
    ISNUMBER(SEARCH("unknown", tblDocketedComments[[#This Row],[Docketed Consumer Comments]])),
    ISNUMBER(SEARCH("inactive", tblDocketedComments[[#This Row],[Docketed Consumer Comments]]))
  ),
  0,
  1
)</f>
        <v>1</v>
      </c>
    </row>
    <row r="324" spans="1:22" hidden="1">
      <c r="A324" s="2">
        <v>45903</v>
      </c>
      <c r="B324" s="1" t="s">
        <v>1037</v>
      </c>
      <c r="C324" s="1" t="s">
        <v>1038</v>
      </c>
      <c r="D324" s="1" t="s">
        <v>202</v>
      </c>
      <c r="E324" s="1">
        <v>85383</v>
      </c>
      <c r="F324" s="1" t="s">
        <v>31</v>
      </c>
      <c r="G324" s="1" t="s">
        <v>506</v>
      </c>
      <c r="H324" s="19" t="s">
        <v>1039</v>
      </c>
      <c r="I324" s="5" t="s">
        <v>1040</v>
      </c>
      <c r="J324" s="5" t="s">
        <v>37</v>
      </c>
      <c r="K324" s="5" t="s">
        <v>37</v>
      </c>
      <c r="L324" s="5" t="s">
        <v>401</v>
      </c>
      <c r="M324" s="5" t="s">
        <v>37</v>
      </c>
      <c r="N324" s="5" t="s">
        <v>37</v>
      </c>
      <c r="O324" s="5" t="s">
        <v>38</v>
      </c>
      <c r="P324" s="5" t="s">
        <v>39</v>
      </c>
      <c r="Q324" s="2">
        <v>45967</v>
      </c>
      <c r="V324" s="46">
        <f>IF(
  OR(
    ISNUMBER(SEARCH("unable to locate acct", tblDocketedComments[[#This Row],[Docketed Consumer Comments]])),
    ISNUMBER(SEARCH("unknown", tblDocketedComments[[#This Row],[Docketed Consumer Comments]])),
    ISNUMBER(SEARCH("inactive", tblDocketedComments[[#This Row],[Docketed Consumer Comments]]))
  ),
  0,
  1
)</f>
        <v>1</v>
      </c>
    </row>
    <row r="325" spans="1:22" hidden="1">
      <c r="A325" s="2">
        <v>45903</v>
      </c>
      <c r="B325" s="1" t="s">
        <v>1041</v>
      </c>
      <c r="C325" s="1" t="s">
        <v>1042</v>
      </c>
      <c r="D325" s="1" t="s">
        <v>202</v>
      </c>
      <c r="E325" s="1">
        <v>85483</v>
      </c>
      <c r="F325" s="1" t="s">
        <v>310</v>
      </c>
      <c r="G325" s="1" t="s">
        <v>506</v>
      </c>
      <c r="H325" s="19" t="s">
        <v>1043</v>
      </c>
      <c r="I325" s="5" t="s">
        <v>36</v>
      </c>
      <c r="J325" s="5" t="s">
        <v>37</v>
      </c>
      <c r="K325" s="5" t="s">
        <v>37</v>
      </c>
      <c r="L325" s="5" t="s">
        <v>38</v>
      </c>
      <c r="M325" s="5" t="s">
        <v>37</v>
      </c>
      <c r="N325" s="5" t="s">
        <v>37</v>
      </c>
      <c r="O325" s="5" t="s">
        <v>38</v>
      </c>
      <c r="P325" s="5" t="s">
        <v>39</v>
      </c>
      <c r="Q325" s="2">
        <v>45967</v>
      </c>
      <c r="V325" s="46">
        <f>IF(
  OR(
    ISNUMBER(SEARCH("unable to locate acct", tblDocketedComments[[#This Row],[Docketed Consumer Comments]])),
    ISNUMBER(SEARCH("unknown", tblDocketedComments[[#This Row],[Docketed Consumer Comments]])),
    ISNUMBER(SEARCH("inactive", tblDocketedComments[[#This Row],[Docketed Consumer Comments]]))
  ),
  0,
  1
)</f>
        <v>1</v>
      </c>
    </row>
    <row r="326" spans="1:22" hidden="1">
      <c r="A326" s="2">
        <v>45903</v>
      </c>
      <c r="B326" s="1" t="s">
        <v>1044</v>
      </c>
      <c r="C326" s="1" t="s">
        <v>597</v>
      </c>
      <c r="D326" s="1" t="s">
        <v>63</v>
      </c>
      <c r="E326" s="1">
        <v>85015</v>
      </c>
      <c r="F326" s="1" t="s">
        <v>310</v>
      </c>
      <c r="G326" s="1" t="s">
        <v>506</v>
      </c>
      <c r="H326" s="19" t="s">
        <v>1045</v>
      </c>
      <c r="I326" s="5" t="s">
        <v>196</v>
      </c>
      <c r="J326" s="5" t="s">
        <v>37</v>
      </c>
      <c r="K326" s="5" t="s">
        <v>37</v>
      </c>
      <c r="L326" s="5" t="s">
        <v>38</v>
      </c>
      <c r="M326" s="5" t="s">
        <v>37</v>
      </c>
      <c r="N326" s="5" t="s">
        <v>37</v>
      </c>
      <c r="O326" s="5" t="s">
        <v>38</v>
      </c>
      <c r="P326" s="5" t="s">
        <v>39</v>
      </c>
      <c r="Q326" s="2">
        <v>45967</v>
      </c>
      <c r="V326" s="46">
        <f>IF(
  OR(
    ISNUMBER(SEARCH("unable to locate acct", tblDocketedComments[[#This Row],[Docketed Consumer Comments]])),
    ISNUMBER(SEARCH("unknown", tblDocketedComments[[#This Row],[Docketed Consumer Comments]])),
    ISNUMBER(SEARCH("inactive", tblDocketedComments[[#This Row],[Docketed Consumer Comments]]))
  ),
  0,
  1
)</f>
        <v>1</v>
      </c>
    </row>
    <row r="327" spans="1:22" hidden="1">
      <c r="A327" s="2">
        <v>45903</v>
      </c>
      <c r="B327" s="1" t="s">
        <v>1046</v>
      </c>
      <c r="C327" s="1" t="s">
        <v>1047</v>
      </c>
      <c r="D327" s="1" t="s">
        <v>125</v>
      </c>
      <c r="E327" s="1">
        <v>85260</v>
      </c>
      <c r="F327" s="1" t="s">
        <v>310</v>
      </c>
      <c r="G327" s="1" t="s">
        <v>506</v>
      </c>
      <c r="H327" s="19" t="s">
        <v>1048</v>
      </c>
      <c r="I327" s="5" t="s">
        <v>36</v>
      </c>
      <c r="J327" s="5" t="s">
        <v>37</v>
      </c>
      <c r="K327" s="5" t="s">
        <v>37</v>
      </c>
      <c r="L327" s="5" t="s">
        <v>38</v>
      </c>
      <c r="M327" s="5" t="s">
        <v>37</v>
      </c>
      <c r="N327" s="5" t="s">
        <v>37</v>
      </c>
      <c r="O327" s="5" t="s">
        <v>38</v>
      </c>
      <c r="P327" s="5" t="s">
        <v>39</v>
      </c>
      <c r="Q327" s="2">
        <v>45967</v>
      </c>
      <c r="V327" s="46">
        <f>IF(
  OR(
    ISNUMBER(SEARCH("unable to locate acct", tblDocketedComments[[#This Row],[Docketed Consumer Comments]])),
    ISNUMBER(SEARCH("unknown", tblDocketedComments[[#This Row],[Docketed Consumer Comments]])),
    ISNUMBER(SEARCH("inactive", tblDocketedComments[[#This Row],[Docketed Consumer Comments]]))
  ),
  0,
  1
)</f>
        <v>1</v>
      </c>
    </row>
    <row r="328" spans="1:22" hidden="1">
      <c r="A328" s="2">
        <v>45903</v>
      </c>
      <c r="B328" s="1" t="s">
        <v>1049</v>
      </c>
      <c r="C328" s="1" t="s">
        <v>1050</v>
      </c>
      <c r="D328" s="1" t="s">
        <v>63</v>
      </c>
      <c r="E328" s="1">
        <v>85085</v>
      </c>
      <c r="F328" s="1" t="s">
        <v>310</v>
      </c>
      <c r="G328" s="1" t="s">
        <v>506</v>
      </c>
      <c r="H328" s="19" t="s">
        <v>1051</v>
      </c>
      <c r="I328" s="5" t="s">
        <v>36</v>
      </c>
      <c r="J328" s="5" t="s">
        <v>37</v>
      </c>
      <c r="K328" s="5" t="s">
        <v>37</v>
      </c>
      <c r="L328" s="5" t="s">
        <v>38</v>
      </c>
      <c r="M328" s="5" t="s">
        <v>37</v>
      </c>
      <c r="N328" s="5" t="s">
        <v>37</v>
      </c>
      <c r="O328" s="5" t="s">
        <v>38</v>
      </c>
      <c r="P328" s="5" t="s">
        <v>39</v>
      </c>
      <c r="Q328" s="2">
        <v>45967</v>
      </c>
      <c r="V328" s="46">
        <f>IF(
  OR(
    ISNUMBER(SEARCH("unable to locate acct", tblDocketedComments[[#This Row],[Docketed Consumer Comments]])),
    ISNUMBER(SEARCH("unknown", tblDocketedComments[[#This Row],[Docketed Consumer Comments]])),
    ISNUMBER(SEARCH("inactive", tblDocketedComments[[#This Row],[Docketed Consumer Comments]]))
  ),
  0,
  1
)</f>
        <v>1</v>
      </c>
    </row>
    <row r="329" spans="1:22" hidden="1">
      <c r="A329" s="2">
        <v>45903</v>
      </c>
      <c r="B329" s="1" t="s">
        <v>1052</v>
      </c>
      <c r="C329" s="1" t="s">
        <v>1053</v>
      </c>
      <c r="D329" s="1" t="s">
        <v>1054</v>
      </c>
      <c r="E329" s="1">
        <v>85268</v>
      </c>
      <c r="F329" s="1" t="s">
        <v>1055</v>
      </c>
      <c r="G329" s="1" t="s">
        <v>506</v>
      </c>
      <c r="H329" s="4" t="s">
        <v>27</v>
      </c>
      <c r="V329" s="46">
        <f>IF(
  OR(
    ISNUMBER(SEARCH("unable to locate acct", tblDocketedComments[[#This Row],[Docketed Consumer Comments]])),
    ISNUMBER(SEARCH("unknown", tblDocketedComments[[#This Row],[Docketed Consumer Comments]])),
    ISNUMBER(SEARCH("inactive", tblDocketedComments[[#This Row],[Docketed Consumer Comments]]))
  ),
  0,
  1
)</f>
        <v>1</v>
      </c>
    </row>
    <row r="330" spans="1:22" hidden="1">
      <c r="A330" s="2">
        <v>45903</v>
      </c>
      <c r="B330" s="1" t="s">
        <v>1056</v>
      </c>
      <c r="C330" s="1" t="s">
        <v>757</v>
      </c>
      <c r="D330" s="1" t="s">
        <v>63</v>
      </c>
      <c r="E330" s="1">
        <v>85024</v>
      </c>
      <c r="F330" s="1" t="s">
        <v>31</v>
      </c>
      <c r="G330" s="1" t="s">
        <v>506</v>
      </c>
      <c r="H330" s="19" t="s">
        <v>1057</v>
      </c>
      <c r="I330" s="5" t="s">
        <v>196</v>
      </c>
      <c r="J330" s="5" t="s">
        <v>37</v>
      </c>
      <c r="K330" s="5" t="s">
        <v>37</v>
      </c>
      <c r="L330" s="7" t="s">
        <v>1058</v>
      </c>
      <c r="M330" s="5" t="s">
        <v>37</v>
      </c>
      <c r="N330" s="5" t="s">
        <v>37</v>
      </c>
      <c r="O330" s="5" t="s">
        <v>38</v>
      </c>
      <c r="P330" s="2">
        <v>45936</v>
      </c>
      <c r="Q330" s="2">
        <v>45967</v>
      </c>
      <c r="R330" s="1" t="s">
        <v>1059</v>
      </c>
      <c r="V330" s="46">
        <f>IF(
  OR(
    ISNUMBER(SEARCH("unable to locate acct", tblDocketedComments[[#This Row],[Docketed Consumer Comments]])),
    ISNUMBER(SEARCH("unknown", tblDocketedComments[[#This Row],[Docketed Consumer Comments]])),
    ISNUMBER(SEARCH("inactive", tblDocketedComments[[#This Row],[Docketed Consumer Comments]]))
  ),
  0,
  1
)</f>
        <v>1</v>
      </c>
    </row>
    <row r="331" spans="1:22" hidden="1">
      <c r="A331" s="2">
        <v>45903</v>
      </c>
      <c r="B331" s="1" t="s">
        <v>1060</v>
      </c>
      <c r="C331" s="1" t="s">
        <v>135</v>
      </c>
      <c r="D331" s="1" t="s">
        <v>169</v>
      </c>
      <c r="E331" s="1">
        <v>85338</v>
      </c>
      <c r="F331" s="1" t="s">
        <v>1061</v>
      </c>
      <c r="G331" s="1" t="s">
        <v>506</v>
      </c>
      <c r="H331" s="19" t="s">
        <v>1062</v>
      </c>
      <c r="I331" s="5" t="s">
        <v>36</v>
      </c>
      <c r="J331" s="5" t="s">
        <v>37</v>
      </c>
      <c r="K331" s="5" t="s">
        <v>37</v>
      </c>
      <c r="L331" s="5" t="s">
        <v>38</v>
      </c>
      <c r="M331" s="5" t="s">
        <v>37</v>
      </c>
      <c r="N331" s="5" t="s">
        <v>37</v>
      </c>
      <c r="O331" s="5" t="s">
        <v>38</v>
      </c>
      <c r="P331" s="5" t="s">
        <v>39</v>
      </c>
      <c r="Q331" s="2">
        <v>45967</v>
      </c>
      <c r="V331" s="46">
        <f>IF(
  OR(
    ISNUMBER(SEARCH("unable to locate acct", tblDocketedComments[[#This Row],[Docketed Consumer Comments]])),
    ISNUMBER(SEARCH("unknown", tblDocketedComments[[#This Row],[Docketed Consumer Comments]])),
    ISNUMBER(SEARCH("inactive", tblDocketedComments[[#This Row],[Docketed Consumer Comments]]))
  ),
  0,
  1
)</f>
        <v>1</v>
      </c>
    </row>
    <row r="332" spans="1:22" hidden="1">
      <c r="A332" s="2">
        <v>45903</v>
      </c>
      <c r="B332" s="1" t="s">
        <v>1063</v>
      </c>
      <c r="C332" s="1" t="s">
        <v>1064</v>
      </c>
      <c r="D332" s="1" t="s">
        <v>202</v>
      </c>
      <c r="E332" s="1">
        <v>85345</v>
      </c>
      <c r="F332" s="1" t="s">
        <v>310</v>
      </c>
      <c r="G332" s="1" t="s">
        <v>506</v>
      </c>
      <c r="H332" s="19" t="s">
        <v>1065</v>
      </c>
      <c r="I332" s="5" t="s">
        <v>36</v>
      </c>
      <c r="J332" s="5" t="s">
        <v>37</v>
      </c>
      <c r="K332" s="5" t="s">
        <v>37</v>
      </c>
      <c r="L332" s="5" t="s">
        <v>38</v>
      </c>
      <c r="M332" s="5" t="s">
        <v>37</v>
      </c>
      <c r="N332" s="5" t="s">
        <v>37</v>
      </c>
      <c r="O332" s="5" t="s">
        <v>38</v>
      </c>
      <c r="P332" s="5" t="s">
        <v>39</v>
      </c>
      <c r="Q332" s="2">
        <v>45967</v>
      </c>
      <c r="V332" s="46">
        <f>IF(
  OR(
    ISNUMBER(SEARCH("unable to locate acct", tblDocketedComments[[#This Row],[Docketed Consumer Comments]])),
    ISNUMBER(SEARCH("unknown", tblDocketedComments[[#This Row],[Docketed Consumer Comments]])),
    ISNUMBER(SEARCH("inactive", tblDocketedComments[[#This Row],[Docketed Consumer Comments]]))
  ),
  0,
  1
)</f>
        <v>1</v>
      </c>
    </row>
    <row r="333" spans="1:22" hidden="1">
      <c r="A333" s="2">
        <v>45903</v>
      </c>
      <c r="B333" s="1" t="s">
        <v>1066</v>
      </c>
      <c r="C333" s="1" t="s">
        <v>1067</v>
      </c>
      <c r="D333" s="1" t="s">
        <v>202</v>
      </c>
      <c r="E333" s="1">
        <v>85383</v>
      </c>
      <c r="F333" s="1" t="s">
        <v>310</v>
      </c>
      <c r="G333" s="1" t="s">
        <v>506</v>
      </c>
      <c r="H333" s="19" t="s">
        <v>1068</v>
      </c>
      <c r="I333" s="5" t="s">
        <v>196</v>
      </c>
      <c r="J333" s="5" t="s">
        <v>37</v>
      </c>
      <c r="K333" s="5" t="s">
        <v>37</v>
      </c>
      <c r="L333" s="5" t="s">
        <v>38</v>
      </c>
      <c r="M333" s="5" t="s">
        <v>37</v>
      </c>
      <c r="N333" s="5" t="s">
        <v>37</v>
      </c>
      <c r="O333" s="5" t="s">
        <v>38</v>
      </c>
      <c r="P333" s="5" t="s">
        <v>39</v>
      </c>
      <c r="Q333" s="2">
        <v>45967</v>
      </c>
      <c r="V333" s="46">
        <f>IF(
  OR(
    ISNUMBER(SEARCH("unable to locate acct", tblDocketedComments[[#This Row],[Docketed Consumer Comments]])),
    ISNUMBER(SEARCH("unknown", tblDocketedComments[[#This Row],[Docketed Consumer Comments]])),
    ISNUMBER(SEARCH("inactive", tblDocketedComments[[#This Row],[Docketed Consumer Comments]]))
  ),
  0,
  1
)</f>
        <v>1</v>
      </c>
    </row>
    <row r="334" spans="1:22" hidden="1">
      <c r="A334" s="2">
        <v>45903</v>
      </c>
      <c r="B334" s="1" t="s">
        <v>1069</v>
      </c>
      <c r="C334" s="1" t="s">
        <v>1070</v>
      </c>
      <c r="D334" s="1" t="s">
        <v>202</v>
      </c>
      <c r="E334" s="1">
        <v>85383</v>
      </c>
      <c r="F334" s="1" t="s">
        <v>310</v>
      </c>
      <c r="G334" s="1" t="s">
        <v>506</v>
      </c>
      <c r="H334" s="19" t="s">
        <v>1071</v>
      </c>
      <c r="I334" s="5" t="s">
        <v>196</v>
      </c>
      <c r="J334" s="5" t="s">
        <v>37</v>
      </c>
      <c r="K334" s="5" t="s">
        <v>37</v>
      </c>
      <c r="L334" s="7" t="s">
        <v>1072</v>
      </c>
      <c r="M334" s="5" t="s">
        <v>37</v>
      </c>
      <c r="N334" s="5" t="s">
        <v>37</v>
      </c>
      <c r="O334" s="5" t="s">
        <v>38</v>
      </c>
      <c r="P334" s="2">
        <v>45936</v>
      </c>
      <c r="Q334" s="2">
        <v>45967</v>
      </c>
      <c r="R334" s="1" t="s">
        <v>1073</v>
      </c>
      <c r="V334" s="46">
        <f>IF(
  OR(
    ISNUMBER(SEARCH("unable to locate acct", tblDocketedComments[[#This Row],[Docketed Consumer Comments]])),
    ISNUMBER(SEARCH("unknown", tblDocketedComments[[#This Row],[Docketed Consumer Comments]])),
    ISNUMBER(SEARCH("inactive", tblDocketedComments[[#This Row],[Docketed Consumer Comments]]))
  ),
  0,
  1
)</f>
        <v>1</v>
      </c>
    </row>
    <row r="335" spans="1:22" hidden="1">
      <c r="A335" s="2">
        <v>45903</v>
      </c>
      <c r="B335" s="1" t="s">
        <v>1074</v>
      </c>
      <c r="C335" s="1" t="s">
        <v>1075</v>
      </c>
      <c r="D335" s="1" t="s">
        <v>202</v>
      </c>
      <c r="E335" s="1">
        <v>85383</v>
      </c>
      <c r="F335" s="1" t="s">
        <v>310</v>
      </c>
      <c r="G335" s="1" t="s">
        <v>506</v>
      </c>
      <c r="H335" s="19" t="s">
        <v>1076</v>
      </c>
      <c r="I335" s="5" t="s">
        <v>36</v>
      </c>
      <c r="J335" s="5" t="s">
        <v>37</v>
      </c>
      <c r="K335" s="5" t="s">
        <v>37</v>
      </c>
      <c r="L335" s="5" t="s">
        <v>38</v>
      </c>
      <c r="M335" s="5" t="s">
        <v>37</v>
      </c>
      <c r="N335" s="5" t="s">
        <v>37</v>
      </c>
      <c r="O335" s="5" t="s">
        <v>38</v>
      </c>
      <c r="P335" s="5" t="s">
        <v>39</v>
      </c>
      <c r="Q335" s="2">
        <v>45967</v>
      </c>
      <c r="R335" s="1" t="s">
        <v>1077</v>
      </c>
      <c r="V335" s="46">
        <f>IF(
  OR(
    ISNUMBER(SEARCH("unable to locate acct", tblDocketedComments[[#This Row],[Docketed Consumer Comments]])),
    ISNUMBER(SEARCH("unknown", tblDocketedComments[[#This Row],[Docketed Consumer Comments]])),
    ISNUMBER(SEARCH("inactive", tblDocketedComments[[#This Row],[Docketed Consumer Comments]]))
  ),
  0,
  1
)</f>
        <v>1</v>
      </c>
    </row>
    <row r="336" spans="1:22" hidden="1">
      <c r="A336" s="2">
        <v>45903</v>
      </c>
      <c r="B336" s="1" t="s">
        <v>1078</v>
      </c>
      <c r="C336" s="1" t="s">
        <v>1079</v>
      </c>
      <c r="D336" s="1" t="s">
        <v>169</v>
      </c>
      <c r="E336" s="1">
        <v>85338</v>
      </c>
      <c r="F336" s="1" t="s">
        <v>31</v>
      </c>
      <c r="G336" s="1" t="s">
        <v>506</v>
      </c>
      <c r="H336" s="19" t="s">
        <v>1080</v>
      </c>
      <c r="I336" s="5" t="s">
        <v>418</v>
      </c>
      <c r="J336" s="5" t="s">
        <v>37</v>
      </c>
      <c r="K336" s="5" t="s">
        <v>37</v>
      </c>
      <c r="L336" s="5" t="s">
        <v>389</v>
      </c>
      <c r="M336" s="5" t="s">
        <v>37</v>
      </c>
      <c r="N336" s="5" t="s">
        <v>37</v>
      </c>
      <c r="O336" s="5" t="s">
        <v>38</v>
      </c>
      <c r="P336" s="5" t="s">
        <v>39</v>
      </c>
      <c r="Q336" s="2">
        <v>45967</v>
      </c>
      <c r="V336" s="46">
        <f>IF(
  OR(
    ISNUMBER(SEARCH("unable to locate acct", tblDocketedComments[[#This Row],[Docketed Consumer Comments]])),
    ISNUMBER(SEARCH("unknown", tblDocketedComments[[#This Row],[Docketed Consumer Comments]])),
    ISNUMBER(SEARCH("inactive", tblDocketedComments[[#This Row],[Docketed Consumer Comments]]))
  ),
  0,
  1
)</f>
        <v>1</v>
      </c>
    </row>
    <row r="337" spans="1:22" hidden="1">
      <c r="A337" s="2">
        <v>45903</v>
      </c>
      <c r="B337" s="1" t="s">
        <v>1081</v>
      </c>
      <c r="C337" s="1" t="s">
        <v>1082</v>
      </c>
      <c r="D337" s="1" t="s">
        <v>523</v>
      </c>
      <c r="E337" s="1">
        <v>85392</v>
      </c>
      <c r="F337" s="1" t="s">
        <v>310</v>
      </c>
      <c r="G337" s="1" t="s">
        <v>506</v>
      </c>
      <c r="H337" s="19" t="s">
        <v>1083</v>
      </c>
      <c r="I337" s="5" t="s">
        <v>36</v>
      </c>
      <c r="J337" s="5" t="s">
        <v>37</v>
      </c>
      <c r="K337" s="5" t="s">
        <v>37</v>
      </c>
      <c r="L337" s="5" t="s">
        <v>38</v>
      </c>
      <c r="M337" s="5" t="s">
        <v>37</v>
      </c>
      <c r="N337" s="5" t="s">
        <v>37</v>
      </c>
      <c r="O337" s="5" t="s">
        <v>38</v>
      </c>
      <c r="P337" s="5" t="s">
        <v>39</v>
      </c>
      <c r="Q337" s="2">
        <v>45967</v>
      </c>
      <c r="V337" s="46">
        <f>IF(
  OR(
    ISNUMBER(SEARCH("unable to locate acct", tblDocketedComments[[#This Row],[Docketed Consumer Comments]])),
    ISNUMBER(SEARCH("unknown", tblDocketedComments[[#This Row],[Docketed Consumer Comments]])),
    ISNUMBER(SEARCH("inactive", tblDocketedComments[[#This Row],[Docketed Consumer Comments]]))
  ),
  0,
  1
)</f>
        <v>1</v>
      </c>
    </row>
    <row r="338" spans="1:22" hidden="1">
      <c r="A338" s="2">
        <v>45903</v>
      </c>
      <c r="B338" s="1" t="s">
        <v>1084</v>
      </c>
      <c r="C338" s="1" t="s">
        <v>1085</v>
      </c>
      <c r="D338" s="1" t="s">
        <v>169</v>
      </c>
      <c r="E338" s="1">
        <v>85395</v>
      </c>
      <c r="F338" s="1" t="s">
        <v>1086</v>
      </c>
      <c r="G338" s="1" t="s">
        <v>506</v>
      </c>
      <c r="H338" s="19" t="s">
        <v>1087</v>
      </c>
      <c r="I338" s="5" t="s">
        <v>36</v>
      </c>
      <c r="J338" s="5" t="s">
        <v>37</v>
      </c>
      <c r="K338" s="5" t="s">
        <v>37</v>
      </c>
      <c r="L338" s="5" t="s">
        <v>38</v>
      </c>
      <c r="M338" s="5" t="s">
        <v>37</v>
      </c>
      <c r="N338" s="5" t="s">
        <v>37</v>
      </c>
      <c r="O338" s="5" t="s">
        <v>38</v>
      </c>
      <c r="P338" s="5" t="s">
        <v>39</v>
      </c>
      <c r="Q338" s="2">
        <v>45967</v>
      </c>
      <c r="V338" s="46">
        <f>IF(
  OR(
    ISNUMBER(SEARCH("unable to locate acct", tblDocketedComments[[#This Row],[Docketed Consumer Comments]])),
    ISNUMBER(SEARCH("unknown", tblDocketedComments[[#This Row],[Docketed Consumer Comments]])),
    ISNUMBER(SEARCH("inactive", tblDocketedComments[[#This Row],[Docketed Consumer Comments]]))
  ),
  0,
  1
)</f>
        <v>1</v>
      </c>
    </row>
    <row r="339" spans="1:22" hidden="1">
      <c r="A339" s="2">
        <v>45903</v>
      </c>
      <c r="B339" s="1" t="s">
        <v>1088</v>
      </c>
      <c r="C339" s="1" t="s">
        <v>1089</v>
      </c>
      <c r="D339" s="1" t="s">
        <v>169</v>
      </c>
      <c r="E339" s="1">
        <v>85338</v>
      </c>
      <c r="F339" s="1" t="s">
        <v>761</v>
      </c>
      <c r="G339" s="1" t="s">
        <v>506</v>
      </c>
      <c r="H339" s="19" t="s">
        <v>1090</v>
      </c>
      <c r="I339" s="5" t="s">
        <v>36</v>
      </c>
      <c r="J339" s="5" t="s">
        <v>37</v>
      </c>
      <c r="K339" s="5" t="s">
        <v>37</v>
      </c>
      <c r="L339" s="5" t="s">
        <v>38</v>
      </c>
      <c r="M339" s="5" t="s">
        <v>38</v>
      </c>
      <c r="N339" s="15">
        <v>2144.27</v>
      </c>
      <c r="O339" s="5" t="s">
        <v>38</v>
      </c>
      <c r="P339" s="7"/>
      <c r="Q339" s="2">
        <v>45967</v>
      </c>
      <c r="R339" s="1" t="s">
        <v>495</v>
      </c>
      <c r="V339" s="46">
        <f>IF(
  OR(
    ISNUMBER(SEARCH("unable to locate acct", tblDocketedComments[[#This Row],[Docketed Consumer Comments]])),
    ISNUMBER(SEARCH("unknown", tblDocketedComments[[#This Row],[Docketed Consumer Comments]])),
    ISNUMBER(SEARCH("inactive", tblDocketedComments[[#This Row],[Docketed Consumer Comments]]))
  ),
  0,
  1
)</f>
        <v>1</v>
      </c>
    </row>
    <row r="340" spans="1:22" hidden="1">
      <c r="A340" s="2">
        <v>45903</v>
      </c>
      <c r="B340" s="1" t="s">
        <v>1091</v>
      </c>
      <c r="C340" s="1" t="s">
        <v>62</v>
      </c>
      <c r="D340" s="1" t="s">
        <v>523</v>
      </c>
      <c r="E340" s="1">
        <v>85392</v>
      </c>
      <c r="F340" s="1" t="s">
        <v>31</v>
      </c>
      <c r="G340" s="1" t="s">
        <v>506</v>
      </c>
      <c r="H340" s="4" t="s">
        <v>27</v>
      </c>
      <c r="V340" s="46">
        <f>IF(
  OR(
    ISNUMBER(SEARCH("unable to locate acct", tblDocketedComments[[#This Row],[Docketed Consumer Comments]])),
    ISNUMBER(SEARCH("unknown", tblDocketedComments[[#This Row],[Docketed Consumer Comments]])),
    ISNUMBER(SEARCH("inactive", tblDocketedComments[[#This Row],[Docketed Consumer Comments]]))
  ),
  0,
  1
)</f>
        <v>1</v>
      </c>
    </row>
    <row r="341" spans="1:22" hidden="1">
      <c r="A341" s="2">
        <v>45903</v>
      </c>
      <c r="B341" s="1" t="s">
        <v>1092</v>
      </c>
      <c r="C341" s="1" t="s">
        <v>1093</v>
      </c>
      <c r="D341" s="1" t="s">
        <v>202</v>
      </c>
      <c r="E341" s="1">
        <v>85383</v>
      </c>
      <c r="F341" s="1" t="s">
        <v>310</v>
      </c>
      <c r="G341" s="1" t="s">
        <v>506</v>
      </c>
      <c r="H341" s="19" t="s">
        <v>1094</v>
      </c>
      <c r="I341" s="5" t="s">
        <v>36</v>
      </c>
      <c r="J341" s="5" t="s">
        <v>37</v>
      </c>
      <c r="K341" s="5" t="s">
        <v>37</v>
      </c>
      <c r="L341" s="5" t="s">
        <v>38</v>
      </c>
      <c r="M341" s="5" t="s">
        <v>37</v>
      </c>
      <c r="N341" s="5" t="s">
        <v>37</v>
      </c>
      <c r="O341" s="5" t="s">
        <v>38</v>
      </c>
      <c r="P341" s="5" t="s">
        <v>39</v>
      </c>
      <c r="Q341" s="2">
        <v>45967</v>
      </c>
      <c r="V341" s="46">
        <f>IF(
  OR(
    ISNUMBER(SEARCH("unable to locate acct", tblDocketedComments[[#This Row],[Docketed Consumer Comments]])),
    ISNUMBER(SEARCH("unknown", tblDocketedComments[[#This Row],[Docketed Consumer Comments]])),
    ISNUMBER(SEARCH("inactive", tblDocketedComments[[#This Row],[Docketed Consumer Comments]]))
  ),
  0,
  1
)</f>
        <v>1</v>
      </c>
    </row>
    <row r="342" spans="1:22" hidden="1">
      <c r="A342" s="2">
        <v>45903</v>
      </c>
      <c r="B342" s="1" t="s">
        <v>1095</v>
      </c>
      <c r="C342" s="1" t="s">
        <v>156</v>
      </c>
      <c r="D342" s="1" t="s">
        <v>24</v>
      </c>
      <c r="E342" s="1">
        <v>85308</v>
      </c>
      <c r="F342" s="1" t="s">
        <v>310</v>
      </c>
      <c r="G342" s="1" t="s">
        <v>506</v>
      </c>
      <c r="H342" s="19" t="s">
        <v>1096</v>
      </c>
      <c r="I342" s="5" t="s">
        <v>196</v>
      </c>
      <c r="J342" s="5" t="s">
        <v>37</v>
      </c>
      <c r="K342" s="5" t="s">
        <v>37</v>
      </c>
      <c r="L342" s="5" t="s">
        <v>1097</v>
      </c>
      <c r="M342" s="5" t="s">
        <v>37</v>
      </c>
      <c r="N342" s="5" t="s">
        <v>37</v>
      </c>
      <c r="O342" s="5" t="s">
        <v>38</v>
      </c>
      <c r="P342" s="5" t="s">
        <v>39</v>
      </c>
      <c r="Q342" s="2">
        <v>45967</v>
      </c>
      <c r="V342" s="46">
        <f>IF(
  OR(
    ISNUMBER(SEARCH("unable to locate acct", tblDocketedComments[[#This Row],[Docketed Consumer Comments]])),
    ISNUMBER(SEARCH("unknown", tblDocketedComments[[#This Row],[Docketed Consumer Comments]])),
    ISNUMBER(SEARCH("inactive", tblDocketedComments[[#This Row],[Docketed Consumer Comments]]))
  ),
  0,
  1
)</f>
        <v>1</v>
      </c>
    </row>
    <row r="343" spans="1:22" hidden="1">
      <c r="A343" s="2">
        <v>45903</v>
      </c>
      <c r="B343" s="1" t="s">
        <v>1098</v>
      </c>
      <c r="C343" s="1" t="s">
        <v>1099</v>
      </c>
      <c r="D343" s="1" t="s">
        <v>125</v>
      </c>
      <c r="E343" s="1">
        <v>85251</v>
      </c>
      <c r="F343" s="1" t="s">
        <v>310</v>
      </c>
      <c r="G343" s="1" t="s">
        <v>506</v>
      </c>
      <c r="H343" s="19" t="s">
        <v>1100</v>
      </c>
      <c r="I343" s="5" t="s">
        <v>126</v>
      </c>
      <c r="J343" s="5" t="s">
        <v>37</v>
      </c>
      <c r="K343" s="5" t="s">
        <v>37</v>
      </c>
      <c r="L343" s="5" t="s">
        <v>1101</v>
      </c>
      <c r="M343" s="5" t="s">
        <v>37</v>
      </c>
      <c r="N343" s="5" t="s">
        <v>37</v>
      </c>
      <c r="O343" s="5" t="s">
        <v>38</v>
      </c>
      <c r="P343" s="5" t="s">
        <v>39</v>
      </c>
      <c r="Q343" s="2">
        <v>45967</v>
      </c>
      <c r="V343" s="46">
        <f>IF(
  OR(
    ISNUMBER(SEARCH("unable to locate acct", tblDocketedComments[[#This Row],[Docketed Consumer Comments]])),
    ISNUMBER(SEARCH("unknown", tblDocketedComments[[#This Row],[Docketed Consumer Comments]])),
    ISNUMBER(SEARCH("inactive", tblDocketedComments[[#This Row],[Docketed Consumer Comments]]))
  ),
  0,
  1
)</f>
        <v>1</v>
      </c>
    </row>
    <row r="344" spans="1:22" hidden="1">
      <c r="A344" s="2">
        <v>45903</v>
      </c>
      <c r="B344" s="1" t="s">
        <v>1102</v>
      </c>
      <c r="C344" s="1" t="s">
        <v>1103</v>
      </c>
      <c r="D344" s="1" t="s">
        <v>125</v>
      </c>
      <c r="E344" s="1">
        <v>85266</v>
      </c>
      <c r="F344" s="1" t="s">
        <v>31</v>
      </c>
      <c r="G344" s="1" t="s">
        <v>506</v>
      </c>
      <c r="H344" s="19">
        <v>6177370000</v>
      </c>
      <c r="I344" s="5" t="s">
        <v>36</v>
      </c>
      <c r="J344" s="5" t="s">
        <v>37</v>
      </c>
      <c r="K344" s="5" t="s">
        <v>37</v>
      </c>
      <c r="L344" s="5" t="s">
        <v>38</v>
      </c>
      <c r="M344" s="5" t="s">
        <v>37</v>
      </c>
      <c r="N344" s="5" t="s">
        <v>37</v>
      </c>
      <c r="O344" s="5" t="s">
        <v>38</v>
      </c>
      <c r="P344" s="5" t="s">
        <v>39</v>
      </c>
      <c r="Q344" s="2">
        <v>45967</v>
      </c>
      <c r="V344" s="46">
        <f>IF(
  OR(
    ISNUMBER(SEARCH("unable to locate acct", tblDocketedComments[[#This Row],[Docketed Consumer Comments]])),
    ISNUMBER(SEARCH("unknown", tblDocketedComments[[#This Row],[Docketed Consumer Comments]])),
    ISNUMBER(SEARCH("inactive", tblDocketedComments[[#This Row],[Docketed Consumer Comments]]))
  ),
  0,
  1
)</f>
        <v>1</v>
      </c>
    </row>
    <row r="345" spans="1:22" hidden="1">
      <c r="A345" s="2">
        <v>45903</v>
      </c>
      <c r="B345" s="1" t="s">
        <v>1104</v>
      </c>
      <c r="C345" s="1" t="s">
        <v>1105</v>
      </c>
      <c r="D345" s="1" t="s">
        <v>174</v>
      </c>
      <c r="E345" s="1">
        <v>85396</v>
      </c>
      <c r="F345" s="1" t="s">
        <v>1106</v>
      </c>
      <c r="G345" s="1" t="s">
        <v>506</v>
      </c>
      <c r="H345" s="4" t="s">
        <v>90</v>
      </c>
      <c r="V345" s="46">
        <f>IF(
  OR(
    ISNUMBER(SEARCH("unable to locate acct", tblDocketedComments[[#This Row],[Docketed Consumer Comments]])),
    ISNUMBER(SEARCH("unknown", tblDocketedComments[[#This Row],[Docketed Consumer Comments]])),
    ISNUMBER(SEARCH("inactive", tblDocketedComments[[#This Row],[Docketed Consumer Comments]]))
  ),
  0,
  1
)</f>
        <v>1</v>
      </c>
    </row>
    <row r="346" spans="1:22" hidden="1">
      <c r="A346" s="2">
        <v>45903</v>
      </c>
      <c r="B346" s="1" t="s">
        <v>1107</v>
      </c>
      <c r="C346" s="1" t="s">
        <v>1108</v>
      </c>
      <c r="D346" s="1" t="s">
        <v>63</v>
      </c>
      <c r="E346" s="1">
        <v>85085</v>
      </c>
      <c r="F346" s="1" t="s">
        <v>310</v>
      </c>
      <c r="G346" s="1" t="s">
        <v>506</v>
      </c>
      <c r="H346" s="19" t="s">
        <v>1109</v>
      </c>
      <c r="I346" s="5" t="s">
        <v>73</v>
      </c>
      <c r="J346" s="5" t="s">
        <v>37</v>
      </c>
      <c r="K346" s="5" t="s">
        <v>37</v>
      </c>
      <c r="L346" s="5" t="s">
        <v>38</v>
      </c>
      <c r="M346" s="5" t="s">
        <v>37</v>
      </c>
      <c r="N346" s="5" t="s">
        <v>37</v>
      </c>
      <c r="O346" s="5" t="s">
        <v>38</v>
      </c>
      <c r="P346" s="5" t="s">
        <v>39</v>
      </c>
      <c r="Q346" s="2">
        <v>45967</v>
      </c>
      <c r="V346" s="46">
        <f>IF(
  OR(
    ISNUMBER(SEARCH("unable to locate acct", tblDocketedComments[[#This Row],[Docketed Consumer Comments]])),
    ISNUMBER(SEARCH("unknown", tblDocketedComments[[#This Row],[Docketed Consumer Comments]])),
    ISNUMBER(SEARCH("inactive", tblDocketedComments[[#This Row],[Docketed Consumer Comments]]))
  ),
  0,
  1
)</f>
        <v>1</v>
      </c>
    </row>
    <row r="347" spans="1:22" hidden="1">
      <c r="A347" s="2">
        <v>45903</v>
      </c>
      <c r="B347" s="1" t="s">
        <v>1110</v>
      </c>
      <c r="C347" s="1" t="s">
        <v>131</v>
      </c>
      <c r="D347" s="1" t="s">
        <v>169</v>
      </c>
      <c r="E347" s="1">
        <v>85395</v>
      </c>
      <c r="F347" s="1" t="s">
        <v>1111</v>
      </c>
      <c r="G347" s="1" t="s">
        <v>506</v>
      </c>
      <c r="H347" s="4" t="s">
        <v>27</v>
      </c>
      <c r="V347" s="46">
        <f>IF(
  OR(
    ISNUMBER(SEARCH("unable to locate acct", tblDocketedComments[[#This Row],[Docketed Consumer Comments]])),
    ISNUMBER(SEARCH("unknown", tblDocketedComments[[#This Row],[Docketed Consumer Comments]])),
    ISNUMBER(SEARCH("inactive", tblDocketedComments[[#This Row],[Docketed Consumer Comments]]))
  ),
  0,
  1
)</f>
        <v>1</v>
      </c>
    </row>
    <row r="348" spans="1:22" hidden="1">
      <c r="A348" s="2">
        <v>45903</v>
      </c>
      <c r="B348" s="1" t="s">
        <v>1112</v>
      </c>
      <c r="C348" s="1" t="s">
        <v>1113</v>
      </c>
      <c r="D348" s="1" t="s">
        <v>523</v>
      </c>
      <c r="E348" s="1">
        <v>85392</v>
      </c>
      <c r="F348" s="1" t="s">
        <v>31</v>
      </c>
      <c r="G348" s="1" t="s">
        <v>506</v>
      </c>
      <c r="H348" s="19">
        <v>3066335881</v>
      </c>
      <c r="I348" s="5" t="s">
        <v>196</v>
      </c>
      <c r="J348" s="5" t="s">
        <v>37</v>
      </c>
      <c r="K348" s="5" t="s">
        <v>37</v>
      </c>
      <c r="L348" s="5" t="s">
        <v>38</v>
      </c>
      <c r="M348" s="5" t="s">
        <v>37</v>
      </c>
      <c r="N348" s="5" t="s">
        <v>37</v>
      </c>
      <c r="O348" s="5" t="s">
        <v>38</v>
      </c>
      <c r="P348" s="5" t="s">
        <v>39</v>
      </c>
      <c r="Q348" s="2">
        <v>45967</v>
      </c>
      <c r="V348" s="46">
        <f>IF(
  OR(
    ISNUMBER(SEARCH("unable to locate acct", tblDocketedComments[[#This Row],[Docketed Consumer Comments]])),
    ISNUMBER(SEARCH("unknown", tblDocketedComments[[#This Row],[Docketed Consumer Comments]])),
    ISNUMBER(SEARCH("inactive", tblDocketedComments[[#This Row],[Docketed Consumer Comments]]))
  ),
  0,
  1
)</f>
        <v>1</v>
      </c>
    </row>
    <row r="349" spans="1:22" hidden="1">
      <c r="A349" s="2">
        <v>45903</v>
      </c>
      <c r="B349" s="1" t="s">
        <v>1114</v>
      </c>
      <c r="C349" s="1" t="s">
        <v>1115</v>
      </c>
      <c r="D349" s="1" t="s">
        <v>63</v>
      </c>
      <c r="E349" s="1">
        <v>85024</v>
      </c>
      <c r="F349" s="1" t="s">
        <v>31</v>
      </c>
      <c r="G349" s="1" t="s">
        <v>506</v>
      </c>
      <c r="H349" s="4" t="s">
        <v>27</v>
      </c>
      <c r="V349" s="46">
        <f>IF(
  OR(
    ISNUMBER(SEARCH("unable to locate acct", tblDocketedComments[[#This Row],[Docketed Consumer Comments]])),
    ISNUMBER(SEARCH("unknown", tblDocketedComments[[#This Row],[Docketed Consumer Comments]])),
    ISNUMBER(SEARCH("inactive", tblDocketedComments[[#This Row],[Docketed Consumer Comments]]))
  ),
  0,
  1
)</f>
        <v>1</v>
      </c>
    </row>
    <row r="350" spans="1:22" hidden="1">
      <c r="A350" s="2">
        <v>45903</v>
      </c>
      <c r="B350" s="1" t="s">
        <v>1116</v>
      </c>
      <c r="C350" s="1" t="s">
        <v>1117</v>
      </c>
      <c r="D350" s="1" t="s">
        <v>63</v>
      </c>
      <c r="E350" s="1">
        <v>85020</v>
      </c>
      <c r="F350" s="1" t="s">
        <v>310</v>
      </c>
      <c r="G350" s="1" t="s">
        <v>506</v>
      </c>
      <c r="H350" s="19" t="s">
        <v>1118</v>
      </c>
      <c r="I350" s="5" t="s">
        <v>36</v>
      </c>
      <c r="J350" s="5" t="s">
        <v>37</v>
      </c>
      <c r="K350" s="5" t="s">
        <v>37</v>
      </c>
      <c r="L350" s="5" t="s">
        <v>38</v>
      </c>
      <c r="M350" s="5" t="s">
        <v>37</v>
      </c>
      <c r="N350" s="5" t="s">
        <v>37</v>
      </c>
      <c r="O350" s="5" t="s">
        <v>38</v>
      </c>
      <c r="P350" s="5" t="s">
        <v>39</v>
      </c>
      <c r="Q350" s="2">
        <v>45967</v>
      </c>
      <c r="V350" s="46">
        <f>IF(
  OR(
    ISNUMBER(SEARCH("unable to locate acct", tblDocketedComments[[#This Row],[Docketed Consumer Comments]])),
    ISNUMBER(SEARCH("unknown", tblDocketedComments[[#This Row],[Docketed Consumer Comments]])),
    ISNUMBER(SEARCH("inactive", tblDocketedComments[[#This Row],[Docketed Consumer Comments]]))
  ),
  0,
  1
)</f>
        <v>1</v>
      </c>
    </row>
    <row r="351" spans="1:22" hidden="1">
      <c r="A351" s="2">
        <v>45903</v>
      </c>
      <c r="B351" s="1" t="s">
        <v>1119</v>
      </c>
      <c r="C351" s="1" t="s">
        <v>1120</v>
      </c>
      <c r="D351" s="1" t="s">
        <v>63</v>
      </c>
      <c r="E351" s="1">
        <v>85050</v>
      </c>
      <c r="F351" s="1" t="s">
        <v>1121</v>
      </c>
      <c r="G351" s="1" t="s">
        <v>506</v>
      </c>
      <c r="H351" s="19" t="s">
        <v>1122</v>
      </c>
      <c r="I351" s="5" t="s">
        <v>36</v>
      </c>
      <c r="J351" s="5" t="s">
        <v>37</v>
      </c>
      <c r="K351" s="5" t="s">
        <v>37</v>
      </c>
      <c r="L351" s="5" t="s">
        <v>38</v>
      </c>
      <c r="M351" s="5" t="s">
        <v>37</v>
      </c>
      <c r="N351" s="5" t="s">
        <v>37</v>
      </c>
      <c r="O351" s="5" t="s">
        <v>38</v>
      </c>
      <c r="P351" s="5" t="s">
        <v>39</v>
      </c>
      <c r="Q351" s="2">
        <v>45967</v>
      </c>
      <c r="V351" s="46">
        <f>IF(
  OR(
    ISNUMBER(SEARCH("unable to locate acct", tblDocketedComments[[#This Row],[Docketed Consumer Comments]])),
    ISNUMBER(SEARCH("unknown", tblDocketedComments[[#This Row],[Docketed Consumer Comments]])),
    ISNUMBER(SEARCH("inactive", tblDocketedComments[[#This Row],[Docketed Consumer Comments]]))
  ),
  0,
  1
)</f>
        <v>1</v>
      </c>
    </row>
    <row r="352" spans="1:22" hidden="1">
      <c r="A352" s="2">
        <v>45903</v>
      </c>
      <c r="B352" s="1" t="s">
        <v>1123</v>
      </c>
      <c r="C352" s="1" t="s">
        <v>1124</v>
      </c>
      <c r="D352" s="1" t="s">
        <v>24</v>
      </c>
      <c r="E352" s="1">
        <v>85307</v>
      </c>
      <c r="F352" s="1" t="s">
        <v>31</v>
      </c>
      <c r="G352" s="1" t="s">
        <v>506</v>
      </c>
      <c r="H352" s="19" t="s">
        <v>1125</v>
      </c>
      <c r="I352" s="5" t="s">
        <v>36</v>
      </c>
      <c r="J352" s="5" t="s">
        <v>37</v>
      </c>
      <c r="K352" s="5" t="s">
        <v>37</v>
      </c>
      <c r="L352" s="5" t="s">
        <v>38</v>
      </c>
      <c r="M352" s="5" t="s">
        <v>37</v>
      </c>
      <c r="N352" s="5" t="s">
        <v>37</v>
      </c>
      <c r="O352" s="5" t="s">
        <v>38</v>
      </c>
      <c r="P352" s="5" t="s">
        <v>39</v>
      </c>
      <c r="Q352" s="2">
        <v>45967</v>
      </c>
      <c r="V352" s="46">
        <f>IF(
  OR(
    ISNUMBER(SEARCH("unable to locate acct", tblDocketedComments[[#This Row],[Docketed Consumer Comments]])),
    ISNUMBER(SEARCH("unknown", tblDocketedComments[[#This Row],[Docketed Consumer Comments]])),
    ISNUMBER(SEARCH("inactive", tblDocketedComments[[#This Row],[Docketed Consumer Comments]]))
  ),
  0,
  1
)</f>
        <v>1</v>
      </c>
    </row>
    <row r="353" spans="1:22" hidden="1">
      <c r="A353" s="2">
        <v>45903</v>
      </c>
      <c r="B353" s="1" t="s">
        <v>1126</v>
      </c>
      <c r="C353" s="1" t="s">
        <v>1127</v>
      </c>
      <c r="D353" s="1" t="s">
        <v>24</v>
      </c>
      <c r="E353" s="1">
        <v>85308</v>
      </c>
      <c r="F353" s="1" t="s">
        <v>310</v>
      </c>
      <c r="G353" s="1" t="s">
        <v>506</v>
      </c>
      <c r="H353" s="19" t="s">
        <v>1128</v>
      </c>
      <c r="I353" s="5" t="s">
        <v>36</v>
      </c>
      <c r="J353" s="5" t="s">
        <v>37</v>
      </c>
      <c r="K353" s="5" t="s">
        <v>37</v>
      </c>
      <c r="L353" s="5" t="s">
        <v>38</v>
      </c>
      <c r="M353" s="5" t="s">
        <v>37</v>
      </c>
      <c r="N353" s="5" t="s">
        <v>37</v>
      </c>
      <c r="O353" s="5" t="s">
        <v>38</v>
      </c>
      <c r="P353" s="5" t="s">
        <v>39</v>
      </c>
      <c r="Q353" s="2">
        <v>45967</v>
      </c>
      <c r="V353" s="46">
        <f>IF(
  OR(
    ISNUMBER(SEARCH("unable to locate acct", tblDocketedComments[[#This Row],[Docketed Consumer Comments]])),
    ISNUMBER(SEARCH("unknown", tblDocketedComments[[#This Row],[Docketed Consumer Comments]])),
    ISNUMBER(SEARCH("inactive", tblDocketedComments[[#This Row],[Docketed Consumer Comments]]))
  ),
  0,
  1
)</f>
        <v>1</v>
      </c>
    </row>
    <row r="354" spans="1:22" hidden="1">
      <c r="A354" s="2">
        <v>45903</v>
      </c>
      <c r="B354" s="1" t="s">
        <v>1129</v>
      </c>
      <c r="C354" s="1" t="s">
        <v>1130</v>
      </c>
      <c r="D354" s="1" t="s">
        <v>63</v>
      </c>
      <c r="E354" s="1">
        <v>85050</v>
      </c>
      <c r="F354" s="1" t="s">
        <v>31</v>
      </c>
      <c r="G354" s="1" t="s">
        <v>506</v>
      </c>
      <c r="H354" s="19" t="s">
        <v>1131</v>
      </c>
      <c r="I354" s="5" t="s">
        <v>196</v>
      </c>
      <c r="J354" s="5" t="s">
        <v>37</v>
      </c>
      <c r="K354" s="5" t="s">
        <v>37</v>
      </c>
      <c r="L354" s="5" t="s">
        <v>38</v>
      </c>
      <c r="M354" s="5" t="s">
        <v>37</v>
      </c>
      <c r="N354" s="5" t="s">
        <v>37</v>
      </c>
      <c r="O354" s="5" t="s">
        <v>38</v>
      </c>
      <c r="P354" s="5" t="s">
        <v>39</v>
      </c>
      <c r="Q354" s="2">
        <v>45967</v>
      </c>
      <c r="V354" s="46">
        <f>IF(
  OR(
    ISNUMBER(SEARCH("unable to locate acct", tblDocketedComments[[#This Row],[Docketed Consumer Comments]])),
    ISNUMBER(SEARCH("unknown", tblDocketedComments[[#This Row],[Docketed Consumer Comments]])),
    ISNUMBER(SEARCH("inactive", tblDocketedComments[[#This Row],[Docketed Consumer Comments]]))
  ),
  0,
  1
)</f>
        <v>1</v>
      </c>
    </row>
    <row r="355" spans="1:22" hidden="1">
      <c r="A355" s="2">
        <v>45903</v>
      </c>
      <c r="B355" s="1" t="s">
        <v>1132</v>
      </c>
      <c r="C355" s="1" t="s">
        <v>1133</v>
      </c>
      <c r="D355" s="1" t="s">
        <v>63</v>
      </c>
      <c r="E355" s="1">
        <v>85024</v>
      </c>
      <c r="F355" s="1" t="s">
        <v>310</v>
      </c>
      <c r="G355" s="1" t="s">
        <v>506</v>
      </c>
      <c r="H355" s="19">
        <v>6430651000</v>
      </c>
      <c r="I355" s="5" t="s">
        <v>196</v>
      </c>
      <c r="J355" s="5" t="s">
        <v>37</v>
      </c>
      <c r="K355" s="5" t="s">
        <v>37</v>
      </c>
      <c r="L355" s="5" t="s">
        <v>38</v>
      </c>
      <c r="M355" s="5" t="s">
        <v>37</v>
      </c>
      <c r="N355" s="5" t="s">
        <v>37</v>
      </c>
      <c r="O355" s="5" t="s">
        <v>38</v>
      </c>
      <c r="P355" s="5" t="s">
        <v>39</v>
      </c>
      <c r="Q355" s="2">
        <v>45967</v>
      </c>
      <c r="V355" s="46">
        <f>IF(
  OR(
    ISNUMBER(SEARCH("unable to locate acct", tblDocketedComments[[#This Row],[Docketed Consumer Comments]])),
    ISNUMBER(SEARCH("unknown", tblDocketedComments[[#This Row],[Docketed Consumer Comments]])),
    ISNUMBER(SEARCH("inactive", tblDocketedComments[[#This Row],[Docketed Consumer Comments]]))
  ),
  0,
  1
)</f>
        <v>1</v>
      </c>
    </row>
    <row r="356" spans="1:22" hidden="1">
      <c r="A356" s="2">
        <v>45903</v>
      </c>
      <c r="B356" s="1" t="s">
        <v>1134</v>
      </c>
      <c r="C356" s="1" t="s">
        <v>991</v>
      </c>
      <c r="D356" s="1" t="s">
        <v>240</v>
      </c>
      <c r="E356" s="1">
        <v>85395</v>
      </c>
      <c r="F356" s="1" t="s">
        <v>1135</v>
      </c>
      <c r="G356" s="1" t="s">
        <v>506</v>
      </c>
      <c r="H356" s="4" t="s">
        <v>209</v>
      </c>
      <c r="V356" s="46">
        <f>IF(
  OR(
    ISNUMBER(SEARCH("unable to locate acct", tblDocketedComments[[#This Row],[Docketed Consumer Comments]])),
    ISNUMBER(SEARCH("unknown", tblDocketedComments[[#This Row],[Docketed Consumer Comments]])),
    ISNUMBER(SEARCH("inactive", tblDocketedComments[[#This Row],[Docketed Consumer Comments]]))
  ),
  0,
  1
)</f>
        <v>1</v>
      </c>
    </row>
    <row r="357" spans="1:22" hidden="1">
      <c r="A357" s="2">
        <v>45903</v>
      </c>
      <c r="B357" s="1" t="s">
        <v>1136</v>
      </c>
      <c r="C357" s="1" t="s">
        <v>177</v>
      </c>
      <c r="D357" s="1" t="s">
        <v>169</v>
      </c>
      <c r="E357" s="1">
        <v>85338</v>
      </c>
      <c r="F357" s="1" t="s">
        <v>1137</v>
      </c>
      <c r="G357" s="1" t="s">
        <v>506</v>
      </c>
      <c r="H357" s="4" t="s">
        <v>1138</v>
      </c>
      <c r="I357" s="5" t="s">
        <v>36</v>
      </c>
      <c r="J357" s="5" t="s">
        <v>38</v>
      </c>
      <c r="K357" s="5" t="s">
        <v>37</v>
      </c>
      <c r="L357" s="5" t="s">
        <v>38</v>
      </c>
      <c r="M357" s="5" t="s">
        <v>37</v>
      </c>
      <c r="N357" s="5" t="s">
        <v>37</v>
      </c>
      <c r="O357" s="5" t="s">
        <v>38</v>
      </c>
      <c r="P357" s="5" t="s">
        <v>39</v>
      </c>
      <c r="Q357" s="2">
        <v>45967</v>
      </c>
      <c r="V357" s="46">
        <f>IF(
  OR(
    ISNUMBER(SEARCH("unable to locate acct", tblDocketedComments[[#This Row],[Docketed Consumer Comments]])),
    ISNUMBER(SEARCH("unknown", tblDocketedComments[[#This Row],[Docketed Consumer Comments]])),
    ISNUMBER(SEARCH("inactive", tblDocketedComments[[#This Row],[Docketed Consumer Comments]]))
  ),
  0,
  1
)</f>
        <v>1</v>
      </c>
    </row>
    <row r="358" spans="1:22" hidden="1">
      <c r="A358" s="2">
        <v>45903</v>
      </c>
      <c r="B358" s="1" t="s">
        <v>1139</v>
      </c>
      <c r="C358" s="1" t="s">
        <v>1140</v>
      </c>
      <c r="D358" s="1" t="s">
        <v>169</v>
      </c>
      <c r="E358" s="1">
        <v>85395</v>
      </c>
      <c r="F358" s="1" t="s">
        <v>1141</v>
      </c>
      <c r="G358" s="1" t="s">
        <v>506</v>
      </c>
      <c r="H358" s="19">
        <v>1370139140</v>
      </c>
      <c r="I358" s="5" t="s">
        <v>36</v>
      </c>
      <c r="J358" s="5" t="s">
        <v>37</v>
      </c>
      <c r="K358" s="5" t="s">
        <v>37</v>
      </c>
      <c r="L358" s="5" t="s">
        <v>38</v>
      </c>
      <c r="M358" s="5" t="s">
        <v>37</v>
      </c>
      <c r="N358" s="5" t="s">
        <v>37</v>
      </c>
      <c r="O358" s="5" t="s">
        <v>38</v>
      </c>
      <c r="P358" s="5" t="s">
        <v>39</v>
      </c>
      <c r="Q358" s="2">
        <v>45967</v>
      </c>
      <c r="V358" s="46">
        <f>IF(
  OR(
    ISNUMBER(SEARCH("unable to locate acct", tblDocketedComments[[#This Row],[Docketed Consumer Comments]])),
    ISNUMBER(SEARCH("unknown", tblDocketedComments[[#This Row],[Docketed Consumer Comments]])),
    ISNUMBER(SEARCH("inactive", tblDocketedComments[[#This Row],[Docketed Consumer Comments]]))
  ),
  0,
  1
)</f>
        <v>1</v>
      </c>
    </row>
    <row r="359" spans="1:22" hidden="1">
      <c r="A359" s="2">
        <v>45903</v>
      </c>
      <c r="B359" s="1" t="s">
        <v>1142</v>
      </c>
      <c r="C359" s="1" t="s">
        <v>1143</v>
      </c>
      <c r="D359" s="1" t="s">
        <v>125</v>
      </c>
      <c r="E359" s="1">
        <v>85266</v>
      </c>
      <c r="F359" s="1" t="s">
        <v>310</v>
      </c>
      <c r="G359" s="1" t="s">
        <v>506</v>
      </c>
      <c r="H359" s="19" t="s">
        <v>1144</v>
      </c>
      <c r="I359" s="5" t="s">
        <v>36</v>
      </c>
      <c r="J359" s="5" t="s">
        <v>37</v>
      </c>
      <c r="K359" s="5" t="s">
        <v>37</v>
      </c>
      <c r="L359" s="5" t="s">
        <v>38</v>
      </c>
      <c r="M359" s="5" t="s">
        <v>37</v>
      </c>
      <c r="N359" s="5" t="s">
        <v>37</v>
      </c>
      <c r="O359" s="5" t="s">
        <v>38</v>
      </c>
      <c r="P359" s="5" t="s">
        <v>39</v>
      </c>
      <c r="Q359" s="2">
        <v>45967</v>
      </c>
      <c r="V359" s="46">
        <f>IF(
  OR(
    ISNUMBER(SEARCH("unable to locate acct", tblDocketedComments[[#This Row],[Docketed Consumer Comments]])),
    ISNUMBER(SEARCH("unknown", tblDocketedComments[[#This Row],[Docketed Consumer Comments]])),
    ISNUMBER(SEARCH("inactive", tblDocketedComments[[#This Row],[Docketed Consumer Comments]]))
  ),
  0,
  1
)</f>
        <v>1</v>
      </c>
    </row>
    <row r="360" spans="1:22" hidden="1">
      <c r="A360" s="2">
        <v>45903</v>
      </c>
      <c r="B360" s="1" t="s">
        <v>1145</v>
      </c>
      <c r="C360" s="1" t="s">
        <v>1146</v>
      </c>
      <c r="D360" s="1" t="s">
        <v>125</v>
      </c>
      <c r="E360" s="1">
        <v>85259</v>
      </c>
      <c r="F360" s="1" t="s">
        <v>31</v>
      </c>
      <c r="G360" s="1" t="s">
        <v>506</v>
      </c>
      <c r="H360" s="4" t="s">
        <v>209</v>
      </c>
      <c r="V360" s="46">
        <f>IF(
  OR(
    ISNUMBER(SEARCH("unable to locate acct", tblDocketedComments[[#This Row],[Docketed Consumer Comments]])),
    ISNUMBER(SEARCH("unknown", tblDocketedComments[[#This Row],[Docketed Consumer Comments]])),
    ISNUMBER(SEARCH("inactive", tblDocketedComments[[#This Row],[Docketed Consumer Comments]]))
  ),
  0,
  1
)</f>
        <v>1</v>
      </c>
    </row>
    <row r="361" spans="1:22" hidden="1">
      <c r="A361" s="2">
        <v>45903</v>
      </c>
      <c r="B361" s="1" t="s">
        <v>1147</v>
      </c>
      <c r="C361" s="1" t="s">
        <v>1143</v>
      </c>
      <c r="D361" s="1" t="s">
        <v>63</v>
      </c>
      <c r="E361" s="1">
        <v>85050</v>
      </c>
      <c r="F361" s="1" t="s">
        <v>31</v>
      </c>
      <c r="G361" s="1" t="s">
        <v>506</v>
      </c>
      <c r="H361" s="4" t="s">
        <v>27</v>
      </c>
      <c r="V361" s="46">
        <f>IF(
  OR(
    ISNUMBER(SEARCH("unable to locate acct", tblDocketedComments[[#This Row],[Docketed Consumer Comments]])),
    ISNUMBER(SEARCH("unknown", tblDocketedComments[[#This Row],[Docketed Consumer Comments]])),
    ISNUMBER(SEARCH("inactive", tblDocketedComments[[#This Row],[Docketed Consumer Comments]]))
  ),
  0,
  1
)</f>
        <v>1</v>
      </c>
    </row>
    <row r="362" spans="1:22" hidden="1">
      <c r="A362" s="2">
        <v>45903</v>
      </c>
      <c r="B362" s="1" t="s">
        <v>1148</v>
      </c>
      <c r="C362" s="1" t="s">
        <v>1149</v>
      </c>
      <c r="D362" s="1" t="s">
        <v>169</v>
      </c>
      <c r="E362" s="1">
        <v>85338</v>
      </c>
      <c r="F362" s="1" t="s">
        <v>1150</v>
      </c>
      <c r="G362" s="1" t="s">
        <v>506</v>
      </c>
      <c r="H362" s="4" t="s">
        <v>90</v>
      </c>
      <c r="V362" s="46">
        <f>IF(
  OR(
    ISNUMBER(SEARCH("unable to locate acct", tblDocketedComments[[#This Row],[Docketed Consumer Comments]])),
    ISNUMBER(SEARCH("unknown", tblDocketedComments[[#This Row],[Docketed Consumer Comments]])),
    ISNUMBER(SEARCH("inactive", tblDocketedComments[[#This Row],[Docketed Consumer Comments]]))
  ),
  0,
  1
)</f>
        <v>1</v>
      </c>
    </row>
    <row r="363" spans="1:22" hidden="1">
      <c r="A363" s="2">
        <v>45903</v>
      </c>
      <c r="B363" s="1" t="s">
        <v>1151</v>
      </c>
      <c r="C363" s="1" t="s">
        <v>1152</v>
      </c>
      <c r="D363" s="1" t="s">
        <v>202</v>
      </c>
      <c r="E363" s="1">
        <v>85383</v>
      </c>
      <c r="F363" s="1" t="s">
        <v>310</v>
      </c>
      <c r="G363" s="1" t="s">
        <v>506</v>
      </c>
      <c r="H363" s="19">
        <v>3401570000</v>
      </c>
      <c r="I363" s="5" t="s">
        <v>541</v>
      </c>
      <c r="J363" s="5" t="s">
        <v>37</v>
      </c>
      <c r="K363" s="5" t="s">
        <v>37</v>
      </c>
      <c r="L363" s="5" t="s">
        <v>389</v>
      </c>
      <c r="M363" s="5" t="s">
        <v>37</v>
      </c>
      <c r="N363" s="5" t="s">
        <v>37</v>
      </c>
      <c r="O363" s="5" t="s">
        <v>38</v>
      </c>
      <c r="P363" s="5" t="s">
        <v>39</v>
      </c>
      <c r="Q363" s="2">
        <v>45967</v>
      </c>
      <c r="V363" s="46">
        <f>IF(
  OR(
    ISNUMBER(SEARCH("unable to locate acct", tblDocketedComments[[#This Row],[Docketed Consumer Comments]])),
    ISNUMBER(SEARCH("unknown", tblDocketedComments[[#This Row],[Docketed Consumer Comments]])),
    ISNUMBER(SEARCH("inactive", tblDocketedComments[[#This Row],[Docketed Consumer Comments]]))
  ),
  0,
  1
)</f>
        <v>1</v>
      </c>
    </row>
    <row r="364" spans="1:22" hidden="1">
      <c r="A364" s="2">
        <v>45903</v>
      </c>
      <c r="B364" s="1" t="s">
        <v>1153</v>
      </c>
      <c r="C364" s="1" t="s">
        <v>1154</v>
      </c>
      <c r="D364" s="1" t="s">
        <v>63</v>
      </c>
      <c r="E364" s="1">
        <v>85024</v>
      </c>
      <c r="F364" s="1" t="s">
        <v>1155</v>
      </c>
      <c r="G364" s="1" t="s">
        <v>506</v>
      </c>
      <c r="H364" s="19" t="s">
        <v>1156</v>
      </c>
      <c r="I364" s="5" t="s">
        <v>196</v>
      </c>
      <c r="J364" s="5" t="s">
        <v>37</v>
      </c>
      <c r="K364" s="5" t="s">
        <v>37</v>
      </c>
      <c r="L364" s="7" t="s">
        <v>1157</v>
      </c>
      <c r="M364" s="5" t="s">
        <v>37</v>
      </c>
      <c r="N364" s="5" t="s">
        <v>37</v>
      </c>
      <c r="O364" s="5" t="s">
        <v>38</v>
      </c>
      <c r="P364" s="2">
        <v>45936</v>
      </c>
      <c r="Q364" s="2">
        <v>45967</v>
      </c>
      <c r="R364" s="1" t="s">
        <v>1158</v>
      </c>
      <c r="V364" s="46">
        <f>IF(
  OR(
    ISNUMBER(SEARCH("unable to locate acct", tblDocketedComments[[#This Row],[Docketed Consumer Comments]])),
    ISNUMBER(SEARCH("unknown", tblDocketedComments[[#This Row],[Docketed Consumer Comments]])),
    ISNUMBER(SEARCH("inactive", tblDocketedComments[[#This Row],[Docketed Consumer Comments]]))
  ),
  0,
  1
)</f>
        <v>1</v>
      </c>
    </row>
    <row r="365" spans="1:22" hidden="1">
      <c r="A365" s="2">
        <v>45903</v>
      </c>
      <c r="B365" s="1" t="s">
        <v>1159</v>
      </c>
      <c r="C365" s="1" t="s">
        <v>1160</v>
      </c>
      <c r="D365" s="1" t="s">
        <v>202</v>
      </c>
      <c r="E365" s="1">
        <v>85383</v>
      </c>
      <c r="F365" s="1" t="s">
        <v>310</v>
      </c>
      <c r="G365" s="1" t="s">
        <v>506</v>
      </c>
      <c r="H365" s="19" t="s">
        <v>1161</v>
      </c>
      <c r="I365" s="5" t="s">
        <v>36</v>
      </c>
      <c r="J365" s="5" t="s">
        <v>37</v>
      </c>
      <c r="K365" s="5" t="s">
        <v>37</v>
      </c>
      <c r="L365" s="5" t="s">
        <v>38</v>
      </c>
      <c r="M365" s="5" t="s">
        <v>37</v>
      </c>
      <c r="N365" s="5" t="s">
        <v>37</v>
      </c>
      <c r="O365" s="5" t="s">
        <v>38</v>
      </c>
      <c r="P365" s="5" t="s">
        <v>39</v>
      </c>
      <c r="Q365" s="2">
        <v>45967</v>
      </c>
      <c r="V365" s="46">
        <f>IF(
  OR(
    ISNUMBER(SEARCH("unable to locate acct", tblDocketedComments[[#This Row],[Docketed Consumer Comments]])),
    ISNUMBER(SEARCH("unknown", tblDocketedComments[[#This Row],[Docketed Consumer Comments]])),
    ISNUMBER(SEARCH("inactive", tblDocketedComments[[#This Row],[Docketed Consumer Comments]]))
  ),
  0,
  1
)</f>
        <v>1</v>
      </c>
    </row>
    <row r="366" spans="1:22" hidden="1">
      <c r="A366" s="2">
        <v>45903</v>
      </c>
      <c r="B366" s="1" t="s">
        <v>1162</v>
      </c>
      <c r="C366" s="1" t="s">
        <v>1163</v>
      </c>
      <c r="D366" s="1" t="s">
        <v>63</v>
      </c>
      <c r="E366" s="1">
        <v>85085</v>
      </c>
      <c r="F366" s="1" t="s">
        <v>310</v>
      </c>
      <c r="G366" s="1" t="s">
        <v>506</v>
      </c>
      <c r="H366" s="19" t="s">
        <v>1164</v>
      </c>
      <c r="I366" s="5" t="s">
        <v>36</v>
      </c>
      <c r="J366" s="5" t="s">
        <v>37</v>
      </c>
      <c r="K366" s="5" t="s">
        <v>37</v>
      </c>
      <c r="L366" s="5" t="s">
        <v>38</v>
      </c>
      <c r="M366" s="5" t="s">
        <v>37</v>
      </c>
      <c r="N366" s="5" t="s">
        <v>37</v>
      </c>
      <c r="O366" s="5" t="s">
        <v>38</v>
      </c>
      <c r="P366" s="5" t="s">
        <v>39</v>
      </c>
      <c r="Q366" s="2">
        <v>45967</v>
      </c>
      <c r="V366" s="46">
        <f>IF(
  OR(
    ISNUMBER(SEARCH("unable to locate acct", tblDocketedComments[[#This Row],[Docketed Consumer Comments]])),
    ISNUMBER(SEARCH("unknown", tblDocketedComments[[#This Row],[Docketed Consumer Comments]])),
    ISNUMBER(SEARCH("inactive", tblDocketedComments[[#This Row],[Docketed Consumer Comments]]))
  ),
  0,
  1
)</f>
        <v>1</v>
      </c>
    </row>
    <row r="367" spans="1:22" hidden="1">
      <c r="A367" s="2">
        <v>45903</v>
      </c>
      <c r="B367" s="1" t="s">
        <v>1165</v>
      </c>
      <c r="C367" s="1" t="s">
        <v>1166</v>
      </c>
      <c r="D367" s="1" t="s">
        <v>240</v>
      </c>
      <c r="E367" s="1">
        <v>85340</v>
      </c>
      <c r="F367" s="1" t="s">
        <v>1167</v>
      </c>
      <c r="G367" s="1" t="s">
        <v>506</v>
      </c>
      <c r="H367" s="19" t="s">
        <v>1168</v>
      </c>
      <c r="I367" s="5" t="s">
        <v>126</v>
      </c>
      <c r="J367" s="5" t="s">
        <v>38</v>
      </c>
      <c r="K367" s="5" t="s">
        <v>37</v>
      </c>
      <c r="L367" s="5" t="s">
        <v>1169</v>
      </c>
      <c r="M367" s="5" t="s">
        <v>37</v>
      </c>
      <c r="N367" s="5" t="s">
        <v>37</v>
      </c>
      <c r="O367" s="5" t="s">
        <v>38</v>
      </c>
      <c r="P367" s="5" t="s">
        <v>39</v>
      </c>
      <c r="Q367" s="2">
        <v>45967</v>
      </c>
      <c r="V367" s="46">
        <f>IF(
  OR(
    ISNUMBER(SEARCH("unable to locate acct", tblDocketedComments[[#This Row],[Docketed Consumer Comments]])),
    ISNUMBER(SEARCH("unknown", tblDocketedComments[[#This Row],[Docketed Consumer Comments]])),
    ISNUMBER(SEARCH("inactive", tblDocketedComments[[#This Row],[Docketed Consumer Comments]]))
  ),
  0,
  1
)</f>
        <v>1</v>
      </c>
    </row>
    <row r="368" spans="1:22" hidden="1">
      <c r="A368" s="2">
        <v>45903</v>
      </c>
      <c r="B368" s="1" t="s">
        <v>1170</v>
      </c>
      <c r="C368" s="1" t="s">
        <v>1171</v>
      </c>
      <c r="D368" s="1" t="s">
        <v>63</v>
      </c>
      <c r="E368" s="1">
        <v>85050</v>
      </c>
      <c r="F368" s="1" t="s">
        <v>1172</v>
      </c>
      <c r="G368" s="1" t="s">
        <v>506</v>
      </c>
      <c r="H368" s="19" t="s">
        <v>1173</v>
      </c>
      <c r="I368" s="5" t="s">
        <v>1040</v>
      </c>
      <c r="J368" s="5" t="s">
        <v>37</v>
      </c>
      <c r="K368" s="5" t="s">
        <v>37</v>
      </c>
      <c r="L368" s="7" t="s">
        <v>1174</v>
      </c>
      <c r="M368" s="5" t="s">
        <v>37</v>
      </c>
      <c r="N368" s="5" t="s">
        <v>37</v>
      </c>
      <c r="O368" s="5" t="s">
        <v>38</v>
      </c>
      <c r="P368" s="2">
        <v>45936</v>
      </c>
      <c r="Q368" s="2">
        <v>45967</v>
      </c>
      <c r="R368" s="1" t="s">
        <v>1175</v>
      </c>
      <c r="V368" s="46">
        <f>IF(
  OR(
    ISNUMBER(SEARCH("unable to locate acct", tblDocketedComments[[#This Row],[Docketed Consumer Comments]])),
    ISNUMBER(SEARCH("unknown", tblDocketedComments[[#This Row],[Docketed Consumer Comments]])),
    ISNUMBER(SEARCH("inactive", tblDocketedComments[[#This Row],[Docketed Consumer Comments]]))
  ),
  0,
  1
)</f>
        <v>1</v>
      </c>
    </row>
    <row r="369" spans="1:22" hidden="1">
      <c r="A369" s="2">
        <v>45903</v>
      </c>
      <c r="B369" s="1" t="s">
        <v>1176</v>
      </c>
      <c r="C369" s="1" t="s">
        <v>1177</v>
      </c>
      <c r="D369" s="1" t="s">
        <v>523</v>
      </c>
      <c r="E369" s="1">
        <v>85392</v>
      </c>
      <c r="F369" s="1" t="s">
        <v>31</v>
      </c>
      <c r="G369" s="1" t="s">
        <v>506</v>
      </c>
      <c r="H369" s="4" t="s">
        <v>27</v>
      </c>
      <c r="V369" s="46">
        <f>IF(
  OR(
    ISNUMBER(SEARCH("unable to locate acct", tblDocketedComments[[#This Row],[Docketed Consumer Comments]])),
    ISNUMBER(SEARCH("unknown", tblDocketedComments[[#This Row],[Docketed Consumer Comments]])),
    ISNUMBER(SEARCH("inactive", tblDocketedComments[[#This Row],[Docketed Consumer Comments]]))
  ),
  0,
  1
)</f>
        <v>1</v>
      </c>
    </row>
    <row r="370" spans="1:22" hidden="1">
      <c r="A370" s="2">
        <v>45903</v>
      </c>
      <c r="B370" s="1" t="s">
        <v>1178</v>
      </c>
      <c r="C370" s="1" t="s">
        <v>1179</v>
      </c>
      <c r="D370" s="1" t="s">
        <v>30</v>
      </c>
      <c r="E370" s="1">
        <v>85085</v>
      </c>
      <c r="F370" s="1" t="s">
        <v>310</v>
      </c>
      <c r="G370" s="1" t="s">
        <v>506</v>
      </c>
      <c r="H370" s="19" t="s">
        <v>1180</v>
      </c>
      <c r="I370" s="5" t="s">
        <v>196</v>
      </c>
      <c r="J370" s="5" t="s">
        <v>37</v>
      </c>
      <c r="K370" s="5" t="s">
        <v>37</v>
      </c>
      <c r="L370" s="5" t="s">
        <v>1181</v>
      </c>
      <c r="M370" s="5" t="s">
        <v>37</v>
      </c>
      <c r="N370" s="5" t="s">
        <v>37</v>
      </c>
      <c r="O370" s="5" t="s">
        <v>38</v>
      </c>
      <c r="P370" s="5" t="s">
        <v>39</v>
      </c>
      <c r="Q370" s="2">
        <v>45967</v>
      </c>
      <c r="V370" s="46">
        <f>IF(
  OR(
    ISNUMBER(SEARCH("unable to locate acct", tblDocketedComments[[#This Row],[Docketed Consumer Comments]])),
    ISNUMBER(SEARCH("unknown", tblDocketedComments[[#This Row],[Docketed Consumer Comments]])),
    ISNUMBER(SEARCH("inactive", tblDocketedComments[[#This Row],[Docketed Consumer Comments]]))
  ),
  0,
  1
)</f>
        <v>1</v>
      </c>
    </row>
    <row r="371" spans="1:22" hidden="1">
      <c r="A371" s="2">
        <v>45903</v>
      </c>
      <c r="B371" s="1" t="s">
        <v>1182</v>
      </c>
      <c r="C371" s="1" t="s">
        <v>1183</v>
      </c>
      <c r="D371" s="1" t="s">
        <v>202</v>
      </c>
      <c r="E371" s="1">
        <v>85383</v>
      </c>
      <c r="F371" s="1" t="s">
        <v>1184</v>
      </c>
      <c r="G371" s="1" t="s">
        <v>506</v>
      </c>
      <c r="H371" s="4" t="s">
        <v>27</v>
      </c>
      <c r="V371" s="46">
        <f>IF(
  OR(
    ISNUMBER(SEARCH("unable to locate acct", tblDocketedComments[[#This Row],[Docketed Consumer Comments]])),
    ISNUMBER(SEARCH("unknown", tblDocketedComments[[#This Row],[Docketed Consumer Comments]])),
    ISNUMBER(SEARCH("inactive", tblDocketedComments[[#This Row],[Docketed Consumer Comments]]))
  ),
  0,
  1
)</f>
        <v>1</v>
      </c>
    </row>
    <row r="372" spans="1:22" hidden="1">
      <c r="A372" s="2">
        <v>45903</v>
      </c>
      <c r="B372" s="1" t="s">
        <v>1185</v>
      </c>
      <c r="C372" s="1" t="s">
        <v>312</v>
      </c>
      <c r="D372" s="1" t="s">
        <v>523</v>
      </c>
      <c r="E372" s="1">
        <v>85323</v>
      </c>
      <c r="F372" s="1" t="s">
        <v>1186</v>
      </c>
      <c r="G372" s="1" t="s">
        <v>506</v>
      </c>
      <c r="H372" s="19" t="s">
        <v>1187</v>
      </c>
      <c r="I372" s="5" t="s">
        <v>73</v>
      </c>
      <c r="J372" s="5" t="s">
        <v>37</v>
      </c>
      <c r="K372" s="5" t="s">
        <v>37</v>
      </c>
      <c r="L372" s="5" t="s">
        <v>38</v>
      </c>
      <c r="M372" s="5" t="s">
        <v>37</v>
      </c>
      <c r="N372" s="5" t="s">
        <v>37</v>
      </c>
      <c r="O372" s="5" t="s">
        <v>38</v>
      </c>
      <c r="P372" s="5" t="s">
        <v>39</v>
      </c>
      <c r="Q372" s="2">
        <v>45967</v>
      </c>
      <c r="V372" s="46">
        <f>IF(
  OR(
    ISNUMBER(SEARCH("unable to locate acct", tblDocketedComments[[#This Row],[Docketed Consumer Comments]])),
    ISNUMBER(SEARCH("unknown", tblDocketedComments[[#This Row],[Docketed Consumer Comments]])),
    ISNUMBER(SEARCH("inactive", tblDocketedComments[[#This Row],[Docketed Consumer Comments]]))
  ),
  0,
  1
)</f>
        <v>1</v>
      </c>
    </row>
    <row r="373" spans="1:22" hidden="1">
      <c r="A373" s="2">
        <v>45903</v>
      </c>
      <c r="B373" s="1" t="s">
        <v>176</v>
      </c>
      <c r="C373" s="1" t="s">
        <v>284</v>
      </c>
      <c r="D373" s="1" t="s">
        <v>63</v>
      </c>
      <c r="E373" s="1">
        <v>85024</v>
      </c>
      <c r="F373" s="1" t="s">
        <v>310</v>
      </c>
      <c r="G373" s="1" t="s">
        <v>506</v>
      </c>
      <c r="H373" s="4" t="s">
        <v>209</v>
      </c>
      <c r="V373" s="46">
        <f>IF(
  OR(
    ISNUMBER(SEARCH("unable to locate acct", tblDocketedComments[[#This Row],[Docketed Consumer Comments]])),
    ISNUMBER(SEARCH("unknown", tblDocketedComments[[#This Row],[Docketed Consumer Comments]])),
    ISNUMBER(SEARCH("inactive", tblDocketedComments[[#This Row],[Docketed Consumer Comments]]))
  ),
  0,
  1
)</f>
        <v>1</v>
      </c>
    </row>
    <row r="374" spans="1:22" hidden="1">
      <c r="A374" s="2">
        <v>45903</v>
      </c>
      <c r="B374" s="1" t="s">
        <v>1188</v>
      </c>
      <c r="C374" s="1" t="s">
        <v>1189</v>
      </c>
      <c r="D374" s="1" t="s">
        <v>63</v>
      </c>
      <c r="E374" s="1">
        <v>85032</v>
      </c>
      <c r="F374" s="1" t="s">
        <v>310</v>
      </c>
      <c r="G374" s="1" t="s">
        <v>506</v>
      </c>
      <c r="H374" s="4" t="s">
        <v>27</v>
      </c>
      <c r="V374" s="46">
        <f>IF(
  OR(
    ISNUMBER(SEARCH("unable to locate acct", tblDocketedComments[[#This Row],[Docketed Consumer Comments]])),
    ISNUMBER(SEARCH("unknown", tblDocketedComments[[#This Row],[Docketed Consumer Comments]])),
    ISNUMBER(SEARCH("inactive", tblDocketedComments[[#This Row],[Docketed Consumer Comments]]))
  ),
  0,
  1
)</f>
        <v>1</v>
      </c>
    </row>
    <row r="375" spans="1:22" hidden="1">
      <c r="A375" s="2">
        <v>45903</v>
      </c>
      <c r="B375" s="1" t="s">
        <v>1190</v>
      </c>
      <c r="C375" s="1" t="s">
        <v>1191</v>
      </c>
      <c r="D375" s="1" t="s">
        <v>523</v>
      </c>
      <c r="E375" s="1">
        <v>85392</v>
      </c>
      <c r="F375" s="1" t="s">
        <v>1186</v>
      </c>
      <c r="G375" s="1" t="s">
        <v>506</v>
      </c>
      <c r="H375" s="19" t="s">
        <v>1192</v>
      </c>
      <c r="I375" s="5" t="s">
        <v>196</v>
      </c>
      <c r="J375" s="5" t="s">
        <v>37</v>
      </c>
      <c r="K375" s="5" t="s">
        <v>37</v>
      </c>
      <c r="L375" s="5" t="s">
        <v>38</v>
      </c>
      <c r="M375" s="5" t="s">
        <v>37</v>
      </c>
      <c r="N375" s="5" t="s">
        <v>37</v>
      </c>
      <c r="O375" s="5" t="s">
        <v>38</v>
      </c>
      <c r="P375" s="5" t="s">
        <v>39</v>
      </c>
      <c r="Q375" s="2">
        <v>45967</v>
      </c>
      <c r="V375" s="46">
        <f>IF(
  OR(
    ISNUMBER(SEARCH("unable to locate acct", tblDocketedComments[[#This Row],[Docketed Consumer Comments]])),
    ISNUMBER(SEARCH("unknown", tblDocketedComments[[#This Row],[Docketed Consumer Comments]])),
    ISNUMBER(SEARCH("inactive", tblDocketedComments[[#This Row],[Docketed Consumer Comments]]))
  ),
  0,
  1
)</f>
        <v>1</v>
      </c>
    </row>
    <row r="376" spans="1:22" hidden="1">
      <c r="A376" s="2">
        <v>45903</v>
      </c>
      <c r="B376" s="1" t="s">
        <v>1193</v>
      </c>
      <c r="C376" s="1" t="s">
        <v>1194</v>
      </c>
      <c r="D376" s="1" t="s">
        <v>63</v>
      </c>
      <c r="E376" s="1">
        <v>85024</v>
      </c>
      <c r="F376" s="1" t="s">
        <v>310</v>
      </c>
      <c r="G376" s="1" t="s">
        <v>506</v>
      </c>
      <c r="H376" s="4" t="s">
        <v>209</v>
      </c>
      <c r="V376" s="46">
        <f>IF(
  OR(
    ISNUMBER(SEARCH("unable to locate acct", tblDocketedComments[[#This Row],[Docketed Consumer Comments]])),
    ISNUMBER(SEARCH("unknown", tblDocketedComments[[#This Row],[Docketed Consumer Comments]])),
    ISNUMBER(SEARCH("inactive", tblDocketedComments[[#This Row],[Docketed Consumer Comments]]))
  ),
  0,
  1
)</f>
        <v>1</v>
      </c>
    </row>
    <row r="377" spans="1:22" hidden="1">
      <c r="A377" s="2">
        <v>45903</v>
      </c>
      <c r="B377" s="1" t="s">
        <v>1195</v>
      </c>
      <c r="C377" s="1" t="s">
        <v>558</v>
      </c>
      <c r="D377" s="1" t="s">
        <v>63</v>
      </c>
      <c r="E377" s="1">
        <v>85050</v>
      </c>
      <c r="F377" s="1" t="s">
        <v>310</v>
      </c>
      <c r="G377" s="1" t="s">
        <v>506</v>
      </c>
      <c r="H377" s="19" t="s">
        <v>1196</v>
      </c>
      <c r="I377" s="5" t="s">
        <v>36</v>
      </c>
      <c r="J377" s="5" t="s">
        <v>37</v>
      </c>
      <c r="K377" s="5" t="s">
        <v>37</v>
      </c>
      <c r="L377" s="5" t="s">
        <v>38</v>
      </c>
      <c r="M377" s="5" t="s">
        <v>37</v>
      </c>
      <c r="N377" s="5" t="s">
        <v>37</v>
      </c>
      <c r="O377" s="5" t="s">
        <v>38</v>
      </c>
      <c r="P377" s="5" t="s">
        <v>39</v>
      </c>
      <c r="Q377" s="2">
        <v>45967</v>
      </c>
      <c r="V377" s="46">
        <f>IF(
  OR(
    ISNUMBER(SEARCH("unable to locate acct", tblDocketedComments[[#This Row],[Docketed Consumer Comments]])),
    ISNUMBER(SEARCH("unknown", tblDocketedComments[[#This Row],[Docketed Consumer Comments]])),
    ISNUMBER(SEARCH("inactive", tblDocketedComments[[#This Row],[Docketed Consumer Comments]]))
  ),
  0,
  1
)</f>
        <v>1</v>
      </c>
    </row>
    <row r="378" spans="1:22" hidden="1">
      <c r="A378" s="2">
        <v>45903</v>
      </c>
      <c r="B378" s="1" t="s">
        <v>1197</v>
      </c>
      <c r="C378" s="1" t="s">
        <v>1198</v>
      </c>
      <c r="D378" s="1" t="s">
        <v>63</v>
      </c>
      <c r="E378" s="1">
        <v>85050</v>
      </c>
      <c r="F378" s="1" t="s">
        <v>1199</v>
      </c>
      <c r="G378" s="1" t="s">
        <v>506</v>
      </c>
      <c r="H378" s="19" t="s">
        <v>1200</v>
      </c>
      <c r="I378" s="5" t="s">
        <v>196</v>
      </c>
      <c r="J378" s="5" t="s">
        <v>37</v>
      </c>
      <c r="K378" s="5" t="s">
        <v>37</v>
      </c>
      <c r="L378" s="5" t="s">
        <v>38</v>
      </c>
      <c r="M378" s="5" t="s">
        <v>37</v>
      </c>
      <c r="N378" s="5" t="s">
        <v>37</v>
      </c>
      <c r="O378" s="5" t="s">
        <v>38</v>
      </c>
      <c r="P378" s="5" t="s">
        <v>39</v>
      </c>
      <c r="Q378" s="2">
        <v>45967</v>
      </c>
      <c r="V378" s="46">
        <f>IF(
  OR(
    ISNUMBER(SEARCH("unable to locate acct", tblDocketedComments[[#This Row],[Docketed Consumer Comments]])),
    ISNUMBER(SEARCH("unknown", tblDocketedComments[[#This Row],[Docketed Consumer Comments]])),
    ISNUMBER(SEARCH("inactive", tblDocketedComments[[#This Row],[Docketed Consumer Comments]]))
  ),
  0,
  1
)</f>
        <v>1</v>
      </c>
    </row>
    <row r="379" spans="1:22" hidden="1">
      <c r="A379" s="2">
        <v>45903</v>
      </c>
      <c r="B379" s="1" t="s">
        <v>1201</v>
      </c>
      <c r="C379" s="1" t="s">
        <v>471</v>
      </c>
      <c r="D379" s="1" t="s">
        <v>63</v>
      </c>
      <c r="E379" s="1">
        <v>85042</v>
      </c>
      <c r="F379" s="1" t="s">
        <v>310</v>
      </c>
      <c r="G379" s="1" t="s">
        <v>506</v>
      </c>
      <c r="H379" s="4" t="s">
        <v>90</v>
      </c>
      <c r="V379" s="46">
        <f>IF(
  OR(
    ISNUMBER(SEARCH("unable to locate acct", tblDocketedComments[[#This Row],[Docketed Consumer Comments]])),
    ISNUMBER(SEARCH("unknown", tblDocketedComments[[#This Row],[Docketed Consumer Comments]])),
    ISNUMBER(SEARCH("inactive", tblDocketedComments[[#This Row],[Docketed Consumer Comments]]))
  ),
  0,
  1
)</f>
        <v>1</v>
      </c>
    </row>
    <row r="380" spans="1:22" hidden="1">
      <c r="A380" s="2">
        <v>45903</v>
      </c>
      <c r="B380" s="1" t="s">
        <v>1202</v>
      </c>
      <c r="C380" s="1" t="s">
        <v>1203</v>
      </c>
      <c r="D380" s="1" t="s">
        <v>1204</v>
      </c>
      <c r="E380" s="1">
        <v>85355</v>
      </c>
      <c r="F380" s="1" t="s">
        <v>1205</v>
      </c>
      <c r="G380" s="1" t="s">
        <v>506</v>
      </c>
      <c r="H380" s="19" t="s">
        <v>1206</v>
      </c>
      <c r="I380" s="5" t="s">
        <v>36</v>
      </c>
      <c r="J380" s="5" t="s">
        <v>37</v>
      </c>
      <c r="K380" s="5" t="s">
        <v>37</v>
      </c>
      <c r="L380" s="5" t="s">
        <v>38</v>
      </c>
      <c r="M380" s="5" t="s">
        <v>37</v>
      </c>
      <c r="N380" s="5" t="s">
        <v>37</v>
      </c>
      <c r="O380" s="5" t="s">
        <v>38</v>
      </c>
      <c r="P380" s="5" t="s">
        <v>39</v>
      </c>
      <c r="Q380" s="2">
        <v>45967</v>
      </c>
      <c r="V380" s="46">
        <f>IF(
  OR(
    ISNUMBER(SEARCH("unable to locate acct", tblDocketedComments[[#This Row],[Docketed Consumer Comments]])),
    ISNUMBER(SEARCH("unknown", tblDocketedComments[[#This Row],[Docketed Consumer Comments]])),
    ISNUMBER(SEARCH("inactive", tblDocketedComments[[#This Row],[Docketed Consumer Comments]]))
  ),
  0,
  1
)</f>
        <v>1</v>
      </c>
    </row>
    <row r="381" spans="1:22" hidden="1">
      <c r="A381" s="2">
        <v>45903</v>
      </c>
      <c r="B381" s="1" t="s">
        <v>824</v>
      </c>
      <c r="C381" s="1" t="s">
        <v>328</v>
      </c>
      <c r="D381" s="1" t="s">
        <v>112</v>
      </c>
      <c r="E381" s="1">
        <v>85379</v>
      </c>
      <c r="F381" s="1" t="s">
        <v>310</v>
      </c>
      <c r="G381" s="1" t="s">
        <v>506</v>
      </c>
      <c r="H381" s="19" t="s">
        <v>1207</v>
      </c>
      <c r="I381" s="5" t="s">
        <v>36</v>
      </c>
      <c r="J381" s="5" t="s">
        <v>37</v>
      </c>
      <c r="K381" s="5" t="s">
        <v>37</v>
      </c>
      <c r="L381" s="5" t="s">
        <v>38</v>
      </c>
      <c r="M381" s="5" t="s">
        <v>37</v>
      </c>
      <c r="N381" s="5" t="s">
        <v>37</v>
      </c>
      <c r="O381" s="5" t="s">
        <v>38</v>
      </c>
      <c r="P381" s="5" t="s">
        <v>39</v>
      </c>
      <c r="Q381" s="2">
        <v>45967</v>
      </c>
      <c r="V381" s="46">
        <f>IF(
  OR(
    ISNUMBER(SEARCH("unable to locate acct", tblDocketedComments[[#This Row],[Docketed Consumer Comments]])),
    ISNUMBER(SEARCH("unknown", tblDocketedComments[[#This Row],[Docketed Consumer Comments]])),
    ISNUMBER(SEARCH("inactive", tblDocketedComments[[#This Row],[Docketed Consumer Comments]]))
  ),
  0,
  1
)</f>
        <v>1</v>
      </c>
    </row>
    <row r="382" spans="1:22" hidden="1">
      <c r="A382" s="2">
        <v>45903</v>
      </c>
      <c r="B382" s="1" t="s">
        <v>1208</v>
      </c>
      <c r="C382" s="1" t="s">
        <v>1209</v>
      </c>
      <c r="D382" s="1" t="s">
        <v>202</v>
      </c>
      <c r="E382" s="1">
        <v>85383</v>
      </c>
      <c r="F382" s="1" t="s">
        <v>310</v>
      </c>
      <c r="G382" s="1" t="s">
        <v>506</v>
      </c>
      <c r="H382" s="4" t="s">
        <v>90</v>
      </c>
      <c r="V382" s="46">
        <f>IF(
  OR(
    ISNUMBER(SEARCH("unable to locate acct", tblDocketedComments[[#This Row],[Docketed Consumer Comments]])),
    ISNUMBER(SEARCH("unknown", tblDocketedComments[[#This Row],[Docketed Consumer Comments]])),
    ISNUMBER(SEARCH("inactive", tblDocketedComments[[#This Row],[Docketed Consumer Comments]]))
  ),
  0,
  1
)</f>
        <v>1</v>
      </c>
    </row>
    <row r="383" spans="1:22" hidden="1">
      <c r="A383" s="2">
        <v>45903</v>
      </c>
      <c r="B383" s="1" t="s">
        <v>1210</v>
      </c>
      <c r="C383" s="1" t="s">
        <v>115</v>
      </c>
      <c r="D383" s="1" t="s">
        <v>169</v>
      </c>
      <c r="E383" s="1">
        <v>85338</v>
      </c>
      <c r="F383" s="1" t="s">
        <v>1211</v>
      </c>
      <c r="G383" s="1" t="s">
        <v>506</v>
      </c>
      <c r="H383" s="19" t="s">
        <v>1212</v>
      </c>
      <c r="I383" s="5" t="s">
        <v>36</v>
      </c>
      <c r="J383" s="5" t="s">
        <v>37</v>
      </c>
      <c r="K383" s="5" t="s">
        <v>37</v>
      </c>
      <c r="L383" s="5" t="s">
        <v>38</v>
      </c>
      <c r="M383" s="5" t="s">
        <v>37</v>
      </c>
      <c r="N383" s="5" t="s">
        <v>37</v>
      </c>
      <c r="O383" s="5" t="s">
        <v>38</v>
      </c>
      <c r="P383" s="5" t="s">
        <v>39</v>
      </c>
      <c r="Q383" s="2">
        <v>45967</v>
      </c>
      <c r="V383" s="46">
        <f>IF(
  OR(
    ISNUMBER(SEARCH("unable to locate acct", tblDocketedComments[[#This Row],[Docketed Consumer Comments]])),
    ISNUMBER(SEARCH("unknown", tblDocketedComments[[#This Row],[Docketed Consumer Comments]])),
    ISNUMBER(SEARCH("inactive", tblDocketedComments[[#This Row],[Docketed Consumer Comments]]))
  ),
  0,
  1
)</f>
        <v>1</v>
      </c>
    </row>
    <row r="384" spans="1:22" hidden="1">
      <c r="A384" s="2">
        <v>45903</v>
      </c>
      <c r="B384" s="1" t="s">
        <v>1213</v>
      </c>
      <c r="C384" s="1" t="s">
        <v>1214</v>
      </c>
      <c r="D384" s="1" t="s">
        <v>169</v>
      </c>
      <c r="E384" s="1">
        <v>85338</v>
      </c>
      <c r="F384" s="1" t="s">
        <v>1215</v>
      </c>
      <c r="G384" s="1" t="s">
        <v>506</v>
      </c>
      <c r="H384" s="19" t="s">
        <v>1216</v>
      </c>
      <c r="I384" s="5" t="s">
        <v>46</v>
      </c>
      <c r="J384" s="5" t="s">
        <v>37</v>
      </c>
      <c r="K384" s="5" t="s">
        <v>37</v>
      </c>
      <c r="L384" s="7" t="s">
        <v>1217</v>
      </c>
      <c r="M384" s="5" t="s">
        <v>37</v>
      </c>
      <c r="N384" s="5" t="s">
        <v>37</v>
      </c>
      <c r="O384" s="5" t="s">
        <v>38</v>
      </c>
      <c r="P384" s="2">
        <v>46301</v>
      </c>
      <c r="Q384" s="2">
        <v>45967</v>
      </c>
      <c r="R384" s="1" t="s">
        <v>1218</v>
      </c>
      <c r="V384" s="46">
        <f>IF(
  OR(
    ISNUMBER(SEARCH("unable to locate acct", tblDocketedComments[[#This Row],[Docketed Consumer Comments]])),
    ISNUMBER(SEARCH("unknown", tblDocketedComments[[#This Row],[Docketed Consumer Comments]])),
    ISNUMBER(SEARCH("inactive", tblDocketedComments[[#This Row],[Docketed Consumer Comments]]))
  ),
  0,
  1
)</f>
        <v>1</v>
      </c>
    </row>
    <row r="385" spans="1:22" hidden="1">
      <c r="A385" s="2">
        <v>45903</v>
      </c>
      <c r="B385" s="1" t="s">
        <v>1219</v>
      </c>
      <c r="C385" s="1" t="s">
        <v>1220</v>
      </c>
      <c r="D385" s="1" t="s">
        <v>240</v>
      </c>
      <c r="E385" s="1">
        <v>85340</v>
      </c>
      <c r="F385" s="1" t="s">
        <v>31</v>
      </c>
      <c r="G385" s="1" t="s">
        <v>506</v>
      </c>
      <c r="H385" s="19" t="s">
        <v>1221</v>
      </c>
      <c r="I385" s="5" t="s">
        <v>36</v>
      </c>
      <c r="J385" s="5" t="s">
        <v>37</v>
      </c>
      <c r="K385" s="5" t="s">
        <v>37</v>
      </c>
      <c r="L385" s="5" t="s">
        <v>38</v>
      </c>
      <c r="M385" s="5" t="s">
        <v>37</v>
      </c>
      <c r="N385" s="5" t="s">
        <v>37</v>
      </c>
      <c r="O385" s="5" t="s">
        <v>38</v>
      </c>
      <c r="P385" s="5" t="s">
        <v>39</v>
      </c>
      <c r="Q385" s="2">
        <v>45967</v>
      </c>
      <c r="V385" s="46">
        <f>IF(
  OR(
    ISNUMBER(SEARCH("unable to locate acct", tblDocketedComments[[#This Row],[Docketed Consumer Comments]])),
    ISNUMBER(SEARCH("unknown", tblDocketedComments[[#This Row],[Docketed Consumer Comments]])),
    ISNUMBER(SEARCH("inactive", tblDocketedComments[[#This Row],[Docketed Consumer Comments]]))
  ),
  0,
  1
)</f>
        <v>1</v>
      </c>
    </row>
    <row r="386" spans="1:22" hidden="1">
      <c r="A386" s="2">
        <v>45903</v>
      </c>
      <c r="B386" s="1" t="s">
        <v>1222</v>
      </c>
      <c r="C386" s="1" t="s">
        <v>1223</v>
      </c>
      <c r="D386" s="1" t="s">
        <v>169</v>
      </c>
      <c r="E386" s="1">
        <v>85395</v>
      </c>
      <c r="F386" s="1" t="s">
        <v>1224</v>
      </c>
      <c r="G386" s="1" t="s">
        <v>506</v>
      </c>
      <c r="H386" s="19" t="s">
        <v>1225</v>
      </c>
      <c r="I386" s="5" t="s">
        <v>46</v>
      </c>
      <c r="J386" s="5" t="s">
        <v>37</v>
      </c>
      <c r="K386" s="5" t="s">
        <v>37</v>
      </c>
      <c r="L386" s="5" t="s">
        <v>38</v>
      </c>
      <c r="M386" s="5" t="s">
        <v>37</v>
      </c>
      <c r="N386" s="5" t="s">
        <v>37</v>
      </c>
      <c r="O386" s="5" t="s">
        <v>38</v>
      </c>
      <c r="P386" s="5" t="s">
        <v>39</v>
      </c>
      <c r="Q386" s="2">
        <v>45967</v>
      </c>
      <c r="V386" s="46">
        <f>IF(
  OR(
    ISNUMBER(SEARCH("unable to locate acct", tblDocketedComments[[#This Row],[Docketed Consumer Comments]])),
    ISNUMBER(SEARCH("unknown", tblDocketedComments[[#This Row],[Docketed Consumer Comments]])),
    ISNUMBER(SEARCH("inactive", tblDocketedComments[[#This Row],[Docketed Consumer Comments]]))
  ),
  0,
  1
)</f>
        <v>1</v>
      </c>
    </row>
    <row r="387" spans="1:22" hidden="1">
      <c r="A387" s="2">
        <v>45903</v>
      </c>
      <c r="B387" s="1" t="s">
        <v>1226</v>
      </c>
      <c r="C387" s="1" t="s">
        <v>1227</v>
      </c>
      <c r="D387" s="1" t="s">
        <v>112</v>
      </c>
      <c r="E387" s="1">
        <v>85387</v>
      </c>
      <c r="F387" s="1" t="s">
        <v>31</v>
      </c>
      <c r="G387" s="1" t="s">
        <v>506</v>
      </c>
      <c r="H387" s="19" t="s">
        <v>1228</v>
      </c>
      <c r="I387" s="5" t="s">
        <v>196</v>
      </c>
      <c r="J387" s="5" t="s">
        <v>37</v>
      </c>
      <c r="K387" s="5" t="s">
        <v>37</v>
      </c>
      <c r="L387" s="5" t="s">
        <v>1229</v>
      </c>
      <c r="M387" s="5" t="s">
        <v>37</v>
      </c>
      <c r="N387" s="5" t="s">
        <v>37</v>
      </c>
      <c r="O387" s="5" t="s">
        <v>38</v>
      </c>
      <c r="P387" s="5" t="s">
        <v>39</v>
      </c>
      <c r="Q387" s="2">
        <v>45967</v>
      </c>
      <c r="R387" s="1" t="s">
        <v>1230</v>
      </c>
      <c r="V387" s="46">
        <f>IF(
  OR(
    ISNUMBER(SEARCH("unable to locate acct", tblDocketedComments[[#This Row],[Docketed Consumer Comments]])),
    ISNUMBER(SEARCH("unknown", tblDocketedComments[[#This Row],[Docketed Consumer Comments]])),
    ISNUMBER(SEARCH("inactive", tblDocketedComments[[#This Row],[Docketed Consumer Comments]]))
  ),
  0,
  1
)</f>
        <v>1</v>
      </c>
    </row>
    <row r="388" spans="1:22" hidden="1">
      <c r="A388" s="2">
        <v>45903</v>
      </c>
      <c r="B388" s="1" t="s">
        <v>1231</v>
      </c>
      <c r="C388" s="1" t="s">
        <v>1232</v>
      </c>
      <c r="D388" s="1" t="s">
        <v>174</v>
      </c>
      <c r="E388" s="1">
        <v>85326</v>
      </c>
      <c r="F388" s="1" t="s">
        <v>310</v>
      </c>
      <c r="G388" s="1" t="s">
        <v>506</v>
      </c>
      <c r="H388" s="4" t="s">
        <v>90</v>
      </c>
      <c r="V388" s="46">
        <f>IF(
  OR(
    ISNUMBER(SEARCH("unable to locate acct", tblDocketedComments[[#This Row],[Docketed Consumer Comments]])),
    ISNUMBER(SEARCH("unknown", tblDocketedComments[[#This Row],[Docketed Consumer Comments]])),
    ISNUMBER(SEARCH("inactive", tblDocketedComments[[#This Row],[Docketed Consumer Comments]]))
  ),
  0,
  1
)</f>
        <v>1</v>
      </c>
    </row>
    <row r="389" spans="1:22" hidden="1">
      <c r="A389" s="2">
        <v>45903</v>
      </c>
      <c r="B389" s="1" t="s">
        <v>1233</v>
      </c>
      <c r="C389" s="1" t="s">
        <v>359</v>
      </c>
      <c r="D389" s="1" t="s">
        <v>169</v>
      </c>
      <c r="E389" s="1">
        <v>85338</v>
      </c>
      <c r="F389" s="1" t="s">
        <v>310</v>
      </c>
      <c r="G389" s="1" t="s">
        <v>506</v>
      </c>
      <c r="H389" s="19" t="s">
        <v>1234</v>
      </c>
      <c r="I389" s="5" t="s">
        <v>196</v>
      </c>
      <c r="J389" s="5" t="s">
        <v>37</v>
      </c>
      <c r="K389" s="5" t="s">
        <v>37</v>
      </c>
      <c r="L389" s="7" t="s">
        <v>1235</v>
      </c>
      <c r="M389" s="5" t="s">
        <v>37</v>
      </c>
      <c r="N389" s="5" t="s">
        <v>37</v>
      </c>
      <c r="O389" s="5" t="s">
        <v>38</v>
      </c>
      <c r="P389" s="2">
        <v>45936</v>
      </c>
      <c r="Q389" s="2">
        <v>45967</v>
      </c>
      <c r="R389" s="1" t="s">
        <v>1236</v>
      </c>
      <c r="V389" s="46">
        <f>IF(
  OR(
    ISNUMBER(SEARCH("unable to locate acct", tblDocketedComments[[#This Row],[Docketed Consumer Comments]])),
    ISNUMBER(SEARCH("unknown", tblDocketedComments[[#This Row],[Docketed Consumer Comments]])),
    ISNUMBER(SEARCH("inactive", tblDocketedComments[[#This Row],[Docketed Consumer Comments]]))
  ),
  0,
  1
)</f>
        <v>1</v>
      </c>
    </row>
    <row r="390" spans="1:22" hidden="1">
      <c r="A390" s="2">
        <v>45903</v>
      </c>
      <c r="B390" s="1" t="s">
        <v>1237</v>
      </c>
      <c r="C390" s="1" t="s">
        <v>1238</v>
      </c>
      <c r="D390" s="1" t="s">
        <v>169</v>
      </c>
      <c r="E390" s="1">
        <v>85338</v>
      </c>
      <c r="F390" s="1" t="s">
        <v>1239</v>
      </c>
      <c r="G390" s="1" t="s">
        <v>506</v>
      </c>
      <c r="H390" s="19" t="s">
        <v>1240</v>
      </c>
      <c r="I390" s="5" t="s">
        <v>243</v>
      </c>
      <c r="J390" s="5" t="s">
        <v>38</v>
      </c>
      <c r="K390" s="5" t="s">
        <v>37</v>
      </c>
      <c r="L390" s="5" t="s">
        <v>389</v>
      </c>
      <c r="M390" s="5" t="s">
        <v>38</v>
      </c>
      <c r="N390" s="15">
        <v>520.65</v>
      </c>
      <c r="O390" s="5" t="s">
        <v>38</v>
      </c>
      <c r="P390" s="7"/>
      <c r="Q390" s="2">
        <v>45967</v>
      </c>
      <c r="R390" s="1" t="s">
        <v>495</v>
      </c>
      <c r="V390" s="46">
        <f>IF(
  OR(
    ISNUMBER(SEARCH("unable to locate acct", tblDocketedComments[[#This Row],[Docketed Consumer Comments]])),
    ISNUMBER(SEARCH("unknown", tblDocketedComments[[#This Row],[Docketed Consumer Comments]])),
    ISNUMBER(SEARCH("inactive", tblDocketedComments[[#This Row],[Docketed Consumer Comments]]))
  ),
  0,
  1
)</f>
        <v>1</v>
      </c>
    </row>
    <row r="391" spans="1:22" hidden="1">
      <c r="A391" s="2">
        <v>45903</v>
      </c>
      <c r="B391" s="1" t="s">
        <v>1241</v>
      </c>
      <c r="C391" s="1" t="s">
        <v>1242</v>
      </c>
      <c r="D391" s="1" t="s">
        <v>169</v>
      </c>
      <c r="E391" s="1">
        <v>85338</v>
      </c>
      <c r="F391" s="1" t="s">
        <v>31</v>
      </c>
      <c r="G391" s="1" t="s">
        <v>506</v>
      </c>
      <c r="H391" s="19" t="s">
        <v>1243</v>
      </c>
      <c r="I391" s="5" t="s">
        <v>196</v>
      </c>
      <c r="J391" s="5" t="s">
        <v>37</v>
      </c>
      <c r="K391" s="5" t="s">
        <v>37</v>
      </c>
      <c r="L391" s="7" t="s">
        <v>1244</v>
      </c>
      <c r="M391" s="5" t="s">
        <v>37</v>
      </c>
      <c r="N391" s="5" t="s">
        <v>37</v>
      </c>
      <c r="O391" s="5" t="s">
        <v>38</v>
      </c>
      <c r="P391" s="2">
        <v>45936</v>
      </c>
      <c r="Q391" s="2">
        <v>45967</v>
      </c>
      <c r="R391" s="1" t="s">
        <v>1245</v>
      </c>
      <c r="V391" s="46">
        <f>IF(
  OR(
    ISNUMBER(SEARCH("unable to locate acct", tblDocketedComments[[#This Row],[Docketed Consumer Comments]])),
    ISNUMBER(SEARCH("unknown", tblDocketedComments[[#This Row],[Docketed Consumer Comments]])),
    ISNUMBER(SEARCH("inactive", tblDocketedComments[[#This Row],[Docketed Consumer Comments]]))
  ),
  0,
  1
)</f>
        <v>1</v>
      </c>
    </row>
    <row r="392" spans="1:22" hidden="1">
      <c r="A392" s="2">
        <v>45903</v>
      </c>
      <c r="B392" s="1" t="s">
        <v>1246</v>
      </c>
      <c r="C392" s="1" t="s">
        <v>768</v>
      </c>
      <c r="D392" s="1" t="s">
        <v>202</v>
      </c>
      <c r="E392" s="1">
        <v>85383</v>
      </c>
      <c r="F392" s="1" t="s">
        <v>310</v>
      </c>
      <c r="G392" s="1" t="s">
        <v>506</v>
      </c>
      <c r="H392" s="4" t="s">
        <v>27</v>
      </c>
      <c r="V392" s="46">
        <f>IF(
  OR(
    ISNUMBER(SEARCH("unable to locate acct", tblDocketedComments[[#This Row],[Docketed Consumer Comments]])),
    ISNUMBER(SEARCH("unknown", tblDocketedComments[[#This Row],[Docketed Consumer Comments]])),
    ISNUMBER(SEARCH("inactive", tblDocketedComments[[#This Row],[Docketed Consumer Comments]]))
  ),
  0,
  1
)</f>
        <v>1</v>
      </c>
    </row>
    <row r="393" spans="1:22" hidden="1">
      <c r="A393" s="2">
        <v>45903</v>
      </c>
      <c r="B393" s="1" t="s">
        <v>1247</v>
      </c>
      <c r="C393" s="1" t="s">
        <v>1248</v>
      </c>
      <c r="D393" s="1" t="s">
        <v>370</v>
      </c>
      <c r="E393" s="1">
        <v>85225</v>
      </c>
      <c r="F393" s="1" t="s">
        <v>310</v>
      </c>
      <c r="G393" s="1" t="s">
        <v>506</v>
      </c>
      <c r="H393" s="19" t="s">
        <v>1249</v>
      </c>
      <c r="I393" s="5" t="s">
        <v>36</v>
      </c>
      <c r="J393" s="5" t="s">
        <v>37</v>
      </c>
      <c r="K393" s="5" t="s">
        <v>37</v>
      </c>
      <c r="L393" s="5" t="s">
        <v>38</v>
      </c>
      <c r="M393" s="5" t="s">
        <v>37</v>
      </c>
      <c r="N393" s="5" t="s">
        <v>37</v>
      </c>
      <c r="O393" s="5" t="s">
        <v>38</v>
      </c>
      <c r="P393" s="5" t="s">
        <v>39</v>
      </c>
      <c r="Q393" s="2">
        <v>45967</v>
      </c>
      <c r="V393" s="46">
        <f>IF(
  OR(
    ISNUMBER(SEARCH("unable to locate acct", tblDocketedComments[[#This Row],[Docketed Consumer Comments]])),
    ISNUMBER(SEARCH("unknown", tblDocketedComments[[#This Row],[Docketed Consumer Comments]])),
    ISNUMBER(SEARCH("inactive", tblDocketedComments[[#This Row],[Docketed Consumer Comments]]))
  ),
  0,
  1
)</f>
        <v>1</v>
      </c>
    </row>
    <row r="394" spans="1:22" hidden="1">
      <c r="A394" s="2">
        <v>45903</v>
      </c>
      <c r="B394" s="1" t="s">
        <v>1250</v>
      </c>
      <c r="C394" s="1" t="s">
        <v>156</v>
      </c>
      <c r="D394" s="1" t="s">
        <v>63</v>
      </c>
      <c r="E394" s="1">
        <v>85032</v>
      </c>
      <c r="F394" s="1" t="s">
        <v>310</v>
      </c>
      <c r="G394" s="1" t="s">
        <v>506</v>
      </c>
      <c r="H394" s="19" t="s">
        <v>1251</v>
      </c>
      <c r="I394" s="5" t="s">
        <v>196</v>
      </c>
      <c r="J394" s="5" t="s">
        <v>37</v>
      </c>
      <c r="K394" s="5" t="s">
        <v>37</v>
      </c>
      <c r="L394" s="7" t="s">
        <v>1252</v>
      </c>
      <c r="M394" s="5" t="s">
        <v>37</v>
      </c>
      <c r="N394" s="5" t="s">
        <v>37</v>
      </c>
      <c r="O394" s="5" t="s">
        <v>38</v>
      </c>
      <c r="P394" s="2">
        <v>45936</v>
      </c>
      <c r="Q394" s="2">
        <v>45967</v>
      </c>
      <c r="R394" s="1" t="s">
        <v>1245</v>
      </c>
      <c r="V394" s="46">
        <f>IF(
  OR(
    ISNUMBER(SEARCH("unable to locate acct", tblDocketedComments[[#This Row],[Docketed Consumer Comments]])),
    ISNUMBER(SEARCH("unknown", tblDocketedComments[[#This Row],[Docketed Consumer Comments]])),
    ISNUMBER(SEARCH("inactive", tblDocketedComments[[#This Row],[Docketed Consumer Comments]]))
  ),
  0,
  1
)</f>
        <v>1</v>
      </c>
    </row>
    <row r="395" spans="1:22" hidden="1">
      <c r="A395" s="2">
        <v>45903</v>
      </c>
      <c r="B395" s="1" t="s">
        <v>134</v>
      </c>
      <c r="C395" s="1" t="s">
        <v>456</v>
      </c>
      <c r="D395" s="1" t="s">
        <v>24</v>
      </c>
      <c r="E395" s="1">
        <v>85306</v>
      </c>
      <c r="F395" s="1" t="s">
        <v>310</v>
      </c>
      <c r="G395" s="1" t="s">
        <v>506</v>
      </c>
      <c r="H395" s="19" t="s">
        <v>1253</v>
      </c>
      <c r="I395" s="5" t="s">
        <v>196</v>
      </c>
      <c r="J395" s="5" t="s">
        <v>37</v>
      </c>
      <c r="K395" s="5" t="s">
        <v>37</v>
      </c>
      <c r="L395" s="5" t="s">
        <v>1254</v>
      </c>
      <c r="M395" s="5" t="s">
        <v>37</v>
      </c>
      <c r="N395" s="5" t="s">
        <v>37</v>
      </c>
      <c r="O395" s="5" t="s">
        <v>38</v>
      </c>
      <c r="P395" s="5" t="s">
        <v>39</v>
      </c>
      <c r="Q395" s="2">
        <v>45967</v>
      </c>
      <c r="V395" s="46">
        <f>IF(
  OR(
    ISNUMBER(SEARCH("unable to locate acct", tblDocketedComments[[#This Row],[Docketed Consumer Comments]])),
    ISNUMBER(SEARCH("unknown", tblDocketedComments[[#This Row],[Docketed Consumer Comments]])),
    ISNUMBER(SEARCH("inactive", tblDocketedComments[[#This Row],[Docketed Consumer Comments]]))
  ),
  0,
  1
)</f>
        <v>1</v>
      </c>
    </row>
    <row r="396" spans="1:22" hidden="1">
      <c r="A396" s="2">
        <v>45903</v>
      </c>
      <c r="B396" s="1" t="s">
        <v>1255</v>
      </c>
      <c r="C396" s="1" t="s">
        <v>1092</v>
      </c>
      <c r="D396" s="1" t="s">
        <v>169</v>
      </c>
      <c r="E396" s="1">
        <v>85338</v>
      </c>
      <c r="F396" s="1" t="s">
        <v>761</v>
      </c>
      <c r="G396" s="1" t="s">
        <v>506</v>
      </c>
      <c r="H396" s="19" t="s">
        <v>1256</v>
      </c>
      <c r="I396" s="5" t="s">
        <v>196</v>
      </c>
      <c r="J396" s="5" t="s">
        <v>37</v>
      </c>
      <c r="K396" s="5" t="s">
        <v>37</v>
      </c>
      <c r="L396" s="5" t="s">
        <v>1257</v>
      </c>
      <c r="M396" s="5" t="s">
        <v>37</v>
      </c>
      <c r="N396" s="5" t="s">
        <v>37</v>
      </c>
      <c r="O396" s="5" t="s">
        <v>38</v>
      </c>
      <c r="P396" s="5" t="s">
        <v>39</v>
      </c>
      <c r="Q396" s="2">
        <v>45967</v>
      </c>
      <c r="V396" s="46">
        <f>IF(
  OR(
    ISNUMBER(SEARCH("unable to locate acct", tblDocketedComments[[#This Row],[Docketed Consumer Comments]])),
    ISNUMBER(SEARCH("unknown", tblDocketedComments[[#This Row],[Docketed Consumer Comments]])),
    ISNUMBER(SEARCH("inactive", tblDocketedComments[[#This Row],[Docketed Consumer Comments]]))
  ),
  0,
  1
)</f>
        <v>1</v>
      </c>
    </row>
    <row r="397" spans="1:22" hidden="1">
      <c r="A397" s="2">
        <v>45903</v>
      </c>
      <c r="B397" s="1" t="s">
        <v>1258</v>
      </c>
      <c r="C397" s="1" t="s">
        <v>1259</v>
      </c>
      <c r="D397" s="1" t="s">
        <v>136</v>
      </c>
      <c r="E397" s="1">
        <v>85377</v>
      </c>
      <c r="F397" s="1" t="s">
        <v>1260</v>
      </c>
      <c r="G397" s="1" t="s">
        <v>506</v>
      </c>
      <c r="H397" s="19" t="s">
        <v>1261</v>
      </c>
      <c r="I397" s="5" t="s">
        <v>36</v>
      </c>
      <c r="J397" s="5" t="s">
        <v>37</v>
      </c>
      <c r="K397" s="5" t="s">
        <v>37</v>
      </c>
      <c r="L397" s="5" t="s">
        <v>38</v>
      </c>
      <c r="M397" s="5" t="s">
        <v>37</v>
      </c>
      <c r="N397" s="5" t="s">
        <v>37</v>
      </c>
      <c r="O397" s="5" t="s">
        <v>38</v>
      </c>
      <c r="P397" s="5" t="s">
        <v>39</v>
      </c>
      <c r="Q397" s="2">
        <v>45967</v>
      </c>
      <c r="R397" s="1" t="s">
        <v>1262</v>
      </c>
      <c r="V397" s="46">
        <f>IF(
  OR(
    ISNUMBER(SEARCH("unable to locate acct", tblDocketedComments[[#This Row],[Docketed Consumer Comments]])),
    ISNUMBER(SEARCH("unknown", tblDocketedComments[[#This Row],[Docketed Consumer Comments]])),
    ISNUMBER(SEARCH("inactive", tblDocketedComments[[#This Row],[Docketed Consumer Comments]]))
  ),
  0,
  1
)</f>
        <v>1</v>
      </c>
    </row>
    <row r="398" spans="1:22" hidden="1">
      <c r="A398" s="2">
        <v>45903</v>
      </c>
      <c r="B398" s="1" t="s">
        <v>1263</v>
      </c>
      <c r="C398" s="1" t="s">
        <v>333</v>
      </c>
      <c r="D398" s="1" t="s">
        <v>635</v>
      </c>
      <c r="E398" s="1">
        <v>85281</v>
      </c>
      <c r="F398" s="1" t="s">
        <v>31</v>
      </c>
      <c r="G398" s="1" t="s">
        <v>506</v>
      </c>
      <c r="H398" s="4" t="s">
        <v>27</v>
      </c>
      <c r="V398" s="46">
        <f>IF(
  OR(
    ISNUMBER(SEARCH("unable to locate acct", tblDocketedComments[[#This Row],[Docketed Consumer Comments]])),
    ISNUMBER(SEARCH("unknown", tblDocketedComments[[#This Row],[Docketed Consumer Comments]])),
    ISNUMBER(SEARCH("inactive", tblDocketedComments[[#This Row],[Docketed Consumer Comments]]))
  ),
  0,
  1
)</f>
        <v>1</v>
      </c>
    </row>
    <row r="399" spans="1:22" hidden="1">
      <c r="A399" s="2">
        <v>45903</v>
      </c>
      <c r="B399" s="1" t="s">
        <v>1264</v>
      </c>
      <c r="C399" s="1" t="s">
        <v>1265</v>
      </c>
      <c r="D399" s="1" t="s">
        <v>202</v>
      </c>
      <c r="E399" s="1">
        <v>85383</v>
      </c>
      <c r="F399" s="1" t="s">
        <v>31</v>
      </c>
      <c r="G399" s="1" t="s">
        <v>506</v>
      </c>
      <c r="H399" s="4" t="s">
        <v>27</v>
      </c>
      <c r="V399" s="46">
        <f>IF(
  OR(
    ISNUMBER(SEARCH("unable to locate acct", tblDocketedComments[[#This Row],[Docketed Consumer Comments]])),
    ISNUMBER(SEARCH("unknown", tblDocketedComments[[#This Row],[Docketed Consumer Comments]])),
    ISNUMBER(SEARCH("inactive", tblDocketedComments[[#This Row],[Docketed Consumer Comments]]))
  ),
  0,
  1
)</f>
        <v>1</v>
      </c>
    </row>
    <row r="400" spans="1:22" hidden="1">
      <c r="A400" s="2">
        <v>45903</v>
      </c>
      <c r="B400" s="1" t="s">
        <v>1266</v>
      </c>
      <c r="C400" s="1" t="s">
        <v>1267</v>
      </c>
      <c r="D400" s="1" t="s">
        <v>63</v>
      </c>
      <c r="E400" s="1">
        <v>85007</v>
      </c>
      <c r="F400" s="1" t="s">
        <v>310</v>
      </c>
      <c r="G400" s="1" t="s">
        <v>506</v>
      </c>
      <c r="H400" s="4" t="s">
        <v>90</v>
      </c>
      <c r="V400" s="46">
        <f>IF(
  OR(
    ISNUMBER(SEARCH("unable to locate acct", tblDocketedComments[[#This Row],[Docketed Consumer Comments]])),
    ISNUMBER(SEARCH("unknown", tblDocketedComments[[#This Row],[Docketed Consumer Comments]])),
    ISNUMBER(SEARCH("inactive", tblDocketedComments[[#This Row],[Docketed Consumer Comments]]))
  ),
  0,
  1
)</f>
        <v>1</v>
      </c>
    </row>
    <row r="401" spans="1:22" hidden="1">
      <c r="A401" s="2">
        <v>45903</v>
      </c>
      <c r="B401" s="1" t="s">
        <v>1185</v>
      </c>
      <c r="C401" s="1" t="s">
        <v>1268</v>
      </c>
      <c r="D401" s="1" t="s">
        <v>169</v>
      </c>
      <c r="E401" s="1">
        <v>85338</v>
      </c>
      <c r="F401" s="1" t="s">
        <v>1269</v>
      </c>
      <c r="G401" s="1" t="s">
        <v>506</v>
      </c>
      <c r="H401" s="19" t="s">
        <v>1270</v>
      </c>
      <c r="I401" s="5" t="s">
        <v>418</v>
      </c>
      <c r="J401" s="5" t="s">
        <v>37</v>
      </c>
      <c r="K401" s="5" t="s">
        <v>37</v>
      </c>
      <c r="L401" s="5" t="s">
        <v>389</v>
      </c>
      <c r="M401" s="5" t="s">
        <v>37</v>
      </c>
      <c r="N401" s="5" t="s">
        <v>37</v>
      </c>
      <c r="O401" s="5" t="s">
        <v>38</v>
      </c>
      <c r="P401" s="5" t="s">
        <v>39</v>
      </c>
      <c r="Q401" s="2">
        <v>45967</v>
      </c>
      <c r="V401" s="46">
        <f>IF(
  OR(
    ISNUMBER(SEARCH("unable to locate acct", tblDocketedComments[[#This Row],[Docketed Consumer Comments]])),
    ISNUMBER(SEARCH("unknown", tblDocketedComments[[#This Row],[Docketed Consumer Comments]])),
    ISNUMBER(SEARCH("inactive", tblDocketedComments[[#This Row],[Docketed Consumer Comments]]))
  ),
  0,
  1
)</f>
        <v>1</v>
      </c>
    </row>
    <row r="402" spans="1:22" hidden="1">
      <c r="A402" s="2">
        <v>45903</v>
      </c>
      <c r="B402" s="1" t="s">
        <v>1271</v>
      </c>
      <c r="C402" s="1" t="s">
        <v>75</v>
      </c>
      <c r="D402" s="1" t="s">
        <v>169</v>
      </c>
      <c r="E402" s="1">
        <v>85338</v>
      </c>
      <c r="F402" s="1" t="s">
        <v>1272</v>
      </c>
      <c r="G402" s="1" t="s">
        <v>506</v>
      </c>
      <c r="H402" s="19" t="s">
        <v>1273</v>
      </c>
      <c r="I402" s="5" t="s">
        <v>36</v>
      </c>
      <c r="J402" s="5" t="s">
        <v>37</v>
      </c>
      <c r="K402" s="5" t="s">
        <v>37</v>
      </c>
      <c r="L402" s="5" t="s">
        <v>38</v>
      </c>
      <c r="M402" s="5" t="s">
        <v>37</v>
      </c>
      <c r="N402" s="5" t="s">
        <v>37</v>
      </c>
      <c r="O402" s="5" t="s">
        <v>38</v>
      </c>
      <c r="P402" s="5" t="s">
        <v>39</v>
      </c>
      <c r="Q402" s="2">
        <v>45967</v>
      </c>
      <c r="V402" s="46">
        <f>IF(
  OR(
    ISNUMBER(SEARCH("unable to locate acct", tblDocketedComments[[#This Row],[Docketed Consumer Comments]])),
    ISNUMBER(SEARCH("unknown", tblDocketedComments[[#This Row],[Docketed Consumer Comments]])),
    ISNUMBER(SEARCH("inactive", tblDocketedComments[[#This Row],[Docketed Consumer Comments]]))
  ),
  0,
  1
)</f>
        <v>1</v>
      </c>
    </row>
    <row r="403" spans="1:22" hidden="1">
      <c r="A403" s="2">
        <v>45903</v>
      </c>
      <c r="B403" s="1" t="s">
        <v>1274</v>
      </c>
      <c r="C403" s="1" t="s">
        <v>1275</v>
      </c>
      <c r="D403" s="1" t="s">
        <v>125</v>
      </c>
      <c r="E403" s="1">
        <v>85260</v>
      </c>
      <c r="F403" s="1" t="s">
        <v>310</v>
      </c>
      <c r="G403" s="1" t="s">
        <v>506</v>
      </c>
      <c r="H403" s="19" t="s">
        <v>1276</v>
      </c>
      <c r="I403" s="5" t="s">
        <v>36</v>
      </c>
      <c r="J403" s="5" t="s">
        <v>37</v>
      </c>
      <c r="K403" s="5" t="s">
        <v>37</v>
      </c>
      <c r="L403" s="5" t="s">
        <v>38</v>
      </c>
      <c r="M403" s="5" t="s">
        <v>37</v>
      </c>
      <c r="N403" s="5" t="s">
        <v>37</v>
      </c>
      <c r="O403" s="5" t="s">
        <v>38</v>
      </c>
      <c r="P403" s="5" t="s">
        <v>39</v>
      </c>
      <c r="Q403" s="2">
        <v>45967</v>
      </c>
      <c r="V403" s="46">
        <f>IF(
  OR(
    ISNUMBER(SEARCH("unable to locate acct", tblDocketedComments[[#This Row],[Docketed Consumer Comments]])),
    ISNUMBER(SEARCH("unknown", tblDocketedComments[[#This Row],[Docketed Consumer Comments]])),
    ISNUMBER(SEARCH("inactive", tblDocketedComments[[#This Row],[Docketed Consumer Comments]]))
  ),
  0,
  1
)</f>
        <v>1</v>
      </c>
    </row>
    <row r="404" spans="1:22" hidden="1">
      <c r="A404" s="2">
        <v>45903</v>
      </c>
      <c r="B404" s="1" t="s">
        <v>1277</v>
      </c>
      <c r="C404" s="1" t="s">
        <v>1278</v>
      </c>
      <c r="D404" s="1" t="s">
        <v>523</v>
      </c>
      <c r="E404" s="1">
        <v>85392</v>
      </c>
      <c r="F404" s="1" t="s">
        <v>1279</v>
      </c>
      <c r="G404" s="1" t="s">
        <v>506</v>
      </c>
      <c r="H404" s="4" t="s">
        <v>27</v>
      </c>
      <c r="V404" s="46">
        <f>IF(
  OR(
    ISNUMBER(SEARCH("unable to locate acct", tblDocketedComments[[#This Row],[Docketed Consumer Comments]])),
    ISNUMBER(SEARCH("unknown", tblDocketedComments[[#This Row],[Docketed Consumer Comments]])),
    ISNUMBER(SEARCH("inactive", tblDocketedComments[[#This Row],[Docketed Consumer Comments]]))
  ),
  0,
  1
)</f>
        <v>1</v>
      </c>
    </row>
    <row r="405" spans="1:22" hidden="1">
      <c r="A405" s="2">
        <v>45903</v>
      </c>
      <c r="B405" s="1" t="s">
        <v>1280</v>
      </c>
      <c r="C405" s="1" t="s">
        <v>911</v>
      </c>
      <c r="D405" s="1" t="s">
        <v>112</v>
      </c>
      <c r="E405" s="1">
        <v>85374</v>
      </c>
      <c r="F405" s="1" t="s">
        <v>31</v>
      </c>
      <c r="G405" s="1" t="s">
        <v>506</v>
      </c>
      <c r="H405" s="19" t="s">
        <v>1281</v>
      </c>
      <c r="I405" s="5" t="s">
        <v>36</v>
      </c>
      <c r="J405" s="5" t="s">
        <v>37</v>
      </c>
      <c r="K405" s="5" t="s">
        <v>37</v>
      </c>
      <c r="L405" s="5" t="s">
        <v>38</v>
      </c>
      <c r="M405" s="5" t="s">
        <v>37</v>
      </c>
      <c r="N405" s="5" t="s">
        <v>37</v>
      </c>
      <c r="O405" s="5" t="s">
        <v>38</v>
      </c>
      <c r="P405" s="5" t="s">
        <v>39</v>
      </c>
      <c r="Q405" s="2">
        <v>45967</v>
      </c>
      <c r="V405" s="46">
        <f>IF(
  OR(
    ISNUMBER(SEARCH("unable to locate acct", tblDocketedComments[[#This Row],[Docketed Consumer Comments]])),
    ISNUMBER(SEARCH("unknown", tblDocketedComments[[#This Row],[Docketed Consumer Comments]])),
    ISNUMBER(SEARCH("inactive", tblDocketedComments[[#This Row],[Docketed Consumer Comments]]))
  ),
  0,
  1
)</f>
        <v>1</v>
      </c>
    </row>
    <row r="406" spans="1:22" hidden="1">
      <c r="A406" s="2">
        <v>45903</v>
      </c>
      <c r="B406" s="1" t="s">
        <v>1282</v>
      </c>
      <c r="C406" s="1" t="s">
        <v>471</v>
      </c>
      <c r="D406" s="1" t="s">
        <v>619</v>
      </c>
      <c r="E406" s="1">
        <v>85365</v>
      </c>
      <c r="F406" s="1" t="s">
        <v>1283</v>
      </c>
      <c r="G406" s="1" t="s">
        <v>506</v>
      </c>
      <c r="H406" s="19" t="s">
        <v>1284</v>
      </c>
      <c r="I406" s="5" t="s">
        <v>36</v>
      </c>
      <c r="J406" s="5" t="s">
        <v>37</v>
      </c>
      <c r="K406" s="5" t="s">
        <v>37</v>
      </c>
      <c r="L406" s="5" t="s">
        <v>38</v>
      </c>
      <c r="M406" s="5" t="s">
        <v>37</v>
      </c>
      <c r="N406" s="5" t="s">
        <v>37</v>
      </c>
      <c r="O406" s="5" t="s">
        <v>38</v>
      </c>
      <c r="P406" s="5" t="s">
        <v>39</v>
      </c>
      <c r="Q406" s="2">
        <v>45967</v>
      </c>
      <c r="V406" s="46">
        <f>IF(
  OR(
    ISNUMBER(SEARCH("unable to locate acct", tblDocketedComments[[#This Row],[Docketed Consumer Comments]])),
    ISNUMBER(SEARCH("unknown", tblDocketedComments[[#This Row],[Docketed Consumer Comments]])),
    ISNUMBER(SEARCH("inactive", tblDocketedComments[[#This Row],[Docketed Consumer Comments]]))
  ),
  0,
  1
)</f>
        <v>1</v>
      </c>
    </row>
    <row r="407" spans="1:22" hidden="1">
      <c r="A407" s="2">
        <v>45903</v>
      </c>
      <c r="B407" s="1" t="s">
        <v>1285</v>
      </c>
      <c r="C407" s="1" t="s">
        <v>597</v>
      </c>
      <c r="D407" s="1" t="s">
        <v>523</v>
      </c>
      <c r="E407" s="1">
        <v>85323</v>
      </c>
      <c r="F407" s="1" t="s">
        <v>1286</v>
      </c>
      <c r="G407" s="1" t="s">
        <v>506</v>
      </c>
      <c r="H407" s="19" t="s">
        <v>1287</v>
      </c>
      <c r="I407" s="5" t="s">
        <v>196</v>
      </c>
      <c r="J407" s="5" t="s">
        <v>37</v>
      </c>
      <c r="K407" s="5" t="s">
        <v>37</v>
      </c>
      <c r="L407" s="5" t="s">
        <v>38</v>
      </c>
      <c r="M407" s="5" t="s">
        <v>37</v>
      </c>
      <c r="N407" s="5" t="s">
        <v>37</v>
      </c>
      <c r="O407" s="5" t="s">
        <v>38</v>
      </c>
      <c r="P407" s="5" t="s">
        <v>39</v>
      </c>
      <c r="Q407" s="2">
        <v>45967</v>
      </c>
      <c r="V407" s="46">
        <f>IF(
  OR(
    ISNUMBER(SEARCH("unable to locate acct", tblDocketedComments[[#This Row],[Docketed Consumer Comments]])),
    ISNUMBER(SEARCH("unknown", tblDocketedComments[[#This Row],[Docketed Consumer Comments]])),
    ISNUMBER(SEARCH("inactive", tblDocketedComments[[#This Row],[Docketed Consumer Comments]]))
  ),
  0,
  1
)</f>
        <v>1</v>
      </c>
    </row>
    <row r="408" spans="1:22" hidden="1">
      <c r="A408" s="2">
        <v>45903</v>
      </c>
      <c r="B408" s="1" t="s">
        <v>1288</v>
      </c>
      <c r="C408" s="1" t="s">
        <v>1289</v>
      </c>
      <c r="D408" s="1" t="s">
        <v>63</v>
      </c>
      <c r="E408" s="1">
        <v>85022</v>
      </c>
      <c r="F408" s="1" t="s">
        <v>31</v>
      </c>
      <c r="G408" s="1" t="s">
        <v>506</v>
      </c>
      <c r="H408" s="4" t="s">
        <v>27</v>
      </c>
      <c r="V408" s="46">
        <f>IF(
  OR(
    ISNUMBER(SEARCH("unable to locate acct", tblDocketedComments[[#This Row],[Docketed Consumer Comments]])),
    ISNUMBER(SEARCH("unknown", tblDocketedComments[[#This Row],[Docketed Consumer Comments]])),
    ISNUMBER(SEARCH("inactive", tblDocketedComments[[#This Row],[Docketed Consumer Comments]]))
  ),
  0,
  1
)</f>
        <v>1</v>
      </c>
    </row>
    <row r="409" spans="1:22" hidden="1">
      <c r="A409" s="2">
        <v>45903</v>
      </c>
      <c r="B409" s="1" t="s">
        <v>1290</v>
      </c>
      <c r="C409" s="1" t="s">
        <v>312</v>
      </c>
      <c r="D409" s="1" t="s">
        <v>169</v>
      </c>
      <c r="E409" s="1">
        <v>85338</v>
      </c>
      <c r="F409" s="1" t="s">
        <v>31</v>
      </c>
      <c r="G409" s="1" t="s">
        <v>506</v>
      </c>
      <c r="H409" s="19" t="s">
        <v>1291</v>
      </c>
      <c r="I409" s="5" t="s">
        <v>250</v>
      </c>
      <c r="J409" s="5" t="s">
        <v>37</v>
      </c>
      <c r="K409" s="5" t="s">
        <v>37</v>
      </c>
      <c r="L409" s="5" t="s">
        <v>38</v>
      </c>
      <c r="M409" s="5" t="s">
        <v>37</v>
      </c>
      <c r="N409" s="5" t="s">
        <v>37</v>
      </c>
      <c r="O409" s="5" t="s">
        <v>38</v>
      </c>
      <c r="P409" s="5" t="s">
        <v>39</v>
      </c>
      <c r="Q409" s="2">
        <v>45967</v>
      </c>
      <c r="V409" s="46">
        <f>IF(
  OR(
    ISNUMBER(SEARCH("unable to locate acct", tblDocketedComments[[#This Row],[Docketed Consumer Comments]])),
    ISNUMBER(SEARCH("unknown", tblDocketedComments[[#This Row],[Docketed Consumer Comments]])),
    ISNUMBER(SEARCH("inactive", tblDocketedComments[[#This Row],[Docketed Consumer Comments]]))
  ),
  0,
  1
)</f>
        <v>1</v>
      </c>
    </row>
    <row r="410" spans="1:22" hidden="1">
      <c r="A410" s="2">
        <v>45903</v>
      </c>
      <c r="B410" s="1" t="s">
        <v>1292</v>
      </c>
      <c r="C410" s="1" t="s">
        <v>1293</v>
      </c>
      <c r="D410" s="1" t="s">
        <v>63</v>
      </c>
      <c r="E410" s="1">
        <v>85085</v>
      </c>
      <c r="F410" s="1" t="s">
        <v>310</v>
      </c>
      <c r="G410" s="1" t="s">
        <v>506</v>
      </c>
      <c r="H410" s="19" t="s">
        <v>1294</v>
      </c>
      <c r="I410" s="5" t="s">
        <v>196</v>
      </c>
      <c r="J410" s="5" t="s">
        <v>37</v>
      </c>
      <c r="K410" s="5" t="s">
        <v>37</v>
      </c>
      <c r="L410" s="7" t="s">
        <v>1295</v>
      </c>
      <c r="M410" s="5" t="s">
        <v>37</v>
      </c>
      <c r="N410" s="5" t="s">
        <v>37</v>
      </c>
      <c r="O410" s="5" t="s">
        <v>38</v>
      </c>
      <c r="P410" s="2">
        <v>45936</v>
      </c>
      <c r="Q410" s="2">
        <v>45967</v>
      </c>
      <c r="R410" s="1" t="s">
        <v>1296</v>
      </c>
      <c r="V410" s="46">
        <f>IF(
  OR(
    ISNUMBER(SEARCH("unable to locate acct", tblDocketedComments[[#This Row],[Docketed Consumer Comments]])),
    ISNUMBER(SEARCH("unknown", tblDocketedComments[[#This Row],[Docketed Consumer Comments]])),
    ISNUMBER(SEARCH("inactive", tblDocketedComments[[#This Row],[Docketed Consumer Comments]]))
  ),
  0,
  1
)</f>
        <v>1</v>
      </c>
    </row>
    <row r="411" spans="1:22" hidden="1">
      <c r="A411" s="2">
        <v>45903</v>
      </c>
      <c r="B411" s="1" t="s">
        <v>1297</v>
      </c>
      <c r="C411" s="1" t="s">
        <v>1298</v>
      </c>
      <c r="D411" s="1" t="s">
        <v>1299</v>
      </c>
      <c r="E411" s="1">
        <v>85349</v>
      </c>
      <c r="F411" s="1" t="s">
        <v>31</v>
      </c>
      <c r="G411" s="1" t="s">
        <v>506</v>
      </c>
      <c r="H411" s="4" t="s">
        <v>27</v>
      </c>
      <c r="V411" s="46">
        <f>IF(
  OR(
    ISNUMBER(SEARCH("unable to locate acct", tblDocketedComments[[#This Row],[Docketed Consumer Comments]])),
    ISNUMBER(SEARCH("unknown", tblDocketedComments[[#This Row],[Docketed Consumer Comments]])),
    ISNUMBER(SEARCH("inactive", tblDocketedComments[[#This Row],[Docketed Consumer Comments]]))
  ),
  0,
  1
)</f>
        <v>1</v>
      </c>
    </row>
    <row r="412" spans="1:22" hidden="1">
      <c r="A412" s="2">
        <v>45903</v>
      </c>
      <c r="B412" s="1" t="s">
        <v>1300</v>
      </c>
      <c r="C412" s="1" t="s">
        <v>1301</v>
      </c>
      <c r="D412" s="1" t="s">
        <v>1302</v>
      </c>
      <c r="E412" s="1">
        <v>85390</v>
      </c>
      <c r="F412" s="1" t="s">
        <v>31</v>
      </c>
      <c r="G412" s="1" t="s">
        <v>506</v>
      </c>
      <c r="H412" s="19" t="s">
        <v>1303</v>
      </c>
      <c r="I412" s="5" t="s">
        <v>196</v>
      </c>
      <c r="J412" s="5" t="s">
        <v>37</v>
      </c>
      <c r="K412" s="5" t="s">
        <v>37</v>
      </c>
      <c r="L412" s="5" t="s">
        <v>38</v>
      </c>
      <c r="M412" s="5" t="s">
        <v>37</v>
      </c>
      <c r="N412" s="5" t="s">
        <v>37</v>
      </c>
      <c r="O412" s="5" t="s">
        <v>38</v>
      </c>
      <c r="P412" s="5" t="s">
        <v>39</v>
      </c>
      <c r="Q412" s="2">
        <v>45967</v>
      </c>
      <c r="R412" s="1" t="s">
        <v>495</v>
      </c>
      <c r="V412" s="46">
        <f>IF(
  OR(
    ISNUMBER(SEARCH("unable to locate acct", tblDocketedComments[[#This Row],[Docketed Consumer Comments]])),
    ISNUMBER(SEARCH("unknown", tblDocketedComments[[#This Row],[Docketed Consumer Comments]])),
    ISNUMBER(SEARCH("inactive", tblDocketedComments[[#This Row],[Docketed Consumer Comments]]))
  ),
  0,
  1
)</f>
        <v>1</v>
      </c>
    </row>
    <row r="413" spans="1:22" hidden="1">
      <c r="A413" s="2">
        <v>45903</v>
      </c>
      <c r="B413" s="1" t="s">
        <v>1304</v>
      </c>
      <c r="C413" s="1" t="s">
        <v>481</v>
      </c>
      <c r="D413" s="1" t="s">
        <v>169</v>
      </c>
      <c r="E413" s="1">
        <v>85338</v>
      </c>
      <c r="F413" s="1" t="s">
        <v>1167</v>
      </c>
      <c r="G413" s="1" t="s">
        <v>506</v>
      </c>
      <c r="H413" s="4" t="s">
        <v>27</v>
      </c>
      <c r="V413" s="46">
        <f>IF(
  OR(
    ISNUMBER(SEARCH("unable to locate acct", tblDocketedComments[[#This Row],[Docketed Consumer Comments]])),
    ISNUMBER(SEARCH("unknown", tblDocketedComments[[#This Row],[Docketed Consumer Comments]])),
    ISNUMBER(SEARCH("inactive", tblDocketedComments[[#This Row],[Docketed Consumer Comments]]))
  ),
  0,
  1
)</f>
        <v>1</v>
      </c>
    </row>
    <row r="414" spans="1:22" hidden="1">
      <c r="A414" s="2">
        <v>45903</v>
      </c>
      <c r="B414" s="1" t="s">
        <v>1305</v>
      </c>
      <c r="C414" s="1" t="s">
        <v>1306</v>
      </c>
      <c r="D414" s="1" t="s">
        <v>428</v>
      </c>
      <c r="E414" s="1">
        <v>85335</v>
      </c>
      <c r="F414" s="1" t="s">
        <v>31</v>
      </c>
      <c r="G414" s="1" t="s">
        <v>506</v>
      </c>
      <c r="H414" s="19" t="s">
        <v>1307</v>
      </c>
      <c r="I414" s="5" t="s">
        <v>36</v>
      </c>
      <c r="J414" s="5" t="s">
        <v>37</v>
      </c>
      <c r="K414" s="5" t="s">
        <v>37</v>
      </c>
      <c r="L414" s="5" t="s">
        <v>38</v>
      </c>
      <c r="M414" s="5" t="s">
        <v>38</v>
      </c>
      <c r="N414" s="15">
        <v>1191.03</v>
      </c>
      <c r="O414" s="5" t="s">
        <v>38</v>
      </c>
      <c r="P414" s="7"/>
      <c r="Q414" s="2">
        <v>45967</v>
      </c>
      <c r="R414" s="1" t="s">
        <v>495</v>
      </c>
      <c r="U414" s="1" t="s">
        <v>1308</v>
      </c>
      <c r="V414" s="46">
        <f>IF(
  OR(
    ISNUMBER(SEARCH("unable to locate acct", tblDocketedComments[[#This Row],[Docketed Consumer Comments]])),
    ISNUMBER(SEARCH("unknown", tblDocketedComments[[#This Row],[Docketed Consumer Comments]])),
    ISNUMBER(SEARCH("inactive", tblDocketedComments[[#This Row],[Docketed Consumer Comments]]))
  ),
  0,
  1
)</f>
        <v>1</v>
      </c>
    </row>
    <row r="415" spans="1:22" hidden="1">
      <c r="A415" s="2">
        <v>45903</v>
      </c>
      <c r="B415" s="1" t="s">
        <v>1309</v>
      </c>
      <c r="C415" s="1" t="s">
        <v>1310</v>
      </c>
      <c r="D415" s="1" t="s">
        <v>63</v>
      </c>
      <c r="E415" s="1">
        <v>85015</v>
      </c>
      <c r="F415" s="1" t="s">
        <v>31</v>
      </c>
      <c r="G415" s="1" t="s">
        <v>506</v>
      </c>
      <c r="H415" s="4" t="s">
        <v>27</v>
      </c>
      <c r="V415" s="46">
        <f>IF(
  OR(
    ISNUMBER(SEARCH("unable to locate acct", tblDocketedComments[[#This Row],[Docketed Consumer Comments]])),
    ISNUMBER(SEARCH("unknown", tblDocketedComments[[#This Row],[Docketed Consumer Comments]])),
    ISNUMBER(SEARCH("inactive", tblDocketedComments[[#This Row],[Docketed Consumer Comments]]))
  ),
  0,
  1
)</f>
        <v>1</v>
      </c>
    </row>
    <row r="416" spans="1:22" hidden="1">
      <c r="A416" s="2">
        <v>45903</v>
      </c>
      <c r="B416" s="1" t="s">
        <v>528</v>
      </c>
      <c r="C416" s="1" t="s">
        <v>1311</v>
      </c>
      <c r="D416" s="1" t="s">
        <v>63</v>
      </c>
      <c r="E416" s="1">
        <v>85014</v>
      </c>
      <c r="F416" s="1" t="s">
        <v>310</v>
      </c>
      <c r="G416" s="1" t="s">
        <v>506</v>
      </c>
      <c r="H416" s="19" t="s">
        <v>1312</v>
      </c>
      <c r="I416" s="5" t="s">
        <v>57</v>
      </c>
      <c r="J416" s="5" t="s">
        <v>37</v>
      </c>
      <c r="K416" s="5" t="s">
        <v>37</v>
      </c>
      <c r="L416" s="5" t="s">
        <v>1313</v>
      </c>
      <c r="M416" s="5" t="s">
        <v>37</v>
      </c>
      <c r="N416" s="5" t="s">
        <v>37</v>
      </c>
      <c r="O416" s="5" t="s">
        <v>38</v>
      </c>
      <c r="P416" s="5" t="s">
        <v>39</v>
      </c>
      <c r="Q416" s="2">
        <v>45967</v>
      </c>
      <c r="V416" s="46">
        <f>IF(
  OR(
    ISNUMBER(SEARCH("unable to locate acct", tblDocketedComments[[#This Row],[Docketed Consumer Comments]])),
    ISNUMBER(SEARCH("unknown", tblDocketedComments[[#This Row],[Docketed Consumer Comments]])),
    ISNUMBER(SEARCH("inactive", tblDocketedComments[[#This Row],[Docketed Consumer Comments]]))
  ),
  0,
  1
)</f>
        <v>1</v>
      </c>
    </row>
    <row r="417" spans="1:22" hidden="1">
      <c r="A417" s="2">
        <v>45903</v>
      </c>
      <c r="B417" s="1" t="s">
        <v>1314</v>
      </c>
      <c r="C417" s="1" t="s">
        <v>225</v>
      </c>
      <c r="D417" s="1" t="s">
        <v>169</v>
      </c>
      <c r="E417" s="1">
        <v>85395</v>
      </c>
      <c r="F417" s="1" t="s">
        <v>1315</v>
      </c>
      <c r="G417" s="1" t="s">
        <v>506</v>
      </c>
      <c r="H417" s="19" t="s">
        <v>1316</v>
      </c>
      <c r="I417" s="5" t="s">
        <v>73</v>
      </c>
      <c r="J417" s="5" t="s">
        <v>37</v>
      </c>
      <c r="K417" s="5" t="s">
        <v>37</v>
      </c>
      <c r="L417" s="5" t="s">
        <v>38</v>
      </c>
      <c r="M417" s="5" t="s">
        <v>37</v>
      </c>
      <c r="N417" s="5" t="s">
        <v>37</v>
      </c>
      <c r="O417" s="5" t="s">
        <v>38</v>
      </c>
      <c r="P417" s="5" t="s">
        <v>39</v>
      </c>
      <c r="Q417" s="2">
        <v>45967</v>
      </c>
      <c r="V417" s="46">
        <f>IF(
  OR(
    ISNUMBER(SEARCH("unable to locate acct", tblDocketedComments[[#This Row],[Docketed Consumer Comments]])),
    ISNUMBER(SEARCH("unknown", tblDocketedComments[[#This Row],[Docketed Consumer Comments]])),
    ISNUMBER(SEARCH("inactive", tblDocketedComments[[#This Row],[Docketed Consumer Comments]]))
  ),
  0,
  1
)</f>
        <v>1</v>
      </c>
    </row>
    <row r="418" spans="1:22" hidden="1">
      <c r="A418" s="2">
        <v>45903</v>
      </c>
      <c r="B418" s="1" t="s">
        <v>1317</v>
      </c>
      <c r="C418" s="1" t="s">
        <v>548</v>
      </c>
      <c r="D418" s="1" t="s">
        <v>112</v>
      </c>
      <c r="E418" s="1">
        <v>85388</v>
      </c>
      <c r="F418" s="1" t="s">
        <v>310</v>
      </c>
      <c r="G418" s="1" t="s">
        <v>506</v>
      </c>
      <c r="H418" s="19" t="s">
        <v>1318</v>
      </c>
      <c r="I418" s="5" t="s">
        <v>46</v>
      </c>
      <c r="J418" s="5" t="s">
        <v>37</v>
      </c>
      <c r="K418" s="5" t="s">
        <v>37</v>
      </c>
      <c r="L418" s="5" t="s">
        <v>38</v>
      </c>
      <c r="M418" s="5" t="s">
        <v>37</v>
      </c>
      <c r="N418" s="5" t="s">
        <v>37</v>
      </c>
      <c r="O418" s="5" t="s">
        <v>38</v>
      </c>
      <c r="P418" s="5" t="s">
        <v>39</v>
      </c>
      <c r="Q418" s="2">
        <v>45967</v>
      </c>
      <c r="R418" s="1" t="s">
        <v>1319</v>
      </c>
      <c r="V418" s="46">
        <f>IF(
  OR(
    ISNUMBER(SEARCH("unable to locate acct", tblDocketedComments[[#This Row],[Docketed Consumer Comments]])),
    ISNUMBER(SEARCH("unknown", tblDocketedComments[[#This Row],[Docketed Consumer Comments]])),
    ISNUMBER(SEARCH("inactive", tblDocketedComments[[#This Row],[Docketed Consumer Comments]]))
  ),
  0,
  1
)</f>
        <v>1</v>
      </c>
    </row>
    <row r="419" spans="1:22" hidden="1">
      <c r="A419" s="2">
        <v>45903</v>
      </c>
      <c r="B419" s="1" t="s">
        <v>1320</v>
      </c>
      <c r="C419" s="1" t="s">
        <v>1321</v>
      </c>
      <c r="D419" s="1" t="s">
        <v>112</v>
      </c>
      <c r="E419" s="1">
        <v>85387</v>
      </c>
      <c r="F419" s="1" t="s">
        <v>310</v>
      </c>
      <c r="G419" s="1" t="s">
        <v>506</v>
      </c>
      <c r="H419" s="4" t="s">
        <v>27</v>
      </c>
      <c r="V419" s="46">
        <f>IF(
  OR(
    ISNUMBER(SEARCH("unable to locate acct", tblDocketedComments[[#This Row],[Docketed Consumer Comments]])),
    ISNUMBER(SEARCH("unknown", tblDocketedComments[[#This Row],[Docketed Consumer Comments]])),
    ISNUMBER(SEARCH("inactive", tblDocketedComments[[#This Row],[Docketed Consumer Comments]]))
  ),
  0,
  1
)</f>
        <v>1</v>
      </c>
    </row>
    <row r="420" spans="1:22" hidden="1">
      <c r="A420" s="2">
        <v>45903</v>
      </c>
      <c r="B420" s="1" t="s">
        <v>1322</v>
      </c>
      <c r="C420" s="1" t="s">
        <v>1323</v>
      </c>
      <c r="D420" s="1" t="s">
        <v>63</v>
      </c>
      <c r="E420" s="1">
        <v>85013</v>
      </c>
      <c r="F420" s="1" t="s">
        <v>1324</v>
      </c>
      <c r="G420" s="1" t="s">
        <v>506</v>
      </c>
      <c r="H420" s="19" t="s">
        <v>1325</v>
      </c>
      <c r="I420" s="5" t="s">
        <v>541</v>
      </c>
      <c r="J420" s="5" t="s">
        <v>38</v>
      </c>
      <c r="K420" s="5" t="s">
        <v>37</v>
      </c>
      <c r="L420" s="5" t="s">
        <v>389</v>
      </c>
      <c r="M420" s="5" t="s">
        <v>37</v>
      </c>
      <c r="N420" s="5" t="s">
        <v>37</v>
      </c>
      <c r="O420" s="5" t="s">
        <v>38</v>
      </c>
      <c r="P420" s="5" t="s">
        <v>39</v>
      </c>
      <c r="Q420" s="2">
        <v>45967</v>
      </c>
      <c r="V420" s="46">
        <f>IF(
  OR(
    ISNUMBER(SEARCH("unable to locate acct", tblDocketedComments[[#This Row],[Docketed Consumer Comments]])),
    ISNUMBER(SEARCH("unknown", tblDocketedComments[[#This Row],[Docketed Consumer Comments]])),
    ISNUMBER(SEARCH("inactive", tblDocketedComments[[#This Row],[Docketed Consumer Comments]]))
  ),
  0,
  1
)</f>
        <v>1</v>
      </c>
    </row>
    <row r="421" spans="1:22" hidden="1">
      <c r="A421" s="2">
        <v>45903</v>
      </c>
      <c r="B421" s="1" t="s">
        <v>1326</v>
      </c>
      <c r="C421" s="1" t="s">
        <v>1327</v>
      </c>
      <c r="D421" s="1" t="s">
        <v>880</v>
      </c>
      <c r="E421" s="1">
        <v>85086</v>
      </c>
      <c r="F421" s="1" t="s">
        <v>31</v>
      </c>
      <c r="G421" s="1" t="s">
        <v>506</v>
      </c>
      <c r="H421" s="19" t="s">
        <v>1328</v>
      </c>
      <c r="I421" s="5" t="s">
        <v>541</v>
      </c>
      <c r="J421" s="5" t="s">
        <v>37</v>
      </c>
      <c r="K421" s="5" t="s">
        <v>37</v>
      </c>
      <c r="L421" s="5" t="s">
        <v>389</v>
      </c>
      <c r="M421" s="5" t="s">
        <v>37</v>
      </c>
      <c r="N421" s="5" t="s">
        <v>37</v>
      </c>
      <c r="O421" s="5" t="s">
        <v>38</v>
      </c>
      <c r="P421" s="5" t="s">
        <v>39</v>
      </c>
      <c r="Q421" s="2">
        <v>45967</v>
      </c>
      <c r="V421" s="46">
        <f>IF(
  OR(
    ISNUMBER(SEARCH("unable to locate acct", tblDocketedComments[[#This Row],[Docketed Consumer Comments]])),
    ISNUMBER(SEARCH("unknown", tblDocketedComments[[#This Row],[Docketed Consumer Comments]])),
    ISNUMBER(SEARCH("inactive", tblDocketedComments[[#This Row],[Docketed Consumer Comments]]))
  ),
  0,
  1
)</f>
        <v>1</v>
      </c>
    </row>
    <row r="422" spans="1:22" hidden="1">
      <c r="A422" s="2">
        <v>45903</v>
      </c>
      <c r="B422" s="1" t="s">
        <v>985</v>
      </c>
      <c r="C422" s="1" t="s">
        <v>263</v>
      </c>
      <c r="D422" s="1" t="s">
        <v>169</v>
      </c>
      <c r="E422" s="1">
        <v>85395</v>
      </c>
      <c r="F422" s="1" t="s">
        <v>986</v>
      </c>
      <c r="G422" s="1" t="s">
        <v>1329</v>
      </c>
      <c r="H422" s="4" t="s">
        <v>1330</v>
      </c>
      <c r="I422" s="5" t="s">
        <v>46</v>
      </c>
      <c r="J422" s="5" t="s">
        <v>37</v>
      </c>
      <c r="K422" s="5" t="s">
        <v>37</v>
      </c>
      <c r="L422" s="5" t="s">
        <v>38</v>
      </c>
      <c r="M422" s="5" t="s">
        <v>37</v>
      </c>
      <c r="N422" s="5" t="s">
        <v>37</v>
      </c>
      <c r="O422" s="5" t="s">
        <v>38</v>
      </c>
      <c r="P422" s="5" t="s">
        <v>39</v>
      </c>
      <c r="Q422" s="2">
        <v>45967</v>
      </c>
      <c r="V422" s="46">
        <f>IF(
  OR(
    ISNUMBER(SEARCH("unable to locate acct", tblDocketedComments[[#This Row],[Docketed Consumer Comments]])),
    ISNUMBER(SEARCH("unknown", tblDocketedComments[[#This Row],[Docketed Consumer Comments]])),
    ISNUMBER(SEARCH("inactive", tblDocketedComments[[#This Row],[Docketed Consumer Comments]]))
  ),
  0,
  1
)</f>
        <v>1</v>
      </c>
    </row>
    <row r="423" spans="1:22" hidden="1">
      <c r="A423" s="2">
        <v>45903</v>
      </c>
      <c r="B423" s="1" t="s">
        <v>1331</v>
      </c>
      <c r="C423" s="1" t="s">
        <v>1332</v>
      </c>
      <c r="D423" s="1" t="s">
        <v>63</v>
      </c>
      <c r="E423" s="1">
        <v>86032</v>
      </c>
      <c r="F423" s="1" t="s">
        <v>31</v>
      </c>
      <c r="G423" s="1" t="s">
        <v>1329</v>
      </c>
      <c r="H423" s="4" t="s">
        <v>27</v>
      </c>
      <c r="V423" s="46">
        <f>IF(
  OR(
    ISNUMBER(SEARCH("unable to locate acct", tblDocketedComments[[#This Row],[Docketed Consumer Comments]])),
    ISNUMBER(SEARCH("unknown", tblDocketedComments[[#This Row],[Docketed Consumer Comments]])),
    ISNUMBER(SEARCH("inactive", tblDocketedComments[[#This Row],[Docketed Consumer Comments]]))
  ),
  0,
  1
)</f>
        <v>1</v>
      </c>
    </row>
    <row r="424" spans="1:22" hidden="1">
      <c r="A424" s="2">
        <v>45903</v>
      </c>
      <c r="B424" s="1" t="s">
        <v>1333</v>
      </c>
      <c r="C424" s="1" t="s">
        <v>1334</v>
      </c>
      <c r="D424" s="1" t="s">
        <v>523</v>
      </c>
      <c r="E424" s="1">
        <v>85392</v>
      </c>
      <c r="F424" s="1" t="s">
        <v>1335</v>
      </c>
      <c r="G424" s="1" t="s">
        <v>1329</v>
      </c>
      <c r="H424" s="4" t="s">
        <v>1336</v>
      </c>
      <c r="I424" s="5" t="s">
        <v>418</v>
      </c>
      <c r="J424" s="5" t="s">
        <v>37</v>
      </c>
      <c r="K424" s="5" t="s">
        <v>37</v>
      </c>
      <c r="L424" s="5" t="s">
        <v>389</v>
      </c>
      <c r="M424" s="5" t="s">
        <v>37</v>
      </c>
      <c r="N424" s="5" t="s">
        <v>37</v>
      </c>
      <c r="O424" s="5" t="s">
        <v>38</v>
      </c>
      <c r="P424" s="5" t="s">
        <v>39</v>
      </c>
      <c r="Q424" s="2">
        <v>45967</v>
      </c>
      <c r="V424" s="46">
        <f>IF(
  OR(
    ISNUMBER(SEARCH("unable to locate acct", tblDocketedComments[[#This Row],[Docketed Consumer Comments]])),
    ISNUMBER(SEARCH("unknown", tblDocketedComments[[#This Row],[Docketed Consumer Comments]])),
    ISNUMBER(SEARCH("inactive", tblDocketedComments[[#This Row],[Docketed Consumer Comments]]))
  ),
  0,
  1
)</f>
        <v>1</v>
      </c>
    </row>
    <row r="425" spans="1:22" hidden="1">
      <c r="A425" s="2">
        <v>45903</v>
      </c>
      <c r="B425" s="1" t="s">
        <v>1337</v>
      </c>
      <c r="C425" s="1" t="s">
        <v>359</v>
      </c>
      <c r="D425" s="1" t="s">
        <v>112</v>
      </c>
      <c r="E425" s="1">
        <v>85379</v>
      </c>
      <c r="F425" s="1" t="s">
        <v>31</v>
      </c>
      <c r="G425" s="1" t="s">
        <v>1329</v>
      </c>
      <c r="H425" s="4" t="s">
        <v>1338</v>
      </c>
      <c r="I425" s="5" t="s">
        <v>541</v>
      </c>
      <c r="J425" s="5" t="s">
        <v>37</v>
      </c>
      <c r="K425" s="5" t="s">
        <v>37</v>
      </c>
      <c r="L425" s="5" t="s">
        <v>389</v>
      </c>
      <c r="M425" s="5" t="s">
        <v>38</v>
      </c>
      <c r="N425" s="15">
        <v>1773.15</v>
      </c>
      <c r="O425" s="5" t="s">
        <v>38</v>
      </c>
      <c r="P425" s="7"/>
      <c r="Q425" s="2">
        <v>45967</v>
      </c>
      <c r="R425" s="1" t="s">
        <v>495</v>
      </c>
      <c r="V425" s="46">
        <f>IF(
  OR(
    ISNUMBER(SEARCH("unable to locate acct", tblDocketedComments[[#This Row],[Docketed Consumer Comments]])),
    ISNUMBER(SEARCH("unknown", tblDocketedComments[[#This Row],[Docketed Consumer Comments]])),
    ISNUMBER(SEARCH("inactive", tblDocketedComments[[#This Row],[Docketed Consumer Comments]]))
  ),
  0,
  1
)</f>
        <v>1</v>
      </c>
    </row>
    <row r="426" spans="1:22" hidden="1">
      <c r="A426" s="2">
        <v>45903</v>
      </c>
      <c r="B426" s="1" t="s">
        <v>1339</v>
      </c>
      <c r="C426" s="1" t="s">
        <v>777</v>
      </c>
      <c r="D426" s="1" t="s">
        <v>169</v>
      </c>
      <c r="E426" s="1">
        <v>85338</v>
      </c>
      <c r="F426" s="1" t="s">
        <v>31</v>
      </c>
      <c r="G426" s="1" t="s">
        <v>1329</v>
      </c>
      <c r="H426" s="4" t="s">
        <v>1340</v>
      </c>
      <c r="I426" s="5" t="s">
        <v>541</v>
      </c>
      <c r="J426" s="5" t="s">
        <v>38</v>
      </c>
      <c r="K426" s="5" t="s">
        <v>37</v>
      </c>
      <c r="L426" s="5" t="s">
        <v>389</v>
      </c>
      <c r="M426" s="5" t="s">
        <v>38</v>
      </c>
      <c r="N426" s="15">
        <v>3130.07</v>
      </c>
      <c r="O426" s="5" t="s">
        <v>38</v>
      </c>
      <c r="P426" s="7"/>
      <c r="Q426" s="2">
        <v>45967</v>
      </c>
      <c r="R426" s="1" t="s">
        <v>495</v>
      </c>
      <c r="V426" s="46">
        <f>IF(
  OR(
    ISNUMBER(SEARCH("unable to locate acct", tblDocketedComments[[#This Row],[Docketed Consumer Comments]])),
    ISNUMBER(SEARCH("unknown", tblDocketedComments[[#This Row],[Docketed Consumer Comments]])),
    ISNUMBER(SEARCH("inactive", tblDocketedComments[[#This Row],[Docketed Consumer Comments]]))
  ),
  0,
  1
)</f>
        <v>1</v>
      </c>
    </row>
    <row r="427" spans="1:22" hidden="1">
      <c r="A427" s="2">
        <v>45903</v>
      </c>
      <c r="B427" s="1" t="s">
        <v>1341</v>
      </c>
      <c r="C427" s="1" t="s">
        <v>1342</v>
      </c>
      <c r="D427" s="1" t="s">
        <v>24</v>
      </c>
      <c r="E427" s="1">
        <v>85310</v>
      </c>
      <c r="F427" s="1" t="s">
        <v>31</v>
      </c>
      <c r="G427" s="1" t="s">
        <v>1329</v>
      </c>
      <c r="H427" s="4" t="s">
        <v>1343</v>
      </c>
      <c r="I427" s="5" t="s">
        <v>36</v>
      </c>
      <c r="J427" s="5" t="s">
        <v>38</v>
      </c>
      <c r="K427" s="5" t="s">
        <v>37</v>
      </c>
      <c r="L427" s="5" t="s">
        <v>38</v>
      </c>
      <c r="M427" s="5" t="s">
        <v>37</v>
      </c>
      <c r="N427" s="5" t="s">
        <v>37</v>
      </c>
      <c r="O427" s="5" t="s">
        <v>38</v>
      </c>
      <c r="P427" s="5" t="s">
        <v>39</v>
      </c>
      <c r="Q427" s="2">
        <v>45967</v>
      </c>
      <c r="V427" s="46">
        <f>IF(
  OR(
    ISNUMBER(SEARCH("unable to locate acct", tblDocketedComments[[#This Row],[Docketed Consumer Comments]])),
    ISNUMBER(SEARCH("unknown", tblDocketedComments[[#This Row],[Docketed Consumer Comments]])),
    ISNUMBER(SEARCH("inactive", tblDocketedComments[[#This Row],[Docketed Consumer Comments]]))
  ),
  0,
  1
)</f>
        <v>1</v>
      </c>
    </row>
    <row r="428" spans="1:22" hidden="1">
      <c r="A428" s="2">
        <v>45903</v>
      </c>
      <c r="B428" s="1" t="s">
        <v>1344</v>
      </c>
      <c r="C428" s="1" t="s">
        <v>1345</v>
      </c>
      <c r="D428" s="1" t="s">
        <v>63</v>
      </c>
      <c r="E428" s="1">
        <v>85053</v>
      </c>
      <c r="F428" s="1" t="s">
        <v>1346</v>
      </c>
      <c r="G428" s="1" t="s">
        <v>1329</v>
      </c>
      <c r="H428" s="4" t="s">
        <v>1347</v>
      </c>
      <c r="I428" s="5" t="s">
        <v>36</v>
      </c>
      <c r="J428" s="5" t="s">
        <v>37</v>
      </c>
      <c r="K428" s="5" t="s">
        <v>37</v>
      </c>
      <c r="L428" s="5" t="s">
        <v>38</v>
      </c>
      <c r="M428" s="5" t="s">
        <v>37</v>
      </c>
      <c r="N428" s="5" t="s">
        <v>37</v>
      </c>
      <c r="O428" s="5" t="s">
        <v>38</v>
      </c>
      <c r="P428" s="5" t="s">
        <v>39</v>
      </c>
      <c r="Q428" s="2">
        <v>45967</v>
      </c>
      <c r="V428" s="46">
        <f>IF(
  OR(
    ISNUMBER(SEARCH("unable to locate acct", tblDocketedComments[[#This Row],[Docketed Consumer Comments]])),
    ISNUMBER(SEARCH("unknown", tblDocketedComments[[#This Row],[Docketed Consumer Comments]])),
    ISNUMBER(SEARCH("inactive", tblDocketedComments[[#This Row],[Docketed Consumer Comments]]))
  ),
  0,
  1
)</f>
        <v>1</v>
      </c>
    </row>
    <row r="429" spans="1:22" hidden="1">
      <c r="A429" s="2">
        <v>45903</v>
      </c>
      <c r="B429" s="1" t="s">
        <v>1348</v>
      </c>
      <c r="C429" s="1" t="s">
        <v>1198</v>
      </c>
      <c r="D429" s="1" t="s">
        <v>89</v>
      </c>
      <c r="E429" s="1">
        <v>86336</v>
      </c>
      <c r="F429" s="1" t="s">
        <v>31</v>
      </c>
      <c r="G429" s="1" t="s">
        <v>1329</v>
      </c>
      <c r="H429" s="4" t="s">
        <v>1349</v>
      </c>
      <c r="I429" s="5" t="s">
        <v>73</v>
      </c>
      <c r="J429" s="5" t="s">
        <v>37</v>
      </c>
      <c r="K429" s="5" t="s">
        <v>37</v>
      </c>
      <c r="L429" s="5" t="s">
        <v>38</v>
      </c>
      <c r="M429" s="5" t="s">
        <v>37</v>
      </c>
      <c r="N429" s="5" t="s">
        <v>37</v>
      </c>
      <c r="O429" s="5" t="s">
        <v>38</v>
      </c>
      <c r="P429" s="5" t="s">
        <v>39</v>
      </c>
      <c r="Q429" s="2">
        <v>45967</v>
      </c>
      <c r="V429" s="46">
        <f>IF(
  OR(
    ISNUMBER(SEARCH("unable to locate acct", tblDocketedComments[[#This Row],[Docketed Consumer Comments]])),
    ISNUMBER(SEARCH("unknown", tblDocketedComments[[#This Row],[Docketed Consumer Comments]])),
    ISNUMBER(SEARCH("inactive", tblDocketedComments[[#This Row],[Docketed Consumer Comments]]))
  ),
  0,
  1
)</f>
        <v>1</v>
      </c>
    </row>
    <row r="430" spans="1:22" hidden="1">
      <c r="A430" s="2">
        <v>45903</v>
      </c>
      <c r="B430" s="1" t="s">
        <v>1350</v>
      </c>
      <c r="C430" s="1" t="s">
        <v>1351</v>
      </c>
      <c r="D430" s="1" t="s">
        <v>240</v>
      </c>
      <c r="E430" s="1">
        <v>85340</v>
      </c>
      <c r="F430" s="1" t="s">
        <v>31</v>
      </c>
      <c r="G430" s="1" t="s">
        <v>1329</v>
      </c>
      <c r="H430" s="4" t="s">
        <v>27</v>
      </c>
      <c r="V430" s="46">
        <f>IF(
  OR(
    ISNUMBER(SEARCH("unable to locate acct", tblDocketedComments[[#This Row],[Docketed Consumer Comments]])),
    ISNUMBER(SEARCH("unknown", tblDocketedComments[[#This Row],[Docketed Consumer Comments]])),
    ISNUMBER(SEARCH("inactive", tblDocketedComments[[#This Row],[Docketed Consumer Comments]]))
  ),
  0,
  1
)</f>
        <v>1</v>
      </c>
    </row>
    <row r="431" spans="1:22" hidden="1">
      <c r="A431" s="2">
        <v>45903</v>
      </c>
      <c r="B431" s="1" t="s">
        <v>1352</v>
      </c>
      <c r="C431" s="1" t="s">
        <v>392</v>
      </c>
      <c r="D431" s="1" t="s">
        <v>125</v>
      </c>
      <c r="E431" s="1">
        <v>85255</v>
      </c>
      <c r="F431" s="1" t="s">
        <v>31</v>
      </c>
      <c r="G431" s="1" t="s">
        <v>1329</v>
      </c>
      <c r="H431" s="4" t="s">
        <v>1353</v>
      </c>
      <c r="I431" s="5" t="s">
        <v>418</v>
      </c>
      <c r="J431" s="5" t="s">
        <v>37</v>
      </c>
      <c r="K431" s="5" t="s">
        <v>37</v>
      </c>
      <c r="L431" s="5" t="s">
        <v>389</v>
      </c>
      <c r="M431" s="5" t="s">
        <v>37</v>
      </c>
      <c r="N431" s="5" t="s">
        <v>37</v>
      </c>
      <c r="O431" s="5" t="s">
        <v>38</v>
      </c>
      <c r="P431" s="5" t="s">
        <v>39</v>
      </c>
      <c r="Q431" s="2">
        <v>45967</v>
      </c>
      <c r="V431" s="46">
        <f>IF(
  OR(
    ISNUMBER(SEARCH("unable to locate acct", tblDocketedComments[[#This Row],[Docketed Consumer Comments]])),
    ISNUMBER(SEARCH("unknown", tblDocketedComments[[#This Row],[Docketed Consumer Comments]])),
    ISNUMBER(SEARCH("inactive", tblDocketedComments[[#This Row],[Docketed Consumer Comments]]))
  ),
  0,
  1
)</f>
        <v>1</v>
      </c>
    </row>
    <row r="432" spans="1:22" hidden="1">
      <c r="A432" s="2">
        <v>45903</v>
      </c>
      <c r="B432" s="1" t="s">
        <v>558</v>
      </c>
      <c r="C432" s="1" t="s">
        <v>1354</v>
      </c>
      <c r="D432" s="1" t="s">
        <v>523</v>
      </c>
      <c r="E432" s="1">
        <v>85392</v>
      </c>
      <c r="F432" s="1" t="s">
        <v>31</v>
      </c>
      <c r="G432" s="1" t="s">
        <v>1329</v>
      </c>
      <c r="H432" s="4" t="s">
        <v>1355</v>
      </c>
      <c r="I432" s="5" t="s">
        <v>36</v>
      </c>
      <c r="J432" s="5" t="s">
        <v>37</v>
      </c>
      <c r="K432" s="5" t="s">
        <v>37</v>
      </c>
      <c r="L432" s="5" t="s">
        <v>38</v>
      </c>
      <c r="M432" s="5" t="s">
        <v>38</v>
      </c>
      <c r="N432" s="15">
        <v>870.88</v>
      </c>
      <c r="O432" s="5" t="s">
        <v>38</v>
      </c>
      <c r="P432" s="7"/>
      <c r="Q432" s="2">
        <v>45967</v>
      </c>
      <c r="R432" s="1" t="s">
        <v>495</v>
      </c>
      <c r="V432" s="46">
        <f>IF(
  OR(
    ISNUMBER(SEARCH("unable to locate acct", tblDocketedComments[[#This Row],[Docketed Consumer Comments]])),
    ISNUMBER(SEARCH("unknown", tblDocketedComments[[#This Row],[Docketed Consumer Comments]])),
    ISNUMBER(SEARCH("inactive", tblDocketedComments[[#This Row],[Docketed Consumer Comments]]))
  ),
  0,
  1
)</f>
        <v>1</v>
      </c>
    </row>
    <row r="433" spans="1:22" hidden="1">
      <c r="A433" s="2">
        <v>45903</v>
      </c>
      <c r="B433" s="1" t="s">
        <v>1356</v>
      </c>
      <c r="C433" s="1" t="s">
        <v>184</v>
      </c>
      <c r="D433" s="1" t="s">
        <v>125</v>
      </c>
      <c r="E433" s="1">
        <v>85259</v>
      </c>
      <c r="F433" s="1" t="s">
        <v>31</v>
      </c>
      <c r="G433" s="1" t="s">
        <v>1329</v>
      </c>
      <c r="H433" s="4" t="s">
        <v>209</v>
      </c>
      <c r="V433" s="46">
        <f>IF(
  OR(
    ISNUMBER(SEARCH("unable to locate acct", tblDocketedComments[[#This Row],[Docketed Consumer Comments]])),
    ISNUMBER(SEARCH("unknown", tblDocketedComments[[#This Row],[Docketed Consumer Comments]])),
    ISNUMBER(SEARCH("inactive", tblDocketedComments[[#This Row],[Docketed Consumer Comments]]))
  ),
  0,
  1
)</f>
        <v>1</v>
      </c>
    </row>
    <row r="434" spans="1:22" hidden="1">
      <c r="A434" s="2">
        <v>45903</v>
      </c>
      <c r="B434" s="1" t="s">
        <v>1357</v>
      </c>
      <c r="C434" s="1" t="s">
        <v>199</v>
      </c>
      <c r="D434" s="1" t="s">
        <v>169</v>
      </c>
      <c r="E434" s="1">
        <v>85395</v>
      </c>
      <c r="F434" s="1" t="s">
        <v>31</v>
      </c>
      <c r="G434" s="1" t="s">
        <v>1329</v>
      </c>
      <c r="H434" s="4" t="s">
        <v>1358</v>
      </c>
      <c r="I434" s="5" t="s">
        <v>418</v>
      </c>
      <c r="J434" s="5" t="s">
        <v>37</v>
      </c>
      <c r="K434" s="5" t="s">
        <v>37</v>
      </c>
      <c r="L434" s="5" t="s">
        <v>389</v>
      </c>
      <c r="M434" s="5" t="s">
        <v>37</v>
      </c>
      <c r="N434" s="5" t="s">
        <v>37</v>
      </c>
      <c r="O434" s="5" t="s">
        <v>38</v>
      </c>
      <c r="P434" s="5" t="s">
        <v>39</v>
      </c>
      <c r="Q434" s="2">
        <v>45967</v>
      </c>
      <c r="V434" s="46">
        <f>IF(
  OR(
    ISNUMBER(SEARCH("unable to locate acct", tblDocketedComments[[#This Row],[Docketed Consumer Comments]])),
    ISNUMBER(SEARCH("unknown", tblDocketedComments[[#This Row],[Docketed Consumer Comments]])),
    ISNUMBER(SEARCH("inactive", tblDocketedComments[[#This Row],[Docketed Consumer Comments]]))
  ),
  0,
  1
)</f>
        <v>1</v>
      </c>
    </row>
    <row r="435" spans="1:22" hidden="1">
      <c r="A435" s="2">
        <v>45903</v>
      </c>
      <c r="B435" s="1" t="s">
        <v>1359</v>
      </c>
      <c r="C435" s="1" t="s">
        <v>1050</v>
      </c>
      <c r="D435" s="1" t="s">
        <v>125</v>
      </c>
      <c r="E435" s="1">
        <v>85254</v>
      </c>
      <c r="F435" s="1" t="s">
        <v>31</v>
      </c>
      <c r="G435" s="1" t="s">
        <v>1329</v>
      </c>
      <c r="H435" s="4" t="s">
        <v>1360</v>
      </c>
      <c r="I435" s="5" t="s">
        <v>36</v>
      </c>
      <c r="J435" s="5" t="s">
        <v>37</v>
      </c>
      <c r="K435" s="5" t="s">
        <v>37</v>
      </c>
      <c r="L435" s="5" t="s">
        <v>38</v>
      </c>
      <c r="M435" s="5" t="s">
        <v>37</v>
      </c>
      <c r="N435" s="5" t="s">
        <v>37</v>
      </c>
      <c r="O435" s="5" t="s">
        <v>38</v>
      </c>
      <c r="P435" s="5" t="s">
        <v>39</v>
      </c>
      <c r="Q435" s="2">
        <v>45967</v>
      </c>
      <c r="V435" s="46">
        <f>IF(
  OR(
    ISNUMBER(SEARCH("unable to locate acct", tblDocketedComments[[#This Row],[Docketed Consumer Comments]])),
    ISNUMBER(SEARCH("unknown", tblDocketedComments[[#This Row],[Docketed Consumer Comments]])),
    ISNUMBER(SEARCH("inactive", tblDocketedComments[[#This Row],[Docketed Consumer Comments]]))
  ),
  0,
  1
)</f>
        <v>1</v>
      </c>
    </row>
    <row r="436" spans="1:22" hidden="1">
      <c r="A436" s="2">
        <v>45903</v>
      </c>
      <c r="B436" s="1" t="s">
        <v>1361</v>
      </c>
      <c r="C436" s="1" t="s">
        <v>1362</v>
      </c>
      <c r="D436" s="1" t="s">
        <v>63</v>
      </c>
      <c r="E436" s="1">
        <v>85032</v>
      </c>
      <c r="F436" s="1" t="s">
        <v>310</v>
      </c>
      <c r="G436" s="1" t="s">
        <v>1329</v>
      </c>
      <c r="H436" s="4" t="s">
        <v>1363</v>
      </c>
      <c r="I436" s="5" t="s">
        <v>73</v>
      </c>
      <c r="J436" s="5" t="s">
        <v>37</v>
      </c>
      <c r="K436" s="5" t="s">
        <v>37</v>
      </c>
      <c r="L436" s="5" t="s">
        <v>38</v>
      </c>
      <c r="M436" s="5" t="s">
        <v>37</v>
      </c>
      <c r="N436" s="5" t="s">
        <v>37</v>
      </c>
      <c r="O436" s="5" t="s">
        <v>38</v>
      </c>
      <c r="P436" s="5" t="s">
        <v>39</v>
      </c>
      <c r="Q436" s="2">
        <v>45967</v>
      </c>
      <c r="V436" s="46">
        <f>IF(
  OR(
    ISNUMBER(SEARCH("unable to locate acct", tblDocketedComments[[#This Row],[Docketed Consumer Comments]])),
    ISNUMBER(SEARCH("unknown", tblDocketedComments[[#This Row],[Docketed Consumer Comments]])),
    ISNUMBER(SEARCH("inactive", tblDocketedComments[[#This Row],[Docketed Consumer Comments]]))
  ),
  0,
  1
)</f>
        <v>1</v>
      </c>
    </row>
    <row r="437" spans="1:22" hidden="1">
      <c r="A437" s="2">
        <v>45903</v>
      </c>
      <c r="B437" s="1" t="s">
        <v>1364</v>
      </c>
      <c r="C437" s="1" t="s">
        <v>821</v>
      </c>
      <c r="D437" s="1" t="s">
        <v>169</v>
      </c>
      <c r="E437" s="1">
        <v>85395</v>
      </c>
      <c r="F437" s="1" t="s">
        <v>31</v>
      </c>
      <c r="G437" s="1" t="s">
        <v>1329</v>
      </c>
      <c r="H437" s="4" t="s">
        <v>1365</v>
      </c>
      <c r="I437" s="5" t="s">
        <v>541</v>
      </c>
      <c r="J437" s="5" t="s">
        <v>37</v>
      </c>
      <c r="K437" s="5" t="s">
        <v>37</v>
      </c>
      <c r="L437" s="5" t="s">
        <v>389</v>
      </c>
      <c r="M437" s="5" t="s">
        <v>37</v>
      </c>
      <c r="N437" s="5" t="s">
        <v>37</v>
      </c>
      <c r="O437" s="5" t="s">
        <v>38</v>
      </c>
      <c r="P437" s="5" t="s">
        <v>39</v>
      </c>
      <c r="Q437" s="2">
        <v>45967</v>
      </c>
      <c r="V437" s="46">
        <f>IF(
  OR(
    ISNUMBER(SEARCH("unable to locate acct", tblDocketedComments[[#This Row],[Docketed Consumer Comments]])),
    ISNUMBER(SEARCH("unknown", tblDocketedComments[[#This Row],[Docketed Consumer Comments]])),
    ISNUMBER(SEARCH("inactive", tblDocketedComments[[#This Row],[Docketed Consumer Comments]]))
  ),
  0,
  1
)</f>
        <v>1</v>
      </c>
    </row>
    <row r="438" spans="1:22" hidden="1">
      <c r="A438" s="2">
        <v>45903</v>
      </c>
      <c r="B438" s="1" t="s">
        <v>1366</v>
      </c>
      <c r="C438" s="1" t="s">
        <v>597</v>
      </c>
      <c r="D438" s="1" t="s">
        <v>169</v>
      </c>
      <c r="E438" s="1">
        <v>85395</v>
      </c>
      <c r="F438" s="1" t="s">
        <v>1367</v>
      </c>
      <c r="G438" s="1" t="s">
        <v>1329</v>
      </c>
      <c r="H438" s="4" t="s">
        <v>1368</v>
      </c>
      <c r="I438" s="5" t="s">
        <v>36</v>
      </c>
      <c r="J438" s="5" t="s">
        <v>37</v>
      </c>
      <c r="K438" s="5" t="s">
        <v>37</v>
      </c>
      <c r="L438" s="5" t="s">
        <v>38</v>
      </c>
      <c r="M438" s="5" t="s">
        <v>37</v>
      </c>
      <c r="N438" s="5" t="s">
        <v>37</v>
      </c>
      <c r="O438" s="5" t="s">
        <v>38</v>
      </c>
      <c r="P438" s="5" t="s">
        <v>39</v>
      </c>
      <c r="Q438" s="2">
        <v>45967</v>
      </c>
      <c r="V438" s="46">
        <f>IF(
  OR(
    ISNUMBER(SEARCH("unable to locate acct", tblDocketedComments[[#This Row],[Docketed Consumer Comments]])),
    ISNUMBER(SEARCH("unknown", tblDocketedComments[[#This Row],[Docketed Consumer Comments]])),
    ISNUMBER(SEARCH("inactive", tblDocketedComments[[#This Row],[Docketed Consumer Comments]]))
  ),
  0,
  1
)</f>
        <v>1</v>
      </c>
    </row>
    <row r="439" spans="1:22" hidden="1">
      <c r="A439" s="2">
        <v>45903</v>
      </c>
      <c r="B439" s="1" t="s">
        <v>1369</v>
      </c>
      <c r="C439" s="1" t="s">
        <v>1370</v>
      </c>
      <c r="D439" s="1" t="s">
        <v>125</v>
      </c>
      <c r="E439" s="1">
        <v>85259</v>
      </c>
      <c r="F439" s="1" t="s">
        <v>310</v>
      </c>
      <c r="G439" s="1" t="s">
        <v>1329</v>
      </c>
      <c r="H439" s="4" t="s">
        <v>27</v>
      </c>
      <c r="V439" s="46">
        <f>IF(
  OR(
    ISNUMBER(SEARCH("unable to locate acct", tblDocketedComments[[#This Row],[Docketed Consumer Comments]])),
    ISNUMBER(SEARCH("unknown", tblDocketedComments[[#This Row],[Docketed Consumer Comments]])),
    ISNUMBER(SEARCH("inactive", tblDocketedComments[[#This Row],[Docketed Consumer Comments]]))
  ),
  0,
  1
)</f>
        <v>1</v>
      </c>
    </row>
    <row r="440" spans="1:22" hidden="1">
      <c r="A440" s="2">
        <v>45903</v>
      </c>
      <c r="B440" s="1" t="s">
        <v>1371</v>
      </c>
      <c r="C440" s="1" t="s">
        <v>1372</v>
      </c>
      <c r="D440" s="1" t="s">
        <v>619</v>
      </c>
      <c r="E440" s="1">
        <v>85365</v>
      </c>
      <c r="F440" s="1" t="s">
        <v>31</v>
      </c>
      <c r="G440" s="1" t="s">
        <v>1329</v>
      </c>
      <c r="H440" s="4" t="s">
        <v>1373</v>
      </c>
      <c r="I440" s="5" t="s">
        <v>541</v>
      </c>
      <c r="J440" s="5" t="s">
        <v>37</v>
      </c>
      <c r="K440" s="5" t="s">
        <v>37</v>
      </c>
      <c r="L440" s="5" t="s">
        <v>389</v>
      </c>
      <c r="M440" s="5" t="s">
        <v>37</v>
      </c>
      <c r="N440" s="5" t="s">
        <v>37</v>
      </c>
      <c r="O440" s="5" t="s">
        <v>38</v>
      </c>
      <c r="P440" s="5" t="s">
        <v>39</v>
      </c>
      <c r="Q440" s="2">
        <v>45967</v>
      </c>
      <c r="V440" s="46">
        <f>IF(
  OR(
    ISNUMBER(SEARCH("unable to locate acct", tblDocketedComments[[#This Row],[Docketed Consumer Comments]])),
    ISNUMBER(SEARCH("unknown", tblDocketedComments[[#This Row],[Docketed Consumer Comments]])),
    ISNUMBER(SEARCH("inactive", tblDocketedComments[[#This Row],[Docketed Consumer Comments]]))
  ),
  0,
  1
)</f>
        <v>1</v>
      </c>
    </row>
    <row r="441" spans="1:22" hidden="1">
      <c r="A441" s="2">
        <v>45903</v>
      </c>
      <c r="B441" s="1" t="s">
        <v>1374</v>
      </c>
      <c r="C441" s="1" t="s">
        <v>1375</v>
      </c>
      <c r="D441" s="1" t="s">
        <v>24</v>
      </c>
      <c r="E441" s="1">
        <v>85308</v>
      </c>
      <c r="F441" s="1" t="s">
        <v>31</v>
      </c>
      <c r="G441" s="1" t="s">
        <v>1329</v>
      </c>
      <c r="H441" s="4" t="s">
        <v>27</v>
      </c>
      <c r="V441" s="46">
        <f>IF(
  OR(
    ISNUMBER(SEARCH("unable to locate acct", tblDocketedComments[[#This Row],[Docketed Consumer Comments]])),
    ISNUMBER(SEARCH("unknown", tblDocketedComments[[#This Row],[Docketed Consumer Comments]])),
    ISNUMBER(SEARCH("inactive", tblDocketedComments[[#This Row],[Docketed Consumer Comments]]))
  ),
  0,
  1
)</f>
        <v>1</v>
      </c>
    </row>
    <row r="442" spans="1:22" hidden="1">
      <c r="A442" s="2">
        <v>45903</v>
      </c>
      <c r="B442" s="1" t="s">
        <v>1376</v>
      </c>
      <c r="C442" s="1" t="s">
        <v>1377</v>
      </c>
      <c r="D442" s="1" t="s">
        <v>523</v>
      </c>
      <c r="E442" s="1">
        <v>85392</v>
      </c>
      <c r="F442" s="1" t="s">
        <v>31</v>
      </c>
      <c r="G442" s="1" t="s">
        <v>1329</v>
      </c>
      <c r="H442" s="4" t="s">
        <v>27</v>
      </c>
      <c r="V442" s="46">
        <f>IF(
  OR(
    ISNUMBER(SEARCH("unable to locate acct", tblDocketedComments[[#This Row],[Docketed Consumer Comments]])),
    ISNUMBER(SEARCH("unknown", tblDocketedComments[[#This Row],[Docketed Consumer Comments]])),
    ISNUMBER(SEARCH("inactive", tblDocketedComments[[#This Row],[Docketed Consumer Comments]]))
  ),
  0,
  1
)</f>
        <v>1</v>
      </c>
    </row>
    <row r="443" spans="1:22" hidden="1">
      <c r="A443" s="2">
        <v>45903</v>
      </c>
      <c r="B443" s="1" t="s">
        <v>1378</v>
      </c>
      <c r="C443" s="1" t="s">
        <v>135</v>
      </c>
      <c r="D443" s="1" t="s">
        <v>1379</v>
      </c>
      <c r="E443" s="1">
        <v>85353</v>
      </c>
      <c r="F443" s="1" t="s">
        <v>31</v>
      </c>
      <c r="G443" s="1" t="s">
        <v>1329</v>
      </c>
      <c r="H443" s="4" t="s">
        <v>27</v>
      </c>
      <c r="V443" s="46">
        <f>IF(
  OR(
    ISNUMBER(SEARCH("unable to locate acct", tblDocketedComments[[#This Row],[Docketed Consumer Comments]])),
    ISNUMBER(SEARCH("unknown", tblDocketedComments[[#This Row],[Docketed Consumer Comments]])),
    ISNUMBER(SEARCH("inactive", tblDocketedComments[[#This Row],[Docketed Consumer Comments]]))
  ),
  0,
  1
)</f>
        <v>1</v>
      </c>
    </row>
    <row r="444" spans="1:22" hidden="1">
      <c r="A444" s="2">
        <v>45903</v>
      </c>
      <c r="B444" s="1" t="s">
        <v>1380</v>
      </c>
      <c r="C444" s="1" t="s">
        <v>529</v>
      </c>
      <c r="D444" s="1" t="s">
        <v>504</v>
      </c>
      <c r="E444" s="1">
        <v>86001</v>
      </c>
      <c r="F444" s="1" t="s">
        <v>310</v>
      </c>
      <c r="G444" s="1" t="s">
        <v>1329</v>
      </c>
      <c r="H444" s="4" t="s">
        <v>27</v>
      </c>
      <c r="V444" s="46">
        <f>IF(
  OR(
    ISNUMBER(SEARCH("unable to locate acct", tblDocketedComments[[#This Row],[Docketed Consumer Comments]])),
    ISNUMBER(SEARCH("unknown", tblDocketedComments[[#This Row],[Docketed Consumer Comments]])),
    ISNUMBER(SEARCH("inactive", tblDocketedComments[[#This Row],[Docketed Consumer Comments]]))
  ),
  0,
  1
)</f>
        <v>1</v>
      </c>
    </row>
    <row r="445" spans="1:22" hidden="1">
      <c r="A445" s="2">
        <v>45903</v>
      </c>
      <c r="B445" s="1" t="s">
        <v>1381</v>
      </c>
      <c r="C445" s="1" t="s">
        <v>1382</v>
      </c>
      <c r="D445" s="1" t="s">
        <v>125</v>
      </c>
      <c r="E445" s="1">
        <v>85257</v>
      </c>
      <c r="F445" s="1" t="s">
        <v>310</v>
      </c>
      <c r="G445" s="1" t="s">
        <v>1329</v>
      </c>
      <c r="H445" s="4" t="s">
        <v>27</v>
      </c>
      <c r="V445" s="46">
        <f>IF(
  OR(
    ISNUMBER(SEARCH("unable to locate acct", tblDocketedComments[[#This Row],[Docketed Consumer Comments]])),
    ISNUMBER(SEARCH("unknown", tblDocketedComments[[#This Row],[Docketed Consumer Comments]])),
    ISNUMBER(SEARCH("inactive", tblDocketedComments[[#This Row],[Docketed Consumer Comments]]))
  ),
  0,
  1
)</f>
        <v>1</v>
      </c>
    </row>
    <row r="446" spans="1:22" hidden="1">
      <c r="A446" s="2">
        <v>45903</v>
      </c>
      <c r="B446" s="1" t="s">
        <v>1383</v>
      </c>
      <c r="C446" s="1" t="s">
        <v>1384</v>
      </c>
      <c r="D446" s="1" t="s">
        <v>63</v>
      </c>
      <c r="E446" s="1">
        <v>85024</v>
      </c>
      <c r="F446" s="1" t="s">
        <v>31</v>
      </c>
      <c r="G446" s="1" t="s">
        <v>1329</v>
      </c>
      <c r="H446" s="4" t="s">
        <v>1385</v>
      </c>
      <c r="I446" s="5" t="s">
        <v>250</v>
      </c>
      <c r="J446" s="5" t="s">
        <v>37</v>
      </c>
      <c r="K446" s="5" t="s">
        <v>37</v>
      </c>
      <c r="L446" s="7" t="s">
        <v>1386</v>
      </c>
      <c r="M446" s="5" t="s">
        <v>37</v>
      </c>
      <c r="N446" s="5" t="s">
        <v>37</v>
      </c>
      <c r="O446" s="5" t="s">
        <v>38</v>
      </c>
      <c r="P446" s="2">
        <v>45936</v>
      </c>
      <c r="Q446" s="2">
        <v>45967</v>
      </c>
      <c r="R446" s="1" t="s">
        <v>1387</v>
      </c>
      <c r="V446" s="46">
        <f>IF(
  OR(
    ISNUMBER(SEARCH("unable to locate acct", tblDocketedComments[[#This Row],[Docketed Consumer Comments]])),
    ISNUMBER(SEARCH("unknown", tblDocketedComments[[#This Row],[Docketed Consumer Comments]])),
    ISNUMBER(SEARCH("inactive", tblDocketedComments[[#This Row],[Docketed Consumer Comments]]))
  ),
  0,
  1
)</f>
        <v>1</v>
      </c>
    </row>
    <row r="447" spans="1:22" hidden="1">
      <c r="A447" s="2">
        <v>45903</v>
      </c>
      <c r="B447" s="1" t="s">
        <v>1170</v>
      </c>
      <c r="C447" s="1" t="s">
        <v>1388</v>
      </c>
      <c r="D447" s="1" t="s">
        <v>24</v>
      </c>
      <c r="E447" s="1">
        <v>85306</v>
      </c>
      <c r="F447" s="1" t="s">
        <v>310</v>
      </c>
      <c r="G447" s="1" t="s">
        <v>1329</v>
      </c>
      <c r="H447" s="4" t="s">
        <v>1389</v>
      </c>
      <c r="I447" s="5" t="s">
        <v>36</v>
      </c>
      <c r="J447" s="5" t="s">
        <v>37</v>
      </c>
      <c r="K447" s="5" t="s">
        <v>37</v>
      </c>
      <c r="L447" s="5" t="s">
        <v>38</v>
      </c>
      <c r="M447" s="5" t="s">
        <v>37</v>
      </c>
      <c r="N447" s="5" t="s">
        <v>37</v>
      </c>
      <c r="O447" s="5" t="s">
        <v>38</v>
      </c>
      <c r="P447" s="5" t="s">
        <v>39</v>
      </c>
      <c r="Q447" s="2">
        <v>45967</v>
      </c>
      <c r="V447" s="46">
        <f>IF(
  OR(
    ISNUMBER(SEARCH("unable to locate acct", tblDocketedComments[[#This Row],[Docketed Consumer Comments]])),
    ISNUMBER(SEARCH("unknown", tblDocketedComments[[#This Row],[Docketed Consumer Comments]])),
    ISNUMBER(SEARCH("inactive", tblDocketedComments[[#This Row],[Docketed Consumer Comments]]))
  ),
  0,
  1
)</f>
        <v>1</v>
      </c>
    </row>
    <row r="448" spans="1:22" hidden="1">
      <c r="A448" s="2">
        <v>45903</v>
      </c>
      <c r="B448" s="1" t="s">
        <v>1390</v>
      </c>
      <c r="C448" s="1" t="s">
        <v>1391</v>
      </c>
      <c r="D448" s="1" t="s">
        <v>63</v>
      </c>
      <c r="E448" s="1">
        <v>85037</v>
      </c>
      <c r="F448" s="1" t="s">
        <v>310</v>
      </c>
      <c r="G448" s="1" t="s">
        <v>1329</v>
      </c>
      <c r="H448" s="4" t="s">
        <v>90</v>
      </c>
      <c r="V448" s="46">
        <f>IF(
  OR(
    ISNUMBER(SEARCH("unable to locate acct", tblDocketedComments[[#This Row],[Docketed Consumer Comments]])),
    ISNUMBER(SEARCH("unknown", tblDocketedComments[[#This Row],[Docketed Consumer Comments]])),
    ISNUMBER(SEARCH("inactive", tblDocketedComments[[#This Row],[Docketed Consumer Comments]]))
  ),
  0,
  1
)</f>
        <v>1</v>
      </c>
    </row>
    <row r="449" spans="1:22" hidden="1">
      <c r="A449" s="2">
        <v>45903</v>
      </c>
      <c r="B449" s="1" t="s">
        <v>1392</v>
      </c>
      <c r="C449" s="1" t="s">
        <v>1393</v>
      </c>
      <c r="D449" s="1" t="s">
        <v>202</v>
      </c>
      <c r="E449" s="1">
        <v>85382</v>
      </c>
      <c r="F449" s="1" t="s">
        <v>31</v>
      </c>
      <c r="G449" s="1" t="s">
        <v>1329</v>
      </c>
      <c r="H449" s="4" t="s">
        <v>1394</v>
      </c>
      <c r="I449" s="5" t="s">
        <v>1040</v>
      </c>
      <c r="J449" s="5" t="s">
        <v>37</v>
      </c>
      <c r="K449" s="5" t="s">
        <v>37</v>
      </c>
      <c r="L449" s="7" t="s">
        <v>1395</v>
      </c>
      <c r="M449" s="5" t="s">
        <v>37</v>
      </c>
      <c r="N449" s="5" t="s">
        <v>37</v>
      </c>
      <c r="O449" s="5" t="s">
        <v>38</v>
      </c>
      <c r="P449" s="7"/>
      <c r="Q449" s="2">
        <v>45967</v>
      </c>
      <c r="V449" s="46">
        <f>IF(
  OR(
    ISNUMBER(SEARCH("unable to locate acct", tblDocketedComments[[#This Row],[Docketed Consumer Comments]])),
    ISNUMBER(SEARCH("unknown", tblDocketedComments[[#This Row],[Docketed Consumer Comments]])),
    ISNUMBER(SEARCH("inactive", tblDocketedComments[[#This Row],[Docketed Consumer Comments]]))
  ),
  0,
  1
)</f>
        <v>1</v>
      </c>
    </row>
    <row r="450" spans="1:22" hidden="1">
      <c r="A450" s="2">
        <v>45903</v>
      </c>
      <c r="B450" s="1" t="s">
        <v>1396</v>
      </c>
      <c r="C450" s="1" t="s">
        <v>1397</v>
      </c>
      <c r="D450" s="1" t="s">
        <v>63</v>
      </c>
      <c r="E450" s="1">
        <v>85085</v>
      </c>
      <c r="F450" s="1" t="s">
        <v>310</v>
      </c>
      <c r="G450" s="1" t="s">
        <v>1329</v>
      </c>
      <c r="H450" s="4" t="s">
        <v>1398</v>
      </c>
      <c r="I450" s="5" t="s">
        <v>541</v>
      </c>
      <c r="J450" s="5" t="s">
        <v>37</v>
      </c>
      <c r="K450" s="5" t="s">
        <v>37</v>
      </c>
      <c r="L450" s="5" t="s">
        <v>389</v>
      </c>
      <c r="M450" s="5" t="s">
        <v>37</v>
      </c>
      <c r="N450" s="5" t="s">
        <v>37</v>
      </c>
      <c r="O450" s="5" t="s">
        <v>38</v>
      </c>
      <c r="P450" s="5" t="s">
        <v>39</v>
      </c>
      <c r="Q450" s="2">
        <v>45967</v>
      </c>
      <c r="V450" s="46">
        <f>IF(
  OR(
    ISNUMBER(SEARCH("unable to locate acct", tblDocketedComments[[#This Row],[Docketed Consumer Comments]])),
    ISNUMBER(SEARCH("unknown", tblDocketedComments[[#This Row],[Docketed Consumer Comments]])),
    ISNUMBER(SEARCH("inactive", tblDocketedComments[[#This Row],[Docketed Consumer Comments]]))
  ),
  0,
  1
)</f>
        <v>1</v>
      </c>
    </row>
    <row r="451" spans="1:22" hidden="1">
      <c r="A451" s="2">
        <v>45903</v>
      </c>
      <c r="B451" s="1" t="s">
        <v>1399</v>
      </c>
      <c r="C451" s="1" t="s">
        <v>1400</v>
      </c>
      <c r="D451" s="1" t="s">
        <v>129</v>
      </c>
      <c r="E451" s="1">
        <v>85298</v>
      </c>
      <c r="F451" s="1" t="s">
        <v>310</v>
      </c>
      <c r="G451" s="1" t="s">
        <v>1329</v>
      </c>
      <c r="H451" s="4" t="s">
        <v>27</v>
      </c>
      <c r="V451" s="46">
        <f>IF(
  OR(
    ISNUMBER(SEARCH("unable to locate acct", tblDocketedComments[[#This Row],[Docketed Consumer Comments]])),
    ISNUMBER(SEARCH("unknown", tblDocketedComments[[#This Row],[Docketed Consumer Comments]])),
    ISNUMBER(SEARCH("inactive", tblDocketedComments[[#This Row],[Docketed Consumer Comments]]))
  ),
  0,
  1
)</f>
        <v>1</v>
      </c>
    </row>
    <row r="452" spans="1:22" hidden="1">
      <c r="A452" s="2">
        <v>45903</v>
      </c>
      <c r="B452" s="1" t="s">
        <v>1401</v>
      </c>
      <c r="C452" s="1" t="s">
        <v>1402</v>
      </c>
      <c r="D452" s="1" t="s">
        <v>63</v>
      </c>
      <c r="E452" s="1">
        <v>85053</v>
      </c>
      <c r="F452" s="1" t="s">
        <v>310</v>
      </c>
      <c r="G452" s="1" t="s">
        <v>1329</v>
      </c>
      <c r="H452" s="4" t="s">
        <v>90</v>
      </c>
      <c r="V452" s="46">
        <f>IF(
  OR(
    ISNUMBER(SEARCH("unable to locate acct", tblDocketedComments[[#This Row],[Docketed Consumer Comments]])),
    ISNUMBER(SEARCH("unknown", tblDocketedComments[[#This Row],[Docketed Consumer Comments]])),
    ISNUMBER(SEARCH("inactive", tblDocketedComments[[#This Row],[Docketed Consumer Comments]]))
  ),
  0,
  1
)</f>
        <v>1</v>
      </c>
    </row>
    <row r="453" spans="1:22" hidden="1">
      <c r="A453" s="2">
        <v>45903</v>
      </c>
      <c r="B453" s="1" t="s">
        <v>1403</v>
      </c>
      <c r="C453" s="1" t="s">
        <v>1404</v>
      </c>
      <c r="D453" s="1" t="s">
        <v>112</v>
      </c>
      <c r="E453" s="1">
        <v>85387</v>
      </c>
      <c r="F453" s="1" t="s">
        <v>310</v>
      </c>
      <c r="G453" s="1" t="s">
        <v>1329</v>
      </c>
      <c r="H453" s="4" t="s">
        <v>1405</v>
      </c>
      <c r="I453" s="5" t="s">
        <v>36</v>
      </c>
      <c r="J453" s="5" t="s">
        <v>37</v>
      </c>
      <c r="K453" s="5" t="s">
        <v>37</v>
      </c>
      <c r="L453" s="5" t="s">
        <v>38</v>
      </c>
      <c r="M453" s="5" t="s">
        <v>37</v>
      </c>
      <c r="N453" s="5" t="s">
        <v>37</v>
      </c>
      <c r="O453" s="5" t="s">
        <v>38</v>
      </c>
      <c r="P453" s="5" t="s">
        <v>39</v>
      </c>
      <c r="Q453" s="2">
        <v>45967</v>
      </c>
      <c r="V453" s="46">
        <f>IF(
  OR(
    ISNUMBER(SEARCH("unable to locate acct", tblDocketedComments[[#This Row],[Docketed Consumer Comments]])),
    ISNUMBER(SEARCH("unknown", tblDocketedComments[[#This Row],[Docketed Consumer Comments]])),
    ISNUMBER(SEARCH("inactive", tblDocketedComments[[#This Row],[Docketed Consumer Comments]]))
  ),
  0,
  1
)</f>
        <v>1</v>
      </c>
    </row>
    <row r="454" spans="1:22" hidden="1">
      <c r="A454" s="2">
        <v>45903</v>
      </c>
      <c r="B454" s="1" t="s">
        <v>930</v>
      </c>
      <c r="C454" s="1" t="s">
        <v>328</v>
      </c>
      <c r="D454" s="1" t="s">
        <v>125</v>
      </c>
      <c r="E454" s="1">
        <v>85251</v>
      </c>
      <c r="F454" s="1" t="s">
        <v>31</v>
      </c>
      <c r="G454" s="1" t="s">
        <v>1329</v>
      </c>
      <c r="H454" s="4" t="s">
        <v>27</v>
      </c>
      <c r="V454" s="46">
        <f>IF(
  OR(
    ISNUMBER(SEARCH("unable to locate acct", tblDocketedComments[[#This Row],[Docketed Consumer Comments]])),
    ISNUMBER(SEARCH("unknown", tblDocketedComments[[#This Row],[Docketed Consumer Comments]])),
    ISNUMBER(SEARCH("inactive", tblDocketedComments[[#This Row],[Docketed Consumer Comments]]))
  ),
  0,
  1
)</f>
        <v>1</v>
      </c>
    </row>
    <row r="455" spans="1:22" hidden="1">
      <c r="A455" s="2">
        <v>45903</v>
      </c>
      <c r="B455" s="1" t="s">
        <v>1406</v>
      </c>
      <c r="C455" s="1" t="s">
        <v>1407</v>
      </c>
      <c r="D455" s="1" t="s">
        <v>202</v>
      </c>
      <c r="E455" s="1">
        <v>85383</v>
      </c>
      <c r="F455" s="1" t="s">
        <v>310</v>
      </c>
      <c r="G455" s="1" t="s">
        <v>1329</v>
      </c>
      <c r="H455" s="4" t="s">
        <v>1408</v>
      </c>
      <c r="I455" s="5" t="s">
        <v>1040</v>
      </c>
      <c r="J455" s="5" t="s">
        <v>37</v>
      </c>
      <c r="K455" s="5" t="s">
        <v>37</v>
      </c>
      <c r="L455" s="5" t="s">
        <v>1409</v>
      </c>
      <c r="M455" s="5" t="s">
        <v>37</v>
      </c>
      <c r="N455" s="5" t="s">
        <v>37</v>
      </c>
      <c r="O455" s="5" t="s">
        <v>38</v>
      </c>
      <c r="P455" s="5" t="s">
        <v>39</v>
      </c>
      <c r="Q455" s="2">
        <v>45967</v>
      </c>
      <c r="R455" s="1" t="s">
        <v>1410</v>
      </c>
      <c r="V455" s="46">
        <f>IF(
  OR(
    ISNUMBER(SEARCH("unable to locate acct", tblDocketedComments[[#This Row],[Docketed Consumer Comments]])),
    ISNUMBER(SEARCH("unknown", tblDocketedComments[[#This Row],[Docketed Consumer Comments]])),
    ISNUMBER(SEARCH("inactive", tblDocketedComments[[#This Row],[Docketed Consumer Comments]]))
  ),
  0,
  1
)</f>
        <v>1</v>
      </c>
    </row>
    <row r="456" spans="1:22" hidden="1">
      <c r="A456" s="2">
        <v>45903</v>
      </c>
      <c r="B456" s="1" t="s">
        <v>1411</v>
      </c>
      <c r="C456" s="1" t="s">
        <v>1412</v>
      </c>
      <c r="D456" s="1" t="s">
        <v>202</v>
      </c>
      <c r="E456" s="1">
        <v>85383</v>
      </c>
      <c r="F456" s="1" t="s">
        <v>310</v>
      </c>
      <c r="G456" s="1" t="s">
        <v>1329</v>
      </c>
      <c r="H456" s="4" t="s">
        <v>27</v>
      </c>
      <c r="V456" s="46">
        <f>IF(
  OR(
    ISNUMBER(SEARCH("unable to locate acct", tblDocketedComments[[#This Row],[Docketed Consumer Comments]])),
    ISNUMBER(SEARCH("unknown", tblDocketedComments[[#This Row],[Docketed Consumer Comments]])),
    ISNUMBER(SEARCH("inactive", tblDocketedComments[[#This Row],[Docketed Consumer Comments]]))
  ),
  0,
  1
)</f>
        <v>1</v>
      </c>
    </row>
    <row r="457" spans="1:22" hidden="1">
      <c r="A457" s="2">
        <v>45903</v>
      </c>
      <c r="B457" s="1" t="s">
        <v>1413</v>
      </c>
      <c r="C457" s="1" t="s">
        <v>355</v>
      </c>
      <c r="D457" s="1" t="s">
        <v>63</v>
      </c>
      <c r="E457" s="1">
        <v>85027</v>
      </c>
      <c r="F457" s="1" t="s">
        <v>310</v>
      </c>
      <c r="G457" s="1" t="s">
        <v>1329</v>
      </c>
      <c r="H457" s="4" t="s">
        <v>1414</v>
      </c>
      <c r="I457" s="5" t="s">
        <v>196</v>
      </c>
      <c r="J457" s="5" t="s">
        <v>37</v>
      </c>
      <c r="K457" s="5" t="s">
        <v>37</v>
      </c>
      <c r="L457" s="5" t="s">
        <v>1415</v>
      </c>
      <c r="M457" s="5" t="s">
        <v>37</v>
      </c>
      <c r="N457" s="5" t="s">
        <v>37</v>
      </c>
      <c r="O457" s="5" t="s">
        <v>38</v>
      </c>
      <c r="P457" s="5" t="s">
        <v>39</v>
      </c>
      <c r="Q457" s="2">
        <v>45967</v>
      </c>
      <c r="V457" s="46">
        <f>IF(
  OR(
    ISNUMBER(SEARCH("unable to locate acct", tblDocketedComments[[#This Row],[Docketed Consumer Comments]])),
    ISNUMBER(SEARCH("unknown", tblDocketedComments[[#This Row],[Docketed Consumer Comments]])),
    ISNUMBER(SEARCH("inactive", tblDocketedComments[[#This Row],[Docketed Consumer Comments]]))
  ),
  0,
  1
)</f>
        <v>1</v>
      </c>
    </row>
    <row r="458" spans="1:22" hidden="1">
      <c r="A458" s="2">
        <v>45903</v>
      </c>
      <c r="B458" s="1" t="s">
        <v>1416</v>
      </c>
      <c r="C458" s="1" t="s">
        <v>1417</v>
      </c>
      <c r="D458" s="1" t="s">
        <v>202</v>
      </c>
      <c r="E458" s="1">
        <v>85383</v>
      </c>
      <c r="F458" s="1" t="s">
        <v>31</v>
      </c>
      <c r="G458" s="1" t="s">
        <v>1329</v>
      </c>
      <c r="H458" s="4" t="s">
        <v>209</v>
      </c>
      <c r="V458" s="46">
        <f>IF(
  OR(
    ISNUMBER(SEARCH("unable to locate acct", tblDocketedComments[[#This Row],[Docketed Consumer Comments]])),
    ISNUMBER(SEARCH("unknown", tblDocketedComments[[#This Row],[Docketed Consumer Comments]])),
    ISNUMBER(SEARCH("inactive", tblDocketedComments[[#This Row],[Docketed Consumer Comments]]))
  ),
  0,
  1
)</f>
        <v>1</v>
      </c>
    </row>
    <row r="459" spans="1:22" hidden="1">
      <c r="A459" s="2">
        <v>45903</v>
      </c>
      <c r="B459" s="1" t="s">
        <v>1418</v>
      </c>
      <c r="C459" s="1" t="s">
        <v>1265</v>
      </c>
      <c r="D459" s="1" t="s">
        <v>63</v>
      </c>
      <c r="E459" s="1">
        <v>85086</v>
      </c>
      <c r="F459" s="1" t="s">
        <v>310</v>
      </c>
      <c r="G459" s="1" t="s">
        <v>1329</v>
      </c>
      <c r="H459" s="4" t="s">
        <v>1419</v>
      </c>
      <c r="I459" s="5" t="s">
        <v>46</v>
      </c>
      <c r="J459" s="5" t="s">
        <v>37</v>
      </c>
      <c r="K459" s="5" t="s">
        <v>37</v>
      </c>
      <c r="L459" s="5" t="s">
        <v>1420</v>
      </c>
      <c r="M459" s="5" t="s">
        <v>37</v>
      </c>
      <c r="N459" s="5" t="s">
        <v>37</v>
      </c>
      <c r="O459" s="5" t="s">
        <v>38</v>
      </c>
      <c r="P459" s="5" t="s">
        <v>39</v>
      </c>
      <c r="Q459" s="2">
        <v>45967</v>
      </c>
      <c r="R459" s="1" t="s">
        <v>1421</v>
      </c>
      <c r="V459" s="46">
        <f>IF(
  OR(
    ISNUMBER(SEARCH("unable to locate acct", tblDocketedComments[[#This Row],[Docketed Consumer Comments]])),
    ISNUMBER(SEARCH("unknown", tblDocketedComments[[#This Row],[Docketed Consumer Comments]])),
    ISNUMBER(SEARCH("inactive", tblDocketedComments[[#This Row],[Docketed Consumer Comments]]))
  ),
  0,
  1
)</f>
        <v>1</v>
      </c>
    </row>
    <row r="460" spans="1:22" hidden="1">
      <c r="A460" s="2">
        <v>45903</v>
      </c>
      <c r="B460" s="1" t="s">
        <v>1422</v>
      </c>
      <c r="C460" s="1" t="s">
        <v>1423</v>
      </c>
      <c r="D460" s="1" t="s">
        <v>523</v>
      </c>
      <c r="E460" s="1">
        <v>85392</v>
      </c>
      <c r="F460" s="1" t="s">
        <v>31</v>
      </c>
      <c r="G460" s="1" t="s">
        <v>1329</v>
      </c>
      <c r="H460" s="4" t="s">
        <v>1424</v>
      </c>
      <c r="I460" s="5" t="s">
        <v>418</v>
      </c>
      <c r="J460" s="5" t="s">
        <v>37</v>
      </c>
      <c r="K460" s="5" t="s">
        <v>37</v>
      </c>
      <c r="L460" s="5" t="s">
        <v>389</v>
      </c>
      <c r="M460" s="5" t="s">
        <v>37</v>
      </c>
      <c r="N460" s="5" t="s">
        <v>37</v>
      </c>
      <c r="O460" s="5" t="s">
        <v>38</v>
      </c>
      <c r="P460" s="5" t="s">
        <v>39</v>
      </c>
      <c r="Q460" s="2">
        <v>45967</v>
      </c>
      <c r="V460" s="46">
        <f>IF(
  OR(
    ISNUMBER(SEARCH("unable to locate acct", tblDocketedComments[[#This Row],[Docketed Consumer Comments]])),
    ISNUMBER(SEARCH("unknown", tblDocketedComments[[#This Row],[Docketed Consumer Comments]])),
    ISNUMBER(SEARCH("inactive", tblDocketedComments[[#This Row],[Docketed Consumer Comments]]))
  ),
  0,
  1
)</f>
        <v>1</v>
      </c>
    </row>
    <row r="461" spans="1:22" hidden="1">
      <c r="A461" s="2">
        <v>45903</v>
      </c>
      <c r="B461" s="1" t="s">
        <v>1425</v>
      </c>
      <c r="C461" s="1" t="s">
        <v>1426</v>
      </c>
      <c r="D461" s="1" t="s">
        <v>63</v>
      </c>
      <c r="E461" s="1">
        <v>85021</v>
      </c>
      <c r="F461" s="1" t="s">
        <v>310</v>
      </c>
      <c r="G461" s="1" t="s">
        <v>1329</v>
      </c>
      <c r="H461" s="4" t="s">
        <v>1427</v>
      </c>
      <c r="I461" s="5" t="s">
        <v>196</v>
      </c>
      <c r="J461" s="5" t="s">
        <v>37</v>
      </c>
      <c r="K461" s="5" t="s">
        <v>37</v>
      </c>
      <c r="L461" s="7" t="s">
        <v>1428</v>
      </c>
      <c r="M461" s="5" t="s">
        <v>37</v>
      </c>
      <c r="N461" s="5" t="s">
        <v>37</v>
      </c>
      <c r="O461" s="5" t="s">
        <v>38</v>
      </c>
      <c r="P461" s="2">
        <v>45936</v>
      </c>
      <c r="Q461" s="2">
        <v>45967</v>
      </c>
      <c r="R461" s="1" t="s">
        <v>1429</v>
      </c>
      <c r="V461" s="46">
        <f>IF(
  OR(
    ISNUMBER(SEARCH("unable to locate acct", tblDocketedComments[[#This Row],[Docketed Consumer Comments]])),
    ISNUMBER(SEARCH("unknown", tblDocketedComments[[#This Row],[Docketed Consumer Comments]])),
    ISNUMBER(SEARCH("inactive", tblDocketedComments[[#This Row],[Docketed Consumer Comments]]))
  ),
  0,
  1
)</f>
        <v>1</v>
      </c>
    </row>
    <row r="462" spans="1:22" hidden="1">
      <c r="A462" s="2">
        <v>45903</v>
      </c>
      <c r="B462" s="1" t="s">
        <v>1147</v>
      </c>
      <c r="C462" s="1" t="s">
        <v>1430</v>
      </c>
      <c r="D462" s="1" t="s">
        <v>63</v>
      </c>
      <c r="E462" s="1">
        <v>85032</v>
      </c>
      <c r="F462" s="1" t="s">
        <v>31</v>
      </c>
      <c r="G462" s="1" t="s">
        <v>1329</v>
      </c>
      <c r="H462" s="4" t="s">
        <v>90</v>
      </c>
      <c r="V462" s="46">
        <f>IF(
  OR(
    ISNUMBER(SEARCH("unable to locate acct", tblDocketedComments[[#This Row],[Docketed Consumer Comments]])),
    ISNUMBER(SEARCH("unknown", tblDocketedComments[[#This Row],[Docketed Consumer Comments]])),
    ISNUMBER(SEARCH("inactive", tblDocketedComments[[#This Row],[Docketed Consumer Comments]]))
  ),
  0,
  1
)</f>
        <v>1</v>
      </c>
    </row>
    <row r="463" spans="1:22" hidden="1">
      <c r="A463" s="2">
        <v>45903</v>
      </c>
      <c r="B463" s="1" t="s">
        <v>1431</v>
      </c>
      <c r="C463" s="1" t="s">
        <v>1432</v>
      </c>
      <c r="D463" s="1" t="s">
        <v>63</v>
      </c>
      <c r="E463" s="1">
        <v>85024</v>
      </c>
      <c r="F463" s="1" t="s">
        <v>310</v>
      </c>
      <c r="G463" s="1" t="s">
        <v>1329</v>
      </c>
      <c r="H463" s="4" t="s">
        <v>1433</v>
      </c>
      <c r="I463" s="5" t="s">
        <v>36</v>
      </c>
      <c r="J463" s="5" t="s">
        <v>37</v>
      </c>
      <c r="K463" s="5" t="s">
        <v>37</v>
      </c>
      <c r="L463" s="5" t="s">
        <v>38</v>
      </c>
      <c r="M463" s="5" t="s">
        <v>37</v>
      </c>
      <c r="N463" s="5" t="s">
        <v>37</v>
      </c>
      <c r="O463" s="5" t="s">
        <v>38</v>
      </c>
      <c r="P463" s="5" t="s">
        <v>39</v>
      </c>
      <c r="Q463" s="2">
        <v>45967</v>
      </c>
      <c r="V463" s="46">
        <f>IF(
  OR(
    ISNUMBER(SEARCH("unable to locate acct", tblDocketedComments[[#This Row],[Docketed Consumer Comments]])),
    ISNUMBER(SEARCH("unknown", tblDocketedComments[[#This Row],[Docketed Consumer Comments]])),
    ISNUMBER(SEARCH("inactive", tblDocketedComments[[#This Row],[Docketed Consumer Comments]]))
  ),
  0,
  1
)</f>
        <v>1</v>
      </c>
    </row>
    <row r="464" spans="1:22" hidden="1">
      <c r="A464" s="2">
        <v>45903</v>
      </c>
      <c r="B464" s="1" t="s">
        <v>1434</v>
      </c>
      <c r="C464" s="1" t="s">
        <v>1435</v>
      </c>
      <c r="D464" s="1" t="s">
        <v>169</v>
      </c>
      <c r="E464" s="1">
        <v>85338</v>
      </c>
      <c r="F464" s="1" t="s">
        <v>31</v>
      </c>
      <c r="G464" s="1" t="s">
        <v>1329</v>
      </c>
      <c r="H464" s="4" t="s">
        <v>1436</v>
      </c>
      <c r="I464" s="5" t="s">
        <v>126</v>
      </c>
      <c r="J464" s="5" t="s">
        <v>38</v>
      </c>
      <c r="K464" s="5" t="s">
        <v>37</v>
      </c>
      <c r="L464" s="7" t="s">
        <v>1437</v>
      </c>
      <c r="M464" s="5" t="s">
        <v>37</v>
      </c>
      <c r="N464" s="20" t="s">
        <v>37</v>
      </c>
      <c r="O464" s="5" t="s">
        <v>38</v>
      </c>
      <c r="P464" s="2">
        <v>45936</v>
      </c>
      <c r="Q464" s="2">
        <v>45967</v>
      </c>
      <c r="R464" s="1" t="s">
        <v>1429</v>
      </c>
      <c r="V464" s="46">
        <f>IF(
  OR(
    ISNUMBER(SEARCH("unable to locate acct", tblDocketedComments[[#This Row],[Docketed Consumer Comments]])),
    ISNUMBER(SEARCH("unknown", tblDocketedComments[[#This Row],[Docketed Consumer Comments]])),
    ISNUMBER(SEARCH("inactive", tblDocketedComments[[#This Row],[Docketed Consumer Comments]]))
  ),
  0,
  1
)</f>
        <v>1</v>
      </c>
    </row>
    <row r="465" spans="1:22" hidden="1">
      <c r="A465" s="2">
        <v>45903</v>
      </c>
      <c r="B465" s="1" t="s">
        <v>1438</v>
      </c>
      <c r="C465" s="1" t="s">
        <v>1439</v>
      </c>
      <c r="D465" s="1" t="s">
        <v>112</v>
      </c>
      <c r="E465" s="1">
        <v>85379</v>
      </c>
      <c r="F465" s="1" t="s">
        <v>31</v>
      </c>
      <c r="G465" s="1" t="s">
        <v>1329</v>
      </c>
      <c r="H465" s="4" t="s">
        <v>1440</v>
      </c>
      <c r="I465" s="5" t="s">
        <v>36</v>
      </c>
      <c r="J465" s="5" t="s">
        <v>37</v>
      </c>
      <c r="K465" s="5" t="s">
        <v>37</v>
      </c>
      <c r="L465" s="5" t="s">
        <v>38</v>
      </c>
      <c r="M465" s="5" t="s">
        <v>37</v>
      </c>
      <c r="N465" s="5" t="s">
        <v>37</v>
      </c>
      <c r="O465" s="5" t="s">
        <v>38</v>
      </c>
      <c r="P465" s="5" t="s">
        <v>39</v>
      </c>
      <c r="Q465" s="2">
        <v>45967</v>
      </c>
      <c r="V465" s="46">
        <f>IF(
  OR(
    ISNUMBER(SEARCH("unable to locate acct", tblDocketedComments[[#This Row],[Docketed Consumer Comments]])),
    ISNUMBER(SEARCH("unknown", tblDocketedComments[[#This Row],[Docketed Consumer Comments]])),
    ISNUMBER(SEARCH("inactive", tblDocketedComments[[#This Row],[Docketed Consumer Comments]]))
  ),
  0,
  1
)</f>
        <v>1</v>
      </c>
    </row>
    <row r="466" spans="1:22" hidden="1">
      <c r="A466" s="2">
        <v>45903</v>
      </c>
      <c r="B466" s="1" t="s">
        <v>1441</v>
      </c>
      <c r="C466" s="1" t="s">
        <v>1372</v>
      </c>
      <c r="D466" s="1" t="s">
        <v>169</v>
      </c>
      <c r="E466" s="1">
        <v>85338</v>
      </c>
      <c r="F466" s="1" t="s">
        <v>310</v>
      </c>
      <c r="G466" s="1" t="s">
        <v>1329</v>
      </c>
      <c r="H466" s="4" t="s">
        <v>1442</v>
      </c>
      <c r="I466" s="5" t="s">
        <v>57</v>
      </c>
      <c r="J466" s="5" t="s">
        <v>37</v>
      </c>
      <c r="K466" s="5" t="s">
        <v>37</v>
      </c>
      <c r="L466" s="5" t="s">
        <v>1443</v>
      </c>
      <c r="M466" s="5" t="s">
        <v>37</v>
      </c>
      <c r="N466" s="5" t="s">
        <v>37</v>
      </c>
      <c r="O466" s="5" t="s">
        <v>38</v>
      </c>
      <c r="P466" s="5" t="s">
        <v>39</v>
      </c>
      <c r="Q466" s="2">
        <v>45967</v>
      </c>
      <c r="V466" s="46">
        <f>IF(
  OR(
    ISNUMBER(SEARCH("unable to locate acct", tblDocketedComments[[#This Row],[Docketed Consumer Comments]])),
    ISNUMBER(SEARCH("unknown", tblDocketedComments[[#This Row],[Docketed Consumer Comments]])),
    ISNUMBER(SEARCH("inactive", tblDocketedComments[[#This Row],[Docketed Consumer Comments]]))
  ),
  0,
  1
)</f>
        <v>1</v>
      </c>
    </row>
    <row r="467" spans="1:22" hidden="1">
      <c r="A467" s="2">
        <v>45903</v>
      </c>
      <c r="B467" s="1" t="s">
        <v>363</v>
      </c>
      <c r="C467" s="1" t="s">
        <v>1444</v>
      </c>
      <c r="D467" s="1" t="s">
        <v>63</v>
      </c>
      <c r="E467" s="1">
        <v>85085</v>
      </c>
      <c r="F467" s="1" t="s">
        <v>31</v>
      </c>
      <c r="G467" s="1" t="s">
        <v>1329</v>
      </c>
      <c r="H467" s="4" t="s">
        <v>1445</v>
      </c>
      <c r="I467" s="5" t="s">
        <v>250</v>
      </c>
      <c r="J467" s="5" t="s">
        <v>37</v>
      </c>
      <c r="K467" s="5" t="s">
        <v>37</v>
      </c>
      <c r="L467" s="5" t="s">
        <v>38</v>
      </c>
      <c r="M467" s="5" t="s">
        <v>37</v>
      </c>
      <c r="N467" s="5" t="s">
        <v>37</v>
      </c>
      <c r="O467" s="5" t="s">
        <v>38</v>
      </c>
      <c r="P467" s="5" t="s">
        <v>39</v>
      </c>
      <c r="Q467" s="2">
        <v>45967</v>
      </c>
      <c r="V467" s="46">
        <f>IF(
  OR(
    ISNUMBER(SEARCH("unable to locate acct", tblDocketedComments[[#This Row],[Docketed Consumer Comments]])),
    ISNUMBER(SEARCH("unknown", tblDocketedComments[[#This Row],[Docketed Consumer Comments]])),
    ISNUMBER(SEARCH("inactive", tblDocketedComments[[#This Row],[Docketed Consumer Comments]]))
  ),
  0,
  1
)</f>
        <v>1</v>
      </c>
    </row>
    <row r="468" spans="1:22" hidden="1">
      <c r="A468" s="2">
        <v>45903</v>
      </c>
      <c r="B468" s="1" t="s">
        <v>1446</v>
      </c>
      <c r="C468" s="1" t="s">
        <v>1447</v>
      </c>
      <c r="D468" s="1" t="s">
        <v>63</v>
      </c>
      <c r="E468" s="1">
        <v>85053</v>
      </c>
      <c r="F468" s="1" t="s">
        <v>31</v>
      </c>
      <c r="G468" s="1" t="s">
        <v>1329</v>
      </c>
      <c r="H468" s="4" t="s">
        <v>1448</v>
      </c>
      <c r="I468" s="5" t="s">
        <v>250</v>
      </c>
      <c r="J468" s="5" t="s">
        <v>37</v>
      </c>
      <c r="K468" s="5" t="s">
        <v>37</v>
      </c>
      <c r="L468" s="5" t="s">
        <v>38</v>
      </c>
      <c r="M468" s="5" t="s">
        <v>37</v>
      </c>
      <c r="N468" s="5" t="s">
        <v>37</v>
      </c>
      <c r="O468" s="5" t="s">
        <v>38</v>
      </c>
      <c r="P468" s="5" t="s">
        <v>39</v>
      </c>
      <c r="Q468" s="2">
        <v>45967</v>
      </c>
      <c r="V468" s="46">
        <f>IF(
  OR(
    ISNUMBER(SEARCH("unable to locate acct", tblDocketedComments[[#This Row],[Docketed Consumer Comments]])),
    ISNUMBER(SEARCH("unknown", tblDocketedComments[[#This Row],[Docketed Consumer Comments]])),
    ISNUMBER(SEARCH("inactive", tblDocketedComments[[#This Row],[Docketed Consumer Comments]]))
  ),
  0,
  1
)</f>
        <v>1</v>
      </c>
    </row>
    <row r="469" spans="1:22" hidden="1">
      <c r="A469" s="2">
        <v>45903</v>
      </c>
      <c r="B469" s="1" t="s">
        <v>1446</v>
      </c>
      <c r="C469" s="1" t="s">
        <v>312</v>
      </c>
      <c r="D469" s="1" t="s">
        <v>63</v>
      </c>
      <c r="E469" s="1">
        <v>85053</v>
      </c>
      <c r="F469" s="1" t="s">
        <v>310</v>
      </c>
      <c r="G469" s="1" t="s">
        <v>1329</v>
      </c>
      <c r="H469" s="4" t="s">
        <v>27</v>
      </c>
      <c r="V469" s="46">
        <f>IF(
  OR(
    ISNUMBER(SEARCH("unable to locate acct", tblDocketedComments[[#This Row],[Docketed Consumer Comments]])),
    ISNUMBER(SEARCH("unknown", tblDocketedComments[[#This Row],[Docketed Consumer Comments]])),
    ISNUMBER(SEARCH("inactive", tblDocketedComments[[#This Row],[Docketed Consumer Comments]]))
  ),
  0,
  1
)</f>
        <v>1</v>
      </c>
    </row>
    <row r="470" spans="1:22" hidden="1">
      <c r="A470" s="2">
        <v>45903</v>
      </c>
      <c r="B470" s="1" t="s">
        <v>1449</v>
      </c>
      <c r="C470" s="1" t="s">
        <v>1450</v>
      </c>
      <c r="D470" s="1" t="s">
        <v>169</v>
      </c>
      <c r="E470" s="1">
        <v>85395</v>
      </c>
      <c r="F470" s="1" t="s">
        <v>31</v>
      </c>
      <c r="G470" s="1" t="s">
        <v>1329</v>
      </c>
      <c r="H470" s="4" t="s">
        <v>1451</v>
      </c>
      <c r="I470" s="5" t="s">
        <v>243</v>
      </c>
      <c r="J470" s="5" t="s">
        <v>37</v>
      </c>
      <c r="K470" s="5" t="s">
        <v>37</v>
      </c>
      <c r="L470" s="5" t="s">
        <v>389</v>
      </c>
      <c r="M470" s="5" t="s">
        <v>37</v>
      </c>
      <c r="N470" s="5" t="s">
        <v>37</v>
      </c>
      <c r="O470" s="5" t="s">
        <v>38</v>
      </c>
      <c r="P470" s="5" t="s">
        <v>39</v>
      </c>
      <c r="Q470" s="2">
        <v>45967</v>
      </c>
      <c r="V470" s="46">
        <f>IF(
  OR(
    ISNUMBER(SEARCH("unable to locate acct", tblDocketedComments[[#This Row],[Docketed Consumer Comments]])),
    ISNUMBER(SEARCH("unknown", tblDocketedComments[[#This Row],[Docketed Consumer Comments]])),
    ISNUMBER(SEARCH("inactive", tblDocketedComments[[#This Row],[Docketed Consumer Comments]]))
  ),
  0,
  1
)</f>
        <v>1</v>
      </c>
    </row>
    <row r="471" spans="1:22" hidden="1">
      <c r="A471" s="2">
        <v>45903</v>
      </c>
      <c r="B471" s="1" t="s">
        <v>1452</v>
      </c>
      <c r="C471" s="1" t="s">
        <v>206</v>
      </c>
      <c r="D471" s="1" t="s">
        <v>539</v>
      </c>
      <c r="E471" s="1">
        <v>85123</v>
      </c>
      <c r="F471" s="1" t="s">
        <v>31</v>
      </c>
      <c r="G471" s="1" t="s">
        <v>1329</v>
      </c>
      <c r="H471" s="4" t="s">
        <v>1453</v>
      </c>
      <c r="I471" s="5" t="s">
        <v>126</v>
      </c>
      <c r="J471" s="5" t="s">
        <v>37</v>
      </c>
      <c r="K471" s="5" t="s">
        <v>37</v>
      </c>
      <c r="L471" s="5" t="s">
        <v>38</v>
      </c>
      <c r="M471" s="5" t="s">
        <v>37</v>
      </c>
      <c r="N471" s="5" t="s">
        <v>37</v>
      </c>
      <c r="O471" s="5" t="s">
        <v>38</v>
      </c>
      <c r="P471" s="5" t="s">
        <v>39</v>
      </c>
      <c r="Q471" s="2">
        <v>45967</v>
      </c>
      <c r="V471" s="46">
        <f>IF(
  OR(
    ISNUMBER(SEARCH("unable to locate acct", tblDocketedComments[[#This Row],[Docketed Consumer Comments]])),
    ISNUMBER(SEARCH("unknown", tblDocketedComments[[#This Row],[Docketed Consumer Comments]])),
    ISNUMBER(SEARCH("inactive", tblDocketedComments[[#This Row],[Docketed Consumer Comments]]))
  ),
  0,
  1
)</f>
        <v>1</v>
      </c>
    </row>
    <row r="472" spans="1:22" hidden="1">
      <c r="A472" s="2">
        <v>45903</v>
      </c>
      <c r="B472" s="1" t="s">
        <v>1454</v>
      </c>
      <c r="C472" s="1" t="s">
        <v>1455</v>
      </c>
      <c r="D472" s="1" t="s">
        <v>202</v>
      </c>
      <c r="E472" s="1">
        <v>85383</v>
      </c>
      <c r="F472" s="1" t="s">
        <v>310</v>
      </c>
      <c r="G472" s="1" t="s">
        <v>1329</v>
      </c>
      <c r="H472" s="4" t="s">
        <v>27</v>
      </c>
      <c r="V472" s="46">
        <f>IF(
  OR(
    ISNUMBER(SEARCH("unable to locate acct", tblDocketedComments[[#This Row],[Docketed Consumer Comments]])),
    ISNUMBER(SEARCH("unknown", tblDocketedComments[[#This Row],[Docketed Consumer Comments]])),
    ISNUMBER(SEARCH("inactive", tblDocketedComments[[#This Row],[Docketed Consumer Comments]]))
  ),
  0,
  1
)</f>
        <v>1</v>
      </c>
    </row>
    <row r="473" spans="1:22" hidden="1">
      <c r="A473" s="2">
        <v>45903</v>
      </c>
      <c r="B473" s="1" t="s">
        <v>1456</v>
      </c>
      <c r="C473" s="1" t="s">
        <v>1457</v>
      </c>
      <c r="D473" s="1" t="s">
        <v>202</v>
      </c>
      <c r="E473" s="1">
        <v>85383</v>
      </c>
      <c r="F473" s="1" t="s">
        <v>310</v>
      </c>
      <c r="G473" s="1" t="s">
        <v>1329</v>
      </c>
      <c r="H473" s="4" t="s">
        <v>27</v>
      </c>
      <c r="V473" s="46">
        <f>IF(
  OR(
    ISNUMBER(SEARCH("unable to locate acct", tblDocketedComments[[#This Row],[Docketed Consumer Comments]])),
    ISNUMBER(SEARCH("unknown", tblDocketedComments[[#This Row],[Docketed Consumer Comments]])),
    ISNUMBER(SEARCH("inactive", tblDocketedComments[[#This Row],[Docketed Consumer Comments]]))
  ),
  0,
  1
)</f>
        <v>1</v>
      </c>
    </row>
    <row r="474" spans="1:22" hidden="1">
      <c r="A474" s="2">
        <v>45903</v>
      </c>
      <c r="B474" s="1" t="s">
        <v>1458</v>
      </c>
      <c r="C474" s="1" t="s">
        <v>1459</v>
      </c>
      <c r="D474" s="1" t="s">
        <v>63</v>
      </c>
      <c r="E474" s="1">
        <v>85085</v>
      </c>
      <c r="F474" s="1" t="s">
        <v>31</v>
      </c>
      <c r="G474" s="1" t="s">
        <v>1329</v>
      </c>
      <c r="H474" s="4" t="s">
        <v>1460</v>
      </c>
      <c r="I474" s="5" t="s">
        <v>73</v>
      </c>
      <c r="J474" s="5" t="s">
        <v>37</v>
      </c>
      <c r="K474" s="5" t="s">
        <v>37</v>
      </c>
      <c r="L474" s="5" t="s">
        <v>38</v>
      </c>
      <c r="M474" s="5" t="s">
        <v>37</v>
      </c>
      <c r="N474" s="5" t="s">
        <v>37</v>
      </c>
      <c r="O474" s="5" t="s">
        <v>38</v>
      </c>
      <c r="P474" s="5" t="s">
        <v>39</v>
      </c>
      <c r="Q474" s="2">
        <v>45967</v>
      </c>
      <c r="V474" s="46">
        <f>IF(
  OR(
    ISNUMBER(SEARCH("unable to locate acct", tblDocketedComments[[#This Row],[Docketed Consumer Comments]])),
    ISNUMBER(SEARCH("unknown", tblDocketedComments[[#This Row],[Docketed Consumer Comments]])),
    ISNUMBER(SEARCH("inactive", tblDocketedComments[[#This Row],[Docketed Consumer Comments]]))
  ),
  0,
  1
)</f>
        <v>1</v>
      </c>
    </row>
    <row r="475" spans="1:22" hidden="1">
      <c r="A475" s="2">
        <v>45903</v>
      </c>
      <c r="B475" s="1" t="s">
        <v>1461</v>
      </c>
      <c r="C475" s="1" t="s">
        <v>42</v>
      </c>
      <c r="D475" s="1" t="s">
        <v>240</v>
      </c>
      <c r="E475" s="1">
        <v>85340</v>
      </c>
      <c r="F475" s="1" t="s">
        <v>31</v>
      </c>
      <c r="G475" s="1" t="s">
        <v>1329</v>
      </c>
      <c r="H475" s="4" t="s">
        <v>27</v>
      </c>
      <c r="V475" s="46">
        <f>IF(
  OR(
    ISNUMBER(SEARCH("unable to locate acct", tblDocketedComments[[#This Row],[Docketed Consumer Comments]])),
    ISNUMBER(SEARCH("unknown", tblDocketedComments[[#This Row],[Docketed Consumer Comments]])),
    ISNUMBER(SEARCH("inactive", tblDocketedComments[[#This Row],[Docketed Consumer Comments]]))
  ),
  0,
  1
)</f>
        <v>1</v>
      </c>
    </row>
    <row r="476" spans="1:22" hidden="1">
      <c r="A476" s="2">
        <v>45903</v>
      </c>
      <c r="B476" s="1" t="s">
        <v>1462</v>
      </c>
      <c r="C476" s="1" t="s">
        <v>1463</v>
      </c>
      <c r="D476" s="1" t="s">
        <v>169</v>
      </c>
      <c r="E476" s="1">
        <v>85338</v>
      </c>
      <c r="F476" s="1" t="s">
        <v>31</v>
      </c>
      <c r="G476" s="1" t="s">
        <v>1329</v>
      </c>
      <c r="H476" s="4" t="s">
        <v>1464</v>
      </c>
      <c r="I476" s="5" t="s">
        <v>73</v>
      </c>
      <c r="J476" s="5" t="s">
        <v>37</v>
      </c>
      <c r="K476" s="5" t="s">
        <v>37</v>
      </c>
      <c r="L476" s="5" t="s">
        <v>38</v>
      </c>
      <c r="M476" s="5" t="s">
        <v>37</v>
      </c>
      <c r="N476" s="5" t="s">
        <v>37</v>
      </c>
      <c r="O476" s="5" t="s">
        <v>38</v>
      </c>
      <c r="P476" s="5" t="s">
        <v>39</v>
      </c>
      <c r="Q476" s="2">
        <v>45967</v>
      </c>
      <c r="V476" s="46">
        <f>IF(
  OR(
    ISNUMBER(SEARCH("unable to locate acct", tblDocketedComments[[#This Row],[Docketed Consumer Comments]])),
    ISNUMBER(SEARCH("unknown", tblDocketedComments[[#This Row],[Docketed Consumer Comments]])),
    ISNUMBER(SEARCH("inactive", tblDocketedComments[[#This Row],[Docketed Consumer Comments]]))
  ),
  0,
  1
)</f>
        <v>1</v>
      </c>
    </row>
    <row r="477" spans="1:22" hidden="1">
      <c r="A477" s="2">
        <v>45903</v>
      </c>
      <c r="B477" s="1" t="s">
        <v>1465</v>
      </c>
      <c r="C477" s="1" t="s">
        <v>145</v>
      </c>
      <c r="D477" s="1" t="s">
        <v>169</v>
      </c>
      <c r="E477" s="1">
        <v>85338</v>
      </c>
      <c r="F477" s="1" t="s">
        <v>31</v>
      </c>
      <c r="G477" s="1" t="s">
        <v>1329</v>
      </c>
      <c r="H477" s="4" t="s">
        <v>27</v>
      </c>
      <c r="V477" s="46">
        <f>IF(
  OR(
    ISNUMBER(SEARCH("unable to locate acct", tblDocketedComments[[#This Row],[Docketed Consumer Comments]])),
    ISNUMBER(SEARCH("unknown", tblDocketedComments[[#This Row],[Docketed Consumer Comments]])),
    ISNUMBER(SEARCH("inactive", tblDocketedComments[[#This Row],[Docketed Consumer Comments]]))
  ),
  0,
  1
)</f>
        <v>1</v>
      </c>
    </row>
    <row r="478" spans="1:22" hidden="1">
      <c r="A478" s="2">
        <v>45903</v>
      </c>
      <c r="B478" s="1" t="s">
        <v>1466</v>
      </c>
      <c r="C478" s="1" t="s">
        <v>355</v>
      </c>
      <c r="D478" s="1" t="s">
        <v>63</v>
      </c>
      <c r="E478" s="1">
        <v>85085</v>
      </c>
      <c r="F478" s="1" t="s">
        <v>310</v>
      </c>
      <c r="G478" s="1" t="s">
        <v>1329</v>
      </c>
      <c r="H478" s="4" t="s">
        <v>209</v>
      </c>
      <c r="V478" s="46">
        <f>IF(
  OR(
    ISNUMBER(SEARCH("unable to locate acct", tblDocketedComments[[#This Row],[Docketed Consumer Comments]])),
    ISNUMBER(SEARCH("unknown", tblDocketedComments[[#This Row],[Docketed Consumer Comments]])),
    ISNUMBER(SEARCH("inactive", tblDocketedComments[[#This Row],[Docketed Consumer Comments]]))
  ),
  0,
  1
)</f>
        <v>1</v>
      </c>
    </row>
    <row r="479" spans="1:22" hidden="1">
      <c r="A479" s="2">
        <v>45903</v>
      </c>
      <c r="B479" s="1" t="s">
        <v>1467</v>
      </c>
      <c r="C479" s="1" t="s">
        <v>133</v>
      </c>
      <c r="D479" s="1" t="s">
        <v>169</v>
      </c>
      <c r="E479" s="1">
        <v>85338</v>
      </c>
      <c r="F479" s="1" t="s">
        <v>31</v>
      </c>
      <c r="G479" s="1" t="s">
        <v>1329</v>
      </c>
      <c r="H479" s="4" t="s">
        <v>1468</v>
      </c>
      <c r="I479" s="5" t="s">
        <v>46</v>
      </c>
      <c r="J479" s="5" t="s">
        <v>37</v>
      </c>
      <c r="K479" s="5" t="s">
        <v>37</v>
      </c>
      <c r="L479" s="5" t="s">
        <v>38</v>
      </c>
      <c r="M479" s="5" t="s">
        <v>37</v>
      </c>
      <c r="N479" s="5" t="s">
        <v>37</v>
      </c>
      <c r="O479" s="5" t="s">
        <v>38</v>
      </c>
      <c r="P479" s="5" t="s">
        <v>39</v>
      </c>
      <c r="Q479" s="2">
        <v>45967</v>
      </c>
      <c r="V479" s="46">
        <f>IF(
  OR(
    ISNUMBER(SEARCH("unable to locate acct", tblDocketedComments[[#This Row],[Docketed Consumer Comments]])),
    ISNUMBER(SEARCH("unknown", tblDocketedComments[[#This Row],[Docketed Consumer Comments]])),
    ISNUMBER(SEARCH("inactive", tblDocketedComments[[#This Row],[Docketed Consumer Comments]]))
  ),
  0,
  1
)</f>
        <v>1</v>
      </c>
    </row>
    <row r="480" spans="1:22" hidden="1">
      <c r="A480" s="2">
        <v>45903</v>
      </c>
      <c r="B480" s="1" t="s">
        <v>1469</v>
      </c>
      <c r="C480" s="1" t="s">
        <v>1470</v>
      </c>
      <c r="D480" s="1" t="s">
        <v>202</v>
      </c>
      <c r="E480" s="1">
        <v>85382</v>
      </c>
      <c r="F480" s="1" t="s">
        <v>31</v>
      </c>
      <c r="G480" s="1" t="s">
        <v>1329</v>
      </c>
      <c r="H480" s="4" t="s">
        <v>27</v>
      </c>
      <c r="V480" s="46">
        <f>IF(
  OR(
    ISNUMBER(SEARCH("unable to locate acct", tblDocketedComments[[#This Row],[Docketed Consumer Comments]])),
    ISNUMBER(SEARCH("unknown", tblDocketedComments[[#This Row],[Docketed Consumer Comments]])),
    ISNUMBER(SEARCH("inactive", tblDocketedComments[[#This Row],[Docketed Consumer Comments]]))
  ),
  0,
  1
)</f>
        <v>1</v>
      </c>
    </row>
    <row r="481" spans="1:22" hidden="1">
      <c r="A481" s="2">
        <v>45903</v>
      </c>
      <c r="B481" s="1" t="s">
        <v>1471</v>
      </c>
      <c r="C481" s="1" t="s">
        <v>1472</v>
      </c>
      <c r="D481" s="1" t="s">
        <v>169</v>
      </c>
      <c r="E481" s="1">
        <v>85395</v>
      </c>
      <c r="F481" s="1" t="s">
        <v>31</v>
      </c>
      <c r="G481" s="1" t="s">
        <v>1329</v>
      </c>
      <c r="H481" s="4" t="s">
        <v>1473</v>
      </c>
      <c r="I481" s="5" t="s">
        <v>250</v>
      </c>
      <c r="J481" s="5" t="s">
        <v>37</v>
      </c>
      <c r="K481" s="5" t="s">
        <v>37</v>
      </c>
      <c r="L481" s="5" t="s">
        <v>38</v>
      </c>
      <c r="M481" s="5" t="s">
        <v>37</v>
      </c>
      <c r="N481" s="5" t="s">
        <v>37</v>
      </c>
      <c r="O481" s="5" t="s">
        <v>38</v>
      </c>
      <c r="P481" s="5" t="s">
        <v>39</v>
      </c>
      <c r="Q481" s="2">
        <v>45967</v>
      </c>
      <c r="V481" s="46">
        <f>IF(
  OR(
    ISNUMBER(SEARCH("unable to locate acct", tblDocketedComments[[#This Row],[Docketed Consumer Comments]])),
    ISNUMBER(SEARCH("unknown", tblDocketedComments[[#This Row],[Docketed Consumer Comments]])),
    ISNUMBER(SEARCH("inactive", tblDocketedComments[[#This Row],[Docketed Consumer Comments]]))
  ),
  0,
  1
)</f>
        <v>1</v>
      </c>
    </row>
    <row r="482" spans="1:22" hidden="1">
      <c r="A482" s="2">
        <v>45903</v>
      </c>
      <c r="B482" s="1" t="s">
        <v>1474</v>
      </c>
      <c r="C482" s="1" t="s">
        <v>1475</v>
      </c>
      <c r="D482" s="1" t="s">
        <v>523</v>
      </c>
      <c r="E482" s="1">
        <v>85392</v>
      </c>
      <c r="F482" s="1" t="s">
        <v>31</v>
      </c>
      <c r="G482" s="1" t="s">
        <v>1329</v>
      </c>
      <c r="H482" s="4" t="s">
        <v>1476</v>
      </c>
      <c r="I482" s="5" t="s">
        <v>126</v>
      </c>
      <c r="J482" s="5" t="s">
        <v>37</v>
      </c>
      <c r="K482" s="5" t="s">
        <v>37</v>
      </c>
      <c r="L482" s="7" t="s">
        <v>1477</v>
      </c>
      <c r="M482" s="5" t="s">
        <v>37</v>
      </c>
      <c r="N482" s="5" t="s">
        <v>37</v>
      </c>
      <c r="O482" s="5" t="s">
        <v>38</v>
      </c>
      <c r="P482" s="2">
        <v>45936</v>
      </c>
      <c r="Q482" s="2">
        <v>45967</v>
      </c>
      <c r="R482" s="1" t="s">
        <v>1429</v>
      </c>
      <c r="V482" s="46">
        <f>IF(
  OR(
    ISNUMBER(SEARCH("unable to locate acct", tblDocketedComments[[#This Row],[Docketed Consumer Comments]])),
    ISNUMBER(SEARCH("unknown", tblDocketedComments[[#This Row],[Docketed Consumer Comments]])),
    ISNUMBER(SEARCH("inactive", tblDocketedComments[[#This Row],[Docketed Consumer Comments]]))
  ),
  0,
  1
)</f>
        <v>1</v>
      </c>
    </row>
    <row r="483" spans="1:22" hidden="1">
      <c r="A483" s="2">
        <v>45903</v>
      </c>
      <c r="B483" s="1" t="s">
        <v>1478</v>
      </c>
      <c r="C483" s="1" t="s">
        <v>1479</v>
      </c>
      <c r="D483" s="1" t="s">
        <v>202</v>
      </c>
      <c r="E483" s="1">
        <v>85383</v>
      </c>
      <c r="F483" s="1" t="s">
        <v>310</v>
      </c>
      <c r="G483" s="1" t="s">
        <v>1329</v>
      </c>
      <c r="H483" s="4" t="s">
        <v>1480</v>
      </c>
      <c r="I483" s="5" t="s">
        <v>36</v>
      </c>
      <c r="J483" s="5" t="s">
        <v>37</v>
      </c>
      <c r="K483" s="5" t="s">
        <v>37</v>
      </c>
      <c r="L483" s="5" t="s">
        <v>38</v>
      </c>
      <c r="M483" s="5" t="s">
        <v>37</v>
      </c>
      <c r="N483" s="5" t="s">
        <v>37</v>
      </c>
      <c r="O483" s="5" t="s">
        <v>38</v>
      </c>
      <c r="P483" s="5" t="s">
        <v>39</v>
      </c>
      <c r="Q483" s="2">
        <v>45967</v>
      </c>
      <c r="V483" s="46">
        <f>IF(
  OR(
    ISNUMBER(SEARCH("unable to locate acct", tblDocketedComments[[#This Row],[Docketed Consumer Comments]])),
    ISNUMBER(SEARCH("unknown", tblDocketedComments[[#This Row],[Docketed Consumer Comments]])),
    ISNUMBER(SEARCH("inactive", tblDocketedComments[[#This Row],[Docketed Consumer Comments]]))
  ),
  0,
  1
)</f>
        <v>1</v>
      </c>
    </row>
    <row r="484" spans="1:22" hidden="1">
      <c r="A484" s="2">
        <v>45903</v>
      </c>
      <c r="B484" s="1" t="s">
        <v>1481</v>
      </c>
      <c r="C484" s="1" t="s">
        <v>1482</v>
      </c>
      <c r="D484" s="1" t="s">
        <v>202</v>
      </c>
      <c r="E484" s="1">
        <v>85383</v>
      </c>
      <c r="F484" s="1" t="s">
        <v>310</v>
      </c>
      <c r="G484" s="1" t="s">
        <v>1329</v>
      </c>
      <c r="H484" s="4" t="s">
        <v>1483</v>
      </c>
      <c r="I484" s="5" t="s">
        <v>196</v>
      </c>
      <c r="J484" s="5" t="s">
        <v>37</v>
      </c>
      <c r="K484" s="5" t="s">
        <v>37</v>
      </c>
      <c r="L484" s="5" t="s">
        <v>1484</v>
      </c>
      <c r="M484" s="5" t="s">
        <v>37</v>
      </c>
      <c r="N484" s="5" t="s">
        <v>37</v>
      </c>
      <c r="O484" s="5" t="s">
        <v>38</v>
      </c>
      <c r="P484" s="5" t="s">
        <v>39</v>
      </c>
      <c r="Q484" s="2">
        <v>45967</v>
      </c>
      <c r="V484" s="46">
        <f>IF(
  OR(
    ISNUMBER(SEARCH("unable to locate acct", tblDocketedComments[[#This Row],[Docketed Consumer Comments]])),
    ISNUMBER(SEARCH("unknown", tblDocketedComments[[#This Row],[Docketed Consumer Comments]])),
    ISNUMBER(SEARCH("inactive", tblDocketedComments[[#This Row],[Docketed Consumer Comments]]))
  ),
  0,
  1
)</f>
        <v>1</v>
      </c>
    </row>
    <row r="485" spans="1:22" hidden="1">
      <c r="A485" s="2">
        <v>45903</v>
      </c>
      <c r="B485" s="1" t="s">
        <v>1485</v>
      </c>
      <c r="C485" s="1" t="s">
        <v>1486</v>
      </c>
      <c r="D485" s="1" t="s">
        <v>202</v>
      </c>
      <c r="E485" s="1">
        <v>85383</v>
      </c>
      <c r="F485" s="1" t="s">
        <v>31</v>
      </c>
      <c r="G485" s="1" t="s">
        <v>1329</v>
      </c>
      <c r="H485" s="4" t="s">
        <v>1487</v>
      </c>
      <c r="I485" s="5" t="s">
        <v>1488</v>
      </c>
      <c r="J485" s="5" t="s">
        <v>37</v>
      </c>
      <c r="K485" s="5" t="s">
        <v>37</v>
      </c>
      <c r="L485" s="5" t="s">
        <v>389</v>
      </c>
      <c r="M485" s="5" t="s">
        <v>37</v>
      </c>
      <c r="N485" s="5" t="s">
        <v>37</v>
      </c>
      <c r="O485" s="5" t="s">
        <v>38</v>
      </c>
      <c r="P485" s="5" t="s">
        <v>39</v>
      </c>
      <c r="Q485" s="2">
        <v>45967</v>
      </c>
      <c r="V485" s="46">
        <f>IF(
  OR(
    ISNUMBER(SEARCH("unable to locate acct", tblDocketedComments[[#This Row],[Docketed Consumer Comments]])),
    ISNUMBER(SEARCH("unknown", tblDocketedComments[[#This Row],[Docketed Consumer Comments]])),
    ISNUMBER(SEARCH("inactive", tblDocketedComments[[#This Row],[Docketed Consumer Comments]]))
  ),
  0,
  1
)</f>
        <v>1</v>
      </c>
    </row>
    <row r="486" spans="1:22" hidden="1">
      <c r="A486" s="2">
        <v>45903</v>
      </c>
      <c r="B486" s="1" t="s">
        <v>1489</v>
      </c>
      <c r="C486" s="1" t="s">
        <v>1490</v>
      </c>
      <c r="D486" s="1" t="s">
        <v>169</v>
      </c>
      <c r="E486" s="1">
        <v>85338</v>
      </c>
      <c r="F486" s="1" t="s">
        <v>31</v>
      </c>
      <c r="G486" s="1" t="s">
        <v>1329</v>
      </c>
      <c r="H486" s="4" t="s">
        <v>27</v>
      </c>
      <c r="V486" s="46">
        <f>IF(
  OR(
    ISNUMBER(SEARCH("unable to locate acct", tblDocketedComments[[#This Row],[Docketed Consumer Comments]])),
    ISNUMBER(SEARCH("unknown", tblDocketedComments[[#This Row],[Docketed Consumer Comments]])),
    ISNUMBER(SEARCH("inactive", tblDocketedComments[[#This Row],[Docketed Consumer Comments]]))
  ),
  0,
  1
)</f>
        <v>1</v>
      </c>
    </row>
    <row r="487" spans="1:22" hidden="1">
      <c r="A487" s="2">
        <v>45903</v>
      </c>
      <c r="B487" s="1" t="s">
        <v>238</v>
      </c>
      <c r="C487" s="1" t="s">
        <v>256</v>
      </c>
      <c r="D487" s="1" t="s">
        <v>240</v>
      </c>
      <c r="E487" s="1">
        <v>85340</v>
      </c>
      <c r="F487" s="1" t="s">
        <v>31</v>
      </c>
      <c r="G487" s="1" t="s">
        <v>1329</v>
      </c>
      <c r="H487" s="4" t="s">
        <v>1491</v>
      </c>
      <c r="I487" s="5" t="s">
        <v>57</v>
      </c>
      <c r="J487" s="5" t="s">
        <v>37</v>
      </c>
      <c r="K487" s="5" t="s">
        <v>37</v>
      </c>
      <c r="L487" s="7" t="s">
        <v>1492</v>
      </c>
      <c r="M487" s="5" t="s">
        <v>37</v>
      </c>
      <c r="N487" s="5" t="s">
        <v>37</v>
      </c>
      <c r="O487" s="5" t="s">
        <v>38</v>
      </c>
      <c r="P487" s="2">
        <v>45936</v>
      </c>
      <c r="Q487" s="2">
        <v>45967</v>
      </c>
      <c r="R487" s="1" t="s">
        <v>1429</v>
      </c>
      <c r="V487" s="46">
        <f>IF(
  OR(
    ISNUMBER(SEARCH("unable to locate acct", tblDocketedComments[[#This Row],[Docketed Consumer Comments]])),
    ISNUMBER(SEARCH("unknown", tblDocketedComments[[#This Row],[Docketed Consumer Comments]])),
    ISNUMBER(SEARCH("inactive", tblDocketedComments[[#This Row],[Docketed Consumer Comments]]))
  ),
  0,
  1
)</f>
        <v>1</v>
      </c>
    </row>
    <row r="488" spans="1:22" hidden="1">
      <c r="A488" s="2">
        <v>45903</v>
      </c>
      <c r="B488" s="1" t="s">
        <v>1493</v>
      </c>
      <c r="C488" s="1" t="s">
        <v>597</v>
      </c>
      <c r="D488" s="1" t="s">
        <v>1204</v>
      </c>
      <c r="E488" s="1">
        <v>85355</v>
      </c>
      <c r="F488" s="1" t="s">
        <v>31</v>
      </c>
      <c r="G488" s="1" t="s">
        <v>1329</v>
      </c>
      <c r="H488" s="4" t="s">
        <v>1494</v>
      </c>
      <c r="I488" s="5" t="s">
        <v>46</v>
      </c>
      <c r="J488" s="5" t="s">
        <v>37</v>
      </c>
      <c r="K488" s="5" t="s">
        <v>37</v>
      </c>
      <c r="L488" s="5" t="s">
        <v>38</v>
      </c>
      <c r="M488" s="5" t="s">
        <v>37</v>
      </c>
      <c r="N488" s="5" t="s">
        <v>37</v>
      </c>
      <c r="O488" s="5" t="s">
        <v>38</v>
      </c>
      <c r="P488" s="5" t="s">
        <v>39</v>
      </c>
      <c r="Q488" s="2">
        <v>45967</v>
      </c>
      <c r="V488" s="46">
        <f>IF(
  OR(
    ISNUMBER(SEARCH("unable to locate acct", tblDocketedComments[[#This Row],[Docketed Consumer Comments]])),
    ISNUMBER(SEARCH("unknown", tblDocketedComments[[#This Row],[Docketed Consumer Comments]])),
    ISNUMBER(SEARCH("inactive", tblDocketedComments[[#This Row],[Docketed Consumer Comments]]))
  ),
  0,
  1
)</f>
        <v>1</v>
      </c>
    </row>
    <row r="489" spans="1:22" hidden="1">
      <c r="A489" s="2">
        <v>45903</v>
      </c>
      <c r="B489" s="1" t="s">
        <v>1495</v>
      </c>
      <c r="C489" s="1" t="s">
        <v>1496</v>
      </c>
      <c r="D489" s="1" t="s">
        <v>202</v>
      </c>
      <c r="E489" s="1">
        <v>85383</v>
      </c>
      <c r="F489" s="1" t="s">
        <v>31</v>
      </c>
      <c r="G489" s="1" t="s">
        <v>1329</v>
      </c>
      <c r="H489" s="4" t="s">
        <v>209</v>
      </c>
      <c r="V489" s="46">
        <f>IF(
  OR(
    ISNUMBER(SEARCH("unable to locate acct", tblDocketedComments[[#This Row],[Docketed Consumer Comments]])),
    ISNUMBER(SEARCH("unknown", tblDocketedComments[[#This Row],[Docketed Consumer Comments]])),
    ISNUMBER(SEARCH("inactive", tblDocketedComments[[#This Row],[Docketed Consumer Comments]]))
  ),
  0,
  1
)</f>
        <v>1</v>
      </c>
    </row>
    <row r="490" spans="1:22" hidden="1">
      <c r="A490" s="2">
        <v>45903</v>
      </c>
      <c r="B490" s="1" t="s">
        <v>1497</v>
      </c>
      <c r="C490" s="1" t="s">
        <v>1498</v>
      </c>
      <c r="D490" s="1" t="s">
        <v>63</v>
      </c>
      <c r="E490" s="1">
        <v>85024</v>
      </c>
      <c r="F490" s="1" t="s">
        <v>31</v>
      </c>
      <c r="G490" s="1" t="s">
        <v>1329</v>
      </c>
      <c r="H490" s="4" t="s">
        <v>1499</v>
      </c>
      <c r="I490" s="5" t="s">
        <v>1040</v>
      </c>
      <c r="J490" s="5" t="s">
        <v>37</v>
      </c>
      <c r="K490" s="5" t="s">
        <v>37</v>
      </c>
      <c r="L490" s="5" t="s">
        <v>38</v>
      </c>
      <c r="M490" s="5" t="s">
        <v>37</v>
      </c>
      <c r="N490" s="5" t="s">
        <v>37</v>
      </c>
      <c r="O490" s="5" t="s">
        <v>38</v>
      </c>
      <c r="P490" s="5" t="s">
        <v>39</v>
      </c>
      <c r="Q490" s="2">
        <v>45967</v>
      </c>
      <c r="V490" s="46">
        <f>IF(
  OR(
    ISNUMBER(SEARCH("unable to locate acct", tblDocketedComments[[#This Row],[Docketed Consumer Comments]])),
    ISNUMBER(SEARCH("unknown", tblDocketedComments[[#This Row],[Docketed Consumer Comments]])),
    ISNUMBER(SEARCH("inactive", tblDocketedComments[[#This Row],[Docketed Consumer Comments]]))
  ),
  0,
  1
)</f>
        <v>1</v>
      </c>
    </row>
    <row r="491" spans="1:22" hidden="1">
      <c r="A491" s="2">
        <v>45903</v>
      </c>
      <c r="B491" s="1" t="s">
        <v>1500</v>
      </c>
      <c r="C491" s="1" t="s">
        <v>1501</v>
      </c>
      <c r="D491" s="1" t="s">
        <v>63</v>
      </c>
      <c r="E491" s="1">
        <v>85085</v>
      </c>
      <c r="F491" s="1" t="s">
        <v>310</v>
      </c>
      <c r="G491" s="1" t="s">
        <v>1329</v>
      </c>
      <c r="H491" s="4" t="s">
        <v>1502</v>
      </c>
      <c r="I491" s="5" t="s">
        <v>36</v>
      </c>
      <c r="J491" s="5" t="s">
        <v>37</v>
      </c>
      <c r="K491" s="5" t="s">
        <v>37</v>
      </c>
      <c r="L491" s="5" t="s">
        <v>38</v>
      </c>
      <c r="M491" s="5" t="s">
        <v>37</v>
      </c>
      <c r="N491" s="5" t="s">
        <v>37</v>
      </c>
      <c r="O491" s="5" t="s">
        <v>38</v>
      </c>
      <c r="P491" s="5" t="s">
        <v>39</v>
      </c>
      <c r="Q491" s="2">
        <v>45967</v>
      </c>
      <c r="V491" s="46">
        <f>IF(
  OR(
    ISNUMBER(SEARCH("unable to locate acct", tblDocketedComments[[#This Row],[Docketed Consumer Comments]])),
    ISNUMBER(SEARCH("unknown", tblDocketedComments[[#This Row],[Docketed Consumer Comments]])),
    ISNUMBER(SEARCH("inactive", tblDocketedComments[[#This Row],[Docketed Consumer Comments]]))
  ),
  0,
  1
)</f>
        <v>1</v>
      </c>
    </row>
    <row r="492" spans="1:22" hidden="1">
      <c r="A492" s="2">
        <v>45903</v>
      </c>
      <c r="B492" s="1" t="s">
        <v>1503</v>
      </c>
      <c r="C492" s="1" t="s">
        <v>1504</v>
      </c>
      <c r="D492" s="1" t="s">
        <v>63</v>
      </c>
      <c r="E492" s="1">
        <v>85003</v>
      </c>
      <c r="F492" s="1" t="s">
        <v>310</v>
      </c>
      <c r="G492" s="1" t="s">
        <v>1329</v>
      </c>
      <c r="H492" s="4" t="s">
        <v>1505</v>
      </c>
      <c r="I492" s="5" t="s">
        <v>196</v>
      </c>
      <c r="J492" s="5" t="s">
        <v>37</v>
      </c>
      <c r="K492" s="5" t="s">
        <v>37</v>
      </c>
      <c r="L492" s="7" t="s">
        <v>1506</v>
      </c>
      <c r="M492" s="5" t="s">
        <v>37</v>
      </c>
      <c r="N492" s="5" t="s">
        <v>37</v>
      </c>
      <c r="O492" s="5" t="s">
        <v>38</v>
      </c>
      <c r="P492" s="2">
        <v>45936</v>
      </c>
      <c r="Q492" s="2">
        <v>45967</v>
      </c>
      <c r="R492" s="21" t="s">
        <v>1507</v>
      </c>
      <c r="V492" s="46">
        <f>IF(
  OR(
    ISNUMBER(SEARCH("unable to locate acct", tblDocketedComments[[#This Row],[Docketed Consumer Comments]])),
    ISNUMBER(SEARCH("unknown", tblDocketedComments[[#This Row],[Docketed Consumer Comments]])),
    ISNUMBER(SEARCH("inactive", tblDocketedComments[[#This Row],[Docketed Consumer Comments]]))
  ),
  0,
  1
)</f>
        <v>1</v>
      </c>
    </row>
    <row r="493" spans="1:22" hidden="1">
      <c r="A493" s="2">
        <v>45903</v>
      </c>
      <c r="B493" s="1" t="s">
        <v>1508</v>
      </c>
      <c r="C493" s="1" t="s">
        <v>291</v>
      </c>
      <c r="D493" s="1" t="s">
        <v>169</v>
      </c>
      <c r="E493" s="1">
        <v>85338</v>
      </c>
      <c r="F493" s="1" t="s">
        <v>1509</v>
      </c>
      <c r="G493" s="1" t="s">
        <v>1329</v>
      </c>
      <c r="H493" s="4" t="s">
        <v>1510</v>
      </c>
      <c r="I493" s="5" t="s">
        <v>196</v>
      </c>
      <c r="J493" s="5" t="s">
        <v>37</v>
      </c>
      <c r="K493" s="5" t="s">
        <v>37</v>
      </c>
      <c r="L493" s="7" t="s">
        <v>1511</v>
      </c>
      <c r="M493" s="5" t="s">
        <v>37</v>
      </c>
      <c r="N493" s="5" t="s">
        <v>37</v>
      </c>
      <c r="O493" s="5" t="s">
        <v>38</v>
      </c>
      <c r="P493" s="2">
        <v>45936</v>
      </c>
      <c r="Q493" s="2">
        <v>45967</v>
      </c>
      <c r="R493" s="21" t="s">
        <v>1429</v>
      </c>
      <c r="V493" s="46">
        <f>IF(
  OR(
    ISNUMBER(SEARCH("unable to locate acct", tblDocketedComments[[#This Row],[Docketed Consumer Comments]])),
    ISNUMBER(SEARCH("unknown", tblDocketedComments[[#This Row],[Docketed Consumer Comments]])),
    ISNUMBER(SEARCH("inactive", tblDocketedComments[[#This Row],[Docketed Consumer Comments]]))
  ),
  0,
  1
)</f>
        <v>1</v>
      </c>
    </row>
    <row r="494" spans="1:22" hidden="1">
      <c r="A494" s="2">
        <v>45903</v>
      </c>
      <c r="B494" s="1" t="s">
        <v>1512</v>
      </c>
      <c r="C494" s="1" t="s">
        <v>75</v>
      </c>
      <c r="D494" s="1" t="s">
        <v>63</v>
      </c>
      <c r="E494" s="1">
        <v>85013</v>
      </c>
      <c r="F494" s="1" t="s">
        <v>310</v>
      </c>
      <c r="G494" s="1" t="s">
        <v>1329</v>
      </c>
      <c r="H494" s="4" t="s">
        <v>27</v>
      </c>
      <c r="V494" s="46">
        <f>IF(
  OR(
    ISNUMBER(SEARCH("unable to locate acct", tblDocketedComments[[#This Row],[Docketed Consumer Comments]])),
    ISNUMBER(SEARCH("unknown", tblDocketedComments[[#This Row],[Docketed Consumer Comments]])),
    ISNUMBER(SEARCH("inactive", tblDocketedComments[[#This Row],[Docketed Consumer Comments]]))
  ),
  0,
  1
)</f>
        <v>1</v>
      </c>
    </row>
    <row r="495" spans="1:22" hidden="1">
      <c r="A495" s="2">
        <v>45903</v>
      </c>
      <c r="B495" s="1" t="s">
        <v>1513</v>
      </c>
      <c r="C495" s="1" t="s">
        <v>1514</v>
      </c>
      <c r="D495" s="1" t="s">
        <v>63</v>
      </c>
      <c r="E495" s="1">
        <v>85014</v>
      </c>
      <c r="F495" s="1" t="s">
        <v>310</v>
      </c>
      <c r="G495" s="1" t="s">
        <v>1329</v>
      </c>
      <c r="H495" s="4" t="s">
        <v>27</v>
      </c>
      <c r="R495" s="21"/>
      <c r="V495" s="46">
        <f>IF(
  OR(
    ISNUMBER(SEARCH("unable to locate acct", tblDocketedComments[[#This Row],[Docketed Consumer Comments]])),
    ISNUMBER(SEARCH("unknown", tblDocketedComments[[#This Row],[Docketed Consumer Comments]])),
    ISNUMBER(SEARCH("inactive", tblDocketedComments[[#This Row],[Docketed Consumer Comments]]))
  ),
  0,
  1
)</f>
        <v>1</v>
      </c>
    </row>
    <row r="496" spans="1:22" hidden="1">
      <c r="A496" s="2">
        <v>45903</v>
      </c>
      <c r="B496" s="1" t="s">
        <v>1515</v>
      </c>
      <c r="C496" s="1" t="s">
        <v>1516</v>
      </c>
      <c r="D496" s="1" t="s">
        <v>202</v>
      </c>
      <c r="E496" s="1">
        <v>85383</v>
      </c>
      <c r="F496" s="1" t="s">
        <v>310</v>
      </c>
      <c r="G496" s="1" t="s">
        <v>1329</v>
      </c>
      <c r="H496" s="4" t="s">
        <v>1517</v>
      </c>
      <c r="I496" s="5" t="s">
        <v>196</v>
      </c>
      <c r="J496" s="5" t="s">
        <v>37</v>
      </c>
      <c r="K496" s="5" t="s">
        <v>37</v>
      </c>
      <c r="L496" s="7" t="s">
        <v>1518</v>
      </c>
      <c r="M496" s="5" t="s">
        <v>37</v>
      </c>
      <c r="N496" s="5" t="s">
        <v>37</v>
      </c>
      <c r="O496" s="5" t="s">
        <v>38</v>
      </c>
      <c r="P496" s="2">
        <v>45936</v>
      </c>
      <c r="Q496" s="2">
        <v>45967</v>
      </c>
      <c r="R496" s="1" t="s">
        <v>1429</v>
      </c>
      <c r="V496" s="46">
        <f>IF(
  OR(
    ISNUMBER(SEARCH("unable to locate acct", tblDocketedComments[[#This Row],[Docketed Consumer Comments]])),
    ISNUMBER(SEARCH("unknown", tblDocketedComments[[#This Row],[Docketed Consumer Comments]])),
    ISNUMBER(SEARCH("inactive", tblDocketedComments[[#This Row],[Docketed Consumer Comments]]))
  ),
  0,
  1
)</f>
        <v>1</v>
      </c>
    </row>
    <row r="497" spans="1:22" ht="11.25" hidden="1" customHeight="1">
      <c r="A497" s="2">
        <v>45903</v>
      </c>
      <c r="B497" s="1" t="s">
        <v>1519</v>
      </c>
      <c r="C497" s="1" t="s">
        <v>1520</v>
      </c>
      <c r="D497" s="1" t="s">
        <v>202</v>
      </c>
      <c r="E497" s="1">
        <v>85383</v>
      </c>
      <c r="F497" s="1" t="s">
        <v>310</v>
      </c>
      <c r="G497" s="1" t="s">
        <v>1329</v>
      </c>
      <c r="H497" s="4" t="s">
        <v>1521</v>
      </c>
      <c r="I497" s="5" t="s">
        <v>73</v>
      </c>
      <c r="J497" s="5" t="s">
        <v>37</v>
      </c>
      <c r="K497" s="5" t="s">
        <v>37</v>
      </c>
      <c r="L497" s="5" t="s">
        <v>38</v>
      </c>
      <c r="M497" s="5" t="s">
        <v>37</v>
      </c>
      <c r="N497" s="5" t="s">
        <v>37</v>
      </c>
      <c r="O497" s="5" t="s">
        <v>38</v>
      </c>
      <c r="P497" s="5" t="s">
        <v>39</v>
      </c>
      <c r="Q497" s="2">
        <v>45967</v>
      </c>
      <c r="V497" s="46">
        <f>IF(
  OR(
    ISNUMBER(SEARCH("unable to locate acct", tblDocketedComments[[#This Row],[Docketed Consumer Comments]])),
    ISNUMBER(SEARCH("unknown", tblDocketedComments[[#This Row],[Docketed Consumer Comments]])),
    ISNUMBER(SEARCH("inactive", tblDocketedComments[[#This Row],[Docketed Consumer Comments]]))
  ),
  0,
  1
)</f>
        <v>1</v>
      </c>
    </row>
    <row r="498" spans="1:22" hidden="1">
      <c r="A498" s="2">
        <v>45903</v>
      </c>
      <c r="B498" s="1" t="s">
        <v>1522</v>
      </c>
      <c r="C498" s="1" t="s">
        <v>611</v>
      </c>
      <c r="D498" s="1" t="s">
        <v>169</v>
      </c>
      <c r="E498" s="1">
        <v>85338</v>
      </c>
      <c r="F498" s="1" t="s">
        <v>31</v>
      </c>
      <c r="G498" s="1" t="s">
        <v>1329</v>
      </c>
      <c r="H498" s="4" t="s">
        <v>1523</v>
      </c>
      <c r="I498" s="5" t="s">
        <v>196</v>
      </c>
      <c r="J498" s="5" t="s">
        <v>37</v>
      </c>
      <c r="K498" s="5" t="s">
        <v>37</v>
      </c>
      <c r="L498" s="7" t="s">
        <v>1524</v>
      </c>
      <c r="M498" s="5" t="s">
        <v>37</v>
      </c>
      <c r="N498" s="5" t="s">
        <v>37</v>
      </c>
      <c r="O498" s="5" t="s">
        <v>38</v>
      </c>
      <c r="P498" s="5" t="s">
        <v>39</v>
      </c>
      <c r="Q498" s="2">
        <v>45967</v>
      </c>
      <c r="R498" s="1" t="s">
        <v>1525</v>
      </c>
      <c r="V498" s="46">
        <f>IF(
  OR(
    ISNUMBER(SEARCH("unable to locate acct", tblDocketedComments[[#This Row],[Docketed Consumer Comments]])),
    ISNUMBER(SEARCH("unknown", tblDocketedComments[[#This Row],[Docketed Consumer Comments]])),
    ISNUMBER(SEARCH("inactive", tblDocketedComments[[#This Row],[Docketed Consumer Comments]]))
  ),
  0,
  1
)</f>
        <v>1</v>
      </c>
    </row>
    <row r="499" spans="1:22" hidden="1">
      <c r="A499" s="2">
        <v>45903</v>
      </c>
      <c r="B499" s="1" t="s">
        <v>1526</v>
      </c>
      <c r="C499" s="1" t="s">
        <v>570</v>
      </c>
      <c r="D499" s="1" t="s">
        <v>63</v>
      </c>
      <c r="E499" s="1">
        <v>85024</v>
      </c>
      <c r="F499" s="1" t="s">
        <v>310</v>
      </c>
      <c r="G499" s="1" t="s">
        <v>1329</v>
      </c>
      <c r="H499" s="19" t="s">
        <v>1527</v>
      </c>
      <c r="I499" s="5" t="s">
        <v>1528</v>
      </c>
      <c r="J499" s="5" t="s">
        <v>37</v>
      </c>
      <c r="K499" s="5" t="s">
        <v>37</v>
      </c>
      <c r="L499" s="5" t="s">
        <v>38</v>
      </c>
      <c r="M499" s="5" t="s">
        <v>37</v>
      </c>
      <c r="N499" s="5" t="s">
        <v>37</v>
      </c>
      <c r="O499" s="5" t="s">
        <v>38</v>
      </c>
      <c r="P499" s="5" t="s">
        <v>39</v>
      </c>
      <c r="Q499" s="2">
        <v>45967</v>
      </c>
      <c r="V499" s="46">
        <f>IF(
  OR(
    ISNUMBER(SEARCH("unable to locate acct", tblDocketedComments[[#This Row],[Docketed Consumer Comments]])),
    ISNUMBER(SEARCH("unknown", tblDocketedComments[[#This Row],[Docketed Consumer Comments]])),
    ISNUMBER(SEARCH("inactive", tblDocketedComments[[#This Row],[Docketed Consumer Comments]]))
  ),
  0,
  1
)</f>
        <v>1</v>
      </c>
    </row>
    <row r="500" spans="1:22" hidden="1">
      <c r="A500" s="2">
        <v>45903</v>
      </c>
      <c r="B500" s="1" t="s">
        <v>1529</v>
      </c>
      <c r="C500" s="1" t="s">
        <v>1530</v>
      </c>
      <c r="D500" s="1" t="s">
        <v>63</v>
      </c>
      <c r="E500" s="1">
        <v>85050</v>
      </c>
      <c r="F500" s="1" t="s">
        <v>31</v>
      </c>
      <c r="G500" s="1" t="s">
        <v>1329</v>
      </c>
      <c r="H500" s="19" t="s">
        <v>1531</v>
      </c>
      <c r="I500" s="5" t="s">
        <v>36</v>
      </c>
      <c r="J500" s="5" t="s">
        <v>37</v>
      </c>
      <c r="K500" s="5" t="s">
        <v>37</v>
      </c>
      <c r="L500" s="5" t="s">
        <v>38</v>
      </c>
      <c r="M500" s="5" t="s">
        <v>37</v>
      </c>
      <c r="N500" s="5" t="s">
        <v>37</v>
      </c>
      <c r="O500" s="5" t="s">
        <v>38</v>
      </c>
      <c r="P500" s="5" t="s">
        <v>39</v>
      </c>
      <c r="Q500" s="2">
        <v>45966</v>
      </c>
      <c r="V500" s="46">
        <f>IF(
  OR(
    ISNUMBER(SEARCH("unable to locate acct", tblDocketedComments[[#This Row],[Docketed Consumer Comments]])),
    ISNUMBER(SEARCH("unknown", tblDocketedComments[[#This Row],[Docketed Consumer Comments]])),
    ISNUMBER(SEARCH("inactive", tblDocketedComments[[#This Row],[Docketed Consumer Comments]]))
  ),
  0,
  1
)</f>
        <v>1</v>
      </c>
    </row>
    <row r="501" spans="1:22" hidden="1">
      <c r="A501" s="2">
        <v>45903</v>
      </c>
      <c r="B501" s="1" t="s">
        <v>1532</v>
      </c>
      <c r="C501" s="1" t="s">
        <v>1533</v>
      </c>
      <c r="D501" s="1" t="s">
        <v>169</v>
      </c>
      <c r="E501" s="1">
        <v>85338</v>
      </c>
      <c r="F501" s="1" t="s">
        <v>1534</v>
      </c>
      <c r="G501" s="1" t="s">
        <v>1329</v>
      </c>
      <c r="H501" s="19" t="s">
        <v>1535</v>
      </c>
      <c r="I501" s="5" t="s">
        <v>36</v>
      </c>
      <c r="J501" s="5" t="s">
        <v>37</v>
      </c>
      <c r="K501" s="5" t="s">
        <v>37</v>
      </c>
      <c r="L501" s="5" t="s">
        <v>38</v>
      </c>
      <c r="M501" s="5" t="s">
        <v>37</v>
      </c>
      <c r="N501" s="5" t="s">
        <v>37</v>
      </c>
      <c r="O501" s="5" t="s">
        <v>38</v>
      </c>
      <c r="P501" s="5" t="s">
        <v>39</v>
      </c>
      <c r="Q501" s="2">
        <v>45966</v>
      </c>
      <c r="V501" s="46">
        <f>IF(
  OR(
    ISNUMBER(SEARCH("unable to locate acct", tblDocketedComments[[#This Row],[Docketed Consumer Comments]])),
    ISNUMBER(SEARCH("unknown", tblDocketedComments[[#This Row],[Docketed Consumer Comments]])),
    ISNUMBER(SEARCH("inactive", tblDocketedComments[[#This Row],[Docketed Consumer Comments]]))
  ),
  0,
  1
)</f>
        <v>1</v>
      </c>
    </row>
    <row r="502" spans="1:22" hidden="1">
      <c r="A502" s="2">
        <v>45903</v>
      </c>
      <c r="B502" s="1" t="s">
        <v>1536</v>
      </c>
      <c r="C502" s="1" t="s">
        <v>1537</v>
      </c>
      <c r="D502" s="1" t="s">
        <v>63</v>
      </c>
      <c r="E502" s="1">
        <v>85013</v>
      </c>
      <c r="F502" s="1" t="s">
        <v>1538</v>
      </c>
      <c r="G502" s="1" t="s">
        <v>1329</v>
      </c>
      <c r="H502" s="19" t="s">
        <v>1539</v>
      </c>
      <c r="I502" s="5" t="s">
        <v>73</v>
      </c>
      <c r="J502" s="5" t="s">
        <v>37</v>
      </c>
      <c r="K502" s="5" t="s">
        <v>37</v>
      </c>
      <c r="L502" s="5" t="s">
        <v>38</v>
      </c>
      <c r="M502" s="5" t="s">
        <v>37</v>
      </c>
      <c r="N502" s="5" t="s">
        <v>37</v>
      </c>
      <c r="O502" s="5" t="s">
        <v>38</v>
      </c>
      <c r="P502" s="5" t="s">
        <v>39</v>
      </c>
      <c r="Q502" s="2">
        <v>45966</v>
      </c>
      <c r="V502" s="46">
        <f>IF(
  OR(
    ISNUMBER(SEARCH("unable to locate acct", tblDocketedComments[[#This Row],[Docketed Consumer Comments]])),
    ISNUMBER(SEARCH("unknown", tblDocketedComments[[#This Row],[Docketed Consumer Comments]])),
    ISNUMBER(SEARCH("inactive", tblDocketedComments[[#This Row],[Docketed Consumer Comments]]))
  ),
  0,
  1
)</f>
        <v>1</v>
      </c>
    </row>
    <row r="503" spans="1:22" hidden="1">
      <c r="A503" s="2">
        <v>45903</v>
      </c>
      <c r="B503" s="1" t="s">
        <v>1540</v>
      </c>
      <c r="C503" s="1" t="s">
        <v>624</v>
      </c>
      <c r="D503" s="1" t="s">
        <v>202</v>
      </c>
      <c r="E503" s="1">
        <v>85381</v>
      </c>
      <c r="F503" s="1" t="s">
        <v>310</v>
      </c>
      <c r="G503" s="1" t="s">
        <v>1329</v>
      </c>
      <c r="H503" s="19" t="s">
        <v>1541</v>
      </c>
      <c r="I503" s="5" t="s">
        <v>36</v>
      </c>
      <c r="J503" s="5" t="s">
        <v>37</v>
      </c>
      <c r="K503" s="5" t="s">
        <v>37</v>
      </c>
      <c r="L503" s="5" t="s">
        <v>38</v>
      </c>
      <c r="M503" s="5" t="s">
        <v>37</v>
      </c>
      <c r="N503" s="5" t="s">
        <v>37</v>
      </c>
      <c r="O503" s="5" t="s">
        <v>38</v>
      </c>
      <c r="P503" s="5" t="s">
        <v>39</v>
      </c>
      <c r="Q503" s="2">
        <v>45966</v>
      </c>
      <c r="V503" s="46">
        <f>IF(
  OR(
    ISNUMBER(SEARCH("unable to locate acct", tblDocketedComments[[#This Row],[Docketed Consumer Comments]])),
    ISNUMBER(SEARCH("unknown", tblDocketedComments[[#This Row],[Docketed Consumer Comments]])),
    ISNUMBER(SEARCH("inactive", tblDocketedComments[[#This Row],[Docketed Consumer Comments]]))
  ),
  0,
  1
)</f>
        <v>1</v>
      </c>
    </row>
    <row r="504" spans="1:22" hidden="1">
      <c r="A504" s="2">
        <v>45903</v>
      </c>
      <c r="B504" s="1" t="s">
        <v>1542</v>
      </c>
      <c r="C504" s="1" t="s">
        <v>1543</v>
      </c>
      <c r="D504" s="1" t="s">
        <v>1544</v>
      </c>
      <c r="E504" s="1">
        <v>86332</v>
      </c>
      <c r="F504" s="1" t="s">
        <v>31</v>
      </c>
      <c r="G504" s="1" t="s">
        <v>1329</v>
      </c>
      <c r="H504" s="19" t="s">
        <v>1545</v>
      </c>
      <c r="I504" s="5" t="s">
        <v>243</v>
      </c>
      <c r="J504" s="5" t="s">
        <v>37</v>
      </c>
      <c r="K504" s="5" t="s">
        <v>37</v>
      </c>
      <c r="L504" s="5" t="s">
        <v>389</v>
      </c>
      <c r="M504" s="5" t="s">
        <v>37</v>
      </c>
      <c r="N504" s="5" t="s">
        <v>37</v>
      </c>
      <c r="O504" s="5" t="s">
        <v>38</v>
      </c>
      <c r="P504" s="5" t="s">
        <v>39</v>
      </c>
      <c r="Q504" s="2">
        <v>45966</v>
      </c>
      <c r="V504" s="46">
        <f>IF(
  OR(
    ISNUMBER(SEARCH("unable to locate acct", tblDocketedComments[[#This Row],[Docketed Consumer Comments]])),
    ISNUMBER(SEARCH("unknown", tblDocketedComments[[#This Row],[Docketed Consumer Comments]])),
    ISNUMBER(SEARCH("inactive", tblDocketedComments[[#This Row],[Docketed Consumer Comments]]))
  ),
  0,
  1
)</f>
        <v>1</v>
      </c>
    </row>
    <row r="505" spans="1:22" hidden="1">
      <c r="A505" s="2">
        <v>45903</v>
      </c>
      <c r="B505" s="1" t="s">
        <v>1546</v>
      </c>
      <c r="C505" s="1" t="s">
        <v>1547</v>
      </c>
      <c r="D505" s="1" t="s">
        <v>169</v>
      </c>
      <c r="E505" s="1">
        <v>85395</v>
      </c>
      <c r="F505" s="1" t="s">
        <v>31</v>
      </c>
      <c r="G505" s="1" t="s">
        <v>1329</v>
      </c>
      <c r="H505" s="19" t="s">
        <v>1548</v>
      </c>
      <c r="I505" s="5" t="s">
        <v>46</v>
      </c>
      <c r="J505" s="5" t="s">
        <v>37</v>
      </c>
      <c r="K505" s="5" t="s">
        <v>37</v>
      </c>
      <c r="L505" s="5" t="s">
        <v>38</v>
      </c>
      <c r="M505" s="5" t="s">
        <v>37</v>
      </c>
      <c r="N505" s="5" t="s">
        <v>37</v>
      </c>
      <c r="O505" s="5" t="s">
        <v>38</v>
      </c>
      <c r="P505" s="5" t="s">
        <v>39</v>
      </c>
      <c r="Q505" s="2">
        <v>45966</v>
      </c>
      <c r="V505" s="46">
        <f>IF(
  OR(
    ISNUMBER(SEARCH("unable to locate acct", tblDocketedComments[[#This Row],[Docketed Consumer Comments]])),
    ISNUMBER(SEARCH("unknown", tblDocketedComments[[#This Row],[Docketed Consumer Comments]])),
    ISNUMBER(SEARCH("inactive", tblDocketedComments[[#This Row],[Docketed Consumer Comments]]))
  ),
  0,
  1
)</f>
        <v>1</v>
      </c>
    </row>
    <row r="506" spans="1:22" hidden="1">
      <c r="A506" s="2">
        <v>45903</v>
      </c>
      <c r="B506" s="1" t="s">
        <v>1549</v>
      </c>
      <c r="C506" s="1" t="s">
        <v>760</v>
      </c>
      <c r="D506" s="1" t="s">
        <v>523</v>
      </c>
      <c r="E506" s="1">
        <v>85392</v>
      </c>
      <c r="F506" s="1" t="s">
        <v>1550</v>
      </c>
      <c r="G506" s="1" t="s">
        <v>1329</v>
      </c>
      <c r="H506" s="4" t="s">
        <v>27</v>
      </c>
      <c r="V506" s="46">
        <f>IF(
  OR(
    ISNUMBER(SEARCH("unable to locate acct", tblDocketedComments[[#This Row],[Docketed Consumer Comments]])),
    ISNUMBER(SEARCH("unknown", tblDocketedComments[[#This Row],[Docketed Consumer Comments]])),
    ISNUMBER(SEARCH("inactive", tblDocketedComments[[#This Row],[Docketed Consumer Comments]]))
  ),
  0,
  1
)</f>
        <v>1</v>
      </c>
    </row>
    <row r="507" spans="1:22" hidden="1">
      <c r="A507" s="2">
        <v>45903</v>
      </c>
      <c r="B507" s="1" t="s">
        <v>1551</v>
      </c>
      <c r="C507" s="1" t="s">
        <v>1552</v>
      </c>
      <c r="D507" s="1" t="s">
        <v>635</v>
      </c>
      <c r="E507" s="1">
        <v>85281</v>
      </c>
      <c r="F507" s="1" t="s">
        <v>1553</v>
      </c>
      <c r="G507" s="1" t="s">
        <v>1329</v>
      </c>
      <c r="H507" s="4" t="s">
        <v>27</v>
      </c>
      <c r="V507" s="46">
        <f>IF(
  OR(
    ISNUMBER(SEARCH("unable to locate acct", tblDocketedComments[[#This Row],[Docketed Consumer Comments]])),
    ISNUMBER(SEARCH("unknown", tblDocketedComments[[#This Row],[Docketed Consumer Comments]])),
    ISNUMBER(SEARCH("inactive", tblDocketedComments[[#This Row],[Docketed Consumer Comments]]))
  ),
  0,
  1
)</f>
        <v>1</v>
      </c>
    </row>
    <row r="508" spans="1:22" hidden="1">
      <c r="A508" s="2">
        <v>45903</v>
      </c>
      <c r="B508" s="1" t="s">
        <v>1554</v>
      </c>
      <c r="C508" s="1" t="s">
        <v>1555</v>
      </c>
      <c r="D508" s="1" t="s">
        <v>169</v>
      </c>
      <c r="E508" s="1">
        <v>85395</v>
      </c>
      <c r="F508" s="1" t="s">
        <v>1556</v>
      </c>
      <c r="G508" s="1" t="s">
        <v>1329</v>
      </c>
      <c r="H508" s="19" t="s">
        <v>1557</v>
      </c>
      <c r="I508" s="5" t="s">
        <v>196</v>
      </c>
      <c r="J508" s="5" t="s">
        <v>37</v>
      </c>
      <c r="K508" s="5" t="s">
        <v>37</v>
      </c>
      <c r="L508" s="7" t="s">
        <v>1558</v>
      </c>
      <c r="M508" s="5" t="s">
        <v>37</v>
      </c>
      <c r="N508" s="5" t="s">
        <v>37</v>
      </c>
      <c r="O508" s="5" t="s">
        <v>38</v>
      </c>
      <c r="P508" s="2">
        <v>45936</v>
      </c>
      <c r="Q508" s="2">
        <v>45966</v>
      </c>
      <c r="R508" s="1" t="s">
        <v>1429</v>
      </c>
      <c r="V508" s="46">
        <f>IF(
  OR(
    ISNUMBER(SEARCH("unable to locate acct", tblDocketedComments[[#This Row],[Docketed Consumer Comments]])),
    ISNUMBER(SEARCH("unknown", tblDocketedComments[[#This Row],[Docketed Consumer Comments]])),
    ISNUMBER(SEARCH("inactive", tblDocketedComments[[#This Row],[Docketed Consumer Comments]]))
  ),
  0,
  1
)</f>
        <v>1</v>
      </c>
    </row>
    <row r="509" spans="1:22" hidden="1">
      <c r="A509" s="2">
        <v>45903</v>
      </c>
      <c r="B509" s="1" t="s">
        <v>1559</v>
      </c>
      <c r="C509" s="1" t="s">
        <v>309</v>
      </c>
      <c r="D509" s="1" t="s">
        <v>129</v>
      </c>
      <c r="E509" s="1">
        <v>85234</v>
      </c>
      <c r="F509" s="1" t="s">
        <v>310</v>
      </c>
      <c r="G509" s="1" t="s">
        <v>1329</v>
      </c>
      <c r="H509" s="19" t="s">
        <v>1560</v>
      </c>
      <c r="I509" s="5" t="s">
        <v>196</v>
      </c>
      <c r="J509" s="5" t="s">
        <v>37</v>
      </c>
      <c r="K509" s="5" t="s">
        <v>37</v>
      </c>
      <c r="L509" s="7" t="s">
        <v>1561</v>
      </c>
      <c r="M509" s="5" t="s">
        <v>37</v>
      </c>
      <c r="N509" s="5" t="s">
        <v>37</v>
      </c>
      <c r="O509" s="5" t="s">
        <v>38</v>
      </c>
      <c r="P509" s="2">
        <v>45936</v>
      </c>
      <c r="Q509" s="2">
        <v>45966</v>
      </c>
      <c r="R509" s="1" t="s">
        <v>1429</v>
      </c>
      <c r="V509" s="46">
        <f>IF(
  OR(
    ISNUMBER(SEARCH("unable to locate acct", tblDocketedComments[[#This Row],[Docketed Consumer Comments]])),
    ISNUMBER(SEARCH("unknown", tblDocketedComments[[#This Row],[Docketed Consumer Comments]])),
    ISNUMBER(SEARCH("inactive", tblDocketedComments[[#This Row],[Docketed Consumer Comments]]))
  ),
  0,
  1
)</f>
        <v>1</v>
      </c>
    </row>
    <row r="510" spans="1:22" hidden="1">
      <c r="A510" s="2">
        <v>45903</v>
      </c>
      <c r="B510" s="1" t="s">
        <v>1562</v>
      </c>
      <c r="C510" s="1" t="s">
        <v>1563</v>
      </c>
      <c r="D510" s="1" t="s">
        <v>816</v>
      </c>
      <c r="E510" s="1">
        <v>86304</v>
      </c>
      <c r="F510" s="1" t="s">
        <v>31</v>
      </c>
      <c r="G510" s="1" t="s">
        <v>1329</v>
      </c>
      <c r="H510" s="19" t="s">
        <v>1564</v>
      </c>
      <c r="I510" s="5" t="s">
        <v>73</v>
      </c>
      <c r="J510" s="5" t="s">
        <v>37</v>
      </c>
      <c r="K510" s="5" t="s">
        <v>37</v>
      </c>
      <c r="L510" s="5" t="s">
        <v>38</v>
      </c>
      <c r="M510" s="5" t="s">
        <v>37</v>
      </c>
      <c r="N510" s="5" t="s">
        <v>37</v>
      </c>
      <c r="O510" s="5" t="s">
        <v>38</v>
      </c>
      <c r="P510" s="5" t="s">
        <v>39</v>
      </c>
      <c r="Q510" s="2">
        <v>45966</v>
      </c>
      <c r="V510" s="46">
        <f>IF(
  OR(
    ISNUMBER(SEARCH("unable to locate acct", tblDocketedComments[[#This Row],[Docketed Consumer Comments]])),
    ISNUMBER(SEARCH("unknown", tblDocketedComments[[#This Row],[Docketed Consumer Comments]])),
    ISNUMBER(SEARCH("inactive", tblDocketedComments[[#This Row],[Docketed Consumer Comments]]))
  ),
  0,
  1
)</f>
        <v>1</v>
      </c>
    </row>
    <row r="511" spans="1:22" hidden="1">
      <c r="A511" s="2">
        <v>45903</v>
      </c>
      <c r="B511" s="1" t="s">
        <v>1565</v>
      </c>
      <c r="C511" s="1" t="s">
        <v>1566</v>
      </c>
      <c r="D511" s="1" t="s">
        <v>169</v>
      </c>
      <c r="E511" s="1">
        <v>85395</v>
      </c>
      <c r="F511" s="1" t="s">
        <v>31</v>
      </c>
      <c r="G511" s="1" t="s">
        <v>1329</v>
      </c>
      <c r="H511" s="19" t="s">
        <v>1567</v>
      </c>
      <c r="I511" s="5" t="s">
        <v>73</v>
      </c>
      <c r="J511" s="5" t="s">
        <v>37</v>
      </c>
      <c r="K511" s="5" t="s">
        <v>37</v>
      </c>
      <c r="L511" s="5" t="s">
        <v>38</v>
      </c>
      <c r="M511" s="5" t="s">
        <v>37</v>
      </c>
      <c r="N511" s="5" t="s">
        <v>37</v>
      </c>
      <c r="O511" s="5" t="s">
        <v>38</v>
      </c>
      <c r="P511" s="5" t="s">
        <v>39</v>
      </c>
      <c r="Q511" s="2">
        <v>45966</v>
      </c>
      <c r="V511" s="46">
        <f>IF(
  OR(
    ISNUMBER(SEARCH("unable to locate acct", tblDocketedComments[[#This Row],[Docketed Consumer Comments]])),
    ISNUMBER(SEARCH("unknown", tblDocketedComments[[#This Row],[Docketed Consumer Comments]])),
    ISNUMBER(SEARCH("inactive", tblDocketedComments[[#This Row],[Docketed Consumer Comments]]))
  ),
  0,
  1
)</f>
        <v>1</v>
      </c>
    </row>
    <row r="512" spans="1:22" hidden="1">
      <c r="A512" s="2">
        <v>45903</v>
      </c>
      <c r="B512" s="1" t="s">
        <v>1568</v>
      </c>
      <c r="C512" s="1" t="s">
        <v>1463</v>
      </c>
      <c r="D512" s="1" t="s">
        <v>659</v>
      </c>
      <c r="E512" s="1">
        <v>85350</v>
      </c>
      <c r="F512" s="1" t="s">
        <v>31</v>
      </c>
      <c r="G512" s="1" t="s">
        <v>1329</v>
      </c>
      <c r="H512" s="19" t="s">
        <v>1569</v>
      </c>
      <c r="I512" s="5" t="s">
        <v>46</v>
      </c>
      <c r="J512" s="5" t="s">
        <v>38</v>
      </c>
      <c r="K512" s="5" t="s">
        <v>37</v>
      </c>
      <c r="L512" s="5" t="s">
        <v>38</v>
      </c>
      <c r="M512" s="5" t="s">
        <v>37</v>
      </c>
      <c r="N512" s="5" t="s">
        <v>37</v>
      </c>
      <c r="O512" s="5" t="s">
        <v>38</v>
      </c>
      <c r="P512" s="5" t="s">
        <v>39</v>
      </c>
      <c r="Q512" s="2">
        <v>45966</v>
      </c>
      <c r="V512" s="46">
        <f>IF(
  OR(
    ISNUMBER(SEARCH("unable to locate acct", tblDocketedComments[[#This Row],[Docketed Consumer Comments]])),
    ISNUMBER(SEARCH("unknown", tblDocketedComments[[#This Row],[Docketed Consumer Comments]])),
    ISNUMBER(SEARCH("inactive", tblDocketedComments[[#This Row],[Docketed Consumer Comments]]))
  ),
  0,
  1
)</f>
        <v>1</v>
      </c>
    </row>
    <row r="513" spans="1:22" hidden="1">
      <c r="A513" s="2">
        <v>45903</v>
      </c>
      <c r="B513" s="1" t="s">
        <v>1570</v>
      </c>
      <c r="C513" s="1" t="s">
        <v>1571</v>
      </c>
      <c r="D513" s="1" t="s">
        <v>24</v>
      </c>
      <c r="E513" s="1">
        <v>85308</v>
      </c>
      <c r="F513" s="1" t="s">
        <v>310</v>
      </c>
      <c r="G513" s="1" t="s">
        <v>1329</v>
      </c>
      <c r="H513" s="19" t="s">
        <v>1572</v>
      </c>
      <c r="I513" s="5" t="s">
        <v>36</v>
      </c>
      <c r="J513" s="5" t="s">
        <v>37</v>
      </c>
      <c r="K513" s="5" t="s">
        <v>37</v>
      </c>
      <c r="L513" s="7" t="s">
        <v>1573</v>
      </c>
      <c r="M513" s="5" t="s">
        <v>37</v>
      </c>
      <c r="N513" s="5" t="s">
        <v>37</v>
      </c>
      <c r="O513" s="5" t="s">
        <v>38</v>
      </c>
      <c r="P513" s="17"/>
      <c r="Q513" s="2">
        <v>45966</v>
      </c>
      <c r="V513" s="46">
        <f>IF(
  OR(
    ISNUMBER(SEARCH("unable to locate acct", tblDocketedComments[[#This Row],[Docketed Consumer Comments]])),
    ISNUMBER(SEARCH("unknown", tblDocketedComments[[#This Row],[Docketed Consumer Comments]])),
    ISNUMBER(SEARCH("inactive", tblDocketedComments[[#This Row],[Docketed Consumer Comments]]))
  ),
  0,
  1
)</f>
        <v>1</v>
      </c>
    </row>
    <row r="514" spans="1:22" hidden="1">
      <c r="A514" s="2">
        <v>45903</v>
      </c>
      <c r="B514" s="1" t="s">
        <v>367</v>
      </c>
      <c r="C514" s="1" t="s">
        <v>1574</v>
      </c>
      <c r="D514" s="1" t="s">
        <v>169</v>
      </c>
      <c r="E514" s="1">
        <v>85395</v>
      </c>
      <c r="F514" s="1" t="s">
        <v>31</v>
      </c>
      <c r="G514" s="1" t="s">
        <v>1329</v>
      </c>
      <c r="H514" s="19" t="s">
        <v>1575</v>
      </c>
      <c r="I514" s="5" t="s">
        <v>1576</v>
      </c>
      <c r="J514" s="5" t="s">
        <v>37</v>
      </c>
      <c r="K514" s="5" t="s">
        <v>37</v>
      </c>
      <c r="L514" s="5" t="s">
        <v>389</v>
      </c>
      <c r="M514" s="5" t="s">
        <v>37</v>
      </c>
      <c r="N514" s="5" t="s">
        <v>37</v>
      </c>
      <c r="O514" s="5" t="s">
        <v>38</v>
      </c>
      <c r="P514" s="5" t="s">
        <v>39</v>
      </c>
      <c r="Q514" s="2">
        <v>45966</v>
      </c>
      <c r="V514" s="46">
        <f>IF(
  OR(
    ISNUMBER(SEARCH("unable to locate acct", tblDocketedComments[[#This Row],[Docketed Consumer Comments]])),
    ISNUMBER(SEARCH("unknown", tblDocketedComments[[#This Row],[Docketed Consumer Comments]])),
    ISNUMBER(SEARCH("inactive", tblDocketedComments[[#This Row],[Docketed Consumer Comments]]))
  ),
  0,
  1
)</f>
        <v>1</v>
      </c>
    </row>
    <row r="515" spans="1:22" hidden="1">
      <c r="A515" s="2">
        <v>45903</v>
      </c>
      <c r="B515" s="1" t="s">
        <v>1577</v>
      </c>
      <c r="C515" s="1" t="s">
        <v>1578</v>
      </c>
      <c r="D515" s="1" t="s">
        <v>264</v>
      </c>
      <c r="E515" s="1">
        <v>85541</v>
      </c>
      <c r="F515" s="1" t="s">
        <v>310</v>
      </c>
      <c r="G515" s="1" t="s">
        <v>1329</v>
      </c>
      <c r="H515" s="19" t="s">
        <v>1579</v>
      </c>
      <c r="I515" s="5" t="s">
        <v>36</v>
      </c>
      <c r="J515" s="5" t="s">
        <v>37</v>
      </c>
      <c r="K515" s="5" t="s">
        <v>37</v>
      </c>
      <c r="L515" s="5" t="s">
        <v>38</v>
      </c>
      <c r="M515" s="5" t="s">
        <v>37</v>
      </c>
      <c r="N515" s="5" t="s">
        <v>37</v>
      </c>
      <c r="O515" s="5" t="s">
        <v>38</v>
      </c>
      <c r="P515" s="5" t="s">
        <v>39</v>
      </c>
      <c r="Q515" s="2">
        <v>45966</v>
      </c>
      <c r="V515" s="46">
        <f>IF(
  OR(
    ISNUMBER(SEARCH("unable to locate acct", tblDocketedComments[[#This Row],[Docketed Consumer Comments]])),
    ISNUMBER(SEARCH("unknown", tblDocketedComments[[#This Row],[Docketed Consumer Comments]])),
    ISNUMBER(SEARCH("inactive", tblDocketedComments[[#This Row],[Docketed Consumer Comments]]))
  ),
  0,
  1
)</f>
        <v>1</v>
      </c>
    </row>
    <row r="516" spans="1:22" hidden="1">
      <c r="A516" s="2">
        <v>45903</v>
      </c>
      <c r="B516" s="1" t="s">
        <v>1580</v>
      </c>
      <c r="C516" s="1" t="s">
        <v>1581</v>
      </c>
      <c r="D516" s="1" t="s">
        <v>169</v>
      </c>
      <c r="E516" s="1">
        <v>85395</v>
      </c>
      <c r="F516" s="1" t="s">
        <v>1211</v>
      </c>
      <c r="G516" s="1" t="s">
        <v>1329</v>
      </c>
      <c r="H516" s="4" t="s">
        <v>1582</v>
      </c>
      <c r="I516" s="5" t="s">
        <v>243</v>
      </c>
      <c r="J516" s="5" t="s">
        <v>37</v>
      </c>
      <c r="K516" s="5" t="s">
        <v>37</v>
      </c>
      <c r="L516" s="5" t="s">
        <v>389</v>
      </c>
      <c r="M516" s="5" t="s">
        <v>37</v>
      </c>
      <c r="N516" s="5" t="s">
        <v>37</v>
      </c>
      <c r="O516" s="5" t="s">
        <v>38</v>
      </c>
      <c r="P516" s="5" t="s">
        <v>39</v>
      </c>
      <c r="Q516" s="2">
        <v>45966</v>
      </c>
      <c r="V516" s="46">
        <f>IF(
  OR(
    ISNUMBER(SEARCH("unable to locate acct", tblDocketedComments[[#This Row],[Docketed Consumer Comments]])),
    ISNUMBER(SEARCH("unknown", tblDocketedComments[[#This Row],[Docketed Consumer Comments]])),
    ISNUMBER(SEARCH("inactive", tblDocketedComments[[#This Row],[Docketed Consumer Comments]]))
  ),
  0,
  1
)</f>
        <v>1</v>
      </c>
    </row>
    <row r="517" spans="1:22" hidden="1">
      <c r="A517" s="2">
        <v>45903</v>
      </c>
      <c r="B517" s="1" t="s">
        <v>1583</v>
      </c>
      <c r="C517" s="1" t="s">
        <v>1584</v>
      </c>
      <c r="D517" s="1" t="s">
        <v>523</v>
      </c>
      <c r="E517" s="1">
        <v>85392</v>
      </c>
      <c r="F517" s="1" t="s">
        <v>31</v>
      </c>
      <c r="G517" s="1" t="s">
        <v>1329</v>
      </c>
      <c r="H517" s="4" t="s">
        <v>1585</v>
      </c>
      <c r="I517" s="5" t="s">
        <v>46</v>
      </c>
      <c r="J517" s="5" t="s">
        <v>37</v>
      </c>
      <c r="K517" s="5" t="s">
        <v>37</v>
      </c>
      <c r="L517" s="5" t="s">
        <v>1586</v>
      </c>
      <c r="M517" s="5" t="s">
        <v>37</v>
      </c>
      <c r="N517" s="5" t="s">
        <v>37</v>
      </c>
      <c r="O517" s="5" t="s">
        <v>38</v>
      </c>
      <c r="P517" s="5" t="s">
        <v>39</v>
      </c>
      <c r="Q517" s="2">
        <v>45966</v>
      </c>
      <c r="V517" s="46">
        <f>IF(
  OR(
    ISNUMBER(SEARCH("unable to locate acct", tblDocketedComments[[#This Row],[Docketed Consumer Comments]])),
    ISNUMBER(SEARCH("unknown", tblDocketedComments[[#This Row],[Docketed Consumer Comments]])),
    ISNUMBER(SEARCH("inactive", tblDocketedComments[[#This Row],[Docketed Consumer Comments]]))
  ),
  0,
  1
)</f>
        <v>1</v>
      </c>
    </row>
    <row r="518" spans="1:22" hidden="1">
      <c r="A518" s="2">
        <v>45903</v>
      </c>
      <c r="B518" s="1" t="s">
        <v>1587</v>
      </c>
      <c r="C518" s="1" t="s">
        <v>1588</v>
      </c>
      <c r="D518" s="1" t="s">
        <v>63</v>
      </c>
      <c r="E518" s="1">
        <v>85032</v>
      </c>
      <c r="F518" s="1" t="s">
        <v>310</v>
      </c>
      <c r="G518" s="1" t="s">
        <v>1329</v>
      </c>
      <c r="H518" s="4" t="s">
        <v>1589</v>
      </c>
      <c r="I518" s="5" t="s">
        <v>250</v>
      </c>
      <c r="J518" s="5" t="s">
        <v>37</v>
      </c>
      <c r="K518" s="5" t="s">
        <v>37</v>
      </c>
      <c r="L518" s="5" t="s">
        <v>1586</v>
      </c>
      <c r="M518" s="5" t="s">
        <v>37</v>
      </c>
      <c r="N518" s="5" t="s">
        <v>37</v>
      </c>
      <c r="O518" s="5" t="s">
        <v>38</v>
      </c>
      <c r="P518" s="5" t="s">
        <v>39</v>
      </c>
      <c r="Q518" s="2">
        <v>45966</v>
      </c>
      <c r="V518" s="46">
        <f>IF(
  OR(
    ISNUMBER(SEARCH("unable to locate acct", tblDocketedComments[[#This Row],[Docketed Consumer Comments]])),
    ISNUMBER(SEARCH("unknown", tblDocketedComments[[#This Row],[Docketed Consumer Comments]])),
    ISNUMBER(SEARCH("inactive", tblDocketedComments[[#This Row],[Docketed Consumer Comments]]))
  ),
  0,
  1
)</f>
        <v>1</v>
      </c>
    </row>
    <row r="519" spans="1:22" hidden="1">
      <c r="A519" s="2">
        <v>45903</v>
      </c>
      <c r="B519" s="1" t="s">
        <v>1590</v>
      </c>
      <c r="C519" s="1" t="s">
        <v>1591</v>
      </c>
      <c r="D519" s="1" t="s">
        <v>202</v>
      </c>
      <c r="E519" s="1">
        <v>85383</v>
      </c>
      <c r="F519" s="1" t="s">
        <v>31</v>
      </c>
      <c r="G519" s="1" t="s">
        <v>1329</v>
      </c>
      <c r="H519" s="4" t="s">
        <v>27</v>
      </c>
      <c r="V519" s="46">
        <f>IF(
  OR(
    ISNUMBER(SEARCH("unable to locate acct", tblDocketedComments[[#This Row],[Docketed Consumer Comments]])),
    ISNUMBER(SEARCH("unknown", tblDocketedComments[[#This Row],[Docketed Consumer Comments]])),
    ISNUMBER(SEARCH("inactive", tblDocketedComments[[#This Row],[Docketed Consumer Comments]]))
  ),
  0,
  1
)</f>
        <v>1</v>
      </c>
    </row>
    <row r="520" spans="1:22" hidden="1">
      <c r="A520" s="2">
        <v>45903</v>
      </c>
      <c r="B520" s="1" t="s">
        <v>1592</v>
      </c>
      <c r="C520" s="1" t="s">
        <v>333</v>
      </c>
      <c r="D520" s="1" t="s">
        <v>112</v>
      </c>
      <c r="E520" s="1">
        <v>85379</v>
      </c>
      <c r="F520" s="1" t="s">
        <v>310</v>
      </c>
      <c r="G520" s="1" t="s">
        <v>1593</v>
      </c>
      <c r="H520" s="19" t="s">
        <v>1594</v>
      </c>
      <c r="I520" s="5" t="s">
        <v>126</v>
      </c>
      <c r="J520" s="5" t="s">
        <v>37</v>
      </c>
      <c r="K520" s="5" t="s">
        <v>37</v>
      </c>
      <c r="L520" s="5" t="s">
        <v>38</v>
      </c>
      <c r="M520" s="5" t="s">
        <v>37</v>
      </c>
      <c r="N520" s="5" t="s">
        <v>37</v>
      </c>
      <c r="O520" s="5" t="s">
        <v>38</v>
      </c>
      <c r="P520" s="5" t="s">
        <v>39</v>
      </c>
      <c r="Q520" s="2">
        <v>45966</v>
      </c>
      <c r="V520" s="46">
        <f>IF(
  OR(
    ISNUMBER(SEARCH("unable to locate acct", tblDocketedComments[[#This Row],[Docketed Consumer Comments]])),
    ISNUMBER(SEARCH("unknown", tblDocketedComments[[#This Row],[Docketed Consumer Comments]])),
    ISNUMBER(SEARCH("inactive", tblDocketedComments[[#This Row],[Docketed Consumer Comments]]))
  ),
  0,
  1
)</f>
        <v>1</v>
      </c>
    </row>
    <row r="521" spans="1:22" hidden="1">
      <c r="A521" s="2">
        <v>45903</v>
      </c>
      <c r="B521" s="1" t="s">
        <v>1595</v>
      </c>
      <c r="C521" s="1" t="s">
        <v>1596</v>
      </c>
      <c r="D521" s="1" t="s">
        <v>523</v>
      </c>
      <c r="E521" s="1">
        <v>85392</v>
      </c>
      <c r="F521" s="1" t="s">
        <v>31</v>
      </c>
      <c r="G521" s="1" t="s">
        <v>1593</v>
      </c>
      <c r="H521" s="19" t="s">
        <v>1597</v>
      </c>
      <c r="I521" s="5" t="s">
        <v>36</v>
      </c>
      <c r="J521" s="5" t="s">
        <v>37</v>
      </c>
      <c r="K521" s="5" t="s">
        <v>37</v>
      </c>
      <c r="L521" s="5" t="s">
        <v>38</v>
      </c>
      <c r="M521" s="5" t="s">
        <v>37</v>
      </c>
      <c r="N521" s="5" t="s">
        <v>37</v>
      </c>
      <c r="O521" s="5" t="s">
        <v>38</v>
      </c>
      <c r="P521" s="5" t="s">
        <v>39</v>
      </c>
      <c r="Q521" s="2">
        <v>45966</v>
      </c>
      <c r="V521" s="46">
        <f>IF(
  OR(
    ISNUMBER(SEARCH("unable to locate acct", tblDocketedComments[[#This Row],[Docketed Consumer Comments]])),
    ISNUMBER(SEARCH("unknown", tblDocketedComments[[#This Row],[Docketed Consumer Comments]])),
    ISNUMBER(SEARCH("inactive", tblDocketedComments[[#This Row],[Docketed Consumer Comments]]))
  ),
  0,
  1
)</f>
        <v>1</v>
      </c>
    </row>
    <row r="522" spans="1:22" hidden="1">
      <c r="A522" s="2">
        <v>45903</v>
      </c>
      <c r="B522" s="1" t="s">
        <v>604</v>
      </c>
      <c r="C522" s="1" t="s">
        <v>420</v>
      </c>
      <c r="D522" s="1" t="s">
        <v>24</v>
      </c>
      <c r="E522" s="1">
        <v>85308</v>
      </c>
      <c r="F522" s="1" t="s">
        <v>310</v>
      </c>
      <c r="G522" s="1" t="s">
        <v>1593</v>
      </c>
      <c r="H522" s="19" t="s">
        <v>1598</v>
      </c>
      <c r="I522" s="5" t="s">
        <v>73</v>
      </c>
      <c r="J522" s="5" t="s">
        <v>37</v>
      </c>
      <c r="K522" s="5" t="s">
        <v>37</v>
      </c>
      <c r="L522" s="5" t="s">
        <v>38</v>
      </c>
      <c r="M522" s="5" t="s">
        <v>37</v>
      </c>
      <c r="N522" s="5" t="s">
        <v>37</v>
      </c>
      <c r="O522" s="5" t="s">
        <v>38</v>
      </c>
      <c r="P522" s="5" t="s">
        <v>39</v>
      </c>
      <c r="Q522" s="2">
        <v>45966</v>
      </c>
      <c r="V522" s="46">
        <f>IF(
  OR(
    ISNUMBER(SEARCH("unable to locate acct", tblDocketedComments[[#This Row],[Docketed Consumer Comments]])),
    ISNUMBER(SEARCH("unknown", tblDocketedComments[[#This Row],[Docketed Consumer Comments]])),
    ISNUMBER(SEARCH("inactive", tblDocketedComments[[#This Row],[Docketed Consumer Comments]]))
  ),
  0,
  1
)</f>
        <v>1</v>
      </c>
    </row>
    <row r="523" spans="1:22" hidden="1">
      <c r="A523" s="2">
        <v>45903</v>
      </c>
      <c r="B523" s="1" t="s">
        <v>1599</v>
      </c>
      <c r="C523" s="1" t="s">
        <v>1600</v>
      </c>
      <c r="D523" s="1" t="s">
        <v>63</v>
      </c>
      <c r="E523" s="1">
        <v>85345</v>
      </c>
      <c r="F523" s="1" t="s">
        <v>31</v>
      </c>
      <c r="G523" s="1" t="s">
        <v>1593</v>
      </c>
      <c r="H523" s="19" t="s">
        <v>1601</v>
      </c>
      <c r="I523" s="5" t="s">
        <v>73</v>
      </c>
      <c r="J523" s="5" t="s">
        <v>37</v>
      </c>
      <c r="K523" s="5" t="s">
        <v>37</v>
      </c>
      <c r="L523" s="5" t="s">
        <v>1602</v>
      </c>
      <c r="M523" s="5" t="s">
        <v>37</v>
      </c>
      <c r="N523" s="5" t="s">
        <v>37</v>
      </c>
      <c r="O523" s="5" t="s">
        <v>38</v>
      </c>
      <c r="P523" s="5" t="s">
        <v>39</v>
      </c>
      <c r="Q523" s="2">
        <v>45966</v>
      </c>
      <c r="V523" s="46">
        <f>IF(
  OR(
    ISNUMBER(SEARCH("unable to locate acct", tblDocketedComments[[#This Row],[Docketed Consumer Comments]])),
    ISNUMBER(SEARCH("unknown", tblDocketedComments[[#This Row],[Docketed Consumer Comments]])),
    ISNUMBER(SEARCH("inactive", tblDocketedComments[[#This Row],[Docketed Consumer Comments]]))
  ),
  0,
  1
)</f>
        <v>1</v>
      </c>
    </row>
    <row r="524" spans="1:22" hidden="1">
      <c r="A524" s="2">
        <v>45903</v>
      </c>
      <c r="B524" s="1" t="s">
        <v>1603</v>
      </c>
      <c r="C524" s="1" t="s">
        <v>117</v>
      </c>
      <c r="D524" s="1" t="s">
        <v>169</v>
      </c>
      <c r="E524" s="1">
        <v>85338</v>
      </c>
      <c r="F524" s="1" t="s">
        <v>1604</v>
      </c>
      <c r="G524" s="1" t="s">
        <v>1593</v>
      </c>
      <c r="H524" s="19" t="s">
        <v>1605</v>
      </c>
      <c r="I524" s="5" t="s">
        <v>36</v>
      </c>
      <c r="J524" s="5" t="s">
        <v>37</v>
      </c>
      <c r="K524" s="5" t="s">
        <v>37</v>
      </c>
      <c r="L524" s="5" t="s">
        <v>38</v>
      </c>
      <c r="M524" s="5" t="s">
        <v>37</v>
      </c>
      <c r="N524" s="5" t="s">
        <v>37</v>
      </c>
      <c r="O524" s="5" t="s">
        <v>38</v>
      </c>
      <c r="P524" s="5" t="s">
        <v>39</v>
      </c>
      <c r="Q524" s="2">
        <v>45966</v>
      </c>
      <c r="V524" s="46">
        <f>IF(
  OR(
    ISNUMBER(SEARCH("unable to locate acct", tblDocketedComments[[#This Row],[Docketed Consumer Comments]])),
    ISNUMBER(SEARCH("unknown", tblDocketedComments[[#This Row],[Docketed Consumer Comments]])),
    ISNUMBER(SEARCH("inactive", tblDocketedComments[[#This Row],[Docketed Consumer Comments]]))
  ),
  0,
  1
)</f>
        <v>1</v>
      </c>
    </row>
    <row r="525" spans="1:22" hidden="1">
      <c r="A525" s="2">
        <v>45903</v>
      </c>
      <c r="B525" s="1" t="s">
        <v>1134</v>
      </c>
      <c r="C525" s="1" t="s">
        <v>1606</v>
      </c>
      <c r="D525" s="1" t="s">
        <v>880</v>
      </c>
      <c r="E525" s="1">
        <v>85086</v>
      </c>
      <c r="F525" s="1" t="s">
        <v>31</v>
      </c>
      <c r="G525" s="1" t="s">
        <v>1593</v>
      </c>
      <c r="H525" s="4" t="s">
        <v>27</v>
      </c>
      <c r="V525" s="46">
        <f>IF(
  OR(
    ISNUMBER(SEARCH("unable to locate acct", tblDocketedComments[[#This Row],[Docketed Consumer Comments]])),
    ISNUMBER(SEARCH("unknown", tblDocketedComments[[#This Row],[Docketed Consumer Comments]])),
    ISNUMBER(SEARCH("inactive", tblDocketedComments[[#This Row],[Docketed Consumer Comments]]))
  ),
  0,
  1
)</f>
        <v>1</v>
      </c>
    </row>
    <row r="526" spans="1:22" hidden="1">
      <c r="A526" s="2">
        <v>45903</v>
      </c>
      <c r="B526" s="1" t="s">
        <v>1607</v>
      </c>
      <c r="C526" s="1" t="s">
        <v>1501</v>
      </c>
      <c r="D526" s="1" t="s">
        <v>125</v>
      </c>
      <c r="E526" s="1">
        <v>85254</v>
      </c>
      <c r="F526" s="1" t="s">
        <v>1608</v>
      </c>
      <c r="G526" s="1" t="s">
        <v>1593</v>
      </c>
      <c r="H526" s="19" t="s">
        <v>1609</v>
      </c>
      <c r="I526" s="5" t="s">
        <v>46</v>
      </c>
      <c r="J526" s="5" t="s">
        <v>37</v>
      </c>
      <c r="K526" s="5" t="s">
        <v>37</v>
      </c>
      <c r="L526" s="5" t="s">
        <v>38</v>
      </c>
      <c r="M526" s="5" t="s">
        <v>37</v>
      </c>
      <c r="N526" s="5" t="s">
        <v>37</v>
      </c>
      <c r="O526" s="5" t="s">
        <v>38</v>
      </c>
      <c r="P526" s="5" t="s">
        <v>39</v>
      </c>
      <c r="Q526" s="2">
        <v>45966</v>
      </c>
      <c r="V526" s="46">
        <f>IF(
  OR(
    ISNUMBER(SEARCH("unable to locate acct", tblDocketedComments[[#This Row],[Docketed Consumer Comments]])),
    ISNUMBER(SEARCH("unknown", tblDocketedComments[[#This Row],[Docketed Consumer Comments]])),
    ISNUMBER(SEARCH("inactive", tblDocketedComments[[#This Row],[Docketed Consumer Comments]]))
  ),
  0,
  1
)</f>
        <v>1</v>
      </c>
    </row>
    <row r="527" spans="1:22" hidden="1">
      <c r="A527" s="2">
        <v>45903</v>
      </c>
      <c r="B527" s="1" t="s">
        <v>1610</v>
      </c>
      <c r="C527" s="1" t="s">
        <v>1127</v>
      </c>
      <c r="D527" s="1" t="s">
        <v>816</v>
      </c>
      <c r="E527" s="1">
        <v>86305</v>
      </c>
      <c r="F527" s="1" t="s">
        <v>31</v>
      </c>
      <c r="G527" s="1" t="s">
        <v>1593</v>
      </c>
      <c r="H527" s="19" t="s">
        <v>1611</v>
      </c>
      <c r="I527" s="5" t="s">
        <v>196</v>
      </c>
      <c r="J527" s="5" t="s">
        <v>37</v>
      </c>
      <c r="K527" s="5" t="s">
        <v>37</v>
      </c>
      <c r="L527" s="5" t="s">
        <v>1612</v>
      </c>
      <c r="M527" s="5" t="s">
        <v>37</v>
      </c>
      <c r="N527" s="5" t="s">
        <v>37</v>
      </c>
      <c r="O527" s="5" t="s">
        <v>38</v>
      </c>
      <c r="P527" s="5" t="s">
        <v>39</v>
      </c>
      <c r="Q527" s="2">
        <v>45966</v>
      </c>
      <c r="V527" s="46">
        <f>IF(
  OR(
    ISNUMBER(SEARCH("unable to locate acct", tblDocketedComments[[#This Row],[Docketed Consumer Comments]])),
    ISNUMBER(SEARCH("unknown", tblDocketedComments[[#This Row],[Docketed Consumer Comments]])),
    ISNUMBER(SEARCH("inactive", tblDocketedComments[[#This Row],[Docketed Consumer Comments]]))
  ),
  0,
  1
)</f>
        <v>1</v>
      </c>
    </row>
    <row r="528" spans="1:22" hidden="1">
      <c r="A528" s="2">
        <v>45903</v>
      </c>
      <c r="B528" s="1" t="s">
        <v>1063</v>
      </c>
      <c r="C528" s="1" t="s">
        <v>624</v>
      </c>
      <c r="D528" s="1" t="s">
        <v>202</v>
      </c>
      <c r="E528" s="1">
        <v>85345</v>
      </c>
      <c r="F528" s="1" t="s">
        <v>310</v>
      </c>
      <c r="G528" s="1" t="s">
        <v>1593</v>
      </c>
      <c r="H528" s="4" t="s">
        <v>27</v>
      </c>
      <c r="V528" s="46">
        <f>IF(
  OR(
    ISNUMBER(SEARCH("unable to locate acct", tblDocketedComments[[#This Row],[Docketed Consumer Comments]])),
    ISNUMBER(SEARCH("unknown", tblDocketedComments[[#This Row],[Docketed Consumer Comments]])),
    ISNUMBER(SEARCH("inactive", tblDocketedComments[[#This Row],[Docketed Consumer Comments]]))
  ),
  0,
  1
)</f>
        <v>1</v>
      </c>
    </row>
    <row r="529" spans="1:22" hidden="1">
      <c r="A529" s="2">
        <v>45903</v>
      </c>
      <c r="B529" s="1" t="s">
        <v>1613</v>
      </c>
      <c r="C529" s="1" t="s">
        <v>1614</v>
      </c>
      <c r="D529" s="1" t="s">
        <v>1615</v>
      </c>
      <c r="E529" s="1">
        <v>85131</v>
      </c>
      <c r="F529" s="1" t="s">
        <v>31</v>
      </c>
      <c r="G529" s="1" t="s">
        <v>1593</v>
      </c>
      <c r="H529" s="4" t="s">
        <v>27</v>
      </c>
      <c r="V529" s="46">
        <f>IF(
  OR(
    ISNUMBER(SEARCH("unable to locate acct", tblDocketedComments[[#This Row],[Docketed Consumer Comments]])),
    ISNUMBER(SEARCH("unknown", tblDocketedComments[[#This Row],[Docketed Consumer Comments]])),
    ISNUMBER(SEARCH("inactive", tblDocketedComments[[#This Row],[Docketed Consumer Comments]]))
  ),
  0,
  1
)</f>
        <v>1</v>
      </c>
    </row>
    <row r="530" spans="1:22" hidden="1">
      <c r="A530" s="2">
        <v>45903</v>
      </c>
      <c r="B530" s="1" t="s">
        <v>1616</v>
      </c>
      <c r="C530" s="1" t="s">
        <v>1617</v>
      </c>
      <c r="D530" s="1" t="s">
        <v>816</v>
      </c>
      <c r="E530" s="1">
        <v>86303</v>
      </c>
      <c r="F530" s="1" t="s">
        <v>310</v>
      </c>
      <c r="G530" s="1" t="s">
        <v>1593</v>
      </c>
      <c r="H530" s="19" t="s">
        <v>1618</v>
      </c>
      <c r="I530" s="5" t="s">
        <v>73</v>
      </c>
      <c r="J530" s="5" t="s">
        <v>37</v>
      </c>
      <c r="K530" s="5" t="s">
        <v>37</v>
      </c>
      <c r="L530" s="5" t="s">
        <v>38</v>
      </c>
      <c r="M530" s="5" t="s">
        <v>37</v>
      </c>
      <c r="N530" s="5" t="s">
        <v>37</v>
      </c>
      <c r="O530" s="5" t="s">
        <v>38</v>
      </c>
      <c r="P530" s="5" t="s">
        <v>39</v>
      </c>
      <c r="Q530" s="2">
        <v>45966</v>
      </c>
      <c r="V530" s="46">
        <f>IF(
  OR(
    ISNUMBER(SEARCH("unable to locate acct", tblDocketedComments[[#This Row],[Docketed Consumer Comments]])),
    ISNUMBER(SEARCH("unknown", tblDocketedComments[[#This Row],[Docketed Consumer Comments]])),
    ISNUMBER(SEARCH("inactive", tblDocketedComments[[#This Row],[Docketed Consumer Comments]]))
  ),
  0,
  1
)</f>
        <v>1</v>
      </c>
    </row>
    <row r="531" spans="1:22" hidden="1">
      <c r="A531" s="2">
        <v>45903</v>
      </c>
      <c r="B531" s="1" t="s">
        <v>1619</v>
      </c>
      <c r="C531" s="1" t="s">
        <v>117</v>
      </c>
      <c r="D531" s="1" t="s">
        <v>63</v>
      </c>
      <c r="E531" s="1">
        <v>85020</v>
      </c>
      <c r="F531" s="1" t="s">
        <v>31</v>
      </c>
      <c r="G531" s="1" t="s">
        <v>1593</v>
      </c>
      <c r="H531" s="19">
        <v>7835950000</v>
      </c>
      <c r="I531" s="5" t="s">
        <v>196</v>
      </c>
      <c r="J531" s="5" t="s">
        <v>37</v>
      </c>
      <c r="K531" s="5" t="s">
        <v>37</v>
      </c>
      <c r="L531" s="7" t="s">
        <v>1620</v>
      </c>
      <c r="M531" s="5" t="s">
        <v>37</v>
      </c>
      <c r="N531" s="5" t="s">
        <v>37</v>
      </c>
      <c r="O531" s="5" t="s">
        <v>38</v>
      </c>
      <c r="P531" s="2">
        <v>45940</v>
      </c>
      <c r="Q531" s="2">
        <v>45966</v>
      </c>
      <c r="R531" s="1" t="s">
        <v>1621</v>
      </c>
      <c r="V531" s="46">
        <f>IF(
  OR(
    ISNUMBER(SEARCH("unable to locate acct", tblDocketedComments[[#This Row],[Docketed Consumer Comments]])),
    ISNUMBER(SEARCH("unknown", tblDocketedComments[[#This Row],[Docketed Consumer Comments]])),
    ISNUMBER(SEARCH("inactive", tblDocketedComments[[#This Row],[Docketed Consumer Comments]]))
  ),
  0,
  1
)</f>
        <v>1</v>
      </c>
    </row>
    <row r="532" spans="1:22" hidden="1">
      <c r="A532" s="2">
        <v>45903</v>
      </c>
      <c r="B532" s="1" t="s">
        <v>1622</v>
      </c>
      <c r="C532" s="1" t="s">
        <v>1623</v>
      </c>
      <c r="D532" s="1" t="s">
        <v>63</v>
      </c>
      <c r="E532" s="1">
        <v>85029</v>
      </c>
      <c r="F532" s="1" t="s">
        <v>1624</v>
      </c>
      <c r="G532" s="1" t="s">
        <v>1593</v>
      </c>
      <c r="H532" s="19" t="s">
        <v>1625</v>
      </c>
      <c r="I532" s="5" t="s">
        <v>418</v>
      </c>
      <c r="J532" s="5" t="s">
        <v>37</v>
      </c>
      <c r="K532" s="5" t="s">
        <v>37</v>
      </c>
      <c r="L532" s="5" t="s">
        <v>389</v>
      </c>
      <c r="M532" s="5" t="s">
        <v>37</v>
      </c>
      <c r="N532" s="5" t="s">
        <v>37</v>
      </c>
      <c r="O532" s="5" t="s">
        <v>38</v>
      </c>
      <c r="P532" s="5" t="s">
        <v>39</v>
      </c>
      <c r="Q532" s="2">
        <v>45966</v>
      </c>
      <c r="V532" s="46">
        <f>IF(
  OR(
    ISNUMBER(SEARCH("unable to locate acct", tblDocketedComments[[#This Row],[Docketed Consumer Comments]])),
    ISNUMBER(SEARCH("unknown", tblDocketedComments[[#This Row],[Docketed Consumer Comments]])),
    ISNUMBER(SEARCH("inactive", tblDocketedComments[[#This Row],[Docketed Consumer Comments]]))
  ),
  0,
  1
)</f>
        <v>1</v>
      </c>
    </row>
    <row r="533" spans="1:22" hidden="1">
      <c r="A533" s="2">
        <v>45903</v>
      </c>
      <c r="B533" s="1" t="s">
        <v>1626</v>
      </c>
      <c r="C533" s="1" t="s">
        <v>1238</v>
      </c>
      <c r="D533" s="1" t="s">
        <v>63</v>
      </c>
      <c r="E533" s="1">
        <v>85020</v>
      </c>
      <c r="F533" s="1" t="s">
        <v>31</v>
      </c>
      <c r="G533" s="1" t="s">
        <v>1593</v>
      </c>
      <c r="H533" s="4" t="s">
        <v>90</v>
      </c>
      <c r="V533" s="46">
        <f>IF(
  OR(
    ISNUMBER(SEARCH("unable to locate acct", tblDocketedComments[[#This Row],[Docketed Consumer Comments]])),
    ISNUMBER(SEARCH("unknown", tblDocketedComments[[#This Row],[Docketed Consumer Comments]])),
    ISNUMBER(SEARCH("inactive", tblDocketedComments[[#This Row],[Docketed Consumer Comments]]))
  ),
  0,
  1
)</f>
        <v>1</v>
      </c>
    </row>
    <row r="534" spans="1:22" hidden="1">
      <c r="A534" s="2">
        <v>45903</v>
      </c>
      <c r="B534" s="1" t="s">
        <v>1627</v>
      </c>
      <c r="C534" s="1" t="s">
        <v>1628</v>
      </c>
      <c r="D534" s="1" t="s">
        <v>63</v>
      </c>
      <c r="E534" s="1">
        <v>85014</v>
      </c>
      <c r="F534" s="1" t="s">
        <v>31</v>
      </c>
      <c r="G534" s="1" t="s">
        <v>1593</v>
      </c>
      <c r="H534" s="19">
        <v>6594526342</v>
      </c>
      <c r="I534" s="5" t="s">
        <v>541</v>
      </c>
      <c r="J534" s="5" t="s">
        <v>37</v>
      </c>
      <c r="K534" s="5" t="s">
        <v>37</v>
      </c>
      <c r="L534" s="5" t="s">
        <v>389</v>
      </c>
      <c r="M534" s="5" t="s">
        <v>37</v>
      </c>
      <c r="N534" s="5" t="s">
        <v>37</v>
      </c>
      <c r="O534" s="5" t="s">
        <v>38</v>
      </c>
      <c r="P534" s="5" t="s">
        <v>39</v>
      </c>
      <c r="Q534" s="2">
        <v>45966</v>
      </c>
      <c r="V534" s="46">
        <f>IF(
  OR(
    ISNUMBER(SEARCH("unable to locate acct", tblDocketedComments[[#This Row],[Docketed Consumer Comments]])),
    ISNUMBER(SEARCH("unknown", tblDocketedComments[[#This Row],[Docketed Consumer Comments]])),
    ISNUMBER(SEARCH("inactive", tblDocketedComments[[#This Row],[Docketed Consumer Comments]]))
  ),
  0,
  1
)</f>
        <v>1</v>
      </c>
    </row>
    <row r="535" spans="1:22" hidden="1">
      <c r="A535" s="2">
        <v>45903</v>
      </c>
      <c r="B535" s="1" t="s">
        <v>1629</v>
      </c>
      <c r="C535" s="1" t="s">
        <v>1140</v>
      </c>
      <c r="D535" s="1" t="s">
        <v>63</v>
      </c>
      <c r="E535" s="1">
        <v>85053</v>
      </c>
      <c r="F535" s="1" t="s">
        <v>1630</v>
      </c>
      <c r="G535" s="1" t="s">
        <v>1593</v>
      </c>
      <c r="H535" s="19" t="s">
        <v>1631</v>
      </c>
      <c r="I535" s="5" t="s">
        <v>36</v>
      </c>
      <c r="J535" s="5" t="s">
        <v>37</v>
      </c>
      <c r="K535" s="5" t="s">
        <v>37</v>
      </c>
      <c r="L535" s="5" t="s">
        <v>1632</v>
      </c>
      <c r="M535" s="5" t="s">
        <v>37</v>
      </c>
      <c r="N535" s="5" t="s">
        <v>37</v>
      </c>
      <c r="O535" s="5" t="s">
        <v>38</v>
      </c>
      <c r="P535" s="5" t="s">
        <v>39</v>
      </c>
      <c r="Q535" s="2">
        <v>45966</v>
      </c>
      <c r="V535" s="46">
        <f>IF(
  OR(
    ISNUMBER(SEARCH("unable to locate acct", tblDocketedComments[[#This Row],[Docketed Consumer Comments]])),
    ISNUMBER(SEARCH("unknown", tblDocketedComments[[#This Row],[Docketed Consumer Comments]])),
    ISNUMBER(SEARCH("inactive", tblDocketedComments[[#This Row],[Docketed Consumer Comments]]))
  ),
  0,
  1
)</f>
        <v>1</v>
      </c>
    </row>
    <row r="536" spans="1:22" hidden="1">
      <c r="A536" s="2">
        <v>45903</v>
      </c>
      <c r="B536" s="1" t="s">
        <v>1633</v>
      </c>
      <c r="C536" s="1" t="s">
        <v>1634</v>
      </c>
      <c r="D536" s="1" t="s">
        <v>63</v>
      </c>
      <c r="E536" s="1">
        <v>85024</v>
      </c>
      <c r="F536" s="1" t="s">
        <v>1635</v>
      </c>
      <c r="G536" s="1" t="s">
        <v>1593</v>
      </c>
      <c r="H536" s="4" t="s">
        <v>27</v>
      </c>
      <c r="V536" s="46">
        <f>IF(
  OR(
    ISNUMBER(SEARCH("unable to locate acct", tblDocketedComments[[#This Row],[Docketed Consumer Comments]])),
    ISNUMBER(SEARCH("unknown", tblDocketedComments[[#This Row],[Docketed Consumer Comments]])),
    ISNUMBER(SEARCH("inactive", tblDocketedComments[[#This Row],[Docketed Consumer Comments]]))
  ),
  0,
  1
)</f>
        <v>1</v>
      </c>
    </row>
    <row r="537" spans="1:22" hidden="1">
      <c r="A537" s="2">
        <v>45903</v>
      </c>
      <c r="B537" s="1" t="s">
        <v>1636</v>
      </c>
      <c r="C537" s="1" t="s">
        <v>1637</v>
      </c>
      <c r="D537" s="1" t="s">
        <v>174</v>
      </c>
      <c r="E537" s="1">
        <v>85396</v>
      </c>
      <c r="F537" s="1" t="s">
        <v>31</v>
      </c>
      <c r="G537" s="1" t="s">
        <v>1593</v>
      </c>
      <c r="H537" s="4" t="s">
        <v>27</v>
      </c>
      <c r="V537" s="46">
        <f>IF(
  OR(
    ISNUMBER(SEARCH("unable to locate acct", tblDocketedComments[[#This Row],[Docketed Consumer Comments]])),
    ISNUMBER(SEARCH("unknown", tblDocketedComments[[#This Row],[Docketed Consumer Comments]])),
    ISNUMBER(SEARCH("inactive", tblDocketedComments[[#This Row],[Docketed Consumer Comments]]))
  ),
  0,
  1
)</f>
        <v>1</v>
      </c>
    </row>
    <row r="538" spans="1:22" hidden="1">
      <c r="A538" s="2">
        <v>45903</v>
      </c>
      <c r="B538" s="1" t="s">
        <v>1638</v>
      </c>
      <c r="C538" s="1" t="s">
        <v>1639</v>
      </c>
      <c r="D538" s="1" t="s">
        <v>63</v>
      </c>
      <c r="E538" s="1">
        <v>85085</v>
      </c>
      <c r="F538" s="1" t="s">
        <v>31</v>
      </c>
      <c r="G538" s="1" t="s">
        <v>1593</v>
      </c>
      <c r="H538" s="19" t="s">
        <v>1640</v>
      </c>
      <c r="I538" s="5" t="s">
        <v>418</v>
      </c>
      <c r="J538" s="5" t="s">
        <v>37</v>
      </c>
      <c r="K538" s="5" t="s">
        <v>37</v>
      </c>
      <c r="L538" s="5" t="s">
        <v>389</v>
      </c>
      <c r="M538" s="5" t="s">
        <v>37</v>
      </c>
      <c r="N538" s="5" t="s">
        <v>37</v>
      </c>
      <c r="O538" s="5" t="s">
        <v>38</v>
      </c>
      <c r="P538" s="5" t="s">
        <v>39</v>
      </c>
      <c r="Q538" s="2">
        <v>45966</v>
      </c>
      <c r="V538" s="46">
        <f>IF(
  OR(
    ISNUMBER(SEARCH("unable to locate acct", tblDocketedComments[[#This Row],[Docketed Consumer Comments]])),
    ISNUMBER(SEARCH("unknown", tblDocketedComments[[#This Row],[Docketed Consumer Comments]])),
    ISNUMBER(SEARCH("inactive", tblDocketedComments[[#This Row],[Docketed Consumer Comments]]))
  ),
  0,
  1
)</f>
        <v>1</v>
      </c>
    </row>
    <row r="539" spans="1:22" hidden="1">
      <c r="A539" s="2">
        <v>45903</v>
      </c>
      <c r="B539" s="1" t="s">
        <v>480</v>
      </c>
      <c r="C539" s="1" t="s">
        <v>481</v>
      </c>
      <c r="D539" s="1" t="s">
        <v>63</v>
      </c>
      <c r="E539" s="1">
        <v>85083</v>
      </c>
      <c r="F539" s="1" t="s">
        <v>31</v>
      </c>
      <c r="G539" s="1" t="s">
        <v>1593</v>
      </c>
      <c r="H539" s="19" t="s">
        <v>1641</v>
      </c>
      <c r="I539" s="5" t="s">
        <v>46</v>
      </c>
      <c r="J539" s="5" t="s">
        <v>37</v>
      </c>
      <c r="K539" s="5" t="s">
        <v>37</v>
      </c>
      <c r="L539" s="5" t="s">
        <v>483</v>
      </c>
      <c r="M539" s="5" t="s">
        <v>37</v>
      </c>
      <c r="N539" s="5" t="s">
        <v>37</v>
      </c>
      <c r="O539" s="5" t="s">
        <v>38</v>
      </c>
      <c r="P539" s="5" t="s">
        <v>39</v>
      </c>
      <c r="Q539" s="2">
        <v>45966</v>
      </c>
      <c r="V539" s="46">
        <f>IF(
  OR(
    ISNUMBER(SEARCH("unable to locate acct", tblDocketedComments[[#This Row],[Docketed Consumer Comments]])),
    ISNUMBER(SEARCH("unknown", tblDocketedComments[[#This Row],[Docketed Consumer Comments]])),
    ISNUMBER(SEARCH("inactive", tblDocketedComments[[#This Row],[Docketed Consumer Comments]]))
  ),
  0,
  1
)</f>
        <v>1</v>
      </c>
    </row>
    <row r="540" spans="1:22" hidden="1">
      <c r="A540" s="2">
        <v>45903</v>
      </c>
      <c r="B540" s="1" t="s">
        <v>1134</v>
      </c>
      <c r="C540" s="1" t="s">
        <v>1642</v>
      </c>
      <c r="D540" s="1" t="s">
        <v>240</v>
      </c>
      <c r="E540" s="1">
        <v>85340</v>
      </c>
      <c r="F540" s="1" t="s">
        <v>741</v>
      </c>
      <c r="G540" s="1" t="s">
        <v>1593</v>
      </c>
      <c r="H540" s="19" t="s">
        <v>1643</v>
      </c>
      <c r="I540" s="5" t="s">
        <v>36</v>
      </c>
      <c r="J540" s="5" t="s">
        <v>37</v>
      </c>
      <c r="K540" s="5" t="s">
        <v>37</v>
      </c>
      <c r="L540" s="5" t="s">
        <v>38</v>
      </c>
      <c r="M540" s="5" t="s">
        <v>37</v>
      </c>
      <c r="N540" s="5" t="s">
        <v>37</v>
      </c>
      <c r="O540" s="5" t="s">
        <v>38</v>
      </c>
      <c r="P540" s="5" t="s">
        <v>39</v>
      </c>
      <c r="Q540" s="2">
        <v>45966</v>
      </c>
      <c r="V540" s="46">
        <f>IF(
  OR(
    ISNUMBER(SEARCH("unable to locate acct", tblDocketedComments[[#This Row],[Docketed Consumer Comments]])),
    ISNUMBER(SEARCH("unknown", tblDocketedComments[[#This Row],[Docketed Consumer Comments]])),
    ISNUMBER(SEARCH("inactive", tblDocketedComments[[#This Row],[Docketed Consumer Comments]]))
  ),
  0,
  1
)</f>
        <v>1</v>
      </c>
    </row>
    <row r="541" spans="1:22" hidden="1">
      <c r="A541" s="2">
        <v>45903</v>
      </c>
      <c r="B541" s="1" t="s">
        <v>1644</v>
      </c>
      <c r="C541" s="1" t="s">
        <v>135</v>
      </c>
      <c r="D541" s="1" t="s">
        <v>169</v>
      </c>
      <c r="E541" s="1">
        <v>85338</v>
      </c>
      <c r="F541" s="1" t="s">
        <v>31</v>
      </c>
      <c r="G541" s="1" t="s">
        <v>1593</v>
      </c>
      <c r="H541" s="19" t="s">
        <v>1645</v>
      </c>
      <c r="I541" s="5" t="s">
        <v>418</v>
      </c>
      <c r="J541" s="5" t="s">
        <v>37</v>
      </c>
      <c r="K541" s="5" t="s">
        <v>37</v>
      </c>
      <c r="L541" s="5" t="s">
        <v>389</v>
      </c>
      <c r="M541" s="5" t="s">
        <v>38</v>
      </c>
      <c r="N541" s="13">
        <v>102.79</v>
      </c>
      <c r="O541" s="5" t="s">
        <v>38</v>
      </c>
      <c r="P541" s="5" t="s">
        <v>39</v>
      </c>
      <c r="Q541" s="2">
        <v>45966</v>
      </c>
      <c r="V541" s="46">
        <f>IF(
  OR(
    ISNUMBER(SEARCH("unable to locate acct", tblDocketedComments[[#This Row],[Docketed Consumer Comments]])),
    ISNUMBER(SEARCH("unknown", tblDocketedComments[[#This Row],[Docketed Consumer Comments]])),
    ISNUMBER(SEARCH("inactive", tblDocketedComments[[#This Row],[Docketed Consumer Comments]]))
  ),
  0,
  1
)</f>
        <v>1</v>
      </c>
    </row>
    <row r="542" spans="1:22" hidden="1">
      <c r="A542" s="2">
        <v>45903</v>
      </c>
      <c r="B542" s="1" t="s">
        <v>1646</v>
      </c>
      <c r="C542" s="1" t="s">
        <v>1647</v>
      </c>
      <c r="D542" s="1" t="s">
        <v>63</v>
      </c>
      <c r="E542" s="1">
        <v>85028</v>
      </c>
      <c r="F542" s="1" t="s">
        <v>310</v>
      </c>
      <c r="G542" s="1" t="s">
        <v>1593</v>
      </c>
      <c r="H542" s="19" t="s">
        <v>1648</v>
      </c>
      <c r="I542" s="5" t="s">
        <v>418</v>
      </c>
      <c r="J542" s="5" t="s">
        <v>37</v>
      </c>
      <c r="K542" s="5" t="s">
        <v>37</v>
      </c>
      <c r="L542" s="5" t="s">
        <v>389</v>
      </c>
      <c r="M542" s="5" t="s">
        <v>37</v>
      </c>
      <c r="N542" s="5" t="s">
        <v>37</v>
      </c>
      <c r="O542" s="5" t="s">
        <v>38</v>
      </c>
      <c r="P542" s="5" t="s">
        <v>39</v>
      </c>
      <c r="Q542" s="2">
        <v>45966</v>
      </c>
      <c r="V542" s="46">
        <f>IF(
  OR(
    ISNUMBER(SEARCH("unable to locate acct", tblDocketedComments[[#This Row],[Docketed Consumer Comments]])),
    ISNUMBER(SEARCH("unknown", tblDocketedComments[[#This Row],[Docketed Consumer Comments]])),
    ISNUMBER(SEARCH("inactive", tblDocketedComments[[#This Row],[Docketed Consumer Comments]]))
  ),
  0,
  1
)</f>
        <v>1</v>
      </c>
    </row>
    <row r="543" spans="1:22" hidden="1">
      <c r="A543" s="2">
        <v>45903</v>
      </c>
      <c r="B543" s="1" t="s">
        <v>135</v>
      </c>
      <c r="C543" s="1" t="s">
        <v>1649</v>
      </c>
      <c r="D543" s="1" t="s">
        <v>125</v>
      </c>
      <c r="E543" s="1">
        <v>85260</v>
      </c>
      <c r="F543" s="1" t="s">
        <v>31</v>
      </c>
      <c r="G543" s="1" t="s">
        <v>1593</v>
      </c>
      <c r="H543" s="19" t="s">
        <v>1650</v>
      </c>
      <c r="I543" s="5" t="s">
        <v>36</v>
      </c>
      <c r="J543" s="5" t="s">
        <v>37</v>
      </c>
      <c r="K543" s="5" t="s">
        <v>37</v>
      </c>
      <c r="L543" s="5" t="s">
        <v>38</v>
      </c>
      <c r="M543" s="5" t="s">
        <v>37</v>
      </c>
      <c r="N543" s="5" t="s">
        <v>37</v>
      </c>
      <c r="O543" s="5" t="s">
        <v>38</v>
      </c>
      <c r="P543" s="5" t="s">
        <v>39</v>
      </c>
      <c r="Q543" s="2">
        <v>45966</v>
      </c>
      <c r="V543" s="46">
        <f>IF(
  OR(
    ISNUMBER(SEARCH("unable to locate acct", tblDocketedComments[[#This Row],[Docketed Consumer Comments]])),
    ISNUMBER(SEARCH("unknown", tblDocketedComments[[#This Row],[Docketed Consumer Comments]])),
    ISNUMBER(SEARCH("inactive", tblDocketedComments[[#This Row],[Docketed Consumer Comments]]))
  ),
  0,
  1
)</f>
        <v>1</v>
      </c>
    </row>
    <row r="544" spans="1:22" hidden="1">
      <c r="A544" s="2">
        <v>45903</v>
      </c>
      <c r="B544" s="1" t="s">
        <v>1651</v>
      </c>
      <c r="C544" s="1" t="s">
        <v>1652</v>
      </c>
      <c r="D544" s="1" t="s">
        <v>202</v>
      </c>
      <c r="E544" s="1">
        <v>85383</v>
      </c>
      <c r="F544" s="1" t="s">
        <v>310</v>
      </c>
      <c r="G544" s="1" t="s">
        <v>1593</v>
      </c>
      <c r="H544" s="19" t="s">
        <v>1653</v>
      </c>
      <c r="I544" s="5" t="s">
        <v>57</v>
      </c>
      <c r="J544" s="5" t="s">
        <v>37</v>
      </c>
      <c r="K544" s="5" t="s">
        <v>37</v>
      </c>
      <c r="L544" s="7" t="s">
        <v>1654</v>
      </c>
      <c r="M544" s="5" t="s">
        <v>37</v>
      </c>
      <c r="N544" s="5" t="s">
        <v>37</v>
      </c>
      <c r="O544" s="5" t="s">
        <v>38</v>
      </c>
      <c r="P544" s="5" t="s">
        <v>39</v>
      </c>
      <c r="Q544" s="2">
        <v>45966</v>
      </c>
      <c r="R544" s="1" t="s">
        <v>1655</v>
      </c>
      <c r="V544" s="46">
        <f>IF(
  OR(
    ISNUMBER(SEARCH("unable to locate acct", tblDocketedComments[[#This Row],[Docketed Consumer Comments]])),
    ISNUMBER(SEARCH("unknown", tblDocketedComments[[#This Row],[Docketed Consumer Comments]])),
    ISNUMBER(SEARCH("inactive", tblDocketedComments[[#This Row],[Docketed Consumer Comments]]))
  ),
  0,
  1
)</f>
        <v>1</v>
      </c>
    </row>
    <row r="545" spans="1:22" hidden="1">
      <c r="A545" s="2">
        <v>45903</v>
      </c>
      <c r="B545" s="1" t="s">
        <v>1656</v>
      </c>
      <c r="C545" s="1" t="s">
        <v>225</v>
      </c>
      <c r="D545" s="1" t="s">
        <v>63</v>
      </c>
      <c r="E545" s="1">
        <v>85024</v>
      </c>
      <c r="F545" s="1" t="s">
        <v>310</v>
      </c>
      <c r="G545" s="1" t="s">
        <v>1593</v>
      </c>
      <c r="H545" s="4" t="s">
        <v>209</v>
      </c>
      <c r="V545" s="46">
        <f>IF(
  OR(
    ISNUMBER(SEARCH("unable to locate acct", tblDocketedComments[[#This Row],[Docketed Consumer Comments]])),
    ISNUMBER(SEARCH("unknown", tblDocketedComments[[#This Row],[Docketed Consumer Comments]])),
    ISNUMBER(SEARCH("inactive", tblDocketedComments[[#This Row],[Docketed Consumer Comments]]))
  ),
  0,
  1
)</f>
        <v>1</v>
      </c>
    </row>
    <row r="546" spans="1:22" hidden="1">
      <c r="A546" s="2">
        <v>45903</v>
      </c>
      <c r="B546" s="1" t="s">
        <v>1084</v>
      </c>
      <c r="C546" s="1" t="s">
        <v>548</v>
      </c>
      <c r="D546" s="1" t="s">
        <v>63</v>
      </c>
      <c r="E546" s="1">
        <v>85029</v>
      </c>
      <c r="F546" s="1" t="s">
        <v>310</v>
      </c>
      <c r="G546" s="1" t="s">
        <v>1593</v>
      </c>
      <c r="H546" s="4" t="s">
        <v>209</v>
      </c>
      <c r="V546" s="46">
        <f>IF(
  OR(
    ISNUMBER(SEARCH("unable to locate acct", tblDocketedComments[[#This Row],[Docketed Consumer Comments]])),
    ISNUMBER(SEARCH("unknown", tblDocketedComments[[#This Row],[Docketed Consumer Comments]])),
    ISNUMBER(SEARCH("inactive", tblDocketedComments[[#This Row],[Docketed Consumer Comments]]))
  ),
  0,
  1
)</f>
        <v>1</v>
      </c>
    </row>
    <row r="547" spans="1:22" hidden="1">
      <c r="A547" s="2">
        <v>45903</v>
      </c>
      <c r="B547" s="1" t="s">
        <v>1657</v>
      </c>
      <c r="C547" s="1" t="s">
        <v>1658</v>
      </c>
      <c r="D547" s="1" t="s">
        <v>202</v>
      </c>
      <c r="E547" s="1">
        <v>85382</v>
      </c>
      <c r="F547" s="1" t="s">
        <v>310</v>
      </c>
      <c r="G547" s="1" t="s">
        <v>1593</v>
      </c>
      <c r="H547" s="19" t="s">
        <v>1659</v>
      </c>
      <c r="I547" s="5" t="s">
        <v>73</v>
      </c>
      <c r="J547" s="5" t="s">
        <v>37</v>
      </c>
      <c r="K547" s="5" t="s">
        <v>37</v>
      </c>
      <c r="L547" s="5" t="s">
        <v>38</v>
      </c>
      <c r="M547" s="5" t="s">
        <v>37</v>
      </c>
      <c r="N547" s="5" t="s">
        <v>37</v>
      </c>
      <c r="O547" s="5" t="s">
        <v>38</v>
      </c>
      <c r="P547" s="5" t="s">
        <v>39</v>
      </c>
      <c r="Q547" s="2">
        <v>45966</v>
      </c>
      <c r="V547" s="46">
        <f>IF(
  OR(
    ISNUMBER(SEARCH("unable to locate acct", tblDocketedComments[[#This Row],[Docketed Consumer Comments]])),
    ISNUMBER(SEARCH("unknown", tblDocketedComments[[#This Row],[Docketed Consumer Comments]])),
    ISNUMBER(SEARCH("inactive", tblDocketedComments[[#This Row],[Docketed Consumer Comments]]))
  ),
  0,
  1
)</f>
        <v>1</v>
      </c>
    </row>
    <row r="548" spans="1:22" hidden="1">
      <c r="A548" s="2">
        <v>45903</v>
      </c>
      <c r="B548" s="1" t="s">
        <v>1660</v>
      </c>
      <c r="C548" s="1" t="s">
        <v>1661</v>
      </c>
      <c r="D548" s="1" t="s">
        <v>202</v>
      </c>
      <c r="E548" s="1">
        <v>85345</v>
      </c>
      <c r="F548" s="1" t="s">
        <v>31</v>
      </c>
      <c r="G548" s="1" t="s">
        <v>1593</v>
      </c>
      <c r="H548" s="19" t="s">
        <v>1662</v>
      </c>
      <c r="I548" s="5" t="s">
        <v>36</v>
      </c>
      <c r="J548" s="5" t="s">
        <v>37</v>
      </c>
      <c r="K548" s="5" t="s">
        <v>37</v>
      </c>
      <c r="L548" s="5" t="s">
        <v>38</v>
      </c>
      <c r="M548" s="5" t="s">
        <v>37</v>
      </c>
      <c r="N548" s="5" t="s">
        <v>37</v>
      </c>
      <c r="O548" s="5" t="s">
        <v>38</v>
      </c>
      <c r="P548" s="5" t="s">
        <v>39</v>
      </c>
      <c r="Q548" s="2">
        <v>45966</v>
      </c>
      <c r="V548" s="46">
        <f>IF(
  OR(
    ISNUMBER(SEARCH("unable to locate acct", tblDocketedComments[[#This Row],[Docketed Consumer Comments]])),
    ISNUMBER(SEARCH("unknown", tblDocketedComments[[#This Row],[Docketed Consumer Comments]])),
    ISNUMBER(SEARCH("inactive", tblDocketedComments[[#This Row],[Docketed Consumer Comments]]))
  ),
  0,
  1
)</f>
        <v>1</v>
      </c>
    </row>
    <row r="549" spans="1:22" hidden="1">
      <c r="A549" s="2">
        <v>45903</v>
      </c>
      <c r="B549" s="1" t="s">
        <v>1663</v>
      </c>
      <c r="C549" s="1" t="s">
        <v>135</v>
      </c>
      <c r="D549" s="1" t="s">
        <v>261</v>
      </c>
      <c r="E549" s="1">
        <v>86315</v>
      </c>
      <c r="F549" s="1" t="s">
        <v>31</v>
      </c>
      <c r="G549" s="1" t="s">
        <v>1593</v>
      </c>
      <c r="H549" s="19" t="s">
        <v>1664</v>
      </c>
      <c r="I549" s="5" t="s">
        <v>46</v>
      </c>
      <c r="J549" s="5" t="s">
        <v>37</v>
      </c>
      <c r="K549" s="5" t="s">
        <v>37</v>
      </c>
      <c r="L549" s="5" t="s">
        <v>38</v>
      </c>
      <c r="M549" s="5" t="s">
        <v>38</v>
      </c>
      <c r="N549" s="13">
        <v>105.18</v>
      </c>
      <c r="O549" s="5" t="s">
        <v>38</v>
      </c>
      <c r="P549" s="5" t="s">
        <v>39</v>
      </c>
      <c r="Q549" s="2">
        <v>45966</v>
      </c>
      <c r="V549" s="46">
        <f>IF(
  OR(
    ISNUMBER(SEARCH("unable to locate acct", tblDocketedComments[[#This Row],[Docketed Consumer Comments]])),
    ISNUMBER(SEARCH("unknown", tblDocketedComments[[#This Row],[Docketed Consumer Comments]])),
    ISNUMBER(SEARCH("inactive", tblDocketedComments[[#This Row],[Docketed Consumer Comments]]))
  ),
  0,
  1
)</f>
        <v>1</v>
      </c>
    </row>
    <row r="550" spans="1:22" hidden="1">
      <c r="A550" s="2">
        <v>45904</v>
      </c>
      <c r="B550" s="1" t="s">
        <v>1665</v>
      </c>
      <c r="C550" s="1" t="s">
        <v>1666</v>
      </c>
      <c r="D550" s="1" t="s">
        <v>125</v>
      </c>
      <c r="E550" s="1">
        <v>85251</v>
      </c>
      <c r="F550" s="1" t="s">
        <v>1604</v>
      </c>
      <c r="G550" s="1" t="s">
        <v>1593</v>
      </c>
      <c r="H550" s="19" t="s">
        <v>1667</v>
      </c>
      <c r="I550" s="5" t="s">
        <v>73</v>
      </c>
      <c r="J550" s="5" t="s">
        <v>37</v>
      </c>
      <c r="K550" s="5" t="s">
        <v>37</v>
      </c>
      <c r="L550" s="5" t="s">
        <v>38</v>
      </c>
      <c r="M550" s="5" t="s">
        <v>37</v>
      </c>
      <c r="N550" s="5" t="s">
        <v>37</v>
      </c>
      <c r="O550" s="5" t="s">
        <v>38</v>
      </c>
      <c r="P550" s="5" t="s">
        <v>39</v>
      </c>
      <c r="Q550" s="2">
        <v>45966</v>
      </c>
      <c r="V550" s="46">
        <f>IF(
  OR(
    ISNUMBER(SEARCH("unable to locate acct", tblDocketedComments[[#This Row],[Docketed Consumer Comments]])),
    ISNUMBER(SEARCH("unknown", tblDocketedComments[[#This Row],[Docketed Consumer Comments]])),
    ISNUMBER(SEARCH("inactive", tblDocketedComments[[#This Row],[Docketed Consumer Comments]]))
  ),
  0,
  1
)</f>
        <v>1</v>
      </c>
    </row>
    <row r="551" spans="1:22" hidden="1">
      <c r="A551" s="2">
        <v>45904</v>
      </c>
      <c r="B551" s="1" t="s">
        <v>1668</v>
      </c>
      <c r="C551" s="1" t="s">
        <v>1232</v>
      </c>
      <c r="D551" s="1" t="s">
        <v>112</v>
      </c>
      <c r="E551" s="1">
        <v>85387</v>
      </c>
      <c r="F551" s="1" t="s">
        <v>31</v>
      </c>
      <c r="G551" s="1" t="s">
        <v>1593</v>
      </c>
      <c r="H551" s="19" t="s">
        <v>1669</v>
      </c>
      <c r="I551" s="5" t="s">
        <v>541</v>
      </c>
      <c r="J551" s="5" t="s">
        <v>37</v>
      </c>
      <c r="K551" s="5" t="s">
        <v>37</v>
      </c>
      <c r="L551" s="5" t="s">
        <v>389</v>
      </c>
      <c r="M551" s="5" t="s">
        <v>37</v>
      </c>
      <c r="N551" s="5" t="s">
        <v>37</v>
      </c>
      <c r="O551" s="5" t="s">
        <v>38</v>
      </c>
      <c r="P551" s="5" t="s">
        <v>39</v>
      </c>
      <c r="Q551" s="2">
        <v>45966</v>
      </c>
      <c r="V551" s="46">
        <f>IF(
  OR(
    ISNUMBER(SEARCH("unable to locate acct", tblDocketedComments[[#This Row],[Docketed Consumer Comments]])),
    ISNUMBER(SEARCH("unknown", tblDocketedComments[[#This Row],[Docketed Consumer Comments]])),
    ISNUMBER(SEARCH("inactive", tblDocketedComments[[#This Row],[Docketed Consumer Comments]]))
  ),
  0,
  1
)</f>
        <v>1</v>
      </c>
    </row>
    <row r="552" spans="1:22" hidden="1">
      <c r="A552" s="2">
        <v>45904</v>
      </c>
      <c r="B552" s="1" t="s">
        <v>1670</v>
      </c>
      <c r="C552" s="1" t="s">
        <v>1671</v>
      </c>
      <c r="D552" s="1" t="s">
        <v>261</v>
      </c>
      <c r="E552" s="1">
        <v>86314</v>
      </c>
      <c r="F552" s="1" t="s">
        <v>310</v>
      </c>
      <c r="G552" s="1" t="s">
        <v>1593</v>
      </c>
      <c r="H552" s="4" t="s">
        <v>1672</v>
      </c>
      <c r="I552" s="5" t="s">
        <v>73</v>
      </c>
      <c r="J552" s="5" t="s">
        <v>37</v>
      </c>
      <c r="K552" s="5" t="s">
        <v>37</v>
      </c>
      <c r="L552" s="5" t="s">
        <v>38</v>
      </c>
      <c r="M552" s="5" t="s">
        <v>37</v>
      </c>
      <c r="N552" s="5" t="s">
        <v>37</v>
      </c>
      <c r="O552" s="5" t="s">
        <v>38</v>
      </c>
      <c r="P552" s="5" t="s">
        <v>39</v>
      </c>
      <c r="Q552" s="2">
        <v>45966</v>
      </c>
      <c r="V552" s="46">
        <f>IF(
  OR(
    ISNUMBER(SEARCH("unable to locate acct", tblDocketedComments[[#This Row],[Docketed Consumer Comments]])),
    ISNUMBER(SEARCH("unknown", tblDocketedComments[[#This Row],[Docketed Consumer Comments]])),
    ISNUMBER(SEARCH("inactive", tblDocketedComments[[#This Row],[Docketed Consumer Comments]]))
  ),
  0,
  1
)</f>
        <v>1</v>
      </c>
    </row>
    <row r="553" spans="1:22" hidden="1">
      <c r="A553" s="2">
        <v>45904</v>
      </c>
      <c r="B553" s="1" t="s">
        <v>1673</v>
      </c>
      <c r="C553" s="1" t="s">
        <v>1674</v>
      </c>
      <c r="D553" s="1" t="s">
        <v>63</v>
      </c>
      <c r="E553" s="1">
        <v>85085</v>
      </c>
      <c r="F553" s="1" t="s">
        <v>31</v>
      </c>
      <c r="G553" s="1" t="s">
        <v>1593</v>
      </c>
      <c r="H553" s="4" t="s">
        <v>27</v>
      </c>
      <c r="V553" s="46">
        <f>IF(
  OR(
    ISNUMBER(SEARCH("unable to locate acct", tblDocketedComments[[#This Row],[Docketed Consumer Comments]])),
    ISNUMBER(SEARCH("unknown", tblDocketedComments[[#This Row],[Docketed Consumer Comments]])),
    ISNUMBER(SEARCH("inactive", tblDocketedComments[[#This Row],[Docketed Consumer Comments]]))
  ),
  0,
  1
)</f>
        <v>1</v>
      </c>
    </row>
    <row r="554" spans="1:22" hidden="1">
      <c r="A554" s="2">
        <v>45904</v>
      </c>
      <c r="B554" s="1" t="s">
        <v>1675</v>
      </c>
      <c r="C554" s="1" t="s">
        <v>1007</v>
      </c>
      <c r="D554" s="1" t="s">
        <v>240</v>
      </c>
      <c r="E554" s="1">
        <v>85340</v>
      </c>
      <c r="F554" s="1" t="s">
        <v>31</v>
      </c>
      <c r="G554" s="1" t="s">
        <v>1593</v>
      </c>
      <c r="H554" s="19" t="s">
        <v>1676</v>
      </c>
      <c r="I554" s="5" t="s">
        <v>541</v>
      </c>
      <c r="J554" s="5" t="s">
        <v>38</v>
      </c>
      <c r="K554" s="5" t="s">
        <v>37</v>
      </c>
      <c r="L554" s="5" t="s">
        <v>389</v>
      </c>
      <c r="M554" s="5" t="s">
        <v>38</v>
      </c>
      <c r="N554" s="15">
        <v>1106.1300000000001</v>
      </c>
      <c r="O554" s="5" t="s">
        <v>38</v>
      </c>
      <c r="P554" s="7"/>
      <c r="Q554" s="2">
        <v>45966</v>
      </c>
      <c r="R554" s="1" t="s">
        <v>1677</v>
      </c>
      <c r="V554" s="46">
        <f>IF(
  OR(
    ISNUMBER(SEARCH("unable to locate acct", tblDocketedComments[[#This Row],[Docketed Consumer Comments]])),
    ISNUMBER(SEARCH("unknown", tblDocketedComments[[#This Row],[Docketed Consumer Comments]])),
    ISNUMBER(SEARCH("inactive", tblDocketedComments[[#This Row],[Docketed Consumer Comments]]))
  ),
  0,
  1
)</f>
        <v>1</v>
      </c>
    </row>
    <row r="555" spans="1:22" hidden="1">
      <c r="A555" s="2">
        <v>45904</v>
      </c>
      <c r="B555" s="1" t="s">
        <v>1678</v>
      </c>
      <c r="C555" s="1" t="s">
        <v>420</v>
      </c>
      <c r="D555" s="1" t="s">
        <v>24</v>
      </c>
      <c r="E555" s="1">
        <v>85310</v>
      </c>
      <c r="F555" s="1" t="s">
        <v>31</v>
      </c>
      <c r="G555" s="1" t="s">
        <v>1593</v>
      </c>
      <c r="H555" s="4" t="s">
        <v>27</v>
      </c>
      <c r="V555" s="46">
        <f>IF(
  OR(
    ISNUMBER(SEARCH("unable to locate acct", tblDocketedComments[[#This Row],[Docketed Consumer Comments]])),
    ISNUMBER(SEARCH("unknown", tblDocketedComments[[#This Row],[Docketed Consumer Comments]])),
    ISNUMBER(SEARCH("inactive", tblDocketedComments[[#This Row],[Docketed Consumer Comments]]))
  ),
  0,
  1
)</f>
        <v>1</v>
      </c>
    </row>
    <row r="556" spans="1:22" hidden="1">
      <c r="A556" s="2">
        <v>45904</v>
      </c>
      <c r="B556" s="1" t="s">
        <v>1679</v>
      </c>
      <c r="C556" s="1" t="s">
        <v>194</v>
      </c>
      <c r="D556" s="1" t="s">
        <v>370</v>
      </c>
      <c r="E556" s="1">
        <v>85225</v>
      </c>
      <c r="F556" s="1" t="s">
        <v>310</v>
      </c>
      <c r="G556" s="1" t="s">
        <v>1593</v>
      </c>
      <c r="H556" s="4" t="s">
        <v>1680</v>
      </c>
      <c r="I556" s="5" t="s">
        <v>36</v>
      </c>
      <c r="J556" s="5" t="s">
        <v>37</v>
      </c>
      <c r="K556" s="5" t="s">
        <v>37</v>
      </c>
      <c r="L556" s="7" t="s">
        <v>1681</v>
      </c>
      <c r="M556" s="5" t="s">
        <v>37</v>
      </c>
      <c r="N556" s="5" t="s">
        <v>37</v>
      </c>
      <c r="O556" s="5" t="s">
        <v>38</v>
      </c>
      <c r="P556" s="2">
        <v>45936</v>
      </c>
      <c r="Q556" s="2">
        <v>45966</v>
      </c>
      <c r="R556" s="1" t="s">
        <v>1429</v>
      </c>
      <c r="V556" s="46">
        <f>IF(
  OR(
    ISNUMBER(SEARCH("unable to locate acct", tblDocketedComments[[#This Row],[Docketed Consumer Comments]])),
    ISNUMBER(SEARCH("unknown", tblDocketedComments[[#This Row],[Docketed Consumer Comments]])),
    ISNUMBER(SEARCH("inactive", tblDocketedComments[[#This Row],[Docketed Consumer Comments]]))
  ),
  0,
  1
)</f>
        <v>1</v>
      </c>
    </row>
    <row r="557" spans="1:22" hidden="1">
      <c r="A557" s="2">
        <v>45904</v>
      </c>
      <c r="B557" s="1" t="s">
        <v>1682</v>
      </c>
      <c r="C557" s="1" t="s">
        <v>503</v>
      </c>
      <c r="D557" s="1" t="s">
        <v>125</v>
      </c>
      <c r="E557" s="1">
        <v>85260</v>
      </c>
      <c r="F557" s="1" t="s">
        <v>31</v>
      </c>
      <c r="G557" s="1" t="s">
        <v>1593</v>
      </c>
      <c r="H557" s="4" t="s">
        <v>1683</v>
      </c>
      <c r="I557" s="5" t="s">
        <v>1684</v>
      </c>
      <c r="J557" s="5" t="s">
        <v>37</v>
      </c>
      <c r="K557" s="5" t="s">
        <v>37</v>
      </c>
      <c r="L557" s="5" t="s">
        <v>38</v>
      </c>
      <c r="M557" s="5" t="s">
        <v>37</v>
      </c>
      <c r="N557" s="5" t="s">
        <v>37</v>
      </c>
      <c r="O557" s="5" t="s">
        <v>38</v>
      </c>
      <c r="P557" s="5" t="s">
        <v>39</v>
      </c>
      <c r="Q557" s="2">
        <v>45966</v>
      </c>
      <c r="V557" s="46">
        <f>IF(
  OR(
    ISNUMBER(SEARCH("unable to locate acct", tblDocketedComments[[#This Row],[Docketed Consumer Comments]])),
    ISNUMBER(SEARCH("unknown", tblDocketedComments[[#This Row],[Docketed Consumer Comments]])),
    ISNUMBER(SEARCH("inactive", tblDocketedComments[[#This Row],[Docketed Consumer Comments]]))
  ),
  0,
  1
)</f>
        <v>1</v>
      </c>
    </row>
    <row r="558" spans="1:22" hidden="1">
      <c r="A558" s="2">
        <v>45904</v>
      </c>
      <c r="B558" s="1" t="s">
        <v>1685</v>
      </c>
      <c r="C558" s="1" t="s">
        <v>1686</v>
      </c>
      <c r="D558" s="1" t="s">
        <v>169</v>
      </c>
      <c r="E558" s="1">
        <v>85338</v>
      </c>
      <c r="F558" s="1" t="s">
        <v>31</v>
      </c>
      <c r="G558" s="1" t="s">
        <v>1593</v>
      </c>
      <c r="H558" s="4" t="s">
        <v>1687</v>
      </c>
      <c r="I558" s="5" t="s">
        <v>57</v>
      </c>
      <c r="J558" s="5" t="s">
        <v>37</v>
      </c>
      <c r="K558" s="5" t="s">
        <v>37</v>
      </c>
      <c r="L558" s="5" t="s">
        <v>1688</v>
      </c>
      <c r="M558" s="5" t="s">
        <v>37</v>
      </c>
      <c r="N558" s="5" t="s">
        <v>37</v>
      </c>
      <c r="O558" s="5" t="s">
        <v>38</v>
      </c>
      <c r="P558" s="5" t="s">
        <v>39</v>
      </c>
      <c r="Q558" s="2">
        <v>45966</v>
      </c>
      <c r="V558" s="46">
        <f>IF(
  OR(
    ISNUMBER(SEARCH("unable to locate acct", tblDocketedComments[[#This Row],[Docketed Consumer Comments]])),
    ISNUMBER(SEARCH("unknown", tblDocketedComments[[#This Row],[Docketed Consumer Comments]])),
    ISNUMBER(SEARCH("inactive", tblDocketedComments[[#This Row],[Docketed Consumer Comments]]))
  ),
  0,
  1
)</f>
        <v>1</v>
      </c>
    </row>
    <row r="559" spans="1:22" hidden="1">
      <c r="A559" s="2">
        <v>45904</v>
      </c>
      <c r="B559" s="1" t="s">
        <v>1689</v>
      </c>
      <c r="C559" s="1" t="s">
        <v>1690</v>
      </c>
      <c r="D559" s="1" t="s">
        <v>63</v>
      </c>
      <c r="E559" s="1">
        <v>85016</v>
      </c>
      <c r="F559" s="1" t="s">
        <v>310</v>
      </c>
      <c r="G559" s="1" t="s">
        <v>1593</v>
      </c>
      <c r="H559" s="4" t="s">
        <v>1691</v>
      </c>
      <c r="I559" s="5" t="s">
        <v>46</v>
      </c>
      <c r="J559" s="5" t="s">
        <v>37</v>
      </c>
      <c r="K559" s="5" t="s">
        <v>38</v>
      </c>
      <c r="L559" s="5" t="s">
        <v>38</v>
      </c>
      <c r="M559" s="5" t="s">
        <v>37</v>
      </c>
      <c r="N559" s="5" t="s">
        <v>37</v>
      </c>
      <c r="O559" s="5" t="s">
        <v>38</v>
      </c>
      <c r="P559" s="5" t="s">
        <v>39</v>
      </c>
      <c r="Q559" s="2">
        <v>45966</v>
      </c>
      <c r="V559" s="46">
        <f>IF(
  OR(
    ISNUMBER(SEARCH("unable to locate acct", tblDocketedComments[[#This Row],[Docketed Consumer Comments]])),
    ISNUMBER(SEARCH("unknown", tblDocketedComments[[#This Row],[Docketed Consumer Comments]])),
    ISNUMBER(SEARCH("inactive", tblDocketedComments[[#This Row],[Docketed Consumer Comments]]))
  ),
  0,
  1
)</f>
        <v>1</v>
      </c>
    </row>
    <row r="560" spans="1:22" hidden="1">
      <c r="A560" s="2">
        <v>45904</v>
      </c>
      <c r="B560" s="1" t="s">
        <v>1692</v>
      </c>
      <c r="C560" s="1" t="s">
        <v>1475</v>
      </c>
      <c r="D560" s="1" t="s">
        <v>1693</v>
      </c>
      <c r="E560" s="1">
        <v>85373</v>
      </c>
      <c r="F560" s="1" t="s">
        <v>310</v>
      </c>
      <c r="G560" s="1" t="s">
        <v>1593</v>
      </c>
      <c r="H560" s="4" t="s">
        <v>27</v>
      </c>
      <c r="V560" s="46">
        <f>IF(
  OR(
    ISNUMBER(SEARCH("unable to locate acct", tblDocketedComments[[#This Row],[Docketed Consumer Comments]])),
    ISNUMBER(SEARCH("unknown", tblDocketedComments[[#This Row],[Docketed Consumer Comments]])),
    ISNUMBER(SEARCH("inactive", tblDocketedComments[[#This Row],[Docketed Consumer Comments]]))
  ),
  0,
  1
)</f>
        <v>1</v>
      </c>
    </row>
    <row r="561" spans="1:22" hidden="1">
      <c r="A561" s="2">
        <v>45904</v>
      </c>
      <c r="B561" s="1" t="s">
        <v>1694</v>
      </c>
      <c r="C561" s="1" t="s">
        <v>1486</v>
      </c>
      <c r="D561" s="1" t="s">
        <v>63</v>
      </c>
      <c r="E561" s="1">
        <v>85020</v>
      </c>
      <c r="F561" s="1" t="s">
        <v>310</v>
      </c>
      <c r="G561" s="1" t="s">
        <v>1593</v>
      </c>
      <c r="H561" s="4" t="s">
        <v>1695</v>
      </c>
      <c r="I561" s="5" t="s">
        <v>73</v>
      </c>
      <c r="J561" s="5" t="s">
        <v>37</v>
      </c>
      <c r="K561" s="5" t="s">
        <v>37</v>
      </c>
      <c r="L561" s="5" t="s">
        <v>38</v>
      </c>
      <c r="M561" s="5" t="s">
        <v>37</v>
      </c>
      <c r="N561" s="5" t="s">
        <v>37</v>
      </c>
      <c r="O561" s="5" t="s">
        <v>38</v>
      </c>
      <c r="P561" s="5" t="s">
        <v>39</v>
      </c>
      <c r="Q561" s="2">
        <v>45966</v>
      </c>
      <c r="V561" s="46">
        <f>IF(
  OR(
    ISNUMBER(SEARCH("unable to locate acct", tblDocketedComments[[#This Row],[Docketed Consumer Comments]])),
    ISNUMBER(SEARCH("unknown", tblDocketedComments[[#This Row],[Docketed Consumer Comments]])),
    ISNUMBER(SEARCH("inactive", tblDocketedComments[[#This Row],[Docketed Consumer Comments]]))
  ),
  0,
  1
)</f>
        <v>1</v>
      </c>
    </row>
    <row r="562" spans="1:22" hidden="1">
      <c r="A562" s="2">
        <v>45904</v>
      </c>
      <c r="B562" s="1" t="s">
        <v>1696</v>
      </c>
      <c r="C562" s="1" t="s">
        <v>1686</v>
      </c>
      <c r="D562" s="1" t="s">
        <v>1693</v>
      </c>
      <c r="E562" s="1">
        <v>85373</v>
      </c>
      <c r="F562" s="1" t="s">
        <v>310</v>
      </c>
      <c r="G562" s="1" t="s">
        <v>1593</v>
      </c>
      <c r="H562" s="4" t="s">
        <v>1697</v>
      </c>
      <c r="I562" s="5" t="s">
        <v>418</v>
      </c>
      <c r="J562" s="5" t="s">
        <v>37</v>
      </c>
      <c r="K562" s="5" t="s">
        <v>37</v>
      </c>
      <c r="L562" s="5" t="s">
        <v>389</v>
      </c>
      <c r="M562" s="5" t="s">
        <v>37</v>
      </c>
      <c r="N562" s="5" t="s">
        <v>37</v>
      </c>
      <c r="O562" s="5" t="s">
        <v>38</v>
      </c>
      <c r="P562" s="5" t="s">
        <v>39</v>
      </c>
      <c r="Q562" s="2">
        <v>45966</v>
      </c>
      <c r="V562" s="46">
        <f>IF(
  OR(
    ISNUMBER(SEARCH("unable to locate acct", tblDocketedComments[[#This Row],[Docketed Consumer Comments]])),
    ISNUMBER(SEARCH("unknown", tblDocketedComments[[#This Row],[Docketed Consumer Comments]])),
    ISNUMBER(SEARCH("inactive", tblDocketedComments[[#This Row],[Docketed Consumer Comments]]))
  ),
  0,
  1
)</f>
        <v>1</v>
      </c>
    </row>
    <row r="563" spans="1:22" hidden="1">
      <c r="A563" s="2">
        <v>45904</v>
      </c>
      <c r="B563" s="1" t="s">
        <v>1195</v>
      </c>
      <c r="C563" s="1" t="s">
        <v>789</v>
      </c>
      <c r="D563" s="1" t="s">
        <v>24</v>
      </c>
      <c r="E563" s="1">
        <v>85306</v>
      </c>
      <c r="F563" s="1" t="s">
        <v>1698</v>
      </c>
      <c r="G563" s="1" t="s">
        <v>1593</v>
      </c>
      <c r="H563" s="4" t="s">
        <v>1699</v>
      </c>
      <c r="I563" s="5" t="s">
        <v>57</v>
      </c>
      <c r="J563" s="5" t="s">
        <v>37</v>
      </c>
      <c r="K563" s="5" t="s">
        <v>37</v>
      </c>
      <c r="L563" s="7" t="s">
        <v>1700</v>
      </c>
      <c r="M563" s="5" t="s">
        <v>37</v>
      </c>
      <c r="N563" s="5" t="s">
        <v>37</v>
      </c>
      <c r="O563" s="5" t="s">
        <v>38</v>
      </c>
      <c r="P563" s="2">
        <v>45936</v>
      </c>
      <c r="Q563" s="2">
        <v>45966</v>
      </c>
      <c r="R563" s="1" t="s">
        <v>1429</v>
      </c>
      <c r="V563" s="46">
        <f>IF(
  OR(
    ISNUMBER(SEARCH("unable to locate acct", tblDocketedComments[[#This Row],[Docketed Consumer Comments]])),
    ISNUMBER(SEARCH("unknown", tblDocketedComments[[#This Row],[Docketed Consumer Comments]])),
    ISNUMBER(SEARCH("inactive", tblDocketedComments[[#This Row],[Docketed Consumer Comments]]))
  ),
  0,
  1
)</f>
        <v>1</v>
      </c>
    </row>
    <row r="564" spans="1:22" hidden="1">
      <c r="A564" s="2">
        <v>45904</v>
      </c>
      <c r="B564" s="1" t="s">
        <v>1701</v>
      </c>
      <c r="C564" s="1" t="s">
        <v>838</v>
      </c>
      <c r="D564" s="1" t="s">
        <v>125</v>
      </c>
      <c r="E564" s="1">
        <v>85258</v>
      </c>
      <c r="F564" s="1" t="s">
        <v>31</v>
      </c>
      <c r="G564" s="1" t="s">
        <v>1702</v>
      </c>
      <c r="H564" s="19">
        <v>3485675279</v>
      </c>
      <c r="I564" s="5" t="s">
        <v>126</v>
      </c>
      <c r="J564" s="5" t="s">
        <v>37</v>
      </c>
      <c r="K564" s="5" t="s">
        <v>37</v>
      </c>
      <c r="L564" s="5" t="s">
        <v>38</v>
      </c>
      <c r="M564" s="5" t="s">
        <v>37</v>
      </c>
      <c r="N564" s="5" t="s">
        <v>37</v>
      </c>
      <c r="O564" s="5" t="s">
        <v>38</v>
      </c>
      <c r="P564" s="5" t="s">
        <v>39</v>
      </c>
      <c r="Q564" s="2">
        <v>45966</v>
      </c>
      <c r="V564" s="46">
        <f>IF(
  OR(
    ISNUMBER(SEARCH("unable to locate acct", tblDocketedComments[[#This Row],[Docketed Consumer Comments]])),
    ISNUMBER(SEARCH("unknown", tblDocketedComments[[#This Row],[Docketed Consumer Comments]])),
    ISNUMBER(SEARCH("inactive", tblDocketedComments[[#This Row],[Docketed Consumer Comments]]))
  ),
  0,
  1
)</f>
        <v>1</v>
      </c>
    </row>
    <row r="565" spans="1:22" hidden="1">
      <c r="A565" s="2">
        <v>55766</v>
      </c>
      <c r="B565" s="1" t="s">
        <v>1703</v>
      </c>
      <c r="C565" s="1" t="s">
        <v>1704</v>
      </c>
      <c r="D565" s="1" t="s">
        <v>24</v>
      </c>
      <c r="E565" s="1">
        <v>85310</v>
      </c>
      <c r="F565" s="1" t="s">
        <v>31</v>
      </c>
      <c r="G565" s="1" t="s">
        <v>1705</v>
      </c>
      <c r="H565" s="4" t="s">
        <v>27</v>
      </c>
      <c r="V565" s="46">
        <f>IF(
  OR(
    ISNUMBER(SEARCH("unable to locate acct", tblDocketedComments[[#This Row],[Docketed Consumer Comments]])),
    ISNUMBER(SEARCH("unknown", tblDocketedComments[[#This Row],[Docketed Consumer Comments]])),
    ISNUMBER(SEARCH("inactive", tblDocketedComments[[#This Row],[Docketed Consumer Comments]]))
  ),
  0,
  1
)</f>
        <v>1</v>
      </c>
    </row>
    <row r="566" spans="1:22" hidden="1">
      <c r="A566" s="2">
        <v>45904</v>
      </c>
      <c r="B566" s="1" t="s">
        <v>1706</v>
      </c>
      <c r="C566" s="1" t="s">
        <v>1707</v>
      </c>
      <c r="G566" s="1" t="s">
        <v>1705</v>
      </c>
      <c r="H566" s="4" t="s">
        <v>209</v>
      </c>
      <c r="V566" s="46">
        <f>IF(
  OR(
    ISNUMBER(SEARCH("unable to locate acct", tblDocketedComments[[#This Row],[Docketed Consumer Comments]])),
    ISNUMBER(SEARCH("unknown", tblDocketedComments[[#This Row],[Docketed Consumer Comments]])),
    ISNUMBER(SEARCH("inactive", tblDocketedComments[[#This Row],[Docketed Consumer Comments]]))
  ),
  0,
  1
)</f>
        <v>1</v>
      </c>
    </row>
    <row r="567" spans="1:22" hidden="1">
      <c r="A567" s="2">
        <v>45904</v>
      </c>
      <c r="B567" s="1" t="s">
        <v>1708</v>
      </c>
      <c r="C567" s="1" t="s">
        <v>1709</v>
      </c>
      <c r="D567" s="1" t="s">
        <v>63</v>
      </c>
      <c r="G567" s="1" t="s">
        <v>1705</v>
      </c>
      <c r="H567" s="4" t="s">
        <v>90</v>
      </c>
      <c r="V567" s="46">
        <f>IF(
  OR(
    ISNUMBER(SEARCH("unable to locate acct", tblDocketedComments[[#This Row],[Docketed Consumer Comments]])),
    ISNUMBER(SEARCH("unknown", tblDocketedComments[[#This Row],[Docketed Consumer Comments]])),
    ISNUMBER(SEARCH("inactive", tblDocketedComments[[#This Row],[Docketed Consumer Comments]]))
  ),
  0,
  1
)</f>
        <v>1</v>
      </c>
    </row>
    <row r="568" spans="1:22" hidden="1">
      <c r="A568" s="2">
        <v>45904</v>
      </c>
      <c r="B568" s="1" t="s">
        <v>1710</v>
      </c>
      <c r="C568" s="1" t="s">
        <v>1711</v>
      </c>
      <c r="D568" s="1" t="s">
        <v>125</v>
      </c>
      <c r="E568" s="1">
        <v>85258</v>
      </c>
      <c r="F568" s="1" t="s">
        <v>31</v>
      </c>
      <c r="G568" s="1" t="s">
        <v>1705</v>
      </c>
      <c r="H568" s="19">
        <v>6907731000</v>
      </c>
      <c r="I568" s="5" t="s">
        <v>196</v>
      </c>
      <c r="J568" s="5" t="s">
        <v>37</v>
      </c>
      <c r="K568" s="5" t="s">
        <v>37</v>
      </c>
      <c r="L568" s="7" t="s">
        <v>1712</v>
      </c>
      <c r="M568" s="5" t="s">
        <v>37</v>
      </c>
      <c r="N568" s="5" t="s">
        <v>37</v>
      </c>
      <c r="O568" s="5" t="s">
        <v>38</v>
      </c>
      <c r="P568" s="2">
        <v>45936</v>
      </c>
      <c r="Q568" s="2">
        <v>45966</v>
      </c>
      <c r="R568" s="1" t="s">
        <v>1429</v>
      </c>
      <c r="V568" s="46">
        <f>IF(
  OR(
    ISNUMBER(SEARCH("unable to locate acct", tblDocketedComments[[#This Row],[Docketed Consumer Comments]])),
    ISNUMBER(SEARCH("unknown", tblDocketedComments[[#This Row],[Docketed Consumer Comments]])),
    ISNUMBER(SEARCH("inactive", tblDocketedComments[[#This Row],[Docketed Consumer Comments]]))
  ),
  0,
  1
)</f>
        <v>1</v>
      </c>
    </row>
    <row r="569" spans="1:22" hidden="1">
      <c r="A569" s="2">
        <v>45904</v>
      </c>
      <c r="B569" s="1" t="s">
        <v>1713</v>
      </c>
      <c r="C569" s="1" t="s">
        <v>1714</v>
      </c>
      <c r="F569" s="1" t="s">
        <v>31</v>
      </c>
      <c r="G569" s="1" t="s">
        <v>1705</v>
      </c>
      <c r="H569" s="4" t="s">
        <v>209</v>
      </c>
      <c r="V569" s="46">
        <f>IF(
  OR(
    ISNUMBER(SEARCH("unable to locate acct", tblDocketedComments[[#This Row],[Docketed Consumer Comments]])),
    ISNUMBER(SEARCH("unknown", tblDocketedComments[[#This Row],[Docketed Consumer Comments]])),
    ISNUMBER(SEARCH("inactive", tblDocketedComments[[#This Row],[Docketed Consumer Comments]]))
  ),
  0,
  1
)</f>
        <v>1</v>
      </c>
    </row>
    <row r="570" spans="1:22" hidden="1">
      <c r="A570" s="2">
        <v>45904</v>
      </c>
      <c r="B570" s="1" t="s">
        <v>1715</v>
      </c>
      <c r="C570" s="1" t="s">
        <v>1716</v>
      </c>
      <c r="G570" s="1" t="s">
        <v>1705</v>
      </c>
      <c r="H570" s="4" t="s">
        <v>27</v>
      </c>
      <c r="U570" s="1" t="s">
        <v>1717</v>
      </c>
      <c r="V570" s="46">
        <f>IF(
  OR(
    ISNUMBER(SEARCH("unable to locate acct", tblDocketedComments[[#This Row],[Docketed Consumer Comments]])),
    ISNUMBER(SEARCH("unknown", tblDocketedComments[[#This Row],[Docketed Consumer Comments]])),
    ISNUMBER(SEARCH("inactive", tblDocketedComments[[#This Row],[Docketed Consumer Comments]]))
  ),
  0,
  1
)</f>
        <v>1</v>
      </c>
    </row>
    <row r="571" spans="1:22" hidden="1">
      <c r="A571" s="2">
        <v>45904</v>
      </c>
      <c r="B571" s="1" t="s">
        <v>1718</v>
      </c>
      <c r="C571" s="1" t="s">
        <v>650</v>
      </c>
      <c r="D571" s="1" t="s">
        <v>1719</v>
      </c>
      <c r="E571" s="1">
        <v>85615</v>
      </c>
      <c r="F571" s="1" t="s">
        <v>31</v>
      </c>
      <c r="G571" s="1" t="s">
        <v>1705</v>
      </c>
      <c r="H571" s="19">
        <v>1710517819</v>
      </c>
      <c r="I571" s="5" t="s">
        <v>541</v>
      </c>
      <c r="J571" s="5" t="s">
        <v>38</v>
      </c>
      <c r="K571" s="5" t="s">
        <v>37</v>
      </c>
      <c r="L571" s="5" t="s">
        <v>389</v>
      </c>
      <c r="M571" s="5" t="s">
        <v>37</v>
      </c>
      <c r="N571" s="5" t="s">
        <v>37</v>
      </c>
      <c r="O571" s="5" t="s">
        <v>38</v>
      </c>
      <c r="P571" s="5" t="s">
        <v>39</v>
      </c>
      <c r="Q571" s="2">
        <v>45966</v>
      </c>
      <c r="V571" s="46">
        <f>IF(
  OR(
    ISNUMBER(SEARCH("unable to locate acct", tblDocketedComments[[#This Row],[Docketed Consumer Comments]])),
    ISNUMBER(SEARCH("unknown", tblDocketedComments[[#This Row],[Docketed Consumer Comments]])),
    ISNUMBER(SEARCH("inactive", tblDocketedComments[[#This Row],[Docketed Consumer Comments]]))
  ),
  0,
  1
)</f>
        <v>1</v>
      </c>
    </row>
    <row r="572" spans="1:22" hidden="1">
      <c r="A572" s="2">
        <v>45905</v>
      </c>
      <c r="B572" s="1" t="s">
        <v>1720</v>
      </c>
      <c r="C572" s="1" t="s">
        <v>1444</v>
      </c>
      <c r="G572" s="1" t="s">
        <v>1721</v>
      </c>
      <c r="H572" s="4" t="s">
        <v>209</v>
      </c>
      <c r="V572" s="46">
        <f>IF(
  OR(
    ISNUMBER(SEARCH("unable to locate acct", tblDocketedComments[[#This Row],[Docketed Consumer Comments]])),
    ISNUMBER(SEARCH("unknown", tblDocketedComments[[#This Row],[Docketed Consumer Comments]])),
    ISNUMBER(SEARCH("inactive", tblDocketedComments[[#This Row],[Docketed Consumer Comments]]))
  ),
  0,
  1
)</f>
        <v>1</v>
      </c>
    </row>
    <row r="573" spans="1:22" hidden="1">
      <c r="A573" s="2">
        <v>45905</v>
      </c>
      <c r="B573" s="1" t="s">
        <v>1722</v>
      </c>
      <c r="C573" s="1" t="s">
        <v>194</v>
      </c>
      <c r="D573" s="1" t="s">
        <v>240</v>
      </c>
      <c r="E573" s="1">
        <v>85340</v>
      </c>
      <c r="F573" s="1" t="s">
        <v>31</v>
      </c>
      <c r="G573" s="1" t="s">
        <v>1723</v>
      </c>
      <c r="H573" s="4" t="s">
        <v>898</v>
      </c>
      <c r="I573" s="5" t="s">
        <v>73</v>
      </c>
      <c r="J573" s="5" t="s">
        <v>37</v>
      </c>
      <c r="K573" s="5" t="s">
        <v>37</v>
      </c>
      <c r="L573" s="5" t="s">
        <v>38</v>
      </c>
      <c r="M573" s="5" t="s">
        <v>37</v>
      </c>
      <c r="N573" s="5" t="s">
        <v>37</v>
      </c>
      <c r="O573" s="5" t="s">
        <v>38</v>
      </c>
      <c r="P573" s="5" t="s">
        <v>39</v>
      </c>
      <c r="Q573" s="2">
        <v>45966</v>
      </c>
      <c r="V573" s="46">
        <f>IF(
  OR(
    ISNUMBER(SEARCH("unable to locate acct", tblDocketedComments[[#This Row],[Docketed Consumer Comments]])),
    ISNUMBER(SEARCH("unknown", tblDocketedComments[[#This Row],[Docketed Consumer Comments]])),
    ISNUMBER(SEARCH("inactive", tblDocketedComments[[#This Row],[Docketed Consumer Comments]]))
  ),
  0,
  1
)</f>
        <v>1</v>
      </c>
    </row>
    <row r="574" spans="1:22" hidden="1">
      <c r="A574" s="2">
        <v>45905</v>
      </c>
      <c r="B574" s="1" t="s">
        <v>1724</v>
      </c>
      <c r="C574" s="1" t="s">
        <v>479</v>
      </c>
      <c r="D574" s="1" t="s">
        <v>125</v>
      </c>
      <c r="E574" s="1">
        <v>85254</v>
      </c>
      <c r="F574" s="1" t="s">
        <v>310</v>
      </c>
      <c r="G574" s="1" t="s">
        <v>1723</v>
      </c>
      <c r="H574" s="4" t="s">
        <v>27</v>
      </c>
      <c r="V574" s="46">
        <f>IF(
  OR(
    ISNUMBER(SEARCH("unable to locate acct", tblDocketedComments[[#This Row],[Docketed Consumer Comments]])),
    ISNUMBER(SEARCH("unknown", tblDocketedComments[[#This Row],[Docketed Consumer Comments]])),
    ISNUMBER(SEARCH("inactive", tblDocketedComments[[#This Row],[Docketed Consumer Comments]]))
  ),
  0,
  1
)</f>
        <v>1</v>
      </c>
    </row>
    <row r="575" spans="1:22" hidden="1">
      <c r="A575" s="2">
        <v>45905</v>
      </c>
      <c r="B575" s="1" t="s">
        <v>1725</v>
      </c>
      <c r="C575" s="1" t="s">
        <v>1726</v>
      </c>
      <c r="D575" s="1" t="s">
        <v>169</v>
      </c>
      <c r="E575" s="1">
        <v>85395</v>
      </c>
      <c r="F575" s="1" t="s">
        <v>1727</v>
      </c>
      <c r="G575" s="1" t="s">
        <v>1723</v>
      </c>
      <c r="H575" s="4" t="s">
        <v>1728</v>
      </c>
      <c r="I575" s="5" t="s">
        <v>418</v>
      </c>
      <c r="J575" s="5" t="s">
        <v>37</v>
      </c>
      <c r="K575" s="5" t="s">
        <v>37</v>
      </c>
      <c r="L575" s="5" t="s">
        <v>389</v>
      </c>
      <c r="M575" s="5" t="s">
        <v>37</v>
      </c>
      <c r="N575" s="5" t="s">
        <v>37</v>
      </c>
      <c r="O575" s="5" t="s">
        <v>38</v>
      </c>
      <c r="P575" s="5" t="s">
        <v>39</v>
      </c>
      <c r="Q575" s="2">
        <v>45966</v>
      </c>
      <c r="V575" s="46">
        <f>IF(
  OR(
    ISNUMBER(SEARCH("unable to locate acct", tblDocketedComments[[#This Row],[Docketed Consumer Comments]])),
    ISNUMBER(SEARCH("unknown", tblDocketedComments[[#This Row],[Docketed Consumer Comments]])),
    ISNUMBER(SEARCH("inactive", tblDocketedComments[[#This Row],[Docketed Consumer Comments]]))
  ),
  0,
  1
)</f>
        <v>1</v>
      </c>
    </row>
    <row r="576" spans="1:22" hidden="1">
      <c r="A576" s="2">
        <v>45905</v>
      </c>
      <c r="B576" s="1" t="s">
        <v>1729</v>
      </c>
      <c r="C576" s="1" t="s">
        <v>177</v>
      </c>
      <c r="D576" s="1" t="s">
        <v>63</v>
      </c>
      <c r="E576" s="1">
        <v>85028</v>
      </c>
      <c r="F576" s="1" t="s">
        <v>310</v>
      </c>
      <c r="G576" s="1" t="s">
        <v>1723</v>
      </c>
      <c r="H576" s="4" t="s">
        <v>1730</v>
      </c>
      <c r="I576" s="5" t="s">
        <v>196</v>
      </c>
      <c r="J576" s="5" t="s">
        <v>37</v>
      </c>
      <c r="K576" s="5" t="s">
        <v>37</v>
      </c>
      <c r="L576" s="7" t="s">
        <v>1731</v>
      </c>
      <c r="M576" s="5" t="s">
        <v>37</v>
      </c>
      <c r="N576" s="5" t="s">
        <v>37</v>
      </c>
      <c r="O576" s="5" t="s">
        <v>38</v>
      </c>
      <c r="P576" s="2">
        <v>45936</v>
      </c>
      <c r="Q576" s="2">
        <v>45966</v>
      </c>
      <c r="R576" s="1" t="s">
        <v>1732</v>
      </c>
      <c r="V576" s="46">
        <f>IF(
  OR(
    ISNUMBER(SEARCH("unable to locate acct", tblDocketedComments[[#This Row],[Docketed Consumer Comments]])),
    ISNUMBER(SEARCH("unknown", tblDocketedComments[[#This Row],[Docketed Consumer Comments]])),
    ISNUMBER(SEARCH("inactive", tblDocketedComments[[#This Row],[Docketed Consumer Comments]]))
  ),
  0,
  1
)</f>
        <v>1</v>
      </c>
    </row>
    <row r="577" spans="1:22" hidden="1">
      <c r="A577" s="2">
        <v>45905</v>
      </c>
      <c r="B577" s="1" t="s">
        <v>1733</v>
      </c>
      <c r="C577" s="1" t="s">
        <v>328</v>
      </c>
      <c r="D577" s="1" t="s">
        <v>63</v>
      </c>
      <c r="E577" s="1">
        <v>85008</v>
      </c>
      <c r="F577" s="1" t="s">
        <v>310</v>
      </c>
      <c r="G577" s="1" t="s">
        <v>1723</v>
      </c>
      <c r="H577" s="4" t="s">
        <v>1734</v>
      </c>
      <c r="I577" s="5" t="s">
        <v>36</v>
      </c>
      <c r="J577" s="5" t="s">
        <v>38</v>
      </c>
      <c r="K577" s="5" t="s">
        <v>37</v>
      </c>
      <c r="L577" s="5" t="s">
        <v>1735</v>
      </c>
      <c r="M577" s="5" t="s">
        <v>38</v>
      </c>
      <c r="N577" s="15">
        <v>487.48</v>
      </c>
      <c r="O577" s="5" t="s">
        <v>38</v>
      </c>
      <c r="P577" s="7"/>
      <c r="Q577" s="2">
        <v>45966</v>
      </c>
      <c r="R577" s="1" t="s">
        <v>495</v>
      </c>
      <c r="V577" s="46">
        <f>IF(
  OR(
    ISNUMBER(SEARCH("unable to locate acct", tblDocketedComments[[#This Row],[Docketed Consumer Comments]])),
    ISNUMBER(SEARCH("unknown", tblDocketedComments[[#This Row],[Docketed Consumer Comments]])),
    ISNUMBER(SEARCH("inactive", tblDocketedComments[[#This Row],[Docketed Consumer Comments]]))
  ),
  0,
  1
)</f>
        <v>1</v>
      </c>
    </row>
    <row r="578" spans="1:22" hidden="1">
      <c r="A578" s="2">
        <v>45905</v>
      </c>
      <c r="B578" s="1" t="s">
        <v>1736</v>
      </c>
      <c r="C578" s="1" t="s">
        <v>1737</v>
      </c>
      <c r="D578" s="1" t="s">
        <v>125</v>
      </c>
      <c r="E578" s="1">
        <v>85260</v>
      </c>
      <c r="F578" s="1" t="s">
        <v>310</v>
      </c>
      <c r="G578" s="1" t="s">
        <v>1723</v>
      </c>
      <c r="H578" s="4" t="s">
        <v>1738</v>
      </c>
      <c r="I578" s="5" t="s">
        <v>196</v>
      </c>
      <c r="J578" s="5" t="s">
        <v>37</v>
      </c>
      <c r="K578" s="5" t="s">
        <v>37</v>
      </c>
      <c r="L578" s="5" t="s">
        <v>1739</v>
      </c>
      <c r="M578" s="5" t="s">
        <v>37</v>
      </c>
      <c r="N578" s="5" t="s">
        <v>37</v>
      </c>
      <c r="O578" s="5" t="s">
        <v>38</v>
      </c>
      <c r="P578" s="5" t="s">
        <v>39</v>
      </c>
      <c r="Q578" s="2">
        <v>45966</v>
      </c>
      <c r="V578" s="46">
        <f>IF(
  OR(
    ISNUMBER(SEARCH("unable to locate acct", tblDocketedComments[[#This Row],[Docketed Consumer Comments]])),
    ISNUMBER(SEARCH("unknown", tblDocketedComments[[#This Row],[Docketed Consumer Comments]])),
    ISNUMBER(SEARCH("inactive", tblDocketedComments[[#This Row],[Docketed Consumer Comments]]))
  ),
  0,
  1
)</f>
        <v>1</v>
      </c>
    </row>
    <row r="579" spans="1:22" hidden="1">
      <c r="A579" s="2">
        <v>45905</v>
      </c>
      <c r="B579" s="1" t="s">
        <v>1740</v>
      </c>
      <c r="C579" s="1" t="s">
        <v>1741</v>
      </c>
      <c r="D579" s="1" t="s">
        <v>63</v>
      </c>
      <c r="E579" s="1">
        <v>85013</v>
      </c>
      <c r="F579" s="1" t="s">
        <v>1742</v>
      </c>
      <c r="G579" s="1" t="s">
        <v>1723</v>
      </c>
      <c r="H579" s="4" t="s">
        <v>1743</v>
      </c>
      <c r="I579" s="5" t="s">
        <v>36</v>
      </c>
      <c r="J579" s="5" t="s">
        <v>37</v>
      </c>
      <c r="K579" s="5" t="s">
        <v>37</v>
      </c>
      <c r="L579" s="5" t="s">
        <v>38</v>
      </c>
      <c r="M579" s="5" t="s">
        <v>37</v>
      </c>
      <c r="N579" s="5" t="s">
        <v>37</v>
      </c>
      <c r="O579" s="5" t="s">
        <v>38</v>
      </c>
      <c r="P579" s="5" t="s">
        <v>39</v>
      </c>
      <c r="Q579" s="2">
        <v>45966</v>
      </c>
      <c r="V579" s="46">
        <f>IF(
  OR(
    ISNUMBER(SEARCH("unable to locate acct", tblDocketedComments[[#This Row],[Docketed Consumer Comments]])),
    ISNUMBER(SEARCH("unknown", tblDocketedComments[[#This Row],[Docketed Consumer Comments]])),
    ISNUMBER(SEARCH("inactive", tblDocketedComments[[#This Row],[Docketed Consumer Comments]]))
  ),
  0,
  1
)</f>
        <v>1</v>
      </c>
    </row>
    <row r="580" spans="1:22" hidden="1">
      <c r="A580" s="2">
        <v>45905</v>
      </c>
      <c r="B580" s="1" t="s">
        <v>1744</v>
      </c>
      <c r="C580" s="1" t="s">
        <v>1745</v>
      </c>
      <c r="D580" s="1" t="s">
        <v>635</v>
      </c>
      <c r="E580" s="1">
        <v>85281</v>
      </c>
      <c r="F580" s="1" t="s">
        <v>310</v>
      </c>
      <c r="G580" s="1" t="s">
        <v>1723</v>
      </c>
      <c r="H580" s="4" t="s">
        <v>1746</v>
      </c>
      <c r="I580" s="5" t="s">
        <v>196</v>
      </c>
      <c r="J580" s="5" t="s">
        <v>37</v>
      </c>
      <c r="K580" s="5" t="s">
        <v>37</v>
      </c>
      <c r="L580" s="5" t="s">
        <v>1747</v>
      </c>
      <c r="M580" s="5" t="s">
        <v>37</v>
      </c>
      <c r="N580" s="5" t="s">
        <v>37</v>
      </c>
      <c r="O580" s="5" t="s">
        <v>38</v>
      </c>
      <c r="P580" s="5" t="s">
        <v>39</v>
      </c>
      <c r="Q580" s="2">
        <v>45966</v>
      </c>
      <c r="V580" s="46">
        <f>IF(
  OR(
    ISNUMBER(SEARCH("unable to locate acct", tblDocketedComments[[#This Row],[Docketed Consumer Comments]])),
    ISNUMBER(SEARCH("unknown", tblDocketedComments[[#This Row],[Docketed Consumer Comments]])),
    ISNUMBER(SEARCH("inactive", tblDocketedComments[[#This Row],[Docketed Consumer Comments]]))
  ),
  0,
  1
)</f>
        <v>1</v>
      </c>
    </row>
    <row r="581" spans="1:22" hidden="1">
      <c r="A581" s="2">
        <v>45905</v>
      </c>
      <c r="B581" s="1" t="s">
        <v>1748</v>
      </c>
      <c r="C581" s="1" t="s">
        <v>1749</v>
      </c>
      <c r="D581" s="1" t="s">
        <v>63</v>
      </c>
      <c r="E581" s="1">
        <v>85083</v>
      </c>
      <c r="F581" s="1" t="s">
        <v>31</v>
      </c>
      <c r="G581" s="1" t="s">
        <v>1723</v>
      </c>
      <c r="H581" s="4" t="s">
        <v>1750</v>
      </c>
      <c r="I581" s="5" t="s">
        <v>250</v>
      </c>
      <c r="J581" s="5" t="s">
        <v>37</v>
      </c>
      <c r="K581" s="5" t="s">
        <v>37</v>
      </c>
      <c r="L581" s="5" t="s">
        <v>38</v>
      </c>
      <c r="M581" s="5" t="s">
        <v>37</v>
      </c>
      <c r="N581" s="5" t="s">
        <v>37</v>
      </c>
      <c r="O581" s="5" t="s">
        <v>38</v>
      </c>
      <c r="P581" s="5" t="s">
        <v>39</v>
      </c>
      <c r="Q581" s="2">
        <v>45966</v>
      </c>
      <c r="V581" s="46">
        <f>IF(
  OR(
    ISNUMBER(SEARCH("unable to locate acct", tblDocketedComments[[#This Row],[Docketed Consumer Comments]])),
    ISNUMBER(SEARCH("unknown", tblDocketedComments[[#This Row],[Docketed Consumer Comments]])),
    ISNUMBER(SEARCH("inactive", tblDocketedComments[[#This Row],[Docketed Consumer Comments]]))
  ),
  0,
  1
)</f>
        <v>1</v>
      </c>
    </row>
    <row r="582" spans="1:22" hidden="1">
      <c r="A582" s="2">
        <v>45905</v>
      </c>
      <c r="B582" s="1" t="s">
        <v>1703</v>
      </c>
      <c r="C582" s="1" t="s">
        <v>705</v>
      </c>
      <c r="D582" s="1" t="s">
        <v>63</v>
      </c>
      <c r="E582" s="1">
        <v>85032</v>
      </c>
      <c r="F582" s="1" t="s">
        <v>310</v>
      </c>
      <c r="G582" s="1" t="s">
        <v>1723</v>
      </c>
      <c r="H582" s="4" t="s">
        <v>1751</v>
      </c>
      <c r="I582" s="5" t="s">
        <v>196</v>
      </c>
      <c r="J582" s="5" t="s">
        <v>37</v>
      </c>
      <c r="K582" s="5" t="s">
        <v>37</v>
      </c>
      <c r="L582" s="5" t="s">
        <v>38</v>
      </c>
      <c r="M582" s="5" t="s">
        <v>37</v>
      </c>
      <c r="N582" s="5" t="s">
        <v>37</v>
      </c>
      <c r="O582" s="5" t="s">
        <v>38</v>
      </c>
      <c r="P582" s="5" t="s">
        <v>39</v>
      </c>
      <c r="Q582" s="2">
        <v>45966</v>
      </c>
      <c r="V582" s="46">
        <f>IF(
  OR(
    ISNUMBER(SEARCH("unable to locate acct", tblDocketedComments[[#This Row],[Docketed Consumer Comments]])),
    ISNUMBER(SEARCH("unknown", tblDocketedComments[[#This Row],[Docketed Consumer Comments]])),
    ISNUMBER(SEARCH("inactive", tblDocketedComments[[#This Row],[Docketed Consumer Comments]]))
  ),
  0,
  1
)</f>
        <v>1</v>
      </c>
    </row>
    <row r="583" spans="1:22" hidden="1">
      <c r="A583" s="2">
        <v>45905</v>
      </c>
      <c r="B583" s="1" t="s">
        <v>1752</v>
      </c>
      <c r="C583" s="1" t="s">
        <v>1753</v>
      </c>
      <c r="D583" s="1" t="s">
        <v>169</v>
      </c>
      <c r="E583" s="1">
        <v>85395</v>
      </c>
      <c r="F583" s="1" t="s">
        <v>25</v>
      </c>
      <c r="G583" s="1" t="s">
        <v>1723</v>
      </c>
      <c r="H583" s="4" t="s">
        <v>27</v>
      </c>
      <c r="V583" s="46">
        <f>IF(
  OR(
    ISNUMBER(SEARCH("unable to locate acct", tblDocketedComments[[#This Row],[Docketed Consumer Comments]])),
    ISNUMBER(SEARCH("unknown", tblDocketedComments[[#This Row],[Docketed Consumer Comments]])),
    ISNUMBER(SEARCH("inactive", tblDocketedComments[[#This Row],[Docketed Consumer Comments]]))
  ),
  0,
  1
)</f>
        <v>1</v>
      </c>
    </row>
    <row r="584" spans="1:22" hidden="1">
      <c r="A584" s="2">
        <v>45905</v>
      </c>
      <c r="B584" s="1" t="s">
        <v>1754</v>
      </c>
      <c r="C584" s="1" t="s">
        <v>1755</v>
      </c>
      <c r="D584" s="1" t="s">
        <v>112</v>
      </c>
      <c r="E584" s="1">
        <v>85388</v>
      </c>
      <c r="F584" s="1" t="s">
        <v>310</v>
      </c>
      <c r="G584" s="1" t="s">
        <v>1723</v>
      </c>
      <c r="H584" s="4" t="s">
        <v>1756</v>
      </c>
      <c r="I584" s="5" t="s">
        <v>36</v>
      </c>
      <c r="J584" s="5" t="s">
        <v>37</v>
      </c>
      <c r="K584" s="5" t="s">
        <v>37</v>
      </c>
      <c r="L584" s="5" t="s">
        <v>38</v>
      </c>
      <c r="M584" s="5" t="s">
        <v>37</v>
      </c>
      <c r="N584" s="5" t="s">
        <v>37</v>
      </c>
      <c r="O584" s="5" t="s">
        <v>38</v>
      </c>
      <c r="P584" s="5" t="s">
        <v>39</v>
      </c>
      <c r="Q584" s="2">
        <v>45966</v>
      </c>
      <c r="V584" s="46">
        <f>IF(
  OR(
    ISNUMBER(SEARCH("unable to locate acct", tblDocketedComments[[#This Row],[Docketed Consumer Comments]])),
    ISNUMBER(SEARCH("unknown", tblDocketedComments[[#This Row],[Docketed Consumer Comments]])),
    ISNUMBER(SEARCH("inactive", tblDocketedComments[[#This Row],[Docketed Consumer Comments]]))
  ),
  0,
  1
)</f>
        <v>1</v>
      </c>
    </row>
    <row r="585" spans="1:22" hidden="1">
      <c r="A585" s="2">
        <v>45905</v>
      </c>
      <c r="B585" s="1" t="s">
        <v>1757</v>
      </c>
      <c r="C585" s="1" t="s">
        <v>1758</v>
      </c>
      <c r="D585" s="1" t="s">
        <v>202</v>
      </c>
      <c r="E585" s="1">
        <v>85383</v>
      </c>
      <c r="F585" s="1" t="s">
        <v>310</v>
      </c>
      <c r="G585" s="1" t="s">
        <v>1723</v>
      </c>
      <c r="H585" s="4" t="s">
        <v>27</v>
      </c>
      <c r="V585" s="46">
        <f>IF(
  OR(
    ISNUMBER(SEARCH("unable to locate acct", tblDocketedComments[[#This Row],[Docketed Consumer Comments]])),
    ISNUMBER(SEARCH("unknown", tblDocketedComments[[#This Row],[Docketed Consumer Comments]])),
    ISNUMBER(SEARCH("inactive", tblDocketedComments[[#This Row],[Docketed Consumer Comments]]))
  ),
  0,
  1
)</f>
        <v>1</v>
      </c>
    </row>
    <row r="586" spans="1:22" hidden="1">
      <c r="A586" s="2">
        <v>45905</v>
      </c>
      <c r="B586" s="1" t="s">
        <v>1759</v>
      </c>
      <c r="C586" s="1" t="s">
        <v>1760</v>
      </c>
      <c r="D586" s="1" t="s">
        <v>129</v>
      </c>
      <c r="E586" s="1">
        <v>85233</v>
      </c>
      <c r="F586" s="1" t="s">
        <v>31</v>
      </c>
      <c r="G586" s="1" t="s">
        <v>1723</v>
      </c>
      <c r="H586" s="4" t="s">
        <v>1761</v>
      </c>
      <c r="I586" s="5" t="s">
        <v>36</v>
      </c>
      <c r="J586" s="5" t="s">
        <v>37</v>
      </c>
      <c r="K586" s="5" t="s">
        <v>37</v>
      </c>
      <c r="L586" s="5" t="s">
        <v>38</v>
      </c>
      <c r="M586" s="5" t="s">
        <v>37</v>
      </c>
      <c r="N586" s="5" t="s">
        <v>37</v>
      </c>
      <c r="O586" s="5" t="s">
        <v>38</v>
      </c>
      <c r="P586" s="5" t="s">
        <v>39</v>
      </c>
      <c r="Q586" s="2">
        <v>45966</v>
      </c>
      <c r="V586" s="46">
        <f>IF(
  OR(
    ISNUMBER(SEARCH("unable to locate acct", tblDocketedComments[[#This Row],[Docketed Consumer Comments]])),
    ISNUMBER(SEARCH("unknown", tblDocketedComments[[#This Row],[Docketed Consumer Comments]])),
    ISNUMBER(SEARCH("inactive", tblDocketedComments[[#This Row],[Docketed Consumer Comments]]))
  ),
  0,
  1
)</f>
        <v>1</v>
      </c>
    </row>
    <row r="587" spans="1:22" hidden="1">
      <c r="A587" s="2">
        <v>45905</v>
      </c>
      <c r="B587" s="1" t="s">
        <v>1762</v>
      </c>
      <c r="C587" s="1" t="s">
        <v>771</v>
      </c>
      <c r="D587" s="1" t="s">
        <v>63</v>
      </c>
      <c r="E587" s="1">
        <v>85020</v>
      </c>
      <c r="F587" s="1" t="s">
        <v>310</v>
      </c>
      <c r="G587" s="1" t="s">
        <v>1723</v>
      </c>
      <c r="H587" s="4" t="s">
        <v>1763</v>
      </c>
      <c r="I587" s="5" t="s">
        <v>196</v>
      </c>
      <c r="J587" s="5" t="s">
        <v>37</v>
      </c>
      <c r="K587" s="5" t="s">
        <v>37</v>
      </c>
      <c r="L587" s="5" t="s">
        <v>1764</v>
      </c>
      <c r="M587" s="5" t="s">
        <v>37</v>
      </c>
      <c r="N587" s="5" t="s">
        <v>37</v>
      </c>
      <c r="O587" s="5" t="s">
        <v>38</v>
      </c>
      <c r="P587" s="5" t="s">
        <v>39</v>
      </c>
      <c r="Q587" s="2">
        <v>45966</v>
      </c>
      <c r="V587" s="46">
        <f>IF(
  OR(
    ISNUMBER(SEARCH("unable to locate acct", tblDocketedComments[[#This Row],[Docketed Consumer Comments]])),
    ISNUMBER(SEARCH("unknown", tblDocketedComments[[#This Row],[Docketed Consumer Comments]])),
    ISNUMBER(SEARCH("inactive", tblDocketedComments[[#This Row],[Docketed Consumer Comments]]))
  ),
  0,
  1
)</f>
        <v>1</v>
      </c>
    </row>
    <row r="588" spans="1:22" hidden="1">
      <c r="A588" s="2">
        <v>45905</v>
      </c>
      <c r="B588" s="1" t="s">
        <v>1765</v>
      </c>
      <c r="C588" s="1" t="s">
        <v>42</v>
      </c>
      <c r="D588" s="1" t="s">
        <v>169</v>
      </c>
      <c r="E588" s="1">
        <v>85338</v>
      </c>
      <c r="F588" s="1" t="s">
        <v>31</v>
      </c>
      <c r="G588" s="1" t="s">
        <v>1723</v>
      </c>
      <c r="H588" s="4" t="s">
        <v>209</v>
      </c>
      <c r="V588" s="46">
        <f>IF(
  OR(
    ISNUMBER(SEARCH("unable to locate acct", tblDocketedComments[[#This Row],[Docketed Consumer Comments]])),
    ISNUMBER(SEARCH("unknown", tblDocketedComments[[#This Row],[Docketed Consumer Comments]])),
    ISNUMBER(SEARCH("inactive", tblDocketedComments[[#This Row],[Docketed Consumer Comments]]))
  ),
  0,
  1
)</f>
        <v>1</v>
      </c>
    </row>
    <row r="589" spans="1:22" hidden="1">
      <c r="A589" s="2">
        <v>45905</v>
      </c>
      <c r="B589" s="1" t="s">
        <v>1766</v>
      </c>
      <c r="C589" s="1" t="s">
        <v>550</v>
      </c>
      <c r="D589" s="1" t="s">
        <v>112</v>
      </c>
      <c r="E589" s="1">
        <v>85387</v>
      </c>
      <c r="F589" s="1" t="s">
        <v>310</v>
      </c>
      <c r="G589" s="1" t="s">
        <v>1723</v>
      </c>
      <c r="H589" s="4" t="s">
        <v>1767</v>
      </c>
      <c r="I589" s="5" t="s">
        <v>196</v>
      </c>
      <c r="J589" s="5" t="s">
        <v>37</v>
      </c>
      <c r="K589" s="5" t="s">
        <v>37</v>
      </c>
      <c r="L589" s="7" t="s">
        <v>1768</v>
      </c>
      <c r="M589" s="5" t="s">
        <v>37</v>
      </c>
      <c r="N589" s="5" t="s">
        <v>37</v>
      </c>
      <c r="O589" s="5" t="s">
        <v>38</v>
      </c>
      <c r="P589" s="2">
        <v>45936</v>
      </c>
      <c r="Q589" s="2">
        <v>45966</v>
      </c>
      <c r="R589" s="1" t="s">
        <v>1769</v>
      </c>
      <c r="V589" s="46">
        <f>IF(
  OR(
    ISNUMBER(SEARCH("unable to locate acct", tblDocketedComments[[#This Row],[Docketed Consumer Comments]])),
    ISNUMBER(SEARCH("unknown", tblDocketedComments[[#This Row],[Docketed Consumer Comments]])),
    ISNUMBER(SEARCH("inactive", tblDocketedComments[[#This Row],[Docketed Consumer Comments]]))
  ),
  0,
  1
)</f>
        <v>1</v>
      </c>
    </row>
    <row r="590" spans="1:22" hidden="1">
      <c r="A590" s="2">
        <v>45905</v>
      </c>
      <c r="B590" s="1" t="s">
        <v>1770</v>
      </c>
      <c r="C590" s="1" t="s">
        <v>922</v>
      </c>
      <c r="D590" s="1" t="s">
        <v>63</v>
      </c>
      <c r="E590" s="1">
        <v>85024</v>
      </c>
      <c r="F590" s="1" t="s">
        <v>310</v>
      </c>
      <c r="G590" s="1" t="s">
        <v>1723</v>
      </c>
      <c r="H590" s="4" t="s">
        <v>1771</v>
      </c>
      <c r="I590" s="5" t="s">
        <v>36</v>
      </c>
      <c r="J590" s="5" t="s">
        <v>37</v>
      </c>
      <c r="K590" s="5" t="s">
        <v>37</v>
      </c>
      <c r="L590" s="5" t="s">
        <v>38</v>
      </c>
      <c r="M590" s="5" t="s">
        <v>37</v>
      </c>
      <c r="N590" s="5" t="s">
        <v>37</v>
      </c>
      <c r="O590" s="5" t="s">
        <v>38</v>
      </c>
      <c r="P590" s="5" t="s">
        <v>39</v>
      </c>
      <c r="Q590" s="2">
        <v>45966</v>
      </c>
      <c r="V590" s="46">
        <f>IF(
  OR(
    ISNUMBER(SEARCH("unable to locate acct", tblDocketedComments[[#This Row],[Docketed Consumer Comments]])),
    ISNUMBER(SEARCH("unknown", tblDocketedComments[[#This Row],[Docketed Consumer Comments]])),
    ISNUMBER(SEARCH("inactive", tblDocketedComments[[#This Row],[Docketed Consumer Comments]]))
  ),
  0,
  1
)</f>
        <v>1</v>
      </c>
    </row>
    <row r="591" spans="1:22" hidden="1">
      <c r="A591" s="2">
        <v>45905</v>
      </c>
      <c r="B591" s="1" t="s">
        <v>1772</v>
      </c>
      <c r="C591" s="1" t="s">
        <v>597</v>
      </c>
      <c r="D591" s="1" t="s">
        <v>523</v>
      </c>
      <c r="E591" s="1">
        <v>85392</v>
      </c>
      <c r="F591" s="1" t="s">
        <v>31</v>
      </c>
      <c r="G591" s="1" t="s">
        <v>1723</v>
      </c>
      <c r="H591" s="19" t="s">
        <v>1773</v>
      </c>
      <c r="I591" s="5" t="s">
        <v>196</v>
      </c>
      <c r="J591" s="5" t="s">
        <v>37</v>
      </c>
      <c r="K591" s="5" t="s">
        <v>37</v>
      </c>
      <c r="L591" s="7" t="s">
        <v>1774</v>
      </c>
      <c r="M591" s="5" t="s">
        <v>37</v>
      </c>
      <c r="N591" s="5" t="s">
        <v>37</v>
      </c>
      <c r="O591" s="5" t="s">
        <v>38</v>
      </c>
      <c r="P591" s="2">
        <v>45936</v>
      </c>
      <c r="Q591" s="2">
        <v>45966</v>
      </c>
      <c r="R591" s="1" t="s">
        <v>1732</v>
      </c>
      <c r="V591" s="46">
        <f>IF(
  OR(
    ISNUMBER(SEARCH("unable to locate acct", tblDocketedComments[[#This Row],[Docketed Consumer Comments]])),
    ISNUMBER(SEARCH("unknown", tblDocketedComments[[#This Row],[Docketed Consumer Comments]])),
    ISNUMBER(SEARCH("inactive", tblDocketedComments[[#This Row],[Docketed Consumer Comments]]))
  ),
  0,
  1
)</f>
        <v>1</v>
      </c>
    </row>
    <row r="592" spans="1:22" hidden="1">
      <c r="A592" s="2">
        <v>45905</v>
      </c>
      <c r="B592" s="1" t="s">
        <v>1775</v>
      </c>
      <c r="C592" s="1" t="s">
        <v>911</v>
      </c>
      <c r="D592" s="1" t="s">
        <v>63</v>
      </c>
      <c r="E592" s="1">
        <v>85085</v>
      </c>
      <c r="F592" s="1" t="s">
        <v>310</v>
      </c>
      <c r="G592" s="1" t="s">
        <v>1723</v>
      </c>
      <c r="H592" s="4" t="s">
        <v>27</v>
      </c>
      <c r="V592" s="46">
        <f>IF(
  OR(
    ISNUMBER(SEARCH("unable to locate acct", tblDocketedComments[[#This Row],[Docketed Consumer Comments]])),
    ISNUMBER(SEARCH("unknown", tblDocketedComments[[#This Row],[Docketed Consumer Comments]])),
    ISNUMBER(SEARCH("inactive", tblDocketedComments[[#This Row],[Docketed Consumer Comments]]))
  ),
  0,
  1
)</f>
        <v>1</v>
      </c>
    </row>
    <row r="593" spans="1:22" hidden="1">
      <c r="A593" s="2">
        <v>45905</v>
      </c>
      <c r="B593" s="1" t="s">
        <v>1776</v>
      </c>
      <c r="C593" s="1" t="s">
        <v>821</v>
      </c>
      <c r="D593" s="1" t="s">
        <v>169</v>
      </c>
      <c r="E593" s="1">
        <v>85338</v>
      </c>
      <c r="F593" s="1" t="s">
        <v>1777</v>
      </c>
      <c r="G593" s="1" t="s">
        <v>1723</v>
      </c>
      <c r="H593" s="4" t="s">
        <v>1778</v>
      </c>
      <c r="I593" s="5" t="s">
        <v>36</v>
      </c>
      <c r="J593" s="5" t="s">
        <v>37</v>
      </c>
      <c r="K593" s="5" t="s">
        <v>37</v>
      </c>
      <c r="L593" s="5" t="s">
        <v>38</v>
      </c>
      <c r="M593" s="5" t="s">
        <v>37</v>
      </c>
      <c r="N593" s="5" t="s">
        <v>37</v>
      </c>
      <c r="O593" s="5" t="s">
        <v>38</v>
      </c>
      <c r="P593" s="5" t="s">
        <v>39</v>
      </c>
      <c r="Q593" s="2">
        <v>45966</v>
      </c>
      <c r="V593" s="46">
        <f>IF(
  OR(
    ISNUMBER(SEARCH("unable to locate acct", tblDocketedComments[[#This Row],[Docketed Consumer Comments]])),
    ISNUMBER(SEARCH("unknown", tblDocketedComments[[#This Row],[Docketed Consumer Comments]])),
    ISNUMBER(SEARCH("inactive", tblDocketedComments[[#This Row],[Docketed Consumer Comments]]))
  ),
  0,
  1
)</f>
        <v>1</v>
      </c>
    </row>
    <row r="594" spans="1:22" hidden="1">
      <c r="A594" s="2">
        <v>45905</v>
      </c>
      <c r="B594" s="1" t="s">
        <v>1779</v>
      </c>
      <c r="C594" s="1" t="s">
        <v>1780</v>
      </c>
      <c r="D594" s="1" t="s">
        <v>169</v>
      </c>
      <c r="E594" s="1">
        <v>85338</v>
      </c>
      <c r="F594" s="1" t="s">
        <v>1556</v>
      </c>
      <c r="G594" s="1" t="s">
        <v>1723</v>
      </c>
      <c r="H594" s="4" t="s">
        <v>1781</v>
      </c>
      <c r="I594" s="5" t="s">
        <v>418</v>
      </c>
      <c r="J594" s="5" t="s">
        <v>37</v>
      </c>
      <c r="K594" s="5" t="s">
        <v>37</v>
      </c>
      <c r="L594" s="5" t="s">
        <v>389</v>
      </c>
      <c r="M594" s="5" t="s">
        <v>37</v>
      </c>
      <c r="N594" s="5" t="s">
        <v>37</v>
      </c>
      <c r="O594" s="5" t="s">
        <v>38</v>
      </c>
      <c r="P594" s="5" t="s">
        <v>39</v>
      </c>
      <c r="Q594" s="2">
        <v>45966</v>
      </c>
      <c r="V594" s="46">
        <f>IF(
  OR(
    ISNUMBER(SEARCH("unable to locate acct", tblDocketedComments[[#This Row],[Docketed Consumer Comments]])),
    ISNUMBER(SEARCH("unknown", tblDocketedComments[[#This Row],[Docketed Consumer Comments]])),
    ISNUMBER(SEARCH("inactive", tblDocketedComments[[#This Row],[Docketed Consumer Comments]]))
  ),
  0,
  1
)</f>
        <v>1</v>
      </c>
    </row>
    <row r="595" spans="1:22" hidden="1">
      <c r="A595" s="2">
        <v>45905</v>
      </c>
      <c r="B595" s="1" t="s">
        <v>1782</v>
      </c>
      <c r="C595" s="1" t="s">
        <v>1574</v>
      </c>
      <c r="D595" s="1" t="s">
        <v>370</v>
      </c>
      <c r="E595" s="1">
        <v>85225</v>
      </c>
      <c r="F595" s="1" t="s">
        <v>310</v>
      </c>
      <c r="G595" s="1" t="s">
        <v>1723</v>
      </c>
      <c r="H595" s="22" t="s">
        <v>1783</v>
      </c>
      <c r="I595" s="5" t="s">
        <v>36</v>
      </c>
      <c r="J595" s="5" t="s">
        <v>38</v>
      </c>
      <c r="K595" s="5" t="s">
        <v>37</v>
      </c>
      <c r="L595" s="5" t="s">
        <v>1784</v>
      </c>
      <c r="M595" s="5" t="s">
        <v>37</v>
      </c>
      <c r="N595" s="5" t="s">
        <v>37</v>
      </c>
      <c r="O595" s="5" t="s">
        <v>38</v>
      </c>
      <c r="P595" s="5" t="s">
        <v>39</v>
      </c>
      <c r="Q595" s="2">
        <v>45966</v>
      </c>
      <c r="V595" s="46">
        <f>IF(
  OR(
    ISNUMBER(SEARCH("unable to locate acct", tblDocketedComments[[#This Row],[Docketed Consumer Comments]])),
    ISNUMBER(SEARCH("unknown", tblDocketedComments[[#This Row],[Docketed Consumer Comments]])),
    ISNUMBER(SEARCH("inactive", tblDocketedComments[[#This Row],[Docketed Consumer Comments]]))
  ),
  0,
  1
)</f>
        <v>1</v>
      </c>
    </row>
    <row r="596" spans="1:22" hidden="1">
      <c r="A596" s="2">
        <v>45905</v>
      </c>
      <c r="B596" s="1" t="s">
        <v>886</v>
      </c>
      <c r="C596" s="1" t="s">
        <v>1785</v>
      </c>
      <c r="D596" s="1" t="s">
        <v>63</v>
      </c>
      <c r="E596" s="1">
        <v>85029</v>
      </c>
      <c r="F596" s="1" t="s">
        <v>31</v>
      </c>
      <c r="G596" s="1" t="s">
        <v>1723</v>
      </c>
      <c r="H596" s="4" t="s">
        <v>27</v>
      </c>
      <c r="V596" s="46">
        <f>IF(
  OR(
    ISNUMBER(SEARCH("unable to locate acct", tblDocketedComments[[#This Row],[Docketed Consumer Comments]])),
    ISNUMBER(SEARCH("unknown", tblDocketedComments[[#This Row],[Docketed Consumer Comments]])),
    ISNUMBER(SEARCH("inactive", tblDocketedComments[[#This Row],[Docketed Consumer Comments]]))
  ),
  0,
  1
)</f>
        <v>1</v>
      </c>
    </row>
    <row r="597" spans="1:22" hidden="1">
      <c r="A597" s="2">
        <v>45905</v>
      </c>
      <c r="B597" s="1" t="s">
        <v>1703</v>
      </c>
      <c r="C597" s="1" t="s">
        <v>1444</v>
      </c>
      <c r="D597" s="1" t="s">
        <v>125</v>
      </c>
      <c r="E597" s="1">
        <v>85254</v>
      </c>
      <c r="F597" s="1" t="s">
        <v>310</v>
      </c>
      <c r="G597" s="1" t="s">
        <v>1723</v>
      </c>
      <c r="H597" s="19" t="s">
        <v>1786</v>
      </c>
      <c r="I597" s="5" t="s">
        <v>36</v>
      </c>
      <c r="J597" s="5" t="s">
        <v>37</v>
      </c>
      <c r="K597" s="5" t="s">
        <v>37</v>
      </c>
      <c r="L597" s="5" t="s">
        <v>38</v>
      </c>
      <c r="M597" s="5" t="s">
        <v>37</v>
      </c>
      <c r="N597" s="5" t="s">
        <v>37</v>
      </c>
      <c r="O597" s="5" t="s">
        <v>38</v>
      </c>
      <c r="P597" s="5" t="s">
        <v>39</v>
      </c>
      <c r="Q597" s="2">
        <v>45966</v>
      </c>
      <c r="V597" s="46">
        <f>IF(
  OR(
    ISNUMBER(SEARCH("unable to locate acct", tblDocketedComments[[#This Row],[Docketed Consumer Comments]])),
    ISNUMBER(SEARCH("unknown", tblDocketedComments[[#This Row],[Docketed Consumer Comments]])),
    ISNUMBER(SEARCH("inactive", tblDocketedComments[[#This Row],[Docketed Consumer Comments]]))
  ),
  0,
  1
)</f>
        <v>1</v>
      </c>
    </row>
    <row r="598" spans="1:22" hidden="1">
      <c r="A598" s="2">
        <v>45905</v>
      </c>
      <c r="B598" s="1" t="s">
        <v>1787</v>
      </c>
      <c r="C598" s="1" t="s">
        <v>491</v>
      </c>
      <c r="D598" s="1" t="s">
        <v>169</v>
      </c>
      <c r="E598" s="1">
        <v>85395</v>
      </c>
      <c r="F598" s="1" t="s">
        <v>31</v>
      </c>
      <c r="G598" s="1" t="s">
        <v>1723</v>
      </c>
      <c r="H598" s="4" t="s">
        <v>1788</v>
      </c>
      <c r="I598" s="5" t="s">
        <v>73</v>
      </c>
      <c r="J598" s="5" t="s">
        <v>37</v>
      </c>
      <c r="K598" s="5" t="s">
        <v>37</v>
      </c>
      <c r="L598" s="5" t="s">
        <v>38</v>
      </c>
      <c r="M598" s="5" t="s">
        <v>37</v>
      </c>
      <c r="N598" s="5" t="s">
        <v>37</v>
      </c>
      <c r="O598" s="5" t="s">
        <v>38</v>
      </c>
      <c r="P598" s="5" t="s">
        <v>39</v>
      </c>
      <c r="Q598" s="2">
        <v>45966</v>
      </c>
      <c r="V598" s="46">
        <f>IF(
  OR(
    ISNUMBER(SEARCH("unable to locate acct", tblDocketedComments[[#This Row],[Docketed Consumer Comments]])),
    ISNUMBER(SEARCH("unknown", tblDocketedComments[[#This Row],[Docketed Consumer Comments]])),
    ISNUMBER(SEARCH("inactive", tblDocketedComments[[#This Row],[Docketed Consumer Comments]]))
  ),
  0,
  1
)</f>
        <v>1</v>
      </c>
    </row>
    <row r="599" spans="1:22" hidden="1">
      <c r="A599" s="2">
        <v>45905</v>
      </c>
      <c r="B599" s="1" t="s">
        <v>1789</v>
      </c>
      <c r="C599" s="1" t="s">
        <v>962</v>
      </c>
      <c r="D599" s="1" t="s">
        <v>63</v>
      </c>
      <c r="E599" s="1">
        <v>85028</v>
      </c>
      <c r="F599" s="1" t="s">
        <v>1790</v>
      </c>
      <c r="G599" s="1" t="s">
        <v>1723</v>
      </c>
      <c r="H599" s="4" t="s">
        <v>1791</v>
      </c>
      <c r="I599" s="5" t="s">
        <v>36</v>
      </c>
      <c r="J599" s="5" t="s">
        <v>38</v>
      </c>
      <c r="K599" s="5" t="s">
        <v>37</v>
      </c>
      <c r="L599" s="5" t="s">
        <v>38</v>
      </c>
      <c r="M599" s="5" t="s">
        <v>38</v>
      </c>
      <c r="N599" s="15">
        <v>414.43</v>
      </c>
      <c r="O599" s="5" t="s">
        <v>38</v>
      </c>
      <c r="P599" s="7"/>
      <c r="Q599" s="2">
        <v>45966</v>
      </c>
      <c r="R599" s="1" t="s">
        <v>495</v>
      </c>
      <c r="V599" s="46">
        <f>IF(
  OR(
    ISNUMBER(SEARCH("unable to locate acct", tblDocketedComments[[#This Row],[Docketed Consumer Comments]])),
    ISNUMBER(SEARCH("unknown", tblDocketedComments[[#This Row],[Docketed Consumer Comments]])),
    ISNUMBER(SEARCH("inactive", tblDocketedComments[[#This Row],[Docketed Consumer Comments]]))
  ),
  0,
  1
)</f>
        <v>1</v>
      </c>
    </row>
    <row r="600" spans="1:22" hidden="1">
      <c r="A600" s="2">
        <v>45905</v>
      </c>
      <c r="B600" s="1" t="s">
        <v>1792</v>
      </c>
      <c r="C600" s="1" t="s">
        <v>1793</v>
      </c>
      <c r="D600" s="1" t="s">
        <v>169</v>
      </c>
      <c r="E600" s="1">
        <v>85395</v>
      </c>
      <c r="F600" s="1" t="s">
        <v>1794</v>
      </c>
      <c r="G600" s="1" t="s">
        <v>1723</v>
      </c>
      <c r="H600" s="4" t="s">
        <v>1795</v>
      </c>
      <c r="I600" s="5" t="s">
        <v>196</v>
      </c>
      <c r="J600" s="5" t="s">
        <v>37</v>
      </c>
      <c r="K600" s="5" t="s">
        <v>37</v>
      </c>
      <c r="L600" s="5" t="s">
        <v>38</v>
      </c>
      <c r="M600" s="5" t="s">
        <v>37</v>
      </c>
      <c r="N600" s="5" t="s">
        <v>37</v>
      </c>
      <c r="O600" s="5" t="s">
        <v>38</v>
      </c>
      <c r="P600" s="5" t="s">
        <v>39</v>
      </c>
      <c r="Q600" s="2">
        <v>45966</v>
      </c>
      <c r="V600" s="46">
        <f>IF(
  OR(
    ISNUMBER(SEARCH("unable to locate acct", tblDocketedComments[[#This Row],[Docketed Consumer Comments]])),
    ISNUMBER(SEARCH("unknown", tblDocketedComments[[#This Row],[Docketed Consumer Comments]])),
    ISNUMBER(SEARCH("inactive", tblDocketedComments[[#This Row],[Docketed Consumer Comments]]))
  ),
  0,
  1
)</f>
        <v>1</v>
      </c>
    </row>
    <row r="601" spans="1:22" hidden="1">
      <c r="A601" s="2">
        <v>45905</v>
      </c>
      <c r="B601" s="1" t="s">
        <v>1796</v>
      </c>
      <c r="C601" s="1" t="s">
        <v>1797</v>
      </c>
      <c r="D601" s="1" t="s">
        <v>63</v>
      </c>
      <c r="E601" s="1">
        <v>85032</v>
      </c>
      <c r="F601" s="1" t="s">
        <v>310</v>
      </c>
      <c r="G601" s="1" t="s">
        <v>1723</v>
      </c>
      <c r="H601" s="4" t="s">
        <v>1798</v>
      </c>
      <c r="I601" s="5" t="s">
        <v>36</v>
      </c>
      <c r="J601" s="5" t="s">
        <v>37</v>
      </c>
      <c r="K601" s="5" t="s">
        <v>37</v>
      </c>
      <c r="L601" s="5" t="s">
        <v>38</v>
      </c>
      <c r="M601" s="5" t="s">
        <v>37</v>
      </c>
      <c r="N601" s="5" t="s">
        <v>37</v>
      </c>
      <c r="O601" s="5" t="s">
        <v>38</v>
      </c>
      <c r="P601" s="5" t="s">
        <v>39</v>
      </c>
      <c r="Q601" s="2">
        <v>45966</v>
      </c>
      <c r="V601" s="46">
        <f>IF(
  OR(
    ISNUMBER(SEARCH("unable to locate acct", tblDocketedComments[[#This Row],[Docketed Consumer Comments]])),
    ISNUMBER(SEARCH("unknown", tblDocketedComments[[#This Row],[Docketed Consumer Comments]])),
    ISNUMBER(SEARCH("inactive", tblDocketedComments[[#This Row],[Docketed Consumer Comments]]))
  ),
  0,
  1
)</f>
        <v>1</v>
      </c>
    </row>
    <row r="602" spans="1:22" hidden="1">
      <c r="A602" s="2">
        <v>45905</v>
      </c>
      <c r="B602" s="1" t="s">
        <v>1799</v>
      </c>
      <c r="C602" s="1" t="s">
        <v>690</v>
      </c>
      <c r="D602" s="1" t="s">
        <v>169</v>
      </c>
      <c r="E602" s="1">
        <v>85395</v>
      </c>
      <c r="F602" s="1" t="s">
        <v>31</v>
      </c>
      <c r="G602" s="1" t="s">
        <v>1723</v>
      </c>
      <c r="H602" s="4" t="s">
        <v>1800</v>
      </c>
      <c r="I602" s="5" t="s">
        <v>36</v>
      </c>
      <c r="J602" s="5" t="s">
        <v>37</v>
      </c>
      <c r="K602" s="5" t="s">
        <v>37</v>
      </c>
      <c r="L602" s="5" t="s">
        <v>38</v>
      </c>
      <c r="M602" s="5" t="s">
        <v>37</v>
      </c>
      <c r="N602" s="5" t="s">
        <v>37</v>
      </c>
      <c r="O602" s="5" t="s">
        <v>38</v>
      </c>
      <c r="P602" s="5" t="s">
        <v>39</v>
      </c>
      <c r="Q602" s="2">
        <v>45966</v>
      </c>
      <c r="V602" s="46">
        <f>IF(
  OR(
    ISNUMBER(SEARCH("unable to locate acct", tblDocketedComments[[#This Row],[Docketed Consumer Comments]])),
    ISNUMBER(SEARCH("unknown", tblDocketedComments[[#This Row],[Docketed Consumer Comments]])),
    ISNUMBER(SEARCH("inactive", tblDocketedComments[[#This Row],[Docketed Consumer Comments]]))
  ),
  0,
  1
)</f>
        <v>1</v>
      </c>
    </row>
    <row r="603" spans="1:22" hidden="1">
      <c r="A603" s="2">
        <v>45905</v>
      </c>
      <c r="B603" s="1" t="s">
        <v>686</v>
      </c>
      <c r="C603" s="1" t="s">
        <v>246</v>
      </c>
      <c r="D603" s="1" t="s">
        <v>169</v>
      </c>
      <c r="E603" s="1">
        <v>85395</v>
      </c>
      <c r="F603" s="1" t="s">
        <v>31</v>
      </c>
      <c r="G603" s="1" t="s">
        <v>1723</v>
      </c>
      <c r="H603" s="4" t="s">
        <v>209</v>
      </c>
      <c r="V603" s="46">
        <f>IF(
  OR(
    ISNUMBER(SEARCH("unable to locate acct", tblDocketedComments[[#This Row],[Docketed Consumer Comments]])),
    ISNUMBER(SEARCH("unknown", tblDocketedComments[[#This Row],[Docketed Consumer Comments]])),
    ISNUMBER(SEARCH("inactive", tblDocketedComments[[#This Row],[Docketed Consumer Comments]]))
  ),
  0,
  1
)</f>
        <v>1</v>
      </c>
    </row>
    <row r="604" spans="1:22" hidden="1">
      <c r="A604" s="2">
        <v>45905</v>
      </c>
      <c r="B604" s="1" t="s">
        <v>1801</v>
      </c>
      <c r="C604" s="1" t="s">
        <v>1802</v>
      </c>
      <c r="D604" s="1" t="s">
        <v>63</v>
      </c>
      <c r="E604" s="1">
        <v>85024</v>
      </c>
      <c r="F604" s="1" t="s">
        <v>310</v>
      </c>
      <c r="G604" s="1" t="s">
        <v>1723</v>
      </c>
      <c r="H604" s="4" t="s">
        <v>27</v>
      </c>
      <c r="V604" s="46">
        <f>IF(
  OR(
    ISNUMBER(SEARCH("unable to locate acct", tblDocketedComments[[#This Row],[Docketed Consumer Comments]])),
    ISNUMBER(SEARCH("unknown", tblDocketedComments[[#This Row],[Docketed Consumer Comments]])),
    ISNUMBER(SEARCH("inactive", tblDocketedComments[[#This Row],[Docketed Consumer Comments]]))
  ),
  0,
  1
)</f>
        <v>1</v>
      </c>
    </row>
    <row r="605" spans="1:22" hidden="1">
      <c r="A605" s="2">
        <v>45905</v>
      </c>
      <c r="B605" s="1" t="s">
        <v>1803</v>
      </c>
      <c r="C605" s="1" t="s">
        <v>1804</v>
      </c>
      <c r="D605" s="1" t="s">
        <v>125</v>
      </c>
      <c r="E605" s="1">
        <v>85254</v>
      </c>
      <c r="F605" s="1" t="s">
        <v>31</v>
      </c>
      <c r="G605" s="1" t="s">
        <v>1723</v>
      </c>
      <c r="H605" s="4" t="s">
        <v>1805</v>
      </c>
      <c r="I605" s="5" t="s">
        <v>36</v>
      </c>
      <c r="J605" s="5" t="s">
        <v>37</v>
      </c>
      <c r="K605" s="5" t="s">
        <v>37</v>
      </c>
      <c r="L605" s="5" t="s">
        <v>38</v>
      </c>
      <c r="M605" s="5" t="s">
        <v>37</v>
      </c>
      <c r="N605" s="5" t="s">
        <v>37</v>
      </c>
      <c r="O605" s="5" t="s">
        <v>38</v>
      </c>
      <c r="P605" s="5" t="s">
        <v>39</v>
      </c>
      <c r="Q605" s="2">
        <v>45966</v>
      </c>
      <c r="V605" s="46">
        <f>IF(
  OR(
    ISNUMBER(SEARCH("unable to locate acct", tblDocketedComments[[#This Row],[Docketed Consumer Comments]])),
    ISNUMBER(SEARCH("unknown", tblDocketedComments[[#This Row],[Docketed Consumer Comments]])),
    ISNUMBER(SEARCH("inactive", tblDocketedComments[[#This Row],[Docketed Consumer Comments]]))
  ),
  0,
  1
)</f>
        <v>1</v>
      </c>
    </row>
    <row r="606" spans="1:22" hidden="1">
      <c r="A606" s="2">
        <v>45905</v>
      </c>
      <c r="B606" s="1" t="s">
        <v>604</v>
      </c>
      <c r="C606" s="1" t="s">
        <v>1806</v>
      </c>
      <c r="D606" s="1" t="s">
        <v>169</v>
      </c>
      <c r="E606" s="1">
        <v>85395</v>
      </c>
      <c r="F606" s="1" t="s">
        <v>31</v>
      </c>
      <c r="G606" s="1" t="s">
        <v>1723</v>
      </c>
      <c r="H606" s="4" t="s">
        <v>1807</v>
      </c>
      <c r="I606" s="5" t="s">
        <v>81</v>
      </c>
      <c r="J606" s="5" t="s">
        <v>37</v>
      </c>
      <c r="K606" s="5" t="s">
        <v>37</v>
      </c>
      <c r="L606" s="5" t="s">
        <v>389</v>
      </c>
      <c r="M606" s="5" t="s">
        <v>37</v>
      </c>
      <c r="N606" s="5" t="s">
        <v>37</v>
      </c>
      <c r="O606" s="5" t="s">
        <v>38</v>
      </c>
      <c r="P606" s="5" t="s">
        <v>39</v>
      </c>
      <c r="Q606" s="2">
        <v>45966</v>
      </c>
      <c r="V606" s="46">
        <f>IF(
  OR(
    ISNUMBER(SEARCH("unable to locate acct", tblDocketedComments[[#This Row],[Docketed Consumer Comments]])),
    ISNUMBER(SEARCH("unknown", tblDocketedComments[[#This Row],[Docketed Consumer Comments]])),
    ISNUMBER(SEARCH("inactive", tblDocketedComments[[#This Row],[Docketed Consumer Comments]]))
  ),
  0,
  1
)</f>
        <v>1</v>
      </c>
    </row>
    <row r="607" spans="1:22" hidden="1">
      <c r="A607" s="2">
        <v>45905</v>
      </c>
      <c r="B607" s="1" t="s">
        <v>1808</v>
      </c>
      <c r="C607" s="1" t="s">
        <v>1809</v>
      </c>
      <c r="D607" s="1" t="s">
        <v>125</v>
      </c>
      <c r="E607" s="1">
        <v>85255</v>
      </c>
      <c r="F607" s="1" t="s">
        <v>31</v>
      </c>
      <c r="G607" s="1" t="s">
        <v>1723</v>
      </c>
      <c r="H607" s="4" t="s">
        <v>1810</v>
      </c>
      <c r="I607" s="5" t="s">
        <v>36</v>
      </c>
      <c r="J607" s="5" t="s">
        <v>37</v>
      </c>
      <c r="K607" s="5" t="s">
        <v>37</v>
      </c>
      <c r="L607" s="5" t="s">
        <v>38</v>
      </c>
      <c r="M607" s="5" t="s">
        <v>37</v>
      </c>
      <c r="N607" s="5" t="s">
        <v>37</v>
      </c>
      <c r="O607" s="5" t="s">
        <v>38</v>
      </c>
      <c r="P607" s="5" t="s">
        <v>39</v>
      </c>
      <c r="Q607" s="2">
        <v>45966</v>
      </c>
      <c r="V607" s="46">
        <f>IF(
  OR(
    ISNUMBER(SEARCH("unable to locate acct", tblDocketedComments[[#This Row],[Docketed Consumer Comments]])),
    ISNUMBER(SEARCH("unknown", tblDocketedComments[[#This Row],[Docketed Consumer Comments]])),
    ISNUMBER(SEARCH("inactive", tblDocketedComments[[#This Row],[Docketed Consumer Comments]]))
  ),
  0,
  1
)</f>
        <v>1</v>
      </c>
    </row>
    <row r="608" spans="1:22" hidden="1">
      <c r="A608" s="2">
        <v>45905</v>
      </c>
      <c r="B608" s="1" t="s">
        <v>1811</v>
      </c>
      <c r="C608" s="1" t="s">
        <v>733</v>
      </c>
      <c r="D608" s="1" t="s">
        <v>63</v>
      </c>
      <c r="E608" s="1">
        <v>85054</v>
      </c>
      <c r="F608" s="1" t="s">
        <v>310</v>
      </c>
      <c r="G608" s="1" t="s">
        <v>1723</v>
      </c>
      <c r="H608" s="4" t="s">
        <v>27</v>
      </c>
      <c r="V608" s="46">
        <f>IF(
  OR(
    ISNUMBER(SEARCH("unable to locate acct", tblDocketedComments[[#This Row],[Docketed Consumer Comments]])),
    ISNUMBER(SEARCH("unknown", tblDocketedComments[[#This Row],[Docketed Consumer Comments]])),
    ISNUMBER(SEARCH("inactive", tblDocketedComments[[#This Row],[Docketed Consumer Comments]]))
  ),
  0,
  1
)</f>
        <v>1</v>
      </c>
    </row>
    <row r="609" spans="1:22" hidden="1">
      <c r="A609" s="2">
        <v>45905</v>
      </c>
      <c r="B609" s="1" t="s">
        <v>1812</v>
      </c>
      <c r="C609" s="1" t="s">
        <v>1813</v>
      </c>
      <c r="D609" s="1" t="s">
        <v>63</v>
      </c>
      <c r="E609" s="1">
        <v>85018</v>
      </c>
      <c r="F609" s="1" t="s">
        <v>310</v>
      </c>
      <c r="G609" s="1" t="s">
        <v>1723</v>
      </c>
      <c r="H609" s="4" t="s">
        <v>1814</v>
      </c>
      <c r="I609" s="5" t="s">
        <v>36</v>
      </c>
      <c r="J609" s="5" t="s">
        <v>37</v>
      </c>
      <c r="K609" s="5" t="s">
        <v>37</v>
      </c>
      <c r="L609" s="5" t="s">
        <v>38</v>
      </c>
      <c r="M609" s="5" t="s">
        <v>37</v>
      </c>
      <c r="N609" s="5" t="s">
        <v>37</v>
      </c>
      <c r="O609" s="5" t="s">
        <v>38</v>
      </c>
      <c r="P609" s="5" t="s">
        <v>39</v>
      </c>
      <c r="Q609" s="2">
        <v>45966</v>
      </c>
      <c r="V609" s="46">
        <f>IF(
  OR(
    ISNUMBER(SEARCH("unable to locate acct", tblDocketedComments[[#This Row],[Docketed Consumer Comments]])),
    ISNUMBER(SEARCH("unknown", tblDocketedComments[[#This Row],[Docketed Consumer Comments]])),
    ISNUMBER(SEARCH("inactive", tblDocketedComments[[#This Row],[Docketed Consumer Comments]]))
  ),
  0,
  1
)</f>
        <v>1</v>
      </c>
    </row>
    <row r="610" spans="1:22" hidden="1">
      <c r="A610" s="2">
        <v>45905</v>
      </c>
      <c r="B610" s="1" t="s">
        <v>358</v>
      </c>
      <c r="C610" s="1" t="s">
        <v>1815</v>
      </c>
      <c r="D610" s="1" t="s">
        <v>63</v>
      </c>
      <c r="E610" s="1">
        <v>85007</v>
      </c>
      <c r="F610" s="1" t="s">
        <v>310</v>
      </c>
      <c r="G610" s="1" t="s">
        <v>1723</v>
      </c>
      <c r="H610" s="4" t="s">
        <v>1816</v>
      </c>
      <c r="I610" s="5" t="s">
        <v>196</v>
      </c>
      <c r="J610" s="5" t="s">
        <v>37</v>
      </c>
      <c r="K610" s="5" t="s">
        <v>37</v>
      </c>
      <c r="L610" s="5" t="s">
        <v>1817</v>
      </c>
      <c r="M610" s="5" t="s">
        <v>37</v>
      </c>
      <c r="N610" s="5" t="s">
        <v>37</v>
      </c>
      <c r="O610" s="5" t="s">
        <v>38</v>
      </c>
      <c r="P610" s="5" t="s">
        <v>39</v>
      </c>
      <c r="Q610" s="2">
        <v>45966</v>
      </c>
      <c r="V610" s="46">
        <f>IF(
  OR(
    ISNUMBER(SEARCH("unable to locate acct", tblDocketedComments[[#This Row],[Docketed Consumer Comments]])),
    ISNUMBER(SEARCH("unknown", tblDocketedComments[[#This Row],[Docketed Consumer Comments]])),
    ISNUMBER(SEARCH("inactive", tblDocketedComments[[#This Row],[Docketed Consumer Comments]]))
  ),
  0,
  1
)</f>
        <v>1</v>
      </c>
    </row>
    <row r="611" spans="1:22" hidden="1">
      <c r="A611" s="2">
        <v>45905</v>
      </c>
      <c r="B611" s="1" t="s">
        <v>1818</v>
      </c>
      <c r="C611" s="1" t="s">
        <v>1819</v>
      </c>
      <c r="D611" s="1" t="s">
        <v>619</v>
      </c>
      <c r="E611" s="1">
        <v>85365</v>
      </c>
      <c r="F611" s="1" t="s">
        <v>310</v>
      </c>
      <c r="G611" s="1" t="s">
        <v>1723</v>
      </c>
      <c r="H611" s="4" t="s">
        <v>1820</v>
      </c>
      <c r="I611" s="5" t="s">
        <v>126</v>
      </c>
      <c r="J611" s="5" t="s">
        <v>37</v>
      </c>
      <c r="K611" s="5" t="s">
        <v>37</v>
      </c>
      <c r="L611" s="5" t="s">
        <v>38</v>
      </c>
      <c r="M611" s="5" t="s">
        <v>37</v>
      </c>
      <c r="N611" s="5" t="s">
        <v>37</v>
      </c>
      <c r="O611" s="5" t="s">
        <v>38</v>
      </c>
      <c r="P611" s="5" t="s">
        <v>39</v>
      </c>
      <c r="Q611" s="2">
        <v>45966</v>
      </c>
      <c r="V611" s="46">
        <f>IF(
  OR(
    ISNUMBER(SEARCH("unable to locate acct", tblDocketedComments[[#This Row],[Docketed Consumer Comments]])),
    ISNUMBER(SEARCH("unknown", tblDocketedComments[[#This Row],[Docketed Consumer Comments]])),
    ISNUMBER(SEARCH("inactive", tblDocketedComments[[#This Row],[Docketed Consumer Comments]]))
  ),
  0,
  1
)</f>
        <v>1</v>
      </c>
    </row>
    <row r="612" spans="1:22" hidden="1">
      <c r="A612" s="2">
        <v>45905</v>
      </c>
      <c r="B612" s="1" t="s">
        <v>208</v>
      </c>
      <c r="C612" s="1" t="s">
        <v>1099</v>
      </c>
      <c r="D612" s="1" t="s">
        <v>264</v>
      </c>
      <c r="E612" s="1">
        <v>85541</v>
      </c>
      <c r="F612" s="1" t="s">
        <v>31</v>
      </c>
      <c r="G612" s="1" t="s">
        <v>1723</v>
      </c>
      <c r="H612" s="4" t="s">
        <v>1821</v>
      </c>
      <c r="I612" s="5" t="s">
        <v>196</v>
      </c>
      <c r="J612" s="5" t="s">
        <v>37</v>
      </c>
      <c r="K612" s="5" t="s">
        <v>37</v>
      </c>
      <c r="L612" s="5" t="s">
        <v>1822</v>
      </c>
      <c r="M612" s="5" t="s">
        <v>37</v>
      </c>
      <c r="N612" s="5" t="s">
        <v>37</v>
      </c>
      <c r="O612" s="5" t="s">
        <v>38</v>
      </c>
      <c r="P612" s="5" t="s">
        <v>39</v>
      </c>
      <c r="Q612" s="2">
        <v>45966</v>
      </c>
      <c r="V612" s="46">
        <f>IF(
  OR(
    ISNUMBER(SEARCH("unable to locate acct", tblDocketedComments[[#This Row],[Docketed Consumer Comments]])),
    ISNUMBER(SEARCH("unknown", tblDocketedComments[[#This Row],[Docketed Consumer Comments]])),
    ISNUMBER(SEARCH("inactive", tblDocketedComments[[#This Row],[Docketed Consumer Comments]]))
  ),
  0,
  1
)</f>
        <v>1</v>
      </c>
    </row>
    <row r="613" spans="1:22" hidden="1">
      <c r="A613" s="2">
        <v>45905</v>
      </c>
      <c r="B613" s="1" t="s">
        <v>1823</v>
      </c>
      <c r="C613" s="1" t="s">
        <v>1824</v>
      </c>
      <c r="D613" s="1" t="s">
        <v>63</v>
      </c>
      <c r="E613" s="1">
        <v>85028</v>
      </c>
      <c r="F613" s="1" t="s">
        <v>310</v>
      </c>
      <c r="G613" s="1" t="s">
        <v>1723</v>
      </c>
      <c r="H613" s="4" t="s">
        <v>1825</v>
      </c>
      <c r="I613" s="5" t="s">
        <v>541</v>
      </c>
      <c r="J613" s="5" t="s">
        <v>37</v>
      </c>
      <c r="K613" s="5" t="s">
        <v>37</v>
      </c>
      <c r="L613" s="5" t="s">
        <v>389</v>
      </c>
      <c r="M613" s="5" t="s">
        <v>37</v>
      </c>
      <c r="N613" s="5" t="s">
        <v>37</v>
      </c>
      <c r="O613" s="5" t="s">
        <v>38</v>
      </c>
      <c r="P613" s="5" t="s">
        <v>39</v>
      </c>
      <c r="Q613" s="2">
        <v>45966</v>
      </c>
      <c r="V613" s="46">
        <f>IF(
  OR(
    ISNUMBER(SEARCH("unable to locate acct", tblDocketedComments[[#This Row],[Docketed Consumer Comments]])),
    ISNUMBER(SEARCH("unknown", tblDocketedComments[[#This Row],[Docketed Consumer Comments]])),
    ISNUMBER(SEARCH("inactive", tblDocketedComments[[#This Row],[Docketed Consumer Comments]]))
  ),
  0,
  1
)</f>
        <v>1</v>
      </c>
    </row>
    <row r="614" spans="1:22" hidden="1">
      <c r="A614" s="2">
        <v>45905</v>
      </c>
      <c r="B614" s="1" t="s">
        <v>1826</v>
      </c>
      <c r="C614" s="1" t="s">
        <v>920</v>
      </c>
      <c r="D614" s="1" t="s">
        <v>63</v>
      </c>
      <c r="E614" s="1">
        <v>85083</v>
      </c>
      <c r="F614" s="1" t="s">
        <v>310</v>
      </c>
      <c r="G614" s="1" t="s">
        <v>1723</v>
      </c>
      <c r="H614" s="4" t="s">
        <v>1827</v>
      </c>
      <c r="I614" s="5" t="s">
        <v>57</v>
      </c>
      <c r="J614" s="5" t="s">
        <v>37</v>
      </c>
      <c r="K614" s="5" t="s">
        <v>37</v>
      </c>
      <c r="L614" s="5" t="s">
        <v>38</v>
      </c>
      <c r="M614" s="5" t="s">
        <v>37</v>
      </c>
      <c r="N614" s="5" t="s">
        <v>37</v>
      </c>
      <c r="O614" s="5" t="s">
        <v>38</v>
      </c>
      <c r="P614" s="5" t="s">
        <v>39</v>
      </c>
      <c r="Q614" s="2">
        <v>45966</v>
      </c>
      <c r="V614" s="46">
        <f>IF(
  OR(
    ISNUMBER(SEARCH("unable to locate acct", tblDocketedComments[[#This Row],[Docketed Consumer Comments]])),
    ISNUMBER(SEARCH("unknown", tblDocketedComments[[#This Row],[Docketed Consumer Comments]])),
    ISNUMBER(SEARCH("inactive", tblDocketedComments[[#This Row],[Docketed Consumer Comments]]))
  ),
  0,
  1
)</f>
        <v>1</v>
      </c>
    </row>
    <row r="615" spans="1:22" hidden="1">
      <c r="A615" s="2">
        <v>45905</v>
      </c>
      <c r="B615" s="1" t="s">
        <v>1828</v>
      </c>
      <c r="C615" s="1" t="s">
        <v>1829</v>
      </c>
      <c r="D615" s="1" t="s">
        <v>63</v>
      </c>
      <c r="E615" s="1">
        <v>85032</v>
      </c>
      <c r="F615" s="1" t="s">
        <v>31</v>
      </c>
      <c r="G615" s="1" t="s">
        <v>1723</v>
      </c>
      <c r="H615" s="19" t="s">
        <v>1830</v>
      </c>
      <c r="I615" s="5" t="s">
        <v>126</v>
      </c>
      <c r="J615" s="5" t="s">
        <v>37</v>
      </c>
      <c r="K615" s="5" t="s">
        <v>37</v>
      </c>
      <c r="L615" s="5" t="s">
        <v>38</v>
      </c>
      <c r="M615" s="5" t="s">
        <v>37</v>
      </c>
      <c r="N615" s="5" t="s">
        <v>37</v>
      </c>
      <c r="O615" s="5" t="s">
        <v>38</v>
      </c>
      <c r="P615" s="5" t="s">
        <v>39</v>
      </c>
      <c r="Q615" s="2">
        <v>45966</v>
      </c>
      <c r="V615" s="46">
        <f>IF(
  OR(
    ISNUMBER(SEARCH("unable to locate acct", tblDocketedComments[[#This Row],[Docketed Consumer Comments]])),
    ISNUMBER(SEARCH("unknown", tblDocketedComments[[#This Row],[Docketed Consumer Comments]])),
    ISNUMBER(SEARCH("inactive", tblDocketedComments[[#This Row],[Docketed Consumer Comments]]))
  ),
  0,
  1
)</f>
        <v>1</v>
      </c>
    </row>
    <row r="616" spans="1:22" hidden="1">
      <c r="A616" s="2">
        <v>45905</v>
      </c>
      <c r="B616" s="1" t="s">
        <v>1831</v>
      </c>
      <c r="C616" s="1" t="s">
        <v>1832</v>
      </c>
      <c r="D616" s="1" t="s">
        <v>169</v>
      </c>
      <c r="E616" s="1">
        <v>85395</v>
      </c>
      <c r="F616" s="1" t="s">
        <v>31</v>
      </c>
      <c r="G616" s="1" t="s">
        <v>1723</v>
      </c>
      <c r="H616" s="19" t="s">
        <v>1833</v>
      </c>
      <c r="I616" s="5" t="s">
        <v>418</v>
      </c>
      <c r="J616" s="5" t="s">
        <v>37</v>
      </c>
      <c r="K616" s="5" t="s">
        <v>37</v>
      </c>
      <c r="L616" s="5" t="s">
        <v>389</v>
      </c>
      <c r="M616" s="5" t="s">
        <v>37</v>
      </c>
      <c r="N616" s="5" t="s">
        <v>37</v>
      </c>
      <c r="O616" s="5" t="s">
        <v>38</v>
      </c>
      <c r="P616" s="5" t="s">
        <v>39</v>
      </c>
      <c r="Q616" s="2">
        <v>45966</v>
      </c>
      <c r="V616" s="46">
        <f>IF(
  OR(
    ISNUMBER(SEARCH("unable to locate acct", tblDocketedComments[[#This Row],[Docketed Consumer Comments]])),
    ISNUMBER(SEARCH("unknown", tblDocketedComments[[#This Row],[Docketed Consumer Comments]])),
    ISNUMBER(SEARCH("inactive", tblDocketedComments[[#This Row],[Docketed Consumer Comments]]))
  ),
  0,
  1
)</f>
        <v>1</v>
      </c>
    </row>
    <row r="617" spans="1:22" hidden="1">
      <c r="A617" s="2">
        <v>45905</v>
      </c>
      <c r="B617" s="1" t="s">
        <v>1834</v>
      </c>
      <c r="C617" s="1" t="s">
        <v>780</v>
      </c>
      <c r="D617" s="1" t="s">
        <v>370</v>
      </c>
      <c r="E617" s="1">
        <v>85225</v>
      </c>
      <c r="F617" s="1" t="s">
        <v>310</v>
      </c>
      <c r="G617" s="1" t="s">
        <v>1723</v>
      </c>
      <c r="H617" s="4" t="s">
        <v>1835</v>
      </c>
      <c r="I617" s="5" t="s">
        <v>73</v>
      </c>
      <c r="J617" s="5" t="s">
        <v>37</v>
      </c>
      <c r="K617" s="5" t="s">
        <v>37</v>
      </c>
      <c r="L617" s="5" t="s">
        <v>38</v>
      </c>
      <c r="M617" s="5" t="s">
        <v>37</v>
      </c>
      <c r="N617" s="5" t="s">
        <v>37</v>
      </c>
      <c r="O617" s="5" t="s">
        <v>38</v>
      </c>
      <c r="P617" s="5" t="s">
        <v>39</v>
      </c>
      <c r="Q617" s="2">
        <v>45966</v>
      </c>
      <c r="V617" s="46">
        <f>IF(
  OR(
    ISNUMBER(SEARCH("unable to locate acct", tblDocketedComments[[#This Row],[Docketed Consumer Comments]])),
    ISNUMBER(SEARCH("unknown", tblDocketedComments[[#This Row],[Docketed Consumer Comments]])),
    ISNUMBER(SEARCH("inactive", tblDocketedComments[[#This Row],[Docketed Consumer Comments]]))
  ),
  0,
  1
)</f>
        <v>1</v>
      </c>
    </row>
    <row r="618" spans="1:22" hidden="1">
      <c r="A618" s="2">
        <v>45905</v>
      </c>
      <c r="B618" s="1" t="s">
        <v>1836</v>
      </c>
      <c r="C618" s="1" t="s">
        <v>75</v>
      </c>
      <c r="D618" s="1" t="s">
        <v>539</v>
      </c>
      <c r="E618" s="1">
        <v>85194</v>
      </c>
      <c r="F618" s="1" t="s">
        <v>25</v>
      </c>
      <c r="G618" s="1" t="s">
        <v>1723</v>
      </c>
      <c r="H618" s="4" t="s">
        <v>1837</v>
      </c>
      <c r="I618" s="5" t="s">
        <v>36</v>
      </c>
      <c r="J618" s="5" t="s">
        <v>37</v>
      </c>
      <c r="K618" s="5" t="s">
        <v>37</v>
      </c>
      <c r="L618" s="5" t="s">
        <v>38</v>
      </c>
      <c r="M618" s="5" t="s">
        <v>37</v>
      </c>
      <c r="N618" s="5" t="s">
        <v>37</v>
      </c>
      <c r="O618" s="5" t="s">
        <v>38</v>
      </c>
      <c r="P618" s="5" t="s">
        <v>39</v>
      </c>
      <c r="Q618" s="2">
        <v>45966</v>
      </c>
      <c r="V618" s="46">
        <f>IF(
  OR(
    ISNUMBER(SEARCH("unable to locate acct", tblDocketedComments[[#This Row],[Docketed Consumer Comments]])),
    ISNUMBER(SEARCH("unknown", tblDocketedComments[[#This Row],[Docketed Consumer Comments]])),
    ISNUMBER(SEARCH("inactive", tblDocketedComments[[#This Row],[Docketed Consumer Comments]]))
  ),
  0,
  1
)</f>
        <v>1</v>
      </c>
    </row>
    <row r="619" spans="1:22" hidden="1">
      <c r="A619" s="2">
        <v>45905</v>
      </c>
      <c r="B619" s="1" t="s">
        <v>1838</v>
      </c>
      <c r="C619" s="1" t="s">
        <v>346</v>
      </c>
      <c r="D619" s="1" t="s">
        <v>63</v>
      </c>
      <c r="E619" s="1">
        <v>85087</v>
      </c>
      <c r="F619" s="1" t="s">
        <v>310</v>
      </c>
      <c r="G619" s="1" t="s">
        <v>1723</v>
      </c>
      <c r="H619" s="4" t="s">
        <v>27</v>
      </c>
      <c r="V619" s="46">
        <f>IF(
  OR(
    ISNUMBER(SEARCH("unable to locate acct", tblDocketedComments[[#This Row],[Docketed Consumer Comments]])),
    ISNUMBER(SEARCH("unknown", tblDocketedComments[[#This Row],[Docketed Consumer Comments]])),
    ISNUMBER(SEARCH("inactive", tblDocketedComments[[#This Row],[Docketed Consumer Comments]]))
  ),
  0,
  1
)</f>
        <v>1</v>
      </c>
    </row>
    <row r="620" spans="1:22" hidden="1">
      <c r="A620" s="2">
        <v>45905</v>
      </c>
      <c r="B620" s="1" t="s">
        <v>1839</v>
      </c>
      <c r="C620" s="1" t="s">
        <v>1840</v>
      </c>
      <c r="D620" s="1" t="s">
        <v>63</v>
      </c>
      <c r="E620" s="1">
        <v>85024</v>
      </c>
      <c r="F620" s="1" t="s">
        <v>1841</v>
      </c>
      <c r="G620" s="1" t="s">
        <v>1723</v>
      </c>
      <c r="H620" s="4" t="s">
        <v>1842</v>
      </c>
      <c r="I620" s="5" t="s">
        <v>36</v>
      </c>
      <c r="J620" s="5" t="s">
        <v>37</v>
      </c>
      <c r="K620" s="5" t="s">
        <v>37</v>
      </c>
      <c r="L620" s="5" t="s">
        <v>38</v>
      </c>
      <c r="M620" s="5" t="s">
        <v>37</v>
      </c>
      <c r="N620" s="5" t="s">
        <v>37</v>
      </c>
      <c r="O620" s="5" t="s">
        <v>38</v>
      </c>
      <c r="P620" s="5" t="s">
        <v>39</v>
      </c>
      <c r="Q620" s="2">
        <v>45966</v>
      </c>
      <c r="V620" s="46">
        <f>IF(
  OR(
    ISNUMBER(SEARCH("unable to locate acct", tblDocketedComments[[#This Row],[Docketed Consumer Comments]])),
    ISNUMBER(SEARCH("unknown", tblDocketedComments[[#This Row],[Docketed Consumer Comments]])),
    ISNUMBER(SEARCH("inactive", tblDocketedComments[[#This Row],[Docketed Consumer Comments]]))
  ),
  0,
  1
)</f>
        <v>1</v>
      </c>
    </row>
    <row r="621" spans="1:22" hidden="1">
      <c r="A621" s="2">
        <v>45905</v>
      </c>
      <c r="B621" s="1" t="s">
        <v>1843</v>
      </c>
      <c r="C621" s="1" t="s">
        <v>1844</v>
      </c>
      <c r="D621" s="1" t="s">
        <v>63</v>
      </c>
      <c r="E621" s="1">
        <v>85028</v>
      </c>
      <c r="F621" s="1" t="s">
        <v>1845</v>
      </c>
      <c r="G621" s="1" t="s">
        <v>1723</v>
      </c>
      <c r="H621" s="4" t="s">
        <v>90</v>
      </c>
      <c r="V621" s="46">
        <f>IF(
  OR(
    ISNUMBER(SEARCH("unable to locate acct", tblDocketedComments[[#This Row],[Docketed Consumer Comments]])),
    ISNUMBER(SEARCH("unknown", tblDocketedComments[[#This Row],[Docketed Consumer Comments]])),
    ISNUMBER(SEARCH("inactive", tblDocketedComments[[#This Row],[Docketed Consumer Comments]]))
  ),
  0,
  1
)</f>
        <v>1</v>
      </c>
    </row>
    <row r="622" spans="1:22" hidden="1">
      <c r="A622" s="2">
        <v>45905</v>
      </c>
      <c r="B622" s="1" t="s">
        <v>1846</v>
      </c>
      <c r="C622" s="1" t="s">
        <v>1847</v>
      </c>
      <c r="D622" s="1" t="s">
        <v>63</v>
      </c>
      <c r="E622" s="1">
        <v>85022</v>
      </c>
      <c r="F622" s="1" t="s">
        <v>310</v>
      </c>
      <c r="G622" s="1" t="s">
        <v>1723</v>
      </c>
      <c r="H622" s="4" t="s">
        <v>1848</v>
      </c>
      <c r="I622" s="5" t="s">
        <v>36</v>
      </c>
      <c r="J622" s="5" t="s">
        <v>37</v>
      </c>
      <c r="K622" s="5" t="s">
        <v>37</v>
      </c>
      <c r="L622" s="5" t="s">
        <v>38</v>
      </c>
      <c r="M622" s="5" t="s">
        <v>37</v>
      </c>
      <c r="N622" s="5" t="s">
        <v>37</v>
      </c>
      <c r="O622" s="5" t="s">
        <v>38</v>
      </c>
      <c r="P622" s="5" t="s">
        <v>39</v>
      </c>
      <c r="Q622" s="2">
        <v>45966</v>
      </c>
      <c r="V622" s="46">
        <f>IF(
  OR(
    ISNUMBER(SEARCH("unable to locate acct", tblDocketedComments[[#This Row],[Docketed Consumer Comments]])),
    ISNUMBER(SEARCH("unknown", tblDocketedComments[[#This Row],[Docketed Consumer Comments]])),
    ISNUMBER(SEARCH("inactive", tblDocketedComments[[#This Row],[Docketed Consumer Comments]]))
  ),
  0,
  1
)</f>
        <v>1</v>
      </c>
    </row>
    <row r="623" spans="1:22" hidden="1">
      <c r="A623" s="2">
        <v>45905</v>
      </c>
      <c r="B623" s="1" t="s">
        <v>1849</v>
      </c>
      <c r="C623" s="1" t="s">
        <v>1850</v>
      </c>
      <c r="D623" s="1" t="s">
        <v>202</v>
      </c>
      <c r="E623" s="1">
        <v>85383</v>
      </c>
      <c r="F623" s="1" t="s">
        <v>310</v>
      </c>
      <c r="G623" s="1" t="s">
        <v>1723</v>
      </c>
      <c r="H623" s="4" t="s">
        <v>1851</v>
      </c>
      <c r="I623" s="5" t="s">
        <v>196</v>
      </c>
      <c r="J623" s="5" t="s">
        <v>37</v>
      </c>
      <c r="K623" s="5" t="s">
        <v>37</v>
      </c>
      <c r="L623" s="5" t="s">
        <v>38</v>
      </c>
      <c r="M623" s="5" t="s">
        <v>37</v>
      </c>
      <c r="N623" s="5" t="s">
        <v>37</v>
      </c>
      <c r="O623" s="5" t="s">
        <v>38</v>
      </c>
      <c r="P623" s="5" t="s">
        <v>39</v>
      </c>
      <c r="Q623" s="2">
        <v>45966</v>
      </c>
      <c r="V623" s="46">
        <f>IF(
  OR(
    ISNUMBER(SEARCH("unable to locate acct", tblDocketedComments[[#This Row],[Docketed Consumer Comments]])),
    ISNUMBER(SEARCH("unknown", tblDocketedComments[[#This Row],[Docketed Consumer Comments]])),
    ISNUMBER(SEARCH("inactive", tblDocketedComments[[#This Row],[Docketed Consumer Comments]]))
  ),
  0,
  1
)</f>
        <v>1</v>
      </c>
    </row>
    <row r="624" spans="1:22" hidden="1">
      <c r="A624" s="2">
        <v>45905</v>
      </c>
      <c r="B624" s="1" t="s">
        <v>1136</v>
      </c>
      <c r="C624" s="1" t="s">
        <v>1852</v>
      </c>
      <c r="D624" s="1" t="s">
        <v>63</v>
      </c>
      <c r="E624" s="1">
        <v>85007</v>
      </c>
      <c r="F624" s="1" t="s">
        <v>310</v>
      </c>
      <c r="G624" s="1" t="s">
        <v>1723</v>
      </c>
      <c r="H624" s="4" t="s">
        <v>1853</v>
      </c>
      <c r="I624" s="5" t="s">
        <v>36</v>
      </c>
      <c r="J624" s="5" t="s">
        <v>37</v>
      </c>
      <c r="K624" s="5" t="s">
        <v>37</v>
      </c>
      <c r="L624" s="5" t="s">
        <v>38</v>
      </c>
      <c r="M624" s="5" t="s">
        <v>37</v>
      </c>
      <c r="N624" s="5" t="s">
        <v>37</v>
      </c>
      <c r="O624" s="5" t="s">
        <v>38</v>
      </c>
      <c r="P624" s="5" t="s">
        <v>39</v>
      </c>
      <c r="Q624" s="2">
        <v>45966</v>
      </c>
      <c r="V624" s="46">
        <f>IF(
  OR(
    ISNUMBER(SEARCH("unable to locate acct", tblDocketedComments[[#This Row],[Docketed Consumer Comments]])),
    ISNUMBER(SEARCH("unknown", tblDocketedComments[[#This Row],[Docketed Consumer Comments]])),
    ISNUMBER(SEARCH("inactive", tblDocketedComments[[#This Row],[Docketed Consumer Comments]]))
  ),
  0,
  1
)</f>
        <v>1</v>
      </c>
    </row>
    <row r="625" spans="1:22" hidden="1">
      <c r="A625" s="2">
        <v>45905</v>
      </c>
      <c r="B625" s="1" t="s">
        <v>1854</v>
      </c>
      <c r="C625" s="1" t="s">
        <v>1855</v>
      </c>
      <c r="D625" s="1" t="s">
        <v>112</v>
      </c>
      <c r="E625" s="1">
        <v>85379</v>
      </c>
      <c r="F625" s="1" t="s">
        <v>310</v>
      </c>
      <c r="G625" s="1" t="s">
        <v>1723</v>
      </c>
      <c r="H625" s="4" t="s">
        <v>1856</v>
      </c>
      <c r="I625" s="5" t="s">
        <v>196</v>
      </c>
      <c r="J625" s="5" t="s">
        <v>37</v>
      </c>
      <c r="K625" s="5" t="s">
        <v>37</v>
      </c>
      <c r="L625" s="5" t="s">
        <v>38</v>
      </c>
      <c r="M625" s="5" t="s">
        <v>38</v>
      </c>
      <c r="N625" s="13">
        <v>436.03</v>
      </c>
      <c r="O625" s="5" t="s">
        <v>38</v>
      </c>
      <c r="P625" s="5" t="s">
        <v>39</v>
      </c>
      <c r="Q625" s="2">
        <v>45966</v>
      </c>
      <c r="V625" s="46">
        <f>IF(
  OR(
    ISNUMBER(SEARCH("unable to locate acct", tblDocketedComments[[#This Row],[Docketed Consumer Comments]])),
    ISNUMBER(SEARCH("unknown", tblDocketedComments[[#This Row],[Docketed Consumer Comments]])),
    ISNUMBER(SEARCH("inactive", tblDocketedComments[[#This Row],[Docketed Consumer Comments]]))
  ),
  0,
  1
)</f>
        <v>1</v>
      </c>
    </row>
    <row r="626" spans="1:22" hidden="1">
      <c r="A626" s="2">
        <v>45905</v>
      </c>
      <c r="B626" s="1" t="s">
        <v>1857</v>
      </c>
      <c r="C626" s="1" t="s">
        <v>211</v>
      </c>
      <c r="D626" s="1" t="s">
        <v>169</v>
      </c>
      <c r="E626" s="1">
        <v>85395</v>
      </c>
      <c r="F626" s="1" t="s">
        <v>31</v>
      </c>
      <c r="G626" s="1" t="s">
        <v>1723</v>
      </c>
      <c r="H626" s="4" t="s">
        <v>1858</v>
      </c>
      <c r="I626" s="5" t="s">
        <v>36</v>
      </c>
      <c r="J626" s="5" t="s">
        <v>37</v>
      </c>
      <c r="K626" s="5" t="s">
        <v>37</v>
      </c>
      <c r="L626" s="5" t="s">
        <v>38</v>
      </c>
      <c r="M626" s="5" t="s">
        <v>37</v>
      </c>
      <c r="N626" s="5" t="s">
        <v>37</v>
      </c>
      <c r="O626" s="5" t="s">
        <v>38</v>
      </c>
      <c r="P626" s="5" t="s">
        <v>39</v>
      </c>
      <c r="Q626" s="2">
        <v>45966</v>
      </c>
      <c r="V626" s="46">
        <f>IF(
  OR(
    ISNUMBER(SEARCH("unable to locate acct", tblDocketedComments[[#This Row],[Docketed Consumer Comments]])),
    ISNUMBER(SEARCH("unknown", tblDocketedComments[[#This Row],[Docketed Consumer Comments]])),
    ISNUMBER(SEARCH("inactive", tblDocketedComments[[#This Row],[Docketed Consumer Comments]]))
  ),
  0,
  1
)</f>
        <v>1</v>
      </c>
    </row>
    <row r="627" spans="1:22" hidden="1">
      <c r="A627" s="2">
        <v>45905</v>
      </c>
      <c r="B627" s="1" t="s">
        <v>1859</v>
      </c>
      <c r="C627" s="1" t="s">
        <v>550</v>
      </c>
      <c r="D627" s="1" t="s">
        <v>635</v>
      </c>
      <c r="E627" s="1">
        <v>85288</v>
      </c>
      <c r="F627" s="1" t="s">
        <v>310</v>
      </c>
      <c r="G627" s="1" t="s">
        <v>1723</v>
      </c>
      <c r="H627" s="4" t="s">
        <v>1860</v>
      </c>
      <c r="I627" s="5" t="s">
        <v>73</v>
      </c>
      <c r="J627" s="5" t="s">
        <v>37</v>
      </c>
      <c r="K627" s="5" t="s">
        <v>37</v>
      </c>
      <c r="L627" s="5" t="s">
        <v>38</v>
      </c>
      <c r="M627" s="5" t="s">
        <v>37</v>
      </c>
      <c r="N627" s="5" t="s">
        <v>37</v>
      </c>
      <c r="O627" s="5" t="s">
        <v>38</v>
      </c>
      <c r="P627" s="5" t="s">
        <v>39</v>
      </c>
      <c r="Q627" s="2">
        <v>45966</v>
      </c>
      <c r="V627" s="46">
        <f>IF(
  OR(
    ISNUMBER(SEARCH("unable to locate acct", tblDocketedComments[[#This Row],[Docketed Consumer Comments]])),
    ISNUMBER(SEARCH("unknown", tblDocketedComments[[#This Row],[Docketed Consumer Comments]])),
    ISNUMBER(SEARCH("inactive", tblDocketedComments[[#This Row],[Docketed Consumer Comments]]))
  ),
  0,
  1
)</f>
        <v>1</v>
      </c>
    </row>
    <row r="628" spans="1:22" hidden="1">
      <c r="A628" s="2">
        <v>45905</v>
      </c>
      <c r="B628" s="1" t="s">
        <v>1861</v>
      </c>
      <c r="C628" s="1" t="s">
        <v>1862</v>
      </c>
      <c r="D628" s="1" t="s">
        <v>63</v>
      </c>
      <c r="E628" s="1">
        <v>85053</v>
      </c>
      <c r="F628" s="1" t="s">
        <v>310</v>
      </c>
      <c r="G628" s="1" t="s">
        <v>1723</v>
      </c>
      <c r="H628" s="4" t="s">
        <v>1863</v>
      </c>
      <c r="I628" s="5" t="s">
        <v>73</v>
      </c>
      <c r="J628" s="5" t="s">
        <v>37</v>
      </c>
      <c r="K628" s="5" t="s">
        <v>37</v>
      </c>
      <c r="L628" s="5" t="s">
        <v>38</v>
      </c>
      <c r="M628" s="5" t="s">
        <v>37</v>
      </c>
      <c r="N628" s="5" t="s">
        <v>37</v>
      </c>
      <c r="O628" s="5" t="s">
        <v>38</v>
      </c>
      <c r="P628" s="5" t="s">
        <v>39</v>
      </c>
      <c r="Q628" s="2">
        <v>45966</v>
      </c>
      <c r="V628" s="46">
        <f>IF(
  OR(
    ISNUMBER(SEARCH("unable to locate acct", tblDocketedComments[[#This Row],[Docketed Consumer Comments]])),
    ISNUMBER(SEARCH("unknown", tblDocketedComments[[#This Row],[Docketed Consumer Comments]])),
    ISNUMBER(SEARCH("inactive", tblDocketedComments[[#This Row],[Docketed Consumer Comments]]))
  ),
  0,
  1
)</f>
        <v>1</v>
      </c>
    </row>
    <row r="629" spans="1:22" hidden="1">
      <c r="A629" s="2">
        <v>45905</v>
      </c>
      <c r="B629" s="1" t="s">
        <v>1864</v>
      </c>
      <c r="C629" s="1" t="s">
        <v>1865</v>
      </c>
      <c r="D629" s="1" t="s">
        <v>737</v>
      </c>
      <c r="E629" s="1">
        <v>86326</v>
      </c>
      <c r="F629" s="1" t="s">
        <v>1866</v>
      </c>
      <c r="G629" s="1" t="s">
        <v>1723</v>
      </c>
      <c r="H629" s="4" t="s">
        <v>1867</v>
      </c>
      <c r="I629" s="5" t="s">
        <v>73</v>
      </c>
      <c r="J629" s="5" t="s">
        <v>38</v>
      </c>
      <c r="K629" s="5" t="s">
        <v>37</v>
      </c>
      <c r="L629" s="5" t="s">
        <v>38</v>
      </c>
      <c r="M629" s="5" t="s">
        <v>37</v>
      </c>
      <c r="N629" s="5" t="s">
        <v>37</v>
      </c>
      <c r="O629" s="5" t="s">
        <v>38</v>
      </c>
      <c r="P629" s="5" t="s">
        <v>39</v>
      </c>
      <c r="Q629" s="2">
        <v>45966</v>
      </c>
      <c r="V629" s="46">
        <f>IF(
  OR(
    ISNUMBER(SEARCH("unable to locate acct", tblDocketedComments[[#This Row],[Docketed Consumer Comments]])),
    ISNUMBER(SEARCH("unknown", tblDocketedComments[[#This Row],[Docketed Consumer Comments]])),
    ISNUMBER(SEARCH("inactive", tblDocketedComments[[#This Row],[Docketed Consumer Comments]]))
  ),
  0,
  1
)</f>
        <v>1</v>
      </c>
    </row>
    <row r="630" spans="1:22" hidden="1">
      <c r="A630" s="2">
        <v>45905</v>
      </c>
      <c r="B630" s="1" t="s">
        <v>1182</v>
      </c>
      <c r="C630" s="1" t="s">
        <v>1868</v>
      </c>
      <c r="D630" s="1" t="s">
        <v>63</v>
      </c>
      <c r="E630" s="1">
        <v>85054</v>
      </c>
      <c r="F630" s="1" t="s">
        <v>31</v>
      </c>
      <c r="G630" s="1" t="s">
        <v>1723</v>
      </c>
      <c r="H630" s="4" t="s">
        <v>27</v>
      </c>
      <c r="V630" s="46">
        <f>IF(
  OR(
    ISNUMBER(SEARCH("unable to locate acct", tblDocketedComments[[#This Row],[Docketed Consumer Comments]])),
    ISNUMBER(SEARCH("unknown", tblDocketedComments[[#This Row],[Docketed Consumer Comments]])),
    ISNUMBER(SEARCH("inactive", tblDocketedComments[[#This Row],[Docketed Consumer Comments]]))
  ),
  0,
  1
)</f>
        <v>1</v>
      </c>
    </row>
    <row r="631" spans="1:22" hidden="1">
      <c r="A631" s="2">
        <v>45905</v>
      </c>
      <c r="B631" s="1" t="s">
        <v>1869</v>
      </c>
      <c r="C631" s="1" t="s">
        <v>1870</v>
      </c>
      <c r="D631" s="1" t="s">
        <v>619</v>
      </c>
      <c r="E631" s="1">
        <v>85365</v>
      </c>
      <c r="F631" s="1" t="s">
        <v>310</v>
      </c>
      <c r="G631" s="1" t="s">
        <v>1723</v>
      </c>
      <c r="H631" s="4" t="s">
        <v>27</v>
      </c>
      <c r="V631" s="46">
        <f>IF(
  OR(
    ISNUMBER(SEARCH("unable to locate acct", tblDocketedComments[[#This Row],[Docketed Consumer Comments]])),
    ISNUMBER(SEARCH("unknown", tblDocketedComments[[#This Row],[Docketed Consumer Comments]])),
    ISNUMBER(SEARCH("inactive", tblDocketedComments[[#This Row],[Docketed Consumer Comments]]))
  ),
  0,
  1
)</f>
        <v>1</v>
      </c>
    </row>
    <row r="632" spans="1:22" hidden="1">
      <c r="A632" s="2">
        <v>45905</v>
      </c>
      <c r="B632" s="1" t="s">
        <v>1583</v>
      </c>
      <c r="C632" s="1" t="s">
        <v>690</v>
      </c>
      <c r="D632" s="1" t="s">
        <v>169</v>
      </c>
      <c r="E632" s="1">
        <v>85338</v>
      </c>
      <c r="F632" s="1" t="s">
        <v>1871</v>
      </c>
      <c r="G632" s="1" t="s">
        <v>1723</v>
      </c>
      <c r="H632" s="4" t="s">
        <v>719</v>
      </c>
      <c r="I632" s="5" t="s">
        <v>1684</v>
      </c>
      <c r="J632" s="5" t="s">
        <v>37</v>
      </c>
      <c r="K632" s="5" t="s">
        <v>37</v>
      </c>
      <c r="L632" s="5" t="s">
        <v>389</v>
      </c>
      <c r="M632" s="5" t="s">
        <v>37</v>
      </c>
      <c r="N632" s="5" t="s">
        <v>37</v>
      </c>
      <c r="O632" s="5" t="s">
        <v>38</v>
      </c>
      <c r="P632" s="5" t="s">
        <v>39</v>
      </c>
      <c r="Q632" s="2">
        <v>45966</v>
      </c>
      <c r="V632" s="46">
        <f>IF(
  OR(
    ISNUMBER(SEARCH("unable to locate acct", tblDocketedComments[[#This Row],[Docketed Consumer Comments]])),
    ISNUMBER(SEARCH("unknown", tblDocketedComments[[#This Row],[Docketed Consumer Comments]])),
    ISNUMBER(SEARCH("inactive", tblDocketedComments[[#This Row],[Docketed Consumer Comments]]))
  ),
  0,
  1
)</f>
        <v>1</v>
      </c>
    </row>
    <row r="633" spans="1:22" hidden="1">
      <c r="A633" s="2">
        <v>45905</v>
      </c>
      <c r="B633" s="1" t="s">
        <v>1872</v>
      </c>
      <c r="C633" s="1" t="s">
        <v>1873</v>
      </c>
      <c r="D633" s="1" t="s">
        <v>63</v>
      </c>
      <c r="E633" s="1">
        <v>85083</v>
      </c>
      <c r="F633" s="1" t="s">
        <v>310</v>
      </c>
      <c r="G633" s="1" t="s">
        <v>1723</v>
      </c>
      <c r="H633" s="19">
        <v>6940323949</v>
      </c>
      <c r="I633" s="5" t="s">
        <v>196</v>
      </c>
      <c r="J633" s="5" t="s">
        <v>37</v>
      </c>
      <c r="K633" s="5" t="s">
        <v>37</v>
      </c>
      <c r="L633" s="5" t="s">
        <v>1874</v>
      </c>
      <c r="M633" s="5" t="s">
        <v>37</v>
      </c>
      <c r="N633" s="5" t="s">
        <v>37</v>
      </c>
      <c r="O633" s="5" t="s">
        <v>38</v>
      </c>
      <c r="P633" s="5" t="s">
        <v>39</v>
      </c>
      <c r="Q633" s="2">
        <v>45966</v>
      </c>
      <c r="V633" s="46">
        <f>IF(
  OR(
    ISNUMBER(SEARCH("unable to locate acct", tblDocketedComments[[#This Row],[Docketed Consumer Comments]])),
    ISNUMBER(SEARCH("unknown", tblDocketedComments[[#This Row],[Docketed Consumer Comments]])),
    ISNUMBER(SEARCH("inactive", tblDocketedComments[[#This Row],[Docketed Consumer Comments]]))
  ),
  0,
  1
)</f>
        <v>1</v>
      </c>
    </row>
    <row r="634" spans="1:22" hidden="1">
      <c r="A634" s="2">
        <v>45905</v>
      </c>
      <c r="B634" s="1" t="s">
        <v>1875</v>
      </c>
      <c r="C634" s="1" t="s">
        <v>1876</v>
      </c>
      <c r="D634" s="1" t="s">
        <v>169</v>
      </c>
      <c r="E634" s="1">
        <v>85395</v>
      </c>
      <c r="F634" s="1" t="s">
        <v>1877</v>
      </c>
      <c r="G634" s="1" t="s">
        <v>1723</v>
      </c>
      <c r="H634" s="4" t="s">
        <v>1878</v>
      </c>
      <c r="I634" s="5" t="s">
        <v>1684</v>
      </c>
      <c r="J634" s="5" t="s">
        <v>37</v>
      </c>
      <c r="K634" s="5" t="s">
        <v>37</v>
      </c>
      <c r="L634" s="5" t="s">
        <v>38</v>
      </c>
      <c r="M634" s="5" t="s">
        <v>37</v>
      </c>
      <c r="N634" s="5" t="s">
        <v>37</v>
      </c>
      <c r="O634" s="5" t="s">
        <v>38</v>
      </c>
      <c r="P634" s="5" t="s">
        <v>39</v>
      </c>
      <c r="Q634" s="2">
        <v>45966</v>
      </c>
      <c r="V634" s="46">
        <f>IF(
  OR(
    ISNUMBER(SEARCH("unable to locate acct", tblDocketedComments[[#This Row],[Docketed Consumer Comments]])),
    ISNUMBER(SEARCH("unknown", tblDocketedComments[[#This Row],[Docketed Consumer Comments]])),
    ISNUMBER(SEARCH("inactive", tblDocketedComments[[#This Row],[Docketed Consumer Comments]]))
  ),
  0,
  1
)</f>
        <v>1</v>
      </c>
    </row>
    <row r="635" spans="1:22" hidden="1">
      <c r="A635" s="2">
        <v>45905</v>
      </c>
      <c r="B635" s="1" t="s">
        <v>1879</v>
      </c>
      <c r="C635" s="1" t="s">
        <v>1310</v>
      </c>
      <c r="D635" s="1" t="s">
        <v>169</v>
      </c>
      <c r="E635" s="1">
        <v>85395</v>
      </c>
      <c r="F635" s="1" t="s">
        <v>31</v>
      </c>
      <c r="G635" s="1" t="s">
        <v>1723</v>
      </c>
      <c r="H635" s="4" t="s">
        <v>1880</v>
      </c>
      <c r="I635" s="5" t="s">
        <v>243</v>
      </c>
      <c r="J635" s="5" t="s">
        <v>37</v>
      </c>
      <c r="K635" s="5" t="s">
        <v>37</v>
      </c>
      <c r="L635" s="5" t="s">
        <v>389</v>
      </c>
      <c r="M635" s="5" t="s">
        <v>37</v>
      </c>
      <c r="N635" s="5" t="s">
        <v>37</v>
      </c>
      <c r="O635" s="5" t="s">
        <v>38</v>
      </c>
      <c r="P635" s="5" t="s">
        <v>39</v>
      </c>
      <c r="Q635" s="2">
        <v>45966</v>
      </c>
      <c r="V635" s="46">
        <f>IF(
  OR(
    ISNUMBER(SEARCH("unable to locate acct", tblDocketedComments[[#This Row],[Docketed Consumer Comments]])),
    ISNUMBER(SEARCH("unknown", tblDocketedComments[[#This Row],[Docketed Consumer Comments]])),
    ISNUMBER(SEARCH("inactive", tblDocketedComments[[#This Row],[Docketed Consumer Comments]]))
  ),
  0,
  1
)</f>
        <v>1</v>
      </c>
    </row>
    <row r="636" spans="1:22" hidden="1">
      <c r="A636" s="2">
        <v>45905</v>
      </c>
      <c r="B636" s="1" t="s">
        <v>1881</v>
      </c>
      <c r="C636" s="1" t="s">
        <v>1755</v>
      </c>
      <c r="D636" s="1" t="s">
        <v>24</v>
      </c>
      <c r="E636" s="1">
        <v>85308</v>
      </c>
      <c r="F636" s="1" t="s">
        <v>310</v>
      </c>
      <c r="G636" s="1" t="s">
        <v>1723</v>
      </c>
      <c r="H636" s="4" t="s">
        <v>1882</v>
      </c>
      <c r="I636" s="5" t="s">
        <v>196</v>
      </c>
      <c r="J636" s="5" t="s">
        <v>37</v>
      </c>
      <c r="K636" s="5" t="s">
        <v>37</v>
      </c>
      <c r="L636" s="5" t="s">
        <v>1883</v>
      </c>
      <c r="M636" s="5" t="s">
        <v>37</v>
      </c>
      <c r="N636" s="5" t="s">
        <v>37</v>
      </c>
      <c r="O636" s="5" t="s">
        <v>38</v>
      </c>
      <c r="P636" s="5" t="s">
        <v>39</v>
      </c>
      <c r="Q636" s="2">
        <v>45966</v>
      </c>
      <c r="V636" s="46">
        <f>IF(
  OR(
    ISNUMBER(SEARCH("unable to locate acct", tblDocketedComments[[#This Row],[Docketed Consumer Comments]])),
    ISNUMBER(SEARCH("unknown", tblDocketedComments[[#This Row],[Docketed Consumer Comments]])),
    ISNUMBER(SEARCH("inactive", tblDocketedComments[[#This Row],[Docketed Consumer Comments]]))
  ),
  0,
  1
)</f>
        <v>1</v>
      </c>
    </row>
    <row r="637" spans="1:22" hidden="1">
      <c r="A637" s="2">
        <v>45905</v>
      </c>
      <c r="B637" s="1" t="s">
        <v>1884</v>
      </c>
      <c r="C637" s="1" t="s">
        <v>1666</v>
      </c>
      <c r="D637" s="1" t="s">
        <v>619</v>
      </c>
      <c r="E637" s="1">
        <v>85365</v>
      </c>
      <c r="F637" s="1" t="s">
        <v>1556</v>
      </c>
      <c r="G637" s="1" t="s">
        <v>1723</v>
      </c>
      <c r="H637" s="4" t="s">
        <v>1885</v>
      </c>
      <c r="I637" s="5" t="s">
        <v>57</v>
      </c>
      <c r="J637" s="5" t="s">
        <v>37</v>
      </c>
      <c r="K637" s="5" t="s">
        <v>37</v>
      </c>
      <c r="L637" s="7" t="s">
        <v>1886</v>
      </c>
      <c r="M637" s="5" t="s">
        <v>37</v>
      </c>
      <c r="N637" s="5" t="s">
        <v>37</v>
      </c>
      <c r="O637" s="5" t="s">
        <v>38</v>
      </c>
      <c r="Q637" s="2">
        <v>45966</v>
      </c>
      <c r="R637" s="21" t="s">
        <v>1887</v>
      </c>
      <c r="V637" s="46">
        <f>IF(
  OR(
    ISNUMBER(SEARCH("unable to locate acct", tblDocketedComments[[#This Row],[Docketed Consumer Comments]])),
    ISNUMBER(SEARCH("unknown", tblDocketedComments[[#This Row],[Docketed Consumer Comments]])),
    ISNUMBER(SEARCH("inactive", tblDocketedComments[[#This Row],[Docketed Consumer Comments]]))
  ),
  0,
  1
)</f>
        <v>1</v>
      </c>
    </row>
    <row r="638" spans="1:22" hidden="1">
      <c r="A638" s="2">
        <v>45905</v>
      </c>
      <c r="B638" s="1" t="s">
        <v>1888</v>
      </c>
      <c r="C638" s="1" t="s">
        <v>1889</v>
      </c>
      <c r="D638" s="1" t="s">
        <v>125</v>
      </c>
      <c r="E638" s="1">
        <v>85254</v>
      </c>
      <c r="F638" s="1" t="s">
        <v>31</v>
      </c>
      <c r="G638" s="1" t="s">
        <v>1723</v>
      </c>
      <c r="H638" s="4" t="s">
        <v>27</v>
      </c>
      <c r="V638" s="46">
        <f>IF(
  OR(
    ISNUMBER(SEARCH("unable to locate acct", tblDocketedComments[[#This Row],[Docketed Consumer Comments]])),
    ISNUMBER(SEARCH("unknown", tblDocketedComments[[#This Row],[Docketed Consumer Comments]])),
    ISNUMBER(SEARCH("inactive", tblDocketedComments[[#This Row],[Docketed Consumer Comments]]))
  ),
  0,
  1
)</f>
        <v>1</v>
      </c>
    </row>
    <row r="639" spans="1:22" hidden="1">
      <c r="A639" s="2">
        <v>45905</v>
      </c>
      <c r="B639" s="1" t="s">
        <v>1890</v>
      </c>
      <c r="C639" s="1" t="s">
        <v>747</v>
      </c>
      <c r="D639" s="1" t="s">
        <v>202</v>
      </c>
      <c r="E639" s="1">
        <v>85383</v>
      </c>
      <c r="F639" s="1" t="s">
        <v>31</v>
      </c>
      <c r="G639" s="1" t="s">
        <v>1723</v>
      </c>
      <c r="H639" s="4" t="s">
        <v>1891</v>
      </c>
      <c r="I639" s="5" t="s">
        <v>1892</v>
      </c>
      <c r="J639" s="5" t="s">
        <v>37</v>
      </c>
      <c r="K639" s="5" t="s">
        <v>37</v>
      </c>
      <c r="L639" s="5" t="s">
        <v>38</v>
      </c>
      <c r="M639" s="5" t="s">
        <v>37</v>
      </c>
      <c r="N639" s="5" t="s">
        <v>37</v>
      </c>
      <c r="O639" s="5" t="s">
        <v>38</v>
      </c>
      <c r="P639" s="5" t="s">
        <v>39</v>
      </c>
      <c r="Q639" s="2">
        <v>45966</v>
      </c>
      <c r="V639" s="46">
        <f>IF(
  OR(
    ISNUMBER(SEARCH("unable to locate acct", tblDocketedComments[[#This Row],[Docketed Consumer Comments]])),
    ISNUMBER(SEARCH("unknown", tblDocketedComments[[#This Row],[Docketed Consumer Comments]])),
    ISNUMBER(SEARCH("inactive", tblDocketedComments[[#This Row],[Docketed Consumer Comments]]))
  ),
  0,
  1
)</f>
        <v>1</v>
      </c>
    </row>
    <row r="640" spans="1:22" hidden="1">
      <c r="A640" s="2">
        <v>45905</v>
      </c>
      <c r="B640" s="1" t="s">
        <v>1893</v>
      </c>
      <c r="C640" s="1" t="s">
        <v>1894</v>
      </c>
      <c r="D640" s="1" t="s">
        <v>63</v>
      </c>
      <c r="E640" s="1">
        <v>85024</v>
      </c>
      <c r="F640" s="1" t="s">
        <v>1895</v>
      </c>
      <c r="G640" s="1" t="s">
        <v>1723</v>
      </c>
      <c r="H640" s="4" t="s">
        <v>1896</v>
      </c>
      <c r="I640" s="5" t="s">
        <v>46</v>
      </c>
      <c r="J640" s="5" t="s">
        <v>37</v>
      </c>
      <c r="K640" s="5" t="s">
        <v>37</v>
      </c>
      <c r="L640" s="5" t="s">
        <v>38</v>
      </c>
      <c r="M640" s="5" t="s">
        <v>37</v>
      </c>
      <c r="N640" s="5" t="s">
        <v>37</v>
      </c>
      <c r="O640" s="5" t="s">
        <v>38</v>
      </c>
      <c r="P640" s="5" t="s">
        <v>39</v>
      </c>
      <c r="Q640" s="2">
        <v>45966</v>
      </c>
      <c r="V640" s="46">
        <f>IF(
  OR(
    ISNUMBER(SEARCH("unable to locate acct", tblDocketedComments[[#This Row],[Docketed Consumer Comments]])),
    ISNUMBER(SEARCH("unknown", tblDocketedComments[[#This Row],[Docketed Consumer Comments]])),
    ISNUMBER(SEARCH("inactive", tblDocketedComments[[#This Row],[Docketed Consumer Comments]]))
  ),
  0,
  1
)</f>
        <v>1</v>
      </c>
    </row>
    <row r="641" spans="1:22" hidden="1">
      <c r="A641" s="2">
        <v>45905</v>
      </c>
      <c r="B641" s="1" t="s">
        <v>1897</v>
      </c>
      <c r="C641" s="1" t="s">
        <v>1898</v>
      </c>
      <c r="D641" s="1" t="s">
        <v>169</v>
      </c>
      <c r="E641" s="1">
        <v>85395</v>
      </c>
      <c r="F641" s="1" t="s">
        <v>1899</v>
      </c>
      <c r="G641" s="1" t="s">
        <v>1723</v>
      </c>
      <c r="H641" s="4" t="s">
        <v>1900</v>
      </c>
      <c r="I641" s="5" t="s">
        <v>541</v>
      </c>
      <c r="J641" s="5" t="s">
        <v>37</v>
      </c>
      <c r="K641" s="5" t="s">
        <v>37</v>
      </c>
      <c r="L641" s="5" t="s">
        <v>389</v>
      </c>
      <c r="M641" s="5" t="s">
        <v>37</v>
      </c>
      <c r="N641" s="5" t="s">
        <v>37</v>
      </c>
      <c r="O641" s="5" t="s">
        <v>38</v>
      </c>
      <c r="P641" s="5" t="s">
        <v>39</v>
      </c>
      <c r="Q641" s="2">
        <v>45966</v>
      </c>
      <c r="V641" s="46">
        <f>IF(
  OR(
    ISNUMBER(SEARCH("unable to locate acct", tblDocketedComments[[#This Row],[Docketed Consumer Comments]])),
    ISNUMBER(SEARCH("unknown", tblDocketedComments[[#This Row],[Docketed Consumer Comments]])),
    ISNUMBER(SEARCH("inactive", tblDocketedComments[[#This Row],[Docketed Consumer Comments]]))
  ),
  0,
  1
)</f>
        <v>1</v>
      </c>
    </row>
    <row r="642" spans="1:22" hidden="1">
      <c r="A642" s="2">
        <v>45905</v>
      </c>
      <c r="B642" s="1" t="s">
        <v>1901</v>
      </c>
      <c r="C642" s="1" t="s">
        <v>790</v>
      </c>
      <c r="D642" s="1" t="s">
        <v>635</v>
      </c>
      <c r="E642" s="1">
        <v>85281</v>
      </c>
      <c r="F642" s="1" t="s">
        <v>310</v>
      </c>
      <c r="G642" s="1" t="s">
        <v>1723</v>
      </c>
      <c r="H642" s="4" t="s">
        <v>1902</v>
      </c>
      <c r="I642" s="5" t="s">
        <v>126</v>
      </c>
      <c r="J642" s="5" t="s">
        <v>37</v>
      </c>
      <c r="K642" s="5" t="s">
        <v>37</v>
      </c>
      <c r="L642" s="5" t="s">
        <v>1903</v>
      </c>
      <c r="M642" s="5" t="s">
        <v>37</v>
      </c>
      <c r="N642" s="5" t="s">
        <v>37</v>
      </c>
      <c r="O642" s="5" t="s">
        <v>38</v>
      </c>
      <c r="P642" s="5" t="s">
        <v>39</v>
      </c>
      <c r="Q642" s="2">
        <v>45966</v>
      </c>
      <c r="V642" s="46">
        <f>IF(
  OR(
    ISNUMBER(SEARCH("unable to locate acct", tblDocketedComments[[#This Row],[Docketed Consumer Comments]])),
    ISNUMBER(SEARCH("unknown", tblDocketedComments[[#This Row],[Docketed Consumer Comments]])),
    ISNUMBER(SEARCH("inactive", tblDocketedComments[[#This Row],[Docketed Consumer Comments]]))
  ),
  0,
  1
)</f>
        <v>1</v>
      </c>
    </row>
    <row r="643" spans="1:22" hidden="1">
      <c r="A643" s="2">
        <v>45905</v>
      </c>
      <c r="B643" s="1" t="s">
        <v>1904</v>
      </c>
      <c r="C643" s="1" t="s">
        <v>1905</v>
      </c>
      <c r="D643" s="1" t="s">
        <v>63</v>
      </c>
      <c r="E643" s="1">
        <v>85007</v>
      </c>
      <c r="F643" s="1" t="s">
        <v>31</v>
      </c>
      <c r="G643" s="1" t="s">
        <v>1723</v>
      </c>
      <c r="H643" s="4" t="s">
        <v>1906</v>
      </c>
      <c r="I643" s="5" t="s">
        <v>36</v>
      </c>
      <c r="J643" s="5" t="s">
        <v>37</v>
      </c>
      <c r="K643" s="5" t="s">
        <v>37</v>
      </c>
      <c r="L643" s="5" t="s">
        <v>38</v>
      </c>
      <c r="M643" s="5" t="s">
        <v>37</v>
      </c>
      <c r="N643" s="5" t="s">
        <v>37</v>
      </c>
      <c r="O643" s="5" t="s">
        <v>38</v>
      </c>
      <c r="P643" s="5" t="s">
        <v>39</v>
      </c>
      <c r="Q643" s="2">
        <v>45966</v>
      </c>
      <c r="V643" s="46">
        <f>IF(
  OR(
    ISNUMBER(SEARCH("unable to locate acct", tblDocketedComments[[#This Row],[Docketed Consumer Comments]])),
    ISNUMBER(SEARCH("unknown", tblDocketedComments[[#This Row],[Docketed Consumer Comments]])),
    ISNUMBER(SEARCH("inactive", tblDocketedComments[[#This Row],[Docketed Consumer Comments]]))
  ),
  0,
  1
)</f>
        <v>1</v>
      </c>
    </row>
    <row r="644" spans="1:22" hidden="1">
      <c r="A644" s="2">
        <v>45905</v>
      </c>
      <c r="B644" s="1" t="s">
        <v>1907</v>
      </c>
      <c r="C644" s="1" t="s">
        <v>131</v>
      </c>
      <c r="D644" s="1" t="s">
        <v>635</v>
      </c>
      <c r="E644" s="1">
        <v>85288</v>
      </c>
      <c r="F644" s="1" t="s">
        <v>31</v>
      </c>
      <c r="G644" s="1" t="s">
        <v>1723</v>
      </c>
      <c r="H644" s="4" t="s">
        <v>1908</v>
      </c>
      <c r="I644" s="5" t="s">
        <v>196</v>
      </c>
      <c r="J644" s="5" t="s">
        <v>37</v>
      </c>
      <c r="K644" s="5" t="s">
        <v>37</v>
      </c>
      <c r="L644" s="7" t="s">
        <v>1909</v>
      </c>
      <c r="M644" s="5" t="s">
        <v>37</v>
      </c>
      <c r="N644" s="5" t="s">
        <v>37</v>
      </c>
      <c r="O644" s="5" t="s">
        <v>38</v>
      </c>
      <c r="P644" s="2">
        <v>45936</v>
      </c>
      <c r="Q644" s="2">
        <v>45966</v>
      </c>
      <c r="R644" s="1" t="s">
        <v>1732</v>
      </c>
      <c r="V644" s="46">
        <f>IF(
  OR(
    ISNUMBER(SEARCH("unable to locate acct", tblDocketedComments[[#This Row],[Docketed Consumer Comments]])),
    ISNUMBER(SEARCH("unknown", tblDocketedComments[[#This Row],[Docketed Consumer Comments]])),
    ISNUMBER(SEARCH("inactive", tblDocketedComments[[#This Row],[Docketed Consumer Comments]]))
  ),
  0,
  1
)</f>
        <v>1</v>
      </c>
    </row>
    <row r="645" spans="1:22" hidden="1">
      <c r="A645" s="2">
        <v>45905</v>
      </c>
      <c r="B645" s="1" t="s">
        <v>1910</v>
      </c>
      <c r="C645" s="1" t="s">
        <v>139</v>
      </c>
      <c r="D645" s="1" t="s">
        <v>63</v>
      </c>
      <c r="E645" s="1">
        <v>85032</v>
      </c>
      <c r="F645" s="1" t="s">
        <v>1911</v>
      </c>
      <c r="G645" s="1" t="s">
        <v>1723</v>
      </c>
      <c r="H645" s="4" t="s">
        <v>1912</v>
      </c>
      <c r="I645" s="5" t="s">
        <v>73</v>
      </c>
      <c r="J645" s="5" t="s">
        <v>37</v>
      </c>
      <c r="K645" s="5" t="s">
        <v>37</v>
      </c>
      <c r="L645" s="5" t="s">
        <v>38</v>
      </c>
      <c r="M645" s="5" t="s">
        <v>37</v>
      </c>
      <c r="N645" s="5" t="s">
        <v>37</v>
      </c>
      <c r="O645" s="5" t="s">
        <v>38</v>
      </c>
      <c r="P645" s="5" t="s">
        <v>39</v>
      </c>
      <c r="Q645" s="2">
        <v>45966</v>
      </c>
      <c r="V645" s="46">
        <f>IF(
  OR(
    ISNUMBER(SEARCH("unable to locate acct", tblDocketedComments[[#This Row],[Docketed Consumer Comments]])),
    ISNUMBER(SEARCH("unknown", tblDocketedComments[[#This Row],[Docketed Consumer Comments]])),
    ISNUMBER(SEARCH("inactive", tblDocketedComments[[#This Row],[Docketed Consumer Comments]]))
  ),
  0,
  1
)</f>
        <v>1</v>
      </c>
    </row>
    <row r="646" spans="1:22" hidden="1">
      <c r="A646" s="2">
        <v>45905</v>
      </c>
      <c r="B646" s="1" t="s">
        <v>1913</v>
      </c>
      <c r="C646" s="1" t="s">
        <v>1914</v>
      </c>
      <c r="D646" s="1" t="s">
        <v>169</v>
      </c>
      <c r="E646" s="1">
        <v>85338</v>
      </c>
      <c r="F646" s="1" t="s">
        <v>310</v>
      </c>
      <c r="G646" s="1" t="s">
        <v>1723</v>
      </c>
      <c r="H646" s="4" t="s">
        <v>27</v>
      </c>
      <c r="V646" s="46">
        <f>IF(
  OR(
    ISNUMBER(SEARCH("unable to locate acct", tblDocketedComments[[#This Row],[Docketed Consumer Comments]])),
    ISNUMBER(SEARCH("unknown", tblDocketedComments[[#This Row],[Docketed Consumer Comments]])),
    ISNUMBER(SEARCH("inactive", tblDocketedComments[[#This Row],[Docketed Consumer Comments]]))
  ),
  0,
  1
)</f>
        <v>1</v>
      </c>
    </row>
    <row r="647" spans="1:22" hidden="1">
      <c r="A647" s="2">
        <v>45905</v>
      </c>
      <c r="B647" s="1" t="s">
        <v>391</v>
      </c>
      <c r="C647" s="1" t="s">
        <v>920</v>
      </c>
      <c r="D647" s="1" t="s">
        <v>85</v>
      </c>
      <c r="E647" s="1">
        <v>86323</v>
      </c>
      <c r="F647" s="1" t="s">
        <v>31</v>
      </c>
      <c r="G647" s="1" t="s">
        <v>1723</v>
      </c>
      <c r="H647" s="4" t="s">
        <v>1915</v>
      </c>
      <c r="I647" s="5" t="s">
        <v>36</v>
      </c>
      <c r="J647" s="5" t="s">
        <v>37</v>
      </c>
      <c r="K647" s="5" t="s">
        <v>37</v>
      </c>
      <c r="L647" s="5" t="s">
        <v>38</v>
      </c>
      <c r="M647" s="5" t="s">
        <v>37</v>
      </c>
      <c r="N647" s="5" t="s">
        <v>37</v>
      </c>
      <c r="O647" s="5" t="s">
        <v>38</v>
      </c>
      <c r="P647" s="5" t="s">
        <v>39</v>
      </c>
      <c r="Q647" s="2">
        <v>45966</v>
      </c>
      <c r="V647" s="46">
        <f>IF(
  OR(
    ISNUMBER(SEARCH("unable to locate acct", tblDocketedComments[[#This Row],[Docketed Consumer Comments]])),
    ISNUMBER(SEARCH("unknown", tblDocketedComments[[#This Row],[Docketed Consumer Comments]])),
    ISNUMBER(SEARCH("inactive", tblDocketedComments[[#This Row],[Docketed Consumer Comments]]))
  ),
  0,
  1
)</f>
        <v>1</v>
      </c>
    </row>
    <row r="648" spans="1:22" hidden="1">
      <c r="A648" s="2">
        <v>45905</v>
      </c>
      <c r="B648" s="1" t="s">
        <v>431</v>
      </c>
      <c r="C648" s="1" t="s">
        <v>329</v>
      </c>
      <c r="D648" s="1" t="s">
        <v>63</v>
      </c>
      <c r="E648" s="1">
        <v>85032</v>
      </c>
      <c r="F648" s="1" t="s">
        <v>310</v>
      </c>
      <c r="G648" s="1" t="s">
        <v>1723</v>
      </c>
      <c r="H648" s="4" t="s">
        <v>1916</v>
      </c>
      <c r="I648" s="5" t="s">
        <v>73</v>
      </c>
      <c r="J648" s="5" t="s">
        <v>37</v>
      </c>
      <c r="K648" s="5" t="s">
        <v>37</v>
      </c>
      <c r="L648" s="5" t="s">
        <v>38</v>
      </c>
      <c r="M648" s="5" t="s">
        <v>37</v>
      </c>
      <c r="N648" s="5" t="s">
        <v>37</v>
      </c>
      <c r="O648" s="5" t="s">
        <v>38</v>
      </c>
      <c r="P648" s="5" t="s">
        <v>39</v>
      </c>
      <c r="Q648" s="2">
        <v>45966</v>
      </c>
      <c r="V648" s="46">
        <f>IF(
  OR(
    ISNUMBER(SEARCH("unable to locate acct", tblDocketedComments[[#This Row],[Docketed Consumer Comments]])),
    ISNUMBER(SEARCH("unknown", tblDocketedComments[[#This Row],[Docketed Consumer Comments]])),
    ISNUMBER(SEARCH("inactive", tblDocketedComments[[#This Row],[Docketed Consumer Comments]]))
  ),
  0,
  1
)</f>
        <v>1</v>
      </c>
    </row>
    <row r="649" spans="1:22" hidden="1">
      <c r="A649" s="2">
        <v>45905</v>
      </c>
      <c r="B649" s="1" t="s">
        <v>1917</v>
      </c>
      <c r="C649" s="1" t="s">
        <v>1918</v>
      </c>
      <c r="D649" s="1" t="s">
        <v>1919</v>
      </c>
      <c r="E649" s="1">
        <v>85202</v>
      </c>
      <c r="F649" s="1" t="s">
        <v>31</v>
      </c>
      <c r="G649" s="1" t="s">
        <v>1723</v>
      </c>
      <c r="H649" s="4" t="s">
        <v>90</v>
      </c>
      <c r="V649" s="46">
        <f>IF(
  OR(
    ISNUMBER(SEARCH("unable to locate acct", tblDocketedComments[[#This Row],[Docketed Consumer Comments]])),
    ISNUMBER(SEARCH("unknown", tblDocketedComments[[#This Row],[Docketed Consumer Comments]])),
    ISNUMBER(SEARCH("inactive", tblDocketedComments[[#This Row],[Docketed Consumer Comments]]))
  ),
  0,
  1
)</f>
        <v>1</v>
      </c>
    </row>
    <row r="650" spans="1:22" hidden="1">
      <c r="A650" s="2">
        <v>45905</v>
      </c>
      <c r="B650" s="1" t="s">
        <v>1920</v>
      </c>
      <c r="C650" s="1" t="s">
        <v>1921</v>
      </c>
      <c r="D650" s="1" t="s">
        <v>63</v>
      </c>
      <c r="E650" s="1">
        <v>85012</v>
      </c>
      <c r="F650" s="1" t="s">
        <v>310</v>
      </c>
      <c r="G650" s="1" t="s">
        <v>1723</v>
      </c>
      <c r="H650" s="4" t="s">
        <v>1922</v>
      </c>
      <c r="I650" s="5" t="s">
        <v>73</v>
      </c>
      <c r="J650" s="5" t="s">
        <v>37</v>
      </c>
      <c r="K650" s="5" t="s">
        <v>37</v>
      </c>
      <c r="L650" s="5" t="s">
        <v>38</v>
      </c>
      <c r="M650" s="5" t="s">
        <v>37</v>
      </c>
      <c r="N650" s="5" t="s">
        <v>37</v>
      </c>
      <c r="O650" s="5" t="s">
        <v>38</v>
      </c>
      <c r="P650" s="5" t="s">
        <v>39</v>
      </c>
      <c r="Q650" s="2">
        <v>45966</v>
      </c>
      <c r="V650" s="46">
        <f>IF(
  OR(
    ISNUMBER(SEARCH("unable to locate acct", tblDocketedComments[[#This Row],[Docketed Consumer Comments]])),
    ISNUMBER(SEARCH("unknown", tblDocketedComments[[#This Row],[Docketed Consumer Comments]])),
    ISNUMBER(SEARCH("inactive", tblDocketedComments[[#This Row],[Docketed Consumer Comments]]))
  ),
  0,
  1
)</f>
        <v>1</v>
      </c>
    </row>
    <row r="651" spans="1:22" hidden="1">
      <c r="A651" s="2">
        <v>45905</v>
      </c>
      <c r="B651" s="1" t="s">
        <v>1923</v>
      </c>
      <c r="C651" s="1" t="s">
        <v>1924</v>
      </c>
      <c r="D651" s="1" t="s">
        <v>63</v>
      </c>
      <c r="E651" s="1">
        <v>85086</v>
      </c>
      <c r="F651" s="1" t="s">
        <v>31</v>
      </c>
      <c r="G651" s="1" t="s">
        <v>1723</v>
      </c>
      <c r="H651" s="4" t="s">
        <v>1925</v>
      </c>
      <c r="I651" s="5" t="s">
        <v>36</v>
      </c>
      <c r="J651" s="5" t="s">
        <v>37</v>
      </c>
      <c r="K651" s="5" t="s">
        <v>37</v>
      </c>
      <c r="L651" s="5" t="s">
        <v>38</v>
      </c>
      <c r="M651" s="5" t="s">
        <v>37</v>
      </c>
      <c r="N651" s="5" t="s">
        <v>37</v>
      </c>
      <c r="O651" s="5" t="s">
        <v>38</v>
      </c>
      <c r="P651" s="5" t="s">
        <v>39</v>
      </c>
      <c r="Q651" s="2">
        <v>45966</v>
      </c>
      <c r="V651" s="46">
        <f>IF(
  OR(
    ISNUMBER(SEARCH("unable to locate acct", tblDocketedComments[[#This Row],[Docketed Consumer Comments]])),
    ISNUMBER(SEARCH("unknown", tblDocketedComments[[#This Row],[Docketed Consumer Comments]])),
    ISNUMBER(SEARCH("inactive", tblDocketedComments[[#This Row],[Docketed Consumer Comments]]))
  ),
  0,
  1
)</f>
        <v>1</v>
      </c>
    </row>
    <row r="652" spans="1:22" hidden="1">
      <c r="A652" s="2">
        <v>45905</v>
      </c>
      <c r="B652" s="1" t="s">
        <v>1926</v>
      </c>
      <c r="C652" s="1" t="s">
        <v>399</v>
      </c>
      <c r="D652" s="1" t="s">
        <v>504</v>
      </c>
      <c r="E652" s="1">
        <v>86001</v>
      </c>
      <c r="F652" s="1" t="s">
        <v>31</v>
      </c>
      <c r="G652" s="1" t="s">
        <v>1723</v>
      </c>
      <c r="H652" s="4" t="s">
        <v>1927</v>
      </c>
      <c r="I652" s="5" t="s">
        <v>196</v>
      </c>
      <c r="J652" s="5" t="s">
        <v>37</v>
      </c>
      <c r="K652" s="5" t="s">
        <v>37</v>
      </c>
      <c r="L652" s="5" t="s">
        <v>1928</v>
      </c>
      <c r="M652" s="5" t="s">
        <v>37</v>
      </c>
      <c r="N652" s="5" t="s">
        <v>37</v>
      </c>
      <c r="O652" s="5" t="s">
        <v>38</v>
      </c>
      <c r="P652" s="5" t="s">
        <v>39</v>
      </c>
      <c r="Q652" s="2">
        <v>45966</v>
      </c>
      <c r="V652" s="46">
        <f>IF(
  OR(
    ISNUMBER(SEARCH("unable to locate acct", tblDocketedComments[[#This Row],[Docketed Consumer Comments]])),
    ISNUMBER(SEARCH("unknown", tblDocketedComments[[#This Row],[Docketed Consumer Comments]])),
    ISNUMBER(SEARCH("inactive", tblDocketedComments[[#This Row],[Docketed Consumer Comments]]))
  ),
  0,
  1
)</f>
        <v>1</v>
      </c>
    </row>
    <row r="653" spans="1:22" hidden="1">
      <c r="A653" s="2">
        <v>45905</v>
      </c>
      <c r="B653" s="1" t="s">
        <v>1929</v>
      </c>
      <c r="C653" s="1" t="s">
        <v>1930</v>
      </c>
      <c r="D653" s="1" t="s">
        <v>63</v>
      </c>
      <c r="E653" s="1">
        <v>85020</v>
      </c>
      <c r="F653" s="1" t="s">
        <v>310</v>
      </c>
      <c r="G653" s="1" t="s">
        <v>1723</v>
      </c>
      <c r="H653" s="4" t="s">
        <v>1931</v>
      </c>
      <c r="I653" s="5" t="s">
        <v>73</v>
      </c>
      <c r="J653" s="5" t="s">
        <v>37</v>
      </c>
      <c r="K653" s="5" t="s">
        <v>37</v>
      </c>
      <c r="L653" s="5" t="s">
        <v>38</v>
      </c>
      <c r="M653" s="5" t="s">
        <v>37</v>
      </c>
      <c r="N653" s="5" t="s">
        <v>37</v>
      </c>
      <c r="O653" s="5" t="s">
        <v>38</v>
      </c>
      <c r="P653" s="5" t="s">
        <v>39</v>
      </c>
      <c r="Q653" s="2">
        <v>45966</v>
      </c>
      <c r="V653" s="46">
        <f>IF(
  OR(
    ISNUMBER(SEARCH("unable to locate acct", tblDocketedComments[[#This Row],[Docketed Consumer Comments]])),
    ISNUMBER(SEARCH("unknown", tblDocketedComments[[#This Row],[Docketed Consumer Comments]])),
    ISNUMBER(SEARCH("inactive", tblDocketedComments[[#This Row],[Docketed Consumer Comments]]))
  ),
  0,
  1
)</f>
        <v>1</v>
      </c>
    </row>
    <row r="654" spans="1:22" hidden="1">
      <c r="A654" s="2">
        <v>45905</v>
      </c>
      <c r="B654" s="1" t="s">
        <v>1932</v>
      </c>
      <c r="C654" s="1" t="s">
        <v>1614</v>
      </c>
      <c r="D654" s="1" t="s">
        <v>63</v>
      </c>
      <c r="E654" s="1">
        <v>85020</v>
      </c>
      <c r="F654" s="1" t="s">
        <v>1933</v>
      </c>
      <c r="G654" s="1" t="s">
        <v>1723</v>
      </c>
      <c r="H654" s="4" t="s">
        <v>1934</v>
      </c>
      <c r="I654" s="5" t="s">
        <v>36</v>
      </c>
      <c r="J654" s="5" t="s">
        <v>37</v>
      </c>
      <c r="K654" s="5" t="s">
        <v>37</v>
      </c>
      <c r="L654" s="7" t="s">
        <v>1935</v>
      </c>
      <c r="M654" s="5" t="s">
        <v>37</v>
      </c>
      <c r="N654" s="5" t="s">
        <v>37</v>
      </c>
      <c r="O654" s="5" t="s">
        <v>38</v>
      </c>
      <c r="P654" s="5" t="s">
        <v>39</v>
      </c>
      <c r="Q654" s="2">
        <v>45966</v>
      </c>
      <c r="R654" s="1" t="s">
        <v>1936</v>
      </c>
      <c r="V654" s="46">
        <f>IF(
  OR(
    ISNUMBER(SEARCH("unable to locate acct", tblDocketedComments[[#This Row],[Docketed Consumer Comments]])),
    ISNUMBER(SEARCH("unknown", tblDocketedComments[[#This Row],[Docketed Consumer Comments]])),
    ISNUMBER(SEARCH("inactive", tblDocketedComments[[#This Row],[Docketed Consumer Comments]]))
  ),
  0,
  1
)</f>
        <v>1</v>
      </c>
    </row>
    <row r="655" spans="1:22" hidden="1">
      <c r="A655" s="2">
        <v>45905</v>
      </c>
      <c r="B655" s="1" t="s">
        <v>1937</v>
      </c>
      <c r="C655" s="1" t="s">
        <v>194</v>
      </c>
      <c r="D655" s="1" t="s">
        <v>63</v>
      </c>
      <c r="E655" s="1">
        <v>85023</v>
      </c>
      <c r="F655" s="1" t="s">
        <v>1938</v>
      </c>
      <c r="G655" s="1" t="s">
        <v>1723</v>
      </c>
      <c r="H655" s="4" t="s">
        <v>1939</v>
      </c>
      <c r="I655" s="5" t="s">
        <v>243</v>
      </c>
      <c r="J655" s="5" t="s">
        <v>37</v>
      </c>
      <c r="K655" s="5" t="s">
        <v>37</v>
      </c>
      <c r="L655" s="5" t="s">
        <v>389</v>
      </c>
      <c r="M655" s="5" t="s">
        <v>37</v>
      </c>
      <c r="N655" s="5" t="s">
        <v>37</v>
      </c>
      <c r="O655" s="5" t="s">
        <v>38</v>
      </c>
      <c r="P655" s="5" t="s">
        <v>39</v>
      </c>
      <c r="Q655" s="2">
        <v>45966</v>
      </c>
      <c r="V655" s="46">
        <f>IF(
  OR(
    ISNUMBER(SEARCH("unable to locate acct", tblDocketedComments[[#This Row],[Docketed Consumer Comments]])),
    ISNUMBER(SEARCH("unknown", tblDocketedComments[[#This Row],[Docketed Consumer Comments]])),
    ISNUMBER(SEARCH("inactive", tblDocketedComments[[#This Row],[Docketed Consumer Comments]]))
  ),
  0,
  1
)</f>
        <v>1</v>
      </c>
    </row>
    <row r="656" spans="1:22" hidden="1">
      <c r="A656" s="2">
        <v>45905</v>
      </c>
      <c r="B656" s="1" t="s">
        <v>1940</v>
      </c>
      <c r="C656" s="1" t="s">
        <v>1941</v>
      </c>
      <c r="D656" s="1" t="s">
        <v>63</v>
      </c>
      <c r="E656" s="1">
        <v>85020</v>
      </c>
      <c r="F656" s="1" t="s">
        <v>310</v>
      </c>
      <c r="G656" s="1" t="s">
        <v>1723</v>
      </c>
      <c r="H656" s="4" t="s">
        <v>1942</v>
      </c>
      <c r="I656" s="5" t="s">
        <v>196</v>
      </c>
      <c r="J656" s="5" t="s">
        <v>37</v>
      </c>
      <c r="K656" s="5" t="s">
        <v>37</v>
      </c>
      <c r="L656" s="7" t="s">
        <v>1943</v>
      </c>
      <c r="M656" s="5" t="s">
        <v>37</v>
      </c>
      <c r="N656" s="5" t="s">
        <v>37</v>
      </c>
      <c r="O656" s="5" t="s">
        <v>38</v>
      </c>
      <c r="P656" s="5" t="s">
        <v>39</v>
      </c>
      <c r="Q656" s="2">
        <v>45966</v>
      </c>
      <c r="R656" s="1" t="s">
        <v>1944</v>
      </c>
      <c r="V656" s="46">
        <f>IF(
  OR(
    ISNUMBER(SEARCH("unable to locate acct", tblDocketedComments[[#This Row],[Docketed Consumer Comments]])),
    ISNUMBER(SEARCH("unknown", tblDocketedComments[[#This Row],[Docketed Consumer Comments]])),
    ISNUMBER(SEARCH("inactive", tblDocketedComments[[#This Row],[Docketed Consumer Comments]]))
  ),
  0,
  1
)</f>
        <v>1</v>
      </c>
    </row>
    <row r="657" spans="1:22" hidden="1">
      <c r="A657" s="2">
        <v>45905</v>
      </c>
      <c r="B657" s="1" t="s">
        <v>1945</v>
      </c>
      <c r="C657" s="1" t="s">
        <v>284</v>
      </c>
      <c r="D657" s="1" t="s">
        <v>169</v>
      </c>
      <c r="E657" s="1">
        <v>85395</v>
      </c>
      <c r="F657" s="1" t="s">
        <v>31</v>
      </c>
      <c r="G657" s="1" t="s">
        <v>1723</v>
      </c>
      <c r="H657" s="4" t="s">
        <v>1946</v>
      </c>
      <c r="I657" s="5" t="s">
        <v>126</v>
      </c>
      <c r="J657" s="5" t="s">
        <v>37</v>
      </c>
      <c r="K657" s="5" t="s">
        <v>37</v>
      </c>
      <c r="L657" s="5" t="s">
        <v>38</v>
      </c>
      <c r="M657" s="5" t="s">
        <v>37</v>
      </c>
      <c r="N657" s="5" t="s">
        <v>37</v>
      </c>
      <c r="O657" s="5" t="s">
        <v>38</v>
      </c>
      <c r="P657" s="5" t="s">
        <v>39</v>
      </c>
      <c r="Q657" s="2">
        <v>45966</v>
      </c>
      <c r="V657" s="46">
        <f>IF(
  OR(
    ISNUMBER(SEARCH("unable to locate acct", tblDocketedComments[[#This Row],[Docketed Consumer Comments]])),
    ISNUMBER(SEARCH("unknown", tblDocketedComments[[#This Row],[Docketed Consumer Comments]])),
    ISNUMBER(SEARCH("inactive", tblDocketedComments[[#This Row],[Docketed Consumer Comments]]))
  ),
  0,
  1
)</f>
        <v>1</v>
      </c>
    </row>
    <row r="658" spans="1:22" hidden="1">
      <c r="A658" s="2">
        <v>45905</v>
      </c>
      <c r="B658" s="1" t="s">
        <v>1947</v>
      </c>
      <c r="C658" s="1" t="s">
        <v>145</v>
      </c>
      <c r="D658" s="1" t="s">
        <v>1615</v>
      </c>
      <c r="E658" s="1">
        <v>85131</v>
      </c>
      <c r="F658" s="1" t="s">
        <v>310</v>
      </c>
      <c r="G658" s="1" t="s">
        <v>1723</v>
      </c>
      <c r="H658" s="4" t="s">
        <v>1948</v>
      </c>
      <c r="I658" s="5" t="s">
        <v>541</v>
      </c>
      <c r="J658" s="5" t="s">
        <v>37</v>
      </c>
      <c r="K658" s="5" t="s">
        <v>37</v>
      </c>
      <c r="L658" s="5" t="s">
        <v>389</v>
      </c>
      <c r="M658" s="5" t="s">
        <v>37</v>
      </c>
      <c r="N658" s="5" t="s">
        <v>37</v>
      </c>
      <c r="O658" s="5" t="s">
        <v>38</v>
      </c>
      <c r="P658" s="5" t="s">
        <v>39</v>
      </c>
      <c r="Q658" s="2">
        <v>45966</v>
      </c>
      <c r="V658" s="46">
        <f>IF(
  OR(
    ISNUMBER(SEARCH("unable to locate acct", tblDocketedComments[[#This Row],[Docketed Consumer Comments]])),
    ISNUMBER(SEARCH("unknown", tblDocketedComments[[#This Row],[Docketed Consumer Comments]])),
    ISNUMBER(SEARCH("inactive", tblDocketedComments[[#This Row],[Docketed Consumer Comments]]))
  ),
  0,
  1
)</f>
        <v>1</v>
      </c>
    </row>
    <row r="659" spans="1:22" hidden="1">
      <c r="A659" s="2">
        <v>45905</v>
      </c>
      <c r="B659" s="1" t="s">
        <v>1949</v>
      </c>
      <c r="C659" s="1" t="s">
        <v>1950</v>
      </c>
      <c r="D659" s="1" t="s">
        <v>125</v>
      </c>
      <c r="E659" s="1">
        <v>85254</v>
      </c>
      <c r="F659" s="1" t="s">
        <v>310</v>
      </c>
      <c r="G659" s="1" t="s">
        <v>1723</v>
      </c>
      <c r="H659" s="4" t="s">
        <v>1951</v>
      </c>
      <c r="I659" s="5" t="s">
        <v>36</v>
      </c>
      <c r="J659" s="5" t="s">
        <v>37</v>
      </c>
      <c r="K659" s="5" t="s">
        <v>37</v>
      </c>
      <c r="L659" s="5" t="s">
        <v>38</v>
      </c>
      <c r="M659" s="5" t="s">
        <v>37</v>
      </c>
      <c r="N659" s="5" t="s">
        <v>37</v>
      </c>
      <c r="O659" s="5" t="s">
        <v>38</v>
      </c>
      <c r="P659" s="5" t="s">
        <v>39</v>
      </c>
      <c r="Q659" s="2">
        <v>45966</v>
      </c>
      <c r="V659" s="46">
        <f>IF(
  OR(
    ISNUMBER(SEARCH("unable to locate acct", tblDocketedComments[[#This Row],[Docketed Consumer Comments]])),
    ISNUMBER(SEARCH("unknown", tblDocketedComments[[#This Row],[Docketed Consumer Comments]])),
    ISNUMBER(SEARCH("inactive", tblDocketedComments[[#This Row],[Docketed Consumer Comments]]))
  ),
  0,
  1
)</f>
        <v>1</v>
      </c>
    </row>
    <row r="660" spans="1:22" hidden="1">
      <c r="A660" s="2">
        <v>45905</v>
      </c>
      <c r="B660" s="1" t="s">
        <v>1952</v>
      </c>
      <c r="C660" s="1" t="s">
        <v>1953</v>
      </c>
      <c r="D660" s="1" t="s">
        <v>63</v>
      </c>
      <c r="E660" s="1">
        <v>85022</v>
      </c>
      <c r="F660" s="1" t="s">
        <v>31</v>
      </c>
      <c r="G660" s="1" t="s">
        <v>1723</v>
      </c>
      <c r="H660" s="4" t="s">
        <v>1954</v>
      </c>
      <c r="I660" s="5" t="s">
        <v>36</v>
      </c>
      <c r="J660" s="5" t="s">
        <v>37</v>
      </c>
      <c r="K660" s="5" t="s">
        <v>37</v>
      </c>
      <c r="L660" s="5" t="s">
        <v>38</v>
      </c>
      <c r="M660" s="5" t="s">
        <v>37</v>
      </c>
      <c r="N660" s="5" t="s">
        <v>37</v>
      </c>
      <c r="O660" s="5" t="s">
        <v>38</v>
      </c>
      <c r="P660" s="5" t="s">
        <v>39</v>
      </c>
      <c r="Q660" s="2">
        <v>45966</v>
      </c>
      <c r="V660" s="46">
        <f>IF(
  OR(
    ISNUMBER(SEARCH("unable to locate acct", tblDocketedComments[[#This Row],[Docketed Consumer Comments]])),
    ISNUMBER(SEARCH("unknown", tblDocketedComments[[#This Row],[Docketed Consumer Comments]])),
    ISNUMBER(SEARCH("inactive", tblDocketedComments[[#This Row],[Docketed Consumer Comments]]))
  ),
  0,
  1
)</f>
        <v>1</v>
      </c>
    </row>
    <row r="661" spans="1:22" hidden="1">
      <c r="A661" s="2">
        <v>45905</v>
      </c>
      <c r="B661" s="1" t="s">
        <v>1955</v>
      </c>
      <c r="C661" s="1" t="s">
        <v>1956</v>
      </c>
      <c r="D661" s="1" t="s">
        <v>169</v>
      </c>
      <c r="E661" s="1">
        <v>85338</v>
      </c>
      <c r="F661" s="1" t="s">
        <v>1957</v>
      </c>
      <c r="G661" s="1" t="s">
        <v>1723</v>
      </c>
      <c r="H661" s="4" t="s">
        <v>1958</v>
      </c>
      <c r="I661" s="5" t="s">
        <v>36</v>
      </c>
      <c r="J661" s="5" t="s">
        <v>37</v>
      </c>
      <c r="K661" s="5" t="s">
        <v>37</v>
      </c>
      <c r="L661" s="5" t="s">
        <v>38</v>
      </c>
      <c r="M661" s="5" t="s">
        <v>37</v>
      </c>
      <c r="N661" s="5" t="s">
        <v>37</v>
      </c>
      <c r="O661" s="5" t="s">
        <v>38</v>
      </c>
      <c r="P661" s="5" t="s">
        <v>39</v>
      </c>
      <c r="Q661" s="2">
        <v>45966</v>
      </c>
      <c r="V661" s="46">
        <f>IF(
  OR(
    ISNUMBER(SEARCH("unable to locate acct", tblDocketedComments[[#This Row],[Docketed Consumer Comments]])),
    ISNUMBER(SEARCH("unknown", tblDocketedComments[[#This Row],[Docketed Consumer Comments]])),
    ISNUMBER(SEARCH("inactive", tblDocketedComments[[#This Row],[Docketed Consumer Comments]]))
  ),
  0,
  1
)</f>
        <v>1</v>
      </c>
    </row>
    <row r="662" spans="1:22" hidden="1">
      <c r="A662" s="2">
        <v>45905</v>
      </c>
      <c r="B662" s="1" t="s">
        <v>1959</v>
      </c>
      <c r="C662" s="1" t="s">
        <v>206</v>
      </c>
      <c r="D662" s="1" t="s">
        <v>169</v>
      </c>
      <c r="E662" s="1">
        <v>85395</v>
      </c>
      <c r="F662" s="1" t="s">
        <v>1960</v>
      </c>
      <c r="G662" s="1" t="s">
        <v>1723</v>
      </c>
      <c r="H662" s="4" t="s">
        <v>1961</v>
      </c>
      <c r="I662" s="5" t="s">
        <v>36</v>
      </c>
      <c r="J662" s="5" t="s">
        <v>37</v>
      </c>
      <c r="K662" s="5" t="s">
        <v>37</v>
      </c>
      <c r="L662" s="5" t="s">
        <v>38</v>
      </c>
      <c r="M662" s="5" t="s">
        <v>37</v>
      </c>
      <c r="N662" s="5" t="s">
        <v>37</v>
      </c>
      <c r="O662" s="5" t="s">
        <v>38</v>
      </c>
      <c r="P662" s="5" t="s">
        <v>39</v>
      </c>
      <c r="Q662" s="2">
        <v>45966</v>
      </c>
      <c r="V662" s="46">
        <f>IF(
  OR(
    ISNUMBER(SEARCH("unable to locate acct", tblDocketedComments[[#This Row],[Docketed Consumer Comments]])),
    ISNUMBER(SEARCH("unknown", tblDocketedComments[[#This Row],[Docketed Consumer Comments]])),
    ISNUMBER(SEARCH("inactive", tblDocketedComments[[#This Row],[Docketed Consumer Comments]]))
  ),
  0,
  1
)</f>
        <v>1</v>
      </c>
    </row>
    <row r="663" spans="1:22" hidden="1">
      <c r="A663" s="2">
        <v>45905</v>
      </c>
      <c r="B663" s="1" t="s">
        <v>747</v>
      </c>
      <c r="C663" s="1" t="s">
        <v>1962</v>
      </c>
      <c r="D663" s="1" t="s">
        <v>63</v>
      </c>
      <c r="E663" s="1">
        <v>85027</v>
      </c>
      <c r="F663" s="1" t="s">
        <v>1957</v>
      </c>
      <c r="G663" s="1" t="s">
        <v>1723</v>
      </c>
      <c r="H663" s="4" t="s">
        <v>1963</v>
      </c>
      <c r="I663" s="5" t="s">
        <v>126</v>
      </c>
      <c r="J663" s="5" t="s">
        <v>38</v>
      </c>
      <c r="K663" s="5" t="s">
        <v>37</v>
      </c>
      <c r="L663" s="5" t="s">
        <v>38</v>
      </c>
      <c r="M663" s="5" t="s">
        <v>38</v>
      </c>
      <c r="N663" s="15">
        <v>349.29</v>
      </c>
      <c r="O663" s="5" t="s">
        <v>38</v>
      </c>
      <c r="P663" s="5" t="s">
        <v>39</v>
      </c>
      <c r="Q663" s="2">
        <v>45966</v>
      </c>
      <c r="R663" s="1" t="s">
        <v>495</v>
      </c>
      <c r="V663" s="46">
        <f>IF(
  OR(
    ISNUMBER(SEARCH("unable to locate acct", tblDocketedComments[[#This Row],[Docketed Consumer Comments]])),
    ISNUMBER(SEARCH("unknown", tblDocketedComments[[#This Row],[Docketed Consumer Comments]])),
    ISNUMBER(SEARCH("inactive", tblDocketedComments[[#This Row],[Docketed Consumer Comments]]))
  ),
  0,
  1
)</f>
        <v>1</v>
      </c>
    </row>
    <row r="664" spans="1:22" hidden="1">
      <c r="A664" s="2">
        <v>45905</v>
      </c>
      <c r="B664" s="1" t="s">
        <v>49</v>
      </c>
      <c r="C664" s="1" t="s">
        <v>624</v>
      </c>
      <c r="D664" s="1" t="s">
        <v>63</v>
      </c>
      <c r="E664" s="1">
        <v>85027</v>
      </c>
      <c r="F664" s="1" t="s">
        <v>31</v>
      </c>
      <c r="G664" s="1" t="s">
        <v>1723</v>
      </c>
      <c r="H664" s="4" t="s">
        <v>1964</v>
      </c>
      <c r="I664" s="5" t="s">
        <v>73</v>
      </c>
      <c r="J664" s="5" t="s">
        <v>37</v>
      </c>
      <c r="K664" s="5" t="s">
        <v>37</v>
      </c>
      <c r="L664" s="5" t="s">
        <v>38</v>
      </c>
      <c r="M664" s="5" t="s">
        <v>37</v>
      </c>
      <c r="N664" s="5" t="s">
        <v>37</v>
      </c>
      <c r="O664" s="5" t="s">
        <v>38</v>
      </c>
      <c r="P664" s="5" t="s">
        <v>39</v>
      </c>
      <c r="Q664" s="2">
        <v>45966</v>
      </c>
      <c r="V664" s="46">
        <f>IF(
  OR(
    ISNUMBER(SEARCH("unable to locate acct", tblDocketedComments[[#This Row],[Docketed Consumer Comments]])),
    ISNUMBER(SEARCH("unknown", tblDocketedComments[[#This Row],[Docketed Consumer Comments]])),
    ISNUMBER(SEARCH("inactive", tblDocketedComments[[#This Row],[Docketed Consumer Comments]]))
  ),
  0,
  1
)</f>
        <v>1</v>
      </c>
    </row>
    <row r="665" spans="1:22" hidden="1">
      <c r="A665" s="2">
        <v>45905</v>
      </c>
      <c r="B665" s="1" t="s">
        <v>1134</v>
      </c>
      <c r="C665" s="1" t="s">
        <v>1013</v>
      </c>
      <c r="D665" s="1" t="s">
        <v>202</v>
      </c>
      <c r="E665" s="1">
        <v>85383</v>
      </c>
      <c r="F665" s="1" t="s">
        <v>1965</v>
      </c>
      <c r="G665" s="1" t="s">
        <v>1723</v>
      </c>
      <c r="H665" s="4" t="s">
        <v>209</v>
      </c>
      <c r="V665" s="46">
        <f>IF(
  OR(
    ISNUMBER(SEARCH("unable to locate acct", tblDocketedComments[[#This Row],[Docketed Consumer Comments]])),
    ISNUMBER(SEARCH("unknown", tblDocketedComments[[#This Row],[Docketed Consumer Comments]])),
    ISNUMBER(SEARCH("inactive", tblDocketedComments[[#This Row],[Docketed Consumer Comments]]))
  ),
  0,
  1
)</f>
        <v>1</v>
      </c>
    </row>
    <row r="666" spans="1:22" hidden="1">
      <c r="A666" s="2">
        <v>45905</v>
      </c>
      <c r="B666" s="1" t="s">
        <v>1208</v>
      </c>
      <c r="C666" s="1" t="s">
        <v>1209</v>
      </c>
      <c r="D666" s="1" t="s">
        <v>202</v>
      </c>
      <c r="E666" s="1">
        <v>85383</v>
      </c>
      <c r="F666" s="1" t="s">
        <v>1966</v>
      </c>
      <c r="G666" s="1" t="s">
        <v>1723</v>
      </c>
      <c r="H666" s="4" t="s">
        <v>90</v>
      </c>
      <c r="V666" s="46">
        <f>IF(
  OR(
    ISNUMBER(SEARCH("unable to locate acct", tblDocketedComments[[#This Row],[Docketed Consumer Comments]])),
    ISNUMBER(SEARCH("unknown", tblDocketedComments[[#This Row],[Docketed Consumer Comments]])),
    ISNUMBER(SEARCH("inactive", tblDocketedComments[[#This Row],[Docketed Consumer Comments]]))
  ),
  0,
  1
)</f>
        <v>1</v>
      </c>
    </row>
    <row r="667" spans="1:22" hidden="1">
      <c r="A667" s="2">
        <v>45905</v>
      </c>
      <c r="B667" s="1" t="s">
        <v>1967</v>
      </c>
      <c r="C667" s="1" t="s">
        <v>1968</v>
      </c>
      <c r="D667" s="1" t="s">
        <v>174</v>
      </c>
      <c r="E667" s="1">
        <v>85396</v>
      </c>
      <c r="F667" s="1" t="s">
        <v>31</v>
      </c>
      <c r="G667" s="1" t="s">
        <v>1723</v>
      </c>
      <c r="H667" s="4" t="s">
        <v>1969</v>
      </c>
      <c r="I667" s="5" t="s">
        <v>196</v>
      </c>
      <c r="J667" s="5" t="s">
        <v>37</v>
      </c>
      <c r="K667" s="5" t="s">
        <v>37</v>
      </c>
      <c r="L667" s="5" t="s">
        <v>38</v>
      </c>
      <c r="M667" s="5" t="s">
        <v>37</v>
      </c>
      <c r="N667" s="5" t="s">
        <v>37</v>
      </c>
      <c r="O667" s="5" t="s">
        <v>38</v>
      </c>
      <c r="P667" s="5" t="s">
        <v>39</v>
      </c>
      <c r="Q667" s="2">
        <v>45966</v>
      </c>
      <c r="V667" s="46">
        <f>IF(
  OR(
    ISNUMBER(SEARCH("unable to locate acct", tblDocketedComments[[#This Row],[Docketed Consumer Comments]])),
    ISNUMBER(SEARCH("unknown", tblDocketedComments[[#This Row],[Docketed Consumer Comments]])),
    ISNUMBER(SEARCH("inactive", tblDocketedComments[[#This Row],[Docketed Consumer Comments]]))
  ),
  0,
  1
)</f>
        <v>1</v>
      </c>
    </row>
    <row r="668" spans="1:22" hidden="1">
      <c r="A668" s="2">
        <v>45905</v>
      </c>
      <c r="B668" s="1" t="s">
        <v>1970</v>
      </c>
      <c r="C668" s="1" t="s">
        <v>1971</v>
      </c>
      <c r="D668" s="1" t="s">
        <v>63</v>
      </c>
      <c r="E668" s="1">
        <v>85083</v>
      </c>
      <c r="F668" s="1" t="s">
        <v>310</v>
      </c>
      <c r="G668" s="1" t="s">
        <v>1723</v>
      </c>
      <c r="H668" s="4" t="s">
        <v>1972</v>
      </c>
      <c r="I668" s="5" t="s">
        <v>46</v>
      </c>
      <c r="J668" s="5" t="s">
        <v>37</v>
      </c>
      <c r="K668" s="5" t="s">
        <v>37</v>
      </c>
      <c r="L668" s="5" t="s">
        <v>38</v>
      </c>
      <c r="M668" s="5" t="s">
        <v>37</v>
      </c>
      <c r="N668" s="5" t="s">
        <v>37</v>
      </c>
      <c r="O668" s="5" t="s">
        <v>38</v>
      </c>
      <c r="P668" s="5" t="s">
        <v>39</v>
      </c>
      <c r="Q668" s="2">
        <v>45966</v>
      </c>
      <c r="V668" s="46">
        <f>IF(
  OR(
    ISNUMBER(SEARCH("unable to locate acct", tblDocketedComments[[#This Row],[Docketed Consumer Comments]])),
    ISNUMBER(SEARCH("unknown", tblDocketedComments[[#This Row],[Docketed Consumer Comments]])),
    ISNUMBER(SEARCH("inactive", tblDocketedComments[[#This Row],[Docketed Consumer Comments]]))
  ),
  0,
  1
)</f>
        <v>1</v>
      </c>
    </row>
    <row r="669" spans="1:22" hidden="1">
      <c r="A669" s="2">
        <v>45905</v>
      </c>
      <c r="B669" s="1" t="s">
        <v>1973</v>
      </c>
      <c r="C669" s="1" t="s">
        <v>597</v>
      </c>
      <c r="D669" s="1" t="s">
        <v>63</v>
      </c>
      <c r="E669" s="1">
        <v>85083</v>
      </c>
      <c r="F669" s="1" t="s">
        <v>31</v>
      </c>
      <c r="G669" s="1" t="s">
        <v>1723</v>
      </c>
      <c r="H669" s="4" t="s">
        <v>1974</v>
      </c>
      <c r="I669" s="5" t="s">
        <v>36</v>
      </c>
      <c r="J669" s="5" t="s">
        <v>37</v>
      </c>
      <c r="K669" s="5" t="s">
        <v>37</v>
      </c>
      <c r="L669" s="7" t="s">
        <v>1975</v>
      </c>
      <c r="M669" s="5" t="s">
        <v>37</v>
      </c>
      <c r="N669" s="5" t="s">
        <v>37</v>
      </c>
      <c r="O669" s="5" t="s">
        <v>38</v>
      </c>
      <c r="P669" s="5" t="s">
        <v>39</v>
      </c>
      <c r="Q669" s="2">
        <v>45966</v>
      </c>
      <c r="R669" s="1" t="s">
        <v>1976</v>
      </c>
      <c r="V669" s="46">
        <f>IF(
  OR(
    ISNUMBER(SEARCH("unable to locate acct", tblDocketedComments[[#This Row],[Docketed Consumer Comments]])),
    ISNUMBER(SEARCH("unknown", tblDocketedComments[[#This Row],[Docketed Consumer Comments]])),
    ISNUMBER(SEARCH("inactive", tblDocketedComments[[#This Row],[Docketed Consumer Comments]]))
  ),
  0,
  1
)</f>
        <v>1</v>
      </c>
    </row>
    <row r="670" spans="1:22" hidden="1">
      <c r="A670" s="2">
        <v>45905</v>
      </c>
      <c r="B670" s="1" t="s">
        <v>1977</v>
      </c>
      <c r="C670" s="1" t="s">
        <v>1824</v>
      </c>
      <c r="D670" s="1" t="s">
        <v>63</v>
      </c>
      <c r="E670" s="1">
        <v>85028</v>
      </c>
      <c r="F670" s="1" t="s">
        <v>1978</v>
      </c>
      <c r="G670" s="1" t="s">
        <v>1723</v>
      </c>
      <c r="H670" s="4" t="s">
        <v>1979</v>
      </c>
      <c r="I670" s="5" t="s">
        <v>126</v>
      </c>
      <c r="J670" s="5" t="s">
        <v>37</v>
      </c>
      <c r="K670" s="5" t="s">
        <v>37</v>
      </c>
      <c r="L670" s="5" t="s">
        <v>38</v>
      </c>
      <c r="M670" s="5" t="s">
        <v>37</v>
      </c>
      <c r="N670" s="5" t="s">
        <v>37</v>
      </c>
      <c r="O670" s="5" t="s">
        <v>38</v>
      </c>
      <c r="P670" s="5" t="s">
        <v>39</v>
      </c>
      <c r="Q670" s="2">
        <v>45966</v>
      </c>
      <c r="V670" s="46">
        <f>IF(
  OR(
    ISNUMBER(SEARCH("unable to locate acct", tblDocketedComments[[#This Row],[Docketed Consumer Comments]])),
    ISNUMBER(SEARCH("unknown", tblDocketedComments[[#This Row],[Docketed Consumer Comments]])),
    ISNUMBER(SEARCH("inactive", tblDocketedComments[[#This Row],[Docketed Consumer Comments]]))
  ),
  0,
  1
)</f>
        <v>1</v>
      </c>
    </row>
    <row r="671" spans="1:22" hidden="1">
      <c r="A671" s="2">
        <v>45905</v>
      </c>
      <c r="B671" s="1" t="s">
        <v>424</v>
      </c>
      <c r="C671" s="1" t="s">
        <v>497</v>
      </c>
      <c r="D671" s="1" t="s">
        <v>63</v>
      </c>
      <c r="E671" s="1">
        <v>85022</v>
      </c>
      <c r="F671" s="1" t="s">
        <v>1980</v>
      </c>
      <c r="G671" s="1" t="s">
        <v>1723</v>
      </c>
      <c r="H671" s="4" t="s">
        <v>1981</v>
      </c>
      <c r="I671" s="5" t="s">
        <v>196</v>
      </c>
      <c r="J671" s="5" t="s">
        <v>37</v>
      </c>
      <c r="K671" s="5" t="s">
        <v>37</v>
      </c>
      <c r="L671" s="7" t="s">
        <v>1982</v>
      </c>
      <c r="M671" s="5" t="s">
        <v>37</v>
      </c>
      <c r="N671" s="5" t="s">
        <v>37</v>
      </c>
      <c r="O671" s="5" t="s">
        <v>38</v>
      </c>
      <c r="P671" s="2">
        <v>45936</v>
      </c>
      <c r="Q671" s="2">
        <v>45966</v>
      </c>
      <c r="R671" s="1" t="s">
        <v>1983</v>
      </c>
      <c r="V671" s="46">
        <f>IF(
  OR(
    ISNUMBER(SEARCH("unable to locate acct", tblDocketedComments[[#This Row],[Docketed Consumer Comments]])),
    ISNUMBER(SEARCH("unknown", tblDocketedComments[[#This Row],[Docketed Consumer Comments]])),
    ISNUMBER(SEARCH("inactive", tblDocketedComments[[#This Row],[Docketed Consumer Comments]]))
  ),
  0,
  1
)</f>
        <v>1</v>
      </c>
    </row>
    <row r="672" spans="1:22" hidden="1">
      <c r="A672" s="2">
        <v>45905</v>
      </c>
      <c r="B672" s="1" t="s">
        <v>1984</v>
      </c>
      <c r="C672" s="1" t="s">
        <v>1985</v>
      </c>
      <c r="D672" s="1" t="s">
        <v>202</v>
      </c>
      <c r="E672" s="1">
        <v>85383</v>
      </c>
      <c r="F672" s="1" t="s">
        <v>310</v>
      </c>
      <c r="G672" s="1" t="s">
        <v>1723</v>
      </c>
      <c r="H672" s="4" t="s">
        <v>27</v>
      </c>
      <c r="V672" s="46">
        <f>IF(
  OR(
    ISNUMBER(SEARCH("unable to locate acct", tblDocketedComments[[#This Row],[Docketed Consumer Comments]])),
    ISNUMBER(SEARCH("unknown", tblDocketedComments[[#This Row],[Docketed Consumer Comments]])),
    ISNUMBER(SEARCH("inactive", tblDocketedComments[[#This Row],[Docketed Consumer Comments]]))
  ),
  0,
  1
)</f>
        <v>1</v>
      </c>
    </row>
    <row r="673" spans="1:22" hidden="1">
      <c r="A673" s="2">
        <v>45905</v>
      </c>
      <c r="B673" s="1" t="s">
        <v>1986</v>
      </c>
      <c r="C673" s="1" t="s">
        <v>1987</v>
      </c>
      <c r="D673" s="1" t="s">
        <v>202</v>
      </c>
      <c r="E673" s="1">
        <v>85383</v>
      </c>
      <c r="F673" s="1" t="s">
        <v>310</v>
      </c>
      <c r="G673" s="1" t="s">
        <v>1723</v>
      </c>
      <c r="H673" s="4" t="s">
        <v>1988</v>
      </c>
      <c r="I673" s="5" t="s">
        <v>418</v>
      </c>
      <c r="J673" s="5" t="s">
        <v>37</v>
      </c>
      <c r="K673" s="5" t="s">
        <v>37</v>
      </c>
      <c r="L673" s="5" t="s">
        <v>389</v>
      </c>
      <c r="M673" s="5" t="s">
        <v>37</v>
      </c>
      <c r="N673" s="5" t="s">
        <v>37</v>
      </c>
      <c r="O673" s="5" t="s">
        <v>38</v>
      </c>
      <c r="P673" s="5" t="s">
        <v>39</v>
      </c>
      <c r="Q673" s="2">
        <v>45966</v>
      </c>
      <c r="V673" s="46">
        <f>IF(
  OR(
    ISNUMBER(SEARCH("unable to locate acct", tblDocketedComments[[#This Row],[Docketed Consumer Comments]])),
    ISNUMBER(SEARCH("unknown", tblDocketedComments[[#This Row],[Docketed Consumer Comments]])),
    ISNUMBER(SEARCH("inactive", tblDocketedComments[[#This Row],[Docketed Consumer Comments]]))
  ),
  0,
  1
)</f>
        <v>1</v>
      </c>
    </row>
    <row r="674" spans="1:22" hidden="1">
      <c r="A674" s="2">
        <v>45905</v>
      </c>
      <c r="B674" s="1" t="s">
        <v>1989</v>
      </c>
      <c r="C674" s="1" t="s">
        <v>1127</v>
      </c>
      <c r="D674" s="1" t="s">
        <v>112</v>
      </c>
      <c r="E674" s="1">
        <v>85388</v>
      </c>
      <c r="F674" s="1" t="s">
        <v>1990</v>
      </c>
      <c r="G674" s="1" t="s">
        <v>1723</v>
      </c>
      <c r="H674" s="4" t="s">
        <v>1991</v>
      </c>
      <c r="I674" s="5" t="s">
        <v>196</v>
      </c>
      <c r="J674" s="5" t="s">
        <v>37</v>
      </c>
      <c r="K674" s="5" t="s">
        <v>37</v>
      </c>
      <c r="L674" s="7" t="s">
        <v>1992</v>
      </c>
      <c r="M674" s="5" t="s">
        <v>37</v>
      </c>
      <c r="N674" s="5" t="s">
        <v>37</v>
      </c>
      <c r="O674" s="5" t="s">
        <v>38</v>
      </c>
      <c r="P674" s="2">
        <v>45936</v>
      </c>
      <c r="Q674" s="2">
        <v>45966</v>
      </c>
      <c r="R674" s="23" t="s">
        <v>1993</v>
      </c>
      <c r="V674" s="46">
        <f>IF(
  OR(
    ISNUMBER(SEARCH("unable to locate acct", tblDocketedComments[[#This Row],[Docketed Consumer Comments]])),
    ISNUMBER(SEARCH("unknown", tblDocketedComments[[#This Row],[Docketed Consumer Comments]])),
    ISNUMBER(SEARCH("inactive", tblDocketedComments[[#This Row],[Docketed Consumer Comments]]))
  ),
  0,
  1
)</f>
        <v>1</v>
      </c>
    </row>
    <row r="675" spans="1:22" hidden="1">
      <c r="A675" s="2">
        <v>45905</v>
      </c>
      <c r="B675" s="1" t="s">
        <v>1994</v>
      </c>
      <c r="C675" s="1" t="s">
        <v>1995</v>
      </c>
      <c r="D675" s="1" t="s">
        <v>63</v>
      </c>
      <c r="E675" s="1">
        <v>85021</v>
      </c>
      <c r="F675" s="1" t="s">
        <v>1996</v>
      </c>
      <c r="G675" s="1" t="s">
        <v>1723</v>
      </c>
      <c r="H675" s="4" t="s">
        <v>1997</v>
      </c>
      <c r="I675" s="5" t="s">
        <v>46</v>
      </c>
      <c r="J675" s="5" t="s">
        <v>37</v>
      </c>
      <c r="K675" s="5" t="s">
        <v>37</v>
      </c>
      <c r="L675" s="5" t="s">
        <v>38</v>
      </c>
      <c r="M675" s="5" t="s">
        <v>37</v>
      </c>
      <c r="N675" s="5" t="s">
        <v>37</v>
      </c>
      <c r="O675" s="5" t="s">
        <v>38</v>
      </c>
      <c r="P675" s="5" t="s">
        <v>39</v>
      </c>
      <c r="Q675" s="2">
        <v>45966</v>
      </c>
      <c r="V675" s="46">
        <f>IF(
  OR(
    ISNUMBER(SEARCH("unable to locate acct", tblDocketedComments[[#This Row],[Docketed Consumer Comments]])),
    ISNUMBER(SEARCH("unknown", tblDocketedComments[[#This Row],[Docketed Consumer Comments]])),
    ISNUMBER(SEARCH("inactive", tblDocketedComments[[#This Row],[Docketed Consumer Comments]]))
  ),
  0,
  1
)</f>
        <v>1</v>
      </c>
    </row>
    <row r="676" spans="1:22" hidden="1">
      <c r="A676" s="2">
        <v>45905</v>
      </c>
      <c r="B676" s="1" t="s">
        <v>1998</v>
      </c>
      <c r="C676" s="1" t="s">
        <v>312</v>
      </c>
      <c r="D676" s="1" t="s">
        <v>125</v>
      </c>
      <c r="E676" s="1">
        <v>85255</v>
      </c>
      <c r="F676" s="1" t="s">
        <v>310</v>
      </c>
      <c r="G676" s="1" t="s">
        <v>1723</v>
      </c>
      <c r="H676" s="4" t="s">
        <v>1999</v>
      </c>
      <c r="I676" s="5" t="s">
        <v>196</v>
      </c>
      <c r="J676" s="5" t="s">
        <v>37</v>
      </c>
      <c r="K676" s="5" t="s">
        <v>37</v>
      </c>
      <c r="L676" s="7" t="s">
        <v>2000</v>
      </c>
      <c r="M676" s="5" t="s">
        <v>37</v>
      </c>
      <c r="N676" s="5" t="s">
        <v>37</v>
      </c>
      <c r="O676" s="5" t="s">
        <v>38</v>
      </c>
      <c r="P676" s="2">
        <v>45936</v>
      </c>
      <c r="Q676" s="2">
        <v>45966</v>
      </c>
      <c r="R676" s="1" t="s">
        <v>2001</v>
      </c>
      <c r="V676" s="46">
        <f>IF(
  OR(
    ISNUMBER(SEARCH("unable to locate acct", tblDocketedComments[[#This Row],[Docketed Consumer Comments]])),
    ISNUMBER(SEARCH("unknown", tblDocketedComments[[#This Row],[Docketed Consumer Comments]])),
    ISNUMBER(SEARCH("inactive", tblDocketedComments[[#This Row],[Docketed Consumer Comments]]))
  ),
  0,
  1
)</f>
        <v>1</v>
      </c>
    </row>
    <row r="677" spans="1:22" hidden="1">
      <c r="A677" s="2">
        <v>45905</v>
      </c>
      <c r="B677" s="1" t="s">
        <v>2002</v>
      </c>
      <c r="C677" s="1" t="s">
        <v>899</v>
      </c>
      <c r="D677" s="1" t="s">
        <v>63</v>
      </c>
      <c r="E677" s="1">
        <v>85016</v>
      </c>
      <c r="F677" s="1" t="s">
        <v>2003</v>
      </c>
      <c r="G677" s="1" t="s">
        <v>1723</v>
      </c>
      <c r="H677" s="4" t="s">
        <v>2004</v>
      </c>
      <c r="I677" s="5" t="s">
        <v>36</v>
      </c>
      <c r="J677" s="5" t="s">
        <v>37</v>
      </c>
      <c r="K677" s="5" t="s">
        <v>37</v>
      </c>
      <c r="L677" s="5" t="s">
        <v>38</v>
      </c>
      <c r="M677" s="5" t="s">
        <v>37</v>
      </c>
      <c r="N677" s="5" t="s">
        <v>37</v>
      </c>
      <c r="O677" s="5" t="s">
        <v>38</v>
      </c>
      <c r="P677" s="5" t="s">
        <v>39</v>
      </c>
      <c r="Q677" s="2">
        <v>45966</v>
      </c>
      <c r="V677" s="46">
        <f>IF(
  OR(
    ISNUMBER(SEARCH("unable to locate acct", tblDocketedComments[[#This Row],[Docketed Consumer Comments]])),
    ISNUMBER(SEARCH("unknown", tblDocketedComments[[#This Row],[Docketed Consumer Comments]])),
    ISNUMBER(SEARCH("inactive", tblDocketedComments[[#This Row],[Docketed Consumer Comments]]))
  ),
  0,
  1
)</f>
        <v>1</v>
      </c>
    </row>
    <row r="678" spans="1:22" hidden="1">
      <c r="A678" s="2">
        <v>45905</v>
      </c>
      <c r="B678" s="1" t="s">
        <v>2005</v>
      </c>
      <c r="C678" s="1" t="s">
        <v>2006</v>
      </c>
      <c r="D678" s="1" t="s">
        <v>202</v>
      </c>
      <c r="E678" s="1">
        <v>85383</v>
      </c>
      <c r="F678" s="1" t="s">
        <v>31</v>
      </c>
      <c r="G678" s="1" t="s">
        <v>1723</v>
      </c>
      <c r="H678" s="4" t="s">
        <v>2007</v>
      </c>
      <c r="I678" s="5" t="s">
        <v>196</v>
      </c>
      <c r="J678" s="5" t="s">
        <v>37</v>
      </c>
      <c r="K678" s="5" t="s">
        <v>37</v>
      </c>
      <c r="L678" s="7" t="s">
        <v>2008</v>
      </c>
      <c r="M678" s="5" t="s">
        <v>37</v>
      </c>
      <c r="N678" s="5" t="s">
        <v>37</v>
      </c>
      <c r="O678" s="5" t="s">
        <v>38</v>
      </c>
      <c r="P678" s="2">
        <v>45936</v>
      </c>
      <c r="Q678" s="2">
        <v>45966</v>
      </c>
      <c r="R678" s="1" t="s">
        <v>2009</v>
      </c>
      <c r="V678" s="46">
        <f>IF(
  OR(
    ISNUMBER(SEARCH("unable to locate acct", tblDocketedComments[[#This Row],[Docketed Consumer Comments]])),
    ISNUMBER(SEARCH("unknown", tblDocketedComments[[#This Row],[Docketed Consumer Comments]])),
    ISNUMBER(SEARCH("inactive", tblDocketedComments[[#This Row],[Docketed Consumer Comments]]))
  ),
  0,
  1
)</f>
        <v>1</v>
      </c>
    </row>
    <row r="679" spans="1:22" hidden="1">
      <c r="A679" s="2">
        <v>45905</v>
      </c>
      <c r="B679" s="1" t="s">
        <v>2010</v>
      </c>
      <c r="C679" s="1" t="s">
        <v>324</v>
      </c>
      <c r="D679" s="1" t="s">
        <v>63</v>
      </c>
      <c r="E679" s="1">
        <v>85003</v>
      </c>
      <c r="F679" s="1" t="s">
        <v>2011</v>
      </c>
      <c r="G679" s="1" t="s">
        <v>1723</v>
      </c>
      <c r="H679" s="4" t="s">
        <v>2012</v>
      </c>
      <c r="I679" s="5" t="s">
        <v>196</v>
      </c>
      <c r="J679" s="5" t="s">
        <v>38</v>
      </c>
      <c r="K679" s="5" t="s">
        <v>37</v>
      </c>
      <c r="L679" s="5" t="s">
        <v>2013</v>
      </c>
      <c r="M679" s="5" t="s">
        <v>37</v>
      </c>
      <c r="N679" s="5" t="s">
        <v>37</v>
      </c>
      <c r="O679" s="5" t="s">
        <v>38</v>
      </c>
      <c r="P679" s="5" t="s">
        <v>39</v>
      </c>
      <c r="Q679" s="2">
        <v>45966</v>
      </c>
      <c r="V679" s="46">
        <f>IF(
  OR(
    ISNUMBER(SEARCH("unable to locate acct", tblDocketedComments[[#This Row],[Docketed Consumer Comments]])),
    ISNUMBER(SEARCH("unknown", tblDocketedComments[[#This Row],[Docketed Consumer Comments]])),
    ISNUMBER(SEARCH("inactive", tblDocketedComments[[#This Row],[Docketed Consumer Comments]]))
  ),
  0,
  1
)</f>
        <v>1</v>
      </c>
    </row>
    <row r="680" spans="1:22" hidden="1">
      <c r="A680" s="2">
        <v>45905</v>
      </c>
      <c r="B680" s="1" t="s">
        <v>2014</v>
      </c>
      <c r="C680" s="1" t="s">
        <v>747</v>
      </c>
      <c r="D680" s="1" t="s">
        <v>202</v>
      </c>
      <c r="E680" s="1">
        <v>85383</v>
      </c>
      <c r="F680" s="1" t="s">
        <v>310</v>
      </c>
      <c r="G680" s="1" t="s">
        <v>1723</v>
      </c>
      <c r="H680" s="19" t="s">
        <v>2015</v>
      </c>
      <c r="I680" s="5" t="s">
        <v>46</v>
      </c>
      <c r="J680" s="5" t="s">
        <v>37</v>
      </c>
      <c r="K680" s="5" t="s">
        <v>37</v>
      </c>
      <c r="L680" s="5" t="s">
        <v>38</v>
      </c>
      <c r="M680" s="5" t="s">
        <v>37</v>
      </c>
      <c r="N680" s="5" t="s">
        <v>37</v>
      </c>
      <c r="O680" s="5" t="s">
        <v>38</v>
      </c>
      <c r="P680" s="5" t="s">
        <v>39</v>
      </c>
      <c r="Q680" s="2">
        <v>45966</v>
      </c>
      <c r="V680" s="46">
        <f>IF(
  OR(
    ISNUMBER(SEARCH("unable to locate acct", tblDocketedComments[[#This Row],[Docketed Consumer Comments]])),
    ISNUMBER(SEARCH("unknown", tblDocketedComments[[#This Row],[Docketed Consumer Comments]])),
    ISNUMBER(SEARCH("inactive", tblDocketedComments[[#This Row],[Docketed Consumer Comments]]))
  ),
  0,
  1
)</f>
        <v>1</v>
      </c>
    </row>
    <row r="681" spans="1:22" hidden="1">
      <c r="A681" s="2">
        <v>45905</v>
      </c>
      <c r="B681" s="1" t="s">
        <v>1686</v>
      </c>
      <c r="C681" s="1" t="s">
        <v>548</v>
      </c>
      <c r="D681" s="1" t="s">
        <v>63</v>
      </c>
      <c r="E681" s="1">
        <v>85007</v>
      </c>
      <c r="F681" s="1" t="s">
        <v>310</v>
      </c>
      <c r="G681" s="1" t="s">
        <v>1723</v>
      </c>
      <c r="H681" s="4" t="s">
        <v>27</v>
      </c>
      <c r="V681" s="46">
        <f>IF(
  OR(
    ISNUMBER(SEARCH("unable to locate acct", tblDocketedComments[[#This Row],[Docketed Consumer Comments]])),
    ISNUMBER(SEARCH("unknown", tblDocketedComments[[#This Row],[Docketed Consumer Comments]])),
    ISNUMBER(SEARCH("inactive", tblDocketedComments[[#This Row],[Docketed Consumer Comments]]))
  ),
  0,
  1
)</f>
        <v>1</v>
      </c>
    </row>
    <row r="682" spans="1:22" hidden="1">
      <c r="A682" s="2">
        <v>45905</v>
      </c>
      <c r="B682" s="1" t="s">
        <v>2016</v>
      </c>
      <c r="C682" s="1" t="s">
        <v>911</v>
      </c>
      <c r="D682" s="1" t="s">
        <v>125</v>
      </c>
      <c r="E682" s="1">
        <v>85255</v>
      </c>
      <c r="F682" s="1" t="s">
        <v>31</v>
      </c>
      <c r="G682" s="1" t="s">
        <v>1723</v>
      </c>
      <c r="H682" s="4" t="s">
        <v>2017</v>
      </c>
      <c r="I682" s="5" t="s">
        <v>250</v>
      </c>
      <c r="J682" s="5" t="s">
        <v>37</v>
      </c>
      <c r="K682" s="5" t="s">
        <v>37</v>
      </c>
      <c r="L682" s="5" t="s">
        <v>38</v>
      </c>
      <c r="M682" s="5" t="s">
        <v>37</v>
      </c>
      <c r="N682" s="5" t="s">
        <v>37</v>
      </c>
      <c r="O682" s="5" t="s">
        <v>38</v>
      </c>
      <c r="P682" s="5" t="s">
        <v>39</v>
      </c>
      <c r="Q682" s="2">
        <v>45966</v>
      </c>
      <c r="V682" s="46">
        <f>IF(
  OR(
    ISNUMBER(SEARCH("unable to locate acct", tblDocketedComments[[#This Row],[Docketed Consumer Comments]])),
    ISNUMBER(SEARCH("unknown", tblDocketedComments[[#This Row],[Docketed Consumer Comments]])),
    ISNUMBER(SEARCH("inactive", tblDocketedComments[[#This Row],[Docketed Consumer Comments]]))
  ),
  0,
  1
)</f>
        <v>1</v>
      </c>
    </row>
    <row r="683" spans="1:22" hidden="1">
      <c r="A683" s="2">
        <v>45905</v>
      </c>
      <c r="B683" s="1" t="s">
        <v>2018</v>
      </c>
      <c r="C683" s="1" t="s">
        <v>2019</v>
      </c>
      <c r="D683" s="1" t="s">
        <v>635</v>
      </c>
      <c r="E683" s="1">
        <v>85288</v>
      </c>
      <c r="F683" s="1" t="s">
        <v>310</v>
      </c>
      <c r="G683" s="1" t="s">
        <v>1723</v>
      </c>
      <c r="H683" s="4" t="s">
        <v>2020</v>
      </c>
      <c r="I683" s="5" t="s">
        <v>196</v>
      </c>
      <c r="J683" s="5" t="s">
        <v>37</v>
      </c>
      <c r="K683" s="5" t="s">
        <v>37</v>
      </c>
      <c r="L683" s="7" t="s">
        <v>2021</v>
      </c>
      <c r="M683" s="5" t="s">
        <v>37</v>
      </c>
      <c r="N683" s="5" t="s">
        <v>37</v>
      </c>
      <c r="O683" s="5" t="s">
        <v>38</v>
      </c>
      <c r="P683" s="2">
        <v>45936</v>
      </c>
      <c r="Q683" s="2">
        <v>45966</v>
      </c>
      <c r="R683" s="1" t="s">
        <v>2022</v>
      </c>
      <c r="V683" s="46">
        <f>IF(
  OR(
    ISNUMBER(SEARCH("unable to locate acct", tblDocketedComments[[#This Row],[Docketed Consumer Comments]])),
    ISNUMBER(SEARCH("unknown", tblDocketedComments[[#This Row],[Docketed Consumer Comments]])),
    ISNUMBER(SEARCH("inactive", tblDocketedComments[[#This Row],[Docketed Consumer Comments]]))
  ),
  0,
  1
)</f>
        <v>1</v>
      </c>
    </row>
    <row r="684" spans="1:22" hidden="1">
      <c r="A684" s="2">
        <v>45905</v>
      </c>
      <c r="B684" s="1" t="s">
        <v>2023</v>
      </c>
      <c r="C684" s="1" t="s">
        <v>333</v>
      </c>
      <c r="D684" s="1" t="s">
        <v>63</v>
      </c>
      <c r="E684" s="1">
        <v>85024</v>
      </c>
      <c r="F684" s="1" t="s">
        <v>310</v>
      </c>
      <c r="G684" s="1" t="s">
        <v>1723</v>
      </c>
      <c r="H684" s="4" t="s">
        <v>2024</v>
      </c>
      <c r="I684" s="5" t="s">
        <v>196</v>
      </c>
      <c r="J684" s="5" t="s">
        <v>37</v>
      </c>
      <c r="K684" s="5" t="s">
        <v>37</v>
      </c>
      <c r="L684" s="5" t="s">
        <v>38</v>
      </c>
      <c r="M684" s="5" t="s">
        <v>37</v>
      </c>
      <c r="N684" s="5" t="s">
        <v>37</v>
      </c>
      <c r="O684" s="5" t="s">
        <v>38</v>
      </c>
      <c r="P684" s="5" t="s">
        <v>39</v>
      </c>
      <c r="Q684" s="2">
        <v>45966</v>
      </c>
      <c r="V684" s="46">
        <f>IF(
  OR(
    ISNUMBER(SEARCH("unable to locate acct", tblDocketedComments[[#This Row],[Docketed Consumer Comments]])),
    ISNUMBER(SEARCH("unknown", tblDocketedComments[[#This Row],[Docketed Consumer Comments]])),
    ISNUMBER(SEARCH("inactive", tblDocketedComments[[#This Row],[Docketed Consumer Comments]]))
  ),
  0,
  1
)</f>
        <v>1</v>
      </c>
    </row>
    <row r="685" spans="1:22" hidden="1">
      <c r="A685" s="2">
        <v>45905</v>
      </c>
      <c r="B685" s="1" t="s">
        <v>2025</v>
      </c>
      <c r="C685" s="1" t="s">
        <v>225</v>
      </c>
      <c r="D685" s="1" t="s">
        <v>428</v>
      </c>
      <c r="E685" s="1">
        <v>85335</v>
      </c>
      <c r="F685" s="1" t="s">
        <v>2026</v>
      </c>
      <c r="G685" s="1" t="s">
        <v>1723</v>
      </c>
      <c r="H685" s="4" t="s">
        <v>2027</v>
      </c>
      <c r="I685" s="5" t="s">
        <v>46</v>
      </c>
      <c r="J685" s="5" t="s">
        <v>37</v>
      </c>
      <c r="K685" s="5" t="s">
        <v>37</v>
      </c>
      <c r="L685" s="5" t="s">
        <v>38</v>
      </c>
      <c r="M685" s="5" t="s">
        <v>37</v>
      </c>
      <c r="N685" s="5" t="s">
        <v>37</v>
      </c>
      <c r="O685" s="5" t="s">
        <v>38</v>
      </c>
      <c r="P685" s="5" t="s">
        <v>39</v>
      </c>
      <c r="Q685" s="2">
        <v>45966</v>
      </c>
      <c r="V685" s="46">
        <f>IF(
  OR(
    ISNUMBER(SEARCH("unable to locate acct", tblDocketedComments[[#This Row],[Docketed Consumer Comments]])),
    ISNUMBER(SEARCH("unknown", tblDocketedComments[[#This Row],[Docketed Consumer Comments]])),
    ISNUMBER(SEARCH("inactive", tblDocketedComments[[#This Row],[Docketed Consumer Comments]]))
  ),
  0,
  1
)</f>
        <v>1</v>
      </c>
    </row>
    <row r="686" spans="1:22" hidden="1">
      <c r="A686" s="2">
        <v>45905</v>
      </c>
      <c r="B686" s="1" t="s">
        <v>2028</v>
      </c>
      <c r="C686" s="1" t="s">
        <v>705</v>
      </c>
      <c r="D686" s="1" t="s">
        <v>169</v>
      </c>
      <c r="E686" s="1">
        <v>85338</v>
      </c>
      <c r="F686" s="1" t="s">
        <v>31</v>
      </c>
      <c r="G686" s="1" t="s">
        <v>1723</v>
      </c>
      <c r="H686" s="4" t="s">
        <v>2029</v>
      </c>
      <c r="I686" s="5" t="s">
        <v>36</v>
      </c>
      <c r="J686" s="5" t="s">
        <v>38</v>
      </c>
      <c r="K686" s="5" t="s">
        <v>37</v>
      </c>
      <c r="L686" s="5" t="s">
        <v>38</v>
      </c>
      <c r="M686" s="5" t="s">
        <v>37</v>
      </c>
      <c r="N686" s="5" t="s">
        <v>37</v>
      </c>
      <c r="O686" s="5" t="s">
        <v>38</v>
      </c>
      <c r="P686" s="5" t="s">
        <v>39</v>
      </c>
      <c r="Q686" s="2">
        <v>45966</v>
      </c>
      <c r="V686" s="46">
        <f>IF(
  OR(
    ISNUMBER(SEARCH("unable to locate acct", tblDocketedComments[[#This Row],[Docketed Consumer Comments]])),
    ISNUMBER(SEARCH("unknown", tblDocketedComments[[#This Row],[Docketed Consumer Comments]])),
    ISNUMBER(SEARCH("inactive", tblDocketedComments[[#This Row],[Docketed Consumer Comments]]))
  ),
  0,
  1
)</f>
        <v>1</v>
      </c>
    </row>
    <row r="687" spans="1:22" hidden="1">
      <c r="A687" s="2">
        <v>45905</v>
      </c>
      <c r="B687" s="1" t="s">
        <v>2030</v>
      </c>
      <c r="C687" s="1" t="s">
        <v>548</v>
      </c>
      <c r="D687" s="1" t="s">
        <v>202</v>
      </c>
      <c r="E687" s="1">
        <v>85383</v>
      </c>
      <c r="F687" s="1" t="s">
        <v>310</v>
      </c>
      <c r="G687" s="1" t="s">
        <v>1723</v>
      </c>
      <c r="H687" s="4" t="s">
        <v>2031</v>
      </c>
      <c r="I687" s="5" t="s">
        <v>196</v>
      </c>
      <c r="J687" s="5" t="s">
        <v>37</v>
      </c>
      <c r="K687" s="5" t="s">
        <v>37</v>
      </c>
      <c r="L687" s="7" t="s">
        <v>2032</v>
      </c>
      <c r="M687" s="5" t="s">
        <v>37</v>
      </c>
      <c r="N687" s="5" t="s">
        <v>37</v>
      </c>
      <c r="O687" s="5" t="s">
        <v>38</v>
      </c>
      <c r="P687" s="2">
        <v>45936</v>
      </c>
      <c r="Q687" s="2">
        <v>45966</v>
      </c>
      <c r="R687" s="1" t="s">
        <v>1732</v>
      </c>
      <c r="V687" s="46">
        <f>IF(
  OR(
    ISNUMBER(SEARCH("unable to locate acct", tblDocketedComments[[#This Row],[Docketed Consumer Comments]])),
    ISNUMBER(SEARCH("unknown", tblDocketedComments[[#This Row],[Docketed Consumer Comments]])),
    ISNUMBER(SEARCH("inactive", tblDocketedComments[[#This Row],[Docketed Consumer Comments]]))
  ),
  0,
  1
)</f>
        <v>1</v>
      </c>
    </row>
    <row r="688" spans="1:22" hidden="1">
      <c r="A688" s="2">
        <v>45905</v>
      </c>
      <c r="B688" s="1" t="s">
        <v>2033</v>
      </c>
      <c r="C688" s="1" t="s">
        <v>2034</v>
      </c>
      <c r="D688" s="1" t="s">
        <v>112</v>
      </c>
      <c r="E688" s="1">
        <v>85374</v>
      </c>
      <c r="F688" s="1" t="s">
        <v>310</v>
      </c>
      <c r="G688" s="1" t="s">
        <v>1723</v>
      </c>
      <c r="H688" s="4" t="s">
        <v>90</v>
      </c>
      <c r="V688" s="46">
        <f>IF(
  OR(
    ISNUMBER(SEARCH("unable to locate acct", tblDocketedComments[[#This Row],[Docketed Consumer Comments]])),
    ISNUMBER(SEARCH("unknown", tblDocketedComments[[#This Row],[Docketed Consumer Comments]])),
    ISNUMBER(SEARCH("inactive", tblDocketedComments[[#This Row],[Docketed Consumer Comments]]))
  ),
  0,
  1
)</f>
        <v>1</v>
      </c>
    </row>
    <row r="689" spans="1:22" hidden="1">
      <c r="A689" s="2">
        <v>45905</v>
      </c>
      <c r="B689" s="1" t="s">
        <v>1202</v>
      </c>
      <c r="C689" s="1" t="s">
        <v>1711</v>
      </c>
      <c r="D689" s="1" t="s">
        <v>112</v>
      </c>
      <c r="E689" s="1">
        <v>85379</v>
      </c>
      <c r="F689" s="1" t="s">
        <v>310</v>
      </c>
      <c r="G689" s="1" t="s">
        <v>1723</v>
      </c>
      <c r="H689" s="4" t="s">
        <v>2035</v>
      </c>
      <c r="I689" s="5" t="s">
        <v>250</v>
      </c>
      <c r="J689" s="5" t="s">
        <v>37</v>
      </c>
      <c r="K689" s="5" t="s">
        <v>37</v>
      </c>
      <c r="L689" s="5" t="s">
        <v>38</v>
      </c>
      <c r="M689" s="5" t="s">
        <v>37</v>
      </c>
      <c r="N689" s="5" t="s">
        <v>37</v>
      </c>
      <c r="O689" s="5" t="s">
        <v>38</v>
      </c>
      <c r="P689" s="5" t="s">
        <v>39</v>
      </c>
      <c r="Q689" s="2">
        <v>45966</v>
      </c>
      <c r="V689" s="46">
        <f>IF(
  OR(
    ISNUMBER(SEARCH("unable to locate acct", tblDocketedComments[[#This Row],[Docketed Consumer Comments]])),
    ISNUMBER(SEARCH("unknown", tblDocketedComments[[#This Row],[Docketed Consumer Comments]])),
    ISNUMBER(SEARCH("inactive", tblDocketedComments[[#This Row],[Docketed Consumer Comments]]))
  ),
  0,
  1
)</f>
        <v>1</v>
      </c>
    </row>
    <row r="690" spans="1:22" hidden="1">
      <c r="A690" s="2">
        <v>45905</v>
      </c>
      <c r="B690" s="1" t="s">
        <v>2030</v>
      </c>
      <c r="C690" s="1" t="s">
        <v>1894</v>
      </c>
      <c r="D690" s="1" t="s">
        <v>202</v>
      </c>
      <c r="E690" s="1">
        <v>85383</v>
      </c>
      <c r="F690" s="1" t="s">
        <v>310</v>
      </c>
      <c r="G690" s="1" t="s">
        <v>1723</v>
      </c>
      <c r="H690" s="4" t="s">
        <v>2031</v>
      </c>
      <c r="I690" s="5" t="s">
        <v>196</v>
      </c>
      <c r="J690" s="5" t="s">
        <v>37</v>
      </c>
      <c r="K690" s="5" t="s">
        <v>37</v>
      </c>
      <c r="L690" s="7" t="s">
        <v>2032</v>
      </c>
      <c r="M690" s="5" t="s">
        <v>37</v>
      </c>
      <c r="N690" s="5" t="s">
        <v>37</v>
      </c>
      <c r="O690" s="5" t="s">
        <v>38</v>
      </c>
      <c r="P690" s="2">
        <v>45936</v>
      </c>
      <c r="Q690" s="2">
        <v>45966</v>
      </c>
      <c r="R690" s="1" t="s">
        <v>1732</v>
      </c>
      <c r="V690" s="46">
        <f>IF(
  OR(
    ISNUMBER(SEARCH("unable to locate acct", tblDocketedComments[[#This Row],[Docketed Consumer Comments]])),
    ISNUMBER(SEARCH("unknown", tblDocketedComments[[#This Row],[Docketed Consumer Comments]])),
    ISNUMBER(SEARCH("inactive", tblDocketedComments[[#This Row],[Docketed Consumer Comments]]))
  ),
  0,
  1
)</f>
        <v>1</v>
      </c>
    </row>
    <row r="691" spans="1:22" hidden="1">
      <c r="A691" s="2">
        <v>45905</v>
      </c>
      <c r="B691" s="1" t="s">
        <v>2036</v>
      </c>
      <c r="C691" s="1" t="s">
        <v>680</v>
      </c>
      <c r="D691" s="1" t="s">
        <v>63</v>
      </c>
      <c r="E691" s="1">
        <v>85020</v>
      </c>
      <c r="F691" s="1" t="s">
        <v>31</v>
      </c>
      <c r="G691" s="1" t="s">
        <v>1723</v>
      </c>
      <c r="H691" s="4" t="s">
        <v>1934</v>
      </c>
      <c r="I691" s="5" t="s">
        <v>36</v>
      </c>
      <c r="J691" s="5" t="s">
        <v>37</v>
      </c>
      <c r="K691" s="5" t="s">
        <v>37</v>
      </c>
      <c r="L691" s="7" t="s">
        <v>2037</v>
      </c>
      <c r="M691" s="5" t="s">
        <v>37</v>
      </c>
      <c r="N691" s="5" t="s">
        <v>37</v>
      </c>
      <c r="O691" s="5" t="s">
        <v>38</v>
      </c>
      <c r="P691" s="2">
        <v>45936</v>
      </c>
      <c r="Q691" s="2">
        <v>45966</v>
      </c>
      <c r="R691" s="1" t="s">
        <v>2038</v>
      </c>
      <c r="V691" s="46">
        <f>IF(
  OR(
    ISNUMBER(SEARCH("unable to locate acct", tblDocketedComments[[#This Row],[Docketed Consumer Comments]])),
    ISNUMBER(SEARCH("unknown", tblDocketedComments[[#This Row],[Docketed Consumer Comments]])),
    ISNUMBER(SEARCH("inactive", tblDocketedComments[[#This Row],[Docketed Consumer Comments]]))
  ),
  0,
  1
)</f>
        <v>1</v>
      </c>
    </row>
    <row r="692" spans="1:22" hidden="1">
      <c r="A692" s="2">
        <v>45905</v>
      </c>
      <c r="B692" s="1" t="s">
        <v>2039</v>
      </c>
      <c r="C692" s="1" t="s">
        <v>2040</v>
      </c>
      <c r="D692" s="1" t="s">
        <v>125</v>
      </c>
      <c r="E692" s="1">
        <v>85254</v>
      </c>
      <c r="F692" s="1" t="s">
        <v>310</v>
      </c>
      <c r="G692" s="1" t="s">
        <v>1723</v>
      </c>
      <c r="H692" s="4" t="s">
        <v>27</v>
      </c>
      <c r="V692" s="46">
        <f>IF(
  OR(
    ISNUMBER(SEARCH("unable to locate acct", tblDocketedComments[[#This Row],[Docketed Consumer Comments]])),
    ISNUMBER(SEARCH("unknown", tblDocketedComments[[#This Row],[Docketed Consumer Comments]])),
    ISNUMBER(SEARCH("inactive", tblDocketedComments[[#This Row],[Docketed Consumer Comments]]))
  ),
  0,
  1
)</f>
        <v>1</v>
      </c>
    </row>
    <row r="693" spans="1:22" hidden="1">
      <c r="A693" s="2">
        <v>45905</v>
      </c>
      <c r="B693" s="1" t="s">
        <v>2041</v>
      </c>
      <c r="C693" s="1" t="s">
        <v>821</v>
      </c>
      <c r="D693" s="1" t="s">
        <v>125</v>
      </c>
      <c r="E693" s="1">
        <v>85258</v>
      </c>
      <c r="F693" s="1" t="s">
        <v>31</v>
      </c>
      <c r="G693" s="1" t="s">
        <v>1723</v>
      </c>
      <c r="H693" s="19" t="s">
        <v>2042</v>
      </c>
      <c r="I693" s="5" t="s">
        <v>541</v>
      </c>
      <c r="J693" s="5" t="s">
        <v>37</v>
      </c>
      <c r="K693" s="5" t="s">
        <v>37</v>
      </c>
      <c r="L693" s="5" t="s">
        <v>389</v>
      </c>
      <c r="M693" s="5" t="s">
        <v>37</v>
      </c>
      <c r="N693" s="5" t="s">
        <v>37</v>
      </c>
      <c r="O693" s="5" t="s">
        <v>38</v>
      </c>
      <c r="P693" s="5" t="s">
        <v>39</v>
      </c>
      <c r="Q693" s="2">
        <v>45966</v>
      </c>
      <c r="V693" s="46">
        <f>IF(
  OR(
    ISNUMBER(SEARCH("unable to locate acct", tblDocketedComments[[#This Row],[Docketed Consumer Comments]])),
    ISNUMBER(SEARCH("unknown", tblDocketedComments[[#This Row],[Docketed Consumer Comments]])),
    ISNUMBER(SEARCH("inactive", tblDocketedComments[[#This Row],[Docketed Consumer Comments]]))
  ),
  0,
  1
)</f>
        <v>1</v>
      </c>
    </row>
    <row r="694" spans="1:22" hidden="1">
      <c r="A694" s="2">
        <v>45905</v>
      </c>
      <c r="B694" s="1" t="s">
        <v>358</v>
      </c>
      <c r="C694" s="1" t="s">
        <v>117</v>
      </c>
      <c r="D694" s="1" t="s">
        <v>174</v>
      </c>
      <c r="E694" s="1">
        <v>85326</v>
      </c>
      <c r="F694" s="1" t="s">
        <v>310</v>
      </c>
      <c r="G694" s="1" t="s">
        <v>1723</v>
      </c>
      <c r="H694" s="4" t="s">
        <v>209</v>
      </c>
      <c r="V694" s="46">
        <f>IF(
  OR(
    ISNUMBER(SEARCH("unable to locate acct", tblDocketedComments[[#This Row],[Docketed Consumer Comments]])),
    ISNUMBER(SEARCH("unknown", tblDocketedComments[[#This Row],[Docketed Consumer Comments]])),
    ISNUMBER(SEARCH("inactive", tblDocketedComments[[#This Row],[Docketed Consumer Comments]]))
  ),
  0,
  1
)</f>
        <v>1</v>
      </c>
    </row>
    <row r="695" spans="1:22" hidden="1">
      <c r="A695" s="2">
        <v>45905</v>
      </c>
      <c r="B695" s="1" t="s">
        <v>2043</v>
      </c>
      <c r="C695" s="1" t="s">
        <v>328</v>
      </c>
      <c r="D695" s="1" t="s">
        <v>112</v>
      </c>
      <c r="E695" s="1">
        <v>85388</v>
      </c>
      <c r="F695" s="1" t="s">
        <v>310</v>
      </c>
      <c r="G695" s="1" t="s">
        <v>1723</v>
      </c>
      <c r="H695" s="4" t="s">
        <v>2044</v>
      </c>
      <c r="I695" s="5" t="s">
        <v>36</v>
      </c>
      <c r="J695" s="5" t="s">
        <v>37</v>
      </c>
      <c r="K695" s="5" t="s">
        <v>37</v>
      </c>
      <c r="L695" s="5" t="s">
        <v>38</v>
      </c>
      <c r="M695" s="5" t="s">
        <v>37</v>
      </c>
      <c r="N695" s="5" t="s">
        <v>37</v>
      </c>
      <c r="O695" s="5" t="s">
        <v>38</v>
      </c>
      <c r="P695" s="5" t="s">
        <v>39</v>
      </c>
      <c r="Q695" s="2">
        <v>45966</v>
      </c>
      <c r="V695" s="46">
        <f>IF(
  OR(
    ISNUMBER(SEARCH("unable to locate acct", tblDocketedComments[[#This Row],[Docketed Consumer Comments]])),
    ISNUMBER(SEARCH("unknown", tblDocketedComments[[#This Row],[Docketed Consumer Comments]])),
    ISNUMBER(SEARCH("inactive", tblDocketedComments[[#This Row],[Docketed Consumer Comments]]))
  ),
  0,
  1
)</f>
        <v>1</v>
      </c>
    </row>
    <row r="696" spans="1:22" hidden="1">
      <c r="A696" s="2">
        <v>45905</v>
      </c>
      <c r="B696" s="1" t="s">
        <v>2045</v>
      </c>
      <c r="C696" s="1" t="s">
        <v>2046</v>
      </c>
      <c r="D696" s="1" t="s">
        <v>63</v>
      </c>
      <c r="E696" s="1">
        <v>85014</v>
      </c>
      <c r="F696" s="1" t="s">
        <v>31</v>
      </c>
      <c r="G696" s="1" t="s">
        <v>1723</v>
      </c>
      <c r="H696" s="4" t="s">
        <v>2047</v>
      </c>
      <c r="I696" s="5" t="s">
        <v>36</v>
      </c>
      <c r="J696" s="5" t="s">
        <v>37</v>
      </c>
      <c r="K696" s="5" t="s">
        <v>37</v>
      </c>
      <c r="L696" s="7" t="s">
        <v>2048</v>
      </c>
      <c r="M696" s="5" t="s">
        <v>37</v>
      </c>
      <c r="N696" s="5" t="s">
        <v>37</v>
      </c>
      <c r="O696" s="5" t="s">
        <v>38</v>
      </c>
      <c r="P696" s="2">
        <v>45936</v>
      </c>
      <c r="Q696" s="2">
        <v>45966</v>
      </c>
      <c r="R696" s="1" t="s">
        <v>2022</v>
      </c>
      <c r="V696" s="46">
        <f>IF(
  OR(
    ISNUMBER(SEARCH("unable to locate acct", tblDocketedComments[[#This Row],[Docketed Consumer Comments]])),
    ISNUMBER(SEARCH("unknown", tblDocketedComments[[#This Row],[Docketed Consumer Comments]])),
    ISNUMBER(SEARCH("inactive", tblDocketedComments[[#This Row],[Docketed Consumer Comments]]))
  ),
  0,
  1
)</f>
        <v>1</v>
      </c>
    </row>
    <row r="697" spans="1:22" hidden="1">
      <c r="A697" s="2">
        <v>45905</v>
      </c>
      <c r="B697" s="1" t="s">
        <v>2049</v>
      </c>
      <c r="C697" s="1" t="s">
        <v>2050</v>
      </c>
      <c r="D697" s="1" t="s">
        <v>2051</v>
      </c>
      <c r="E697" s="1">
        <v>86333</v>
      </c>
      <c r="F697" s="1" t="s">
        <v>31</v>
      </c>
      <c r="G697" s="1" t="s">
        <v>1723</v>
      </c>
      <c r="H697" s="4" t="s">
        <v>2052</v>
      </c>
      <c r="I697" s="5" t="s">
        <v>36</v>
      </c>
      <c r="J697" s="5" t="s">
        <v>37</v>
      </c>
      <c r="K697" s="5" t="s">
        <v>37</v>
      </c>
      <c r="L697" s="5" t="s">
        <v>38</v>
      </c>
      <c r="M697" s="5" t="s">
        <v>37</v>
      </c>
      <c r="N697" s="5" t="s">
        <v>37</v>
      </c>
      <c r="O697" s="5" t="s">
        <v>38</v>
      </c>
      <c r="P697" s="5" t="s">
        <v>39</v>
      </c>
      <c r="Q697" s="2">
        <v>45966</v>
      </c>
      <c r="U697" s="1" t="s">
        <v>724</v>
      </c>
      <c r="V697" s="46">
        <f>IF(
  OR(
    ISNUMBER(SEARCH("unable to locate acct", tblDocketedComments[[#This Row],[Docketed Consumer Comments]])),
    ISNUMBER(SEARCH("unknown", tblDocketedComments[[#This Row],[Docketed Consumer Comments]])),
    ISNUMBER(SEARCH("inactive", tblDocketedComments[[#This Row],[Docketed Consumer Comments]]))
  ),
  0,
  1
)</f>
        <v>1</v>
      </c>
    </row>
    <row r="698" spans="1:22" hidden="1">
      <c r="A698" s="2">
        <v>45905</v>
      </c>
      <c r="B698" s="1" t="s">
        <v>2053</v>
      </c>
      <c r="C698" s="1" t="s">
        <v>117</v>
      </c>
      <c r="D698" s="1" t="s">
        <v>539</v>
      </c>
      <c r="E698" s="1">
        <v>85122</v>
      </c>
      <c r="F698" s="1" t="s">
        <v>2054</v>
      </c>
      <c r="G698" s="1" t="s">
        <v>1723</v>
      </c>
      <c r="H698" s="4" t="s">
        <v>2055</v>
      </c>
      <c r="I698" s="5" t="s">
        <v>196</v>
      </c>
      <c r="J698" s="5" t="s">
        <v>38</v>
      </c>
      <c r="K698" s="5" t="s">
        <v>37</v>
      </c>
      <c r="L698" s="5" t="s">
        <v>2056</v>
      </c>
      <c r="M698" s="5" t="s">
        <v>37</v>
      </c>
      <c r="N698" s="5" t="s">
        <v>37</v>
      </c>
      <c r="O698" s="5" t="s">
        <v>38</v>
      </c>
      <c r="P698" s="5" t="s">
        <v>39</v>
      </c>
      <c r="Q698" s="2">
        <v>45966</v>
      </c>
      <c r="V698" s="46">
        <f>IF(
  OR(
    ISNUMBER(SEARCH("unable to locate acct", tblDocketedComments[[#This Row],[Docketed Consumer Comments]])),
    ISNUMBER(SEARCH("unknown", tblDocketedComments[[#This Row],[Docketed Consumer Comments]])),
    ISNUMBER(SEARCH("inactive", tblDocketedComments[[#This Row],[Docketed Consumer Comments]]))
  ),
  0,
  1
)</f>
        <v>1</v>
      </c>
    </row>
    <row r="699" spans="1:22" hidden="1">
      <c r="A699" s="2">
        <v>45905</v>
      </c>
      <c r="B699" s="1" t="s">
        <v>1917</v>
      </c>
      <c r="C699" s="1" t="s">
        <v>2057</v>
      </c>
      <c r="D699" s="1" t="s">
        <v>63</v>
      </c>
      <c r="E699" s="1">
        <v>85012</v>
      </c>
      <c r="F699" s="1" t="s">
        <v>310</v>
      </c>
      <c r="G699" s="1" t="s">
        <v>1723</v>
      </c>
      <c r="H699" s="4" t="s">
        <v>719</v>
      </c>
      <c r="I699" s="5" t="s">
        <v>73</v>
      </c>
      <c r="J699" s="5" t="s">
        <v>37</v>
      </c>
      <c r="L699" s="5" t="s">
        <v>38</v>
      </c>
      <c r="O699" s="5" t="s">
        <v>38</v>
      </c>
      <c r="P699" s="5" t="s">
        <v>39</v>
      </c>
      <c r="V699" s="46">
        <f>IF(
  OR(
    ISNUMBER(SEARCH("unable to locate acct", tblDocketedComments[[#This Row],[Docketed Consumer Comments]])),
    ISNUMBER(SEARCH("unknown", tblDocketedComments[[#This Row],[Docketed Consumer Comments]])),
    ISNUMBER(SEARCH("inactive", tblDocketedComments[[#This Row],[Docketed Consumer Comments]]))
  ),
  0,
  1
)</f>
        <v>1</v>
      </c>
    </row>
    <row r="700" spans="1:22" hidden="1">
      <c r="A700" s="2">
        <v>45905</v>
      </c>
      <c r="B700" s="1" t="s">
        <v>2058</v>
      </c>
      <c r="C700" s="1" t="s">
        <v>2059</v>
      </c>
      <c r="D700" s="1" t="s">
        <v>63</v>
      </c>
      <c r="E700" s="1">
        <v>85032</v>
      </c>
      <c r="F700" s="1" t="s">
        <v>310</v>
      </c>
      <c r="G700" s="1" t="s">
        <v>1723</v>
      </c>
      <c r="H700" s="4" t="s">
        <v>2060</v>
      </c>
      <c r="I700" s="5" t="s">
        <v>541</v>
      </c>
      <c r="J700" s="5" t="s">
        <v>37</v>
      </c>
      <c r="K700" s="5" t="s">
        <v>37</v>
      </c>
      <c r="L700" s="5" t="s">
        <v>389</v>
      </c>
      <c r="M700" s="5" t="s">
        <v>37</v>
      </c>
      <c r="N700" s="5" t="s">
        <v>37</v>
      </c>
      <c r="O700" s="5" t="s">
        <v>38</v>
      </c>
      <c r="P700" s="5" t="s">
        <v>39</v>
      </c>
      <c r="Q700" s="2">
        <v>45966</v>
      </c>
      <c r="V700" s="46">
        <f>IF(
  OR(
    ISNUMBER(SEARCH("unable to locate acct", tblDocketedComments[[#This Row],[Docketed Consumer Comments]])),
    ISNUMBER(SEARCH("unknown", tblDocketedComments[[#This Row],[Docketed Consumer Comments]])),
    ISNUMBER(SEARCH("inactive", tblDocketedComments[[#This Row],[Docketed Consumer Comments]]))
  ),
  0,
  1
)</f>
        <v>1</v>
      </c>
    </row>
    <row r="701" spans="1:22" hidden="1">
      <c r="A701" s="2">
        <v>45905</v>
      </c>
      <c r="B701" s="1" t="s">
        <v>2061</v>
      </c>
      <c r="C701" s="1" t="s">
        <v>755</v>
      </c>
      <c r="D701" s="1" t="s">
        <v>619</v>
      </c>
      <c r="E701" s="1">
        <v>85365</v>
      </c>
      <c r="F701" s="1" t="s">
        <v>310</v>
      </c>
      <c r="G701" s="1" t="s">
        <v>1723</v>
      </c>
      <c r="H701" s="4" t="s">
        <v>27</v>
      </c>
      <c r="V701" s="46">
        <f>IF(
  OR(
    ISNUMBER(SEARCH("unable to locate acct", tblDocketedComments[[#This Row],[Docketed Consumer Comments]])),
    ISNUMBER(SEARCH("unknown", tblDocketedComments[[#This Row],[Docketed Consumer Comments]])),
    ISNUMBER(SEARCH("inactive", tblDocketedComments[[#This Row],[Docketed Consumer Comments]]))
  ),
  0,
  1
)</f>
        <v>1</v>
      </c>
    </row>
    <row r="702" spans="1:22" hidden="1">
      <c r="A702" s="2">
        <v>45905</v>
      </c>
      <c r="B702" s="1" t="s">
        <v>2062</v>
      </c>
      <c r="C702" s="1" t="s">
        <v>2063</v>
      </c>
      <c r="D702" s="1" t="s">
        <v>539</v>
      </c>
      <c r="E702" s="1">
        <v>85122</v>
      </c>
      <c r="F702" s="1" t="s">
        <v>31</v>
      </c>
      <c r="G702" s="1" t="s">
        <v>1723</v>
      </c>
      <c r="H702" s="4" t="s">
        <v>27</v>
      </c>
      <c r="V702" s="46">
        <f>IF(
  OR(
    ISNUMBER(SEARCH("unable to locate acct", tblDocketedComments[[#This Row],[Docketed Consumer Comments]])),
    ISNUMBER(SEARCH("unknown", tblDocketedComments[[#This Row],[Docketed Consumer Comments]])),
    ISNUMBER(SEARCH("inactive", tblDocketedComments[[#This Row],[Docketed Consumer Comments]]))
  ),
  0,
  1
)</f>
        <v>1</v>
      </c>
    </row>
    <row r="703" spans="1:22" hidden="1">
      <c r="A703" s="2">
        <v>45905</v>
      </c>
      <c r="B703" s="1" t="s">
        <v>2064</v>
      </c>
      <c r="C703" s="1" t="s">
        <v>2065</v>
      </c>
      <c r="D703" s="1" t="s">
        <v>63</v>
      </c>
      <c r="E703" s="1">
        <v>85007</v>
      </c>
      <c r="F703" s="1" t="s">
        <v>2066</v>
      </c>
      <c r="G703" s="1" t="s">
        <v>1723</v>
      </c>
      <c r="H703" s="19" t="s">
        <v>2067</v>
      </c>
      <c r="I703" s="5" t="s">
        <v>196</v>
      </c>
      <c r="J703" s="5" t="s">
        <v>37</v>
      </c>
      <c r="K703" s="5" t="s">
        <v>37</v>
      </c>
      <c r="L703" s="7" t="s">
        <v>2068</v>
      </c>
      <c r="M703" s="5" t="s">
        <v>37</v>
      </c>
      <c r="N703" s="5" t="s">
        <v>37</v>
      </c>
      <c r="O703" s="5" t="s">
        <v>38</v>
      </c>
      <c r="P703" s="2">
        <v>45936</v>
      </c>
      <c r="Q703" s="2">
        <v>45966</v>
      </c>
      <c r="R703" s="1" t="s">
        <v>2069</v>
      </c>
      <c r="V703" s="46">
        <f>IF(
  OR(
    ISNUMBER(SEARCH("unable to locate acct", tblDocketedComments[[#This Row],[Docketed Consumer Comments]])),
    ISNUMBER(SEARCH("unknown", tblDocketedComments[[#This Row],[Docketed Consumer Comments]])),
    ISNUMBER(SEARCH("inactive", tblDocketedComments[[#This Row],[Docketed Consumer Comments]]))
  ),
  0,
  1
)</f>
        <v>1</v>
      </c>
    </row>
    <row r="704" spans="1:22" hidden="1">
      <c r="A704" s="2">
        <v>45905</v>
      </c>
      <c r="B704" s="1" t="s">
        <v>2033</v>
      </c>
      <c r="C704" s="1" t="s">
        <v>2070</v>
      </c>
      <c r="D704" s="1" t="s">
        <v>112</v>
      </c>
      <c r="E704" s="1">
        <v>85374</v>
      </c>
      <c r="F704" s="1" t="s">
        <v>310</v>
      </c>
      <c r="G704" s="1" t="s">
        <v>1723</v>
      </c>
      <c r="H704" s="4" t="s">
        <v>27</v>
      </c>
      <c r="V704" s="46">
        <f>IF(
  OR(
    ISNUMBER(SEARCH("unable to locate acct", tblDocketedComments[[#This Row],[Docketed Consumer Comments]])),
    ISNUMBER(SEARCH("unknown", tblDocketedComments[[#This Row],[Docketed Consumer Comments]])),
    ISNUMBER(SEARCH("inactive", tblDocketedComments[[#This Row],[Docketed Consumer Comments]]))
  ),
  0,
  1
)</f>
        <v>1</v>
      </c>
    </row>
    <row r="705" spans="1:22" hidden="1">
      <c r="A705" s="2">
        <v>45905</v>
      </c>
      <c r="B705" s="1" t="s">
        <v>2071</v>
      </c>
      <c r="C705" s="1" t="s">
        <v>597</v>
      </c>
      <c r="D705" s="1" t="s">
        <v>169</v>
      </c>
      <c r="E705" s="1">
        <v>85395</v>
      </c>
      <c r="F705" s="1" t="s">
        <v>2072</v>
      </c>
      <c r="G705" s="1" t="s">
        <v>1723</v>
      </c>
      <c r="H705" s="19" t="s">
        <v>2073</v>
      </c>
      <c r="I705" s="5" t="s">
        <v>36</v>
      </c>
      <c r="J705" s="5" t="s">
        <v>37</v>
      </c>
      <c r="K705" s="5" t="s">
        <v>37</v>
      </c>
      <c r="L705" s="5" t="s">
        <v>38</v>
      </c>
      <c r="M705" s="5" t="s">
        <v>37</v>
      </c>
      <c r="N705" s="5" t="s">
        <v>37</v>
      </c>
      <c r="O705" s="5" t="s">
        <v>38</v>
      </c>
      <c r="P705" s="5" t="s">
        <v>39</v>
      </c>
      <c r="Q705" s="2">
        <v>45966</v>
      </c>
      <c r="V705" s="46">
        <f>IF(
  OR(
    ISNUMBER(SEARCH("unable to locate acct", tblDocketedComments[[#This Row],[Docketed Consumer Comments]])),
    ISNUMBER(SEARCH("unknown", tblDocketedComments[[#This Row],[Docketed Consumer Comments]])),
    ISNUMBER(SEARCH("inactive", tblDocketedComments[[#This Row],[Docketed Consumer Comments]]))
  ),
  0,
  1
)</f>
        <v>1</v>
      </c>
    </row>
    <row r="706" spans="1:22" hidden="1">
      <c r="A706" s="2">
        <v>45905</v>
      </c>
      <c r="B706" s="1" t="s">
        <v>2074</v>
      </c>
      <c r="C706" s="1" t="s">
        <v>2075</v>
      </c>
      <c r="D706" s="1" t="s">
        <v>202</v>
      </c>
      <c r="E706" s="1">
        <v>85383</v>
      </c>
      <c r="F706" s="1" t="s">
        <v>310</v>
      </c>
      <c r="G706" s="1" t="s">
        <v>1723</v>
      </c>
      <c r="H706" s="4" t="s">
        <v>2076</v>
      </c>
      <c r="I706" s="5" t="s">
        <v>243</v>
      </c>
      <c r="J706" s="5" t="s">
        <v>37</v>
      </c>
      <c r="K706" s="5" t="s">
        <v>37</v>
      </c>
      <c r="L706" s="5" t="s">
        <v>389</v>
      </c>
      <c r="M706" s="5" t="s">
        <v>37</v>
      </c>
      <c r="N706" s="5" t="s">
        <v>37</v>
      </c>
      <c r="O706" s="5" t="s">
        <v>38</v>
      </c>
      <c r="P706" s="5" t="s">
        <v>39</v>
      </c>
      <c r="Q706" s="2">
        <v>45966</v>
      </c>
      <c r="V706" s="46">
        <f>IF(
  OR(
    ISNUMBER(SEARCH("unable to locate acct", tblDocketedComments[[#This Row],[Docketed Consumer Comments]])),
    ISNUMBER(SEARCH("unknown", tblDocketedComments[[#This Row],[Docketed Consumer Comments]])),
    ISNUMBER(SEARCH("inactive", tblDocketedComments[[#This Row],[Docketed Consumer Comments]]))
  ),
  0,
  1
)</f>
        <v>1</v>
      </c>
    </row>
    <row r="707" spans="1:22" hidden="1">
      <c r="A707" s="2">
        <v>45905</v>
      </c>
      <c r="B707" s="1" t="s">
        <v>2077</v>
      </c>
      <c r="C707" s="1" t="s">
        <v>2078</v>
      </c>
      <c r="D707" s="1" t="s">
        <v>63</v>
      </c>
      <c r="E707" s="1">
        <v>85012</v>
      </c>
      <c r="F707" s="1" t="s">
        <v>2079</v>
      </c>
      <c r="G707" s="1" t="s">
        <v>1723</v>
      </c>
      <c r="H707" s="4" t="s">
        <v>2080</v>
      </c>
      <c r="I707" s="5" t="s">
        <v>73</v>
      </c>
      <c r="J707" s="5" t="s">
        <v>37</v>
      </c>
      <c r="K707" s="5" t="s">
        <v>37</v>
      </c>
      <c r="L707" s="5" t="s">
        <v>38</v>
      </c>
      <c r="M707" s="5" t="s">
        <v>37</v>
      </c>
      <c r="N707" s="5" t="s">
        <v>37</v>
      </c>
      <c r="O707" s="5" t="s">
        <v>38</v>
      </c>
      <c r="P707" s="5" t="s">
        <v>39</v>
      </c>
      <c r="Q707" s="2">
        <v>45966</v>
      </c>
      <c r="V707" s="46">
        <f>IF(
  OR(
    ISNUMBER(SEARCH("unable to locate acct", tblDocketedComments[[#This Row],[Docketed Consumer Comments]])),
    ISNUMBER(SEARCH("unknown", tblDocketedComments[[#This Row],[Docketed Consumer Comments]])),
    ISNUMBER(SEARCH("inactive", tblDocketedComments[[#This Row],[Docketed Consumer Comments]]))
  ),
  0,
  1
)</f>
        <v>1</v>
      </c>
    </row>
    <row r="708" spans="1:22" hidden="1">
      <c r="A708" s="2">
        <v>45905</v>
      </c>
      <c r="B708" s="1" t="s">
        <v>2081</v>
      </c>
      <c r="C708" s="1" t="s">
        <v>835</v>
      </c>
      <c r="D708" s="1" t="s">
        <v>125</v>
      </c>
      <c r="E708" s="1">
        <v>85259</v>
      </c>
      <c r="F708" s="1" t="s">
        <v>31</v>
      </c>
      <c r="G708" s="1" t="s">
        <v>1723</v>
      </c>
      <c r="H708" s="4" t="s">
        <v>2082</v>
      </c>
      <c r="I708" s="5" t="s">
        <v>36</v>
      </c>
      <c r="J708" s="5" t="s">
        <v>37</v>
      </c>
      <c r="K708" s="5" t="s">
        <v>37</v>
      </c>
      <c r="L708" s="5" t="s">
        <v>38</v>
      </c>
      <c r="M708" s="5" t="s">
        <v>37</v>
      </c>
      <c r="N708" s="5" t="s">
        <v>37</v>
      </c>
      <c r="O708" s="5" t="s">
        <v>38</v>
      </c>
      <c r="P708" s="5" t="s">
        <v>39</v>
      </c>
      <c r="Q708" s="2">
        <v>45966</v>
      </c>
      <c r="R708" s="1" t="s">
        <v>2083</v>
      </c>
      <c r="V708" s="46">
        <f>IF(
  OR(
    ISNUMBER(SEARCH("unable to locate acct", tblDocketedComments[[#This Row],[Docketed Consumer Comments]])),
    ISNUMBER(SEARCH("unknown", tblDocketedComments[[#This Row],[Docketed Consumer Comments]])),
    ISNUMBER(SEARCH("inactive", tblDocketedComments[[#This Row],[Docketed Consumer Comments]]))
  ),
  0,
  1
)</f>
        <v>1</v>
      </c>
    </row>
    <row r="709" spans="1:22" hidden="1">
      <c r="A709" s="2">
        <v>45905</v>
      </c>
      <c r="B709" s="1" t="s">
        <v>1134</v>
      </c>
      <c r="C709" s="1" t="s">
        <v>2084</v>
      </c>
      <c r="D709" s="1" t="s">
        <v>63</v>
      </c>
      <c r="E709" s="1">
        <v>85028</v>
      </c>
      <c r="F709" s="1" t="s">
        <v>31</v>
      </c>
      <c r="G709" s="1" t="s">
        <v>1723</v>
      </c>
      <c r="H709" s="4" t="s">
        <v>2085</v>
      </c>
      <c r="I709" s="5" t="s">
        <v>57</v>
      </c>
      <c r="J709" s="5" t="s">
        <v>37</v>
      </c>
      <c r="K709" s="5" t="s">
        <v>37</v>
      </c>
      <c r="L709" s="7" t="s">
        <v>2086</v>
      </c>
      <c r="M709" s="5" t="s">
        <v>37</v>
      </c>
      <c r="N709" s="5" t="s">
        <v>37</v>
      </c>
      <c r="O709" s="5" t="s">
        <v>38</v>
      </c>
      <c r="P709" s="2">
        <v>45936</v>
      </c>
      <c r="Q709" s="2">
        <v>45966</v>
      </c>
      <c r="R709" s="1" t="s">
        <v>2022</v>
      </c>
      <c r="V709" s="46">
        <f>IF(
  OR(
    ISNUMBER(SEARCH("unable to locate acct", tblDocketedComments[[#This Row],[Docketed Consumer Comments]])),
    ISNUMBER(SEARCH("unknown", tblDocketedComments[[#This Row],[Docketed Consumer Comments]])),
    ISNUMBER(SEARCH("inactive", tblDocketedComments[[#This Row],[Docketed Consumer Comments]]))
  ),
  0,
  1
)</f>
        <v>1</v>
      </c>
    </row>
    <row r="710" spans="1:22" hidden="1">
      <c r="A710" s="2">
        <v>45905</v>
      </c>
      <c r="B710" s="1" t="s">
        <v>2087</v>
      </c>
      <c r="C710" s="1" t="s">
        <v>225</v>
      </c>
      <c r="D710" s="1" t="s">
        <v>24</v>
      </c>
      <c r="E710" s="1">
        <v>85308</v>
      </c>
      <c r="F710" s="1" t="s">
        <v>2088</v>
      </c>
      <c r="G710" s="1" t="s">
        <v>1723</v>
      </c>
      <c r="H710" s="4" t="s">
        <v>209</v>
      </c>
      <c r="V710" s="46">
        <f>IF(
  OR(
    ISNUMBER(SEARCH("unable to locate acct", tblDocketedComments[[#This Row],[Docketed Consumer Comments]])),
    ISNUMBER(SEARCH("unknown", tblDocketedComments[[#This Row],[Docketed Consumer Comments]])),
    ISNUMBER(SEARCH("inactive", tblDocketedComments[[#This Row],[Docketed Consumer Comments]]))
  ),
  0,
  1
)</f>
        <v>1</v>
      </c>
    </row>
    <row r="711" spans="1:22" hidden="1">
      <c r="A711" s="2">
        <v>45905</v>
      </c>
      <c r="B711" s="1" t="s">
        <v>2089</v>
      </c>
      <c r="C711" s="1" t="s">
        <v>2090</v>
      </c>
      <c r="D711" s="1" t="s">
        <v>63</v>
      </c>
      <c r="E711" s="1">
        <v>85027</v>
      </c>
      <c r="F711" s="1" t="s">
        <v>310</v>
      </c>
      <c r="G711" s="1" t="s">
        <v>1723</v>
      </c>
      <c r="H711" s="4" t="s">
        <v>2091</v>
      </c>
      <c r="I711" s="5" t="s">
        <v>126</v>
      </c>
      <c r="J711" s="5" t="s">
        <v>37</v>
      </c>
      <c r="K711" s="5" t="s">
        <v>37</v>
      </c>
      <c r="L711" s="5" t="s">
        <v>38</v>
      </c>
      <c r="M711" s="5" t="s">
        <v>37</v>
      </c>
      <c r="N711" s="5" t="s">
        <v>37</v>
      </c>
      <c r="O711" s="5" t="s">
        <v>38</v>
      </c>
      <c r="P711" s="5" t="s">
        <v>39</v>
      </c>
      <c r="Q711" s="2">
        <v>45966</v>
      </c>
      <c r="V711" s="46">
        <f>IF(
  OR(
    ISNUMBER(SEARCH("unable to locate acct", tblDocketedComments[[#This Row],[Docketed Consumer Comments]])),
    ISNUMBER(SEARCH("unknown", tblDocketedComments[[#This Row],[Docketed Consumer Comments]])),
    ISNUMBER(SEARCH("inactive", tblDocketedComments[[#This Row],[Docketed Consumer Comments]]))
  ),
  0,
  1
)</f>
        <v>1</v>
      </c>
    </row>
    <row r="712" spans="1:22" hidden="1">
      <c r="A712" s="2">
        <v>45905</v>
      </c>
      <c r="B712" s="1" t="s">
        <v>316</v>
      </c>
      <c r="C712" s="1" t="s">
        <v>317</v>
      </c>
      <c r="D712" s="1" t="s">
        <v>174</v>
      </c>
      <c r="E712" s="1">
        <v>85326</v>
      </c>
      <c r="F712" s="1" t="s">
        <v>1957</v>
      </c>
      <c r="G712" s="1" t="s">
        <v>1723</v>
      </c>
      <c r="H712" s="4" t="s">
        <v>2092</v>
      </c>
      <c r="I712" s="5" t="s">
        <v>36</v>
      </c>
      <c r="J712" s="5" t="s">
        <v>37</v>
      </c>
      <c r="K712" s="5" t="s">
        <v>37</v>
      </c>
      <c r="L712" s="5" t="s">
        <v>38</v>
      </c>
      <c r="M712" s="5" t="s">
        <v>37</v>
      </c>
      <c r="N712" s="5" t="s">
        <v>37</v>
      </c>
      <c r="O712" s="5" t="s">
        <v>38</v>
      </c>
      <c r="P712" s="5" t="s">
        <v>39</v>
      </c>
      <c r="Q712" s="2">
        <v>45966</v>
      </c>
      <c r="V712" s="46">
        <f>IF(
  OR(
    ISNUMBER(SEARCH("unable to locate acct", tblDocketedComments[[#This Row],[Docketed Consumer Comments]])),
    ISNUMBER(SEARCH("unknown", tblDocketedComments[[#This Row],[Docketed Consumer Comments]])),
    ISNUMBER(SEARCH("inactive", tblDocketedComments[[#This Row],[Docketed Consumer Comments]]))
  ),
  0,
  1
)</f>
        <v>1</v>
      </c>
    </row>
    <row r="713" spans="1:22" hidden="1">
      <c r="A713" s="2">
        <v>45905</v>
      </c>
      <c r="B713" s="1" t="s">
        <v>2093</v>
      </c>
      <c r="C713" s="1" t="s">
        <v>550</v>
      </c>
      <c r="D713" s="1" t="s">
        <v>63</v>
      </c>
      <c r="E713" s="1">
        <v>85029</v>
      </c>
      <c r="F713" s="1" t="s">
        <v>310</v>
      </c>
      <c r="G713" s="1" t="s">
        <v>1723</v>
      </c>
      <c r="H713" s="4" t="s">
        <v>2094</v>
      </c>
      <c r="I713" s="5" t="s">
        <v>196</v>
      </c>
      <c r="J713" s="5" t="s">
        <v>37</v>
      </c>
      <c r="K713" s="5" t="s">
        <v>37</v>
      </c>
      <c r="L713" s="5" t="s">
        <v>38</v>
      </c>
      <c r="M713" s="5" t="s">
        <v>37</v>
      </c>
      <c r="N713" s="5" t="s">
        <v>37</v>
      </c>
      <c r="O713" s="5" t="s">
        <v>38</v>
      </c>
      <c r="P713" s="5" t="s">
        <v>39</v>
      </c>
      <c r="Q713" s="2">
        <v>45966</v>
      </c>
      <c r="R713" s="1" t="s">
        <v>2095</v>
      </c>
      <c r="V713" s="46">
        <f>IF(
  OR(
    ISNUMBER(SEARCH("unable to locate acct", tblDocketedComments[[#This Row],[Docketed Consumer Comments]])),
    ISNUMBER(SEARCH("unknown", tblDocketedComments[[#This Row],[Docketed Consumer Comments]])),
    ISNUMBER(SEARCH("inactive", tblDocketedComments[[#This Row],[Docketed Consumer Comments]]))
  ),
  0,
  1
)</f>
        <v>1</v>
      </c>
    </row>
    <row r="714" spans="1:22" hidden="1">
      <c r="A714" s="2">
        <v>45905</v>
      </c>
      <c r="B714" s="1" t="s">
        <v>2096</v>
      </c>
      <c r="C714" s="1" t="s">
        <v>2097</v>
      </c>
      <c r="D714" s="1" t="s">
        <v>125</v>
      </c>
      <c r="E714" s="1">
        <v>85251</v>
      </c>
      <c r="F714" s="1" t="s">
        <v>2098</v>
      </c>
      <c r="G714" s="1" t="s">
        <v>1723</v>
      </c>
      <c r="H714" s="4" t="s">
        <v>2099</v>
      </c>
      <c r="I714" s="5" t="s">
        <v>126</v>
      </c>
      <c r="J714" s="5" t="s">
        <v>37</v>
      </c>
      <c r="K714" s="5" t="s">
        <v>37</v>
      </c>
      <c r="L714" s="7" t="s">
        <v>2100</v>
      </c>
      <c r="M714" s="5" t="s">
        <v>37</v>
      </c>
      <c r="N714" s="5" t="s">
        <v>37</v>
      </c>
      <c r="O714" s="5" t="s">
        <v>38</v>
      </c>
      <c r="P714" s="5" t="s">
        <v>39</v>
      </c>
      <c r="Q714" s="2">
        <v>45966</v>
      </c>
      <c r="V714" s="46">
        <f>IF(
  OR(
    ISNUMBER(SEARCH("unable to locate acct", tblDocketedComments[[#This Row],[Docketed Consumer Comments]])),
    ISNUMBER(SEARCH("unknown", tblDocketedComments[[#This Row],[Docketed Consumer Comments]])),
    ISNUMBER(SEARCH("inactive", tblDocketedComments[[#This Row],[Docketed Consumer Comments]]))
  ),
  0,
  1
)</f>
        <v>1</v>
      </c>
    </row>
    <row r="715" spans="1:22" hidden="1">
      <c r="A715" s="2">
        <v>45905</v>
      </c>
      <c r="B715" s="1" t="s">
        <v>1959</v>
      </c>
      <c r="C715" s="1" t="s">
        <v>1647</v>
      </c>
      <c r="D715" s="1" t="s">
        <v>169</v>
      </c>
      <c r="E715" s="1">
        <v>85395</v>
      </c>
      <c r="F715" s="1" t="s">
        <v>31</v>
      </c>
      <c r="G715" s="1" t="s">
        <v>1723</v>
      </c>
      <c r="H715" s="4" t="s">
        <v>27</v>
      </c>
      <c r="V715" s="46">
        <f>IF(
  OR(
    ISNUMBER(SEARCH("unable to locate acct", tblDocketedComments[[#This Row],[Docketed Consumer Comments]])),
    ISNUMBER(SEARCH("unknown", tblDocketedComments[[#This Row],[Docketed Consumer Comments]])),
    ISNUMBER(SEARCH("inactive", tblDocketedComments[[#This Row],[Docketed Consumer Comments]]))
  ),
  0,
  1
)</f>
        <v>1</v>
      </c>
    </row>
    <row r="716" spans="1:22" hidden="1">
      <c r="A716" s="2">
        <v>45905</v>
      </c>
      <c r="B716" s="1" t="s">
        <v>323</v>
      </c>
      <c r="C716" s="1" t="s">
        <v>705</v>
      </c>
      <c r="D716" s="1" t="s">
        <v>63</v>
      </c>
      <c r="E716" s="1">
        <v>85085</v>
      </c>
      <c r="F716" s="1" t="s">
        <v>2101</v>
      </c>
      <c r="G716" s="1" t="s">
        <v>1723</v>
      </c>
      <c r="H716" s="4" t="s">
        <v>2102</v>
      </c>
      <c r="I716" s="5" t="s">
        <v>36</v>
      </c>
      <c r="J716" s="5" t="s">
        <v>37</v>
      </c>
      <c r="K716" s="5" t="s">
        <v>37</v>
      </c>
      <c r="L716" s="5" t="s">
        <v>38</v>
      </c>
      <c r="M716" s="5" t="s">
        <v>37</v>
      </c>
      <c r="N716" s="5" t="s">
        <v>37</v>
      </c>
      <c r="O716" s="5" t="s">
        <v>38</v>
      </c>
      <c r="P716" s="5" t="s">
        <v>39</v>
      </c>
      <c r="Q716" s="2">
        <v>45966</v>
      </c>
      <c r="V716" s="46">
        <f>IF(
  OR(
    ISNUMBER(SEARCH("unable to locate acct", tblDocketedComments[[#This Row],[Docketed Consumer Comments]])),
    ISNUMBER(SEARCH("unknown", tblDocketedComments[[#This Row],[Docketed Consumer Comments]])),
    ISNUMBER(SEARCH("inactive", tblDocketedComments[[#This Row],[Docketed Consumer Comments]]))
  ),
  0,
  1
)</f>
        <v>1</v>
      </c>
    </row>
    <row r="717" spans="1:22" hidden="1">
      <c r="A717" s="2">
        <v>45905</v>
      </c>
      <c r="B717" s="1" t="s">
        <v>2103</v>
      </c>
      <c r="C717" s="1" t="s">
        <v>2104</v>
      </c>
      <c r="D717" s="1" t="s">
        <v>2105</v>
      </c>
      <c r="E717" s="1">
        <v>85128</v>
      </c>
      <c r="F717" s="1" t="s">
        <v>2106</v>
      </c>
      <c r="G717" s="1" t="s">
        <v>1723</v>
      </c>
      <c r="H717" s="4" t="s">
        <v>2107</v>
      </c>
      <c r="I717" s="5" t="s">
        <v>46</v>
      </c>
      <c r="J717" s="5" t="s">
        <v>37</v>
      </c>
      <c r="K717" s="5" t="s">
        <v>37</v>
      </c>
      <c r="L717" s="5" t="s">
        <v>38</v>
      </c>
      <c r="M717" s="5" t="s">
        <v>37</v>
      </c>
      <c r="N717" s="5" t="s">
        <v>37</v>
      </c>
      <c r="O717" s="5" t="s">
        <v>38</v>
      </c>
      <c r="P717" s="5" t="s">
        <v>39</v>
      </c>
      <c r="Q717" s="2">
        <v>45966</v>
      </c>
      <c r="V717" s="46">
        <f>IF(
  OR(
    ISNUMBER(SEARCH("unable to locate acct", tblDocketedComments[[#This Row],[Docketed Consumer Comments]])),
    ISNUMBER(SEARCH("unknown", tblDocketedComments[[#This Row],[Docketed Consumer Comments]])),
    ISNUMBER(SEARCH("inactive", tblDocketedComments[[#This Row],[Docketed Consumer Comments]]))
  ),
  0,
  1
)</f>
        <v>1</v>
      </c>
    </row>
    <row r="718" spans="1:22" hidden="1">
      <c r="A718" s="2">
        <v>45905</v>
      </c>
      <c r="B718" s="1" t="s">
        <v>2108</v>
      </c>
      <c r="C718" s="1" t="s">
        <v>747</v>
      </c>
      <c r="D718" s="1" t="s">
        <v>2109</v>
      </c>
      <c r="E718" s="1">
        <v>86327</v>
      </c>
      <c r="F718" s="1" t="s">
        <v>31</v>
      </c>
      <c r="G718" s="1" t="s">
        <v>1723</v>
      </c>
      <c r="H718" s="4" t="s">
        <v>2110</v>
      </c>
      <c r="I718" s="5" t="s">
        <v>126</v>
      </c>
      <c r="J718" s="5" t="s">
        <v>37</v>
      </c>
      <c r="K718" s="5" t="s">
        <v>37</v>
      </c>
      <c r="L718" s="5" t="s">
        <v>38</v>
      </c>
      <c r="M718" s="5" t="s">
        <v>37</v>
      </c>
      <c r="N718" s="5" t="s">
        <v>37</v>
      </c>
      <c r="O718" s="5" t="s">
        <v>38</v>
      </c>
      <c r="P718" s="5" t="s">
        <v>39</v>
      </c>
      <c r="Q718" s="2">
        <v>45966</v>
      </c>
      <c r="V718" s="46">
        <f>IF(
  OR(
    ISNUMBER(SEARCH("unable to locate acct", tblDocketedComments[[#This Row],[Docketed Consumer Comments]])),
    ISNUMBER(SEARCH("unknown", tblDocketedComments[[#This Row],[Docketed Consumer Comments]])),
    ISNUMBER(SEARCH("inactive", tblDocketedComments[[#This Row],[Docketed Consumer Comments]]))
  ),
  0,
  1
)</f>
        <v>1</v>
      </c>
    </row>
    <row r="719" spans="1:22" hidden="1">
      <c r="A719" s="2">
        <v>45905</v>
      </c>
      <c r="B719" s="1" t="s">
        <v>1952</v>
      </c>
      <c r="C719" s="1" t="s">
        <v>780</v>
      </c>
      <c r="D719" s="1" t="s">
        <v>112</v>
      </c>
      <c r="E719" s="1">
        <v>85388</v>
      </c>
      <c r="F719" s="1" t="s">
        <v>2111</v>
      </c>
      <c r="G719" s="1" t="s">
        <v>1723</v>
      </c>
      <c r="H719" s="4" t="s">
        <v>2112</v>
      </c>
      <c r="I719" s="5" t="s">
        <v>196</v>
      </c>
      <c r="J719" s="5" t="s">
        <v>37</v>
      </c>
      <c r="K719" s="5" t="s">
        <v>37</v>
      </c>
      <c r="L719" s="7" t="s">
        <v>2113</v>
      </c>
      <c r="M719" s="5" t="s">
        <v>37</v>
      </c>
      <c r="N719" s="5" t="s">
        <v>37</v>
      </c>
      <c r="O719" s="5" t="s">
        <v>38</v>
      </c>
      <c r="P719" s="2">
        <v>45936</v>
      </c>
      <c r="Q719" s="2">
        <v>45966</v>
      </c>
      <c r="R719" s="1" t="s">
        <v>2114</v>
      </c>
      <c r="V719" s="46">
        <f>IF(
  OR(
    ISNUMBER(SEARCH("unable to locate acct", tblDocketedComments[[#This Row],[Docketed Consumer Comments]])),
    ISNUMBER(SEARCH("unknown", tblDocketedComments[[#This Row],[Docketed Consumer Comments]])),
    ISNUMBER(SEARCH("inactive", tblDocketedComments[[#This Row],[Docketed Consumer Comments]]))
  ),
  0,
  1
)</f>
        <v>1</v>
      </c>
    </row>
    <row r="720" spans="1:22" hidden="1">
      <c r="A720" s="2">
        <v>45905</v>
      </c>
      <c r="B720" s="1" t="s">
        <v>2115</v>
      </c>
      <c r="C720" s="1" t="s">
        <v>2116</v>
      </c>
      <c r="D720" s="1" t="s">
        <v>112</v>
      </c>
      <c r="E720" s="1">
        <v>85387</v>
      </c>
      <c r="F720" s="1" t="s">
        <v>2117</v>
      </c>
      <c r="G720" s="1" t="s">
        <v>1723</v>
      </c>
      <c r="H720" s="4" t="s">
        <v>27</v>
      </c>
      <c r="V720" s="46">
        <f>IF(
  OR(
    ISNUMBER(SEARCH("unable to locate acct", tblDocketedComments[[#This Row],[Docketed Consumer Comments]])),
    ISNUMBER(SEARCH("unknown", tblDocketedComments[[#This Row],[Docketed Consumer Comments]])),
    ISNUMBER(SEARCH("inactive", tblDocketedComments[[#This Row],[Docketed Consumer Comments]]))
  ),
  0,
  1
)</f>
        <v>1</v>
      </c>
    </row>
    <row r="721" spans="1:22" hidden="1">
      <c r="A721" s="2">
        <v>45905</v>
      </c>
      <c r="B721" s="1" t="s">
        <v>2118</v>
      </c>
      <c r="C721" s="1" t="s">
        <v>2019</v>
      </c>
      <c r="D721" s="1" t="s">
        <v>539</v>
      </c>
      <c r="E721" s="1">
        <v>85122</v>
      </c>
      <c r="F721" s="1" t="s">
        <v>31</v>
      </c>
      <c r="G721" s="1" t="s">
        <v>1723</v>
      </c>
      <c r="H721" s="4" t="s">
        <v>2119</v>
      </c>
      <c r="I721" s="5" t="s">
        <v>73</v>
      </c>
      <c r="J721" s="5" t="s">
        <v>37</v>
      </c>
      <c r="K721" s="5" t="s">
        <v>37</v>
      </c>
      <c r="L721" s="5" t="s">
        <v>38</v>
      </c>
      <c r="M721" s="5" t="s">
        <v>37</v>
      </c>
      <c r="N721" s="5" t="s">
        <v>37</v>
      </c>
      <c r="O721" s="5" t="s">
        <v>38</v>
      </c>
      <c r="P721" s="5" t="s">
        <v>39</v>
      </c>
      <c r="Q721" s="2">
        <v>45966</v>
      </c>
      <c r="V721" s="46">
        <f>IF(
  OR(
    ISNUMBER(SEARCH("unable to locate acct", tblDocketedComments[[#This Row],[Docketed Consumer Comments]])),
    ISNUMBER(SEARCH("unknown", tblDocketedComments[[#This Row],[Docketed Consumer Comments]])),
    ISNUMBER(SEARCH("inactive", tblDocketedComments[[#This Row],[Docketed Consumer Comments]]))
  ),
  0,
  1
)</f>
        <v>1</v>
      </c>
    </row>
    <row r="722" spans="1:22" hidden="1">
      <c r="A722" s="2">
        <v>45905</v>
      </c>
      <c r="B722" s="1" t="s">
        <v>2120</v>
      </c>
      <c r="C722" s="1" t="s">
        <v>479</v>
      </c>
      <c r="D722" s="1" t="s">
        <v>202</v>
      </c>
      <c r="E722" s="1">
        <v>85383</v>
      </c>
      <c r="F722" s="1" t="s">
        <v>2121</v>
      </c>
      <c r="G722" s="1" t="s">
        <v>1723</v>
      </c>
      <c r="H722" s="4" t="s">
        <v>2122</v>
      </c>
      <c r="I722" s="5" t="s">
        <v>57</v>
      </c>
      <c r="J722" s="5" t="s">
        <v>38</v>
      </c>
      <c r="K722" s="5" t="s">
        <v>37</v>
      </c>
      <c r="L722" s="5" t="s">
        <v>2123</v>
      </c>
      <c r="M722" s="5" t="s">
        <v>37</v>
      </c>
      <c r="N722" s="5" t="s">
        <v>37</v>
      </c>
      <c r="O722" s="5" t="s">
        <v>38</v>
      </c>
      <c r="P722" s="5" t="s">
        <v>39</v>
      </c>
      <c r="Q722" s="2">
        <v>45966</v>
      </c>
      <c r="R722" s="1" t="s">
        <v>2124</v>
      </c>
      <c r="V722" s="46">
        <f>IF(
  OR(
    ISNUMBER(SEARCH("unable to locate acct", tblDocketedComments[[#This Row],[Docketed Consumer Comments]])),
    ISNUMBER(SEARCH("unknown", tblDocketedComments[[#This Row],[Docketed Consumer Comments]])),
    ISNUMBER(SEARCH("inactive", tblDocketedComments[[#This Row],[Docketed Consumer Comments]]))
  ),
  0,
  1
)</f>
        <v>1</v>
      </c>
    </row>
    <row r="723" spans="1:22" hidden="1">
      <c r="A723" s="2">
        <v>45905</v>
      </c>
      <c r="B723" s="1" t="s">
        <v>1361</v>
      </c>
      <c r="C723" s="1" t="s">
        <v>2125</v>
      </c>
      <c r="D723" s="1" t="s">
        <v>24</v>
      </c>
      <c r="E723" s="1">
        <v>85308</v>
      </c>
      <c r="F723" s="1" t="s">
        <v>310</v>
      </c>
      <c r="G723" s="1" t="s">
        <v>1723</v>
      </c>
      <c r="H723" s="4" t="s">
        <v>2126</v>
      </c>
      <c r="I723" s="5" t="s">
        <v>196</v>
      </c>
      <c r="J723" s="5" t="s">
        <v>38</v>
      </c>
      <c r="K723" s="5" t="s">
        <v>37</v>
      </c>
      <c r="L723" s="5" t="s">
        <v>2127</v>
      </c>
      <c r="M723" s="5" t="s">
        <v>37</v>
      </c>
      <c r="N723" s="5" t="s">
        <v>37</v>
      </c>
      <c r="O723" s="5" t="s">
        <v>38</v>
      </c>
      <c r="P723" s="5" t="s">
        <v>39</v>
      </c>
      <c r="Q723" s="2">
        <v>45966</v>
      </c>
      <c r="V723" s="46">
        <f>IF(
  OR(
    ISNUMBER(SEARCH("unable to locate acct", tblDocketedComments[[#This Row],[Docketed Consumer Comments]])),
    ISNUMBER(SEARCH("unknown", tblDocketedComments[[#This Row],[Docketed Consumer Comments]])),
    ISNUMBER(SEARCH("inactive", tblDocketedComments[[#This Row],[Docketed Consumer Comments]]))
  ),
  0,
  1
)</f>
        <v>1</v>
      </c>
    </row>
    <row r="724" spans="1:22" hidden="1">
      <c r="A724" s="2">
        <v>45905</v>
      </c>
      <c r="B724" s="1" t="s">
        <v>49</v>
      </c>
      <c r="C724" s="1" t="s">
        <v>2128</v>
      </c>
      <c r="D724" s="1" t="s">
        <v>539</v>
      </c>
      <c r="E724" s="1">
        <v>85122</v>
      </c>
      <c r="F724" s="1" t="s">
        <v>2129</v>
      </c>
      <c r="G724" s="1" t="s">
        <v>2130</v>
      </c>
      <c r="H724" s="4" t="s">
        <v>2131</v>
      </c>
      <c r="I724" s="5" t="s">
        <v>541</v>
      </c>
      <c r="J724" s="5" t="s">
        <v>37</v>
      </c>
      <c r="K724" s="5" t="s">
        <v>37</v>
      </c>
      <c r="L724" s="5" t="s">
        <v>389</v>
      </c>
      <c r="M724" s="5" t="s">
        <v>37</v>
      </c>
      <c r="N724" s="5" t="s">
        <v>37</v>
      </c>
      <c r="O724" s="5" t="s">
        <v>38</v>
      </c>
      <c r="P724" s="5" t="s">
        <v>39</v>
      </c>
      <c r="Q724" s="2">
        <v>45966</v>
      </c>
      <c r="V724" s="46">
        <f>IF(
  OR(
    ISNUMBER(SEARCH("unable to locate acct", tblDocketedComments[[#This Row],[Docketed Consumer Comments]])),
    ISNUMBER(SEARCH("unknown", tblDocketedComments[[#This Row],[Docketed Consumer Comments]])),
    ISNUMBER(SEARCH("inactive", tblDocketedComments[[#This Row],[Docketed Consumer Comments]]))
  ),
  0,
  1
)</f>
        <v>1</v>
      </c>
    </row>
    <row r="725" spans="1:22" hidden="1">
      <c r="A725" s="2">
        <v>45905</v>
      </c>
      <c r="B725" s="1" t="s">
        <v>2132</v>
      </c>
      <c r="C725" s="1" t="s">
        <v>133</v>
      </c>
      <c r="D725" s="1" t="s">
        <v>125</v>
      </c>
      <c r="E725" s="1">
        <v>85255</v>
      </c>
      <c r="F725" s="1" t="s">
        <v>310</v>
      </c>
      <c r="G725" s="1" t="s">
        <v>2130</v>
      </c>
      <c r="H725" s="4" t="s">
        <v>2133</v>
      </c>
      <c r="I725" s="5" t="s">
        <v>541</v>
      </c>
      <c r="J725" s="5" t="s">
        <v>37</v>
      </c>
      <c r="K725" s="5" t="s">
        <v>37</v>
      </c>
      <c r="L725" s="5" t="s">
        <v>389</v>
      </c>
      <c r="M725" s="5" t="s">
        <v>37</v>
      </c>
      <c r="N725" s="5" t="s">
        <v>37</v>
      </c>
      <c r="O725" s="5" t="s">
        <v>38</v>
      </c>
      <c r="P725" s="5" t="s">
        <v>39</v>
      </c>
      <c r="Q725" s="2">
        <v>45966</v>
      </c>
      <c r="V725" s="46">
        <f>IF(
  OR(
    ISNUMBER(SEARCH("unable to locate acct", tblDocketedComments[[#This Row],[Docketed Consumer Comments]])),
    ISNUMBER(SEARCH("unknown", tblDocketedComments[[#This Row],[Docketed Consumer Comments]])),
    ISNUMBER(SEARCH("inactive", tblDocketedComments[[#This Row],[Docketed Consumer Comments]]))
  ),
  0,
  1
)</f>
        <v>1</v>
      </c>
    </row>
    <row r="726" spans="1:22" hidden="1">
      <c r="A726" s="2">
        <v>45905</v>
      </c>
      <c r="B726" s="1" t="s">
        <v>2134</v>
      </c>
      <c r="C726" s="1" t="s">
        <v>2135</v>
      </c>
      <c r="D726" s="1" t="s">
        <v>240</v>
      </c>
      <c r="E726" s="1">
        <v>85340</v>
      </c>
      <c r="F726" s="1" t="s">
        <v>31</v>
      </c>
      <c r="G726" s="1" t="s">
        <v>2130</v>
      </c>
      <c r="H726" s="4" t="s">
        <v>2136</v>
      </c>
      <c r="I726" s="5" t="s">
        <v>243</v>
      </c>
      <c r="J726" s="5" t="s">
        <v>37</v>
      </c>
      <c r="K726" s="5" t="s">
        <v>37</v>
      </c>
      <c r="L726" s="5" t="s">
        <v>389</v>
      </c>
      <c r="M726" s="5" t="s">
        <v>37</v>
      </c>
      <c r="N726" s="5" t="s">
        <v>37</v>
      </c>
      <c r="O726" s="5" t="s">
        <v>38</v>
      </c>
      <c r="P726" s="5" t="s">
        <v>39</v>
      </c>
      <c r="Q726" s="2">
        <v>45966</v>
      </c>
      <c r="V726" s="46">
        <f>IF(
  OR(
    ISNUMBER(SEARCH("unable to locate acct", tblDocketedComments[[#This Row],[Docketed Consumer Comments]])),
    ISNUMBER(SEARCH("unknown", tblDocketedComments[[#This Row],[Docketed Consumer Comments]])),
    ISNUMBER(SEARCH("inactive", tblDocketedComments[[#This Row],[Docketed Consumer Comments]]))
  ),
  0,
  1
)</f>
        <v>1</v>
      </c>
    </row>
    <row r="727" spans="1:22" hidden="1">
      <c r="A727" s="2">
        <v>45905</v>
      </c>
      <c r="B727" s="1" t="s">
        <v>1876</v>
      </c>
      <c r="C727" s="1" t="s">
        <v>145</v>
      </c>
      <c r="D727" s="1" t="s">
        <v>129</v>
      </c>
      <c r="E727" s="1">
        <v>85296</v>
      </c>
      <c r="F727" s="1" t="s">
        <v>310</v>
      </c>
      <c r="G727" s="1" t="s">
        <v>2130</v>
      </c>
      <c r="H727" s="4" t="s">
        <v>2137</v>
      </c>
      <c r="I727" s="5" t="s">
        <v>126</v>
      </c>
      <c r="J727" s="5" t="s">
        <v>37</v>
      </c>
      <c r="K727" s="5" t="s">
        <v>37</v>
      </c>
      <c r="L727" s="5" t="s">
        <v>38</v>
      </c>
      <c r="M727" s="5" t="s">
        <v>37</v>
      </c>
      <c r="N727" s="5" t="s">
        <v>37</v>
      </c>
      <c r="O727" s="5" t="s">
        <v>38</v>
      </c>
      <c r="P727" s="5" t="s">
        <v>39</v>
      </c>
      <c r="Q727" s="2">
        <v>45966</v>
      </c>
      <c r="V727" s="46">
        <f>IF(
  OR(
    ISNUMBER(SEARCH("unable to locate acct", tblDocketedComments[[#This Row],[Docketed Consumer Comments]])),
    ISNUMBER(SEARCH("unknown", tblDocketedComments[[#This Row],[Docketed Consumer Comments]])),
    ISNUMBER(SEARCH("inactive", tblDocketedComments[[#This Row],[Docketed Consumer Comments]]))
  ),
  0,
  1
)</f>
        <v>1</v>
      </c>
    </row>
    <row r="728" spans="1:22" hidden="1">
      <c r="A728" s="2">
        <v>45905</v>
      </c>
      <c r="B728" s="1" t="s">
        <v>2138</v>
      </c>
      <c r="C728" s="1" t="s">
        <v>2139</v>
      </c>
      <c r="D728" s="1" t="s">
        <v>635</v>
      </c>
      <c r="E728" s="1">
        <v>85281</v>
      </c>
      <c r="F728" s="1" t="s">
        <v>310</v>
      </c>
      <c r="G728" s="1" t="s">
        <v>2130</v>
      </c>
      <c r="H728" s="4" t="s">
        <v>2140</v>
      </c>
      <c r="I728" s="5" t="s">
        <v>196</v>
      </c>
      <c r="J728" s="5" t="s">
        <v>37</v>
      </c>
      <c r="K728" s="5" t="s">
        <v>37</v>
      </c>
      <c r="L728" s="5" t="s">
        <v>38</v>
      </c>
      <c r="M728" s="5" t="s">
        <v>38</v>
      </c>
      <c r="N728" s="13">
        <v>422.52</v>
      </c>
      <c r="O728" s="5" t="s">
        <v>38</v>
      </c>
      <c r="P728" s="5" t="s">
        <v>39</v>
      </c>
      <c r="Q728" s="2">
        <v>45966</v>
      </c>
      <c r="V728" s="46">
        <f>IF(
  OR(
    ISNUMBER(SEARCH("unable to locate acct", tblDocketedComments[[#This Row],[Docketed Consumer Comments]])),
    ISNUMBER(SEARCH("unknown", tblDocketedComments[[#This Row],[Docketed Consumer Comments]])),
    ISNUMBER(SEARCH("inactive", tblDocketedComments[[#This Row],[Docketed Consumer Comments]]))
  ),
  0,
  1
)</f>
        <v>1</v>
      </c>
    </row>
    <row r="729" spans="1:22" hidden="1">
      <c r="A729" s="2">
        <v>45905</v>
      </c>
      <c r="B729" s="1" t="s">
        <v>2141</v>
      </c>
      <c r="C729" s="1" t="s">
        <v>1444</v>
      </c>
      <c r="D729" s="1" t="s">
        <v>370</v>
      </c>
      <c r="E729" s="1">
        <v>85225</v>
      </c>
      <c r="F729" s="1" t="s">
        <v>310</v>
      </c>
      <c r="G729" s="1" t="s">
        <v>2130</v>
      </c>
      <c r="H729" s="4" t="s">
        <v>2142</v>
      </c>
      <c r="I729" s="5" t="s">
        <v>36</v>
      </c>
      <c r="J729" s="5" t="s">
        <v>37</v>
      </c>
      <c r="K729" s="5" t="s">
        <v>37</v>
      </c>
      <c r="L729" s="5" t="s">
        <v>38</v>
      </c>
      <c r="M729" s="5" t="s">
        <v>37</v>
      </c>
      <c r="N729" s="5" t="s">
        <v>37</v>
      </c>
      <c r="O729" s="5" t="s">
        <v>38</v>
      </c>
      <c r="P729" s="5" t="s">
        <v>39</v>
      </c>
      <c r="Q729" s="2">
        <v>45966</v>
      </c>
      <c r="V729" s="46">
        <f>IF(
  OR(
    ISNUMBER(SEARCH("unable to locate acct", tblDocketedComments[[#This Row],[Docketed Consumer Comments]])),
    ISNUMBER(SEARCH("unknown", tblDocketedComments[[#This Row],[Docketed Consumer Comments]])),
    ISNUMBER(SEARCH("inactive", tblDocketedComments[[#This Row],[Docketed Consumer Comments]]))
  ),
  0,
  1
)</f>
        <v>1</v>
      </c>
    </row>
    <row r="730" spans="1:22" hidden="1">
      <c r="A730" s="2">
        <v>45905</v>
      </c>
      <c r="B730" s="1" t="s">
        <v>2143</v>
      </c>
      <c r="C730" s="1" t="s">
        <v>2144</v>
      </c>
      <c r="D730" s="1" t="s">
        <v>63</v>
      </c>
      <c r="E730" s="1">
        <v>85032</v>
      </c>
      <c r="F730" s="1" t="s">
        <v>310</v>
      </c>
      <c r="G730" s="1" t="s">
        <v>2130</v>
      </c>
      <c r="H730" s="4" t="s">
        <v>2145</v>
      </c>
      <c r="I730" s="5" t="s">
        <v>57</v>
      </c>
      <c r="J730" s="5" t="s">
        <v>37</v>
      </c>
      <c r="K730" s="5" t="s">
        <v>37</v>
      </c>
      <c r="L730" s="5" t="s">
        <v>401</v>
      </c>
      <c r="M730" s="5" t="s">
        <v>37</v>
      </c>
      <c r="N730" s="5" t="s">
        <v>37</v>
      </c>
      <c r="O730" s="5" t="s">
        <v>38</v>
      </c>
      <c r="P730" s="5" t="s">
        <v>39</v>
      </c>
      <c r="Q730" s="2">
        <v>45966</v>
      </c>
      <c r="V730" s="46">
        <f>IF(
  OR(
    ISNUMBER(SEARCH("unable to locate acct", tblDocketedComments[[#This Row],[Docketed Consumer Comments]])),
    ISNUMBER(SEARCH("unknown", tblDocketedComments[[#This Row],[Docketed Consumer Comments]])),
    ISNUMBER(SEARCH("inactive", tblDocketedComments[[#This Row],[Docketed Consumer Comments]]))
  ),
  0,
  1
)</f>
        <v>1</v>
      </c>
    </row>
    <row r="731" spans="1:22" hidden="1">
      <c r="A731" s="2">
        <v>45905</v>
      </c>
      <c r="B731" s="1" t="s">
        <v>2146</v>
      </c>
      <c r="C731" s="1" t="s">
        <v>120</v>
      </c>
      <c r="D731" s="1" t="s">
        <v>63</v>
      </c>
      <c r="E731" s="1">
        <v>85032</v>
      </c>
      <c r="F731" s="1" t="s">
        <v>310</v>
      </c>
      <c r="G731" s="1" t="s">
        <v>2130</v>
      </c>
      <c r="H731" s="4" t="s">
        <v>2147</v>
      </c>
      <c r="I731" s="5" t="s">
        <v>196</v>
      </c>
      <c r="J731" s="5" t="s">
        <v>37</v>
      </c>
      <c r="K731" s="5" t="s">
        <v>37</v>
      </c>
      <c r="L731" s="5" t="s">
        <v>2148</v>
      </c>
      <c r="M731" s="5" t="s">
        <v>37</v>
      </c>
      <c r="N731" s="5" t="s">
        <v>37</v>
      </c>
      <c r="O731" s="5" t="s">
        <v>38</v>
      </c>
      <c r="P731" s="5" t="s">
        <v>39</v>
      </c>
      <c r="Q731" s="2">
        <v>45966</v>
      </c>
      <c r="V731" s="46">
        <f>IF(
  OR(
    ISNUMBER(SEARCH("unable to locate acct", tblDocketedComments[[#This Row],[Docketed Consumer Comments]])),
    ISNUMBER(SEARCH("unknown", tblDocketedComments[[#This Row],[Docketed Consumer Comments]])),
    ISNUMBER(SEARCH("inactive", tblDocketedComments[[#This Row],[Docketed Consumer Comments]]))
  ),
  0,
  1
)</f>
        <v>1</v>
      </c>
    </row>
    <row r="732" spans="1:22" hidden="1">
      <c r="A732" s="2">
        <v>45905</v>
      </c>
      <c r="B732" s="1" t="s">
        <v>225</v>
      </c>
      <c r="C732" s="1" t="s">
        <v>2149</v>
      </c>
      <c r="D732" s="1" t="s">
        <v>63</v>
      </c>
      <c r="E732" s="1">
        <v>85006</v>
      </c>
      <c r="F732" s="1" t="s">
        <v>310</v>
      </c>
      <c r="G732" s="1" t="s">
        <v>2130</v>
      </c>
      <c r="H732" s="4" t="s">
        <v>2150</v>
      </c>
      <c r="I732" s="5" t="s">
        <v>73</v>
      </c>
      <c r="J732" s="5" t="s">
        <v>37</v>
      </c>
      <c r="K732" s="5" t="s">
        <v>37</v>
      </c>
      <c r="L732" s="5" t="s">
        <v>38</v>
      </c>
      <c r="M732" s="5" t="s">
        <v>37</v>
      </c>
      <c r="N732" s="5" t="s">
        <v>37</v>
      </c>
      <c r="O732" s="5" t="s">
        <v>38</v>
      </c>
      <c r="P732" s="5" t="s">
        <v>39</v>
      </c>
      <c r="Q732" s="2">
        <v>45966</v>
      </c>
      <c r="V732" s="46">
        <f>IF(
  OR(
    ISNUMBER(SEARCH("unable to locate acct", tblDocketedComments[[#This Row],[Docketed Consumer Comments]])),
    ISNUMBER(SEARCH("unknown", tblDocketedComments[[#This Row],[Docketed Consumer Comments]])),
    ISNUMBER(SEARCH("inactive", tblDocketedComments[[#This Row],[Docketed Consumer Comments]]))
  ),
  0,
  1
)</f>
        <v>1</v>
      </c>
    </row>
    <row r="733" spans="1:22" hidden="1">
      <c r="A733" s="2">
        <v>45905</v>
      </c>
      <c r="B733" s="1" t="s">
        <v>2151</v>
      </c>
      <c r="C733" s="1" t="s">
        <v>2152</v>
      </c>
      <c r="D733" s="1" t="s">
        <v>737</v>
      </c>
      <c r="E733" s="1">
        <v>86326</v>
      </c>
      <c r="F733" s="1" t="s">
        <v>1957</v>
      </c>
      <c r="G733" s="1" t="s">
        <v>2130</v>
      </c>
      <c r="H733" s="4" t="s">
        <v>2153</v>
      </c>
      <c r="I733" s="5" t="s">
        <v>46</v>
      </c>
      <c r="J733" s="5" t="s">
        <v>37</v>
      </c>
      <c r="K733" s="5" t="s">
        <v>37</v>
      </c>
      <c r="L733" s="5" t="s">
        <v>38</v>
      </c>
      <c r="M733" s="5" t="s">
        <v>37</v>
      </c>
      <c r="N733" s="5" t="s">
        <v>37</v>
      </c>
      <c r="O733" s="5" t="s">
        <v>38</v>
      </c>
      <c r="P733" s="5" t="s">
        <v>39</v>
      </c>
      <c r="Q733" s="2">
        <v>45966</v>
      </c>
      <c r="V733" s="46">
        <f>IF(
  OR(
    ISNUMBER(SEARCH("unable to locate acct", tblDocketedComments[[#This Row],[Docketed Consumer Comments]])),
    ISNUMBER(SEARCH("unknown", tblDocketedComments[[#This Row],[Docketed Consumer Comments]])),
    ISNUMBER(SEARCH("inactive", tblDocketedComments[[#This Row],[Docketed Consumer Comments]]))
  ),
  0,
  1
)</f>
        <v>1</v>
      </c>
    </row>
    <row r="734" spans="1:22" hidden="1">
      <c r="A734" s="2">
        <v>45905</v>
      </c>
      <c r="B734" s="1" t="s">
        <v>2154</v>
      </c>
      <c r="C734" s="1" t="s">
        <v>1862</v>
      </c>
      <c r="D734" s="1" t="s">
        <v>63</v>
      </c>
      <c r="E734" s="1">
        <v>85032</v>
      </c>
      <c r="F734" s="1" t="s">
        <v>310</v>
      </c>
      <c r="G734" s="1" t="s">
        <v>2130</v>
      </c>
      <c r="H734" s="4" t="s">
        <v>2155</v>
      </c>
      <c r="I734" s="5" t="s">
        <v>126</v>
      </c>
      <c r="J734" s="5" t="s">
        <v>37</v>
      </c>
      <c r="K734" s="5" t="s">
        <v>37</v>
      </c>
      <c r="L734" s="5" t="s">
        <v>38</v>
      </c>
      <c r="M734" s="5" t="s">
        <v>37</v>
      </c>
      <c r="N734" s="5" t="s">
        <v>37</v>
      </c>
      <c r="O734" s="5" t="s">
        <v>38</v>
      </c>
      <c r="P734" s="5" t="s">
        <v>39</v>
      </c>
      <c r="Q734" s="2">
        <v>45966</v>
      </c>
      <c r="V734" s="46">
        <f>IF(
  OR(
    ISNUMBER(SEARCH("unable to locate acct", tblDocketedComments[[#This Row],[Docketed Consumer Comments]])),
    ISNUMBER(SEARCH("unknown", tblDocketedComments[[#This Row],[Docketed Consumer Comments]])),
    ISNUMBER(SEARCH("inactive", tblDocketedComments[[#This Row],[Docketed Consumer Comments]]))
  ),
  0,
  1
)</f>
        <v>1</v>
      </c>
    </row>
    <row r="735" spans="1:22" hidden="1">
      <c r="A735" s="2">
        <v>45905</v>
      </c>
      <c r="B735" s="1" t="s">
        <v>2156</v>
      </c>
      <c r="C735" s="1" t="s">
        <v>411</v>
      </c>
      <c r="D735" s="1" t="s">
        <v>63</v>
      </c>
      <c r="E735" s="1">
        <v>85032</v>
      </c>
      <c r="F735" s="1" t="s">
        <v>310</v>
      </c>
      <c r="G735" s="1" t="s">
        <v>2130</v>
      </c>
      <c r="H735" s="4" t="s">
        <v>2157</v>
      </c>
      <c r="I735" s="5" t="s">
        <v>36</v>
      </c>
      <c r="J735" s="5" t="s">
        <v>37</v>
      </c>
      <c r="K735" s="5" t="s">
        <v>37</v>
      </c>
      <c r="L735" s="5" t="s">
        <v>38</v>
      </c>
      <c r="M735" s="5" t="s">
        <v>37</v>
      </c>
      <c r="N735" s="5" t="s">
        <v>37</v>
      </c>
      <c r="O735" s="5" t="s">
        <v>38</v>
      </c>
      <c r="P735" s="5" t="s">
        <v>39</v>
      </c>
      <c r="Q735" s="2">
        <v>45966</v>
      </c>
      <c r="V735" s="46">
        <f>IF(
  OR(
    ISNUMBER(SEARCH("unable to locate acct", tblDocketedComments[[#This Row],[Docketed Consumer Comments]])),
    ISNUMBER(SEARCH("unknown", tblDocketedComments[[#This Row],[Docketed Consumer Comments]])),
    ISNUMBER(SEARCH("inactive", tblDocketedComments[[#This Row],[Docketed Consumer Comments]]))
  ),
  0,
  1
)</f>
        <v>1</v>
      </c>
    </row>
    <row r="736" spans="1:22" hidden="1">
      <c r="A736" s="2">
        <v>45905</v>
      </c>
      <c r="B736" s="1" t="s">
        <v>1839</v>
      </c>
      <c r="C736" s="1" t="s">
        <v>2158</v>
      </c>
      <c r="D736" s="1" t="s">
        <v>63</v>
      </c>
      <c r="E736" s="1">
        <v>85024</v>
      </c>
      <c r="F736" s="1" t="s">
        <v>310</v>
      </c>
      <c r="G736" s="1" t="s">
        <v>2130</v>
      </c>
      <c r="H736" s="4" t="s">
        <v>2159</v>
      </c>
      <c r="I736" s="5" t="s">
        <v>36</v>
      </c>
      <c r="J736" s="5" t="s">
        <v>37</v>
      </c>
      <c r="K736" s="5" t="s">
        <v>37</v>
      </c>
      <c r="L736" s="5" t="s">
        <v>38</v>
      </c>
      <c r="M736" s="5" t="s">
        <v>37</v>
      </c>
      <c r="N736" s="5" t="s">
        <v>37</v>
      </c>
      <c r="O736" s="5" t="s">
        <v>38</v>
      </c>
      <c r="P736" s="5" t="s">
        <v>39</v>
      </c>
      <c r="Q736" s="2">
        <v>45966</v>
      </c>
      <c r="V736" s="46">
        <f>IF(
  OR(
    ISNUMBER(SEARCH("unable to locate acct", tblDocketedComments[[#This Row],[Docketed Consumer Comments]])),
    ISNUMBER(SEARCH("unknown", tblDocketedComments[[#This Row],[Docketed Consumer Comments]])),
    ISNUMBER(SEARCH("inactive", tblDocketedComments[[#This Row],[Docketed Consumer Comments]]))
  ),
  0,
  1
)</f>
        <v>1</v>
      </c>
    </row>
    <row r="737" spans="1:22" hidden="1">
      <c r="A737" s="2">
        <v>45905</v>
      </c>
      <c r="B737" s="1" t="s">
        <v>2160</v>
      </c>
      <c r="C737" s="1" t="s">
        <v>2161</v>
      </c>
      <c r="D737" s="1" t="s">
        <v>63</v>
      </c>
      <c r="E737" s="1">
        <v>85053</v>
      </c>
      <c r="F737" s="1" t="s">
        <v>310</v>
      </c>
      <c r="G737" s="1" t="s">
        <v>2130</v>
      </c>
      <c r="H737" s="4" t="s">
        <v>27</v>
      </c>
      <c r="V737" s="46">
        <f>IF(
  OR(
    ISNUMBER(SEARCH("unable to locate acct", tblDocketedComments[[#This Row],[Docketed Consumer Comments]])),
    ISNUMBER(SEARCH("unknown", tblDocketedComments[[#This Row],[Docketed Consumer Comments]])),
    ISNUMBER(SEARCH("inactive", tblDocketedComments[[#This Row],[Docketed Consumer Comments]]))
  ),
  0,
  1
)</f>
        <v>1</v>
      </c>
    </row>
    <row r="738" spans="1:22" hidden="1">
      <c r="A738" s="2">
        <v>45905</v>
      </c>
      <c r="B738" s="1" t="s">
        <v>2162</v>
      </c>
      <c r="C738" s="1" t="s">
        <v>705</v>
      </c>
      <c r="D738" s="1" t="s">
        <v>63</v>
      </c>
      <c r="E738" s="1">
        <v>85020</v>
      </c>
      <c r="F738" s="1" t="s">
        <v>2163</v>
      </c>
      <c r="G738" s="1" t="s">
        <v>2130</v>
      </c>
      <c r="H738" s="19" t="s">
        <v>2164</v>
      </c>
      <c r="I738" s="5" t="s">
        <v>36</v>
      </c>
      <c r="J738" s="5" t="s">
        <v>37</v>
      </c>
      <c r="K738" s="5" t="s">
        <v>37</v>
      </c>
      <c r="L738" s="5" t="s">
        <v>38</v>
      </c>
      <c r="M738" s="5" t="s">
        <v>37</v>
      </c>
      <c r="N738" s="5" t="s">
        <v>37</v>
      </c>
      <c r="O738" s="5" t="s">
        <v>38</v>
      </c>
      <c r="P738" s="5" t="s">
        <v>39</v>
      </c>
      <c r="Q738" s="2">
        <v>45966</v>
      </c>
      <c r="V738" s="46">
        <f>IF(
  OR(
    ISNUMBER(SEARCH("unable to locate acct", tblDocketedComments[[#This Row],[Docketed Consumer Comments]])),
    ISNUMBER(SEARCH("unknown", tblDocketedComments[[#This Row],[Docketed Consumer Comments]])),
    ISNUMBER(SEARCH("inactive", tblDocketedComments[[#This Row],[Docketed Consumer Comments]]))
  ),
  0,
  1
)</f>
        <v>1</v>
      </c>
    </row>
    <row r="739" spans="1:22" hidden="1">
      <c r="A739" s="2">
        <v>45905</v>
      </c>
      <c r="B739" s="1" t="s">
        <v>2165</v>
      </c>
      <c r="C739" s="1" t="s">
        <v>835</v>
      </c>
      <c r="D739" s="1" t="s">
        <v>63</v>
      </c>
      <c r="E739" s="1">
        <v>85003</v>
      </c>
      <c r="F739" s="1" t="s">
        <v>2166</v>
      </c>
      <c r="G739" s="1" t="s">
        <v>2130</v>
      </c>
      <c r="H739" s="4" t="s">
        <v>2167</v>
      </c>
      <c r="I739" s="5" t="s">
        <v>46</v>
      </c>
      <c r="J739" s="5" t="s">
        <v>37</v>
      </c>
      <c r="K739" s="5" t="s">
        <v>37</v>
      </c>
      <c r="L739" s="5" t="s">
        <v>38</v>
      </c>
      <c r="M739" s="5" t="s">
        <v>37</v>
      </c>
      <c r="N739" s="5" t="s">
        <v>37</v>
      </c>
      <c r="O739" s="5" t="s">
        <v>38</v>
      </c>
      <c r="P739" s="5" t="s">
        <v>39</v>
      </c>
      <c r="Q739" s="2">
        <v>45966</v>
      </c>
      <c r="V739" s="46">
        <f>IF(
  OR(
    ISNUMBER(SEARCH("unable to locate acct", tblDocketedComments[[#This Row],[Docketed Consumer Comments]])),
    ISNUMBER(SEARCH("unknown", tblDocketedComments[[#This Row],[Docketed Consumer Comments]])),
    ISNUMBER(SEARCH("inactive", tblDocketedComments[[#This Row],[Docketed Consumer Comments]]))
  ),
  0,
  1
)</f>
        <v>1</v>
      </c>
    </row>
    <row r="740" spans="1:22" hidden="1">
      <c r="A740" s="2">
        <v>45905</v>
      </c>
      <c r="B740" s="1" t="s">
        <v>2168</v>
      </c>
      <c r="C740" s="1" t="s">
        <v>2169</v>
      </c>
      <c r="D740" s="1" t="s">
        <v>68</v>
      </c>
      <c r="E740" s="1">
        <v>85331</v>
      </c>
      <c r="F740" s="1" t="s">
        <v>310</v>
      </c>
      <c r="G740" s="1" t="s">
        <v>2130</v>
      </c>
      <c r="H740" s="4" t="s">
        <v>2170</v>
      </c>
      <c r="I740" s="5" t="s">
        <v>196</v>
      </c>
      <c r="J740" s="5" t="s">
        <v>37</v>
      </c>
      <c r="K740" s="5" t="s">
        <v>37</v>
      </c>
      <c r="L740" s="7" t="s">
        <v>2171</v>
      </c>
      <c r="M740" s="5" t="s">
        <v>37</v>
      </c>
      <c r="N740" s="5" t="s">
        <v>37</v>
      </c>
      <c r="O740" s="5" t="s">
        <v>38</v>
      </c>
      <c r="P740" s="2">
        <v>45971</v>
      </c>
      <c r="Q740" s="2">
        <v>45966</v>
      </c>
      <c r="R740" s="1" t="s">
        <v>2172</v>
      </c>
      <c r="V740" s="46">
        <f>IF(
  OR(
    ISNUMBER(SEARCH("unable to locate acct", tblDocketedComments[[#This Row],[Docketed Consumer Comments]])),
    ISNUMBER(SEARCH("unknown", tblDocketedComments[[#This Row],[Docketed Consumer Comments]])),
    ISNUMBER(SEARCH("inactive", tblDocketedComments[[#This Row],[Docketed Consumer Comments]]))
  ),
  0,
  1
)</f>
        <v>1</v>
      </c>
    </row>
    <row r="741" spans="1:22" hidden="1">
      <c r="A741" s="2">
        <v>45905</v>
      </c>
      <c r="B741" s="1" t="s">
        <v>2173</v>
      </c>
      <c r="C741" s="1" t="s">
        <v>471</v>
      </c>
      <c r="D741" s="1" t="s">
        <v>24</v>
      </c>
      <c r="E741" s="1">
        <v>85308</v>
      </c>
      <c r="F741" s="1" t="s">
        <v>310</v>
      </c>
      <c r="G741" s="1" t="s">
        <v>2130</v>
      </c>
      <c r="H741" s="4" t="s">
        <v>2174</v>
      </c>
      <c r="I741" s="5" t="s">
        <v>36</v>
      </c>
      <c r="J741" s="5" t="s">
        <v>37</v>
      </c>
      <c r="K741" s="5" t="s">
        <v>37</v>
      </c>
      <c r="L741" s="5" t="s">
        <v>38</v>
      </c>
      <c r="M741" s="5" t="s">
        <v>37</v>
      </c>
      <c r="N741" s="5" t="s">
        <v>37</v>
      </c>
      <c r="O741" s="5" t="s">
        <v>38</v>
      </c>
      <c r="P741" s="5" t="s">
        <v>39</v>
      </c>
      <c r="Q741" s="2">
        <v>45966</v>
      </c>
      <c r="V741" s="46">
        <f>IF(
  OR(
    ISNUMBER(SEARCH("unable to locate acct", tblDocketedComments[[#This Row],[Docketed Consumer Comments]])),
    ISNUMBER(SEARCH("unknown", tblDocketedComments[[#This Row],[Docketed Consumer Comments]])),
    ISNUMBER(SEARCH("inactive", tblDocketedComments[[#This Row],[Docketed Consumer Comments]]))
  ),
  0,
  1
)</f>
        <v>1</v>
      </c>
    </row>
    <row r="742" spans="1:22" hidden="1">
      <c r="A742" s="2">
        <v>45905</v>
      </c>
      <c r="B742" s="1" t="s">
        <v>2175</v>
      </c>
      <c r="C742" s="1" t="s">
        <v>2176</v>
      </c>
      <c r="D742" s="1" t="s">
        <v>112</v>
      </c>
      <c r="E742" s="1">
        <v>85388</v>
      </c>
      <c r="F742" s="1" t="s">
        <v>310</v>
      </c>
      <c r="G742" s="1" t="s">
        <v>2130</v>
      </c>
      <c r="H742" s="4" t="s">
        <v>27</v>
      </c>
      <c r="V742" s="46">
        <f>IF(
  OR(
    ISNUMBER(SEARCH("unable to locate acct", tblDocketedComments[[#This Row],[Docketed Consumer Comments]])),
    ISNUMBER(SEARCH("unknown", tblDocketedComments[[#This Row],[Docketed Consumer Comments]])),
    ISNUMBER(SEARCH("inactive", tblDocketedComments[[#This Row],[Docketed Consumer Comments]]))
  ),
  0,
  1
)</f>
        <v>1</v>
      </c>
    </row>
    <row r="743" spans="1:22" hidden="1">
      <c r="A743" s="2">
        <v>45905</v>
      </c>
      <c r="B743" s="1" t="s">
        <v>2177</v>
      </c>
      <c r="C743" s="1" t="s">
        <v>1815</v>
      </c>
      <c r="D743" s="1" t="s">
        <v>112</v>
      </c>
      <c r="E743" s="1">
        <v>85388</v>
      </c>
      <c r="F743" s="1" t="s">
        <v>310</v>
      </c>
      <c r="G743" s="1" t="s">
        <v>2130</v>
      </c>
      <c r="H743" s="4" t="s">
        <v>90</v>
      </c>
      <c r="V743" s="46">
        <f>IF(
  OR(
    ISNUMBER(SEARCH("unable to locate acct", tblDocketedComments[[#This Row],[Docketed Consumer Comments]])),
    ISNUMBER(SEARCH("unknown", tblDocketedComments[[#This Row],[Docketed Consumer Comments]])),
    ISNUMBER(SEARCH("inactive", tblDocketedComments[[#This Row],[Docketed Consumer Comments]]))
  ),
  0,
  1
)</f>
        <v>1</v>
      </c>
    </row>
    <row r="744" spans="1:22" hidden="1">
      <c r="A744" s="2">
        <v>45905</v>
      </c>
      <c r="B744" s="1" t="s">
        <v>2178</v>
      </c>
      <c r="C744" s="1" t="s">
        <v>2179</v>
      </c>
      <c r="D744" s="1" t="s">
        <v>169</v>
      </c>
      <c r="E744" s="1">
        <v>85338</v>
      </c>
      <c r="F744" s="1" t="s">
        <v>310</v>
      </c>
      <c r="G744" s="1" t="s">
        <v>2130</v>
      </c>
      <c r="H744" s="4" t="s">
        <v>2180</v>
      </c>
      <c r="I744" s="5" t="s">
        <v>126</v>
      </c>
      <c r="J744" s="5" t="s">
        <v>37</v>
      </c>
      <c r="K744" s="5" t="s">
        <v>37</v>
      </c>
      <c r="L744" s="5" t="s">
        <v>38</v>
      </c>
      <c r="M744" s="5" t="s">
        <v>37</v>
      </c>
      <c r="N744" s="5" t="s">
        <v>37</v>
      </c>
      <c r="O744" s="5" t="s">
        <v>38</v>
      </c>
      <c r="P744" s="5" t="s">
        <v>39</v>
      </c>
      <c r="Q744" s="2">
        <v>45966</v>
      </c>
      <c r="V744" s="46">
        <f>IF(
  OR(
    ISNUMBER(SEARCH("unable to locate acct", tblDocketedComments[[#This Row],[Docketed Consumer Comments]])),
    ISNUMBER(SEARCH("unknown", tblDocketedComments[[#This Row],[Docketed Consumer Comments]])),
    ISNUMBER(SEARCH("inactive", tblDocketedComments[[#This Row],[Docketed Consumer Comments]]))
  ),
  0,
  1
)</f>
        <v>1</v>
      </c>
    </row>
    <row r="745" spans="1:22" hidden="1">
      <c r="A745" s="2">
        <v>45905</v>
      </c>
      <c r="B745" s="1" t="s">
        <v>2181</v>
      </c>
      <c r="C745" s="1" t="s">
        <v>75</v>
      </c>
      <c r="D745" s="1" t="s">
        <v>63</v>
      </c>
      <c r="E745" s="1">
        <v>85050</v>
      </c>
      <c r="F745" s="1" t="s">
        <v>310</v>
      </c>
      <c r="G745" s="1" t="s">
        <v>2130</v>
      </c>
      <c r="H745" s="4" t="s">
        <v>2182</v>
      </c>
      <c r="I745" s="5" t="s">
        <v>36</v>
      </c>
      <c r="J745" s="5" t="s">
        <v>37</v>
      </c>
      <c r="K745" s="5" t="s">
        <v>37</v>
      </c>
      <c r="L745" s="5" t="s">
        <v>38</v>
      </c>
      <c r="M745" s="5" t="s">
        <v>37</v>
      </c>
      <c r="N745" s="5" t="s">
        <v>37</v>
      </c>
      <c r="O745" s="5" t="s">
        <v>38</v>
      </c>
      <c r="P745" s="5" t="s">
        <v>39</v>
      </c>
      <c r="Q745" s="2">
        <v>45966</v>
      </c>
      <c r="V745" s="46">
        <f>IF(
  OR(
    ISNUMBER(SEARCH("unable to locate acct", tblDocketedComments[[#This Row],[Docketed Consumer Comments]])),
    ISNUMBER(SEARCH("unknown", tblDocketedComments[[#This Row],[Docketed Consumer Comments]])),
    ISNUMBER(SEARCH("inactive", tblDocketedComments[[#This Row],[Docketed Consumer Comments]]))
  ),
  0,
  1
)</f>
        <v>1</v>
      </c>
    </row>
    <row r="746" spans="1:22" hidden="1">
      <c r="A746" s="2">
        <v>45905</v>
      </c>
      <c r="B746" s="1" t="s">
        <v>2183</v>
      </c>
      <c r="C746" s="1" t="s">
        <v>2184</v>
      </c>
      <c r="D746" s="1" t="s">
        <v>125</v>
      </c>
      <c r="E746" s="1">
        <v>85260</v>
      </c>
      <c r="F746" s="1" t="s">
        <v>2185</v>
      </c>
      <c r="G746" s="1" t="s">
        <v>2130</v>
      </c>
      <c r="H746" s="4" t="s">
        <v>2186</v>
      </c>
      <c r="I746" s="5" t="s">
        <v>36</v>
      </c>
      <c r="J746" s="5" t="s">
        <v>37</v>
      </c>
      <c r="K746" s="5" t="s">
        <v>37</v>
      </c>
      <c r="L746" s="5" t="s">
        <v>38</v>
      </c>
      <c r="M746" s="5" t="s">
        <v>37</v>
      </c>
      <c r="N746" s="5" t="s">
        <v>37</v>
      </c>
      <c r="O746" s="5" t="s">
        <v>38</v>
      </c>
      <c r="P746" s="5" t="s">
        <v>39</v>
      </c>
      <c r="Q746" s="2">
        <v>45966</v>
      </c>
      <c r="V746" s="46">
        <f>IF(
  OR(
    ISNUMBER(SEARCH("unable to locate acct", tblDocketedComments[[#This Row],[Docketed Consumer Comments]])),
    ISNUMBER(SEARCH("unknown", tblDocketedComments[[#This Row],[Docketed Consumer Comments]])),
    ISNUMBER(SEARCH("inactive", tblDocketedComments[[#This Row],[Docketed Consumer Comments]]))
  ),
  0,
  1
)</f>
        <v>1</v>
      </c>
    </row>
    <row r="747" spans="1:22" hidden="1">
      <c r="A747" s="2">
        <v>45905</v>
      </c>
      <c r="B747" s="1" t="s">
        <v>2187</v>
      </c>
      <c r="C747" s="1" t="s">
        <v>2188</v>
      </c>
      <c r="D747" s="1" t="s">
        <v>63</v>
      </c>
      <c r="E747" s="1">
        <v>85024</v>
      </c>
      <c r="F747" s="1" t="s">
        <v>2189</v>
      </c>
      <c r="G747" s="1" t="s">
        <v>2130</v>
      </c>
      <c r="H747" s="4" t="s">
        <v>2190</v>
      </c>
      <c r="I747" s="5" t="s">
        <v>196</v>
      </c>
      <c r="J747" s="5" t="s">
        <v>37</v>
      </c>
      <c r="K747" s="5" t="s">
        <v>37</v>
      </c>
      <c r="L747" s="5" t="s">
        <v>2191</v>
      </c>
      <c r="M747" s="5" t="s">
        <v>38</v>
      </c>
      <c r="N747" s="13">
        <v>470.06</v>
      </c>
      <c r="O747" s="5" t="s">
        <v>38</v>
      </c>
      <c r="P747" s="5" t="s">
        <v>39</v>
      </c>
      <c r="Q747" s="2">
        <v>45966</v>
      </c>
      <c r="V747" s="46">
        <f>IF(
  OR(
    ISNUMBER(SEARCH("unable to locate acct", tblDocketedComments[[#This Row],[Docketed Consumer Comments]])),
    ISNUMBER(SEARCH("unknown", tblDocketedComments[[#This Row],[Docketed Consumer Comments]])),
    ISNUMBER(SEARCH("inactive", tblDocketedComments[[#This Row],[Docketed Consumer Comments]]))
  ),
  0,
  1
)</f>
        <v>1</v>
      </c>
    </row>
    <row r="748" spans="1:22" hidden="1">
      <c r="A748" s="2">
        <v>45905</v>
      </c>
      <c r="B748" s="1" t="s">
        <v>2192</v>
      </c>
      <c r="C748" s="1" t="s">
        <v>835</v>
      </c>
      <c r="D748" s="1" t="s">
        <v>63</v>
      </c>
      <c r="E748" s="1">
        <v>85016</v>
      </c>
      <c r="F748" s="1" t="s">
        <v>310</v>
      </c>
      <c r="G748" s="1" t="s">
        <v>2130</v>
      </c>
      <c r="H748" s="4" t="s">
        <v>2193</v>
      </c>
      <c r="I748" s="5" t="s">
        <v>126</v>
      </c>
      <c r="J748" s="5" t="s">
        <v>37</v>
      </c>
      <c r="K748" s="5" t="s">
        <v>37</v>
      </c>
      <c r="L748" s="5" t="s">
        <v>38</v>
      </c>
      <c r="M748" s="5" t="s">
        <v>37</v>
      </c>
      <c r="N748" s="5" t="s">
        <v>37</v>
      </c>
      <c r="O748" s="5" t="s">
        <v>38</v>
      </c>
      <c r="P748" s="5" t="s">
        <v>39</v>
      </c>
      <c r="Q748" s="2">
        <v>45966</v>
      </c>
      <c r="V748" s="46">
        <f>IF(
  OR(
    ISNUMBER(SEARCH("unable to locate acct", tblDocketedComments[[#This Row],[Docketed Consumer Comments]])),
    ISNUMBER(SEARCH("unknown", tblDocketedComments[[#This Row],[Docketed Consumer Comments]])),
    ISNUMBER(SEARCH("inactive", tblDocketedComments[[#This Row],[Docketed Consumer Comments]]))
  ),
  0,
  1
)</f>
        <v>1</v>
      </c>
    </row>
    <row r="749" spans="1:22" hidden="1">
      <c r="A749" s="2">
        <v>45905</v>
      </c>
      <c r="B749" s="1" t="s">
        <v>2194</v>
      </c>
      <c r="C749" s="1" t="s">
        <v>206</v>
      </c>
      <c r="D749" s="1" t="s">
        <v>125</v>
      </c>
      <c r="E749" s="1">
        <v>85258</v>
      </c>
      <c r="F749" s="1" t="s">
        <v>2195</v>
      </c>
      <c r="G749" s="1" t="s">
        <v>2130</v>
      </c>
      <c r="H749" s="4" t="s">
        <v>2196</v>
      </c>
      <c r="I749" s="5" t="s">
        <v>36</v>
      </c>
      <c r="J749" s="5" t="s">
        <v>37</v>
      </c>
      <c r="K749" s="5" t="s">
        <v>37</v>
      </c>
      <c r="L749" s="5" t="s">
        <v>2197</v>
      </c>
      <c r="M749" s="5" t="s">
        <v>37</v>
      </c>
      <c r="N749" s="5" t="s">
        <v>37</v>
      </c>
      <c r="O749" s="5" t="s">
        <v>38</v>
      </c>
      <c r="P749" s="5" t="s">
        <v>39</v>
      </c>
      <c r="Q749" s="2">
        <v>45966</v>
      </c>
      <c r="R749" s="1" t="s">
        <v>1421</v>
      </c>
      <c r="V749" s="46">
        <f>IF(
  OR(
    ISNUMBER(SEARCH("unable to locate acct", tblDocketedComments[[#This Row],[Docketed Consumer Comments]])),
    ISNUMBER(SEARCH("unknown", tblDocketedComments[[#This Row],[Docketed Consumer Comments]])),
    ISNUMBER(SEARCH("inactive", tblDocketedComments[[#This Row],[Docketed Consumer Comments]]))
  ),
  0,
  1
)</f>
        <v>1</v>
      </c>
    </row>
    <row r="750" spans="1:22" hidden="1">
      <c r="A750" s="2">
        <v>45905</v>
      </c>
      <c r="B750" s="1" t="s">
        <v>2198</v>
      </c>
      <c r="C750" s="1" t="s">
        <v>705</v>
      </c>
      <c r="D750" s="1" t="s">
        <v>63</v>
      </c>
      <c r="E750" s="1">
        <v>85022</v>
      </c>
      <c r="F750" s="1" t="s">
        <v>310</v>
      </c>
      <c r="G750" s="1" t="s">
        <v>2130</v>
      </c>
      <c r="H750" s="4" t="s">
        <v>2199</v>
      </c>
      <c r="I750" s="5" t="s">
        <v>73</v>
      </c>
      <c r="J750" s="5" t="s">
        <v>37</v>
      </c>
      <c r="K750" s="5" t="s">
        <v>37</v>
      </c>
      <c r="L750" s="5" t="s">
        <v>38</v>
      </c>
      <c r="M750" s="5" t="s">
        <v>37</v>
      </c>
      <c r="N750" s="5" t="s">
        <v>37</v>
      </c>
      <c r="O750" s="5" t="s">
        <v>38</v>
      </c>
      <c r="P750" s="5" t="s">
        <v>39</v>
      </c>
      <c r="Q750" s="2">
        <v>45966</v>
      </c>
      <c r="V750" s="46">
        <f>IF(
  OR(
    ISNUMBER(SEARCH("unable to locate acct", tblDocketedComments[[#This Row],[Docketed Consumer Comments]])),
    ISNUMBER(SEARCH("unknown", tblDocketedComments[[#This Row],[Docketed Consumer Comments]])),
    ISNUMBER(SEARCH("inactive", tblDocketedComments[[#This Row],[Docketed Consumer Comments]]))
  ),
  0,
  1
)</f>
        <v>1</v>
      </c>
    </row>
    <row r="751" spans="1:22" hidden="1">
      <c r="A751" s="2">
        <v>45905</v>
      </c>
      <c r="B751" s="1" t="s">
        <v>2200</v>
      </c>
      <c r="C751" s="1" t="s">
        <v>2201</v>
      </c>
      <c r="D751" s="1" t="s">
        <v>24</v>
      </c>
      <c r="E751" s="1">
        <v>85308</v>
      </c>
      <c r="F751" s="1" t="s">
        <v>310</v>
      </c>
      <c r="G751" s="1" t="s">
        <v>2130</v>
      </c>
      <c r="H751" s="4" t="s">
        <v>2202</v>
      </c>
      <c r="I751" s="5" t="s">
        <v>36</v>
      </c>
      <c r="J751" s="5" t="s">
        <v>37</v>
      </c>
      <c r="K751" s="5" t="s">
        <v>37</v>
      </c>
      <c r="L751" s="5" t="s">
        <v>38</v>
      </c>
      <c r="M751" s="5" t="s">
        <v>37</v>
      </c>
      <c r="N751" s="5" t="s">
        <v>37</v>
      </c>
      <c r="O751" s="5" t="s">
        <v>38</v>
      </c>
      <c r="P751" s="5" t="s">
        <v>39</v>
      </c>
      <c r="Q751" s="2">
        <v>45966</v>
      </c>
      <c r="V751" s="46">
        <f>IF(
  OR(
    ISNUMBER(SEARCH("unable to locate acct", tblDocketedComments[[#This Row],[Docketed Consumer Comments]])),
    ISNUMBER(SEARCH("unknown", tblDocketedComments[[#This Row],[Docketed Consumer Comments]])),
    ISNUMBER(SEARCH("inactive", tblDocketedComments[[#This Row],[Docketed Consumer Comments]]))
  ),
  0,
  1
)</f>
        <v>1</v>
      </c>
    </row>
    <row r="752" spans="1:22" hidden="1">
      <c r="A752" s="2">
        <v>45905</v>
      </c>
      <c r="B752" s="1" t="s">
        <v>2203</v>
      </c>
      <c r="C752" s="1" t="s">
        <v>329</v>
      </c>
      <c r="D752" s="1" t="s">
        <v>174</v>
      </c>
      <c r="E752" s="1">
        <v>85396</v>
      </c>
      <c r="F752" s="1" t="s">
        <v>310</v>
      </c>
      <c r="G752" s="1" t="s">
        <v>2130</v>
      </c>
      <c r="H752" s="4" t="s">
        <v>2204</v>
      </c>
      <c r="I752" s="5" t="s">
        <v>36</v>
      </c>
      <c r="J752" s="5" t="s">
        <v>37</v>
      </c>
      <c r="K752" s="5" t="s">
        <v>37</v>
      </c>
      <c r="L752" s="5" t="s">
        <v>38</v>
      </c>
      <c r="M752" s="5" t="s">
        <v>37</v>
      </c>
      <c r="N752" s="5" t="s">
        <v>37</v>
      </c>
      <c r="O752" s="5" t="s">
        <v>38</v>
      </c>
      <c r="P752" s="5" t="s">
        <v>39</v>
      </c>
      <c r="Q752" s="2">
        <v>45966</v>
      </c>
      <c r="V752" s="46">
        <f>IF(
  OR(
    ISNUMBER(SEARCH("unable to locate acct", tblDocketedComments[[#This Row],[Docketed Consumer Comments]])),
    ISNUMBER(SEARCH("unknown", tblDocketedComments[[#This Row],[Docketed Consumer Comments]])),
    ISNUMBER(SEARCH("inactive", tblDocketedComments[[#This Row],[Docketed Consumer Comments]]))
  ),
  0,
  1
)</f>
        <v>1</v>
      </c>
    </row>
    <row r="753" spans="1:22" hidden="1">
      <c r="A753" s="2">
        <v>45905</v>
      </c>
      <c r="B753" s="1" t="s">
        <v>2205</v>
      </c>
      <c r="C753" s="1" t="s">
        <v>965</v>
      </c>
      <c r="D753" s="1" t="s">
        <v>1693</v>
      </c>
      <c r="E753" s="1">
        <v>85351</v>
      </c>
      <c r="F753" s="1" t="s">
        <v>2206</v>
      </c>
      <c r="G753" s="1" t="s">
        <v>2130</v>
      </c>
      <c r="H753" s="19" t="s">
        <v>2207</v>
      </c>
      <c r="I753" s="5" t="s">
        <v>541</v>
      </c>
      <c r="J753" s="5" t="s">
        <v>37</v>
      </c>
      <c r="K753" s="5" t="s">
        <v>37</v>
      </c>
      <c r="L753" s="5" t="s">
        <v>389</v>
      </c>
      <c r="M753" s="5" t="s">
        <v>37</v>
      </c>
      <c r="N753" s="5" t="s">
        <v>37</v>
      </c>
      <c r="O753" s="5" t="s">
        <v>38</v>
      </c>
      <c r="P753" s="5" t="s">
        <v>39</v>
      </c>
      <c r="Q753" s="2">
        <v>45966</v>
      </c>
      <c r="V753" s="46">
        <f>IF(
  OR(
    ISNUMBER(SEARCH("unable to locate acct", tblDocketedComments[[#This Row],[Docketed Consumer Comments]])),
    ISNUMBER(SEARCH("unknown", tblDocketedComments[[#This Row],[Docketed Consumer Comments]])),
    ISNUMBER(SEARCH("inactive", tblDocketedComments[[#This Row],[Docketed Consumer Comments]]))
  ),
  0,
  1
)</f>
        <v>1</v>
      </c>
    </row>
    <row r="754" spans="1:22" hidden="1">
      <c r="A754" s="2">
        <v>45905</v>
      </c>
      <c r="B754" s="1" t="s">
        <v>2208</v>
      </c>
      <c r="C754" s="1" t="s">
        <v>145</v>
      </c>
      <c r="D754" s="1" t="s">
        <v>63</v>
      </c>
      <c r="E754" s="1">
        <v>85014</v>
      </c>
      <c r="F754" s="1" t="s">
        <v>31</v>
      </c>
      <c r="G754" s="1" t="s">
        <v>2130</v>
      </c>
      <c r="H754" s="4" t="s">
        <v>2209</v>
      </c>
      <c r="I754" s="5" t="s">
        <v>126</v>
      </c>
      <c r="J754" s="5" t="s">
        <v>37</v>
      </c>
      <c r="K754" s="5" t="s">
        <v>37</v>
      </c>
      <c r="L754" s="5" t="s">
        <v>2210</v>
      </c>
      <c r="M754" s="5" t="s">
        <v>37</v>
      </c>
      <c r="N754" s="5" t="s">
        <v>37</v>
      </c>
      <c r="O754" s="5" t="s">
        <v>38</v>
      </c>
      <c r="P754" s="5" t="s">
        <v>39</v>
      </c>
      <c r="Q754" s="2">
        <v>45966</v>
      </c>
      <c r="V754" s="46">
        <f>IF(
  OR(
    ISNUMBER(SEARCH("unable to locate acct", tblDocketedComments[[#This Row],[Docketed Consumer Comments]])),
    ISNUMBER(SEARCH("unknown", tblDocketedComments[[#This Row],[Docketed Consumer Comments]])),
    ISNUMBER(SEARCH("inactive", tblDocketedComments[[#This Row],[Docketed Consumer Comments]]))
  ),
  0,
  1
)</f>
        <v>1</v>
      </c>
    </row>
    <row r="755" spans="1:22" hidden="1">
      <c r="A755" s="2">
        <v>45905</v>
      </c>
      <c r="B755" s="1" t="s">
        <v>2211</v>
      </c>
      <c r="C755" s="1" t="s">
        <v>2212</v>
      </c>
      <c r="D755" s="1" t="s">
        <v>202</v>
      </c>
      <c r="E755" s="1">
        <v>85383</v>
      </c>
      <c r="F755" s="1" t="s">
        <v>310</v>
      </c>
      <c r="G755" s="1" t="s">
        <v>2130</v>
      </c>
      <c r="H755" s="4" t="s">
        <v>2213</v>
      </c>
      <c r="I755" s="5" t="s">
        <v>46</v>
      </c>
      <c r="J755" s="5" t="s">
        <v>37</v>
      </c>
      <c r="K755" s="5" t="s">
        <v>37</v>
      </c>
      <c r="L755" s="5" t="s">
        <v>2214</v>
      </c>
      <c r="M755" s="5" t="s">
        <v>37</v>
      </c>
      <c r="N755" s="5" t="s">
        <v>37</v>
      </c>
      <c r="O755" s="5" t="s">
        <v>38</v>
      </c>
      <c r="P755" s="5" t="s">
        <v>39</v>
      </c>
      <c r="Q755" s="2">
        <v>45966</v>
      </c>
      <c r="U755" s="1" t="s">
        <v>2215</v>
      </c>
      <c r="V755" s="46">
        <f>IF(
  OR(
    ISNUMBER(SEARCH("unable to locate acct", tblDocketedComments[[#This Row],[Docketed Consumer Comments]])),
    ISNUMBER(SEARCH("unknown", tblDocketedComments[[#This Row],[Docketed Consumer Comments]])),
    ISNUMBER(SEARCH("inactive", tblDocketedComments[[#This Row],[Docketed Consumer Comments]]))
  ),
  0,
  1
)</f>
        <v>1</v>
      </c>
    </row>
    <row r="756" spans="1:22" hidden="1">
      <c r="A756" s="2">
        <v>45905</v>
      </c>
      <c r="B756" s="1" t="s">
        <v>2216</v>
      </c>
      <c r="C756" s="1" t="s">
        <v>312</v>
      </c>
      <c r="D756" s="1" t="s">
        <v>63</v>
      </c>
      <c r="E756" s="1">
        <v>85023</v>
      </c>
      <c r="F756" s="1" t="s">
        <v>310</v>
      </c>
      <c r="G756" s="1" t="s">
        <v>2130</v>
      </c>
      <c r="H756" s="19" t="s">
        <v>2217</v>
      </c>
      <c r="I756" s="5" t="s">
        <v>73</v>
      </c>
      <c r="J756" s="5" t="s">
        <v>37</v>
      </c>
      <c r="K756" s="5" t="s">
        <v>37</v>
      </c>
      <c r="L756" s="5" t="s">
        <v>38</v>
      </c>
      <c r="M756" s="5" t="s">
        <v>37</v>
      </c>
      <c r="N756" s="5" t="s">
        <v>37</v>
      </c>
      <c r="O756" s="5" t="s">
        <v>38</v>
      </c>
      <c r="P756" s="5" t="s">
        <v>39</v>
      </c>
      <c r="Q756" s="2">
        <v>45966</v>
      </c>
      <c r="V756" s="46">
        <f>IF(
  OR(
    ISNUMBER(SEARCH("unable to locate acct", tblDocketedComments[[#This Row],[Docketed Consumer Comments]])),
    ISNUMBER(SEARCH("unknown", tblDocketedComments[[#This Row],[Docketed Consumer Comments]])),
    ISNUMBER(SEARCH("inactive", tblDocketedComments[[#This Row],[Docketed Consumer Comments]]))
  ),
  0,
  1
)</f>
        <v>1</v>
      </c>
    </row>
    <row r="757" spans="1:22" hidden="1">
      <c r="A757" s="2">
        <v>45905</v>
      </c>
      <c r="B757" s="1" t="s">
        <v>2218</v>
      </c>
      <c r="C757" s="1" t="s">
        <v>2219</v>
      </c>
      <c r="D757" s="1" t="s">
        <v>174</v>
      </c>
      <c r="E757" s="1">
        <v>85396</v>
      </c>
      <c r="F757" s="1" t="s">
        <v>31</v>
      </c>
      <c r="G757" s="1" t="s">
        <v>2130</v>
      </c>
      <c r="H757" s="4" t="s">
        <v>2220</v>
      </c>
      <c r="I757" s="5" t="s">
        <v>418</v>
      </c>
      <c r="J757" s="5" t="s">
        <v>37</v>
      </c>
      <c r="K757" s="5" t="s">
        <v>37</v>
      </c>
      <c r="L757" s="5" t="s">
        <v>389</v>
      </c>
      <c r="M757" s="5" t="s">
        <v>37</v>
      </c>
      <c r="N757" s="5" t="s">
        <v>37</v>
      </c>
      <c r="O757" s="5" t="s">
        <v>38</v>
      </c>
      <c r="P757" s="5" t="s">
        <v>39</v>
      </c>
      <c r="Q757" s="2">
        <v>45966</v>
      </c>
      <c r="V757" s="46">
        <f>IF(
  OR(
    ISNUMBER(SEARCH("unable to locate acct", tblDocketedComments[[#This Row],[Docketed Consumer Comments]])),
    ISNUMBER(SEARCH("unknown", tblDocketedComments[[#This Row],[Docketed Consumer Comments]])),
    ISNUMBER(SEARCH("inactive", tblDocketedComments[[#This Row],[Docketed Consumer Comments]]))
  ),
  0,
  1
)</f>
        <v>1</v>
      </c>
    </row>
    <row r="758" spans="1:22" hidden="1">
      <c r="A758" s="2">
        <v>45905</v>
      </c>
      <c r="B758" s="1" t="s">
        <v>2221</v>
      </c>
      <c r="C758" s="1" t="s">
        <v>1182</v>
      </c>
      <c r="D758" s="1" t="s">
        <v>63</v>
      </c>
      <c r="E758" s="1">
        <v>85022</v>
      </c>
      <c r="F758" s="1" t="s">
        <v>31</v>
      </c>
      <c r="G758" s="1" t="s">
        <v>2130</v>
      </c>
      <c r="H758" s="4" t="s">
        <v>27</v>
      </c>
      <c r="V758" s="46">
        <f>IF(
  OR(
    ISNUMBER(SEARCH("unable to locate acct", tblDocketedComments[[#This Row],[Docketed Consumer Comments]])),
    ISNUMBER(SEARCH("unknown", tblDocketedComments[[#This Row],[Docketed Consumer Comments]])),
    ISNUMBER(SEARCH("inactive", tblDocketedComments[[#This Row],[Docketed Consumer Comments]]))
  ),
  0,
  1
)</f>
        <v>1</v>
      </c>
    </row>
    <row r="759" spans="1:22" hidden="1">
      <c r="A759" s="2">
        <v>45905</v>
      </c>
      <c r="B759" s="1" t="s">
        <v>2222</v>
      </c>
      <c r="C759" s="1" t="s">
        <v>392</v>
      </c>
      <c r="D759" s="1" t="s">
        <v>169</v>
      </c>
      <c r="E759" s="1">
        <v>85448</v>
      </c>
      <c r="F759" s="1" t="s">
        <v>1777</v>
      </c>
      <c r="G759" s="1" t="s">
        <v>2130</v>
      </c>
      <c r="H759" s="4" t="s">
        <v>2223</v>
      </c>
      <c r="I759" s="5" t="s">
        <v>418</v>
      </c>
      <c r="J759" s="5" t="s">
        <v>37</v>
      </c>
      <c r="K759" s="5" t="s">
        <v>37</v>
      </c>
      <c r="L759" s="5" t="s">
        <v>389</v>
      </c>
      <c r="M759" s="5" t="s">
        <v>37</v>
      </c>
      <c r="N759" s="5" t="s">
        <v>37</v>
      </c>
      <c r="O759" s="5" t="s">
        <v>38</v>
      </c>
      <c r="P759" s="5" t="s">
        <v>39</v>
      </c>
      <c r="Q759" s="2">
        <v>45966</v>
      </c>
      <c r="V759" s="46">
        <f>IF(
  OR(
    ISNUMBER(SEARCH("unable to locate acct", tblDocketedComments[[#This Row],[Docketed Consumer Comments]])),
    ISNUMBER(SEARCH("unknown", tblDocketedComments[[#This Row],[Docketed Consumer Comments]])),
    ISNUMBER(SEARCH("inactive", tblDocketedComments[[#This Row],[Docketed Consumer Comments]]))
  ),
  0,
  1
)</f>
        <v>1</v>
      </c>
    </row>
    <row r="760" spans="1:22" hidden="1">
      <c r="A760" s="2">
        <v>45905</v>
      </c>
      <c r="B760" s="1" t="s">
        <v>2224</v>
      </c>
      <c r="C760" s="1" t="s">
        <v>956</v>
      </c>
      <c r="D760" s="1" t="s">
        <v>112</v>
      </c>
      <c r="E760" s="1">
        <v>85387</v>
      </c>
      <c r="F760" s="1" t="s">
        <v>310</v>
      </c>
      <c r="G760" s="1" t="s">
        <v>2130</v>
      </c>
      <c r="H760" s="4" t="s">
        <v>2225</v>
      </c>
      <c r="I760" s="5" t="s">
        <v>196</v>
      </c>
      <c r="J760" s="5" t="s">
        <v>37</v>
      </c>
      <c r="K760" s="5" t="s">
        <v>37</v>
      </c>
      <c r="L760" s="7" t="s">
        <v>2226</v>
      </c>
      <c r="M760" s="5" t="s">
        <v>1586</v>
      </c>
      <c r="N760" s="15">
        <v>1278.31</v>
      </c>
      <c r="O760" s="5" t="s">
        <v>38</v>
      </c>
      <c r="P760" s="2">
        <v>45936</v>
      </c>
      <c r="Q760" s="2">
        <v>45966</v>
      </c>
      <c r="R760" s="1" t="s">
        <v>2227</v>
      </c>
      <c r="V760" s="46">
        <f>IF(
  OR(
    ISNUMBER(SEARCH("unable to locate acct", tblDocketedComments[[#This Row],[Docketed Consumer Comments]])),
    ISNUMBER(SEARCH("unknown", tblDocketedComments[[#This Row],[Docketed Consumer Comments]])),
    ISNUMBER(SEARCH("inactive", tblDocketedComments[[#This Row],[Docketed Consumer Comments]]))
  ),
  0,
  1
)</f>
        <v>1</v>
      </c>
    </row>
    <row r="761" spans="1:22" hidden="1">
      <c r="A761" s="2">
        <v>45905</v>
      </c>
      <c r="B761" s="1" t="s">
        <v>2228</v>
      </c>
      <c r="C761" s="1" t="s">
        <v>395</v>
      </c>
      <c r="D761" s="1" t="s">
        <v>2229</v>
      </c>
      <c r="E761" s="1">
        <v>85321</v>
      </c>
      <c r="F761" s="1" t="s">
        <v>310</v>
      </c>
      <c r="G761" s="1" t="s">
        <v>2130</v>
      </c>
      <c r="H761" s="4" t="s">
        <v>2230</v>
      </c>
      <c r="I761" s="5" t="s">
        <v>46</v>
      </c>
      <c r="J761" s="5" t="s">
        <v>37</v>
      </c>
      <c r="K761" s="5" t="s">
        <v>37</v>
      </c>
      <c r="L761" s="5" t="s">
        <v>38</v>
      </c>
      <c r="M761" s="5" t="s">
        <v>37</v>
      </c>
      <c r="N761" s="5" t="s">
        <v>37</v>
      </c>
      <c r="O761" s="5" t="s">
        <v>38</v>
      </c>
      <c r="P761" s="5" t="s">
        <v>39</v>
      </c>
      <c r="Q761" s="2">
        <v>45966</v>
      </c>
      <c r="V761" s="46">
        <f>IF(
  OR(
    ISNUMBER(SEARCH("unable to locate acct", tblDocketedComments[[#This Row],[Docketed Consumer Comments]])),
    ISNUMBER(SEARCH("unknown", tblDocketedComments[[#This Row],[Docketed Consumer Comments]])),
    ISNUMBER(SEARCH("inactive", tblDocketedComments[[#This Row],[Docketed Consumer Comments]]))
  ),
  0,
  1
)</f>
        <v>1</v>
      </c>
    </row>
    <row r="762" spans="1:22" hidden="1">
      <c r="A762" s="2">
        <v>45905</v>
      </c>
      <c r="B762" s="1" t="s">
        <v>1134</v>
      </c>
      <c r="C762" s="1" t="s">
        <v>2231</v>
      </c>
      <c r="D762" s="1" t="s">
        <v>169</v>
      </c>
      <c r="E762" s="1">
        <v>85338</v>
      </c>
      <c r="F762" s="1" t="s">
        <v>310</v>
      </c>
      <c r="G762" s="1" t="s">
        <v>2130</v>
      </c>
      <c r="H762" s="4" t="s">
        <v>209</v>
      </c>
      <c r="V762" s="46">
        <f>IF(
  OR(
    ISNUMBER(SEARCH("unable to locate acct", tblDocketedComments[[#This Row],[Docketed Consumer Comments]])),
    ISNUMBER(SEARCH("unknown", tblDocketedComments[[#This Row],[Docketed Consumer Comments]])),
    ISNUMBER(SEARCH("inactive", tblDocketedComments[[#This Row],[Docketed Consumer Comments]]))
  ),
  0,
  1
)</f>
        <v>1</v>
      </c>
    </row>
    <row r="763" spans="1:22" hidden="1">
      <c r="A763" s="2">
        <v>45905</v>
      </c>
      <c r="B763" s="1" t="s">
        <v>2232</v>
      </c>
      <c r="C763" s="1" t="s">
        <v>376</v>
      </c>
      <c r="D763" s="1" t="s">
        <v>169</v>
      </c>
      <c r="E763" s="1">
        <v>85338</v>
      </c>
      <c r="F763" s="1" t="s">
        <v>2233</v>
      </c>
      <c r="G763" s="1" t="s">
        <v>2130</v>
      </c>
      <c r="H763" s="4" t="s">
        <v>2234</v>
      </c>
      <c r="I763" s="5" t="s">
        <v>46</v>
      </c>
      <c r="J763" s="5" t="s">
        <v>37</v>
      </c>
      <c r="K763" s="5" t="s">
        <v>37</v>
      </c>
      <c r="L763" s="5" t="s">
        <v>38</v>
      </c>
      <c r="M763" s="5" t="s">
        <v>37</v>
      </c>
      <c r="N763" s="5" t="s">
        <v>37</v>
      </c>
      <c r="O763" s="5" t="s">
        <v>38</v>
      </c>
      <c r="P763" s="5" t="s">
        <v>39</v>
      </c>
      <c r="Q763" s="2">
        <v>45966</v>
      </c>
      <c r="V763" s="46">
        <f>IF(
  OR(
    ISNUMBER(SEARCH("unable to locate acct", tblDocketedComments[[#This Row],[Docketed Consumer Comments]])),
    ISNUMBER(SEARCH("unknown", tblDocketedComments[[#This Row],[Docketed Consumer Comments]])),
    ISNUMBER(SEARCH("inactive", tblDocketedComments[[#This Row],[Docketed Consumer Comments]]))
  ),
  0,
  1
)</f>
        <v>1</v>
      </c>
    </row>
    <row r="764" spans="1:22" hidden="1">
      <c r="A764" s="2">
        <v>45905</v>
      </c>
      <c r="B764" s="1" t="s">
        <v>2235</v>
      </c>
      <c r="C764" s="1" t="s">
        <v>2236</v>
      </c>
      <c r="D764" s="1" t="s">
        <v>63</v>
      </c>
      <c r="E764" s="1">
        <v>85006</v>
      </c>
      <c r="F764" s="1" t="s">
        <v>31</v>
      </c>
      <c r="G764" s="1" t="s">
        <v>2130</v>
      </c>
      <c r="H764" s="4" t="s">
        <v>2237</v>
      </c>
      <c r="I764" s="5" t="s">
        <v>57</v>
      </c>
      <c r="J764" s="5" t="s">
        <v>37</v>
      </c>
      <c r="K764" s="5" t="s">
        <v>37</v>
      </c>
      <c r="L764" s="7" t="s">
        <v>2238</v>
      </c>
      <c r="M764" s="5" t="s">
        <v>37</v>
      </c>
      <c r="N764" s="5" t="s">
        <v>37</v>
      </c>
      <c r="O764" s="5" t="s">
        <v>38</v>
      </c>
      <c r="P764" s="2">
        <v>45937</v>
      </c>
      <c r="Q764" s="2">
        <v>45966</v>
      </c>
      <c r="R764" s="1" t="s">
        <v>2239</v>
      </c>
      <c r="V764" s="46">
        <f>IF(
  OR(
    ISNUMBER(SEARCH("unable to locate acct", tblDocketedComments[[#This Row],[Docketed Consumer Comments]])),
    ISNUMBER(SEARCH("unknown", tblDocketedComments[[#This Row],[Docketed Consumer Comments]])),
    ISNUMBER(SEARCH("inactive", tblDocketedComments[[#This Row],[Docketed Consumer Comments]]))
  ),
  0,
  1
)</f>
        <v>1</v>
      </c>
    </row>
    <row r="765" spans="1:22" hidden="1">
      <c r="A765" s="2">
        <v>45905</v>
      </c>
      <c r="B765" s="1" t="s">
        <v>2240</v>
      </c>
      <c r="C765" s="1" t="s">
        <v>911</v>
      </c>
      <c r="D765" s="1" t="s">
        <v>125</v>
      </c>
      <c r="E765" s="1">
        <v>85258</v>
      </c>
      <c r="F765" s="1" t="s">
        <v>310</v>
      </c>
      <c r="G765" s="1" t="s">
        <v>2130</v>
      </c>
      <c r="H765" s="4" t="s">
        <v>2241</v>
      </c>
      <c r="I765" s="5" t="s">
        <v>541</v>
      </c>
      <c r="J765" s="5" t="s">
        <v>37</v>
      </c>
      <c r="K765" s="5" t="s">
        <v>37</v>
      </c>
      <c r="L765" s="5" t="s">
        <v>389</v>
      </c>
      <c r="M765" s="5" t="s">
        <v>37</v>
      </c>
      <c r="N765" s="5" t="s">
        <v>37</v>
      </c>
      <c r="O765" s="5" t="s">
        <v>38</v>
      </c>
      <c r="P765" s="5" t="s">
        <v>39</v>
      </c>
      <c r="Q765" s="2">
        <v>45966</v>
      </c>
      <c r="V765" s="46">
        <f>IF(
  OR(
    ISNUMBER(SEARCH("unable to locate acct", tblDocketedComments[[#This Row],[Docketed Consumer Comments]])),
    ISNUMBER(SEARCH("unknown", tblDocketedComments[[#This Row],[Docketed Consumer Comments]])),
    ISNUMBER(SEARCH("inactive", tblDocketedComments[[#This Row],[Docketed Consumer Comments]]))
  ),
  0,
  1
)</f>
        <v>1</v>
      </c>
    </row>
    <row r="766" spans="1:22" hidden="1">
      <c r="A766" s="2">
        <v>45905</v>
      </c>
      <c r="B766" s="1" t="s">
        <v>2242</v>
      </c>
      <c r="C766" s="1" t="s">
        <v>2034</v>
      </c>
      <c r="D766" s="1" t="s">
        <v>125</v>
      </c>
      <c r="E766" s="1">
        <v>85258</v>
      </c>
      <c r="F766" s="1" t="s">
        <v>31</v>
      </c>
      <c r="G766" s="1" t="s">
        <v>2130</v>
      </c>
      <c r="H766" s="4" t="s">
        <v>2243</v>
      </c>
      <c r="I766" s="5" t="s">
        <v>36</v>
      </c>
      <c r="J766" s="5" t="s">
        <v>37</v>
      </c>
      <c r="K766" s="5" t="s">
        <v>37</v>
      </c>
      <c r="L766" s="5" t="s">
        <v>38</v>
      </c>
      <c r="M766" s="5" t="s">
        <v>37</v>
      </c>
      <c r="N766" s="5" t="s">
        <v>37</v>
      </c>
      <c r="O766" s="5" t="s">
        <v>38</v>
      </c>
      <c r="P766" s="5" t="s">
        <v>39</v>
      </c>
      <c r="Q766" s="2">
        <v>45966</v>
      </c>
      <c r="V766" s="46">
        <f>IF(
  OR(
    ISNUMBER(SEARCH("unable to locate acct", tblDocketedComments[[#This Row],[Docketed Consumer Comments]])),
    ISNUMBER(SEARCH("unknown", tblDocketedComments[[#This Row],[Docketed Consumer Comments]])),
    ISNUMBER(SEARCH("inactive", tblDocketedComments[[#This Row],[Docketed Consumer Comments]]))
  ),
  0,
  1
)</f>
        <v>1</v>
      </c>
    </row>
    <row r="767" spans="1:22" hidden="1">
      <c r="A767" s="2">
        <v>45905</v>
      </c>
      <c r="B767" s="1" t="s">
        <v>2244</v>
      </c>
      <c r="C767" s="1" t="s">
        <v>965</v>
      </c>
      <c r="D767" s="1" t="s">
        <v>63</v>
      </c>
      <c r="E767" s="1">
        <v>85085</v>
      </c>
      <c r="F767" s="1" t="s">
        <v>2245</v>
      </c>
      <c r="G767" s="1" t="s">
        <v>2130</v>
      </c>
      <c r="H767" s="4" t="s">
        <v>2246</v>
      </c>
      <c r="I767" s="5" t="s">
        <v>36</v>
      </c>
      <c r="J767" s="5" t="s">
        <v>37</v>
      </c>
      <c r="K767" s="5" t="s">
        <v>37</v>
      </c>
      <c r="L767" s="5" t="s">
        <v>38</v>
      </c>
      <c r="M767" s="5" t="s">
        <v>37</v>
      </c>
      <c r="N767" s="5" t="s">
        <v>37</v>
      </c>
      <c r="O767" s="5" t="s">
        <v>38</v>
      </c>
      <c r="P767" s="5" t="s">
        <v>39</v>
      </c>
      <c r="Q767" s="2">
        <v>45966</v>
      </c>
      <c r="V767" s="46">
        <f>IF(
  OR(
    ISNUMBER(SEARCH("unable to locate acct", tblDocketedComments[[#This Row],[Docketed Consumer Comments]])),
    ISNUMBER(SEARCH("unknown", tblDocketedComments[[#This Row],[Docketed Consumer Comments]])),
    ISNUMBER(SEARCH("inactive", tblDocketedComments[[#This Row],[Docketed Consumer Comments]]))
  ),
  0,
  1
)</f>
        <v>1</v>
      </c>
    </row>
    <row r="768" spans="1:22" hidden="1">
      <c r="A768" s="2">
        <v>45905</v>
      </c>
      <c r="B768" s="1" t="s">
        <v>686</v>
      </c>
      <c r="C768" s="1" t="s">
        <v>443</v>
      </c>
      <c r="D768" s="1" t="s">
        <v>63</v>
      </c>
      <c r="E768" s="1">
        <v>85014</v>
      </c>
      <c r="F768" s="1" t="s">
        <v>310</v>
      </c>
      <c r="G768" s="1" t="s">
        <v>2130</v>
      </c>
      <c r="H768" s="4" t="s">
        <v>2247</v>
      </c>
      <c r="I768" s="5" t="s">
        <v>73</v>
      </c>
      <c r="J768" s="5" t="s">
        <v>37</v>
      </c>
      <c r="K768" s="5" t="s">
        <v>37</v>
      </c>
      <c r="L768" s="5" t="s">
        <v>38</v>
      </c>
      <c r="M768" s="5" t="s">
        <v>37</v>
      </c>
      <c r="N768" s="5" t="s">
        <v>37</v>
      </c>
      <c r="O768" s="5" t="s">
        <v>38</v>
      </c>
      <c r="P768" s="5" t="s">
        <v>39</v>
      </c>
      <c r="Q768" s="2">
        <v>45966</v>
      </c>
      <c r="V768" s="46">
        <f>IF(
  OR(
    ISNUMBER(SEARCH("unable to locate acct", tblDocketedComments[[#This Row],[Docketed Consumer Comments]])),
    ISNUMBER(SEARCH("unknown", tblDocketedComments[[#This Row],[Docketed Consumer Comments]])),
    ISNUMBER(SEARCH("inactive", tblDocketedComments[[#This Row],[Docketed Consumer Comments]]))
  ),
  0,
  1
)</f>
        <v>1</v>
      </c>
    </row>
    <row r="769" spans="1:22" hidden="1">
      <c r="A769" s="2">
        <v>45905</v>
      </c>
      <c r="B769" s="1" t="s">
        <v>2248</v>
      </c>
      <c r="C769" s="1" t="s">
        <v>225</v>
      </c>
      <c r="D769" s="1" t="s">
        <v>63</v>
      </c>
      <c r="E769" s="1">
        <v>85016</v>
      </c>
      <c r="F769" s="1" t="s">
        <v>310</v>
      </c>
      <c r="G769" s="1" t="s">
        <v>2130</v>
      </c>
      <c r="H769" s="4" t="s">
        <v>2249</v>
      </c>
      <c r="I769" s="5" t="s">
        <v>126</v>
      </c>
      <c r="J769" s="5" t="s">
        <v>37</v>
      </c>
      <c r="K769" s="5" t="s">
        <v>37</v>
      </c>
      <c r="L769" s="5" t="s">
        <v>38</v>
      </c>
      <c r="M769" s="5" t="s">
        <v>37</v>
      </c>
      <c r="N769" s="5" t="s">
        <v>37</v>
      </c>
      <c r="O769" s="5" t="s">
        <v>38</v>
      </c>
      <c r="P769" s="5" t="s">
        <v>39</v>
      </c>
      <c r="Q769" s="2">
        <v>45966</v>
      </c>
      <c r="V769" s="46">
        <f>IF(
  OR(
    ISNUMBER(SEARCH("unable to locate acct", tblDocketedComments[[#This Row],[Docketed Consumer Comments]])),
    ISNUMBER(SEARCH("unknown", tblDocketedComments[[#This Row],[Docketed Consumer Comments]])),
    ISNUMBER(SEARCH("inactive", tblDocketedComments[[#This Row],[Docketed Consumer Comments]]))
  ),
  0,
  1
)</f>
        <v>1</v>
      </c>
    </row>
    <row r="770" spans="1:22" hidden="1">
      <c r="A770" s="2">
        <v>45905</v>
      </c>
      <c r="B770" s="1" t="s">
        <v>2250</v>
      </c>
      <c r="C770" s="1" t="s">
        <v>2019</v>
      </c>
      <c r="D770" s="1" t="s">
        <v>125</v>
      </c>
      <c r="E770" s="1">
        <v>85254</v>
      </c>
      <c r="F770" s="1" t="s">
        <v>2251</v>
      </c>
      <c r="G770" s="1" t="s">
        <v>2130</v>
      </c>
      <c r="H770" s="4" t="s">
        <v>2252</v>
      </c>
      <c r="I770" s="5" t="s">
        <v>243</v>
      </c>
      <c r="J770" s="5" t="s">
        <v>37</v>
      </c>
      <c r="K770" s="5" t="s">
        <v>37</v>
      </c>
      <c r="L770" s="5" t="s">
        <v>389</v>
      </c>
      <c r="M770" s="5" t="s">
        <v>37</v>
      </c>
      <c r="N770" s="5" t="s">
        <v>37</v>
      </c>
      <c r="O770" s="5" t="s">
        <v>38</v>
      </c>
      <c r="P770" s="5" t="s">
        <v>39</v>
      </c>
      <c r="Q770" s="2">
        <v>45966</v>
      </c>
      <c r="V770" s="46">
        <f>IF(
  OR(
    ISNUMBER(SEARCH("unable to locate acct", tblDocketedComments[[#This Row],[Docketed Consumer Comments]])),
    ISNUMBER(SEARCH("unknown", tblDocketedComments[[#This Row],[Docketed Consumer Comments]])),
    ISNUMBER(SEARCH("inactive", tblDocketedComments[[#This Row],[Docketed Consumer Comments]]))
  ),
  0,
  1
)</f>
        <v>1</v>
      </c>
    </row>
    <row r="771" spans="1:22" hidden="1">
      <c r="A771" s="2">
        <v>45905</v>
      </c>
      <c r="B771" s="1" t="s">
        <v>2253</v>
      </c>
      <c r="C771" s="1" t="s">
        <v>124</v>
      </c>
      <c r="D771" s="1" t="s">
        <v>539</v>
      </c>
      <c r="E771" s="1">
        <v>85122</v>
      </c>
      <c r="F771" s="1" t="s">
        <v>2254</v>
      </c>
      <c r="G771" s="1" t="s">
        <v>2130</v>
      </c>
      <c r="H771" s="4" t="s">
        <v>27</v>
      </c>
      <c r="V771" s="46">
        <f>IF(
  OR(
    ISNUMBER(SEARCH("unable to locate acct", tblDocketedComments[[#This Row],[Docketed Consumer Comments]])),
    ISNUMBER(SEARCH("unknown", tblDocketedComments[[#This Row],[Docketed Consumer Comments]])),
    ISNUMBER(SEARCH("inactive", tblDocketedComments[[#This Row],[Docketed Consumer Comments]]))
  ),
  0,
  1
)</f>
        <v>1</v>
      </c>
    </row>
    <row r="772" spans="1:22" hidden="1">
      <c r="A772" s="2">
        <v>45905</v>
      </c>
      <c r="B772" s="1" t="s">
        <v>2255</v>
      </c>
      <c r="C772" s="1" t="s">
        <v>2256</v>
      </c>
      <c r="D772" s="1" t="s">
        <v>1204</v>
      </c>
      <c r="E772" s="1">
        <v>85355</v>
      </c>
      <c r="F772" s="1" t="s">
        <v>310</v>
      </c>
      <c r="G772" s="1" t="s">
        <v>2130</v>
      </c>
      <c r="H772" s="4" t="s">
        <v>27</v>
      </c>
      <c r="V772" s="46">
        <f>IF(
  OR(
    ISNUMBER(SEARCH("unable to locate acct", tblDocketedComments[[#This Row],[Docketed Consumer Comments]])),
    ISNUMBER(SEARCH("unknown", tblDocketedComments[[#This Row],[Docketed Consumer Comments]])),
    ISNUMBER(SEARCH("inactive", tblDocketedComments[[#This Row],[Docketed Consumer Comments]]))
  ),
  0,
  1
)</f>
        <v>1</v>
      </c>
    </row>
    <row r="773" spans="1:22" hidden="1">
      <c r="A773" s="2">
        <v>45905</v>
      </c>
      <c r="B773" s="1" t="s">
        <v>1873</v>
      </c>
      <c r="C773" s="1" t="s">
        <v>153</v>
      </c>
      <c r="D773" s="1" t="s">
        <v>63</v>
      </c>
      <c r="E773" s="1">
        <v>85020</v>
      </c>
      <c r="F773" s="1" t="s">
        <v>660</v>
      </c>
      <c r="G773" s="1" t="s">
        <v>2130</v>
      </c>
      <c r="H773" s="4" t="s">
        <v>90</v>
      </c>
      <c r="V773" s="46">
        <f>IF(
  OR(
    ISNUMBER(SEARCH("unable to locate acct", tblDocketedComments[[#This Row],[Docketed Consumer Comments]])),
    ISNUMBER(SEARCH("unknown", tblDocketedComments[[#This Row],[Docketed Consumer Comments]])),
    ISNUMBER(SEARCH("inactive", tblDocketedComments[[#This Row],[Docketed Consumer Comments]]))
  ),
  0,
  1
)</f>
        <v>1</v>
      </c>
    </row>
    <row r="774" spans="1:22" hidden="1">
      <c r="A774" s="2">
        <v>45905</v>
      </c>
      <c r="B774" s="1" t="s">
        <v>2257</v>
      </c>
      <c r="C774" s="1" t="s">
        <v>324</v>
      </c>
      <c r="D774" s="1" t="s">
        <v>63</v>
      </c>
      <c r="E774" s="1">
        <v>85013</v>
      </c>
      <c r="F774" s="1" t="s">
        <v>31</v>
      </c>
      <c r="G774" s="1" t="s">
        <v>2130</v>
      </c>
      <c r="H774" s="4" t="s">
        <v>27</v>
      </c>
      <c r="V774" s="46">
        <f>IF(
  OR(
    ISNUMBER(SEARCH("unable to locate acct", tblDocketedComments[[#This Row],[Docketed Consumer Comments]])),
    ISNUMBER(SEARCH("unknown", tblDocketedComments[[#This Row],[Docketed Consumer Comments]])),
    ISNUMBER(SEARCH("inactive", tblDocketedComments[[#This Row],[Docketed Consumer Comments]]))
  ),
  0,
  1
)</f>
        <v>1</v>
      </c>
    </row>
    <row r="775" spans="1:22" hidden="1">
      <c r="A775" s="2">
        <v>45905</v>
      </c>
      <c r="B775" s="1" t="s">
        <v>2258</v>
      </c>
      <c r="C775" s="1" t="s">
        <v>658</v>
      </c>
      <c r="D775" s="1" t="s">
        <v>63</v>
      </c>
      <c r="E775" s="1">
        <v>85083</v>
      </c>
      <c r="F775" s="1" t="s">
        <v>31</v>
      </c>
      <c r="G775" s="1" t="s">
        <v>2130</v>
      </c>
      <c r="H775" s="4" t="s">
        <v>2259</v>
      </c>
      <c r="I775" s="5" t="s">
        <v>36</v>
      </c>
      <c r="J775" s="5" t="s">
        <v>37</v>
      </c>
      <c r="K775" s="5" t="s">
        <v>37</v>
      </c>
      <c r="L775" s="5" t="s">
        <v>38</v>
      </c>
      <c r="M775" s="5" t="s">
        <v>37</v>
      </c>
      <c r="N775" s="5" t="s">
        <v>37</v>
      </c>
      <c r="O775" s="5" t="s">
        <v>38</v>
      </c>
      <c r="P775" s="5" t="s">
        <v>39</v>
      </c>
      <c r="Q775" s="2">
        <v>45966</v>
      </c>
      <c r="V775" s="46">
        <f>IF(
  OR(
    ISNUMBER(SEARCH("unable to locate acct", tblDocketedComments[[#This Row],[Docketed Consumer Comments]])),
    ISNUMBER(SEARCH("unknown", tblDocketedComments[[#This Row],[Docketed Consumer Comments]])),
    ISNUMBER(SEARCH("inactive", tblDocketedComments[[#This Row],[Docketed Consumer Comments]]))
  ),
  0,
  1
)</f>
        <v>1</v>
      </c>
    </row>
    <row r="776" spans="1:22" hidden="1">
      <c r="A776" s="2">
        <v>45905</v>
      </c>
      <c r="B776" s="1" t="s">
        <v>2260</v>
      </c>
      <c r="C776" s="1" t="s">
        <v>2261</v>
      </c>
      <c r="D776" s="1" t="s">
        <v>370</v>
      </c>
      <c r="E776" s="1">
        <v>85225</v>
      </c>
      <c r="F776" s="1" t="s">
        <v>310</v>
      </c>
      <c r="G776" s="1" t="s">
        <v>2130</v>
      </c>
      <c r="H776" s="19" t="s">
        <v>2262</v>
      </c>
      <c r="I776" s="5" t="s">
        <v>418</v>
      </c>
      <c r="J776" s="5" t="s">
        <v>37</v>
      </c>
      <c r="K776" s="5" t="s">
        <v>37</v>
      </c>
      <c r="L776" s="5" t="s">
        <v>389</v>
      </c>
      <c r="M776" s="5" t="s">
        <v>37</v>
      </c>
      <c r="N776" s="5" t="s">
        <v>37</v>
      </c>
      <c r="O776" s="5" t="s">
        <v>38</v>
      </c>
      <c r="P776" s="5" t="s">
        <v>39</v>
      </c>
      <c r="Q776" s="2">
        <v>45966</v>
      </c>
      <c r="V776" s="46">
        <f>IF(
  OR(
    ISNUMBER(SEARCH("unable to locate acct", tblDocketedComments[[#This Row],[Docketed Consumer Comments]])),
    ISNUMBER(SEARCH("unknown", tblDocketedComments[[#This Row],[Docketed Consumer Comments]])),
    ISNUMBER(SEARCH("inactive", tblDocketedComments[[#This Row],[Docketed Consumer Comments]]))
  ),
  0,
  1
)</f>
        <v>1</v>
      </c>
    </row>
    <row r="777" spans="1:22" hidden="1">
      <c r="A777" s="2">
        <v>45905</v>
      </c>
      <c r="B777" s="1" t="s">
        <v>2263</v>
      </c>
      <c r="C777" s="1" t="s">
        <v>2264</v>
      </c>
      <c r="D777" s="1" t="s">
        <v>2265</v>
      </c>
      <c r="E777" s="1">
        <v>85603</v>
      </c>
      <c r="F777" s="1" t="s">
        <v>31</v>
      </c>
      <c r="G777" s="1" t="s">
        <v>2130</v>
      </c>
      <c r="H777" s="4" t="s">
        <v>2266</v>
      </c>
      <c r="I777" s="5" t="s">
        <v>36</v>
      </c>
      <c r="J777" s="5" t="s">
        <v>37</v>
      </c>
      <c r="K777" s="5" t="s">
        <v>37</v>
      </c>
      <c r="L777" s="5" t="s">
        <v>38</v>
      </c>
      <c r="M777" s="5" t="s">
        <v>37</v>
      </c>
      <c r="N777" s="5" t="s">
        <v>37</v>
      </c>
      <c r="O777" s="5" t="s">
        <v>38</v>
      </c>
      <c r="P777" s="5" t="s">
        <v>39</v>
      </c>
      <c r="Q777" s="2">
        <v>45966</v>
      </c>
      <c r="V777" s="46">
        <f>IF(
  OR(
    ISNUMBER(SEARCH("unable to locate acct", tblDocketedComments[[#This Row],[Docketed Consumer Comments]])),
    ISNUMBER(SEARCH("unknown", tblDocketedComments[[#This Row],[Docketed Consumer Comments]])),
    ISNUMBER(SEARCH("inactive", tblDocketedComments[[#This Row],[Docketed Consumer Comments]]))
  ),
  0,
  1
)</f>
        <v>1</v>
      </c>
    </row>
    <row r="778" spans="1:22" hidden="1">
      <c r="A778" s="2">
        <v>45905</v>
      </c>
      <c r="B778" s="1" t="s">
        <v>2267</v>
      </c>
      <c r="C778" s="1" t="s">
        <v>2268</v>
      </c>
      <c r="D778" s="1" t="s">
        <v>63</v>
      </c>
      <c r="E778" s="1">
        <v>85086</v>
      </c>
      <c r="F778" s="1" t="s">
        <v>31</v>
      </c>
      <c r="G778" s="1" t="s">
        <v>2130</v>
      </c>
      <c r="H778" s="4" t="s">
        <v>27</v>
      </c>
      <c r="V778" s="46">
        <f>IF(
  OR(
    ISNUMBER(SEARCH("unable to locate acct", tblDocketedComments[[#This Row],[Docketed Consumer Comments]])),
    ISNUMBER(SEARCH("unknown", tblDocketedComments[[#This Row],[Docketed Consumer Comments]])),
    ISNUMBER(SEARCH("inactive", tblDocketedComments[[#This Row],[Docketed Consumer Comments]]))
  ),
  0,
  1
)</f>
        <v>1</v>
      </c>
    </row>
    <row r="779" spans="1:22" hidden="1">
      <c r="A779" s="2">
        <v>45905</v>
      </c>
      <c r="B779" s="1" t="s">
        <v>2269</v>
      </c>
      <c r="C779" s="1" t="s">
        <v>1815</v>
      </c>
      <c r="D779" s="1" t="s">
        <v>125</v>
      </c>
      <c r="E779" s="1">
        <v>85260</v>
      </c>
      <c r="F779" s="1" t="s">
        <v>310</v>
      </c>
      <c r="G779" s="1" t="s">
        <v>2130</v>
      </c>
      <c r="H779" s="4" t="s">
        <v>2270</v>
      </c>
      <c r="I779" s="5" t="s">
        <v>57</v>
      </c>
      <c r="J779" s="5" t="s">
        <v>37</v>
      </c>
      <c r="K779" s="5" t="s">
        <v>37</v>
      </c>
      <c r="L779" s="7" t="s">
        <v>2271</v>
      </c>
      <c r="M779" s="5" t="s">
        <v>37</v>
      </c>
      <c r="N779" s="5" t="s">
        <v>37</v>
      </c>
      <c r="O779" s="5" t="s">
        <v>38</v>
      </c>
      <c r="P779" s="2">
        <v>45937</v>
      </c>
      <c r="Q779" s="2">
        <v>45966</v>
      </c>
      <c r="R779" s="1" t="s">
        <v>2272</v>
      </c>
      <c r="V779" s="46">
        <f>IF(
  OR(
    ISNUMBER(SEARCH("unable to locate acct", tblDocketedComments[[#This Row],[Docketed Consumer Comments]])),
    ISNUMBER(SEARCH("unknown", tblDocketedComments[[#This Row],[Docketed Consumer Comments]])),
    ISNUMBER(SEARCH("inactive", tblDocketedComments[[#This Row],[Docketed Consumer Comments]]))
  ),
  0,
  1
)</f>
        <v>1</v>
      </c>
    </row>
    <row r="780" spans="1:22" hidden="1">
      <c r="A780" s="2">
        <v>45905</v>
      </c>
      <c r="B780" s="1" t="s">
        <v>841</v>
      </c>
      <c r="C780" s="1" t="s">
        <v>2273</v>
      </c>
      <c r="D780" s="1" t="s">
        <v>112</v>
      </c>
      <c r="E780" s="1">
        <v>85388</v>
      </c>
      <c r="F780" s="1" t="s">
        <v>2274</v>
      </c>
      <c r="G780" s="1" t="s">
        <v>2130</v>
      </c>
      <c r="H780" s="19" t="s">
        <v>2275</v>
      </c>
      <c r="I780" s="5" t="s">
        <v>36</v>
      </c>
      <c r="J780" s="5" t="s">
        <v>37</v>
      </c>
      <c r="K780" s="5" t="s">
        <v>37</v>
      </c>
      <c r="L780" s="5" t="s">
        <v>38</v>
      </c>
      <c r="M780" s="5" t="s">
        <v>37</v>
      </c>
      <c r="N780" s="5" t="s">
        <v>37</v>
      </c>
      <c r="O780" s="5" t="s">
        <v>38</v>
      </c>
      <c r="P780" s="5" t="s">
        <v>39</v>
      </c>
      <c r="Q780" s="2">
        <v>45966</v>
      </c>
      <c r="V780" s="46">
        <f>IF(
  OR(
    ISNUMBER(SEARCH("unable to locate acct", tblDocketedComments[[#This Row],[Docketed Consumer Comments]])),
    ISNUMBER(SEARCH("unknown", tblDocketedComments[[#This Row],[Docketed Consumer Comments]])),
    ISNUMBER(SEARCH("inactive", tblDocketedComments[[#This Row],[Docketed Consumer Comments]]))
  ),
  0,
  1
)</f>
        <v>1</v>
      </c>
    </row>
    <row r="781" spans="1:22" hidden="1">
      <c r="A781" s="2">
        <v>45905</v>
      </c>
      <c r="B781" s="1" t="s">
        <v>2276</v>
      </c>
      <c r="C781" s="1" t="s">
        <v>1824</v>
      </c>
      <c r="D781" s="1" t="s">
        <v>24</v>
      </c>
      <c r="E781" s="1">
        <v>85308</v>
      </c>
      <c r="F781" s="1" t="s">
        <v>31</v>
      </c>
      <c r="G781" s="1" t="s">
        <v>2130</v>
      </c>
      <c r="H781" s="4" t="s">
        <v>2277</v>
      </c>
      <c r="I781" s="5" t="s">
        <v>196</v>
      </c>
      <c r="J781" s="5" t="s">
        <v>37</v>
      </c>
      <c r="K781" s="5" t="s">
        <v>37</v>
      </c>
      <c r="L781" s="5" t="s">
        <v>38</v>
      </c>
      <c r="M781" s="5" t="s">
        <v>37</v>
      </c>
      <c r="N781" s="5" t="s">
        <v>37</v>
      </c>
      <c r="O781" s="5" t="s">
        <v>38</v>
      </c>
      <c r="P781" s="5" t="s">
        <v>39</v>
      </c>
      <c r="Q781" s="2">
        <v>45966</v>
      </c>
      <c r="V781" s="46">
        <f>IF(
  OR(
    ISNUMBER(SEARCH("unable to locate acct", tblDocketedComments[[#This Row],[Docketed Consumer Comments]])),
    ISNUMBER(SEARCH("unknown", tblDocketedComments[[#This Row],[Docketed Consumer Comments]])),
    ISNUMBER(SEARCH("inactive", tblDocketedComments[[#This Row],[Docketed Consumer Comments]]))
  ),
  0,
  1
)</f>
        <v>1</v>
      </c>
    </row>
    <row r="782" spans="1:22" hidden="1">
      <c r="A782" s="2">
        <v>45905</v>
      </c>
      <c r="B782" s="1" t="s">
        <v>2087</v>
      </c>
      <c r="C782" s="1" t="s">
        <v>215</v>
      </c>
      <c r="D782" s="1" t="s">
        <v>63</v>
      </c>
      <c r="E782" s="1">
        <v>85028</v>
      </c>
      <c r="F782" s="1" t="s">
        <v>310</v>
      </c>
      <c r="G782" s="1" t="s">
        <v>2130</v>
      </c>
      <c r="H782" s="19" t="s">
        <v>2278</v>
      </c>
      <c r="I782" s="5" t="s">
        <v>46</v>
      </c>
      <c r="J782" s="5" t="s">
        <v>37</v>
      </c>
      <c r="K782" s="5" t="s">
        <v>37</v>
      </c>
      <c r="L782" s="7" t="s">
        <v>2279</v>
      </c>
      <c r="M782" s="5" t="s">
        <v>37</v>
      </c>
      <c r="N782" s="5" t="s">
        <v>37</v>
      </c>
      <c r="O782" s="5" t="s">
        <v>38</v>
      </c>
      <c r="P782" s="2">
        <v>45937</v>
      </c>
      <c r="Q782" s="2">
        <v>45966</v>
      </c>
      <c r="R782" s="1" t="s">
        <v>2280</v>
      </c>
      <c r="V782" s="46">
        <f>IF(
  OR(
    ISNUMBER(SEARCH("unable to locate acct", tblDocketedComments[[#This Row],[Docketed Consumer Comments]])),
    ISNUMBER(SEARCH("unknown", tblDocketedComments[[#This Row],[Docketed Consumer Comments]])),
    ISNUMBER(SEARCH("inactive", tblDocketedComments[[#This Row],[Docketed Consumer Comments]]))
  ),
  0,
  1
)</f>
        <v>1</v>
      </c>
    </row>
    <row r="783" spans="1:22" hidden="1">
      <c r="A783" s="2">
        <v>45905</v>
      </c>
      <c r="B783" s="1" t="s">
        <v>636</v>
      </c>
      <c r="C783" s="1" t="s">
        <v>225</v>
      </c>
      <c r="D783" s="1" t="s">
        <v>63</v>
      </c>
      <c r="E783" s="1">
        <v>85050</v>
      </c>
      <c r="F783" s="1" t="s">
        <v>310</v>
      </c>
      <c r="G783" s="1" t="s">
        <v>2130</v>
      </c>
      <c r="H783" s="4" t="s">
        <v>2281</v>
      </c>
      <c r="I783" s="5" t="s">
        <v>36</v>
      </c>
      <c r="J783" s="5" t="s">
        <v>37</v>
      </c>
      <c r="K783" s="5" t="s">
        <v>37</v>
      </c>
      <c r="L783" s="5" t="s">
        <v>38</v>
      </c>
      <c r="M783" s="5" t="s">
        <v>37</v>
      </c>
      <c r="N783" s="5" t="s">
        <v>37</v>
      </c>
      <c r="O783" s="5" t="s">
        <v>38</v>
      </c>
      <c r="P783" s="5" t="s">
        <v>39</v>
      </c>
      <c r="Q783" s="2">
        <v>45966</v>
      </c>
      <c r="V783" s="46">
        <f>IF(
  OR(
    ISNUMBER(SEARCH("unable to locate acct", tblDocketedComments[[#This Row],[Docketed Consumer Comments]])),
    ISNUMBER(SEARCH("unknown", tblDocketedComments[[#This Row],[Docketed Consumer Comments]])),
    ISNUMBER(SEARCH("inactive", tblDocketedComments[[#This Row],[Docketed Consumer Comments]]))
  ),
  0,
  1
)</f>
        <v>1</v>
      </c>
    </row>
    <row r="784" spans="1:22" hidden="1">
      <c r="A784" s="2">
        <v>45905</v>
      </c>
      <c r="B784" s="1" t="s">
        <v>2282</v>
      </c>
      <c r="C784" s="1" t="s">
        <v>131</v>
      </c>
      <c r="D784" s="1" t="s">
        <v>125</v>
      </c>
      <c r="E784" s="1">
        <v>85254</v>
      </c>
      <c r="F784" s="1" t="s">
        <v>310</v>
      </c>
      <c r="G784" s="1" t="s">
        <v>2130</v>
      </c>
      <c r="H784" s="19" t="s">
        <v>2283</v>
      </c>
      <c r="I784" s="5" t="s">
        <v>126</v>
      </c>
      <c r="J784" s="5" t="s">
        <v>37</v>
      </c>
      <c r="K784" s="5" t="s">
        <v>37</v>
      </c>
      <c r="L784" s="5" t="s">
        <v>2284</v>
      </c>
      <c r="M784" s="5" t="s">
        <v>37</v>
      </c>
      <c r="N784" s="5" t="s">
        <v>37</v>
      </c>
      <c r="O784" s="5" t="s">
        <v>38</v>
      </c>
      <c r="P784" s="5" t="s">
        <v>39</v>
      </c>
      <c r="Q784" s="2">
        <v>45966</v>
      </c>
      <c r="R784" s="1" t="s">
        <v>280</v>
      </c>
      <c r="V784" s="46">
        <f>IF(
  OR(
    ISNUMBER(SEARCH("unable to locate acct", tblDocketedComments[[#This Row],[Docketed Consumer Comments]])),
    ISNUMBER(SEARCH("unknown", tblDocketedComments[[#This Row],[Docketed Consumer Comments]])),
    ISNUMBER(SEARCH("inactive", tblDocketedComments[[#This Row],[Docketed Consumer Comments]]))
  ),
  0,
  1
)</f>
        <v>1</v>
      </c>
    </row>
    <row r="785" spans="1:22" hidden="1">
      <c r="A785" s="2">
        <v>45905</v>
      </c>
      <c r="B785" s="1" t="s">
        <v>2285</v>
      </c>
      <c r="C785" s="1" t="s">
        <v>2286</v>
      </c>
      <c r="D785" s="1" t="s">
        <v>202</v>
      </c>
      <c r="E785" s="1">
        <v>85383</v>
      </c>
      <c r="F785" s="1" t="s">
        <v>2287</v>
      </c>
      <c r="G785" s="1" t="s">
        <v>2130</v>
      </c>
      <c r="H785" s="4" t="s">
        <v>27</v>
      </c>
      <c r="V785" s="46">
        <f>IF(
  OR(
    ISNUMBER(SEARCH("unable to locate acct", tblDocketedComments[[#This Row],[Docketed Consumer Comments]])),
    ISNUMBER(SEARCH("unknown", tblDocketedComments[[#This Row],[Docketed Consumer Comments]])),
    ISNUMBER(SEARCH("inactive", tblDocketedComments[[#This Row],[Docketed Consumer Comments]]))
  ),
  0,
  1
)</f>
        <v>1</v>
      </c>
    </row>
    <row r="786" spans="1:22" hidden="1">
      <c r="A786" s="2">
        <v>45905</v>
      </c>
      <c r="B786" s="1" t="s">
        <v>2288</v>
      </c>
      <c r="C786" s="1" t="s">
        <v>2289</v>
      </c>
      <c r="D786" s="1" t="s">
        <v>63</v>
      </c>
      <c r="E786" s="1">
        <v>85013</v>
      </c>
      <c r="F786" s="1" t="s">
        <v>31</v>
      </c>
      <c r="G786" s="1" t="s">
        <v>2130</v>
      </c>
      <c r="H786" s="4" t="s">
        <v>27</v>
      </c>
      <c r="V786" s="46">
        <f>IF(
  OR(
    ISNUMBER(SEARCH("unable to locate acct", tblDocketedComments[[#This Row],[Docketed Consumer Comments]])),
    ISNUMBER(SEARCH("unknown", tblDocketedComments[[#This Row],[Docketed Consumer Comments]])),
    ISNUMBER(SEARCH("inactive", tblDocketedComments[[#This Row],[Docketed Consumer Comments]]))
  ),
  0,
  1
)</f>
        <v>1</v>
      </c>
    </row>
    <row r="787" spans="1:22" hidden="1">
      <c r="A787" s="2">
        <v>45905</v>
      </c>
      <c r="B787" s="1" t="s">
        <v>2290</v>
      </c>
      <c r="C787" s="1" t="s">
        <v>548</v>
      </c>
      <c r="D787" s="1" t="s">
        <v>63</v>
      </c>
      <c r="E787" s="1">
        <v>85024</v>
      </c>
      <c r="F787" s="1" t="s">
        <v>31</v>
      </c>
      <c r="G787" s="1" t="s">
        <v>2130</v>
      </c>
      <c r="H787" s="4" t="s">
        <v>209</v>
      </c>
      <c r="V787" s="46">
        <f>IF(
  OR(
    ISNUMBER(SEARCH("unable to locate acct", tblDocketedComments[[#This Row],[Docketed Consumer Comments]])),
    ISNUMBER(SEARCH("unknown", tblDocketedComments[[#This Row],[Docketed Consumer Comments]])),
    ISNUMBER(SEARCH("inactive", tblDocketedComments[[#This Row],[Docketed Consumer Comments]]))
  ),
  0,
  1
)</f>
        <v>1</v>
      </c>
    </row>
    <row r="788" spans="1:22" hidden="1">
      <c r="A788" s="2">
        <v>45905</v>
      </c>
      <c r="B788" s="1" t="s">
        <v>1828</v>
      </c>
      <c r="C788" s="1" t="s">
        <v>124</v>
      </c>
      <c r="D788" s="1" t="s">
        <v>504</v>
      </c>
      <c r="E788" s="1">
        <v>86001</v>
      </c>
      <c r="F788" s="1" t="s">
        <v>2291</v>
      </c>
      <c r="G788" s="1" t="s">
        <v>2130</v>
      </c>
      <c r="H788" s="4" t="s">
        <v>2292</v>
      </c>
      <c r="I788" s="5" t="s">
        <v>126</v>
      </c>
      <c r="J788" s="5" t="s">
        <v>37</v>
      </c>
      <c r="K788" s="5" t="s">
        <v>37</v>
      </c>
      <c r="L788" s="7" t="s">
        <v>2293</v>
      </c>
      <c r="M788" s="5" t="s">
        <v>37</v>
      </c>
      <c r="N788" s="5" t="s">
        <v>37</v>
      </c>
      <c r="O788" s="5" t="s">
        <v>38</v>
      </c>
      <c r="P788" s="2">
        <v>45937</v>
      </c>
      <c r="Q788" s="2">
        <v>45966</v>
      </c>
      <c r="R788" s="1" t="s">
        <v>2280</v>
      </c>
      <c r="V788" s="46">
        <f>IF(
  OR(
    ISNUMBER(SEARCH("unable to locate acct", tblDocketedComments[[#This Row],[Docketed Consumer Comments]])),
    ISNUMBER(SEARCH("unknown", tblDocketedComments[[#This Row],[Docketed Consumer Comments]])),
    ISNUMBER(SEARCH("inactive", tblDocketedComments[[#This Row],[Docketed Consumer Comments]]))
  ),
  0,
  1
)</f>
        <v>1</v>
      </c>
    </row>
    <row r="789" spans="1:22" hidden="1">
      <c r="A789" s="2">
        <v>45905</v>
      </c>
      <c r="B789" s="1" t="s">
        <v>2294</v>
      </c>
      <c r="C789" s="1" t="s">
        <v>382</v>
      </c>
      <c r="D789" s="1" t="s">
        <v>240</v>
      </c>
      <c r="E789" s="1">
        <v>85340</v>
      </c>
      <c r="F789" s="1" t="s">
        <v>1990</v>
      </c>
      <c r="G789" s="1" t="s">
        <v>2130</v>
      </c>
      <c r="H789" s="4" t="s">
        <v>2295</v>
      </c>
      <c r="I789" s="5" t="s">
        <v>36</v>
      </c>
      <c r="J789" s="5" t="s">
        <v>37</v>
      </c>
      <c r="K789" s="5" t="s">
        <v>37</v>
      </c>
      <c r="L789" s="5" t="s">
        <v>38</v>
      </c>
      <c r="M789" s="5" t="s">
        <v>37</v>
      </c>
      <c r="N789" s="5" t="s">
        <v>37</v>
      </c>
      <c r="O789" s="5" t="s">
        <v>38</v>
      </c>
      <c r="P789" s="5" t="s">
        <v>39</v>
      </c>
      <c r="Q789" s="2">
        <v>45966</v>
      </c>
      <c r="V789" s="46">
        <f>IF(
  OR(
    ISNUMBER(SEARCH("unable to locate acct", tblDocketedComments[[#This Row],[Docketed Consumer Comments]])),
    ISNUMBER(SEARCH("unknown", tblDocketedComments[[#This Row],[Docketed Consumer Comments]])),
    ISNUMBER(SEARCH("inactive", tblDocketedComments[[#This Row],[Docketed Consumer Comments]]))
  ),
  0,
  1
)</f>
        <v>1</v>
      </c>
    </row>
    <row r="790" spans="1:22" hidden="1">
      <c r="A790" s="2">
        <v>45905</v>
      </c>
      <c r="B790" s="1" t="s">
        <v>219</v>
      </c>
      <c r="C790" s="1" t="s">
        <v>220</v>
      </c>
      <c r="D790" s="1" t="s">
        <v>63</v>
      </c>
      <c r="E790" s="1">
        <v>85032</v>
      </c>
      <c r="F790" s="1" t="s">
        <v>31</v>
      </c>
      <c r="G790" s="1" t="s">
        <v>2130</v>
      </c>
      <c r="H790" s="4" t="s">
        <v>2296</v>
      </c>
      <c r="I790" s="5" t="s">
        <v>126</v>
      </c>
      <c r="J790" s="5" t="s">
        <v>37</v>
      </c>
      <c r="K790" s="5" t="s">
        <v>37</v>
      </c>
      <c r="L790" s="5" t="s">
        <v>38</v>
      </c>
      <c r="M790" s="5" t="s">
        <v>37</v>
      </c>
      <c r="N790" s="5" t="s">
        <v>37</v>
      </c>
      <c r="O790" s="5" t="s">
        <v>38</v>
      </c>
      <c r="P790" s="5" t="s">
        <v>39</v>
      </c>
      <c r="Q790" s="2">
        <v>45966</v>
      </c>
      <c r="U790" s="1" t="s">
        <v>2215</v>
      </c>
      <c r="V790" s="46">
        <f>IF(
  OR(
    ISNUMBER(SEARCH("unable to locate acct", tblDocketedComments[[#This Row],[Docketed Consumer Comments]])),
    ISNUMBER(SEARCH("unknown", tblDocketedComments[[#This Row],[Docketed Consumer Comments]])),
    ISNUMBER(SEARCH("inactive", tblDocketedComments[[#This Row],[Docketed Consumer Comments]]))
  ),
  0,
  1
)</f>
        <v>1</v>
      </c>
    </row>
    <row r="791" spans="1:22" hidden="1">
      <c r="A791" s="2">
        <v>45905</v>
      </c>
      <c r="B791" s="1" t="s">
        <v>2297</v>
      </c>
      <c r="C791" s="1" t="s">
        <v>2298</v>
      </c>
      <c r="D791" s="1" t="s">
        <v>85</v>
      </c>
      <c r="E791" s="1">
        <v>86323</v>
      </c>
      <c r="F791" s="1" t="s">
        <v>1933</v>
      </c>
      <c r="G791" s="1" t="s">
        <v>2130</v>
      </c>
      <c r="H791" s="4" t="s">
        <v>27</v>
      </c>
      <c r="V791" s="46">
        <f>IF(
  OR(
    ISNUMBER(SEARCH("unable to locate acct", tblDocketedComments[[#This Row],[Docketed Consumer Comments]])),
    ISNUMBER(SEARCH("unknown", tblDocketedComments[[#This Row],[Docketed Consumer Comments]])),
    ISNUMBER(SEARCH("inactive", tblDocketedComments[[#This Row],[Docketed Consumer Comments]]))
  ),
  0,
  1
)</f>
        <v>1</v>
      </c>
    </row>
    <row r="792" spans="1:22" hidden="1">
      <c r="A792" s="2">
        <v>45905</v>
      </c>
      <c r="B792" s="1" t="s">
        <v>2299</v>
      </c>
      <c r="C792" s="1" t="s">
        <v>2300</v>
      </c>
      <c r="D792" s="1" t="s">
        <v>63</v>
      </c>
      <c r="E792" s="1">
        <v>85014</v>
      </c>
      <c r="F792" s="1" t="s">
        <v>310</v>
      </c>
      <c r="G792" s="1" t="s">
        <v>2130</v>
      </c>
      <c r="H792" s="4" t="s">
        <v>27</v>
      </c>
      <c r="V792" s="46">
        <f>IF(
  OR(
    ISNUMBER(SEARCH("unable to locate acct", tblDocketedComments[[#This Row],[Docketed Consumer Comments]])),
    ISNUMBER(SEARCH("unknown", tblDocketedComments[[#This Row],[Docketed Consumer Comments]])),
    ISNUMBER(SEARCH("inactive", tblDocketedComments[[#This Row],[Docketed Consumer Comments]]))
  ),
  0,
  1
)</f>
        <v>1</v>
      </c>
    </row>
    <row r="793" spans="1:22" hidden="1">
      <c r="A793" s="2">
        <v>45905</v>
      </c>
      <c r="B793" s="1" t="s">
        <v>2301</v>
      </c>
      <c r="C793" s="1" t="s">
        <v>2302</v>
      </c>
      <c r="D793" s="1" t="s">
        <v>63</v>
      </c>
      <c r="E793" s="1">
        <v>85028</v>
      </c>
      <c r="F793" s="1" t="s">
        <v>310</v>
      </c>
      <c r="G793" s="1" t="s">
        <v>2130</v>
      </c>
      <c r="H793" s="4" t="s">
        <v>2303</v>
      </c>
      <c r="I793" s="5" t="s">
        <v>36</v>
      </c>
      <c r="J793" s="5" t="s">
        <v>37</v>
      </c>
      <c r="K793" s="5" t="s">
        <v>37</v>
      </c>
      <c r="L793" s="5" t="s">
        <v>38</v>
      </c>
      <c r="M793" s="5" t="s">
        <v>37</v>
      </c>
      <c r="N793" s="5" t="s">
        <v>37</v>
      </c>
      <c r="O793" s="5" t="s">
        <v>38</v>
      </c>
      <c r="P793" s="5" t="s">
        <v>39</v>
      </c>
      <c r="Q793" s="2">
        <v>45966</v>
      </c>
      <c r="V793" s="46">
        <f>IF(
  OR(
    ISNUMBER(SEARCH("unable to locate acct", tblDocketedComments[[#This Row],[Docketed Consumer Comments]])),
    ISNUMBER(SEARCH("unknown", tblDocketedComments[[#This Row],[Docketed Consumer Comments]])),
    ISNUMBER(SEARCH("inactive", tblDocketedComments[[#This Row],[Docketed Consumer Comments]]))
  ),
  0,
  1
)</f>
        <v>1</v>
      </c>
    </row>
    <row r="794" spans="1:22" hidden="1">
      <c r="A794" s="2">
        <v>45905</v>
      </c>
      <c r="B794" s="1" t="s">
        <v>2304</v>
      </c>
      <c r="C794" s="1" t="s">
        <v>481</v>
      </c>
      <c r="D794" s="1" t="s">
        <v>112</v>
      </c>
      <c r="E794" s="1">
        <v>85374</v>
      </c>
      <c r="F794" s="1" t="s">
        <v>2305</v>
      </c>
      <c r="G794" s="1" t="s">
        <v>2130</v>
      </c>
      <c r="H794" s="4" t="s">
        <v>2306</v>
      </c>
      <c r="I794" s="5" t="s">
        <v>36</v>
      </c>
      <c r="J794" s="5" t="s">
        <v>37</v>
      </c>
      <c r="K794" s="5" t="s">
        <v>37</v>
      </c>
      <c r="L794" s="5" t="s">
        <v>38</v>
      </c>
      <c r="M794" s="5" t="s">
        <v>37</v>
      </c>
      <c r="N794" s="5" t="s">
        <v>37</v>
      </c>
      <c r="O794" s="5" t="s">
        <v>38</v>
      </c>
      <c r="P794" s="5" t="s">
        <v>39</v>
      </c>
      <c r="Q794" s="2">
        <v>45966</v>
      </c>
      <c r="V794" s="46">
        <f>IF(
  OR(
    ISNUMBER(SEARCH("unable to locate acct", tblDocketedComments[[#This Row],[Docketed Consumer Comments]])),
    ISNUMBER(SEARCH("unknown", tblDocketedComments[[#This Row],[Docketed Consumer Comments]])),
    ISNUMBER(SEARCH("inactive", tblDocketedComments[[#This Row],[Docketed Consumer Comments]]))
  ),
  0,
  1
)</f>
        <v>1</v>
      </c>
    </row>
    <row r="795" spans="1:22" hidden="1">
      <c r="A795" s="2">
        <v>45905</v>
      </c>
      <c r="B795" s="1" t="s">
        <v>2307</v>
      </c>
      <c r="C795" s="1" t="s">
        <v>2308</v>
      </c>
      <c r="D795" s="1" t="s">
        <v>63</v>
      </c>
      <c r="E795" s="1">
        <v>85029</v>
      </c>
      <c r="F795" s="1" t="s">
        <v>310</v>
      </c>
      <c r="G795" s="1" t="s">
        <v>2130</v>
      </c>
      <c r="H795" s="4" t="s">
        <v>2309</v>
      </c>
      <c r="I795" s="5" t="s">
        <v>418</v>
      </c>
      <c r="J795" s="5" t="s">
        <v>37</v>
      </c>
      <c r="K795" s="5" t="s">
        <v>37</v>
      </c>
      <c r="L795" s="5" t="s">
        <v>389</v>
      </c>
      <c r="M795" s="5" t="s">
        <v>37</v>
      </c>
      <c r="N795" s="5" t="s">
        <v>37</v>
      </c>
      <c r="O795" s="5" t="s">
        <v>38</v>
      </c>
      <c r="P795" s="5" t="s">
        <v>39</v>
      </c>
      <c r="Q795" s="2">
        <v>45966</v>
      </c>
      <c r="V795" s="46">
        <f>IF(
  OR(
    ISNUMBER(SEARCH("unable to locate acct", tblDocketedComments[[#This Row],[Docketed Consumer Comments]])),
    ISNUMBER(SEARCH("unknown", tblDocketedComments[[#This Row],[Docketed Consumer Comments]])),
    ISNUMBER(SEARCH("inactive", tblDocketedComments[[#This Row],[Docketed Consumer Comments]]))
  ),
  0,
  1
)</f>
        <v>1</v>
      </c>
    </row>
    <row r="796" spans="1:22" hidden="1">
      <c r="A796" s="2">
        <v>45905</v>
      </c>
      <c r="B796" s="1" t="s">
        <v>2310</v>
      </c>
      <c r="C796" s="1" t="s">
        <v>2311</v>
      </c>
      <c r="D796" s="1" t="s">
        <v>63</v>
      </c>
      <c r="E796" s="1">
        <v>85043</v>
      </c>
      <c r="F796" s="1" t="s">
        <v>2312</v>
      </c>
      <c r="G796" s="1" t="s">
        <v>2130</v>
      </c>
      <c r="H796" s="4" t="s">
        <v>27</v>
      </c>
      <c r="V796" s="46">
        <f>IF(
  OR(
    ISNUMBER(SEARCH("unable to locate acct", tblDocketedComments[[#This Row],[Docketed Consumer Comments]])),
    ISNUMBER(SEARCH("unknown", tblDocketedComments[[#This Row],[Docketed Consumer Comments]])),
    ISNUMBER(SEARCH("inactive", tblDocketedComments[[#This Row],[Docketed Consumer Comments]]))
  ),
  0,
  1
)</f>
        <v>1</v>
      </c>
    </row>
    <row r="797" spans="1:22" hidden="1">
      <c r="A797" s="2">
        <v>45905</v>
      </c>
      <c r="B797" s="1" t="s">
        <v>2313</v>
      </c>
      <c r="C797" s="1" t="s">
        <v>194</v>
      </c>
      <c r="D797" s="1" t="s">
        <v>63</v>
      </c>
      <c r="E797" s="1">
        <v>85013</v>
      </c>
      <c r="F797" s="1" t="s">
        <v>310</v>
      </c>
      <c r="G797" s="1" t="s">
        <v>2130</v>
      </c>
      <c r="H797" s="4" t="s">
        <v>2314</v>
      </c>
      <c r="I797" s="5" t="s">
        <v>36</v>
      </c>
      <c r="J797" s="5" t="s">
        <v>37</v>
      </c>
      <c r="K797" s="5" t="s">
        <v>37</v>
      </c>
      <c r="L797" s="5" t="s">
        <v>38</v>
      </c>
      <c r="M797" s="5" t="s">
        <v>37</v>
      </c>
      <c r="N797" s="5" t="s">
        <v>37</v>
      </c>
      <c r="O797" s="5" t="s">
        <v>38</v>
      </c>
      <c r="P797" s="5" t="s">
        <v>39</v>
      </c>
      <c r="Q797" s="2">
        <v>45965</v>
      </c>
      <c r="V797" s="46">
        <f>IF(
  OR(
    ISNUMBER(SEARCH("unable to locate acct", tblDocketedComments[[#This Row],[Docketed Consumer Comments]])),
    ISNUMBER(SEARCH("unknown", tblDocketedComments[[#This Row],[Docketed Consumer Comments]])),
    ISNUMBER(SEARCH("inactive", tblDocketedComments[[#This Row],[Docketed Consumer Comments]]))
  ),
  0,
  1
)</f>
        <v>1</v>
      </c>
    </row>
    <row r="798" spans="1:22" hidden="1">
      <c r="A798" s="2">
        <v>45905</v>
      </c>
      <c r="B798" s="1" t="s">
        <v>2315</v>
      </c>
      <c r="C798" s="1" t="s">
        <v>2316</v>
      </c>
      <c r="D798" s="1" t="s">
        <v>370</v>
      </c>
      <c r="E798" s="1">
        <v>85225</v>
      </c>
      <c r="F798" s="1" t="s">
        <v>2317</v>
      </c>
      <c r="G798" s="1" t="s">
        <v>2130</v>
      </c>
      <c r="H798" s="19" t="s">
        <v>2318</v>
      </c>
      <c r="I798" s="5" t="s">
        <v>36</v>
      </c>
      <c r="J798" s="5" t="s">
        <v>38</v>
      </c>
      <c r="K798" s="5" t="s">
        <v>37</v>
      </c>
      <c r="L798" s="5" t="s">
        <v>38</v>
      </c>
      <c r="M798" s="5" t="s">
        <v>37</v>
      </c>
      <c r="N798" s="5" t="s">
        <v>37</v>
      </c>
      <c r="O798" s="5" t="s">
        <v>38</v>
      </c>
      <c r="P798" s="5" t="s">
        <v>39</v>
      </c>
      <c r="Q798" s="2">
        <v>45965</v>
      </c>
      <c r="V798" s="46">
        <f>IF(
  OR(
    ISNUMBER(SEARCH("unable to locate acct", tblDocketedComments[[#This Row],[Docketed Consumer Comments]])),
    ISNUMBER(SEARCH("unknown", tblDocketedComments[[#This Row],[Docketed Consumer Comments]])),
    ISNUMBER(SEARCH("inactive", tblDocketedComments[[#This Row],[Docketed Consumer Comments]]))
  ),
  0,
  1
)</f>
        <v>1</v>
      </c>
    </row>
    <row r="799" spans="1:22" hidden="1">
      <c r="A799" s="2">
        <v>45905</v>
      </c>
      <c r="B799" s="1" t="s">
        <v>2319</v>
      </c>
      <c r="C799" s="1" t="s">
        <v>2320</v>
      </c>
      <c r="D799" s="1" t="s">
        <v>202</v>
      </c>
      <c r="E799" s="1">
        <v>85383</v>
      </c>
      <c r="F799" s="1" t="s">
        <v>310</v>
      </c>
      <c r="G799" s="1" t="s">
        <v>2130</v>
      </c>
      <c r="H799" s="19" t="s">
        <v>2321</v>
      </c>
      <c r="I799" s="5" t="s">
        <v>36</v>
      </c>
      <c r="J799" s="5" t="s">
        <v>37</v>
      </c>
      <c r="K799" s="5" t="s">
        <v>37</v>
      </c>
      <c r="L799" s="5" t="s">
        <v>38</v>
      </c>
      <c r="M799" s="5" t="s">
        <v>37</v>
      </c>
      <c r="N799" s="5" t="s">
        <v>37</v>
      </c>
      <c r="O799" s="5" t="s">
        <v>38</v>
      </c>
      <c r="P799" s="5" t="s">
        <v>39</v>
      </c>
      <c r="Q799" s="2">
        <v>45965</v>
      </c>
      <c r="V799" s="46">
        <f>IF(
  OR(
    ISNUMBER(SEARCH("unable to locate acct", tblDocketedComments[[#This Row],[Docketed Consumer Comments]])),
    ISNUMBER(SEARCH("unknown", tblDocketedComments[[#This Row],[Docketed Consumer Comments]])),
    ISNUMBER(SEARCH("inactive", tblDocketedComments[[#This Row],[Docketed Consumer Comments]]))
  ),
  0,
  1
)</f>
        <v>1</v>
      </c>
    </row>
    <row r="800" spans="1:22" hidden="1">
      <c r="A800" s="2">
        <v>45905</v>
      </c>
      <c r="B800" s="1" t="s">
        <v>2322</v>
      </c>
      <c r="C800" s="1" t="s">
        <v>2184</v>
      </c>
      <c r="D800" s="1" t="s">
        <v>136</v>
      </c>
      <c r="E800" s="1">
        <v>85377</v>
      </c>
      <c r="F800" s="1" t="s">
        <v>2323</v>
      </c>
      <c r="G800" s="1" t="s">
        <v>2130</v>
      </c>
      <c r="H800" s="4" t="s">
        <v>2324</v>
      </c>
      <c r="I800" s="5" t="s">
        <v>196</v>
      </c>
      <c r="J800" s="5" t="s">
        <v>37</v>
      </c>
      <c r="K800" s="5" t="s">
        <v>37</v>
      </c>
      <c r="L800" s="7" t="s">
        <v>2325</v>
      </c>
      <c r="M800" s="5" t="s">
        <v>37</v>
      </c>
      <c r="N800" s="5" t="s">
        <v>37</v>
      </c>
      <c r="O800" s="5" t="s">
        <v>38</v>
      </c>
      <c r="P800" s="2">
        <v>45937</v>
      </c>
      <c r="Q800" s="2">
        <v>45965</v>
      </c>
      <c r="R800" s="1" t="s">
        <v>2326</v>
      </c>
      <c r="V800" s="46">
        <f>IF(
  OR(
    ISNUMBER(SEARCH("unable to locate acct", tblDocketedComments[[#This Row],[Docketed Consumer Comments]])),
    ISNUMBER(SEARCH("unknown", tblDocketedComments[[#This Row],[Docketed Consumer Comments]])),
    ISNUMBER(SEARCH("inactive", tblDocketedComments[[#This Row],[Docketed Consumer Comments]]))
  ),
  0,
  1
)</f>
        <v>1</v>
      </c>
    </row>
    <row r="801" spans="1:22" hidden="1">
      <c r="A801" s="2">
        <v>45905</v>
      </c>
      <c r="B801" s="1" t="s">
        <v>2327</v>
      </c>
      <c r="C801" s="1" t="s">
        <v>2328</v>
      </c>
      <c r="D801" s="1" t="s">
        <v>63</v>
      </c>
      <c r="E801" s="1">
        <v>85006</v>
      </c>
      <c r="F801" s="1" t="s">
        <v>2329</v>
      </c>
      <c r="G801" s="1" t="s">
        <v>2130</v>
      </c>
      <c r="H801" s="4" t="s">
        <v>2330</v>
      </c>
      <c r="I801" s="5" t="s">
        <v>73</v>
      </c>
      <c r="J801" s="5" t="s">
        <v>37</v>
      </c>
      <c r="K801" s="5" t="s">
        <v>37</v>
      </c>
      <c r="L801" s="5" t="s">
        <v>38</v>
      </c>
      <c r="M801" s="5" t="s">
        <v>37</v>
      </c>
      <c r="N801" s="5" t="s">
        <v>37</v>
      </c>
      <c r="O801" s="5" t="s">
        <v>38</v>
      </c>
      <c r="P801" s="5" t="s">
        <v>39</v>
      </c>
      <c r="Q801" s="2">
        <v>45965</v>
      </c>
      <c r="V801" s="46">
        <f>IF(
  OR(
    ISNUMBER(SEARCH("unable to locate acct", tblDocketedComments[[#This Row],[Docketed Consumer Comments]])),
    ISNUMBER(SEARCH("unknown", tblDocketedComments[[#This Row],[Docketed Consumer Comments]])),
    ISNUMBER(SEARCH("inactive", tblDocketedComments[[#This Row],[Docketed Consumer Comments]]))
  ),
  0,
  1
)</f>
        <v>1</v>
      </c>
    </row>
    <row r="802" spans="1:22" hidden="1">
      <c r="A802" s="2">
        <v>45905</v>
      </c>
      <c r="B802" s="1" t="s">
        <v>2331</v>
      </c>
      <c r="C802" s="1" t="s">
        <v>2332</v>
      </c>
      <c r="D802" s="1" t="s">
        <v>635</v>
      </c>
      <c r="E802" s="1">
        <v>85281</v>
      </c>
      <c r="F802" s="1" t="s">
        <v>310</v>
      </c>
      <c r="G802" s="1" t="s">
        <v>2130</v>
      </c>
      <c r="H802" s="4" t="s">
        <v>2333</v>
      </c>
      <c r="I802" s="5" t="s">
        <v>126</v>
      </c>
      <c r="J802" s="5" t="s">
        <v>37</v>
      </c>
      <c r="K802" s="5" t="s">
        <v>37</v>
      </c>
      <c r="L802" s="5" t="s">
        <v>2334</v>
      </c>
      <c r="M802" s="5" t="s">
        <v>37</v>
      </c>
      <c r="N802" s="5" t="s">
        <v>37</v>
      </c>
      <c r="O802" s="5" t="s">
        <v>38</v>
      </c>
      <c r="P802" s="5" t="s">
        <v>39</v>
      </c>
      <c r="Q802" s="2">
        <v>45965</v>
      </c>
      <c r="V802" s="46">
        <f>IF(
  OR(
    ISNUMBER(SEARCH("unable to locate acct", tblDocketedComments[[#This Row],[Docketed Consumer Comments]])),
    ISNUMBER(SEARCH("unknown", tblDocketedComments[[#This Row],[Docketed Consumer Comments]])),
    ISNUMBER(SEARCH("inactive", tblDocketedComments[[#This Row],[Docketed Consumer Comments]]))
  ),
  0,
  1
)</f>
        <v>1</v>
      </c>
    </row>
    <row r="803" spans="1:22" hidden="1">
      <c r="A803" s="2">
        <v>45905</v>
      </c>
      <c r="B803" s="1" t="s">
        <v>2335</v>
      </c>
      <c r="C803" s="1" t="s">
        <v>2336</v>
      </c>
      <c r="D803" s="1" t="s">
        <v>63</v>
      </c>
      <c r="E803" s="1">
        <v>85032</v>
      </c>
      <c r="F803" s="1" t="s">
        <v>2337</v>
      </c>
      <c r="G803" s="1" t="s">
        <v>2130</v>
      </c>
      <c r="H803" s="4" t="s">
        <v>27</v>
      </c>
      <c r="V803" s="46">
        <f>IF(
  OR(
    ISNUMBER(SEARCH("unable to locate acct", tblDocketedComments[[#This Row],[Docketed Consumer Comments]])),
    ISNUMBER(SEARCH("unknown", tblDocketedComments[[#This Row],[Docketed Consumer Comments]])),
    ISNUMBER(SEARCH("inactive", tblDocketedComments[[#This Row],[Docketed Consumer Comments]]))
  ),
  0,
  1
)</f>
        <v>1</v>
      </c>
    </row>
    <row r="804" spans="1:22" hidden="1">
      <c r="A804" s="2">
        <v>45905</v>
      </c>
      <c r="B804" s="1" t="s">
        <v>2338</v>
      </c>
      <c r="C804" s="1" t="s">
        <v>2339</v>
      </c>
      <c r="D804" s="1" t="s">
        <v>635</v>
      </c>
      <c r="E804" s="1">
        <v>85281</v>
      </c>
      <c r="F804" s="1" t="s">
        <v>310</v>
      </c>
      <c r="G804" s="1" t="s">
        <v>2130</v>
      </c>
      <c r="H804" s="4" t="s">
        <v>90</v>
      </c>
      <c r="V804" s="46">
        <f>IF(
  OR(
    ISNUMBER(SEARCH("unable to locate acct", tblDocketedComments[[#This Row],[Docketed Consumer Comments]])),
    ISNUMBER(SEARCH("unknown", tblDocketedComments[[#This Row],[Docketed Consumer Comments]])),
    ISNUMBER(SEARCH("inactive", tblDocketedComments[[#This Row],[Docketed Consumer Comments]]))
  ),
  0,
  1
)</f>
        <v>1</v>
      </c>
    </row>
    <row r="805" spans="1:22" hidden="1">
      <c r="A805" s="2">
        <v>45905</v>
      </c>
      <c r="B805" s="1" t="s">
        <v>2340</v>
      </c>
      <c r="C805" s="1" t="s">
        <v>2341</v>
      </c>
      <c r="D805" s="1" t="s">
        <v>174</v>
      </c>
      <c r="E805" s="1">
        <v>85326</v>
      </c>
      <c r="F805" s="1" t="s">
        <v>310</v>
      </c>
      <c r="G805" s="1" t="s">
        <v>2130</v>
      </c>
      <c r="H805" s="4" t="s">
        <v>2342</v>
      </c>
      <c r="I805" s="5" t="s">
        <v>541</v>
      </c>
      <c r="J805" s="5" t="s">
        <v>38</v>
      </c>
      <c r="K805" s="5" t="s">
        <v>37</v>
      </c>
      <c r="L805" s="5" t="s">
        <v>389</v>
      </c>
      <c r="M805" s="5" t="s">
        <v>37</v>
      </c>
      <c r="N805" s="5" t="s">
        <v>37</v>
      </c>
      <c r="O805" s="5" t="s">
        <v>38</v>
      </c>
      <c r="P805" s="5" t="s">
        <v>39</v>
      </c>
      <c r="Q805" s="2">
        <v>45965</v>
      </c>
      <c r="V805" s="46">
        <f>IF(
  OR(
    ISNUMBER(SEARCH("unable to locate acct", tblDocketedComments[[#This Row],[Docketed Consumer Comments]])),
    ISNUMBER(SEARCH("unknown", tblDocketedComments[[#This Row],[Docketed Consumer Comments]])),
    ISNUMBER(SEARCH("inactive", tblDocketedComments[[#This Row],[Docketed Consumer Comments]]))
  ),
  0,
  1
)</f>
        <v>1</v>
      </c>
    </row>
    <row r="806" spans="1:22" hidden="1">
      <c r="A806" s="2">
        <v>45905</v>
      </c>
      <c r="B806" s="1" t="s">
        <v>2290</v>
      </c>
      <c r="C806" s="1" t="s">
        <v>2343</v>
      </c>
      <c r="D806" s="1" t="s">
        <v>63</v>
      </c>
      <c r="E806" s="1">
        <v>85024</v>
      </c>
      <c r="F806" s="1" t="s">
        <v>31</v>
      </c>
      <c r="G806" s="1" t="s">
        <v>2130</v>
      </c>
      <c r="H806" s="4" t="s">
        <v>2344</v>
      </c>
      <c r="I806" s="5" t="s">
        <v>36</v>
      </c>
      <c r="J806" s="5" t="s">
        <v>37</v>
      </c>
      <c r="K806" s="5" t="s">
        <v>37</v>
      </c>
      <c r="L806" s="5" t="s">
        <v>38</v>
      </c>
      <c r="M806" s="5" t="s">
        <v>37</v>
      </c>
      <c r="N806" s="5" t="s">
        <v>37</v>
      </c>
      <c r="O806" s="5" t="s">
        <v>38</v>
      </c>
      <c r="P806" s="5" t="s">
        <v>39</v>
      </c>
      <c r="Q806" s="2">
        <v>45965</v>
      </c>
      <c r="V806" s="46">
        <f>IF(
  OR(
    ISNUMBER(SEARCH("unable to locate acct", tblDocketedComments[[#This Row],[Docketed Consumer Comments]])),
    ISNUMBER(SEARCH("unknown", tblDocketedComments[[#This Row],[Docketed Consumer Comments]])),
    ISNUMBER(SEARCH("inactive", tblDocketedComments[[#This Row],[Docketed Consumer Comments]]))
  ),
  0,
  1
)</f>
        <v>1</v>
      </c>
    </row>
    <row r="807" spans="1:22" hidden="1">
      <c r="A807" s="2">
        <v>45905</v>
      </c>
      <c r="B807" s="1" t="s">
        <v>2345</v>
      </c>
      <c r="C807" s="1" t="s">
        <v>75</v>
      </c>
      <c r="D807" s="1" t="s">
        <v>63</v>
      </c>
      <c r="E807" s="1">
        <v>85012</v>
      </c>
      <c r="F807" s="1" t="s">
        <v>310</v>
      </c>
      <c r="G807" s="1" t="s">
        <v>2130</v>
      </c>
      <c r="H807" s="19" t="s">
        <v>2346</v>
      </c>
      <c r="I807" s="5" t="s">
        <v>73</v>
      </c>
      <c r="J807" s="5" t="s">
        <v>37</v>
      </c>
      <c r="K807" s="5" t="s">
        <v>37</v>
      </c>
      <c r="L807" s="5" t="s">
        <v>401</v>
      </c>
      <c r="M807" s="5" t="s">
        <v>37</v>
      </c>
      <c r="N807" s="5" t="s">
        <v>37</v>
      </c>
      <c r="O807" s="5" t="s">
        <v>38</v>
      </c>
      <c r="P807" s="5" t="s">
        <v>39</v>
      </c>
      <c r="Q807" s="2">
        <v>38660</v>
      </c>
      <c r="R807" s="1" t="s">
        <v>2347</v>
      </c>
      <c r="V807" s="46">
        <f>IF(
  OR(
    ISNUMBER(SEARCH("unable to locate acct", tblDocketedComments[[#This Row],[Docketed Consumer Comments]])),
    ISNUMBER(SEARCH("unknown", tblDocketedComments[[#This Row],[Docketed Consumer Comments]])),
    ISNUMBER(SEARCH("inactive", tblDocketedComments[[#This Row],[Docketed Consumer Comments]]))
  ),
  0,
  1
)</f>
        <v>1</v>
      </c>
    </row>
    <row r="808" spans="1:22" hidden="1">
      <c r="A808" s="2">
        <v>45905</v>
      </c>
      <c r="B808" s="1" t="s">
        <v>2348</v>
      </c>
      <c r="C808" s="1" t="s">
        <v>2349</v>
      </c>
      <c r="D808" s="1" t="s">
        <v>63</v>
      </c>
      <c r="E808" s="1">
        <v>85008</v>
      </c>
      <c r="F808" s="1" t="s">
        <v>31</v>
      </c>
      <c r="G808" s="1" t="s">
        <v>2130</v>
      </c>
      <c r="H808" s="4" t="s">
        <v>2350</v>
      </c>
      <c r="I808" s="5" t="s">
        <v>196</v>
      </c>
      <c r="J808" s="5" t="s">
        <v>37</v>
      </c>
      <c r="K808" s="5" t="s">
        <v>37</v>
      </c>
      <c r="L808" s="7" t="s">
        <v>2351</v>
      </c>
      <c r="M808" s="5" t="s">
        <v>37</v>
      </c>
      <c r="N808" s="5" t="s">
        <v>37</v>
      </c>
      <c r="O808" s="5" t="s">
        <v>38</v>
      </c>
      <c r="P808" s="2">
        <v>45937</v>
      </c>
      <c r="Q808" s="2">
        <v>45965</v>
      </c>
      <c r="R808" s="1" t="s">
        <v>2352</v>
      </c>
      <c r="V808" s="46">
        <f>IF(
  OR(
    ISNUMBER(SEARCH("unable to locate acct", tblDocketedComments[[#This Row],[Docketed Consumer Comments]])),
    ISNUMBER(SEARCH("unknown", tblDocketedComments[[#This Row],[Docketed Consumer Comments]])),
    ISNUMBER(SEARCH("inactive", tblDocketedComments[[#This Row],[Docketed Consumer Comments]]))
  ),
  0,
  1
)</f>
        <v>1</v>
      </c>
    </row>
    <row r="809" spans="1:22" hidden="1">
      <c r="A809" s="2">
        <v>45905</v>
      </c>
      <c r="B809" s="1" t="s">
        <v>2353</v>
      </c>
      <c r="C809" s="1" t="s">
        <v>2354</v>
      </c>
      <c r="D809" s="1" t="s">
        <v>63</v>
      </c>
      <c r="E809" s="1">
        <v>85027</v>
      </c>
      <c r="F809" s="1" t="s">
        <v>310</v>
      </c>
      <c r="G809" s="1" t="s">
        <v>2130</v>
      </c>
      <c r="H809" s="19" t="s">
        <v>2355</v>
      </c>
      <c r="I809" s="5" t="s">
        <v>541</v>
      </c>
      <c r="J809" s="5" t="s">
        <v>37</v>
      </c>
      <c r="K809" s="5" t="s">
        <v>37</v>
      </c>
      <c r="L809" s="5" t="s">
        <v>389</v>
      </c>
      <c r="M809" s="5" t="s">
        <v>37</v>
      </c>
      <c r="N809" s="5" t="s">
        <v>37</v>
      </c>
      <c r="O809" s="5" t="s">
        <v>38</v>
      </c>
      <c r="P809" s="5" t="s">
        <v>39</v>
      </c>
      <c r="Q809" s="2">
        <v>45965</v>
      </c>
      <c r="V809" s="46">
        <f>IF(
  OR(
    ISNUMBER(SEARCH("unable to locate acct", tblDocketedComments[[#This Row],[Docketed Consumer Comments]])),
    ISNUMBER(SEARCH("unknown", tblDocketedComments[[#This Row],[Docketed Consumer Comments]])),
    ISNUMBER(SEARCH("inactive", tblDocketedComments[[#This Row],[Docketed Consumer Comments]]))
  ),
  0,
  1
)</f>
        <v>1</v>
      </c>
    </row>
    <row r="810" spans="1:22" hidden="1">
      <c r="A810" s="2">
        <v>45905</v>
      </c>
      <c r="B810" s="1" t="s">
        <v>2356</v>
      </c>
      <c r="C810" s="1" t="s">
        <v>2219</v>
      </c>
      <c r="D810" s="1" t="s">
        <v>30</v>
      </c>
      <c r="E810" s="24" t="s">
        <v>30</v>
      </c>
      <c r="F810" s="1" t="s">
        <v>2357</v>
      </c>
      <c r="G810" s="1" t="s">
        <v>2130</v>
      </c>
      <c r="H810" s="4" t="s">
        <v>2358</v>
      </c>
      <c r="I810" s="5" t="s">
        <v>126</v>
      </c>
      <c r="J810" s="5" t="s">
        <v>37</v>
      </c>
      <c r="K810" s="5" t="s">
        <v>37</v>
      </c>
      <c r="L810" s="5" t="s">
        <v>38</v>
      </c>
      <c r="M810" s="5" t="s">
        <v>37</v>
      </c>
      <c r="N810" s="5" t="s">
        <v>37</v>
      </c>
      <c r="O810" s="5" t="s">
        <v>38</v>
      </c>
      <c r="P810" s="5" t="s">
        <v>39</v>
      </c>
      <c r="Q810" s="2">
        <v>45965</v>
      </c>
      <c r="V810" s="46">
        <f>IF(
  OR(
    ISNUMBER(SEARCH("unable to locate acct", tblDocketedComments[[#This Row],[Docketed Consumer Comments]])),
    ISNUMBER(SEARCH("unknown", tblDocketedComments[[#This Row],[Docketed Consumer Comments]])),
    ISNUMBER(SEARCH("inactive", tblDocketedComments[[#This Row],[Docketed Consumer Comments]]))
  ),
  0,
  1
)</f>
        <v>1</v>
      </c>
    </row>
    <row r="811" spans="1:22" hidden="1">
      <c r="A811" s="14">
        <v>45905</v>
      </c>
      <c r="B811" s="25" t="s">
        <v>2359</v>
      </c>
      <c r="C811" s="25" t="s">
        <v>2360</v>
      </c>
      <c r="D811" s="25" t="s">
        <v>2361</v>
      </c>
      <c r="E811" s="25">
        <v>86335</v>
      </c>
      <c r="F811" s="25" t="s">
        <v>31</v>
      </c>
      <c r="G811" s="26" t="s">
        <v>2362</v>
      </c>
      <c r="H811" s="4" t="s">
        <v>27</v>
      </c>
      <c r="V811" s="46">
        <f>IF(
  OR(
    ISNUMBER(SEARCH("unable to locate acct", tblDocketedComments[[#This Row],[Docketed Consumer Comments]])),
    ISNUMBER(SEARCH("unknown", tblDocketedComments[[#This Row],[Docketed Consumer Comments]])),
    ISNUMBER(SEARCH("inactive", tblDocketedComments[[#This Row],[Docketed Consumer Comments]]))
  ),
  0,
  1
)</f>
        <v>1</v>
      </c>
    </row>
    <row r="812" spans="1:22" hidden="1">
      <c r="A812" s="2">
        <v>45905</v>
      </c>
      <c r="B812" s="1" t="s">
        <v>747</v>
      </c>
      <c r="C812" s="1" t="s">
        <v>1962</v>
      </c>
      <c r="D812" s="1" t="s">
        <v>30</v>
      </c>
      <c r="E812" s="1" t="s">
        <v>30</v>
      </c>
      <c r="F812" s="1" t="s">
        <v>31</v>
      </c>
      <c r="G812" s="1" t="s">
        <v>2130</v>
      </c>
      <c r="H812" s="4" t="s">
        <v>209</v>
      </c>
      <c r="V812" s="46">
        <f>IF(
  OR(
    ISNUMBER(SEARCH("unable to locate acct", tblDocketedComments[[#This Row],[Docketed Consumer Comments]])),
    ISNUMBER(SEARCH("unknown", tblDocketedComments[[#This Row],[Docketed Consumer Comments]])),
    ISNUMBER(SEARCH("inactive", tblDocketedComments[[#This Row],[Docketed Consumer Comments]]))
  ),
  0,
  1
)</f>
        <v>1</v>
      </c>
    </row>
    <row r="813" spans="1:22" hidden="1">
      <c r="A813" s="2">
        <v>45906</v>
      </c>
      <c r="B813" s="1" t="s">
        <v>2363</v>
      </c>
      <c r="C813" s="1" t="s">
        <v>879</v>
      </c>
      <c r="D813" s="1" t="s">
        <v>112</v>
      </c>
      <c r="E813" s="1">
        <v>85388</v>
      </c>
      <c r="F813" s="1" t="s">
        <v>310</v>
      </c>
      <c r="G813" s="1" t="s">
        <v>2364</v>
      </c>
      <c r="H813" s="4" t="s">
        <v>27</v>
      </c>
      <c r="V813" s="46">
        <f>IF(
  OR(
    ISNUMBER(SEARCH("unable to locate acct", tblDocketedComments[[#This Row],[Docketed Consumer Comments]])),
    ISNUMBER(SEARCH("unknown", tblDocketedComments[[#This Row],[Docketed Consumer Comments]])),
    ISNUMBER(SEARCH("inactive", tblDocketedComments[[#This Row],[Docketed Consumer Comments]]))
  ),
  0,
  1
)</f>
        <v>1</v>
      </c>
    </row>
    <row r="814" spans="1:22" hidden="1">
      <c r="A814" s="2">
        <v>45906</v>
      </c>
      <c r="B814" s="1" t="s">
        <v>2365</v>
      </c>
      <c r="C814" s="1" t="s">
        <v>550</v>
      </c>
      <c r="D814" s="1" t="s">
        <v>63</v>
      </c>
      <c r="E814" s="1">
        <v>85004</v>
      </c>
      <c r="F814" s="1" t="s">
        <v>2366</v>
      </c>
      <c r="G814" s="1" t="s">
        <v>2364</v>
      </c>
      <c r="H814" s="4" t="s">
        <v>2367</v>
      </c>
      <c r="I814" s="5" t="s">
        <v>36</v>
      </c>
      <c r="J814" s="5" t="s">
        <v>37</v>
      </c>
      <c r="K814" s="5" t="s">
        <v>37</v>
      </c>
      <c r="L814" s="5" t="s">
        <v>38</v>
      </c>
      <c r="M814" s="5" t="s">
        <v>37</v>
      </c>
      <c r="N814" s="5" t="s">
        <v>37</v>
      </c>
      <c r="O814" s="5" t="s">
        <v>38</v>
      </c>
      <c r="P814" s="5" t="s">
        <v>39</v>
      </c>
      <c r="Q814" s="2">
        <v>45965</v>
      </c>
      <c r="V814" s="46">
        <f>IF(
  OR(
    ISNUMBER(SEARCH("unable to locate acct", tblDocketedComments[[#This Row],[Docketed Consumer Comments]])),
    ISNUMBER(SEARCH("unknown", tblDocketedComments[[#This Row],[Docketed Consumer Comments]])),
    ISNUMBER(SEARCH("inactive", tblDocketedComments[[#This Row],[Docketed Consumer Comments]]))
  ),
  0,
  1
)</f>
        <v>1</v>
      </c>
    </row>
    <row r="815" spans="1:22" hidden="1">
      <c r="A815" s="2">
        <v>45906</v>
      </c>
      <c r="B815" s="1" t="s">
        <v>2368</v>
      </c>
      <c r="C815" s="1" t="s">
        <v>2116</v>
      </c>
      <c r="D815" s="1" t="s">
        <v>63</v>
      </c>
      <c r="E815" s="1">
        <v>85022</v>
      </c>
      <c r="F815" s="1" t="s">
        <v>310</v>
      </c>
      <c r="G815" s="1" t="s">
        <v>2364</v>
      </c>
      <c r="H815" s="4" t="s">
        <v>2369</v>
      </c>
      <c r="I815" s="5" t="s">
        <v>196</v>
      </c>
      <c r="J815" s="5" t="s">
        <v>37</v>
      </c>
      <c r="K815" s="5" t="s">
        <v>37</v>
      </c>
      <c r="L815" s="5" t="s">
        <v>2370</v>
      </c>
      <c r="M815" s="5" t="s">
        <v>37</v>
      </c>
      <c r="N815" s="5" t="s">
        <v>37</v>
      </c>
      <c r="O815" s="5" t="s">
        <v>38</v>
      </c>
      <c r="P815" s="5" t="s">
        <v>39</v>
      </c>
      <c r="Q815" s="2">
        <v>45965</v>
      </c>
      <c r="V815" s="46">
        <f>IF(
  OR(
    ISNUMBER(SEARCH("unable to locate acct", tblDocketedComments[[#This Row],[Docketed Consumer Comments]])),
    ISNUMBER(SEARCH("unknown", tblDocketedComments[[#This Row],[Docketed Consumer Comments]])),
    ISNUMBER(SEARCH("inactive", tblDocketedComments[[#This Row],[Docketed Consumer Comments]]))
  ),
  0,
  1
)</f>
        <v>1</v>
      </c>
    </row>
    <row r="816" spans="1:22" hidden="1">
      <c r="A816" s="2">
        <v>45906</v>
      </c>
      <c r="B816" s="1" t="s">
        <v>2371</v>
      </c>
      <c r="C816" s="1" t="s">
        <v>503</v>
      </c>
      <c r="D816" s="1" t="s">
        <v>125</v>
      </c>
      <c r="E816" s="1">
        <v>85260</v>
      </c>
      <c r="F816" s="1" t="s">
        <v>310</v>
      </c>
      <c r="G816" s="1" t="s">
        <v>2364</v>
      </c>
      <c r="H816" s="4" t="s">
        <v>2372</v>
      </c>
      <c r="I816" s="5" t="s">
        <v>36</v>
      </c>
      <c r="J816" s="5" t="s">
        <v>37</v>
      </c>
      <c r="K816" s="5" t="s">
        <v>37</v>
      </c>
      <c r="L816" s="5" t="s">
        <v>38</v>
      </c>
      <c r="M816" s="5" t="s">
        <v>37</v>
      </c>
      <c r="N816" s="5" t="s">
        <v>37</v>
      </c>
      <c r="O816" s="5" t="s">
        <v>38</v>
      </c>
      <c r="P816" s="5" t="s">
        <v>39</v>
      </c>
      <c r="Q816" s="2">
        <v>45965</v>
      </c>
      <c r="V816" s="46">
        <f>IF(
  OR(
    ISNUMBER(SEARCH("unable to locate acct", tblDocketedComments[[#This Row],[Docketed Consumer Comments]])),
    ISNUMBER(SEARCH("unknown", tblDocketedComments[[#This Row],[Docketed Consumer Comments]])),
    ISNUMBER(SEARCH("inactive", tblDocketedComments[[#This Row],[Docketed Consumer Comments]]))
  ),
  0,
  1
)</f>
        <v>1</v>
      </c>
    </row>
    <row r="817" spans="1:22" hidden="1">
      <c r="A817" s="2">
        <v>45906</v>
      </c>
      <c r="B817" s="1" t="s">
        <v>2373</v>
      </c>
      <c r="C817" s="1" t="s">
        <v>2339</v>
      </c>
      <c r="D817" s="1" t="s">
        <v>63</v>
      </c>
      <c r="E817" s="1">
        <v>85016</v>
      </c>
      <c r="F817" s="1" t="s">
        <v>2374</v>
      </c>
      <c r="G817" s="1" t="s">
        <v>2364</v>
      </c>
      <c r="H817" s="4" t="s">
        <v>2375</v>
      </c>
      <c r="I817" s="5" t="s">
        <v>126</v>
      </c>
      <c r="J817" s="5" t="s">
        <v>37</v>
      </c>
      <c r="K817" s="5" t="s">
        <v>37</v>
      </c>
      <c r="L817" s="5" t="s">
        <v>38</v>
      </c>
      <c r="M817" s="5" t="s">
        <v>37</v>
      </c>
      <c r="N817" s="5" t="s">
        <v>37</v>
      </c>
      <c r="O817" s="5" t="s">
        <v>38</v>
      </c>
      <c r="P817" s="5" t="s">
        <v>39</v>
      </c>
      <c r="Q817" s="2">
        <v>45965</v>
      </c>
      <c r="V817" s="46">
        <f>IF(
  OR(
    ISNUMBER(SEARCH("unable to locate acct", tblDocketedComments[[#This Row],[Docketed Consumer Comments]])),
    ISNUMBER(SEARCH("unknown", tblDocketedComments[[#This Row],[Docketed Consumer Comments]])),
    ISNUMBER(SEARCH("inactive", tblDocketedComments[[#This Row],[Docketed Consumer Comments]]))
  ),
  0,
  1
)</f>
        <v>1</v>
      </c>
    </row>
    <row r="818" spans="1:22" hidden="1">
      <c r="A818" s="2">
        <v>45906</v>
      </c>
      <c r="B818" s="1" t="s">
        <v>2376</v>
      </c>
      <c r="C818" s="1" t="s">
        <v>2377</v>
      </c>
      <c r="D818" s="1" t="s">
        <v>880</v>
      </c>
      <c r="E818" s="1">
        <v>85086</v>
      </c>
      <c r="F818" s="1" t="s">
        <v>2378</v>
      </c>
      <c r="G818" s="1" t="s">
        <v>2364</v>
      </c>
      <c r="H818" s="4" t="s">
        <v>27</v>
      </c>
      <c r="V818" s="46">
        <f>IF(
  OR(
    ISNUMBER(SEARCH("unable to locate acct", tblDocketedComments[[#This Row],[Docketed Consumer Comments]])),
    ISNUMBER(SEARCH("unknown", tblDocketedComments[[#This Row],[Docketed Consumer Comments]])),
    ISNUMBER(SEARCH("inactive", tblDocketedComments[[#This Row],[Docketed Consumer Comments]]))
  ),
  0,
  1
)</f>
        <v>1</v>
      </c>
    </row>
    <row r="819" spans="1:22" hidden="1">
      <c r="A819" s="2">
        <v>45906</v>
      </c>
      <c r="B819" s="1" t="s">
        <v>2379</v>
      </c>
      <c r="C819" s="1" t="s">
        <v>2380</v>
      </c>
      <c r="D819" s="1" t="s">
        <v>63</v>
      </c>
      <c r="E819" s="1">
        <v>37204</v>
      </c>
      <c r="F819" s="1" t="s">
        <v>2381</v>
      </c>
      <c r="G819" s="1" t="s">
        <v>2364</v>
      </c>
      <c r="H819" s="4" t="s">
        <v>2382</v>
      </c>
      <c r="I819" s="5" t="s">
        <v>541</v>
      </c>
      <c r="J819" s="5" t="s">
        <v>37</v>
      </c>
      <c r="K819" s="5" t="s">
        <v>37</v>
      </c>
      <c r="L819" s="5" t="s">
        <v>389</v>
      </c>
      <c r="M819" s="5" t="s">
        <v>37</v>
      </c>
      <c r="N819" s="5" t="s">
        <v>37</v>
      </c>
      <c r="O819" s="5" t="s">
        <v>38</v>
      </c>
      <c r="P819" s="5" t="s">
        <v>39</v>
      </c>
      <c r="Q819" s="2">
        <v>45965</v>
      </c>
      <c r="U819" s="1" t="s">
        <v>724</v>
      </c>
      <c r="V819" s="46">
        <f>IF(
  OR(
    ISNUMBER(SEARCH("unable to locate acct", tblDocketedComments[[#This Row],[Docketed Consumer Comments]])),
    ISNUMBER(SEARCH("unknown", tblDocketedComments[[#This Row],[Docketed Consumer Comments]])),
    ISNUMBER(SEARCH("inactive", tblDocketedComments[[#This Row],[Docketed Consumer Comments]]))
  ),
  0,
  1
)</f>
        <v>1</v>
      </c>
    </row>
    <row r="820" spans="1:22" hidden="1">
      <c r="A820" s="2">
        <v>45906</v>
      </c>
      <c r="B820" s="1" t="s">
        <v>2383</v>
      </c>
      <c r="C820" s="1" t="s">
        <v>246</v>
      </c>
      <c r="D820" s="1" t="s">
        <v>264</v>
      </c>
      <c r="E820" s="1">
        <v>85541</v>
      </c>
      <c r="F820" s="1" t="s">
        <v>2384</v>
      </c>
      <c r="G820" s="1" t="s">
        <v>2364</v>
      </c>
      <c r="H820" s="4" t="s">
        <v>2385</v>
      </c>
      <c r="I820" s="5" t="s">
        <v>36</v>
      </c>
      <c r="J820" s="5" t="s">
        <v>37</v>
      </c>
      <c r="K820" s="5" t="s">
        <v>37</v>
      </c>
      <c r="L820" s="5" t="s">
        <v>38</v>
      </c>
      <c r="M820" s="5" t="s">
        <v>37</v>
      </c>
      <c r="N820" s="5" t="s">
        <v>37</v>
      </c>
      <c r="O820" s="5" t="s">
        <v>38</v>
      </c>
      <c r="P820" s="5" t="s">
        <v>39</v>
      </c>
      <c r="Q820" s="2">
        <v>45965</v>
      </c>
      <c r="V820" s="46">
        <f>IF(
  OR(
    ISNUMBER(SEARCH("unable to locate acct", tblDocketedComments[[#This Row],[Docketed Consumer Comments]])),
    ISNUMBER(SEARCH("unknown", tblDocketedComments[[#This Row],[Docketed Consumer Comments]])),
    ISNUMBER(SEARCH("inactive", tblDocketedComments[[#This Row],[Docketed Consumer Comments]]))
  ),
  0,
  1
)</f>
        <v>1</v>
      </c>
    </row>
    <row r="821" spans="1:22" hidden="1">
      <c r="A821" s="2">
        <v>45906</v>
      </c>
      <c r="B821" s="1" t="s">
        <v>2386</v>
      </c>
      <c r="C821" s="1" t="s">
        <v>697</v>
      </c>
      <c r="D821" s="1" t="s">
        <v>1693</v>
      </c>
      <c r="E821" s="1">
        <v>85373</v>
      </c>
      <c r="F821" s="1" t="s">
        <v>2387</v>
      </c>
      <c r="G821" s="1" t="s">
        <v>2364</v>
      </c>
      <c r="H821" s="4" t="s">
        <v>2388</v>
      </c>
      <c r="I821" s="5" t="s">
        <v>46</v>
      </c>
      <c r="J821" s="5" t="s">
        <v>37</v>
      </c>
      <c r="K821" s="5" t="s">
        <v>37</v>
      </c>
      <c r="L821" s="5" t="s">
        <v>38</v>
      </c>
      <c r="M821" s="5" t="s">
        <v>37</v>
      </c>
      <c r="N821" s="5" t="s">
        <v>37</v>
      </c>
      <c r="O821" s="5" t="s">
        <v>38</v>
      </c>
      <c r="P821" s="5" t="s">
        <v>39</v>
      </c>
      <c r="Q821" s="2">
        <v>45965</v>
      </c>
      <c r="V821" s="46">
        <f>IF(
  OR(
    ISNUMBER(SEARCH("unable to locate acct", tblDocketedComments[[#This Row],[Docketed Consumer Comments]])),
    ISNUMBER(SEARCH("unknown", tblDocketedComments[[#This Row],[Docketed Consumer Comments]])),
    ISNUMBER(SEARCH("inactive", tblDocketedComments[[#This Row],[Docketed Consumer Comments]]))
  ),
  0,
  1
)</f>
        <v>1</v>
      </c>
    </row>
    <row r="822" spans="1:22" hidden="1">
      <c r="A822" s="2">
        <v>45906</v>
      </c>
      <c r="B822" s="1" t="s">
        <v>2389</v>
      </c>
      <c r="C822" s="1" t="s">
        <v>2390</v>
      </c>
      <c r="D822" s="1" t="s">
        <v>63</v>
      </c>
      <c r="E822" s="1">
        <v>85023</v>
      </c>
      <c r="F822" s="1" t="s">
        <v>310</v>
      </c>
      <c r="G822" s="1" t="s">
        <v>2364</v>
      </c>
      <c r="H822" s="4" t="s">
        <v>27</v>
      </c>
      <c r="V822" s="46">
        <f>IF(
  OR(
    ISNUMBER(SEARCH("unable to locate acct", tblDocketedComments[[#This Row],[Docketed Consumer Comments]])),
    ISNUMBER(SEARCH("unknown", tblDocketedComments[[#This Row],[Docketed Consumer Comments]])),
    ISNUMBER(SEARCH("inactive", tblDocketedComments[[#This Row],[Docketed Consumer Comments]]))
  ),
  0,
  1
)</f>
        <v>1</v>
      </c>
    </row>
    <row r="823" spans="1:22" hidden="1">
      <c r="A823" s="2">
        <v>45906</v>
      </c>
      <c r="B823" s="1" t="s">
        <v>2391</v>
      </c>
      <c r="C823" s="1" t="s">
        <v>2392</v>
      </c>
      <c r="D823" s="1" t="s">
        <v>63</v>
      </c>
      <c r="E823" s="1">
        <v>85029</v>
      </c>
      <c r="F823" s="1" t="s">
        <v>305</v>
      </c>
      <c r="G823" s="1" t="s">
        <v>2364</v>
      </c>
      <c r="H823" s="4" t="s">
        <v>2393</v>
      </c>
      <c r="I823" s="5" t="s">
        <v>126</v>
      </c>
      <c r="J823" s="5" t="s">
        <v>37</v>
      </c>
      <c r="K823" s="5" t="s">
        <v>37</v>
      </c>
      <c r="L823" s="5" t="s">
        <v>38</v>
      </c>
      <c r="M823" s="5" t="s">
        <v>37</v>
      </c>
      <c r="N823" s="5" t="s">
        <v>37</v>
      </c>
      <c r="O823" s="5" t="s">
        <v>38</v>
      </c>
      <c r="P823" s="5" t="s">
        <v>39</v>
      </c>
      <c r="Q823" s="2">
        <v>45965</v>
      </c>
      <c r="V823" s="46">
        <f>IF(
  OR(
    ISNUMBER(SEARCH("unable to locate acct", tblDocketedComments[[#This Row],[Docketed Consumer Comments]])),
    ISNUMBER(SEARCH("unknown", tblDocketedComments[[#This Row],[Docketed Consumer Comments]])),
    ISNUMBER(SEARCH("inactive", tblDocketedComments[[#This Row],[Docketed Consumer Comments]]))
  ),
  0,
  1
)</f>
        <v>1</v>
      </c>
    </row>
    <row r="824" spans="1:22" hidden="1">
      <c r="A824" s="2">
        <v>45906</v>
      </c>
      <c r="B824" s="1" t="s">
        <v>2394</v>
      </c>
      <c r="C824" s="1" t="s">
        <v>2395</v>
      </c>
      <c r="D824" s="1" t="s">
        <v>125</v>
      </c>
      <c r="E824" s="1">
        <v>85260</v>
      </c>
      <c r="F824" s="1" t="s">
        <v>31</v>
      </c>
      <c r="G824" s="1" t="s">
        <v>2364</v>
      </c>
      <c r="H824" s="4" t="s">
        <v>2396</v>
      </c>
      <c r="I824" s="5" t="s">
        <v>196</v>
      </c>
      <c r="J824" s="5" t="s">
        <v>37</v>
      </c>
      <c r="K824" s="5" t="s">
        <v>37</v>
      </c>
      <c r="L824" s="7" t="s">
        <v>2397</v>
      </c>
      <c r="M824" s="5" t="s">
        <v>37</v>
      </c>
      <c r="N824" s="5" t="s">
        <v>37</v>
      </c>
      <c r="O824" s="5" t="s">
        <v>38</v>
      </c>
      <c r="P824" s="2">
        <v>45964</v>
      </c>
      <c r="Q824" s="2">
        <v>45965</v>
      </c>
      <c r="R824" s="1" t="s">
        <v>2398</v>
      </c>
      <c r="V824" s="46">
        <f>IF(
  OR(
    ISNUMBER(SEARCH("unable to locate acct", tblDocketedComments[[#This Row],[Docketed Consumer Comments]])),
    ISNUMBER(SEARCH("unknown", tblDocketedComments[[#This Row],[Docketed Consumer Comments]])),
    ISNUMBER(SEARCH("inactive", tblDocketedComments[[#This Row],[Docketed Consumer Comments]]))
  ),
  0,
  1
)</f>
        <v>1</v>
      </c>
    </row>
    <row r="825" spans="1:22" hidden="1">
      <c r="A825" s="2">
        <v>45906</v>
      </c>
      <c r="B825" s="1" t="s">
        <v>2399</v>
      </c>
      <c r="C825" s="1" t="s">
        <v>2400</v>
      </c>
      <c r="D825" s="1" t="s">
        <v>169</v>
      </c>
      <c r="E825" s="1">
        <v>85338</v>
      </c>
      <c r="F825" s="1" t="s">
        <v>310</v>
      </c>
      <c r="G825" s="1" t="s">
        <v>2364</v>
      </c>
      <c r="H825" s="4" t="s">
        <v>27</v>
      </c>
      <c r="V825" s="46">
        <f>IF(
  OR(
    ISNUMBER(SEARCH("unable to locate acct", tblDocketedComments[[#This Row],[Docketed Consumer Comments]])),
    ISNUMBER(SEARCH("unknown", tblDocketedComments[[#This Row],[Docketed Consumer Comments]])),
    ISNUMBER(SEARCH("inactive", tblDocketedComments[[#This Row],[Docketed Consumer Comments]]))
  ),
  0,
  1
)</f>
        <v>1</v>
      </c>
    </row>
    <row r="826" spans="1:22" hidden="1">
      <c r="A826" s="2">
        <v>45906</v>
      </c>
      <c r="B826" s="1" t="s">
        <v>2401</v>
      </c>
      <c r="C826" s="1" t="s">
        <v>333</v>
      </c>
      <c r="D826" s="1" t="s">
        <v>63</v>
      </c>
      <c r="E826" s="1">
        <v>85012</v>
      </c>
      <c r="F826" s="1" t="s">
        <v>310</v>
      </c>
      <c r="G826" s="1" t="s">
        <v>2364</v>
      </c>
      <c r="H826" s="4" t="s">
        <v>2402</v>
      </c>
      <c r="I826" s="5" t="s">
        <v>73</v>
      </c>
      <c r="J826" s="5" t="s">
        <v>37</v>
      </c>
      <c r="K826" s="5" t="s">
        <v>37</v>
      </c>
      <c r="L826" s="5" t="s">
        <v>38</v>
      </c>
      <c r="M826" s="5" t="s">
        <v>37</v>
      </c>
      <c r="N826" s="5" t="s">
        <v>37</v>
      </c>
      <c r="O826" s="5" t="s">
        <v>38</v>
      </c>
      <c r="P826" s="5" t="s">
        <v>39</v>
      </c>
      <c r="Q826" s="2">
        <v>45965</v>
      </c>
      <c r="V826" s="46">
        <f>IF(
  OR(
    ISNUMBER(SEARCH("unable to locate acct", tblDocketedComments[[#This Row],[Docketed Consumer Comments]])),
    ISNUMBER(SEARCH("unknown", tblDocketedComments[[#This Row],[Docketed Consumer Comments]])),
    ISNUMBER(SEARCH("inactive", tblDocketedComments[[#This Row],[Docketed Consumer Comments]]))
  ),
  0,
  1
)</f>
        <v>1</v>
      </c>
    </row>
    <row r="827" spans="1:22" hidden="1">
      <c r="A827" s="2">
        <v>45906</v>
      </c>
      <c r="B827" s="1" t="s">
        <v>2403</v>
      </c>
      <c r="C827" s="1" t="s">
        <v>2404</v>
      </c>
      <c r="D827" s="1" t="s">
        <v>125</v>
      </c>
      <c r="E827" s="1">
        <v>85251</v>
      </c>
      <c r="F827" s="1" t="s">
        <v>2405</v>
      </c>
      <c r="G827" s="27" t="s">
        <v>2364</v>
      </c>
      <c r="H827" s="4" t="s">
        <v>2406</v>
      </c>
      <c r="I827" s="5" t="s">
        <v>36</v>
      </c>
      <c r="J827" s="5" t="s">
        <v>37</v>
      </c>
      <c r="K827" s="5" t="s">
        <v>37</v>
      </c>
      <c r="L827" s="5" t="s">
        <v>38</v>
      </c>
      <c r="M827" s="5" t="s">
        <v>37</v>
      </c>
      <c r="N827" s="5" t="s">
        <v>37</v>
      </c>
      <c r="O827" s="5" t="s">
        <v>38</v>
      </c>
      <c r="P827" s="5" t="s">
        <v>39</v>
      </c>
      <c r="Q827" s="2">
        <v>45965</v>
      </c>
      <c r="V827" s="46">
        <f>IF(
  OR(
    ISNUMBER(SEARCH("unable to locate acct", tblDocketedComments[[#This Row],[Docketed Consumer Comments]])),
    ISNUMBER(SEARCH("unknown", tblDocketedComments[[#This Row],[Docketed Consumer Comments]])),
    ISNUMBER(SEARCH("inactive", tblDocketedComments[[#This Row],[Docketed Consumer Comments]]))
  ),
  0,
  1
)</f>
        <v>1</v>
      </c>
    </row>
    <row r="828" spans="1:22" hidden="1">
      <c r="A828" s="2">
        <v>45906</v>
      </c>
      <c r="B828" s="1" t="s">
        <v>1177</v>
      </c>
      <c r="C828" s="1" t="s">
        <v>464</v>
      </c>
      <c r="D828" s="1" t="s">
        <v>63</v>
      </c>
      <c r="E828" s="1">
        <v>85022</v>
      </c>
      <c r="F828" s="1" t="s">
        <v>2407</v>
      </c>
      <c r="G828" s="1" t="s">
        <v>2364</v>
      </c>
      <c r="H828" s="4" t="s">
        <v>27</v>
      </c>
      <c r="V828" s="46">
        <f>IF(
  OR(
    ISNUMBER(SEARCH("unable to locate acct", tblDocketedComments[[#This Row],[Docketed Consumer Comments]])),
    ISNUMBER(SEARCH("unknown", tblDocketedComments[[#This Row],[Docketed Consumer Comments]])),
    ISNUMBER(SEARCH("inactive", tblDocketedComments[[#This Row],[Docketed Consumer Comments]]))
  ),
  0,
  1
)</f>
        <v>1</v>
      </c>
    </row>
    <row r="829" spans="1:22" hidden="1">
      <c r="A829" s="2">
        <v>45906</v>
      </c>
      <c r="B829" s="1" t="s">
        <v>2408</v>
      </c>
      <c r="C829" s="1" t="s">
        <v>355</v>
      </c>
      <c r="D829" s="1" t="s">
        <v>24</v>
      </c>
      <c r="E829" s="1">
        <v>85310</v>
      </c>
      <c r="F829" s="1" t="s">
        <v>2409</v>
      </c>
      <c r="G829" s="1" t="s">
        <v>2364</v>
      </c>
      <c r="H829" s="4" t="s">
        <v>2410</v>
      </c>
      <c r="I829" s="5" t="s">
        <v>126</v>
      </c>
      <c r="J829" s="5" t="s">
        <v>37</v>
      </c>
      <c r="K829" s="5" t="s">
        <v>37</v>
      </c>
      <c r="L829" s="5" t="s">
        <v>38</v>
      </c>
      <c r="M829" s="5" t="s">
        <v>37</v>
      </c>
      <c r="N829" s="5" t="s">
        <v>37</v>
      </c>
      <c r="O829" s="5" t="s">
        <v>38</v>
      </c>
      <c r="P829" s="5" t="s">
        <v>39</v>
      </c>
      <c r="Q829" s="2">
        <v>45965</v>
      </c>
      <c r="V829" s="46">
        <f>IF(
  OR(
    ISNUMBER(SEARCH("unable to locate acct", tblDocketedComments[[#This Row],[Docketed Consumer Comments]])),
    ISNUMBER(SEARCH("unknown", tblDocketedComments[[#This Row],[Docketed Consumer Comments]])),
    ISNUMBER(SEARCH("inactive", tblDocketedComments[[#This Row],[Docketed Consumer Comments]]))
  ),
  0,
  1
)</f>
        <v>1</v>
      </c>
    </row>
    <row r="830" spans="1:22" hidden="1">
      <c r="A830" s="2">
        <v>45906</v>
      </c>
      <c r="B830" s="1" t="s">
        <v>2411</v>
      </c>
      <c r="C830" s="1" t="s">
        <v>2412</v>
      </c>
      <c r="D830" s="1" t="s">
        <v>63</v>
      </c>
      <c r="E830" s="1">
        <v>85027</v>
      </c>
      <c r="F830" s="1" t="s">
        <v>310</v>
      </c>
      <c r="G830" s="1" t="s">
        <v>2364</v>
      </c>
      <c r="H830" s="4" t="s">
        <v>27</v>
      </c>
      <c r="V830" s="46">
        <f>IF(
  OR(
    ISNUMBER(SEARCH("unable to locate acct", tblDocketedComments[[#This Row],[Docketed Consumer Comments]])),
    ISNUMBER(SEARCH("unknown", tblDocketedComments[[#This Row],[Docketed Consumer Comments]])),
    ISNUMBER(SEARCH("inactive", tblDocketedComments[[#This Row],[Docketed Consumer Comments]]))
  ),
  0,
  1
)</f>
        <v>1</v>
      </c>
    </row>
    <row r="831" spans="1:22" hidden="1">
      <c r="A831" s="2">
        <v>45906</v>
      </c>
      <c r="B831" s="1" t="s">
        <v>2413</v>
      </c>
      <c r="C831" s="1" t="s">
        <v>427</v>
      </c>
      <c r="D831" s="1" t="s">
        <v>24</v>
      </c>
      <c r="E831" s="1">
        <v>85308</v>
      </c>
      <c r="F831" s="1" t="s">
        <v>2414</v>
      </c>
      <c r="G831" s="1" t="s">
        <v>2364</v>
      </c>
      <c r="H831" s="4" t="s">
        <v>2415</v>
      </c>
      <c r="I831" s="5" t="s">
        <v>36</v>
      </c>
      <c r="J831" s="5" t="s">
        <v>37</v>
      </c>
      <c r="K831" s="5" t="s">
        <v>37</v>
      </c>
      <c r="L831" s="5" t="s">
        <v>38</v>
      </c>
      <c r="M831" s="5" t="s">
        <v>37</v>
      </c>
      <c r="N831" s="5" t="s">
        <v>37</v>
      </c>
      <c r="O831" s="5" t="s">
        <v>38</v>
      </c>
      <c r="P831" s="5" t="s">
        <v>39</v>
      </c>
      <c r="Q831" s="2">
        <v>45965</v>
      </c>
      <c r="V831" s="46">
        <f>IF(
  OR(
    ISNUMBER(SEARCH("unable to locate acct", tblDocketedComments[[#This Row],[Docketed Consumer Comments]])),
    ISNUMBER(SEARCH("unknown", tblDocketedComments[[#This Row],[Docketed Consumer Comments]])),
    ISNUMBER(SEARCH("inactive", tblDocketedComments[[#This Row],[Docketed Consumer Comments]]))
  ),
  0,
  1
)</f>
        <v>1</v>
      </c>
    </row>
    <row r="832" spans="1:22" hidden="1">
      <c r="A832" s="2">
        <v>45906</v>
      </c>
      <c r="B832" s="1" t="s">
        <v>2416</v>
      </c>
      <c r="C832" s="1" t="s">
        <v>717</v>
      </c>
      <c r="D832" s="1" t="s">
        <v>30</v>
      </c>
      <c r="E832" s="1" t="s">
        <v>30</v>
      </c>
      <c r="F832" s="1" t="s">
        <v>2417</v>
      </c>
      <c r="G832" s="1" t="s">
        <v>2364</v>
      </c>
      <c r="H832" s="4" t="s">
        <v>2418</v>
      </c>
      <c r="I832" s="5" t="s">
        <v>126</v>
      </c>
      <c r="J832" s="5" t="s">
        <v>37</v>
      </c>
      <c r="K832" s="5" t="s">
        <v>37</v>
      </c>
      <c r="L832" s="5" t="s">
        <v>2419</v>
      </c>
      <c r="M832" s="5" t="s">
        <v>37</v>
      </c>
      <c r="N832" s="5" t="s">
        <v>37</v>
      </c>
      <c r="O832" s="5" t="s">
        <v>38</v>
      </c>
      <c r="P832" s="5" t="s">
        <v>39</v>
      </c>
      <c r="Q832" s="2">
        <v>45965</v>
      </c>
      <c r="V832" s="46">
        <f>IF(
  OR(
    ISNUMBER(SEARCH("unable to locate acct", tblDocketedComments[[#This Row],[Docketed Consumer Comments]])),
    ISNUMBER(SEARCH("unknown", tblDocketedComments[[#This Row],[Docketed Consumer Comments]])),
    ISNUMBER(SEARCH("inactive", tblDocketedComments[[#This Row],[Docketed Consumer Comments]]))
  ),
  0,
  1
)</f>
        <v>1</v>
      </c>
    </row>
    <row r="833" spans="1:22" hidden="1">
      <c r="A833" s="2">
        <v>45906</v>
      </c>
      <c r="B833" s="1" t="s">
        <v>2420</v>
      </c>
      <c r="C833" s="1" t="s">
        <v>611</v>
      </c>
      <c r="D833" s="1" t="s">
        <v>129</v>
      </c>
      <c r="E833" s="1">
        <v>85233</v>
      </c>
      <c r="F833" s="1" t="s">
        <v>310</v>
      </c>
      <c r="G833" s="1" t="s">
        <v>2364</v>
      </c>
      <c r="H833" s="4" t="s">
        <v>2421</v>
      </c>
      <c r="I833" s="5" t="s">
        <v>243</v>
      </c>
      <c r="J833" s="5" t="s">
        <v>37</v>
      </c>
      <c r="K833" s="5" t="s">
        <v>37</v>
      </c>
      <c r="L833" s="5" t="s">
        <v>389</v>
      </c>
      <c r="M833" s="5" t="s">
        <v>37</v>
      </c>
      <c r="N833" s="5" t="s">
        <v>37</v>
      </c>
      <c r="O833" s="5" t="s">
        <v>38</v>
      </c>
      <c r="P833" s="5" t="s">
        <v>39</v>
      </c>
      <c r="Q833" s="2">
        <v>45965</v>
      </c>
      <c r="V833" s="46">
        <f>IF(
  OR(
    ISNUMBER(SEARCH("unable to locate acct", tblDocketedComments[[#This Row],[Docketed Consumer Comments]])),
    ISNUMBER(SEARCH("unknown", tblDocketedComments[[#This Row],[Docketed Consumer Comments]])),
    ISNUMBER(SEARCH("inactive", tblDocketedComments[[#This Row],[Docketed Consumer Comments]]))
  ),
  0,
  1
)</f>
        <v>1</v>
      </c>
    </row>
    <row r="834" spans="1:22" hidden="1">
      <c r="A834" s="2">
        <v>45906</v>
      </c>
      <c r="B834" s="1" t="s">
        <v>49</v>
      </c>
      <c r="C834" s="1" t="s">
        <v>2422</v>
      </c>
      <c r="D834" s="1" t="s">
        <v>24</v>
      </c>
      <c r="E834" s="1">
        <v>85306</v>
      </c>
      <c r="F834" s="1" t="s">
        <v>310</v>
      </c>
      <c r="G834" s="1" t="s">
        <v>2364</v>
      </c>
      <c r="H834" s="19" t="s">
        <v>2423</v>
      </c>
      <c r="I834" s="5" t="s">
        <v>36</v>
      </c>
      <c r="J834" s="5" t="s">
        <v>37</v>
      </c>
      <c r="K834" s="5" t="s">
        <v>37</v>
      </c>
      <c r="L834" s="5" t="s">
        <v>38</v>
      </c>
      <c r="M834" s="5" t="s">
        <v>37</v>
      </c>
      <c r="N834" s="5" t="s">
        <v>37</v>
      </c>
      <c r="O834" s="5" t="s">
        <v>38</v>
      </c>
      <c r="P834" s="5" t="s">
        <v>39</v>
      </c>
      <c r="Q834" s="2">
        <v>45965</v>
      </c>
      <c r="V834" s="46">
        <f>IF(
  OR(
    ISNUMBER(SEARCH("unable to locate acct", tblDocketedComments[[#This Row],[Docketed Consumer Comments]])),
    ISNUMBER(SEARCH("unknown", tblDocketedComments[[#This Row],[Docketed Consumer Comments]])),
    ISNUMBER(SEARCH("inactive", tblDocketedComments[[#This Row],[Docketed Consumer Comments]]))
  ),
  0,
  1
)</f>
        <v>1</v>
      </c>
    </row>
    <row r="835" spans="1:22" hidden="1">
      <c r="A835" s="2">
        <v>45906</v>
      </c>
      <c r="B835" s="1" t="s">
        <v>2178</v>
      </c>
      <c r="C835" s="1" t="s">
        <v>2097</v>
      </c>
      <c r="D835" s="1" t="s">
        <v>63</v>
      </c>
      <c r="E835" s="1">
        <v>85028</v>
      </c>
      <c r="F835" s="1" t="s">
        <v>310</v>
      </c>
      <c r="G835" s="1" t="s">
        <v>2364</v>
      </c>
      <c r="H835" s="19" t="s">
        <v>2424</v>
      </c>
      <c r="I835" s="5" t="s">
        <v>541</v>
      </c>
      <c r="J835" s="5" t="s">
        <v>37</v>
      </c>
      <c r="K835" s="5" t="s">
        <v>37</v>
      </c>
      <c r="L835" s="5" t="s">
        <v>389</v>
      </c>
      <c r="M835" s="5" t="s">
        <v>37</v>
      </c>
      <c r="N835" s="5" t="s">
        <v>37</v>
      </c>
      <c r="O835" s="5" t="s">
        <v>38</v>
      </c>
      <c r="P835" s="5" t="s">
        <v>39</v>
      </c>
      <c r="Q835" s="2">
        <v>45965</v>
      </c>
      <c r="V835" s="46">
        <f>IF(
  OR(
    ISNUMBER(SEARCH("unable to locate acct", tblDocketedComments[[#This Row],[Docketed Consumer Comments]])),
    ISNUMBER(SEARCH("unknown", tblDocketedComments[[#This Row],[Docketed Consumer Comments]])),
    ISNUMBER(SEARCH("inactive", tblDocketedComments[[#This Row],[Docketed Consumer Comments]]))
  ),
  0,
  1
)</f>
        <v>1</v>
      </c>
    </row>
    <row r="836" spans="1:22" hidden="1">
      <c r="A836" s="2">
        <v>45906</v>
      </c>
      <c r="B836" s="1" t="s">
        <v>2425</v>
      </c>
      <c r="C836" s="1" t="s">
        <v>2426</v>
      </c>
      <c r="D836" s="1" t="s">
        <v>63</v>
      </c>
      <c r="E836" s="1">
        <v>85085</v>
      </c>
      <c r="F836" s="1" t="s">
        <v>310</v>
      </c>
      <c r="G836" s="1" t="s">
        <v>2364</v>
      </c>
      <c r="H836" s="4" t="s">
        <v>2427</v>
      </c>
      <c r="I836" s="5" t="s">
        <v>73</v>
      </c>
      <c r="J836" s="5" t="s">
        <v>37</v>
      </c>
      <c r="K836" s="5" t="s">
        <v>37</v>
      </c>
      <c r="L836" s="5" t="s">
        <v>38</v>
      </c>
      <c r="M836" s="5" t="s">
        <v>37</v>
      </c>
      <c r="N836" s="5" t="s">
        <v>37</v>
      </c>
      <c r="O836" s="5" t="s">
        <v>38</v>
      </c>
      <c r="P836" s="5" t="s">
        <v>39</v>
      </c>
      <c r="Q836" s="2">
        <v>45965</v>
      </c>
      <c r="V836" s="46">
        <f>IF(
  OR(
    ISNUMBER(SEARCH("unable to locate acct", tblDocketedComments[[#This Row],[Docketed Consumer Comments]])),
    ISNUMBER(SEARCH("unknown", tblDocketedComments[[#This Row],[Docketed Consumer Comments]])),
    ISNUMBER(SEARCH("inactive", tblDocketedComments[[#This Row],[Docketed Consumer Comments]]))
  ),
  0,
  1
)</f>
        <v>1</v>
      </c>
    </row>
    <row r="837" spans="1:22" hidden="1">
      <c r="A837" s="2">
        <v>45906</v>
      </c>
      <c r="B837" s="1" t="s">
        <v>2428</v>
      </c>
      <c r="C837" s="1" t="s">
        <v>875</v>
      </c>
      <c r="D837" s="1" t="s">
        <v>2429</v>
      </c>
      <c r="E837" s="1">
        <v>85132</v>
      </c>
      <c r="F837" s="1" t="s">
        <v>2430</v>
      </c>
      <c r="G837" s="1" t="s">
        <v>2364</v>
      </c>
      <c r="H837" s="4" t="s">
        <v>2431</v>
      </c>
      <c r="I837" s="5" t="s">
        <v>46</v>
      </c>
      <c r="J837" s="5" t="s">
        <v>37</v>
      </c>
      <c r="K837" s="5" t="s">
        <v>37</v>
      </c>
      <c r="L837" s="5" t="s">
        <v>38</v>
      </c>
      <c r="M837" s="5" t="s">
        <v>37</v>
      </c>
      <c r="N837" s="5" t="s">
        <v>37</v>
      </c>
      <c r="O837" s="5" t="s">
        <v>38</v>
      </c>
      <c r="P837" s="5" t="s">
        <v>39</v>
      </c>
      <c r="Q837" s="2">
        <v>45965</v>
      </c>
      <c r="V837" s="46">
        <f>IF(
  OR(
    ISNUMBER(SEARCH("unable to locate acct", tblDocketedComments[[#This Row],[Docketed Consumer Comments]])),
    ISNUMBER(SEARCH("unknown", tblDocketedComments[[#This Row],[Docketed Consumer Comments]])),
    ISNUMBER(SEARCH("inactive", tblDocketedComments[[#This Row],[Docketed Consumer Comments]]))
  ),
  0,
  1
)</f>
        <v>1</v>
      </c>
    </row>
    <row r="838" spans="1:22" hidden="1">
      <c r="A838" s="2">
        <v>45906</v>
      </c>
      <c r="B838" s="1" t="s">
        <v>2432</v>
      </c>
      <c r="C838" s="1" t="s">
        <v>481</v>
      </c>
      <c r="D838" s="1" t="s">
        <v>24</v>
      </c>
      <c r="E838" s="1">
        <v>85308</v>
      </c>
      <c r="F838" s="1" t="s">
        <v>31</v>
      </c>
      <c r="G838" s="1" t="s">
        <v>2364</v>
      </c>
      <c r="H838" s="4" t="s">
        <v>2433</v>
      </c>
      <c r="I838" s="5" t="s">
        <v>36</v>
      </c>
      <c r="J838" s="5" t="s">
        <v>37</v>
      </c>
      <c r="K838" s="5" t="s">
        <v>37</v>
      </c>
      <c r="L838" s="5" t="s">
        <v>38</v>
      </c>
      <c r="M838" s="5" t="s">
        <v>37</v>
      </c>
      <c r="N838" s="5" t="s">
        <v>37</v>
      </c>
      <c r="O838" s="5" t="s">
        <v>38</v>
      </c>
      <c r="P838" s="5" t="s">
        <v>39</v>
      </c>
      <c r="Q838" s="2">
        <v>45965</v>
      </c>
      <c r="V838" s="46">
        <f>IF(
  OR(
    ISNUMBER(SEARCH("unable to locate acct", tblDocketedComments[[#This Row],[Docketed Consumer Comments]])),
    ISNUMBER(SEARCH("unknown", tblDocketedComments[[#This Row],[Docketed Consumer Comments]])),
    ISNUMBER(SEARCH("inactive", tblDocketedComments[[#This Row],[Docketed Consumer Comments]]))
  ),
  0,
  1
)</f>
        <v>1</v>
      </c>
    </row>
    <row r="839" spans="1:22" hidden="1">
      <c r="A839" s="2">
        <v>45906</v>
      </c>
      <c r="B839" s="1" t="s">
        <v>2434</v>
      </c>
      <c r="C839" s="1" t="s">
        <v>256</v>
      </c>
      <c r="D839" s="1" t="s">
        <v>112</v>
      </c>
      <c r="E839" s="1">
        <v>85379</v>
      </c>
      <c r="F839" s="1" t="s">
        <v>31</v>
      </c>
      <c r="G839" s="1" t="s">
        <v>2364</v>
      </c>
      <c r="H839" s="4" t="s">
        <v>2435</v>
      </c>
      <c r="I839" s="5" t="s">
        <v>46</v>
      </c>
      <c r="J839" s="5" t="s">
        <v>37</v>
      </c>
      <c r="K839" s="5" t="s">
        <v>37</v>
      </c>
      <c r="L839" s="5" t="s">
        <v>38</v>
      </c>
      <c r="M839" s="5" t="s">
        <v>37</v>
      </c>
      <c r="N839" s="5" t="s">
        <v>37</v>
      </c>
      <c r="O839" s="5" t="s">
        <v>38</v>
      </c>
      <c r="P839" s="5" t="s">
        <v>39</v>
      </c>
      <c r="Q839" s="2">
        <v>45965</v>
      </c>
      <c r="V839" s="46">
        <f>IF(
  OR(
    ISNUMBER(SEARCH("unable to locate acct", tblDocketedComments[[#This Row],[Docketed Consumer Comments]])),
    ISNUMBER(SEARCH("unknown", tblDocketedComments[[#This Row],[Docketed Consumer Comments]])),
    ISNUMBER(SEARCH("inactive", tblDocketedComments[[#This Row],[Docketed Consumer Comments]]))
  ),
  0,
  1
)</f>
        <v>1</v>
      </c>
    </row>
    <row r="840" spans="1:22" hidden="1">
      <c r="A840" s="2">
        <v>45906</v>
      </c>
      <c r="B840" s="1" t="s">
        <v>2436</v>
      </c>
      <c r="C840" s="1" t="s">
        <v>225</v>
      </c>
      <c r="D840" s="1" t="s">
        <v>125</v>
      </c>
      <c r="E840" s="1">
        <v>85260</v>
      </c>
      <c r="F840" s="1" t="s">
        <v>2437</v>
      </c>
      <c r="G840" s="1" t="s">
        <v>2364</v>
      </c>
      <c r="H840" s="4" t="s">
        <v>2438</v>
      </c>
      <c r="I840" s="5" t="s">
        <v>36</v>
      </c>
      <c r="J840" s="5" t="s">
        <v>37</v>
      </c>
      <c r="K840" s="5" t="s">
        <v>37</v>
      </c>
      <c r="L840" s="7" t="s">
        <v>2439</v>
      </c>
      <c r="M840" s="5" t="s">
        <v>37</v>
      </c>
      <c r="N840" s="5" t="s">
        <v>37</v>
      </c>
      <c r="O840" s="5" t="s">
        <v>38</v>
      </c>
      <c r="P840" s="2">
        <v>45945</v>
      </c>
      <c r="Q840" s="2">
        <v>45965</v>
      </c>
      <c r="R840" s="1" t="s">
        <v>2440</v>
      </c>
      <c r="V840" s="46">
        <f>IF(
  OR(
    ISNUMBER(SEARCH("unable to locate acct", tblDocketedComments[[#This Row],[Docketed Consumer Comments]])),
    ISNUMBER(SEARCH("unknown", tblDocketedComments[[#This Row],[Docketed Consumer Comments]])),
    ISNUMBER(SEARCH("inactive", tblDocketedComments[[#This Row],[Docketed Consumer Comments]]))
  ),
  0,
  1
)</f>
        <v>1</v>
      </c>
    </row>
    <row r="841" spans="1:22" hidden="1">
      <c r="A841" s="2">
        <v>45906</v>
      </c>
      <c r="B841" s="1" t="s">
        <v>2441</v>
      </c>
      <c r="C841" s="1" t="s">
        <v>71</v>
      </c>
      <c r="D841" s="1" t="s">
        <v>63</v>
      </c>
      <c r="E841" s="1">
        <v>85006</v>
      </c>
      <c r="F841" s="1" t="s">
        <v>310</v>
      </c>
      <c r="G841" s="1" t="s">
        <v>2364</v>
      </c>
      <c r="H841" s="4" t="s">
        <v>2442</v>
      </c>
      <c r="I841" s="5" t="s">
        <v>73</v>
      </c>
      <c r="J841" s="5" t="s">
        <v>37</v>
      </c>
      <c r="K841" s="5" t="s">
        <v>37</v>
      </c>
      <c r="L841" s="5" t="s">
        <v>38</v>
      </c>
      <c r="M841" s="5" t="s">
        <v>37</v>
      </c>
      <c r="N841" s="5" t="s">
        <v>37</v>
      </c>
      <c r="O841" s="5" t="s">
        <v>38</v>
      </c>
      <c r="P841" s="5" t="s">
        <v>39</v>
      </c>
      <c r="Q841" s="2">
        <v>45965</v>
      </c>
      <c r="V841" s="46">
        <f>IF(
  OR(
    ISNUMBER(SEARCH("unable to locate acct", tblDocketedComments[[#This Row],[Docketed Consumer Comments]])),
    ISNUMBER(SEARCH("unknown", tblDocketedComments[[#This Row],[Docketed Consumer Comments]])),
    ISNUMBER(SEARCH("inactive", tblDocketedComments[[#This Row],[Docketed Consumer Comments]]))
  ),
  0,
  1
)</f>
        <v>1</v>
      </c>
    </row>
    <row r="842" spans="1:22" hidden="1">
      <c r="A842" s="2">
        <v>45906</v>
      </c>
      <c r="B842" s="1" t="s">
        <v>2443</v>
      </c>
      <c r="C842" s="1" t="s">
        <v>2444</v>
      </c>
      <c r="D842" s="1" t="s">
        <v>202</v>
      </c>
      <c r="E842" s="1">
        <v>85383</v>
      </c>
      <c r="F842" s="1" t="s">
        <v>310</v>
      </c>
      <c r="G842" s="1" t="s">
        <v>2364</v>
      </c>
      <c r="H842" s="4" t="s">
        <v>2445</v>
      </c>
      <c r="I842" s="5" t="s">
        <v>46</v>
      </c>
      <c r="J842" s="5" t="s">
        <v>37</v>
      </c>
      <c r="K842" s="5" t="s">
        <v>37</v>
      </c>
      <c r="L842" s="7" t="s">
        <v>2446</v>
      </c>
      <c r="M842" s="5" t="s">
        <v>37</v>
      </c>
      <c r="N842" s="5" t="s">
        <v>37</v>
      </c>
      <c r="O842" s="5" t="s">
        <v>38</v>
      </c>
      <c r="P842" s="2">
        <v>45939</v>
      </c>
      <c r="Q842" s="2">
        <v>45965</v>
      </c>
      <c r="R842" s="1" t="s">
        <v>484</v>
      </c>
      <c r="V842" s="46">
        <f>IF(
  OR(
    ISNUMBER(SEARCH("unable to locate acct", tblDocketedComments[[#This Row],[Docketed Consumer Comments]])),
    ISNUMBER(SEARCH("unknown", tblDocketedComments[[#This Row],[Docketed Consumer Comments]])),
    ISNUMBER(SEARCH("inactive", tblDocketedComments[[#This Row],[Docketed Consumer Comments]]))
  ),
  0,
  1
)</f>
        <v>1</v>
      </c>
    </row>
    <row r="843" spans="1:22" hidden="1">
      <c r="A843" s="2">
        <v>45906</v>
      </c>
      <c r="B843" s="1" t="s">
        <v>2447</v>
      </c>
      <c r="C843" s="1" t="s">
        <v>334</v>
      </c>
      <c r="D843" s="1" t="s">
        <v>63</v>
      </c>
      <c r="E843" s="1">
        <v>85027</v>
      </c>
      <c r="F843" s="1" t="s">
        <v>310</v>
      </c>
      <c r="G843" s="1" t="s">
        <v>2364</v>
      </c>
      <c r="H843" s="4" t="s">
        <v>2448</v>
      </c>
      <c r="I843" s="5" t="s">
        <v>250</v>
      </c>
      <c r="J843" s="5" t="s">
        <v>37</v>
      </c>
      <c r="K843" s="5" t="s">
        <v>37</v>
      </c>
      <c r="L843" s="5" t="s">
        <v>38</v>
      </c>
      <c r="M843" s="5" t="s">
        <v>37</v>
      </c>
      <c r="N843" s="5" t="s">
        <v>37</v>
      </c>
      <c r="O843" s="5" t="s">
        <v>38</v>
      </c>
      <c r="P843" s="5" t="s">
        <v>39</v>
      </c>
      <c r="Q843" s="2">
        <v>45965</v>
      </c>
      <c r="V843" s="46">
        <f>IF(
  OR(
    ISNUMBER(SEARCH("unable to locate acct", tblDocketedComments[[#This Row],[Docketed Consumer Comments]])),
    ISNUMBER(SEARCH("unknown", tblDocketedComments[[#This Row],[Docketed Consumer Comments]])),
    ISNUMBER(SEARCH("inactive", tblDocketedComments[[#This Row],[Docketed Consumer Comments]]))
  ),
  0,
  1
)</f>
        <v>1</v>
      </c>
    </row>
    <row r="844" spans="1:22" hidden="1">
      <c r="A844" s="2">
        <v>45906</v>
      </c>
      <c r="B844" s="1" t="s">
        <v>2449</v>
      </c>
      <c r="C844" s="1" t="s">
        <v>2450</v>
      </c>
      <c r="D844" s="1" t="s">
        <v>112</v>
      </c>
      <c r="E844" s="1">
        <v>85338</v>
      </c>
      <c r="F844" s="1" t="s">
        <v>310</v>
      </c>
      <c r="G844" s="1" t="s">
        <v>2364</v>
      </c>
      <c r="H844" s="4" t="s">
        <v>2451</v>
      </c>
      <c r="I844" s="5" t="s">
        <v>36</v>
      </c>
      <c r="J844" s="5" t="s">
        <v>37</v>
      </c>
      <c r="K844" s="5" t="s">
        <v>37</v>
      </c>
      <c r="L844" s="5" t="s">
        <v>38</v>
      </c>
      <c r="M844" s="5" t="s">
        <v>37</v>
      </c>
      <c r="N844" s="5" t="s">
        <v>37</v>
      </c>
      <c r="O844" s="5" t="s">
        <v>38</v>
      </c>
      <c r="P844" s="5" t="s">
        <v>39</v>
      </c>
      <c r="Q844" s="2">
        <v>45964</v>
      </c>
      <c r="V844" s="46">
        <f>IF(
  OR(
    ISNUMBER(SEARCH("unable to locate acct", tblDocketedComments[[#This Row],[Docketed Consumer Comments]])),
    ISNUMBER(SEARCH("unknown", tblDocketedComments[[#This Row],[Docketed Consumer Comments]])),
    ISNUMBER(SEARCH("inactive", tblDocketedComments[[#This Row],[Docketed Consumer Comments]]))
  ),
  0,
  1
)</f>
        <v>1</v>
      </c>
    </row>
    <row r="845" spans="1:22" hidden="1">
      <c r="A845" s="2">
        <v>45906</v>
      </c>
      <c r="B845" s="1" t="s">
        <v>2452</v>
      </c>
      <c r="C845" s="1" t="s">
        <v>2395</v>
      </c>
      <c r="D845" s="1" t="s">
        <v>63</v>
      </c>
      <c r="E845" s="1">
        <v>85050</v>
      </c>
      <c r="F845" s="1" t="s">
        <v>310</v>
      </c>
      <c r="G845" s="1" t="s">
        <v>2364</v>
      </c>
      <c r="H845" s="4" t="s">
        <v>27</v>
      </c>
      <c r="V845" s="46">
        <f>IF(
  OR(
    ISNUMBER(SEARCH("unable to locate acct", tblDocketedComments[[#This Row],[Docketed Consumer Comments]])),
    ISNUMBER(SEARCH("unknown", tblDocketedComments[[#This Row],[Docketed Consumer Comments]])),
    ISNUMBER(SEARCH("inactive", tblDocketedComments[[#This Row],[Docketed Consumer Comments]]))
  ),
  0,
  1
)</f>
        <v>1</v>
      </c>
    </row>
    <row r="846" spans="1:22" hidden="1">
      <c r="A846" s="2">
        <v>45906</v>
      </c>
      <c r="B846" s="1" t="s">
        <v>2453</v>
      </c>
      <c r="C846" s="1" t="s">
        <v>2454</v>
      </c>
      <c r="D846" s="1" t="s">
        <v>63</v>
      </c>
      <c r="E846" s="1">
        <v>85024</v>
      </c>
      <c r="F846" s="1" t="s">
        <v>310</v>
      </c>
      <c r="G846" s="1" t="s">
        <v>2364</v>
      </c>
      <c r="H846" s="4" t="s">
        <v>2455</v>
      </c>
      <c r="I846" s="5" t="s">
        <v>57</v>
      </c>
      <c r="J846" s="5" t="s">
        <v>37</v>
      </c>
      <c r="K846" s="5" t="s">
        <v>37</v>
      </c>
      <c r="L846" s="5" t="s">
        <v>2456</v>
      </c>
      <c r="M846" s="5" t="s">
        <v>37</v>
      </c>
      <c r="N846" s="5" t="s">
        <v>37</v>
      </c>
      <c r="O846" s="5" t="s">
        <v>38</v>
      </c>
      <c r="P846" s="5" t="s">
        <v>39</v>
      </c>
      <c r="Q846" s="2">
        <v>45964</v>
      </c>
      <c r="V846" s="46">
        <f>IF(
  OR(
    ISNUMBER(SEARCH("unable to locate acct", tblDocketedComments[[#This Row],[Docketed Consumer Comments]])),
    ISNUMBER(SEARCH("unknown", tblDocketedComments[[#This Row],[Docketed Consumer Comments]])),
    ISNUMBER(SEARCH("inactive", tblDocketedComments[[#This Row],[Docketed Consumer Comments]]))
  ),
  0,
  1
)</f>
        <v>1</v>
      </c>
    </row>
    <row r="847" spans="1:22" hidden="1">
      <c r="A847" s="2">
        <v>45906</v>
      </c>
      <c r="B847" s="1" t="s">
        <v>2457</v>
      </c>
      <c r="C847" s="1" t="s">
        <v>2458</v>
      </c>
      <c r="D847" s="1" t="s">
        <v>635</v>
      </c>
      <c r="E847" s="1">
        <v>85281</v>
      </c>
      <c r="F847" s="1" t="s">
        <v>31</v>
      </c>
      <c r="G847" s="1" t="s">
        <v>2364</v>
      </c>
      <c r="H847" s="4" t="s">
        <v>2459</v>
      </c>
      <c r="I847" s="5" t="s">
        <v>196</v>
      </c>
      <c r="J847" s="5" t="s">
        <v>37</v>
      </c>
      <c r="K847" s="5" t="s">
        <v>37</v>
      </c>
      <c r="L847" s="5" t="s">
        <v>2460</v>
      </c>
      <c r="M847" s="5" t="s">
        <v>37</v>
      </c>
      <c r="N847" s="5" t="s">
        <v>37</v>
      </c>
      <c r="O847" s="5" t="s">
        <v>38</v>
      </c>
      <c r="P847" s="5" t="s">
        <v>39</v>
      </c>
      <c r="Q847" s="2">
        <v>45964</v>
      </c>
      <c r="V847" s="46">
        <f>IF(
  OR(
    ISNUMBER(SEARCH("unable to locate acct", tblDocketedComments[[#This Row],[Docketed Consumer Comments]])),
    ISNUMBER(SEARCH("unknown", tblDocketedComments[[#This Row],[Docketed Consumer Comments]])),
    ISNUMBER(SEARCH("inactive", tblDocketedComments[[#This Row],[Docketed Consumer Comments]]))
  ),
  0,
  1
)</f>
        <v>1</v>
      </c>
    </row>
    <row r="848" spans="1:22" hidden="1">
      <c r="A848" s="2">
        <v>45906</v>
      </c>
      <c r="B848" s="1" t="s">
        <v>370</v>
      </c>
      <c r="C848" s="1" t="s">
        <v>768</v>
      </c>
      <c r="D848" s="1" t="s">
        <v>63</v>
      </c>
      <c r="E848" s="1">
        <v>85024</v>
      </c>
      <c r="F848" s="1" t="s">
        <v>2461</v>
      </c>
      <c r="G848" s="1" t="s">
        <v>2364</v>
      </c>
      <c r="H848" s="4" t="s">
        <v>2462</v>
      </c>
      <c r="I848" s="5" t="s">
        <v>57</v>
      </c>
      <c r="J848" s="5" t="s">
        <v>37</v>
      </c>
      <c r="K848" s="5" t="s">
        <v>37</v>
      </c>
      <c r="L848" s="7" t="s">
        <v>2463</v>
      </c>
      <c r="M848" s="5" t="s">
        <v>37</v>
      </c>
      <c r="N848" s="5" t="s">
        <v>37</v>
      </c>
      <c r="O848" s="5" t="s">
        <v>38</v>
      </c>
      <c r="P848" s="5" t="s">
        <v>39</v>
      </c>
      <c r="Q848" s="2">
        <v>45964</v>
      </c>
      <c r="R848" s="1" t="s">
        <v>2464</v>
      </c>
      <c r="V848" s="46">
        <f>IF(
  OR(
    ISNUMBER(SEARCH("unable to locate acct", tblDocketedComments[[#This Row],[Docketed Consumer Comments]])),
    ISNUMBER(SEARCH("unknown", tblDocketedComments[[#This Row],[Docketed Consumer Comments]])),
    ISNUMBER(SEARCH("inactive", tblDocketedComments[[#This Row],[Docketed Consumer Comments]]))
  ),
  0,
  1
)</f>
        <v>1</v>
      </c>
    </row>
    <row r="849" spans="1:22" hidden="1">
      <c r="A849" s="2">
        <v>45906</v>
      </c>
      <c r="B849" s="1" t="s">
        <v>2465</v>
      </c>
      <c r="C849" s="1" t="s">
        <v>2466</v>
      </c>
      <c r="D849" s="1" t="s">
        <v>63</v>
      </c>
      <c r="E849" s="1">
        <v>85018</v>
      </c>
      <c r="F849" s="1" t="s">
        <v>310</v>
      </c>
      <c r="G849" s="1" t="s">
        <v>2364</v>
      </c>
      <c r="H849" s="4" t="s">
        <v>27</v>
      </c>
      <c r="V849" s="46">
        <f>IF(
  OR(
    ISNUMBER(SEARCH("unable to locate acct", tblDocketedComments[[#This Row],[Docketed Consumer Comments]])),
    ISNUMBER(SEARCH("unknown", tblDocketedComments[[#This Row],[Docketed Consumer Comments]])),
    ISNUMBER(SEARCH("inactive", tblDocketedComments[[#This Row],[Docketed Consumer Comments]]))
  ),
  0,
  1
)</f>
        <v>1</v>
      </c>
    </row>
    <row r="850" spans="1:22" hidden="1">
      <c r="A850" s="2">
        <v>45906</v>
      </c>
      <c r="B850" s="1" t="s">
        <v>2467</v>
      </c>
      <c r="C850" s="1" t="s">
        <v>382</v>
      </c>
      <c r="D850" s="1" t="s">
        <v>63</v>
      </c>
      <c r="E850" s="1">
        <v>85023</v>
      </c>
      <c r="F850" s="1" t="s">
        <v>310</v>
      </c>
      <c r="G850" s="1" t="s">
        <v>2364</v>
      </c>
      <c r="H850" s="4" t="s">
        <v>90</v>
      </c>
      <c r="V850" s="46">
        <f>IF(
  OR(
    ISNUMBER(SEARCH("unable to locate acct", tblDocketedComments[[#This Row],[Docketed Consumer Comments]])),
    ISNUMBER(SEARCH("unknown", tblDocketedComments[[#This Row],[Docketed Consumer Comments]])),
    ISNUMBER(SEARCH("inactive", tblDocketedComments[[#This Row],[Docketed Consumer Comments]]))
  ),
  0,
  1
)</f>
        <v>1</v>
      </c>
    </row>
    <row r="851" spans="1:22" ht="11.45" hidden="1" customHeight="1">
      <c r="A851" s="2">
        <v>45906</v>
      </c>
      <c r="B851" s="1" t="s">
        <v>2468</v>
      </c>
      <c r="C851" s="1" t="s">
        <v>481</v>
      </c>
      <c r="D851" s="1" t="s">
        <v>504</v>
      </c>
      <c r="E851" s="1">
        <v>86005</v>
      </c>
      <c r="F851" s="1" t="s">
        <v>310</v>
      </c>
      <c r="G851" s="1" t="s">
        <v>2364</v>
      </c>
      <c r="H851" s="4" t="s">
        <v>2469</v>
      </c>
      <c r="I851" s="5" t="s">
        <v>73</v>
      </c>
      <c r="J851" s="5" t="s">
        <v>37</v>
      </c>
      <c r="K851" s="5" t="s">
        <v>37</v>
      </c>
      <c r="L851" s="5" t="s">
        <v>38</v>
      </c>
      <c r="M851" s="5" t="s">
        <v>37</v>
      </c>
      <c r="N851" s="5" t="s">
        <v>37</v>
      </c>
      <c r="O851" s="5" t="s">
        <v>38</v>
      </c>
      <c r="P851" s="5" t="s">
        <v>39</v>
      </c>
      <c r="Q851" s="2">
        <v>45964</v>
      </c>
      <c r="V851" s="46">
        <f>IF(
  OR(
    ISNUMBER(SEARCH("unable to locate acct", tblDocketedComments[[#This Row],[Docketed Consumer Comments]])),
    ISNUMBER(SEARCH("unknown", tblDocketedComments[[#This Row],[Docketed Consumer Comments]])),
    ISNUMBER(SEARCH("inactive", tblDocketedComments[[#This Row],[Docketed Consumer Comments]]))
  ),
  0,
  1
)</f>
        <v>1</v>
      </c>
    </row>
    <row r="852" spans="1:22" hidden="1">
      <c r="A852" s="2">
        <v>45906</v>
      </c>
      <c r="B852" s="1" t="s">
        <v>262</v>
      </c>
      <c r="C852" s="1" t="s">
        <v>658</v>
      </c>
      <c r="D852" s="1" t="s">
        <v>63</v>
      </c>
      <c r="E852" s="1">
        <v>85028</v>
      </c>
      <c r="F852" s="1" t="s">
        <v>310</v>
      </c>
      <c r="G852" s="1" t="s">
        <v>2364</v>
      </c>
      <c r="H852" s="4" t="s">
        <v>2470</v>
      </c>
      <c r="I852" s="5" t="s">
        <v>46</v>
      </c>
      <c r="J852" s="5" t="s">
        <v>37</v>
      </c>
      <c r="K852" s="5" t="s">
        <v>37</v>
      </c>
      <c r="L852" s="5" t="s">
        <v>38</v>
      </c>
      <c r="M852" s="5" t="s">
        <v>37</v>
      </c>
      <c r="N852" s="5" t="s">
        <v>37</v>
      </c>
      <c r="O852" s="5" t="s">
        <v>38</v>
      </c>
      <c r="P852" s="5" t="s">
        <v>39</v>
      </c>
      <c r="Q852" s="2">
        <v>45964</v>
      </c>
      <c r="V852" s="46">
        <f>IF(
  OR(
    ISNUMBER(SEARCH("unable to locate acct", tblDocketedComments[[#This Row],[Docketed Consumer Comments]])),
    ISNUMBER(SEARCH("unknown", tblDocketedComments[[#This Row],[Docketed Consumer Comments]])),
    ISNUMBER(SEARCH("inactive", tblDocketedComments[[#This Row],[Docketed Consumer Comments]]))
  ),
  0,
  1
)</f>
        <v>1</v>
      </c>
    </row>
    <row r="853" spans="1:22" hidden="1">
      <c r="A853" s="2">
        <v>45906</v>
      </c>
      <c r="B853" s="1" t="s">
        <v>2471</v>
      </c>
      <c r="C853" s="1" t="s">
        <v>376</v>
      </c>
      <c r="D853" s="1" t="s">
        <v>68</v>
      </c>
      <c r="E853" s="1">
        <v>85331</v>
      </c>
      <c r="F853" s="1" t="s">
        <v>310</v>
      </c>
      <c r="G853" s="1" t="s">
        <v>2364</v>
      </c>
      <c r="H853" s="4" t="s">
        <v>2472</v>
      </c>
      <c r="I853" s="5" t="s">
        <v>196</v>
      </c>
      <c r="J853" s="5" t="s">
        <v>37</v>
      </c>
      <c r="K853" s="5" t="s">
        <v>37</v>
      </c>
      <c r="L853" s="7" t="s">
        <v>2473</v>
      </c>
      <c r="M853" s="5" t="s">
        <v>37</v>
      </c>
      <c r="N853" s="5" t="s">
        <v>37</v>
      </c>
      <c r="O853" s="5" t="s">
        <v>38</v>
      </c>
      <c r="P853" s="2">
        <v>45939</v>
      </c>
      <c r="Q853" s="2">
        <v>45964</v>
      </c>
      <c r="R853" s="28" t="s">
        <v>2474</v>
      </c>
      <c r="V853" s="46">
        <f>IF(
  OR(
    ISNUMBER(SEARCH("unable to locate acct", tblDocketedComments[[#This Row],[Docketed Consumer Comments]])),
    ISNUMBER(SEARCH("unknown", tblDocketedComments[[#This Row],[Docketed Consumer Comments]])),
    ISNUMBER(SEARCH("inactive", tblDocketedComments[[#This Row],[Docketed Consumer Comments]]))
  ),
  0,
  1
)</f>
        <v>1</v>
      </c>
    </row>
    <row r="854" spans="1:22" hidden="1">
      <c r="A854" s="2">
        <v>45906</v>
      </c>
      <c r="B854" s="1" t="s">
        <v>2475</v>
      </c>
      <c r="C854" s="1" t="s">
        <v>2476</v>
      </c>
      <c r="D854" s="1" t="s">
        <v>63</v>
      </c>
      <c r="E854" s="1">
        <v>85032</v>
      </c>
      <c r="F854" s="1" t="s">
        <v>310</v>
      </c>
      <c r="G854" s="1" t="s">
        <v>2364</v>
      </c>
      <c r="H854" s="4" t="s">
        <v>2477</v>
      </c>
      <c r="I854" s="5" t="s">
        <v>418</v>
      </c>
      <c r="J854" s="5" t="s">
        <v>37</v>
      </c>
      <c r="K854" s="5" t="s">
        <v>37</v>
      </c>
      <c r="L854" s="5" t="s">
        <v>389</v>
      </c>
      <c r="M854" s="5" t="s">
        <v>37</v>
      </c>
      <c r="N854" s="5" t="s">
        <v>37</v>
      </c>
      <c r="O854" s="5" t="s">
        <v>38</v>
      </c>
      <c r="P854" s="5" t="s">
        <v>39</v>
      </c>
      <c r="Q854" s="2">
        <v>45964</v>
      </c>
      <c r="V854" s="46">
        <f>IF(
  OR(
    ISNUMBER(SEARCH("unable to locate acct", tblDocketedComments[[#This Row],[Docketed Consumer Comments]])),
    ISNUMBER(SEARCH("unknown", tblDocketedComments[[#This Row],[Docketed Consumer Comments]])),
    ISNUMBER(SEARCH("inactive", tblDocketedComments[[#This Row],[Docketed Consumer Comments]]))
  ),
  0,
  1
)</f>
        <v>1</v>
      </c>
    </row>
    <row r="855" spans="1:22" hidden="1">
      <c r="A855" s="2">
        <v>45906</v>
      </c>
      <c r="B855" s="1" t="s">
        <v>657</v>
      </c>
      <c r="C855" s="1" t="s">
        <v>2478</v>
      </c>
      <c r="D855" s="1" t="s">
        <v>129</v>
      </c>
      <c r="E855" s="1">
        <v>85234</v>
      </c>
      <c r="F855" s="1" t="s">
        <v>31</v>
      </c>
      <c r="G855" s="1" t="s">
        <v>2364</v>
      </c>
      <c r="H855" s="4" t="s">
        <v>2479</v>
      </c>
      <c r="I855" s="5" t="s">
        <v>126</v>
      </c>
      <c r="J855" s="5" t="s">
        <v>37</v>
      </c>
      <c r="K855" s="5" t="s">
        <v>37</v>
      </c>
      <c r="L855" s="5" t="s">
        <v>38</v>
      </c>
      <c r="M855" s="5" t="s">
        <v>37</v>
      </c>
      <c r="N855" s="5" t="s">
        <v>37</v>
      </c>
      <c r="O855" s="5" t="s">
        <v>38</v>
      </c>
      <c r="P855" s="5" t="s">
        <v>39</v>
      </c>
      <c r="Q855" s="2">
        <v>45964</v>
      </c>
      <c r="V855" s="46">
        <f>IF(
  OR(
    ISNUMBER(SEARCH("unable to locate acct", tblDocketedComments[[#This Row],[Docketed Consumer Comments]])),
    ISNUMBER(SEARCH("unknown", tblDocketedComments[[#This Row],[Docketed Consumer Comments]])),
    ISNUMBER(SEARCH("inactive", tblDocketedComments[[#This Row],[Docketed Consumer Comments]]))
  ),
  0,
  1
)</f>
        <v>1</v>
      </c>
    </row>
    <row r="856" spans="1:22" hidden="1">
      <c r="A856" s="2">
        <v>45906</v>
      </c>
      <c r="B856" s="1" t="s">
        <v>2480</v>
      </c>
      <c r="C856" s="1" t="s">
        <v>363</v>
      </c>
      <c r="D856" s="1" t="s">
        <v>619</v>
      </c>
      <c r="E856" s="1">
        <v>85367</v>
      </c>
      <c r="F856" s="1" t="s">
        <v>31</v>
      </c>
      <c r="G856" s="1" t="s">
        <v>2364</v>
      </c>
      <c r="H856" s="4" t="s">
        <v>2481</v>
      </c>
      <c r="I856" s="5" t="s">
        <v>46</v>
      </c>
      <c r="J856" s="5" t="s">
        <v>37</v>
      </c>
      <c r="K856" s="5" t="s">
        <v>37</v>
      </c>
      <c r="L856" s="5" t="s">
        <v>38</v>
      </c>
      <c r="M856" s="5" t="s">
        <v>38</v>
      </c>
      <c r="N856" s="13">
        <v>122.88</v>
      </c>
      <c r="O856" s="5" t="s">
        <v>38</v>
      </c>
      <c r="P856" s="5" t="s">
        <v>39</v>
      </c>
      <c r="Q856" s="2">
        <v>45964</v>
      </c>
      <c r="V856" s="46">
        <f>IF(
  OR(
    ISNUMBER(SEARCH("unable to locate acct", tblDocketedComments[[#This Row],[Docketed Consumer Comments]])),
    ISNUMBER(SEARCH("unknown", tblDocketedComments[[#This Row],[Docketed Consumer Comments]])),
    ISNUMBER(SEARCH("inactive", tblDocketedComments[[#This Row],[Docketed Consumer Comments]]))
  ),
  0,
  1
)</f>
        <v>1</v>
      </c>
    </row>
    <row r="857" spans="1:22" hidden="1">
      <c r="A857" s="2">
        <v>45906</v>
      </c>
      <c r="B857" s="1" t="s">
        <v>2482</v>
      </c>
      <c r="C857" s="1" t="s">
        <v>62</v>
      </c>
      <c r="D857" s="1" t="s">
        <v>63</v>
      </c>
      <c r="E857" s="1">
        <v>85024</v>
      </c>
      <c r="F857" s="1" t="s">
        <v>2366</v>
      </c>
      <c r="G857" s="1" t="s">
        <v>2364</v>
      </c>
      <c r="H857" s="4" t="s">
        <v>2483</v>
      </c>
      <c r="I857" s="5" t="s">
        <v>36</v>
      </c>
      <c r="J857" s="5" t="s">
        <v>37</v>
      </c>
      <c r="K857" s="5" t="s">
        <v>37</v>
      </c>
      <c r="L857" s="5" t="s">
        <v>38</v>
      </c>
      <c r="M857" s="5" t="s">
        <v>37</v>
      </c>
      <c r="N857" s="5" t="s">
        <v>37</v>
      </c>
      <c r="O857" s="5" t="s">
        <v>38</v>
      </c>
      <c r="P857" s="5" t="s">
        <v>39</v>
      </c>
      <c r="Q857" s="2">
        <v>45964</v>
      </c>
      <c r="V857" s="46">
        <f>IF(
  OR(
    ISNUMBER(SEARCH("unable to locate acct", tblDocketedComments[[#This Row],[Docketed Consumer Comments]])),
    ISNUMBER(SEARCH("unknown", tblDocketedComments[[#This Row],[Docketed Consumer Comments]])),
    ISNUMBER(SEARCH("inactive", tblDocketedComments[[#This Row],[Docketed Consumer Comments]]))
  ),
  0,
  1
)</f>
        <v>1</v>
      </c>
    </row>
    <row r="858" spans="1:22" hidden="1">
      <c r="A858" s="2">
        <v>45906</v>
      </c>
      <c r="B858" s="1" t="s">
        <v>2484</v>
      </c>
      <c r="C858" s="1" t="s">
        <v>320</v>
      </c>
      <c r="D858" s="1" t="s">
        <v>504</v>
      </c>
      <c r="E858" s="1">
        <v>86005</v>
      </c>
      <c r="F858" s="1" t="s">
        <v>310</v>
      </c>
      <c r="G858" s="1" t="s">
        <v>2364</v>
      </c>
      <c r="H858" s="4" t="s">
        <v>27</v>
      </c>
      <c r="V858" s="46">
        <f>IF(
  OR(
    ISNUMBER(SEARCH("unable to locate acct", tblDocketedComments[[#This Row],[Docketed Consumer Comments]])),
    ISNUMBER(SEARCH("unknown", tblDocketedComments[[#This Row],[Docketed Consumer Comments]])),
    ISNUMBER(SEARCH("inactive", tblDocketedComments[[#This Row],[Docketed Consumer Comments]]))
  ),
  0,
  1
)</f>
        <v>1</v>
      </c>
    </row>
    <row r="859" spans="1:22" hidden="1">
      <c r="A859" s="2">
        <v>45906</v>
      </c>
      <c r="B859" s="1" t="s">
        <v>2485</v>
      </c>
      <c r="C859" s="1" t="s">
        <v>757</v>
      </c>
      <c r="D859" s="1" t="s">
        <v>635</v>
      </c>
      <c r="E859" s="1">
        <v>85281</v>
      </c>
      <c r="F859" s="1" t="s">
        <v>310</v>
      </c>
      <c r="G859" s="1" t="s">
        <v>2364</v>
      </c>
      <c r="H859" s="4" t="s">
        <v>2486</v>
      </c>
      <c r="I859" s="5" t="s">
        <v>36</v>
      </c>
      <c r="J859" s="5" t="s">
        <v>37</v>
      </c>
      <c r="K859" s="5" t="s">
        <v>37</v>
      </c>
      <c r="L859" s="5" t="s">
        <v>38</v>
      </c>
      <c r="M859" s="5" t="s">
        <v>37</v>
      </c>
      <c r="N859" s="5" t="s">
        <v>37</v>
      </c>
      <c r="O859" s="5" t="s">
        <v>38</v>
      </c>
      <c r="P859" s="5" t="s">
        <v>39</v>
      </c>
      <c r="Q859" s="2">
        <v>45964</v>
      </c>
      <c r="V859" s="46">
        <f>IF(
  OR(
    ISNUMBER(SEARCH("unable to locate acct", tblDocketedComments[[#This Row],[Docketed Consumer Comments]])),
    ISNUMBER(SEARCH("unknown", tblDocketedComments[[#This Row],[Docketed Consumer Comments]])),
    ISNUMBER(SEARCH("inactive", tblDocketedComments[[#This Row],[Docketed Consumer Comments]]))
  ),
  0,
  1
)</f>
        <v>1</v>
      </c>
    </row>
    <row r="860" spans="1:22" hidden="1">
      <c r="A860" s="2">
        <v>45906</v>
      </c>
      <c r="B860" s="1" t="s">
        <v>419</v>
      </c>
      <c r="C860" s="1" t="s">
        <v>2487</v>
      </c>
      <c r="D860" s="1" t="s">
        <v>24</v>
      </c>
      <c r="E860" s="1">
        <v>85301</v>
      </c>
      <c r="F860" s="1" t="s">
        <v>310</v>
      </c>
      <c r="G860" s="1" t="s">
        <v>2364</v>
      </c>
      <c r="H860" s="4" t="s">
        <v>27</v>
      </c>
      <c r="V860" s="46">
        <f>IF(
  OR(
    ISNUMBER(SEARCH("unable to locate acct", tblDocketedComments[[#This Row],[Docketed Consumer Comments]])),
    ISNUMBER(SEARCH("unknown", tblDocketedComments[[#This Row],[Docketed Consumer Comments]])),
    ISNUMBER(SEARCH("inactive", tblDocketedComments[[#This Row],[Docketed Consumer Comments]]))
  ),
  0,
  1
)</f>
        <v>1</v>
      </c>
    </row>
    <row r="861" spans="1:22" hidden="1">
      <c r="A861" s="2">
        <v>45906</v>
      </c>
      <c r="B861" s="1" t="s">
        <v>2488</v>
      </c>
      <c r="C861" s="1" t="s">
        <v>481</v>
      </c>
      <c r="D861" s="1" t="s">
        <v>63</v>
      </c>
      <c r="E861" s="1">
        <v>85004</v>
      </c>
      <c r="F861" s="1" t="s">
        <v>310</v>
      </c>
      <c r="G861" s="1" t="s">
        <v>2364</v>
      </c>
      <c r="H861" s="4" t="s">
        <v>2489</v>
      </c>
      <c r="I861" s="5" t="s">
        <v>126</v>
      </c>
      <c r="J861" s="5" t="s">
        <v>37</v>
      </c>
      <c r="K861" s="5" t="s">
        <v>37</v>
      </c>
      <c r="L861" s="5" t="s">
        <v>2490</v>
      </c>
      <c r="M861" s="5" t="s">
        <v>37</v>
      </c>
      <c r="N861" s="5" t="s">
        <v>37</v>
      </c>
      <c r="O861" s="5" t="s">
        <v>38</v>
      </c>
      <c r="P861" s="5" t="s">
        <v>39</v>
      </c>
      <c r="Q861" s="2">
        <v>45964</v>
      </c>
      <c r="V861" s="46">
        <f>IF(
  OR(
    ISNUMBER(SEARCH("unable to locate acct", tblDocketedComments[[#This Row],[Docketed Consumer Comments]])),
    ISNUMBER(SEARCH("unknown", tblDocketedComments[[#This Row],[Docketed Consumer Comments]])),
    ISNUMBER(SEARCH("inactive", tblDocketedComments[[#This Row],[Docketed Consumer Comments]]))
  ),
  0,
  1
)</f>
        <v>1</v>
      </c>
    </row>
    <row r="862" spans="1:22" hidden="1">
      <c r="A862" s="2">
        <v>45906</v>
      </c>
      <c r="B862" s="1" t="s">
        <v>2491</v>
      </c>
      <c r="C862" s="1" t="s">
        <v>2492</v>
      </c>
      <c r="D862" s="1" t="s">
        <v>202</v>
      </c>
      <c r="E862" s="1">
        <v>85382</v>
      </c>
      <c r="F862" s="1" t="s">
        <v>310</v>
      </c>
      <c r="G862" s="1" t="s">
        <v>2364</v>
      </c>
      <c r="H862" s="4" t="s">
        <v>2493</v>
      </c>
      <c r="I862" s="5" t="s">
        <v>36</v>
      </c>
      <c r="J862" s="5" t="s">
        <v>37</v>
      </c>
      <c r="K862" s="5" t="s">
        <v>37</v>
      </c>
      <c r="L862" s="5" t="s">
        <v>38</v>
      </c>
      <c r="M862" s="5" t="s">
        <v>37</v>
      </c>
      <c r="N862" s="5" t="s">
        <v>37</v>
      </c>
      <c r="O862" s="5" t="s">
        <v>38</v>
      </c>
      <c r="P862" s="5" t="s">
        <v>39</v>
      </c>
      <c r="Q862" s="2">
        <v>45964</v>
      </c>
      <c r="V862" s="46">
        <f>IF(
  OR(
    ISNUMBER(SEARCH("unable to locate acct", tblDocketedComments[[#This Row],[Docketed Consumer Comments]])),
    ISNUMBER(SEARCH("unknown", tblDocketedComments[[#This Row],[Docketed Consumer Comments]])),
    ISNUMBER(SEARCH("inactive", tblDocketedComments[[#This Row],[Docketed Consumer Comments]]))
  ),
  0,
  1
)</f>
        <v>1</v>
      </c>
    </row>
    <row r="863" spans="1:22" ht="11.45" hidden="1" customHeight="1">
      <c r="A863" s="2">
        <v>45906</v>
      </c>
      <c r="B863" s="1" t="s">
        <v>2494</v>
      </c>
      <c r="C863" s="1" t="s">
        <v>2495</v>
      </c>
      <c r="D863" s="1" t="s">
        <v>63</v>
      </c>
      <c r="E863" s="1">
        <v>85014</v>
      </c>
      <c r="F863" s="1" t="s">
        <v>310</v>
      </c>
      <c r="G863" s="1" t="s">
        <v>2364</v>
      </c>
      <c r="H863" s="4" t="s">
        <v>2496</v>
      </c>
      <c r="I863" s="5" t="s">
        <v>196</v>
      </c>
      <c r="J863" s="5" t="s">
        <v>37</v>
      </c>
      <c r="K863" s="5" t="s">
        <v>37</v>
      </c>
      <c r="L863" s="5" t="s">
        <v>2497</v>
      </c>
      <c r="M863" s="5" t="s">
        <v>37</v>
      </c>
      <c r="N863" s="5" t="s">
        <v>37</v>
      </c>
      <c r="O863" s="5" t="s">
        <v>38</v>
      </c>
      <c r="P863" s="5" t="s">
        <v>39</v>
      </c>
      <c r="Q863" s="2">
        <v>45964</v>
      </c>
      <c r="V863" s="46">
        <f>IF(
  OR(
    ISNUMBER(SEARCH("unable to locate acct", tblDocketedComments[[#This Row],[Docketed Consumer Comments]])),
    ISNUMBER(SEARCH("unknown", tblDocketedComments[[#This Row],[Docketed Consumer Comments]])),
    ISNUMBER(SEARCH("inactive", tblDocketedComments[[#This Row],[Docketed Consumer Comments]]))
  ),
  0,
  1
)</f>
        <v>1</v>
      </c>
    </row>
    <row r="864" spans="1:22" ht="11.45" hidden="1" customHeight="1">
      <c r="A864" s="2">
        <v>45906</v>
      </c>
      <c r="B864" s="1" t="s">
        <v>2498</v>
      </c>
      <c r="C864" s="1" t="s">
        <v>2499</v>
      </c>
      <c r="D864" s="1" t="s">
        <v>202</v>
      </c>
      <c r="E864" s="1">
        <v>85383</v>
      </c>
      <c r="F864" s="1" t="s">
        <v>2500</v>
      </c>
      <c r="G864" s="1" t="s">
        <v>2364</v>
      </c>
      <c r="H864" s="4" t="s">
        <v>2501</v>
      </c>
      <c r="I864" s="5" t="s">
        <v>46</v>
      </c>
      <c r="J864" s="5" t="s">
        <v>37</v>
      </c>
      <c r="K864" s="5" t="s">
        <v>37</v>
      </c>
      <c r="L864" s="5" t="s">
        <v>2502</v>
      </c>
      <c r="M864" s="5" t="s">
        <v>37</v>
      </c>
      <c r="N864" s="5" t="s">
        <v>37</v>
      </c>
      <c r="O864" s="5" t="s">
        <v>38</v>
      </c>
      <c r="P864" s="2">
        <v>45939</v>
      </c>
      <c r="Q864" s="2">
        <v>45964</v>
      </c>
      <c r="R864" s="1" t="s">
        <v>2503</v>
      </c>
      <c r="V864" s="46">
        <f>IF(
  OR(
    ISNUMBER(SEARCH("unable to locate acct", tblDocketedComments[[#This Row],[Docketed Consumer Comments]])),
    ISNUMBER(SEARCH("unknown", tblDocketedComments[[#This Row],[Docketed Consumer Comments]])),
    ISNUMBER(SEARCH("inactive", tblDocketedComments[[#This Row],[Docketed Consumer Comments]]))
  ),
  0,
  1
)</f>
        <v>1</v>
      </c>
    </row>
    <row r="865" spans="1:22" ht="11.45" hidden="1" customHeight="1">
      <c r="A865" s="2">
        <v>45906</v>
      </c>
      <c r="B865" s="1" t="s">
        <v>2504</v>
      </c>
      <c r="C865" s="1" t="s">
        <v>2505</v>
      </c>
      <c r="D865" s="1" t="s">
        <v>68</v>
      </c>
      <c r="E865" s="1">
        <v>85331</v>
      </c>
      <c r="F865" s="1" t="s">
        <v>310</v>
      </c>
      <c r="G865" s="1" t="s">
        <v>2364</v>
      </c>
      <c r="H865" s="4" t="s">
        <v>2506</v>
      </c>
      <c r="I865" s="5" t="s">
        <v>196</v>
      </c>
      <c r="J865" s="5" t="s">
        <v>37</v>
      </c>
      <c r="K865" s="5" t="s">
        <v>37</v>
      </c>
      <c r="L865" s="5" t="s">
        <v>38</v>
      </c>
      <c r="M865" s="5" t="s">
        <v>37</v>
      </c>
      <c r="N865" s="5" t="s">
        <v>37</v>
      </c>
      <c r="O865" s="5" t="s">
        <v>38</v>
      </c>
      <c r="P865" s="5" t="s">
        <v>39</v>
      </c>
      <c r="Q865" s="2">
        <v>45964</v>
      </c>
      <c r="V865" s="46">
        <f>IF(
  OR(
    ISNUMBER(SEARCH("unable to locate acct", tblDocketedComments[[#This Row],[Docketed Consumer Comments]])),
    ISNUMBER(SEARCH("unknown", tblDocketedComments[[#This Row],[Docketed Consumer Comments]])),
    ISNUMBER(SEARCH("inactive", tblDocketedComments[[#This Row],[Docketed Consumer Comments]]))
  ),
  0,
  1
)</f>
        <v>1</v>
      </c>
    </row>
    <row r="866" spans="1:22" ht="11.45" hidden="1" customHeight="1">
      <c r="A866" s="2">
        <v>45906</v>
      </c>
      <c r="B866" s="1" t="s">
        <v>2507</v>
      </c>
      <c r="C866" s="1" t="s">
        <v>67</v>
      </c>
      <c r="D866" s="1" t="s">
        <v>112</v>
      </c>
      <c r="E866" s="1">
        <v>85378</v>
      </c>
      <c r="F866" s="1" t="s">
        <v>741</v>
      </c>
      <c r="G866" s="1" t="s">
        <v>2364</v>
      </c>
      <c r="H866" s="4" t="s">
        <v>2508</v>
      </c>
      <c r="I866" s="5" t="s">
        <v>36</v>
      </c>
      <c r="J866" s="5" t="s">
        <v>37</v>
      </c>
      <c r="K866" s="5" t="s">
        <v>37</v>
      </c>
      <c r="L866" s="5" t="s">
        <v>38</v>
      </c>
      <c r="M866" s="5" t="s">
        <v>37</v>
      </c>
      <c r="N866" s="5" t="s">
        <v>37</v>
      </c>
      <c r="O866" s="5" t="s">
        <v>38</v>
      </c>
      <c r="P866" s="5" t="s">
        <v>39</v>
      </c>
      <c r="Q866" s="2">
        <v>45964</v>
      </c>
      <c r="R866" s="1" t="s">
        <v>2509</v>
      </c>
      <c r="V866" s="46">
        <f>IF(
  OR(
    ISNUMBER(SEARCH("unable to locate acct", tblDocketedComments[[#This Row],[Docketed Consumer Comments]])),
    ISNUMBER(SEARCH("unknown", tblDocketedComments[[#This Row],[Docketed Consumer Comments]])),
    ISNUMBER(SEARCH("inactive", tblDocketedComments[[#This Row],[Docketed Consumer Comments]]))
  ),
  0,
  1
)</f>
        <v>1</v>
      </c>
    </row>
    <row r="867" spans="1:22" ht="11.45" hidden="1" customHeight="1">
      <c r="A867" s="2">
        <v>45906</v>
      </c>
      <c r="B867" s="1" t="s">
        <v>2510</v>
      </c>
      <c r="C867" s="1" t="s">
        <v>363</v>
      </c>
      <c r="D867" s="1" t="s">
        <v>63</v>
      </c>
      <c r="E867" s="1">
        <v>85083</v>
      </c>
      <c r="F867" s="1" t="s">
        <v>31</v>
      </c>
      <c r="G867" s="1" t="s">
        <v>2364</v>
      </c>
      <c r="H867" s="4" t="s">
        <v>2511</v>
      </c>
      <c r="I867" s="5" t="s">
        <v>36</v>
      </c>
      <c r="J867" s="5" t="s">
        <v>37</v>
      </c>
      <c r="K867" s="5" t="s">
        <v>37</v>
      </c>
      <c r="L867" s="5" t="s">
        <v>38</v>
      </c>
      <c r="M867" s="5" t="s">
        <v>37</v>
      </c>
      <c r="N867" s="5" t="s">
        <v>37</v>
      </c>
      <c r="O867" s="5" t="s">
        <v>38</v>
      </c>
      <c r="P867" s="5" t="s">
        <v>39</v>
      </c>
      <c r="Q867" s="2">
        <v>45964</v>
      </c>
      <c r="V867" s="46">
        <f>IF(
  OR(
    ISNUMBER(SEARCH("unable to locate acct", tblDocketedComments[[#This Row],[Docketed Consumer Comments]])),
    ISNUMBER(SEARCH("unknown", tblDocketedComments[[#This Row],[Docketed Consumer Comments]])),
    ISNUMBER(SEARCH("inactive", tblDocketedComments[[#This Row],[Docketed Consumer Comments]]))
  ),
  0,
  1
)</f>
        <v>1</v>
      </c>
    </row>
    <row r="868" spans="1:22" ht="11.45" hidden="1" customHeight="1">
      <c r="A868" s="2">
        <v>45906</v>
      </c>
      <c r="B868" s="1" t="s">
        <v>2512</v>
      </c>
      <c r="C868" s="1" t="s">
        <v>575</v>
      </c>
      <c r="D868" s="1" t="s">
        <v>68</v>
      </c>
      <c r="E868" s="1">
        <v>85331</v>
      </c>
      <c r="F868" s="1" t="s">
        <v>310</v>
      </c>
      <c r="G868" s="1" t="s">
        <v>2364</v>
      </c>
      <c r="H868" s="4" t="s">
        <v>27</v>
      </c>
      <c r="V868" s="46">
        <f>IF(
  OR(
    ISNUMBER(SEARCH("unable to locate acct", tblDocketedComments[[#This Row],[Docketed Consumer Comments]])),
    ISNUMBER(SEARCH("unknown", tblDocketedComments[[#This Row],[Docketed Consumer Comments]])),
    ISNUMBER(SEARCH("inactive", tblDocketedComments[[#This Row],[Docketed Consumer Comments]]))
  ),
  0,
  1
)</f>
        <v>1</v>
      </c>
    </row>
    <row r="869" spans="1:22" ht="11.45" hidden="1" customHeight="1">
      <c r="A869" s="2">
        <v>45906</v>
      </c>
      <c r="B869" s="1" t="s">
        <v>650</v>
      </c>
      <c r="C869" s="1" t="s">
        <v>1815</v>
      </c>
      <c r="D869" s="1" t="s">
        <v>125</v>
      </c>
      <c r="E869" s="1">
        <v>85260</v>
      </c>
      <c r="F869" s="1" t="s">
        <v>310</v>
      </c>
      <c r="G869" s="1" t="s">
        <v>2364</v>
      </c>
      <c r="H869" s="4" t="s">
        <v>2513</v>
      </c>
      <c r="I869" s="5" t="s">
        <v>73</v>
      </c>
      <c r="J869" s="5" t="s">
        <v>37</v>
      </c>
      <c r="K869" s="5" t="s">
        <v>37</v>
      </c>
      <c r="L869" s="5" t="s">
        <v>401</v>
      </c>
      <c r="M869" s="5" t="s">
        <v>37</v>
      </c>
      <c r="N869" s="5" t="s">
        <v>37</v>
      </c>
      <c r="O869" s="5" t="s">
        <v>38</v>
      </c>
      <c r="P869" s="5" t="s">
        <v>39</v>
      </c>
      <c r="Q869" s="2">
        <v>45964</v>
      </c>
      <c r="V869" s="46">
        <f>IF(
  OR(
    ISNUMBER(SEARCH("unable to locate acct", tblDocketedComments[[#This Row],[Docketed Consumer Comments]])),
    ISNUMBER(SEARCH("unknown", tblDocketedComments[[#This Row],[Docketed Consumer Comments]])),
    ISNUMBER(SEARCH("inactive", tblDocketedComments[[#This Row],[Docketed Consumer Comments]]))
  ),
  0,
  1
)</f>
        <v>1</v>
      </c>
    </row>
    <row r="870" spans="1:22" ht="11.45" hidden="1" customHeight="1">
      <c r="A870" s="2">
        <v>45906</v>
      </c>
      <c r="B870" s="1" t="s">
        <v>2514</v>
      </c>
      <c r="C870" s="1" t="s">
        <v>1876</v>
      </c>
      <c r="D870" s="1" t="s">
        <v>125</v>
      </c>
      <c r="E870" s="1">
        <v>85260</v>
      </c>
      <c r="F870" s="1" t="s">
        <v>31</v>
      </c>
      <c r="G870" s="1" t="s">
        <v>2364</v>
      </c>
      <c r="H870" s="4" t="s">
        <v>2515</v>
      </c>
      <c r="I870" s="5" t="s">
        <v>36</v>
      </c>
      <c r="J870" s="5" t="s">
        <v>37</v>
      </c>
      <c r="K870" s="5" t="s">
        <v>37</v>
      </c>
      <c r="L870" s="5" t="s">
        <v>38</v>
      </c>
      <c r="M870" s="5" t="s">
        <v>37</v>
      </c>
      <c r="N870" s="5" t="s">
        <v>37</v>
      </c>
      <c r="O870" s="5" t="s">
        <v>38</v>
      </c>
      <c r="P870" s="5" t="s">
        <v>39</v>
      </c>
      <c r="Q870" s="2">
        <v>45964</v>
      </c>
      <c r="V870" s="46">
        <f>IF(
  OR(
    ISNUMBER(SEARCH("unable to locate acct", tblDocketedComments[[#This Row],[Docketed Consumer Comments]])),
    ISNUMBER(SEARCH("unknown", tblDocketedComments[[#This Row],[Docketed Consumer Comments]])),
    ISNUMBER(SEARCH("inactive", tblDocketedComments[[#This Row],[Docketed Consumer Comments]]))
  ),
  0,
  1
)</f>
        <v>1</v>
      </c>
    </row>
    <row r="871" spans="1:22" ht="11.45" hidden="1" customHeight="1">
      <c r="A871" s="2">
        <v>45906</v>
      </c>
      <c r="B871" s="1" t="s">
        <v>2516</v>
      </c>
      <c r="C871" s="1" t="s">
        <v>1140</v>
      </c>
      <c r="D871" s="1" t="s">
        <v>125</v>
      </c>
      <c r="E871" s="1">
        <v>85260</v>
      </c>
      <c r="F871" s="1" t="s">
        <v>310</v>
      </c>
      <c r="G871" s="1" t="s">
        <v>2364</v>
      </c>
      <c r="H871" s="4" t="s">
        <v>2517</v>
      </c>
      <c r="I871" s="5" t="s">
        <v>126</v>
      </c>
      <c r="J871" s="5" t="s">
        <v>37</v>
      </c>
      <c r="K871" s="5" t="s">
        <v>37</v>
      </c>
      <c r="L871" s="5" t="s">
        <v>38</v>
      </c>
      <c r="M871" s="5" t="s">
        <v>37</v>
      </c>
      <c r="N871" s="5" t="s">
        <v>37</v>
      </c>
      <c r="O871" s="5" t="s">
        <v>38</v>
      </c>
      <c r="P871" s="5" t="s">
        <v>39</v>
      </c>
      <c r="Q871" s="2">
        <v>45964</v>
      </c>
      <c r="V871" s="46">
        <f>IF(
  OR(
    ISNUMBER(SEARCH("unable to locate acct", tblDocketedComments[[#This Row],[Docketed Consumer Comments]])),
    ISNUMBER(SEARCH("unknown", tblDocketedComments[[#This Row],[Docketed Consumer Comments]])),
    ISNUMBER(SEARCH("inactive", tblDocketedComments[[#This Row],[Docketed Consumer Comments]]))
  ),
  0,
  1
)</f>
        <v>1</v>
      </c>
    </row>
    <row r="872" spans="1:22" ht="11.45" hidden="1" customHeight="1">
      <c r="A872" s="2">
        <v>45906</v>
      </c>
      <c r="B872" s="1" t="s">
        <v>333</v>
      </c>
      <c r="C872" s="1" t="s">
        <v>145</v>
      </c>
      <c r="D872" s="1" t="s">
        <v>63</v>
      </c>
      <c r="E872" s="1">
        <v>85085</v>
      </c>
      <c r="F872" s="1" t="s">
        <v>2518</v>
      </c>
      <c r="G872" s="1" t="s">
        <v>2364</v>
      </c>
      <c r="H872" s="4" t="s">
        <v>2519</v>
      </c>
      <c r="I872" s="5" t="s">
        <v>36</v>
      </c>
      <c r="J872" s="5" t="s">
        <v>37</v>
      </c>
      <c r="K872" s="5" t="s">
        <v>37</v>
      </c>
      <c r="L872" s="5" t="s">
        <v>38</v>
      </c>
      <c r="M872" s="5" t="s">
        <v>37</v>
      </c>
      <c r="N872" s="5" t="s">
        <v>37</v>
      </c>
      <c r="O872" s="5" t="s">
        <v>38</v>
      </c>
      <c r="P872" s="5" t="s">
        <v>39</v>
      </c>
      <c r="Q872" s="2">
        <v>45964</v>
      </c>
      <c r="V872" s="46">
        <f>IF(
  OR(
    ISNUMBER(SEARCH("unable to locate acct", tblDocketedComments[[#This Row],[Docketed Consumer Comments]])),
    ISNUMBER(SEARCH("unknown", tblDocketedComments[[#This Row],[Docketed Consumer Comments]])),
    ISNUMBER(SEARCH("inactive", tblDocketedComments[[#This Row],[Docketed Consumer Comments]]))
  ),
  0,
  1
)</f>
        <v>1</v>
      </c>
    </row>
    <row r="873" spans="1:22" ht="11.45" hidden="1" customHeight="1">
      <c r="A873" s="2">
        <v>45906</v>
      </c>
      <c r="B873" s="1" t="s">
        <v>2520</v>
      </c>
      <c r="C873" s="1" t="s">
        <v>2521</v>
      </c>
      <c r="D873" s="1" t="s">
        <v>169</v>
      </c>
      <c r="E873" s="1">
        <v>85338</v>
      </c>
      <c r="F873" s="1" t="s">
        <v>2522</v>
      </c>
      <c r="G873" s="1" t="s">
        <v>2364</v>
      </c>
      <c r="H873" s="4" t="s">
        <v>27</v>
      </c>
      <c r="V873" s="46">
        <f>IF(
  OR(
    ISNUMBER(SEARCH("unable to locate acct", tblDocketedComments[[#This Row],[Docketed Consumer Comments]])),
    ISNUMBER(SEARCH("unknown", tblDocketedComments[[#This Row],[Docketed Consumer Comments]])),
    ISNUMBER(SEARCH("inactive", tblDocketedComments[[#This Row],[Docketed Consumer Comments]]))
  ),
  0,
  1
)</f>
        <v>1</v>
      </c>
    </row>
    <row r="874" spans="1:22" ht="11.45" hidden="1" customHeight="1">
      <c r="A874" s="2">
        <v>45906</v>
      </c>
      <c r="B874" s="1" t="s">
        <v>2523</v>
      </c>
      <c r="C874" s="1" t="s">
        <v>760</v>
      </c>
      <c r="D874" s="1" t="s">
        <v>2524</v>
      </c>
      <c r="E874" s="1">
        <v>85122</v>
      </c>
      <c r="F874" s="1" t="s">
        <v>2525</v>
      </c>
      <c r="G874" s="1" t="s">
        <v>2364</v>
      </c>
      <c r="H874" s="4" t="s">
        <v>2526</v>
      </c>
      <c r="I874" s="5" t="s">
        <v>36</v>
      </c>
      <c r="J874" s="5" t="s">
        <v>37</v>
      </c>
      <c r="K874" s="5" t="s">
        <v>37</v>
      </c>
      <c r="L874" s="5" t="s">
        <v>38</v>
      </c>
      <c r="M874" s="5" t="s">
        <v>37</v>
      </c>
      <c r="N874" s="5" t="s">
        <v>37</v>
      </c>
      <c r="O874" s="5" t="s">
        <v>38</v>
      </c>
      <c r="P874" s="5" t="s">
        <v>39</v>
      </c>
      <c r="Q874" s="2">
        <v>45964</v>
      </c>
      <c r="V874" s="46">
        <f>IF(
  OR(
    ISNUMBER(SEARCH("unable to locate acct", tblDocketedComments[[#This Row],[Docketed Consumer Comments]])),
    ISNUMBER(SEARCH("unknown", tblDocketedComments[[#This Row],[Docketed Consumer Comments]])),
    ISNUMBER(SEARCH("inactive", tblDocketedComments[[#This Row],[Docketed Consumer Comments]]))
  ),
  0,
  1
)</f>
        <v>1</v>
      </c>
    </row>
    <row r="875" spans="1:22" ht="11.45" hidden="1" customHeight="1">
      <c r="A875" s="2">
        <v>45906</v>
      </c>
      <c r="B875" s="1" t="s">
        <v>2527</v>
      </c>
      <c r="C875" s="1" t="s">
        <v>2528</v>
      </c>
      <c r="D875" s="1" t="s">
        <v>202</v>
      </c>
      <c r="E875" s="1">
        <v>85383</v>
      </c>
      <c r="F875" s="1" t="s">
        <v>310</v>
      </c>
      <c r="G875" s="1" t="s">
        <v>2364</v>
      </c>
      <c r="H875" s="4" t="s">
        <v>2529</v>
      </c>
      <c r="I875" s="5" t="s">
        <v>57</v>
      </c>
      <c r="J875" s="5" t="s">
        <v>37</v>
      </c>
      <c r="K875" s="5" t="s">
        <v>37</v>
      </c>
      <c r="L875" s="7" t="s">
        <v>2530</v>
      </c>
      <c r="M875" s="5" t="s">
        <v>37</v>
      </c>
      <c r="N875" s="5" t="s">
        <v>37</v>
      </c>
      <c r="O875" s="5" t="s">
        <v>38</v>
      </c>
      <c r="P875" s="2">
        <v>45939</v>
      </c>
      <c r="Q875" s="2">
        <v>45964</v>
      </c>
      <c r="R875" s="1" t="s">
        <v>2474</v>
      </c>
      <c r="V875" s="46">
        <f>IF(
  OR(
    ISNUMBER(SEARCH("unable to locate acct", tblDocketedComments[[#This Row],[Docketed Consumer Comments]])),
    ISNUMBER(SEARCH("unknown", tblDocketedComments[[#This Row],[Docketed Consumer Comments]])),
    ISNUMBER(SEARCH("inactive", tblDocketedComments[[#This Row],[Docketed Consumer Comments]]))
  ),
  0,
  1
)</f>
        <v>1</v>
      </c>
    </row>
    <row r="876" spans="1:22" ht="11.45" hidden="1" customHeight="1">
      <c r="A876" s="2">
        <v>45906</v>
      </c>
      <c r="B876" s="1" t="s">
        <v>2531</v>
      </c>
      <c r="C876" s="1" t="s">
        <v>529</v>
      </c>
      <c r="D876" s="1" t="s">
        <v>24</v>
      </c>
      <c r="E876" s="1">
        <v>85307</v>
      </c>
      <c r="F876" s="1" t="s">
        <v>2532</v>
      </c>
      <c r="G876" s="1" t="s">
        <v>2364</v>
      </c>
      <c r="H876" s="4" t="s">
        <v>2533</v>
      </c>
      <c r="I876" s="5" t="s">
        <v>46</v>
      </c>
      <c r="J876" s="5" t="s">
        <v>37</v>
      </c>
      <c r="K876" s="5" t="s">
        <v>37</v>
      </c>
      <c r="L876" s="5" t="s">
        <v>38</v>
      </c>
      <c r="M876" s="5" t="s">
        <v>37</v>
      </c>
      <c r="N876" s="5" t="s">
        <v>37</v>
      </c>
      <c r="O876" s="5" t="s">
        <v>38</v>
      </c>
      <c r="P876" s="5" t="s">
        <v>39</v>
      </c>
      <c r="Q876" s="2">
        <v>45964</v>
      </c>
      <c r="V876" s="46">
        <f>IF(
  OR(
    ISNUMBER(SEARCH("unable to locate acct", tblDocketedComments[[#This Row],[Docketed Consumer Comments]])),
    ISNUMBER(SEARCH("unknown", tblDocketedComments[[#This Row],[Docketed Consumer Comments]])),
    ISNUMBER(SEARCH("inactive", tblDocketedComments[[#This Row],[Docketed Consumer Comments]]))
  ),
  0,
  1
)</f>
        <v>1</v>
      </c>
    </row>
    <row r="877" spans="1:22" ht="11.45" hidden="1" customHeight="1">
      <c r="A877" s="2">
        <v>45906</v>
      </c>
      <c r="B877" s="1" t="s">
        <v>2534</v>
      </c>
      <c r="C877" s="1" t="s">
        <v>177</v>
      </c>
      <c r="D877" s="1" t="s">
        <v>63</v>
      </c>
      <c r="E877" s="1">
        <v>85053</v>
      </c>
      <c r="F877" s="1" t="s">
        <v>310</v>
      </c>
      <c r="G877" s="1" t="s">
        <v>2364</v>
      </c>
      <c r="H877" s="4" t="s">
        <v>2535</v>
      </c>
      <c r="I877" s="5" t="s">
        <v>36</v>
      </c>
      <c r="J877" s="5" t="s">
        <v>37</v>
      </c>
      <c r="K877" s="5" t="s">
        <v>37</v>
      </c>
      <c r="L877" s="5" t="s">
        <v>38</v>
      </c>
      <c r="M877" s="5" t="s">
        <v>37</v>
      </c>
      <c r="N877" s="5" t="s">
        <v>37</v>
      </c>
      <c r="O877" s="5" t="s">
        <v>38</v>
      </c>
      <c r="P877" s="5" t="s">
        <v>39</v>
      </c>
      <c r="Q877" s="2">
        <v>45964</v>
      </c>
      <c r="V877" s="46">
        <f>IF(
  OR(
    ISNUMBER(SEARCH("unable to locate acct", tblDocketedComments[[#This Row],[Docketed Consumer Comments]])),
    ISNUMBER(SEARCH("unknown", tblDocketedComments[[#This Row],[Docketed Consumer Comments]])),
    ISNUMBER(SEARCH("inactive", tblDocketedComments[[#This Row],[Docketed Consumer Comments]]))
  ),
  0,
  1
)</f>
        <v>1</v>
      </c>
    </row>
    <row r="878" spans="1:22" ht="11.45" hidden="1" customHeight="1">
      <c r="A878" s="2">
        <v>45906</v>
      </c>
      <c r="B878" s="1" t="s">
        <v>2536</v>
      </c>
      <c r="C878" s="1" t="s">
        <v>135</v>
      </c>
      <c r="D878" s="1" t="s">
        <v>89</v>
      </c>
      <c r="E878" s="1">
        <v>86336</v>
      </c>
      <c r="F878" s="1" t="s">
        <v>2129</v>
      </c>
      <c r="G878" s="1" t="s">
        <v>2364</v>
      </c>
      <c r="H878" s="4" t="s">
        <v>2537</v>
      </c>
      <c r="I878" s="5" t="s">
        <v>243</v>
      </c>
      <c r="J878" s="5" t="s">
        <v>37</v>
      </c>
      <c r="K878" s="5" t="s">
        <v>37</v>
      </c>
      <c r="L878" s="5" t="s">
        <v>389</v>
      </c>
      <c r="M878" s="5" t="s">
        <v>37</v>
      </c>
      <c r="N878" s="5" t="s">
        <v>37</v>
      </c>
      <c r="O878" s="5" t="s">
        <v>38</v>
      </c>
      <c r="P878" s="5" t="s">
        <v>39</v>
      </c>
      <c r="Q878" s="2">
        <v>45964</v>
      </c>
      <c r="V878" s="46">
        <f>IF(
  OR(
    ISNUMBER(SEARCH("unable to locate acct", tblDocketedComments[[#This Row],[Docketed Consumer Comments]])),
    ISNUMBER(SEARCH("unknown", tblDocketedComments[[#This Row],[Docketed Consumer Comments]])),
    ISNUMBER(SEARCH("inactive", tblDocketedComments[[#This Row],[Docketed Consumer Comments]]))
  ),
  0,
  1
)</f>
        <v>1</v>
      </c>
    </row>
    <row r="879" spans="1:22" ht="11.45" hidden="1" customHeight="1">
      <c r="A879" s="2">
        <v>45906</v>
      </c>
      <c r="B879" s="1" t="s">
        <v>2538</v>
      </c>
      <c r="C879" s="1" t="s">
        <v>2144</v>
      </c>
      <c r="D879" s="1" t="s">
        <v>63</v>
      </c>
      <c r="E879" s="1">
        <v>85012</v>
      </c>
      <c r="F879" s="1" t="s">
        <v>310</v>
      </c>
      <c r="G879" s="1" t="s">
        <v>2364</v>
      </c>
      <c r="H879" s="4" t="s">
        <v>2539</v>
      </c>
      <c r="I879" s="5" t="s">
        <v>36</v>
      </c>
      <c r="J879" s="5" t="s">
        <v>37</v>
      </c>
      <c r="K879" s="5" t="s">
        <v>37</v>
      </c>
      <c r="L879" s="5" t="s">
        <v>401</v>
      </c>
      <c r="M879" s="5" t="s">
        <v>37</v>
      </c>
      <c r="N879" s="5" t="s">
        <v>37</v>
      </c>
      <c r="O879" s="5" t="s">
        <v>38</v>
      </c>
      <c r="P879" s="5" t="s">
        <v>39</v>
      </c>
      <c r="Q879" s="2">
        <v>45964</v>
      </c>
      <c r="V879" s="46">
        <f>IF(
  OR(
    ISNUMBER(SEARCH("unable to locate acct", tblDocketedComments[[#This Row],[Docketed Consumer Comments]])),
    ISNUMBER(SEARCH("unknown", tblDocketedComments[[#This Row],[Docketed Consumer Comments]])),
    ISNUMBER(SEARCH("inactive", tblDocketedComments[[#This Row],[Docketed Consumer Comments]]))
  ),
  0,
  1
)</f>
        <v>1</v>
      </c>
    </row>
    <row r="880" spans="1:22" ht="11.45" hidden="1" customHeight="1">
      <c r="A880" s="2">
        <v>45906</v>
      </c>
      <c r="B880" s="1" t="s">
        <v>2540</v>
      </c>
      <c r="C880" s="1" t="s">
        <v>2541</v>
      </c>
      <c r="D880" s="1" t="s">
        <v>2542</v>
      </c>
      <c r="E880" s="1">
        <v>86325</v>
      </c>
      <c r="F880" s="1" t="s">
        <v>2543</v>
      </c>
      <c r="G880" s="1" t="s">
        <v>2364</v>
      </c>
      <c r="H880" s="4" t="s">
        <v>2544</v>
      </c>
      <c r="I880" s="5" t="s">
        <v>73</v>
      </c>
      <c r="J880" s="5" t="s">
        <v>37</v>
      </c>
      <c r="K880" s="5" t="s">
        <v>37</v>
      </c>
      <c r="L880" s="5" t="s">
        <v>38</v>
      </c>
      <c r="M880" s="5" t="s">
        <v>37</v>
      </c>
      <c r="N880" s="5" t="s">
        <v>37</v>
      </c>
      <c r="O880" s="5" t="s">
        <v>38</v>
      </c>
      <c r="P880" s="5" t="s">
        <v>39</v>
      </c>
      <c r="Q880" s="2">
        <v>45964</v>
      </c>
      <c r="V880" s="46">
        <f>IF(
  OR(
    ISNUMBER(SEARCH("unable to locate acct", tblDocketedComments[[#This Row],[Docketed Consumer Comments]])),
    ISNUMBER(SEARCH("unknown", tblDocketedComments[[#This Row],[Docketed Consumer Comments]])),
    ISNUMBER(SEARCH("inactive", tblDocketedComments[[#This Row],[Docketed Consumer Comments]]))
  ),
  0,
  1
)</f>
        <v>1</v>
      </c>
    </row>
    <row r="881" spans="1:22" ht="11.45" hidden="1" customHeight="1">
      <c r="A881" s="2">
        <v>45906</v>
      </c>
      <c r="B881" s="1" t="s">
        <v>2545</v>
      </c>
      <c r="C881" s="1" t="s">
        <v>543</v>
      </c>
      <c r="D881" s="1" t="s">
        <v>63</v>
      </c>
      <c r="E881" s="1">
        <v>85003</v>
      </c>
      <c r="F881" s="1" t="s">
        <v>310</v>
      </c>
      <c r="G881" s="1" t="s">
        <v>2364</v>
      </c>
      <c r="H881" s="4" t="s">
        <v>2546</v>
      </c>
      <c r="I881" s="5" t="s">
        <v>73</v>
      </c>
      <c r="J881" s="5" t="s">
        <v>37</v>
      </c>
      <c r="K881" s="5" t="s">
        <v>37</v>
      </c>
      <c r="L881" s="5" t="s">
        <v>38</v>
      </c>
      <c r="M881" s="5" t="s">
        <v>37</v>
      </c>
      <c r="N881" s="5" t="s">
        <v>37</v>
      </c>
      <c r="O881" s="5" t="s">
        <v>38</v>
      </c>
      <c r="P881" s="5" t="s">
        <v>39</v>
      </c>
      <c r="Q881" s="2">
        <v>45964</v>
      </c>
      <c r="V881" s="46">
        <f>IF(
  OR(
    ISNUMBER(SEARCH("unable to locate acct", tblDocketedComments[[#This Row],[Docketed Consumer Comments]])),
    ISNUMBER(SEARCH("unknown", tblDocketedComments[[#This Row],[Docketed Consumer Comments]])),
    ISNUMBER(SEARCH("inactive", tblDocketedComments[[#This Row],[Docketed Consumer Comments]]))
  ),
  0,
  1
)</f>
        <v>1</v>
      </c>
    </row>
    <row r="882" spans="1:22" ht="11.45" hidden="1" customHeight="1">
      <c r="A882" s="2">
        <v>45906</v>
      </c>
      <c r="B882" s="1" t="s">
        <v>2547</v>
      </c>
      <c r="C882" s="1" t="s">
        <v>611</v>
      </c>
      <c r="D882" s="1" t="s">
        <v>202</v>
      </c>
      <c r="E882" s="1">
        <v>85383</v>
      </c>
      <c r="F882" s="1" t="s">
        <v>2548</v>
      </c>
      <c r="G882" s="1" t="s">
        <v>2364</v>
      </c>
      <c r="H882" s="4" t="s">
        <v>2549</v>
      </c>
      <c r="I882" s="5" t="s">
        <v>418</v>
      </c>
      <c r="J882" s="5" t="s">
        <v>38</v>
      </c>
      <c r="K882" s="5" t="s">
        <v>37</v>
      </c>
      <c r="L882" s="5" t="s">
        <v>389</v>
      </c>
      <c r="M882" s="5" t="s">
        <v>37</v>
      </c>
      <c r="N882" s="5" t="s">
        <v>37</v>
      </c>
      <c r="O882" s="5" t="s">
        <v>38</v>
      </c>
      <c r="P882" s="5" t="s">
        <v>39</v>
      </c>
      <c r="Q882" s="2">
        <v>45964</v>
      </c>
      <c r="V882" s="46">
        <f>IF(
  OR(
    ISNUMBER(SEARCH("unable to locate acct", tblDocketedComments[[#This Row],[Docketed Consumer Comments]])),
    ISNUMBER(SEARCH("unknown", tblDocketedComments[[#This Row],[Docketed Consumer Comments]])),
    ISNUMBER(SEARCH("inactive", tblDocketedComments[[#This Row],[Docketed Consumer Comments]]))
  ),
  0,
  1
)</f>
        <v>1</v>
      </c>
    </row>
    <row r="883" spans="1:22" ht="11.45" hidden="1" customHeight="1">
      <c r="A883" s="2">
        <v>45906</v>
      </c>
      <c r="B883" s="1" t="s">
        <v>2550</v>
      </c>
      <c r="C883" s="1" t="s">
        <v>2551</v>
      </c>
      <c r="D883" s="1" t="s">
        <v>169</v>
      </c>
      <c r="E883" s="1">
        <v>85338</v>
      </c>
      <c r="F883" s="1" t="s">
        <v>31</v>
      </c>
      <c r="G883" s="1" t="s">
        <v>2364</v>
      </c>
      <c r="H883" s="4" t="s">
        <v>2552</v>
      </c>
      <c r="I883" s="5" t="s">
        <v>36</v>
      </c>
      <c r="J883" s="5" t="s">
        <v>37</v>
      </c>
      <c r="K883" s="5" t="s">
        <v>37</v>
      </c>
      <c r="L883" s="5" t="s">
        <v>38</v>
      </c>
      <c r="M883" s="5" t="s">
        <v>37</v>
      </c>
      <c r="N883" s="5" t="s">
        <v>37</v>
      </c>
      <c r="O883" s="5" t="s">
        <v>38</v>
      </c>
      <c r="P883" s="5" t="s">
        <v>39</v>
      </c>
      <c r="Q883" s="2">
        <v>45964</v>
      </c>
      <c r="V883" s="46">
        <f>IF(
  OR(
    ISNUMBER(SEARCH("unable to locate acct", tblDocketedComments[[#This Row],[Docketed Consumer Comments]])),
    ISNUMBER(SEARCH("unknown", tblDocketedComments[[#This Row],[Docketed Consumer Comments]])),
    ISNUMBER(SEARCH("inactive", tblDocketedComments[[#This Row],[Docketed Consumer Comments]]))
  ),
  0,
  1
)</f>
        <v>1</v>
      </c>
    </row>
    <row r="884" spans="1:22" ht="11.45" hidden="1" customHeight="1">
      <c r="A884" s="2">
        <v>45906</v>
      </c>
      <c r="B884" s="1" t="s">
        <v>2553</v>
      </c>
      <c r="C884" s="1" t="s">
        <v>2554</v>
      </c>
      <c r="D884" s="1" t="s">
        <v>63</v>
      </c>
      <c r="E884" s="1">
        <v>85032</v>
      </c>
      <c r="F884" s="1" t="s">
        <v>310</v>
      </c>
      <c r="G884" s="1" t="s">
        <v>2364</v>
      </c>
      <c r="H884" s="19" t="s">
        <v>2555</v>
      </c>
      <c r="I884" s="5" t="s">
        <v>57</v>
      </c>
      <c r="J884" s="5" t="s">
        <v>37</v>
      </c>
      <c r="K884" s="5" t="s">
        <v>37</v>
      </c>
      <c r="L884" s="5" t="s">
        <v>2556</v>
      </c>
      <c r="M884" s="5" t="s">
        <v>37</v>
      </c>
      <c r="N884" s="5" t="s">
        <v>37</v>
      </c>
      <c r="O884" s="5" t="s">
        <v>38</v>
      </c>
      <c r="P884" s="5" t="s">
        <v>39</v>
      </c>
      <c r="Q884" s="2">
        <v>45964</v>
      </c>
      <c r="V884" s="46">
        <f>IF(
  OR(
    ISNUMBER(SEARCH("unable to locate acct", tblDocketedComments[[#This Row],[Docketed Consumer Comments]])),
    ISNUMBER(SEARCH("unknown", tblDocketedComments[[#This Row],[Docketed Consumer Comments]])),
    ISNUMBER(SEARCH("inactive", tblDocketedComments[[#This Row],[Docketed Consumer Comments]]))
  ),
  0,
  1
)</f>
        <v>1</v>
      </c>
    </row>
    <row r="885" spans="1:22" ht="11.45" hidden="1" customHeight="1">
      <c r="A885" s="2">
        <v>45906</v>
      </c>
      <c r="B885" s="1" t="s">
        <v>2557</v>
      </c>
      <c r="C885" s="1" t="s">
        <v>2558</v>
      </c>
      <c r="D885" s="1" t="s">
        <v>63</v>
      </c>
      <c r="E885" s="1">
        <v>85014</v>
      </c>
      <c r="F885" s="1" t="s">
        <v>2559</v>
      </c>
      <c r="G885" s="1" t="s">
        <v>2364</v>
      </c>
      <c r="H885" s="4" t="s">
        <v>2560</v>
      </c>
      <c r="I885" s="5" t="s">
        <v>73</v>
      </c>
      <c r="J885" s="5" t="s">
        <v>37</v>
      </c>
      <c r="K885" s="5" t="s">
        <v>37</v>
      </c>
      <c r="L885" s="5" t="s">
        <v>38</v>
      </c>
      <c r="M885" s="5" t="s">
        <v>37</v>
      </c>
      <c r="N885" s="5" t="s">
        <v>37</v>
      </c>
      <c r="O885" s="5" t="s">
        <v>38</v>
      </c>
      <c r="P885" s="5" t="s">
        <v>39</v>
      </c>
      <c r="Q885" s="2">
        <v>45964</v>
      </c>
      <c r="V885" s="46">
        <f>IF(
  OR(
    ISNUMBER(SEARCH("unable to locate acct", tblDocketedComments[[#This Row],[Docketed Consumer Comments]])),
    ISNUMBER(SEARCH("unknown", tblDocketedComments[[#This Row],[Docketed Consumer Comments]])),
    ISNUMBER(SEARCH("inactive", tblDocketedComments[[#This Row],[Docketed Consumer Comments]]))
  ),
  0,
  1
)</f>
        <v>1</v>
      </c>
    </row>
    <row r="886" spans="1:22" ht="11.45" hidden="1" customHeight="1">
      <c r="A886" s="2">
        <v>45906</v>
      </c>
      <c r="B886" s="1" t="s">
        <v>2561</v>
      </c>
      <c r="C886" s="1" t="s">
        <v>2562</v>
      </c>
      <c r="D886" s="1" t="s">
        <v>112</v>
      </c>
      <c r="E886" s="1">
        <v>85388</v>
      </c>
      <c r="F886" s="1" t="s">
        <v>310</v>
      </c>
      <c r="G886" s="1" t="s">
        <v>2563</v>
      </c>
      <c r="H886" s="4" t="s">
        <v>2564</v>
      </c>
      <c r="I886" s="5" t="s">
        <v>46</v>
      </c>
      <c r="J886" s="5" t="s">
        <v>37</v>
      </c>
      <c r="K886" s="5" t="s">
        <v>37</v>
      </c>
      <c r="L886" s="5" t="s">
        <v>1586</v>
      </c>
      <c r="M886" s="5" t="s">
        <v>37</v>
      </c>
      <c r="N886" s="5" t="s">
        <v>37</v>
      </c>
      <c r="O886" s="5" t="s">
        <v>38</v>
      </c>
      <c r="P886" s="5" t="s">
        <v>39</v>
      </c>
      <c r="Q886" s="2">
        <v>45960</v>
      </c>
      <c r="R886" s="1" t="s">
        <v>2565</v>
      </c>
      <c r="V886" s="46">
        <f>IF(
  OR(
    ISNUMBER(SEARCH("unable to locate acct", tblDocketedComments[[#This Row],[Docketed Consumer Comments]])),
    ISNUMBER(SEARCH("unknown", tblDocketedComments[[#This Row],[Docketed Consumer Comments]])),
    ISNUMBER(SEARCH("inactive", tblDocketedComments[[#This Row],[Docketed Consumer Comments]]))
  ),
  0,
  1
)</f>
        <v>1</v>
      </c>
    </row>
    <row r="887" spans="1:22" ht="11.45" hidden="1" customHeight="1">
      <c r="A887" s="2">
        <v>45906</v>
      </c>
      <c r="B887" s="1" t="s">
        <v>2566</v>
      </c>
      <c r="C887" s="1" t="s">
        <v>440</v>
      </c>
      <c r="D887" s="1" t="s">
        <v>112</v>
      </c>
      <c r="E887" s="1">
        <v>85379</v>
      </c>
      <c r="F887" s="1" t="s">
        <v>2567</v>
      </c>
      <c r="G887" s="1" t="s">
        <v>2364</v>
      </c>
      <c r="H887" s="4" t="s">
        <v>27</v>
      </c>
      <c r="V887" s="46">
        <f>IF(
  OR(
    ISNUMBER(SEARCH("unable to locate acct", tblDocketedComments[[#This Row],[Docketed Consumer Comments]])),
    ISNUMBER(SEARCH("unknown", tblDocketedComments[[#This Row],[Docketed Consumer Comments]])),
    ISNUMBER(SEARCH("inactive", tblDocketedComments[[#This Row],[Docketed Consumer Comments]]))
  ),
  0,
  1
)</f>
        <v>1</v>
      </c>
    </row>
    <row r="888" spans="1:22" ht="11.45" hidden="1" customHeight="1">
      <c r="A888" s="2">
        <v>45906</v>
      </c>
      <c r="B888" s="1" t="s">
        <v>2568</v>
      </c>
      <c r="C888" s="1" t="s">
        <v>2569</v>
      </c>
      <c r="D888" s="1" t="s">
        <v>202</v>
      </c>
      <c r="E888" s="1">
        <v>85383</v>
      </c>
      <c r="F888" s="1" t="s">
        <v>25</v>
      </c>
      <c r="G888" s="1" t="s">
        <v>2364</v>
      </c>
      <c r="H888" s="19" t="s">
        <v>2570</v>
      </c>
      <c r="I888" s="5" t="s">
        <v>36</v>
      </c>
      <c r="J888" s="5" t="s">
        <v>37</v>
      </c>
      <c r="K888" s="5" t="s">
        <v>37</v>
      </c>
      <c r="L888" s="5" t="s">
        <v>38</v>
      </c>
      <c r="M888" s="5" t="s">
        <v>37</v>
      </c>
      <c r="N888" s="5" t="s">
        <v>37</v>
      </c>
      <c r="O888" s="5" t="s">
        <v>38</v>
      </c>
      <c r="P888" s="5" t="s">
        <v>39</v>
      </c>
      <c r="Q888" s="2">
        <v>45964</v>
      </c>
      <c r="V888" s="46">
        <f>IF(
  OR(
    ISNUMBER(SEARCH("unable to locate acct", tblDocketedComments[[#This Row],[Docketed Consumer Comments]])),
    ISNUMBER(SEARCH("unknown", tblDocketedComments[[#This Row],[Docketed Consumer Comments]])),
    ISNUMBER(SEARCH("inactive", tblDocketedComments[[#This Row],[Docketed Consumer Comments]]))
  ),
  0,
  1
)</f>
        <v>1</v>
      </c>
    </row>
    <row r="889" spans="1:22" ht="11.45" hidden="1" customHeight="1">
      <c r="A889" s="2">
        <v>45907</v>
      </c>
      <c r="B889" s="1" t="s">
        <v>2571</v>
      </c>
      <c r="C889" s="1" t="s">
        <v>2572</v>
      </c>
      <c r="D889" s="1" t="s">
        <v>619</v>
      </c>
      <c r="E889" s="1">
        <v>85364</v>
      </c>
      <c r="F889" s="1" t="s">
        <v>310</v>
      </c>
      <c r="G889" s="1" t="s">
        <v>2364</v>
      </c>
      <c r="H889" s="4" t="s">
        <v>209</v>
      </c>
      <c r="V889" s="46">
        <f>IF(
  OR(
    ISNUMBER(SEARCH("unable to locate acct", tblDocketedComments[[#This Row],[Docketed Consumer Comments]])),
    ISNUMBER(SEARCH("unknown", tblDocketedComments[[#This Row],[Docketed Consumer Comments]])),
    ISNUMBER(SEARCH("inactive", tblDocketedComments[[#This Row],[Docketed Consumer Comments]]))
  ),
  0,
  1
)</f>
        <v>1</v>
      </c>
    </row>
    <row r="890" spans="1:22" ht="11.45" hidden="1" customHeight="1">
      <c r="A890" s="2">
        <v>45907</v>
      </c>
      <c r="B890" s="1" t="s">
        <v>2573</v>
      </c>
      <c r="C890" s="1" t="s">
        <v>312</v>
      </c>
      <c r="D890" s="1" t="s">
        <v>125</v>
      </c>
      <c r="E890" s="1">
        <v>85254</v>
      </c>
      <c r="F890" s="1" t="s">
        <v>2574</v>
      </c>
      <c r="G890" s="1" t="s">
        <v>2364</v>
      </c>
      <c r="H890" s="4" t="s">
        <v>2575</v>
      </c>
      <c r="I890" s="5" t="s">
        <v>36</v>
      </c>
      <c r="J890" s="5" t="s">
        <v>37</v>
      </c>
      <c r="K890" s="5" t="s">
        <v>37</v>
      </c>
      <c r="L890" s="5" t="s">
        <v>38</v>
      </c>
      <c r="M890" s="5" t="s">
        <v>37</v>
      </c>
      <c r="N890" s="5" t="s">
        <v>37</v>
      </c>
      <c r="O890" s="5" t="s">
        <v>38</v>
      </c>
      <c r="P890" s="5" t="s">
        <v>39</v>
      </c>
      <c r="Q890" s="2">
        <v>45964</v>
      </c>
      <c r="V890" s="46">
        <f>IF(
  OR(
    ISNUMBER(SEARCH("unable to locate acct", tblDocketedComments[[#This Row],[Docketed Consumer Comments]])),
    ISNUMBER(SEARCH("unknown", tblDocketedComments[[#This Row],[Docketed Consumer Comments]])),
    ISNUMBER(SEARCH("inactive", tblDocketedComments[[#This Row],[Docketed Consumer Comments]]))
  ),
  0,
  1
)</f>
        <v>1</v>
      </c>
    </row>
    <row r="891" spans="1:22" ht="11.45" hidden="1" customHeight="1">
      <c r="A891" s="2">
        <v>45907</v>
      </c>
      <c r="B891" s="1" t="s">
        <v>2576</v>
      </c>
      <c r="C891" s="1" t="s">
        <v>2577</v>
      </c>
      <c r="D891" s="1" t="s">
        <v>202</v>
      </c>
      <c r="E891" s="1">
        <v>85382</v>
      </c>
      <c r="F891" s="1" t="s">
        <v>310</v>
      </c>
      <c r="G891" s="1" t="s">
        <v>2364</v>
      </c>
      <c r="H891" s="4" t="s">
        <v>2578</v>
      </c>
      <c r="I891" s="5" t="s">
        <v>196</v>
      </c>
      <c r="J891" s="5" t="s">
        <v>37</v>
      </c>
      <c r="K891" s="5" t="s">
        <v>37</v>
      </c>
      <c r="L891" s="7" t="s">
        <v>2579</v>
      </c>
      <c r="M891" s="5" t="s">
        <v>37</v>
      </c>
      <c r="N891" s="5" t="s">
        <v>37</v>
      </c>
      <c r="O891" s="5" t="s">
        <v>38</v>
      </c>
      <c r="P891" s="2">
        <v>45939</v>
      </c>
      <c r="Q891" s="2">
        <v>45964</v>
      </c>
      <c r="R891" s="1" t="s">
        <v>2474</v>
      </c>
      <c r="V891" s="46">
        <f>IF(
  OR(
    ISNUMBER(SEARCH("unable to locate acct", tblDocketedComments[[#This Row],[Docketed Consumer Comments]])),
    ISNUMBER(SEARCH("unknown", tblDocketedComments[[#This Row],[Docketed Consumer Comments]])),
    ISNUMBER(SEARCH("inactive", tblDocketedComments[[#This Row],[Docketed Consumer Comments]]))
  ),
  0,
  1
)</f>
        <v>1</v>
      </c>
    </row>
    <row r="892" spans="1:22" ht="11.45" hidden="1" customHeight="1">
      <c r="A892" s="2">
        <v>45907</v>
      </c>
      <c r="B892" s="1" t="s">
        <v>2580</v>
      </c>
      <c r="C892" s="1" t="s">
        <v>962</v>
      </c>
      <c r="D892" s="1" t="s">
        <v>63</v>
      </c>
      <c r="E892" s="1">
        <v>85022</v>
      </c>
      <c r="F892" s="1" t="s">
        <v>2581</v>
      </c>
      <c r="G892" s="1" t="s">
        <v>2364</v>
      </c>
      <c r="H892" s="4" t="s">
        <v>2582</v>
      </c>
      <c r="I892" s="5" t="s">
        <v>36</v>
      </c>
      <c r="J892" s="5" t="s">
        <v>37</v>
      </c>
      <c r="K892" s="5" t="s">
        <v>37</v>
      </c>
      <c r="L892" s="5" t="s">
        <v>38</v>
      </c>
      <c r="M892" s="5" t="s">
        <v>37</v>
      </c>
      <c r="N892" s="5" t="s">
        <v>37</v>
      </c>
      <c r="O892" s="5" t="s">
        <v>38</v>
      </c>
      <c r="P892" s="5" t="s">
        <v>39</v>
      </c>
      <c r="Q892" s="2">
        <v>45964</v>
      </c>
      <c r="V892" s="46">
        <f>IF(
  OR(
    ISNUMBER(SEARCH("unable to locate acct", tblDocketedComments[[#This Row],[Docketed Consumer Comments]])),
    ISNUMBER(SEARCH("unknown", tblDocketedComments[[#This Row],[Docketed Consumer Comments]])),
    ISNUMBER(SEARCH("inactive", tblDocketedComments[[#This Row],[Docketed Consumer Comments]]))
  ),
  0,
  1
)</f>
        <v>1</v>
      </c>
    </row>
    <row r="893" spans="1:22" ht="11.45" hidden="1" customHeight="1">
      <c r="A893" s="2">
        <v>45907</v>
      </c>
      <c r="B893" s="1" t="s">
        <v>2583</v>
      </c>
      <c r="C893" s="1" t="s">
        <v>2476</v>
      </c>
      <c r="D893" s="1" t="s">
        <v>63</v>
      </c>
      <c r="E893" s="1">
        <v>85024</v>
      </c>
      <c r="F893" s="1" t="s">
        <v>310</v>
      </c>
      <c r="G893" s="1" t="s">
        <v>2364</v>
      </c>
      <c r="H893" s="4" t="s">
        <v>27</v>
      </c>
      <c r="V893" s="46">
        <f>IF(
  OR(
    ISNUMBER(SEARCH("unable to locate acct", tblDocketedComments[[#This Row],[Docketed Consumer Comments]])),
    ISNUMBER(SEARCH("unknown", tblDocketedComments[[#This Row],[Docketed Consumer Comments]])),
    ISNUMBER(SEARCH("inactive", tblDocketedComments[[#This Row],[Docketed Consumer Comments]]))
  ),
  0,
  1
)</f>
        <v>1</v>
      </c>
    </row>
    <row r="894" spans="1:22" ht="11.45" hidden="1" customHeight="1">
      <c r="A894" s="2">
        <v>45907</v>
      </c>
      <c r="B894" s="1" t="s">
        <v>2584</v>
      </c>
      <c r="C894" s="1" t="s">
        <v>359</v>
      </c>
      <c r="D894" s="1" t="s">
        <v>112</v>
      </c>
      <c r="E894" s="1">
        <v>85387</v>
      </c>
      <c r="F894" s="1" t="s">
        <v>310</v>
      </c>
      <c r="G894" s="1" t="s">
        <v>2364</v>
      </c>
      <c r="H894" s="4" t="s">
        <v>2585</v>
      </c>
      <c r="I894" s="5" t="s">
        <v>196</v>
      </c>
      <c r="J894" s="5" t="s">
        <v>37</v>
      </c>
      <c r="K894" s="5" t="s">
        <v>37</v>
      </c>
      <c r="L894" s="5" t="s">
        <v>38</v>
      </c>
      <c r="M894" s="5" t="s">
        <v>37</v>
      </c>
      <c r="N894" s="5" t="s">
        <v>37</v>
      </c>
      <c r="O894" s="5" t="s">
        <v>38</v>
      </c>
      <c r="P894" s="5" t="s">
        <v>39</v>
      </c>
      <c r="Q894" s="2">
        <v>45964</v>
      </c>
      <c r="V894" s="46">
        <f>IF(
  OR(
    ISNUMBER(SEARCH("unable to locate acct", tblDocketedComments[[#This Row],[Docketed Consumer Comments]])),
    ISNUMBER(SEARCH("unknown", tblDocketedComments[[#This Row],[Docketed Consumer Comments]])),
    ISNUMBER(SEARCH("inactive", tblDocketedComments[[#This Row],[Docketed Consumer Comments]]))
  ),
  0,
  1
)</f>
        <v>1</v>
      </c>
    </row>
    <row r="895" spans="1:22" ht="11.45" hidden="1" customHeight="1">
      <c r="A895" s="2">
        <v>45907</v>
      </c>
      <c r="B895" s="1" t="s">
        <v>2586</v>
      </c>
      <c r="C895" s="1" t="s">
        <v>2587</v>
      </c>
      <c r="D895" s="1" t="s">
        <v>125</v>
      </c>
      <c r="E895" s="1">
        <v>85251</v>
      </c>
      <c r="F895" s="1" t="s">
        <v>2588</v>
      </c>
      <c r="G895" s="1" t="s">
        <v>2364</v>
      </c>
      <c r="H895" s="19" t="s">
        <v>2589</v>
      </c>
      <c r="I895" s="5" t="s">
        <v>73</v>
      </c>
      <c r="J895" s="5" t="s">
        <v>37</v>
      </c>
      <c r="K895" s="5" t="s">
        <v>37</v>
      </c>
      <c r="L895" s="5" t="s">
        <v>38</v>
      </c>
      <c r="M895" s="5" t="s">
        <v>37</v>
      </c>
      <c r="N895" s="5" t="s">
        <v>37</v>
      </c>
      <c r="O895" s="5" t="s">
        <v>38</v>
      </c>
      <c r="P895" s="5" t="s">
        <v>39</v>
      </c>
      <c r="Q895" s="2">
        <v>45964</v>
      </c>
      <c r="V895" s="46">
        <f>IF(
  OR(
    ISNUMBER(SEARCH("unable to locate acct", tblDocketedComments[[#This Row],[Docketed Consumer Comments]])),
    ISNUMBER(SEARCH("unknown", tblDocketedComments[[#This Row],[Docketed Consumer Comments]])),
    ISNUMBER(SEARCH("inactive", tblDocketedComments[[#This Row],[Docketed Consumer Comments]]))
  ),
  0,
  1
)</f>
        <v>1</v>
      </c>
    </row>
    <row r="896" spans="1:22" ht="11.45" hidden="1" customHeight="1">
      <c r="A896" s="2">
        <v>45907</v>
      </c>
      <c r="B896" s="1" t="s">
        <v>2590</v>
      </c>
      <c r="C896" s="1" t="s">
        <v>1824</v>
      </c>
      <c r="D896" s="1" t="s">
        <v>112</v>
      </c>
      <c r="E896" s="1">
        <v>85379</v>
      </c>
      <c r="F896" s="1" t="s">
        <v>2591</v>
      </c>
      <c r="G896" s="1" t="s">
        <v>2364</v>
      </c>
      <c r="H896" s="4" t="s">
        <v>2592</v>
      </c>
      <c r="I896" s="5" t="s">
        <v>196</v>
      </c>
      <c r="J896" s="5" t="s">
        <v>37</v>
      </c>
      <c r="K896" s="5" t="s">
        <v>37</v>
      </c>
      <c r="L896" s="5" t="s">
        <v>2593</v>
      </c>
      <c r="M896" s="5" t="s">
        <v>38</v>
      </c>
      <c r="N896" s="15">
        <v>803.66</v>
      </c>
      <c r="O896" s="5" t="s">
        <v>38</v>
      </c>
      <c r="P896" s="7"/>
      <c r="Q896" s="2">
        <v>45964</v>
      </c>
      <c r="R896" s="1" t="s">
        <v>495</v>
      </c>
      <c r="V896" s="46">
        <f>IF(
  OR(
    ISNUMBER(SEARCH("unable to locate acct", tblDocketedComments[[#This Row],[Docketed Consumer Comments]])),
    ISNUMBER(SEARCH("unknown", tblDocketedComments[[#This Row],[Docketed Consumer Comments]])),
    ISNUMBER(SEARCH("inactive", tblDocketedComments[[#This Row],[Docketed Consumer Comments]]))
  ),
  0,
  1
)</f>
        <v>1</v>
      </c>
    </row>
    <row r="897" spans="1:22" ht="11.45" hidden="1" customHeight="1">
      <c r="A897" s="2">
        <v>45907</v>
      </c>
      <c r="B897" s="1" t="s">
        <v>2594</v>
      </c>
      <c r="C897" s="1" t="s">
        <v>2595</v>
      </c>
      <c r="D897" s="1" t="s">
        <v>659</v>
      </c>
      <c r="E897" s="1">
        <v>85350</v>
      </c>
      <c r="F897" s="1" t="s">
        <v>2596</v>
      </c>
      <c r="G897" s="1" t="s">
        <v>2364</v>
      </c>
      <c r="H897" s="4" t="s">
        <v>2597</v>
      </c>
      <c r="I897" s="5" t="s">
        <v>36</v>
      </c>
      <c r="J897" s="5" t="s">
        <v>38</v>
      </c>
      <c r="K897" s="5" t="s">
        <v>37</v>
      </c>
      <c r="L897" s="5" t="s">
        <v>38</v>
      </c>
      <c r="M897" s="5" t="s">
        <v>38</v>
      </c>
      <c r="N897" s="15">
        <v>1530.91</v>
      </c>
      <c r="O897" s="5" t="s">
        <v>38</v>
      </c>
      <c r="P897" s="7"/>
      <c r="Q897" s="2">
        <v>45964</v>
      </c>
      <c r="R897" s="1" t="s">
        <v>495</v>
      </c>
      <c r="V897" s="46">
        <f>IF(
  OR(
    ISNUMBER(SEARCH("unable to locate acct", tblDocketedComments[[#This Row],[Docketed Consumer Comments]])),
    ISNUMBER(SEARCH("unknown", tblDocketedComments[[#This Row],[Docketed Consumer Comments]])),
    ISNUMBER(SEARCH("inactive", tblDocketedComments[[#This Row],[Docketed Consumer Comments]]))
  ),
  0,
  1
)</f>
        <v>1</v>
      </c>
    </row>
    <row r="898" spans="1:22" ht="11.45" hidden="1" customHeight="1">
      <c r="A898" s="2">
        <v>45907</v>
      </c>
      <c r="B898" s="1" t="s">
        <v>2598</v>
      </c>
      <c r="C898" s="1" t="s">
        <v>2450</v>
      </c>
      <c r="D898" s="1" t="s">
        <v>698</v>
      </c>
      <c r="E898" s="1">
        <v>85375</v>
      </c>
      <c r="F898" s="1" t="s">
        <v>2599</v>
      </c>
      <c r="G898" s="1" t="s">
        <v>2364</v>
      </c>
      <c r="H898" s="4" t="s">
        <v>27</v>
      </c>
      <c r="V898" s="46">
        <f>IF(
  OR(
    ISNUMBER(SEARCH("unable to locate acct", tblDocketedComments[[#This Row],[Docketed Consumer Comments]])),
    ISNUMBER(SEARCH("unknown", tblDocketedComments[[#This Row],[Docketed Consumer Comments]])),
    ISNUMBER(SEARCH("inactive", tblDocketedComments[[#This Row],[Docketed Consumer Comments]]))
  ),
  0,
  1
)</f>
        <v>1</v>
      </c>
    </row>
    <row r="899" spans="1:22" ht="11.45" hidden="1" customHeight="1">
      <c r="A899" s="2">
        <v>45907</v>
      </c>
      <c r="B899" s="1" t="s">
        <v>2600</v>
      </c>
      <c r="C899" s="1" t="s">
        <v>2601</v>
      </c>
      <c r="D899" s="1" t="s">
        <v>43</v>
      </c>
      <c r="E899" s="1">
        <v>85363</v>
      </c>
      <c r="F899" s="1" t="s">
        <v>310</v>
      </c>
      <c r="G899" s="1" t="s">
        <v>2364</v>
      </c>
      <c r="H899" s="4" t="s">
        <v>2602</v>
      </c>
      <c r="I899" s="5" t="s">
        <v>196</v>
      </c>
      <c r="J899" s="5" t="s">
        <v>37</v>
      </c>
      <c r="K899" s="5" t="s">
        <v>37</v>
      </c>
      <c r="L899" s="7" t="s">
        <v>2603</v>
      </c>
      <c r="M899" s="5" t="s">
        <v>37</v>
      </c>
      <c r="N899" s="5" t="s">
        <v>37</v>
      </c>
      <c r="O899" s="5" t="s">
        <v>38</v>
      </c>
      <c r="P899" s="2">
        <v>45964</v>
      </c>
      <c r="Q899" s="2">
        <v>45964</v>
      </c>
      <c r="R899" s="1" t="s">
        <v>2398</v>
      </c>
      <c r="V899" s="46">
        <f>IF(
  OR(
    ISNUMBER(SEARCH("unable to locate acct", tblDocketedComments[[#This Row],[Docketed Consumer Comments]])),
    ISNUMBER(SEARCH("unknown", tblDocketedComments[[#This Row],[Docketed Consumer Comments]])),
    ISNUMBER(SEARCH("inactive", tblDocketedComments[[#This Row],[Docketed Consumer Comments]]))
  ),
  0,
  1
)</f>
        <v>1</v>
      </c>
    </row>
    <row r="900" spans="1:22" ht="11.45" hidden="1" customHeight="1">
      <c r="A900" s="2">
        <v>45907</v>
      </c>
      <c r="B900" s="1" t="s">
        <v>2566</v>
      </c>
      <c r="C900" s="1" t="s">
        <v>2377</v>
      </c>
      <c r="D900" s="1" t="s">
        <v>698</v>
      </c>
      <c r="E900" s="1">
        <v>85376</v>
      </c>
      <c r="F900" s="1" t="s">
        <v>2604</v>
      </c>
      <c r="G900" s="1" t="s">
        <v>2364</v>
      </c>
      <c r="H900" s="4" t="s">
        <v>2605</v>
      </c>
      <c r="I900" s="5" t="s">
        <v>196</v>
      </c>
      <c r="J900" s="5" t="s">
        <v>37</v>
      </c>
      <c r="K900" s="5" t="s">
        <v>37</v>
      </c>
      <c r="L900" s="7" t="s">
        <v>2606</v>
      </c>
      <c r="M900" s="5" t="s">
        <v>37</v>
      </c>
      <c r="N900" s="5" t="s">
        <v>37</v>
      </c>
      <c r="O900" s="5" t="s">
        <v>38</v>
      </c>
      <c r="P900" s="5" t="s">
        <v>39</v>
      </c>
      <c r="Q900" s="2">
        <v>45964</v>
      </c>
      <c r="R900" s="1" t="s">
        <v>2607</v>
      </c>
      <c r="V900" s="46">
        <f>IF(
  OR(
    ISNUMBER(SEARCH("unable to locate acct", tblDocketedComments[[#This Row],[Docketed Consumer Comments]])),
    ISNUMBER(SEARCH("unknown", tblDocketedComments[[#This Row],[Docketed Consumer Comments]])),
    ISNUMBER(SEARCH("inactive", tblDocketedComments[[#This Row],[Docketed Consumer Comments]]))
  ),
  0,
  1
)</f>
        <v>1</v>
      </c>
    </row>
    <row r="901" spans="1:22" ht="11.45" hidden="1" customHeight="1">
      <c r="A901" s="2">
        <v>45907</v>
      </c>
      <c r="B901" s="1" t="s">
        <v>2608</v>
      </c>
      <c r="C901" s="1" t="s">
        <v>2609</v>
      </c>
      <c r="D901" s="1" t="s">
        <v>63</v>
      </c>
      <c r="E901" s="1">
        <v>85024</v>
      </c>
      <c r="F901" s="1" t="s">
        <v>310</v>
      </c>
      <c r="G901" s="1" t="s">
        <v>2364</v>
      </c>
      <c r="H901" s="4" t="s">
        <v>2610</v>
      </c>
      <c r="I901" s="5" t="s">
        <v>57</v>
      </c>
      <c r="J901" s="5" t="s">
        <v>37</v>
      </c>
      <c r="K901" s="5" t="s">
        <v>37</v>
      </c>
      <c r="L901" s="7" t="s">
        <v>2611</v>
      </c>
      <c r="M901" s="5" t="s">
        <v>37</v>
      </c>
      <c r="N901" s="5" t="s">
        <v>37</v>
      </c>
      <c r="O901" s="5" t="s">
        <v>38</v>
      </c>
      <c r="P901" s="2">
        <v>45939</v>
      </c>
      <c r="Q901" s="2">
        <v>45964</v>
      </c>
      <c r="R901" s="1" t="s">
        <v>2474</v>
      </c>
      <c r="V901" s="46">
        <f>IF(
  OR(
    ISNUMBER(SEARCH("unable to locate acct", tblDocketedComments[[#This Row],[Docketed Consumer Comments]])),
    ISNUMBER(SEARCH("unknown", tblDocketedComments[[#This Row],[Docketed Consumer Comments]])),
    ISNUMBER(SEARCH("inactive", tblDocketedComments[[#This Row],[Docketed Consumer Comments]]))
  ),
  0,
  1
)</f>
        <v>1</v>
      </c>
    </row>
    <row r="902" spans="1:22" ht="11.65" hidden="1" customHeight="1">
      <c r="A902" s="2">
        <v>45907</v>
      </c>
      <c r="B902" s="1" t="s">
        <v>2612</v>
      </c>
      <c r="C902" s="1" t="s">
        <v>471</v>
      </c>
      <c r="D902" s="1" t="s">
        <v>112</v>
      </c>
      <c r="E902" s="1">
        <v>85387</v>
      </c>
      <c r="F902" s="1" t="s">
        <v>2613</v>
      </c>
      <c r="G902" s="1" t="s">
        <v>2364</v>
      </c>
      <c r="H902" s="4" t="s">
        <v>2614</v>
      </c>
      <c r="I902" s="5" t="s">
        <v>196</v>
      </c>
      <c r="J902" s="5" t="s">
        <v>37</v>
      </c>
      <c r="K902" s="5" t="s">
        <v>37</v>
      </c>
      <c r="L902" s="7" t="s">
        <v>2615</v>
      </c>
      <c r="M902" s="5" t="s">
        <v>37</v>
      </c>
      <c r="N902" s="5" t="s">
        <v>37</v>
      </c>
      <c r="O902" s="5" t="s">
        <v>38</v>
      </c>
      <c r="P902" s="5" t="s">
        <v>39</v>
      </c>
      <c r="Q902" s="2">
        <v>45964</v>
      </c>
      <c r="R902" s="1" t="s">
        <v>2616</v>
      </c>
      <c r="V902" s="46">
        <f>IF(
  OR(
    ISNUMBER(SEARCH("unable to locate acct", tblDocketedComments[[#This Row],[Docketed Consumer Comments]])),
    ISNUMBER(SEARCH("unknown", tblDocketedComments[[#This Row],[Docketed Consumer Comments]])),
    ISNUMBER(SEARCH("inactive", tblDocketedComments[[#This Row],[Docketed Consumer Comments]]))
  ),
  0,
  1
)</f>
        <v>1</v>
      </c>
    </row>
    <row r="903" spans="1:22" ht="11.65" hidden="1" customHeight="1">
      <c r="A903" s="2">
        <v>45907</v>
      </c>
      <c r="B903" s="1" t="s">
        <v>2617</v>
      </c>
      <c r="C903" s="1" t="s">
        <v>1918</v>
      </c>
      <c r="D903" s="1" t="s">
        <v>63</v>
      </c>
      <c r="E903" s="1">
        <v>85032</v>
      </c>
      <c r="F903" s="1" t="s">
        <v>2618</v>
      </c>
      <c r="G903" s="1" t="s">
        <v>2364</v>
      </c>
      <c r="H903" s="4" t="s">
        <v>2619</v>
      </c>
      <c r="I903" s="5" t="s">
        <v>73</v>
      </c>
      <c r="J903" s="5" t="s">
        <v>37</v>
      </c>
      <c r="K903" s="5" t="s">
        <v>37</v>
      </c>
      <c r="L903" s="5" t="s">
        <v>38</v>
      </c>
      <c r="M903" s="5" t="s">
        <v>37</v>
      </c>
      <c r="N903" s="5" t="s">
        <v>37</v>
      </c>
      <c r="O903" s="5" t="s">
        <v>38</v>
      </c>
      <c r="P903" s="5" t="s">
        <v>39</v>
      </c>
      <c r="Q903" s="2">
        <v>45964</v>
      </c>
      <c r="R903" s="1" t="s">
        <v>2620</v>
      </c>
      <c r="V903" s="46">
        <f>IF(
  OR(
    ISNUMBER(SEARCH("unable to locate acct", tblDocketedComments[[#This Row],[Docketed Consumer Comments]])),
    ISNUMBER(SEARCH("unknown", tblDocketedComments[[#This Row],[Docketed Consumer Comments]])),
    ISNUMBER(SEARCH("inactive", tblDocketedComments[[#This Row],[Docketed Consumer Comments]]))
  ),
  0,
  1
)</f>
        <v>1</v>
      </c>
    </row>
    <row r="904" spans="1:22" ht="11.65" hidden="1" customHeight="1">
      <c r="A904" s="2">
        <v>45907</v>
      </c>
      <c r="B904" s="1" t="s">
        <v>2621</v>
      </c>
      <c r="C904" s="1" t="s">
        <v>771</v>
      </c>
      <c r="D904" s="1" t="s">
        <v>264</v>
      </c>
      <c r="E904" s="1">
        <v>85541</v>
      </c>
      <c r="F904" s="1" t="s">
        <v>310</v>
      </c>
      <c r="G904" s="1" t="s">
        <v>2364</v>
      </c>
      <c r="H904" s="4" t="s">
        <v>27</v>
      </c>
      <c r="V904" s="46">
        <f>IF(
  OR(
    ISNUMBER(SEARCH("unable to locate acct", tblDocketedComments[[#This Row],[Docketed Consumer Comments]])),
    ISNUMBER(SEARCH("unknown", tblDocketedComments[[#This Row],[Docketed Consumer Comments]])),
    ISNUMBER(SEARCH("inactive", tblDocketedComments[[#This Row],[Docketed Consumer Comments]]))
  ),
  0,
  1
)</f>
        <v>1</v>
      </c>
    </row>
    <row r="905" spans="1:22" ht="11.65" hidden="1" customHeight="1">
      <c r="A905" s="2">
        <v>45907</v>
      </c>
      <c r="B905" s="1" t="s">
        <v>1190</v>
      </c>
      <c r="C905" s="1" t="s">
        <v>312</v>
      </c>
      <c r="D905" s="1" t="s">
        <v>63</v>
      </c>
      <c r="E905" s="1">
        <v>85027</v>
      </c>
      <c r="F905" s="1" t="s">
        <v>812</v>
      </c>
      <c r="G905" s="1" t="s">
        <v>2364</v>
      </c>
      <c r="H905" s="4" t="s">
        <v>2622</v>
      </c>
      <c r="I905" s="5" t="s">
        <v>36</v>
      </c>
      <c r="J905" s="5" t="s">
        <v>37</v>
      </c>
      <c r="K905" s="5" t="s">
        <v>37</v>
      </c>
      <c r="L905" s="5" t="s">
        <v>38</v>
      </c>
      <c r="M905" s="5" t="s">
        <v>37</v>
      </c>
      <c r="N905" s="5" t="s">
        <v>37</v>
      </c>
      <c r="O905" s="5" t="s">
        <v>38</v>
      </c>
      <c r="P905" s="5" t="s">
        <v>39</v>
      </c>
      <c r="Q905" s="2">
        <v>45964</v>
      </c>
      <c r="V905" s="46">
        <f>IF(
  OR(
    ISNUMBER(SEARCH("unable to locate acct", tblDocketedComments[[#This Row],[Docketed Consumer Comments]])),
    ISNUMBER(SEARCH("unknown", tblDocketedComments[[#This Row],[Docketed Consumer Comments]])),
    ISNUMBER(SEARCH("inactive", tblDocketedComments[[#This Row],[Docketed Consumer Comments]]))
  ),
  0,
  1
)</f>
        <v>1</v>
      </c>
    </row>
    <row r="906" spans="1:22" ht="11.65" hidden="1" customHeight="1">
      <c r="A906" s="2">
        <v>45907</v>
      </c>
      <c r="B906" s="1" t="s">
        <v>2623</v>
      </c>
      <c r="C906" s="1" t="s">
        <v>1447</v>
      </c>
      <c r="D906" s="1" t="s">
        <v>63</v>
      </c>
      <c r="E906" s="1">
        <v>85008</v>
      </c>
      <c r="F906" s="1" t="s">
        <v>310</v>
      </c>
      <c r="G906" s="1" t="s">
        <v>2364</v>
      </c>
      <c r="H906" s="4" t="s">
        <v>2624</v>
      </c>
      <c r="I906" s="5" t="s">
        <v>126</v>
      </c>
      <c r="J906" s="5" t="s">
        <v>37</v>
      </c>
      <c r="K906" s="5" t="s">
        <v>37</v>
      </c>
      <c r="L906" s="5" t="s">
        <v>2625</v>
      </c>
      <c r="M906" s="5" t="s">
        <v>37</v>
      </c>
      <c r="N906" s="5" t="s">
        <v>37</v>
      </c>
      <c r="O906" s="5" t="s">
        <v>38</v>
      </c>
      <c r="P906" s="5" t="s">
        <v>39</v>
      </c>
      <c r="Q906" s="2">
        <v>45964</v>
      </c>
      <c r="V906" s="46">
        <f>IF(
  OR(
    ISNUMBER(SEARCH("unable to locate acct", tblDocketedComments[[#This Row],[Docketed Consumer Comments]])),
    ISNUMBER(SEARCH("unknown", tblDocketedComments[[#This Row],[Docketed Consumer Comments]])),
    ISNUMBER(SEARCH("inactive", tblDocketedComments[[#This Row],[Docketed Consumer Comments]]))
  ),
  0,
  1
)</f>
        <v>1</v>
      </c>
    </row>
    <row r="907" spans="1:22" ht="11.65" hidden="1" customHeight="1">
      <c r="A907" s="2">
        <v>45907</v>
      </c>
      <c r="B907" s="1" t="s">
        <v>2626</v>
      </c>
      <c r="C907" s="1" t="s">
        <v>427</v>
      </c>
      <c r="D907" s="1" t="s">
        <v>112</v>
      </c>
      <c r="E907" s="1">
        <v>85379</v>
      </c>
      <c r="F907" s="1" t="s">
        <v>2414</v>
      </c>
      <c r="G907" s="1" t="s">
        <v>2364</v>
      </c>
      <c r="H907" s="4" t="s">
        <v>2627</v>
      </c>
      <c r="I907" s="5" t="s">
        <v>73</v>
      </c>
      <c r="J907" s="5" t="s">
        <v>37</v>
      </c>
      <c r="K907" s="5" t="s">
        <v>37</v>
      </c>
      <c r="L907" s="7" t="s">
        <v>2628</v>
      </c>
      <c r="M907" s="5" t="s">
        <v>37</v>
      </c>
      <c r="N907" s="5" t="s">
        <v>37</v>
      </c>
      <c r="O907" s="5" t="s">
        <v>38</v>
      </c>
      <c r="P907" s="2">
        <v>45939</v>
      </c>
      <c r="Q907" s="2">
        <v>45964</v>
      </c>
      <c r="R907" s="1" t="s">
        <v>2629</v>
      </c>
      <c r="V907" s="46">
        <f>IF(
  OR(
    ISNUMBER(SEARCH("unable to locate acct", tblDocketedComments[[#This Row],[Docketed Consumer Comments]])),
    ISNUMBER(SEARCH("unknown", tblDocketedComments[[#This Row],[Docketed Consumer Comments]])),
    ISNUMBER(SEARCH("inactive", tblDocketedComments[[#This Row],[Docketed Consumer Comments]]))
  ),
  0,
  1
)</f>
        <v>1</v>
      </c>
    </row>
    <row r="908" spans="1:22" ht="11.65" hidden="1" customHeight="1">
      <c r="A908" s="2">
        <v>45907</v>
      </c>
      <c r="B908" s="1" t="s">
        <v>2630</v>
      </c>
      <c r="C908" s="1" t="s">
        <v>131</v>
      </c>
      <c r="D908" s="1" t="s">
        <v>370</v>
      </c>
      <c r="E908" s="1">
        <v>85225</v>
      </c>
      <c r="F908" s="1" t="s">
        <v>310</v>
      </c>
      <c r="G908" s="1" t="s">
        <v>2364</v>
      </c>
      <c r="H908" s="4" t="s">
        <v>2631</v>
      </c>
      <c r="I908" s="5" t="s">
        <v>243</v>
      </c>
      <c r="J908" s="5" t="s">
        <v>37</v>
      </c>
      <c r="K908" s="5" t="s">
        <v>37</v>
      </c>
      <c r="L908" s="5" t="s">
        <v>389</v>
      </c>
      <c r="M908" s="5" t="s">
        <v>37</v>
      </c>
      <c r="N908" s="5" t="s">
        <v>37</v>
      </c>
      <c r="O908" s="5" t="s">
        <v>38</v>
      </c>
      <c r="P908" s="5" t="s">
        <v>39</v>
      </c>
      <c r="Q908" s="2">
        <v>45964</v>
      </c>
      <c r="V908" s="46">
        <f>IF(
  OR(
    ISNUMBER(SEARCH("unable to locate acct", tblDocketedComments[[#This Row],[Docketed Consumer Comments]])),
    ISNUMBER(SEARCH("unknown", tblDocketedComments[[#This Row],[Docketed Consumer Comments]])),
    ISNUMBER(SEARCH("inactive", tblDocketedComments[[#This Row],[Docketed Consumer Comments]]))
  ),
  0,
  1
)</f>
        <v>1</v>
      </c>
    </row>
    <row r="909" spans="1:22" ht="11.65" hidden="1" customHeight="1">
      <c r="A909" s="2">
        <v>45907</v>
      </c>
      <c r="B909" s="1" t="s">
        <v>2632</v>
      </c>
      <c r="C909" s="1" t="s">
        <v>2633</v>
      </c>
      <c r="D909" s="1" t="s">
        <v>125</v>
      </c>
      <c r="E909" s="1">
        <v>85259</v>
      </c>
      <c r="F909" s="1" t="s">
        <v>310</v>
      </c>
      <c r="G909" s="1" t="s">
        <v>2364</v>
      </c>
      <c r="H909" s="4" t="s">
        <v>27</v>
      </c>
      <c r="V909" s="46">
        <f>IF(
  OR(
    ISNUMBER(SEARCH("unable to locate acct", tblDocketedComments[[#This Row],[Docketed Consumer Comments]])),
    ISNUMBER(SEARCH("unknown", tblDocketedComments[[#This Row],[Docketed Consumer Comments]])),
    ISNUMBER(SEARCH("inactive", tblDocketedComments[[#This Row],[Docketed Consumer Comments]]))
  ),
  0,
  1
)</f>
        <v>1</v>
      </c>
    </row>
    <row r="910" spans="1:22" ht="11.65" hidden="1" customHeight="1">
      <c r="A910" s="2">
        <v>45907</v>
      </c>
      <c r="B910" s="1" t="s">
        <v>2634</v>
      </c>
      <c r="C910" s="1" t="s">
        <v>2562</v>
      </c>
      <c r="D910" s="1" t="s">
        <v>1204</v>
      </c>
      <c r="E910" s="1">
        <v>85355</v>
      </c>
      <c r="F910" s="1" t="s">
        <v>2635</v>
      </c>
      <c r="G910" s="1" t="s">
        <v>2364</v>
      </c>
      <c r="H910" s="4" t="s">
        <v>2636</v>
      </c>
      <c r="I910" s="5" t="s">
        <v>36</v>
      </c>
      <c r="J910" s="5" t="s">
        <v>37</v>
      </c>
      <c r="K910" s="5" t="s">
        <v>37</v>
      </c>
      <c r="L910" s="5" t="s">
        <v>38</v>
      </c>
      <c r="M910" s="5" t="s">
        <v>38</v>
      </c>
      <c r="N910" s="13">
        <v>189.57</v>
      </c>
      <c r="O910" s="5" t="s">
        <v>38</v>
      </c>
      <c r="P910" s="5" t="s">
        <v>39</v>
      </c>
      <c r="Q910" s="2">
        <v>45964</v>
      </c>
      <c r="V910" s="46">
        <f>IF(
  OR(
    ISNUMBER(SEARCH("unable to locate acct", tblDocketedComments[[#This Row],[Docketed Consumer Comments]])),
    ISNUMBER(SEARCH("unknown", tblDocketedComments[[#This Row],[Docketed Consumer Comments]])),
    ISNUMBER(SEARCH("inactive", tblDocketedComments[[#This Row],[Docketed Consumer Comments]]))
  ),
  0,
  1
)</f>
        <v>1</v>
      </c>
    </row>
    <row r="911" spans="1:22" ht="11.65" hidden="1" customHeight="1">
      <c r="A911" s="2">
        <v>45907</v>
      </c>
      <c r="B911" s="1" t="s">
        <v>2637</v>
      </c>
      <c r="C911" s="1" t="s">
        <v>2638</v>
      </c>
      <c r="D911" s="1" t="s">
        <v>202</v>
      </c>
      <c r="E911" s="1">
        <v>85383</v>
      </c>
      <c r="F911" s="1" t="s">
        <v>31</v>
      </c>
      <c r="G911" s="1" t="s">
        <v>2364</v>
      </c>
      <c r="H911" s="19" t="s">
        <v>2639</v>
      </c>
      <c r="I911" s="5" t="s">
        <v>36</v>
      </c>
      <c r="J911" s="5" t="s">
        <v>37</v>
      </c>
      <c r="K911" s="5" t="s">
        <v>37</v>
      </c>
      <c r="L911" s="5" t="s">
        <v>38</v>
      </c>
      <c r="M911" s="5" t="s">
        <v>37</v>
      </c>
      <c r="N911" s="5" t="s">
        <v>37</v>
      </c>
      <c r="O911" s="5" t="s">
        <v>38</v>
      </c>
      <c r="P911" s="5" t="s">
        <v>39</v>
      </c>
      <c r="Q911" s="2">
        <v>45964</v>
      </c>
      <c r="V911" s="46">
        <f>IF(
  OR(
    ISNUMBER(SEARCH("unable to locate acct", tblDocketedComments[[#This Row],[Docketed Consumer Comments]])),
    ISNUMBER(SEARCH("unknown", tblDocketedComments[[#This Row],[Docketed Consumer Comments]])),
    ISNUMBER(SEARCH("inactive", tblDocketedComments[[#This Row],[Docketed Consumer Comments]]))
  ),
  0,
  1
)</f>
        <v>1</v>
      </c>
    </row>
    <row r="912" spans="1:22" ht="11.65" hidden="1" customHeight="1">
      <c r="A912" s="2">
        <v>45907</v>
      </c>
      <c r="B912" s="1" t="s">
        <v>2640</v>
      </c>
      <c r="C912" s="1" t="s">
        <v>757</v>
      </c>
      <c r="D912" s="1" t="s">
        <v>2641</v>
      </c>
      <c r="E912" s="1">
        <v>85087</v>
      </c>
      <c r="F912" s="1" t="s">
        <v>31</v>
      </c>
      <c r="G912" s="1" t="s">
        <v>2364</v>
      </c>
      <c r="H912" s="4" t="s">
        <v>2642</v>
      </c>
      <c r="I912" s="5" t="s">
        <v>250</v>
      </c>
      <c r="J912" s="5" t="s">
        <v>37</v>
      </c>
      <c r="K912" s="5" t="s">
        <v>37</v>
      </c>
      <c r="L912" s="5" t="s">
        <v>38</v>
      </c>
      <c r="M912" s="5" t="s">
        <v>37</v>
      </c>
      <c r="N912" s="5" t="s">
        <v>37</v>
      </c>
      <c r="O912" s="5" t="s">
        <v>38</v>
      </c>
      <c r="P912" s="5" t="s">
        <v>39</v>
      </c>
      <c r="Q912" s="2">
        <v>45964</v>
      </c>
      <c r="V912" s="46">
        <f>IF(
  OR(
    ISNUMBER(SEARCH("unable to locate acct", tblDocketedComments[[#This Row],[Docketed Consumer Comments]])),
    ISNUMBER(SEARCH("unknown", tblDocketedComments[[#This Row],[Docketed Consumer Comments]])),
    ISNUMBER(SEARCH("inactive", tblDocketedComments[[#This Row],[Docketed Consumer Comments]]))
  ),
  0,
  1
)</f>
        <v>1</v>
      </c>
    </row>
    <row r="913" spans="1:22" ht="11.65" hidden="1" customHeight="1">
      <c r="A913" s="2">
        <v>45907</v>
      </c>
      <c r="B913" s="1" t="s">
        <v>841</v>
      </c>
      <c r="C913" s="1" t="s">
        <v>2643</v>
      </c>
      <c r="D913" s="1" t="s">
        <v>63</v>
      </c>
      <c r="E913" s="1">
        <v>85013</v>
      </c>
      <c r="F913" s="1" t="s">
        <v>310</v>
      </c>
      <c r="G913" s="1" t="s">
        <v>2364</v>
      </c>
      <c r="H913" s="4" t="s">
        <v>2644</v>
      </c>
      <c r="I913" s="5" t="s">
        <v>126</v>
      </c>
      <c r="J913" s="5" t="s">
        <v>37</v>
      </c>
      <c r="K913" s="5" t="s">
        <v>37</v>
      </c>
      <c r="L913" s="5" t="s">
        <v>38</v>
      </c>
      <c r="M913" s="5" t="s">
        <v>37</v>
      </c>
      <c r="N913" s="5" t="s">
        <v>37</v>
      </c>
      <c r="O913" s="5" t="s">
        <v>38</v>
      </c>
      <c r="P913" s="5" t="s">
        <v>39</v>
      </c>
      <c r="Q913" s="2">
        <v>45964</v>
      </c>
      <c r="V913" s="46">
        <f>IF(
  OR(
    ISNUMBER(SEARCH("unable to locate acct", tblDocketedComments[[#This Row],[Docketed Consumer Comments]])),
    ISNUMBER(SEARCH("unknown", tblDocketedComments[[#This Row],[Docketed Consumer Comments]])),
    ISNUMBER(SEARCH("inactive", tblDocketedComments[[#This Row],[Docketed Consumer Comments]]))
  ),
  0,
  1
)</f>
        <v>1</v>
      </c>
    </row>
    <row r="914" spans="1:22" ht="11.65" hidden="1" customHeight="1">
      <c r="A914" s="2">
        <v>45907</v>
      </c>
      <c r="B914" s="1" t="s">
        <v>2645</v>
      </c>
      <c r="C914" s="1" t="s">
        <v>2646</v>
      </c>
      <c r="D914" s="1" t="s">
        <v>63</v>
      </c>
      <c r="E914" s="1">
        <v>85023</v>
      </c>
      <c r="F914" s="1" t="s">
        <v>2647</v>
      </c>
      <c r="G914" s="1" t="s">
        <v>2364</v>
      </c>
      <c r="H914" s="4" t="s">
        <v>2648</v>
      </c>
      <c r="I914" s="5" t="s">
        <v>73</v>
      </c>
      <c r="J914" s="5" t="s">
        <v>37</v>
      </c>
      <c r="K914" s="5" t="s">
        <v>37</v>
      </c>
      <c r="L914" s="5" t="s">
        <v>38</v>
      </c>
      <c r="M914" s="5" t="s">
        <v>37</v>
      </c>
      <c r="N914" s="5" t="s">
        <v>37</v>
      </c>
      <c r="O914" s="5" t="s">
        <v>38</v>
      </c>
      <c r="P914" s="5" t="s">
        <v>39</v>
      </c>
      <c r="Q914" s="2">
        <v>45964</v>
      </c>
      <c r="V914" s="46">
        <f>IF(
  OR(
    ISNUMBER(SEARCH("unable to locate acct", tblDocketedComments[[#This Row],[Docketed Consumer Comments]])),
    ISNUMBER(SEARCH("unknown", tblDocketedComments[[#This Row],[Docketed Consumer Comments]])),
    ISNUMBER(SEARCH("inactive", tblDocketedComments[[#This Row],[Docketed Consumer Comments]]))
  ),
  0,
  1
)</f>
        <v>1</v>
      </c>
    </row>
    <row r="915" spans="1:22" ht="11.65" hidden="1" customHeight="1">
      <c r="A915" s="2">
        <v>45907</v>
      </c>
      <c r="B915" s="1" t="s">
        <v>2649</v>
      </c>
      <c r="C915" s="1" t="s">
        <v>2650</v>
      </c>
      <c r="D915" s="1" t="s">
        <v>63</v>
      </c>
      <c r="E915" s="1">
        <v>85027</v>
      </c>
      <c r="F915" s="1" t="s">
        <v>31</v>
      </c>
      <c r="G915" s="1" t="s">
        <v>2364</v>
      </c>
      <c r="H915" s="4" t="s">
        <v>27</v>
      </c>
      <c r="V915" s="46">
        <f>IF(
  OR(
    ISNUMBER(SEARCH("unable to locate acct", tblDocketedComments[[#This Row],[Docketed Consumer Comments]])),
    ISNUMBER(SEARCH("unknown", tblDocketedComments[[#This Row],[Docketed Consumer Comments]])),
    ISNUMBER(SEARCH("inactive", tblDocketedComments[[#This Row],[Docketed Consumer Comments]]))
  ),
  0,
  1
)</f>
        <v>1</v>
      </c>
    </row>
    <row r="916" spans="1:22" ht="11.65" hidden="1" customHeight="1">
      <c r="A916" s="2">
        <v>45907</v>
      </c>
      <c r="B916" s="1" t="s">
        <v>2651</v>
      </c>
      <c r="C916" s="1" t="s">
        <v>2652</v>
      </c>
      <c r="D916" s="1" t="s">
        <v>202</v>
      </c>
      <c r="E916" s="1">
        <v>85383</v>
      </c>
      <c r="F916" s="1" t="s">
        <v>2653</v>
      </c>
      <c r="G916" s="1" t="s">
        <v>2364</v>
      </c>
      <c r="H916" s="4" t="s">
        <v>2654</v>
      </c>
      <c r="I916" s="5" t="s">
        <v>36</v>
      </c>
      <c r="J916" s="5" t="s">
        <v>37</v>
      </c>
      <c r="K916" s="5" t="s">
        <v>37</v>
      </c>
      <c r="L916" s="5" t="s">
        <v>38</v>
      </c>
      <c r="M916" s="5" t="s">
        <v>37</v>
      </c>
      <c r="N916" s="5" t="s">
        <v>37</v>
      </c>
      <c r="O916" s="5" t="s">
        <v>38</v>
      </c>
      <c r="P916" s="5" t="s">
        <v>39</v>
      </c>
      <c r="Q916" s="2">
        <v>45964</v>
      </c>
      <c r="V916" s="46">
        <f>IF(
  OR(
    ISNUMBER(SEARCH("unable to locate acct", tblDocketedComments[[#This Row],[Docketed Consumer Comments]])),
    ISNUMBER(SEARCH("unknown", tblDocketedComments[[#This Row],[Docketed Consumer Comments]])),
    ISNUMBER(SEARCH("inactive", tblDocketedComments[[#This Row],[Docketed Consumer Comments]]))
  ),
  0,
  1
)</f>
        <v>1</v>
      </c>
    </row>
    <row r="917" spans="1:22" ht="11.65" hidden="1" customHeight="1">
      <c r="A917" s="2">
        <v>45907</v>
      </c>
      <c r="B917" s="1" t="s">
        <v>508</v>
      </c>
      <c r="C917" s="1" t="s">
        <v>965</v>
      </c>
      <c r="D917" s="1" t="s">
        <v>125</v>
      </c>
      <c r="E917" s="1">
        <v>85266</v>
      </c>
      <c r="F917" s="1" t="s">
        <v>31</v>
      </c>
      <c r="G917" s="1" t="s">
        <v>2364</v>
      </c>
      <c r="H917" s="19" t="s">
        <v>2655</v>
      </c>
      <c r="I917" s="5" t="s">
        <v>36</v>
      </c>
      <c r="J917" s="5" t="s">
        <v>37</v>
      </c>
      <c r="K917" s="5" t="s">
        <v>37</v>
      </c>
      <c r="L917" s="5" t="s">
        <v>38</v>
      </c>
      <c r="M917" s="5" t="s">
        <v>37</v>
      </c>
      <c r="N917" s="5" t="s">
        <v>37</v>
      </c>
      <c r="O917" s="5" t="s">
        <v>38</v>
      </c>
      <c r="P917" s="5" t="s">
        <v>39</v>
      </c>
      <c r="Q917" s="2">
        <v>45964</v>
      </c>
      <c r="V917" s="46">
        <f>IF(
  OR(
    ISNUMBER(SEARCH("unable to locate acct", tblDocketedComments[[#This Row],[Docketed Consumer Comments]])),
    ISNUMBER(SEARCH("unknown", tblDocketedComments[[#This Row],[Docketed Consumer Comments]])),
    ISNUMBER(SEARCH("inactive", tblDocketedComments[[#This Row],[Docketed Consumer Comments]]))
  ),
  0,
  1
)</f>
        <v>1</v>
      </c>
    </row>
    <row r="918" spans="1:22" ht="11.65" hidden="1" customHeight="1">
      <c r="A918" s="2">
        <v>45907</v>
      </c>
      <c r="B918" s="1" t="s">
        <v>686</v>
      </c>
      <c r="C918" s="1" t="s">
        <v>481</v>
      </c>
      <c r="D918" s="1" t="s">
        <v>202</v>
      </c>
      <c r="E918" s="1">
        <v>85383</v>
      </c>
      <c r="F918" s="1" t="s">
        <v>310</v>
      </c>
      <c r="G918" s="1" t="s">
        <v>2364</v>
      </c>
      <c r="H918" s="4" t="s">
        <v>209</v>
      </c>
      <c r="V918" s="46">
        <f>IF(
  OR(
    ISNUMBER(SEARCH("unable to locate acct", tblDocketedComments[[#This Row],[Docketed Consumer Comments]])),
    ISNUMBER(SEARCH("unknown", tblDocketedComments[[#This Row],[Docketed Consumer Comments]])),
    ISNUMBER(SEARCH("inactive", tblDocketedComments[[#This Row],[Docketed Consumer Comments]]))
  ),
  0,
  1
)</f>
        <v>1</v>
      </c>
    </row>
    <row r="919" spans="1:22" ht="11.65" hidden="1" customHeight="1">
      <c r="A919" s="2">
        <v>45907</v>
      </c>
      <c r="B919" s="1" t="s">
        <v>2656</v>
      </c>
      <c r="C919" s="1" t="s">
        <v>2657</v>
      </c>
      <c r="D919" s="1" t="s">
        <v>202</v>
      </c>
      <c r="E919" s="1">
        <v>85381</v>
      </c>
      <c r="F919" s="1" t="s">
        <v>310</v>
      </c>
      <c r="G919" s="1" t="s">
        <v>2364</v>
      </c>
      <c r="H919" s="4" t="s">
        <v>27</v>
      </c>
      <c r="V919" s="46">
        <f>IF(
  OR(
    ISNUMBER(SEARCH("unable to locate acct", tblDocketedComments[[#This Row],[Docketed Consumer Comments]])),
    ISNUMBER(SEARCH("unknown", tblDocketedComments[[#This Row],[Docketed Consumer Comments]])),
    ISNUMBER(SEARCH("inactive", tblDocketedComments[[#This Row],[Docketed Consumer Comments]]))
  ),
  0,
  1
)</f>
        <v>1</v>
      </c>
    </row>
    <row r="920" spans="1:22" ht="11.65" hidden="1" customHeight="1">
      <c r="A920" s="2">
        <v>45907</v>
      </c>
      <c r="B920" s="1" t="s">
        <v>1500</v>
      </c>
      <c r="C920" s="1" t="s">
        <v>2658</v>
      </c>
      <c r="D920" s="1" t="s">
        <v>169</v>
      </c>
      <c r="E920" s="1">
        <v>85395</v>
      </c>
      <c r="F920" s="1" t="s">
        <v>31</v>
      </c>
      <c r="G920" s="1" t="s">
        <v>2364</v>
      </c>
      <c r="H920" s="19" t="s">
        <v>2659</v>
      </c>
      <c r="I920" s="5" t="s">
        <v>1684</v>
      </c>
      <c r="J920" s="5" t="s">
        <v>37</v>
      </c>
      <c r="K920" s="5" t="s">
        <v>37</v>
      </c>
      <c r="L920" s="5" t="s">
        <v>38</v>
      </c>
      <c r="M920" s="5" t="s">
        <v>37</v>
      </c>
      <c r="N920" s="5" t="s">
        <v>37</v>
      </c>
      <c r="O920" s="5" t="s">
        <v>38</v>
      </c>
      <c r="P920" s="5" t="s">
        <v>39</v>
      </c>
      <c r="Q920" s="2">
        <v>45964</v>
      </c>
      <c r="V920" s="46">
        <f>IF(
  OR(
    ISNUMBER(SEARCH("unable to locate acct", tblDocketedComments[[#This Row],[Docketed Consumer Comments]])),
    ISNUMBER(SEARCH("unknown", tblDocketedComments[[#This Row],[Docketed Consumer Comments]])),
    ISNUMBER(SEARCH("inactive", tblDocketedComments[[#This Row],[Docketed Consumer Comments]]))
  ),
  0,
  1
)</f>
        <v>1</v>
      </c>
    </row>
    <row r="921" spans="1:22" ht="11.65" hidden="1" customHeight="1">
      <c r="A921" s="2">
        <v>45907</v>
      </c>
      <c r="B921" s="1" t="s">
        <v>2660</v>
      </c>
      <c r="C921" s="1" t="s">
        <v>2019</v>
      </c>
      <c r="D921" s="1" t="s">
        <v>169</v>
      </c>
      <c r="E921" s="1">
        <v>85395</v>
      </c>
      <c r="F921" s="1" t="s">
        <v>2548</v>
      </c>
      <c r="G921" s="1" t="s">
        <v>2364</v>
      </c>
      <c r="H921" s="4" t="s">
        <v>2661</v>
      </c>
      <c r="I921" s="5" t="s">
        <v>36</v>
      </c>
      <c r="J921" s="5" t="s">
        <v>37</v>
      </c>
      <c r="K921" s="5" t="s">
        <v>37</v>
      </c>
      <c r="L921" s="5" t="s">
        <v>38</v>
      </c>
      <c r="M921" s="5" t="s">
        <v>37</v>
      </c>
      <c r="N921" s="5" t="s">
        <v>37</v>
      </c>
      <c r="O921" s="5" t="s">
        <v>38</v>
      </c>
      <c r="P921" s="5" t="s">
        <v>39</v>
      </c>
      <c r="Q921" s="2">
        <v>45964</v>
      </c>
      <c r="V921" s="46">
        <f>IF(
  OR(
    ISNUMBER(SEARCH("unable to locate acct", tblDocketedComments[[#This Row],[Docketed Consumer Comments]])),
    ISNUMBER(SEARCH("unknown", tblDocketedComments[[#This Row],[Docketed Consumer Comments]])),
    ISNUMBER(SEARCH("inactive", tblDocketedComments[[#This Row],[Docketed Consumer Comments]]))
  ),
  0,
  1
)</f>
        <v>1</v>
      </c>
    </row>
    <row r="922" spans="1:22" ht="11.65" hidden="1" customHeight="1">
      <c r="A922" s="2">
        <v>45907</v>
      </c>
      <c r="B922" s="1" t="s">
        <v>2662</v>
      </c>
      <c r="C922" s="1" t="s">
        <v>2663</v>
      </c>
      <c r="D922" s="1" t="s">
        <v>129</v>
      </c>
      <c r="E922" s="1">
        <v>85223</v>
      </c>
      <c r="F922" s="1" t="s">
        <v>310</v>
      </c>
      <c r="G922" s="1" t="s">
        <v>2364</v>
      </c>
      <c r="H922" s="4" t="s">
        <v>2664</v>
      </c>
      <c r="I922" s="5" t="s">
        <v>57</v>
      </c>
      <c r="J922" s="5" t="s">
        <v>37</v>
      </c>
      <c r="K922" s="5" t="s">
        <v>37</v>
      </c>
      <c r="L922" s="5" t="s">
        <v>2665</v>
      </c>
      <c r="M922" s="5" t="s">
        <v>37</v>
      </c>
      <c r="N922" s="5" t="s">
        <v>37</v>
      </c>
      <c r="O922" s="5" t="s">
        <v>38</v>
      </c>
      <c r="P922" s="5" t="s">
        <v>39</v>
      </c>
      <c r="Q922" s="2">
        <v>45964</v>
      </c>
      <c r="V922" s="46">
        <f>IF(
  OR(
    ISNUMBER(SEARCH("unable to locate acct", tblDocketedComments[[#This Row],[Docketed Consumer Comments]])),
    ISNUMBER(SEARCH("unknown", tblDocketedComments[[#This Row],[Docketed Consumer Comments]])),
    ISNUMBER(SEARCH("inactive", tblDocketedComments[[#This Row],[Docketed Consumer Comments]]))
  ),
  0,
  1
)</f>
        <v>1</v>
      </c>
    </row>
    <row r="923" spans="1:22" ht="11.65" hidden="1" customHeight="1">
      <c r="A923" s="2">
        <v>45907</v>
      </c>
      <c r="B923" s="1" t="s">
        <v>2666</v>
      </c>
      <c r="C923" s="1" t="s">
        <v>2667</v>
      </c>
      <c r="D923" s="1" t="s">
        <v>2668</v>
      </c>
      <c r="E923" s="1">
        <v>85086</v>
      </c>
      <c r="F923" s="1" t="s">
        <v>2669</v>
      </c>
      <c r="G923" s="1" t="s">
        <v>2364</v>
      </c>
      <c r="H923" s="4" t="s">
        <v>27</v>
      </c>
      <c r="V923" s="46">
        <f>IF(
  OR(
    ISNUMBER(SEARCH("unable to locate acct", tblDocketedComments[[#This Row],[Docketed Consumer Comments]])),
    ISNUMBER(SEARCH("unknown", tblDocketedComments[[#This Row],[Docketed Consumer Comments]])),
    ISNUMBER(SEARCH("inactive", tblDocketedComments[[#This Row],[Docketed Consumer Comments]]))
  ),
  0,
  1
)</f>
        <v>1</v>
      </c>
    </row>
    <row r="924" spans="1:22" ht="11.65" hidden="1" customHeight="1">
      <c r="A924" s="2">
        <v>45907</v>
      </c>
      <c r="B924" s="1" t="s">
        <v>2670</v>
      </c>
      <c r="C924" s="1" t="s">
        <v>2671</v>
      </c>
      <c r="D924" s="1" t="s">
        <v>136</v>
      </c>
      <c r="E924" s="1">
        <v>85377</v>
      </c>
      <c r="F924" s="1" t="s">
        <v>2672</v>
      </c>
      <c r="G924" s="1" t="s">
        <v>2364</v>
      </c>
      <c r="H924" s="4" t="s">
        <v>2673</v>
      </c>
      <c r="I924" s="5" t="s">
        <v>36</v>
      </c>
      <c r="J924" s="5" t="s">
        <v>37</v>
      </c>
      <c r="K924" s="5" t="s">
        <v>37</v>
      </c>
      <c r="L924" s="5" t="s">
        <v>38</v>
      </c>
      <c r="M924" s="5" t="s">
        <v>37</v>
      </c>
      <c r="N924" s="5" t="s">
        <v>37</v>
      </c>
      <c r="O924" s="5" t="s">
        <v>38</v>
      </c>
      <c r="P924" s="5" t="s">
        <v>39</v>
      </c>
      <c r="Q924" s="2">
        <v>45961</v>
      </c>
      <c r="V924" s="46">
        <f>IF(
  OR(
    ISNUMBER(SEARCH("unable to locate acct", tblDocketedComments[[#This Row],[Docketed Consumer Comments]])),
    ISNUMBER(SEARCH("unknown", tblDocketedComments[[#This Row],[Docketed Consumer Comments]])),
    ISNUMBER(SEARCH("inactive", tblDocketedComments[[#This Row],[Docketed Consumer Comments]]))
  ),
  0,
  1
)</f>
        <v>1</v>
      </c>
    </row>
    <row r="925" spans="1:22" ht="11.65" hidden="1" customHeight="1">
      <c r="A925" s="2">
        <v>45907</v>
      </c>
      <c r="B925" s="1" t="s">
        <v>2674</v>
      </c>
      <c r="C925" s="1" t="s">
        <v>2675</v>
      </c>
      <c r="D925" s="1" t="s">
        <v>880</v>
      </c>
      <c r="E925" s="1">
        <v>85086</v>
      </c>
      <c r="F925" s="1" t="s">
        <v>2676</v>
      </c>
      <c r="G925" s="1" t="s">
        <v>2364</v>
      </c>
      <c r="H925" s="4" t="s">
        <v>2677</v>
      </c>
      <c r="I925" s="5" t="s">
        <v>196</v>
      </c>
      <c r="J925" s="5" t="s">
        <v>37</v>
      </c>
      <c r="K925" s="5" t="s">
        <v>37</v>
      </c>
      <c r="L925" s="5" t="s">
        <v>2678</v>
      </c>
      <c r="M925" s="5" t="s">
        <v>37</v>
      </c>
      <c r="N925" s="5" t="s">
        <v>37</v>
      </c>
      <c r="O925" s="5" t="s">
        <v>38</v>
      </c>
      <c r="P925" s="5" t="s">
        <v>39</v>
      </c>
      <c r="Q925" s="2">
        <v>45961</v>
      </c>
      <c r="V925" s="46">
        <f>IF(
  OR(
    ISNUMBER(SEARCH("unable to locate acct", tblDocketedComments[[#This Row],[Docketed Consumer Comments]])),
    ISNUMBER(SEARCH("unknown", tblDocketedComments[[#This Row],[Docketed Consumer Comments]])),
    ISNUMBER(SEARCH("inactive", tblDocketedComments[[#This Row],[Docketed Consumer Comments]]))
  ),
  0,
  1
)</f>
        <v>1</v>
      </c>
    </row>
    <row r="926" spans="1:22" ht="11.65" hidden="1" customHeight="1">
      <c r="A926" s="2">
        <v>45907</v>
      </c>
      <c r="B926" s="1" t="s">
        <v>2679</v>
      </c>
      <c r="C926" s="1" t="s">
        <v>2680</v>
      </c>
      <c r="D926" s="1" t="s">
        <v>2681</v>
      </c>
      <c r="E926" s="1">
        <v>85342</v>
      </c>
      <c r="F926" s="1" t="s">
        <v>31</v>
      </c>
      <c r="G926" s="1" t="s">
        <v>2364</v>
      </c>
      <c r="H926" s="4" t="s">
        <v>27</v>
      </c>
      <c r="V926" s="46">
        <f>IF(
  OR(
    ISNUMBER(SEARCH("unable to locate acct", tblDocketedComments[[#This Row],[Docketed Consumer Comments]])),
    ISNUMBER(SEARCH("unknown", tblDocketedComments[[#This Row],[Docketed Consumer Comments]])),
    ISNUMBER(SEARCH("inactive", tblDocketedComments[[#This Row],[Docketed Consumer Comments]]))
  ),
  0,
  1
)</f>
        <v>1</v>
      </c>
    </row>
    <row r="927" spans="1:22" ht="11.65" hidden="1" customHeight="1">
      <c r="A927" s="2">
        <v>45907</v>
      </c>
      <c r="B927" s="1" t="s">
        <v>2682</v>
      </c>
      <c r="C927" s="1" t="s">
        <v>1127</v>
      </c>
      <c r="D927" s="1" t="s">
        <v>2681</v>
      </c>
      <c r="E927" s="1">
        <v>85342</v>
      </c>
      <c r="F927" s="1" t="s">
        <v>31</v>
      </c>
      <c r="G927" s="1" t="s">
        <v>2364</v>
      </c>
      <c r="H927" s="4" t="s">
        <v>2683</v>
      </c>
      <c r="I927" s="5" t="s">
        <v>36</v>
      </c>
      <c r="J927" s="5" t="s">
        <v>37</v>
      </c>
      <c r="K927" s="5" t="s">
        <v>37</v>
      </c>
      <c r="L927" s="5" t="s">
        <v>2684</v>
      </c>
      <c r="M927" s="5" t="s">
        <v>37</v>
      </c>
      <c r="N927" s="5" t="s">
        <v>37</v>
      </c>
      <c r="O927" s="5" t="s">
        <v>38</v>
      </c>
      <c r="P927" s="5" t="s">
        <v>39</v>
      </c>
      <c r="Q927" s="2">
        <v>45961</v>
      </c>
      <c r="V927" s="46">
        <f>IF(
  OR(
    ISNUMBER(SEARCH("unable to locate acct", tblDocketedComments[[#This Row],[Docketed Consumer Comments]])),
    ISNUMBER(SEARCH("unknown", tblDocketedComments[[#This Row],[Docketed Consumer Comments]])),
    ISNUMBER(SEARCH("inactive", tblDocketedComments[[#This Row],[Docketed Consumer Comments]]))
  ),
  0,
  1
)</f>
        <v>1</v>
      </c>
    </row>
    <row r="928" spans="1:22" ht="11.65" hidden="1" customHeight="1">
      <c r="A928" s="2">
        <v>45907</v>
      </c>
      <c r="B928" s="1" t="s">
        <v>2685</v>
      </c>
      <c r="C928" s="1" t="s">
        <v>2686</v>
      </c>
      <c r="D928" s="1" t="s">
        <v>202</v>
      </c>
      <c r="E928" s="1">
        <v>85383</v>
      </c>
      <c r="F928" s="1" t="s">
        <v>31</v>
      </c>
      <c r="G928" s="1" t="s">
        <v>2364</v>
      </c>
      <c r="H928" s="4" t="s">
        <v>2687</v>
      </c>
      <c r="I928" s="5" t="s">
        <v>73</v>
      </c>
      <c r="J928" s="5" t="s">
        <v>37</v>
      </c>
      <c r="K928" s="5" t="s">
        <v>37</v>
      </c>
      <c r="L928" s="5" t="s">
        <v>38</v>
      </c>
      <c r="M928" s="5" t="s">
        <v>37</v>
      </c>
      <c r="N928" s="5" t="s">
        <v>37</v>
      </c>
      <c r="O928" s="5" t="s">
        <v>38</v>
      </c>
      <c r="P928" s="5" t="s">
        <v>39</v>
      </c>
      <c r="Q928" s="2">
        <v>45961</v>
      </c>
      <c r="V928" s="46">
        <f>IF(
  OR(
    ISNUMBER(SEARCH("unable to locate acct", tblDocketedComments[[#This Row],[Docketed Consumer Comments]])),
    ISNUMBER(SEARCH("unknown", tblDocketedComments[[#This Row],[Docketed Consumer Comments]])),
    ISNUMBER(SEARCH("inactive", tblDocketedComments[[#This Row],[Docketed Consumer Comments]]))
  ),
  0,
  1
)</f>
        <v>1</v>
      </c>
    </row>
    <row r="929" spans="1:22" ht="11.65" hidden="1" customHeight="1">
      <c r="A929" s="2">
        <v>45907</v>
      </c>
      <c r="B929" s="1" t="s">
        <v>2688</v>
      </c>
      <c r="C929" s="1" t="s">
        <v>2689</v>
      </c>
      <c r="D929" s="1" t="s">
        <v>63</v>
      </c>
      <c r="E929" s="1">
        <v>85028</v>
      </c>
      <c r="F929" s="1" t="s">
        <v>310</v>
      </c>
      <c r="G929" s="1" t="s">
        <v>2364</v>
      </c>
      <c r="H929" s="4" t="s">
        <v>27</v>
      </c>
      <c r="V929" s="46">
        <f>IF(
  OR(
    ISNUMBER(SEARCH("unable to locate acct", tblDocketedComments[[#This Row],[Docketed Consumer Comments]])),
    ISNUMBER(SEARCH("unknown", tblDocketedComments[[#This Row],[Docketed Consumer Comments]])),
    ISNUMBER(SEARCH("inactive", tblDocketedComments[[#This Row],[Docketed Consumer Comments]]))
  ),
  0,
  1
)</f>
        <v>1</v>
      </c>
    </row>
    <row r="930" spans="1:22" ht="11.65" hidden="1" customHeight="1">
      <c r="A930" s="2">
        <v>45907</v>
      </c>
      <c r="B930" s="1" t="s">
        <v>2690</v>
      </c>
      <c r="C930" s="1" t="s">
        <v>2691</v>
      </c>
      <c r="D930" s="1" t="s">
        <v>112</v>
      </c>
      <c r="E930" s="1">
        <v>85388</v>
      </c>
      <c r="F930" s="1" t="s">
        <v>310</v>
      </c>
      <c r="G930" s="1" t="s">
        <v>2364</v>
      </c>
      <c r="H930" s="4" t="s">
        <v>2692</v>
      </c>
      <c r="I930" s="5" t="s">
        <v>250</v>
      </c>
      <c r="J930" s="5" t="s">
        <v>37</v>
      </c>
      <c r="K930" s="5" t="s">
        <v>37</v>
      </c>
      <c r="L930" s="5" t="s">
        <v>38</v>
      </c>
      <c r="M930" s="5" t="s">
        <v>37</v>
      </c>
      <c r="N930" s="5" t="s">
        <v>37</v>
      </c>
      <c r="O930" s="5" t="s">
        <v>38</v>
      </c>
      <c r="P930" s="5" t="s">
        <v>39</v>
      </c>
      <c r="Q930" s="2">
        <v>45961</v>
      </c>
      <c r="V930" s="46">
        <f>IF(
  OR(
    ISNUMBER(SEARCH("unable to locate acct", tblDocketedComments[[#This Row],[Docketed Consumer Comments]])),
    ISNUMBER(SEARCH("unknown", tblDocketedComments[[#This Row],[Docketed Consumer Comments]])),
    ISNUMBER(SEARCH("inactive", tblDocketedComments[[#This Row],[Docketed Consumer Comments]]))
  ),
  0,
  1
)</f>
        <v>1</v>
      </c>
    </row>
    <row r="931" spans="1:22" ht="11.65" hidden="1" customHeight="1">
      <c r="A931" s="2">
        <v>45907</v>
      </c>
      <c r="B931" s="1" t="s">
        <v>2693</v>
      </c>
      <c r="C931" s="1" t="s">
        <v>1824</v>
      </c>
      <c r="D931" s="1" t="s">
        <v>202</v>
      </c>
      <c r="E931" s="1">
        <v>85345</v>
      </c>
      <c r="F931" s="1" t="s">
        <v>310</v>
      </c>
      <c r="G931" s="1" t="s">
        <v>2364</v>
      </c>
      <c r="H931" s="4" t="s">
        <v>2694</v>
      </c>
      <c r="I931" s="5" t="s">
        <v>57</v>
      </c>
      <c r="J931" s="5" t="s">
        <v>37</v>
      </c>
      <c r="K931" s="5" t="s">
        <v>37</v>
      </c>
      <c r="L931" s="7" t="s">
        <v>2695</v>
      </c>
      <c r="M931" s="5" t="s">
        <v>37</v>
      </c>
      <c r="N931" s="5" t="s">
        <v>37</v>
      </c>
      <c r="O931" s="5" t="s">
        <v>38</v>
      </c>
      <c r="P931" s="2">
        <v>45939</v>
      </c>
      <c r="Q931" s="2">
        <v>45961</v>
      </c>
      <c r="R931" s="1" t="s">
        <v>2474</v>
      </c>
      <c r="V931" s="46">
        <f>IF(
  OR(
    ISNUMBER(SEARCH("unable to locate acct", tblDocketedComments[[#This Row],[Docketed Consumer Comments]])),
    ISNUMBER(SEARCH("unknown", tblDocketedComments[[#This Row],[Docketed Consumer Comments]])),
    ISNUMBER(SEARCH("inactive", tblDocketedComments[[#This Row],[Docketed Consumer Comments]]))
  ),
  0,
  1
)</f>
        <v>1</v>
      </c>
    </row>
    <row r="932" spans="1:22" ht="11.65" hidden="1" customHeight="1">
      <c r="A932" s="2">
        <v>45907</v>
      </c>
      <c r="B932" s="1" t="s">
        <v>2696</v>
      </c>
      <c r="C932" s="1" t="s">
        <v>1647</v>
      </c>
      <c r="D932" s="1" t="s">
        <v>125</v>
      </c>
      <c r="E932" s="1">
        <v>85260</v>
      </c>
      <c r="F932" s="1" t="s">
        <v>310</v>
      </c>
      <c r="G932" s="1" t="s">
        <v>2364</v>
      </c>
      <c r="H932" s="4" t="s">
        <v>2697</v>
      </c>
      <c r="I932" s="5" t="s">
        <v>196</v>
      </c>
      <c r="J932" s="5" t="s">
        <v>37</v>
      </c>
      <c r="K932" s="5" t="s">
        <v>37</v>
      </c>
      <c r="L932" s="5" t="s">
        <v>38</v>
      </c>
      <c r="M932" s="5" t="s">
        <v>37</v>
      </c>
      <c r="N932" s="5" t="s">
        <v>37</v>
      </c>
      <c r="O932" s="5" t="s">
        <v>38</v>
      </c>
      <c r="P932" s="2">
        <v>45938</v>
      </c>
      <c r="Q932" s="2">
        <v>45961</v>
      </c>
      <c r="R932" s="1" t="s">
        <v>2698</v>
      </c>
      <c r="V932" s="46">
        <f>IF(
  OR(
    ISNUMBER(SEARCH("unable to locate acct", tblDocketedComments[[#This Row],[Docketed Consumer Comments]])),
    ISNUMBER(SEARCH("unknown", tblDocketedComments[[#This Row],[Docketed Consumer Comments]])),
    ISNUMBER(SEARCH("inactive", tblDocketedComments[[#This Row],[Docketed Consumer Comments]]))
  ),
  0,
  1
)</f>
        <v>1</v>
      </c>
    </row>
    <row r="933" spans="1:22" ht="11.65" hidden="1" customHeight="1">
      <c r="A933" s="2">
        <v>45907</v>
      </c>
      <c r="B933" s="1" t="s">
        <v>538</v>
      </c>
      <c r="C933" s="1" t="s">
        <v>124</v>
      </c>
      <c r="D933" s="1" t="s">
        <v>504</v>
      </c>
      <c r="E933" s="1">
        <v>86001</v>
      </c>
      <c r="F933" s="1" t="s">
        <v>310</v>
      </c>
      <c r="G933" s="1" t="s">
        <v>2364</v>
      </c>
      <c r="H933" s="4" t="s">
        <v>2699</v>
      </c>
      <c r="I933" s="5" t="s">
        <v>73</v>
      </c>
      <c r="J933" s="5" t="s">
        <v>37</v>
      </c>
      <c r="K933" s="5" t="s">
        <v>37</v>
      </c>
      <c r="L933" s="5" t="s">
        <v>38</v>
      </c>
      <c r="M933" s="5" t="s">
        <v>37</v>
      </c>
      <c r="N933" s="5" t="s">
        <v>37</v>
      </c>
      <c r="O933" s="5" t="s">
        <v>38</v>
      </c>
      <c r="P933" s="5" t="s">
        <v>39</v>
      </c>
      <c r="Q933" s="2">
        <v>45961</v>
      </c>
      <c r="V933" s="46">
        <f>IF(
  OR(
    ISNUMBER(SEARCH("unable to locate acct", tblDocketedComments[[#This Row],[Docketed Consumer Comments]])),
    ISNUMBER(SEARCH("unknown", tblDocketedComments[[#This Row],[Docketed Consumer Comments]])),
    ISNUMBER(SEARCH("inactive", tblDocketedComments[[#This Row],[Docketed Consumer Comments]]))
  ),
  0,
  1
)</f>
        <v>1</v>
      </c>
    </row>
    <row r="934" spans="1:22" ht="11.65" hidden="1" customHeight="1">
      <c r="A934" s="2">
        <v>45907</v>
      </c>
      <c r="B934" s="1" t="s">
        <v>447</v>
      </c>
      <c r="C934" s="1" t="s">
        <v>135</v>
      </c>
      <c r="D934" s="1" t="s">
        <v>24</v>
      </c>
      <c r="E934" s="1">
        <v>85304</v>
      </c>
      <c r="F934" s="1" t="s">
        <v>2700</v>
      </c>
      <c r="G934" s="1" t="s">
        <v>2364</v>
      </c>
      <c r="H934" s="4" t="s">
        <v>209</v>
      </c>
      <c r="V934" s="46">
        <f>IF(
  OR(
    ISNUMBER(SEARCH("unable to locate acct", tblDocketedComments[[#This Row],[Docketed Consumer Comments]])),
    ISNUMBER(SEARCH("unknown", tblDocketedComments[[#This Row],[Docketed Consumer Comments]])),
    ISNUMBER(SEARCH("inactive", tblDocketedComments[[#This Row],[Docketed Consumer Comments]]))
  ),
  0,
  1
)</f>
        <v>1</v>
      </c>
    </row>
    <row r="935" spans="1:22" ht="11.65" hidden="1" customHeight="1">
      <c r="A935" s="2">
        <v>45907</v>
      </c>
      <c r="B935" s="1" t="s">
        <v>2701</v>
      </c>
      <c r="C935" s="1" t="s">
        <v>2702</v>
      </c>
      <c r="D935" s="1" t="s">
        <v>112</v>
      </c>
      <c r="E935" s="1">
        <v>85379</v>
      </c>
      <c r="F935" s="1" t="s">
        <v>2703</v>
      </c>
      <c r="G935" s="1" t="s">
        <v>2364</v>
      </c>
      <c r="H935" s="4" t="s">
        <v>2704</v>
      </c>
      <c r="I935" s="5" t="s">
        <v>126</v>
      </c>
      <c r="J935" s="5" t="s">
        <v>37</v>
      </c>
      <c r="K935" s="5" t="s">
        <v>37</v>
      </c>
      <c r="L935" s="5" t="s">
        <v>38</v>
      </c>
      <c r="M935" s="5" t="s">
        <v>37</v>
      </c>
      <c r="N935" s="5" t="s">
        <v>37</v>
      </c>
      <c r="O935" s="5" t="s">
        <v>38</v>
      </c>
      <c r="P935" s="5" t="s">
        <v>39</v>
      </c>
      <c r="Q935" s="2">
        <v>45961</v>
      </c>
      <c r="V935" s="46">
        <f>IF(
  OR(
    ISNUMBER(SEARCH("unable to locate acct", tblDocketedComments[[#This Row],[Docketed Consumer Comments]])),
    ISNUMBER(SEARCH("unknown", tblDocketedComments[[#This Row],[Docketed Consumer Comments]])),
    ISNUMBER(SEARCH("inactive", tblDocketedComments[[#This Row],[Docketed Consumer Comments]]))
  ),
  0,
  1
)</f>
        <v>1</v>
      </c>
    </row>
    <row r="936" spans="1:22" ht="11.65" hidden="1" customHeight="1">
      <c r="A936" s="2">
        <v>45907</v>
      </c>
      <c r="B936" s="1" t="s">
        <v>2705</v>
      </c>
      <c r="C936" s="1" t="s">
        <v>2706</v>
      </c>
      <c r="D936" s="1" t="s">
        <v>523</v>
      </c>
      <c r="E936" s="1">
        <v>85392</v>
      </c>
      <c r="F936" s="1" t="s">
        <v>1135</v>
      </c>
      <c r="G936" s="1" t="s">
        <v>2364</v>
      </c>
      <c r="H936" s="4" t="s">
        <v>2707</v>
      </c>
      <c r="I936" s="5" t="s">
        <v>1684</v>
      </c>
      <c r="J936" s="5" t="s">
        <v>37</v>
      </c>
      <c r="K936" s="5" t="s">
        <v>37</v>
      </c>
      <c r="L936" s="5" t="s">
        <v>401</v>
      </c>
      <c r="M936" s="5" t="s">
        <v>37</v>
      </c>
      <c r="N936" s="5" t="s">
        <v>37</v>
      </c>
      <c r="O936" s="5" t="s">
        <v>38</v>
      </c>
      <c r="P936" s="5" t="s">
        <v>39</v>
      </c>
      <c r="Q936" s="2">
        <v>45961</v>
      </c>
      <c r="R936" s="1" t="s">
        <v>2708</v>
      </c>
      <c r="V936" s="46">
        <f>IF(
  OR(
    ISNUMBER(SEARCH("unable to locate acct", tblDocketedComments[[#This Row],[Docketed Consumer Comments]])),
    ISNUMBER(SEARCH("unknown", tblDocketedComments[[#This Row],[Docketed Consumer Comments]])),
    ISNUMBER(SEARCH("inactive", tblDocketedComments[[#This Row],[Docketed Consumer Comments]]))
  ),
  0,
  1
)</f>
        <v>1</v>
      </c>
    </row>
    <row r="937" spans="1:22" ht="11.65" hidden="1" customHeight="1">
      <c r="A937" s="2">
        <v>45907</v>
      </c>
      <c r="B937" s="1" t="s">
        <v>1411</v>
      </c>
      <c r="C937" s="1" t="s">
        <v>2709</v>
      </c>
      <c r="D937" s="1" t="s">
        <v>202</v>
      </c>
      <c r="E937" s="1">
        <v>85382</v>
      </c>
      <c r="F937" s="1" t="s">
        <v>2274</v>
      </c>
      <c r="G937" s="1" t="s">
        <v>2364</v>
      </c>
      <c r="H937" s="4" t="s">
        <v>2710</v>
      </c>
      <c r="I937" s="5" t="s">
        <v>73</v>
      </c>
      <c r="J937" s="5" t="s">
        <v>37</v>
      </c>
      <c r="K937" s="5" t="s">
        <v>37</v>
      </c>
      <c r="L937" s="5" t="s">
        <v>38</v>
      </c>
      <c r="M937" s="5" t="s">
        <v>37</v>
      </c>
      <c r="N937" s="5" t="s">
        <v>37</v>
      </c>
      <c r="O937" s="5" t="s">
        <v>38</v>
      </c>
      <c r="P937" s="5" t="s">
        <v>39</v>
      </c>
      <c r="Q937" s="2">
        <v>45961</v>
      </c>
      <c r="V937" s="46">
        <f>IF(
  OR(
    ISNUMBER(SEARCH("unable to locate acct", tblDocketedComments[[#This Row],[Docketed Consumer Comments]])),
    ISNUMBER(SEARCH("unknown", tblDocketedComments[[#This Row],[Docketed Consumer Comments]])),
    ISNUMBER(SEARCH("inactive", tblDocketedComments[[#This Row],[Docketed Consumer Comments]]))
  ),
  0,
  1
)</f>
        <v>1</v>
      </c>
    </row>
    <row r="938" spans="1:22" ht="11.65" hidden="1" customHeight="1">
      <c r="A938" s="2">
        <v>45907</v>
      </c>
      <c r="B938" s="1" t="s">
        <v>2711</v>
      </c>
      <c r="C938" s="1" t="s">
        <v>2057</v>
      </c>
      <c r="D938" s="1" t="s">
        <v>2712</v>
      </c>
      <c r="E938" s="1">
        <v>86023</v>
      </c>
      <c r="F938" s="1" t="s">
        <v>310</v>
      </c>
      <c r="G938" s="1" t="s">
        <v>2364</v>
      </c>
      <c r="H938" s="4" t="s">
        <v>2713</v>
      </c>
      <c r="I938" s="5" t="s">
        <v>73</v>
      </c>
      <c r="J938" s="5" t="s">
        <v>37</v>
      </c>
      <c r="K938" s="5" t="s">
        <v>37</v>
      </c>
      <c r="L938" s="5" t="s">
        <v>38</v>
      </c>
      <c r="M938" s="5" t="s">
        <v>37</v>
      </c>
      <c r="N938" s="5" t="s">
        <v>37</v>
      </c>
      <c r="O938" s="5" t="s">
        <v>38</v>
      </c>
      <c r="P938" s="5" t="s">
        <v>39</v>
      </c>
      <c r="Q938" s="2">
        <v>45961</v>
      </c>
      <c r="V938" s="46">
        <f>IF(
  OR(
    ISNUMBER(SEARCH("unable to locate acct", tblDocketedComments[[#This Row],[Docketed Consumer Comments]])),
    ISNUMBER(SEARCH("unknown", tblDocketedComments[[#This Row],[Docketed Consumer Comments]])),
    ISNUMBER(SEARCH("inactive", tblDocketedComments[[#This Row],[Docketed Consumer Comments]]))
  ),
  0,
  1
)</f>
        <v>1</v>
      </c>
    </row>
    <row r="939" spans="1:22" ht="11.65" hidden="1" customHeight="1">
      <c r="A939" s="2">
        <v>45907</v>
      </c>
      <c r="B939" s="1" t="s">
        <v>2714</v>
      </c>
      <c r="C939" s="1" t="s">
        <v>471</v>
      </c>
      <c r="D939" s="1" t="s">
        <v>63</v>
      </c>
      <c r="E939" s="1">
        <v>85020</v>
      </c>
      <c r="F939" s="1" t="s">
        <v>310</v>
      </c>
      <c r="G939" s="1" t="s">
        <v>2364</v>
      </c>
      <c r="H939" s="4" t="s">
        <v>2715</v>
      </c>
      <c r="I939" s="5" t="s">
        <v>541</v>
      </c>
      <c r="J939" s="5" t="s">
        <v>37</v>
      </c>
      <c r="K939" s="5" t="s">
        <v>37</v>
      </c>
      <c r="L939" s="5" t="s">
        <v>389</v>
      </c>
      <c r="M939" s="5" t="s">
        <v>37</v>
      </c>
      <c r="N939" s="5" t="s">
        <v>37</v>
      </c>
      <c r="O939" s="5" t="s">
        <v>38</v>
      </c>
      <c r="P939" s="5" t="s">
        <v>39</v>
      </c>
      <c r="Q939" s="2">
        <v>45961</v>
      </c>
      <c r="V939" s="46">
        <f>IF(
  OR(
    ISNUMBER(SEARCH("unable to locate acct", tblDocketedComments[[#This Row],[Docketed Consumer Comments]])),
    ISNUMBER(SEARCH("unknown", tblDocketedComments[[#This Row],[Docketed Consumer Comments]])),
    ISNUMBER(SEARCH("inactive", tblDocketedComments[[#This Row],[Docketed Consumer Comments]]))
  ),
  0,
  1
)</f>
        <v>1</v>
      </c>
    </row>
    <row r="940" spans="1:22" ht="11.65" hidden="1" customHeight="1">
      <c r="A940" s="2">
        <v>45907</v>
      </c>
      <c r="B940" s="1" t="s">
        <v>2716</v>
      </c>
      <c r="C940" s="1" t="s">
        <v>2717</v>
      </c>
      <c r="D940" s="1" t="s">
        <v>63</v>
      </c>
      <c r="E940" s="1">
        <v>85006</v>
      </c>
      <c r="F940" s="1" t="s">
        <v>31</v>
      </c>
      <c r="G940" s="1" t="s">
        <v>2364</v>
      </c>
      <c r="H940" s="4" t="s">
        <v>90</v>
      </c>
      <c r="V940" s="46">
        <f>IF(
  OR(
    ISNUMBER(SEARCH("unable to locate acct", tblDocketedComments[[#This Row],[Docketed Consumer Comments]])),
    ISNUMBER(SEARCH("unknown", tblDocketedComments[[#This Row],[Docketed Consumer Comments]])),
    ISNUMBER(SEARCH("inactive", tblDocketedComments[[#This Row],[Docketed Consumer Comments]]))
  ),
  0,
  1
)</f>
        <v>1</v>
      </c>
    </row>
    <row r="941" spans="1:22" ht="11.65" hidden="1" customHeight="1">
      <c r="A941" s="2">
        <v>45907</v>
      </c>
      <c r="B941" s="1" t="s">
        <v>2718</v>
      </c>
      <c r="C941" s="1" t="s">
        <v>2719</v>
      </c>
      <c r="D941" s="1" t="s">
        <v>63</v>
      </c>
      <c r="E941" s="1">
        <v>85006</v>
      </c>
      <c r="F941" s="1" t="s">
        <v>2720</v>
      </c>
      <c r="G941" s="1" t="s">
        <v>2364</v>
      </c>
      <c r="H941" s="4" t="s">
        <v>27</v>
      </c>
      <c r="V941" s="46">
        <f>IF(
  OR(
    ISNUMBER(SEARCH("unable to locate acct", tblDocketedComments[[#This Row],[Docketed Consumer Comments]])),
    ISNUMBER(SEARCH("unknown", tblDocketedComments[[#This Row],[Docketed Consumer Comments]])),
    ISNUMBER(SEARCH("inactive", tblDocketedComments[[#This Row],[Docketed Consumer Comments]]))
  ),
  0,
  1
)</f>
        <v>1</v>
      </c>
    </row>
    <row r="942" spans="1:22" ht="11.65" hidden="1" customHeight="1">
      <c r="A942" s="2">
        <v>45907</v>
      </c>
      <c r="B942" s="1" t="s">
        <v>2721</v>
      </c>
      <c r="C942" s="1" t="s">
        <v>382</v>
      </c>
      <c r="D942" s="1" t="s">
        <v>112</v>
      </c>
      <c r="E942" s="1">
        <v>85374</v>
      </c>
      <c r="F942" s="1" t="s">
        <v>310</v>
      </c>
      <c r="G942" s="1" t="s">
        <v>2364</v>
      </c>
      <c r="H942" s="4" t="s">
        <v>2722</v>
      </c>
      <c r="I942" s="5" t="s">
        <v>196</v>
      </c>
      <c r="J942" s="5" t="s">
        <v>37</v>
      </c>
      <c r="K942" s="5" t="s">
        <v>37</v>
      </c>
      <c r="L942" s="5" t="s">
        <v>2723</v>
      </c>
      <c r="M942" s="5" t="s">
        <v>37</v>
      </c>
      <c r="N942" s="5" t="s">
        <v>37</v>
      </c>
      <c r="O942" s="5" t="s">
        <v>38</v>
      </c>
      <c r="P942" s="5" t="s">
        <v>39</v>
      </c>
      <c r="Q942" s="2">
        <v>45961</v>
      </c>
      <c r="V942" s="46">
        <f>IF(
  OR(
    ISNUMBER(SEARCH("unable to locate acct", tblDocketedComments[[#This Row],[Docketed Consumer Comments]])),
    ISNUMBER(SEARCH("unknown", tblDocketedComments[[#This Row],[Docketed Consumer Comments]])),
    ISNUMBER(SEARCH("inactive", tblDocketedComments[[#This Row],[Docketed Consumer Comments]]))
  ),
  0,
  1
)</f>
        <v>1</v>
      </c>
    </row>
    <row r="943" spans="1:22" ht="11.65" hidden="1" customHeight="1">
      <c r="A943" s="2">
        <v>45907</v>
      </c>
      <c r="B943" s="1" t="s">
        <v>431</v>
      </c>
      <c r="C943" s="1" t="s">
        <v>2724</v>
      </c>
      <c r="D943" s="1" t="s">
        <v>63</v>
      </c>
      <c r="E943" s="1">
        <v>85016</v>
      </c>
      <c r="F943" s="1" t="s">
        <v>310</v>
      </c>
      <c r="G943" s="1" t="s">
        <v>2364</v>
      </c>
      <c r="H943" s="4" t="s">
        <v>2725</v>
      </c>
      <c r="I943" s="5" t="s">
        <v>126</v>
      </c>
      <c r="J943" s="5" t="s">
        <v>37</v>
      </c>
      <c r="K943" s="5" t="s">
        <v>37</v>
      </c>
      <c r="L943" s="5" t="s">
        <v>38</v>
      </c>
      <c r="M943" s="5" t="s">
        <v>37</v>
      </c>
      <c r="N943" s="5" t="s">
        <v>37</v>
      </c>
      <c r="O943" s="5" t="s">
        <v>38</v>
      </c>
      <c r="P943" s="5" t="s">
        <v>39</v>
      </c>
      <c r="Q943" s="2">
        <v>45961</v>
      </c>
      <c r="V943" s="46">
        <f>IF(
  OR(
    ISNUMBER(SEARCH("unable to locate acct", tblDocketedComments[[#This Row],[Docketed Consumer Comments]])),
    ISNUMBER(SEARCH("unknown", tblDocketedComments[[#This Row],[Docketed Consumer Comments]])),
    ISNUMBER(SEARCH("inactive", tblDocketedComments[[#This Row],[Docketed Consumer Comments]]))
  ),
  0,
  1
)</f>
        <v>1</v>
      </c>
    </row>
    <row r="944" spans="1:22" ht="11.65" hidden="1" customHeight="1">
      <c r="A944" s="2">
        <v>45907</v>
      </c>
      <c r="B944" s="1" t="s">
        <v>2726</v>
      </c>
      <c r="C944" s="1" t="s">
        <v>611</v>
      </c>
      <c r="D944" s="1" t="s">
        <v>2429</v>
      </c>
      <c r="E944" s="1">
        <v>85132</v>
      </c>
      <c r="F944" s="1" t="s">
        <v>31</v>
      </c>
      <c r="G944" s="1" t="s">
        <v>2364</v>
      </c>
      <c r="H944" s="4" t="s">
        <v>27</v>
      </c>
      <c r="V944" s="46">
        <f>IF(
  OR(
    ISNUMBER(SEARCH("unable to locate acct", tblDocketedComments[[#This Row],[Docketed Consumer Comments]])),
    ISNUMBER(SEARCH("unknown", tblDocketedComments[[#This Row],[Docketed Consumer Comments]])),
    ISNUMBER(SEARCH("inactive", tblDocketedComments[[#This Row],[Docketed Consumer Comments]]))
  ),
  0,
  1
)</f>
        <v>1</v>
      </c>
    </row>
    <row r="945" spans="1:22" ht="11.65" hidden="1" customHeight="1">
      <c r="A945" s="2">
        <v>45907</v>
      </c>
      <c r="B945" s="1" t="s">
        <v>2727</v>
      </c>
      <c r="C945" s="1" t="s">
        <v>395</v>
      </c>
      <c r="D945" s="1" t="s">
        <v>63</v>
      </c>
      <c r="E945" s="1">
        <v>85012</v>
      </c>
      <c r="F945" s="1" t="s">
        <v>310</v>
      </c>
      <c r="G945" s="1" t="s">
        <v>2364</v>
      </c>
      <c r="H945" s="4" t="s">
        <v>2728</v>
      </c>
      <c r="I945" s="5" t="s">
        <v>126</v>
      </c>
      <c r="J945" s="5" t="s">
        <v>37</v>
      </c>
      <c r="K945" s="5" t="s">
        <v>37</v>
      </c>
      <c r="L945" s="5" t="s">
        <v>2729</v>
      </c>
      <c r="M945" s="5" t="s">
        <v>37</v>
      </c>
      <c r="N945" s="5" t="s">
        <v>37</v>
      </c>
      <c r="O945" s="5" t="s">
        <v>38</v>
      </c>
      <c r="P945" s="5" t="s">
        <v>39</v>
      </c>
      <c r="Q945" s="2">
        <v>45961</v>
      </c>
      <c r="V945" s="46">
        <f>IF(
  OR(
    ISNUMBER(SEARCH("unable to locate acct", tblDocketedComments[[#This Row],[Docketed Consumer Comments]])),
    ISNUMBER(SEARCH("unknown", tblDocketedComments[[#This Row],[Docketed Consumer Comments]])),
    ISNUMBER(SEARCH("inactive", tblDocketedComments[[#This Row],[Docketed Consumer Comments]]))
  ),
  0,
  1
)</f>
        <v>1</v>
      </c>
    </row>
    <row r="946" spans="1:22" ht="11.65" hidden="1" customHeight="1">
      <c r="A946" s="2">
        <v>45907</v>
      </c>
      <c r="B946" s="1" t="s">
        <v>1703</v>
      </c>
      <c r="C946" s="1" t="s">
        <v>2730</v>
      </c>
      <c r="D946" s="1" t="s">
        <v>63</v>
      </c>
      <c r="E946" s="1">
        <v>85032</v>
      </c>
      <c r="F946" s="1" t="s">
        <v>310</v>
      </c>
      <c r="G946" s="1" t="s">
        <v>2364</v>
      </c>
      <c r="H946" s="4" t="s">
        <v>209</v>
      </c>
      <c r="V946" s="46">
        <f>IF(
  OR(
    ISNUMBER(SEARCH("unable to locate acct", tblDocketedComments[[#This Row],[Docketed Consumer Comments]])),
    ISNUMBER(SEARCH("unknown", tblDocketedComments[[#This Row],[Docketed Consumer Comments]])),
    ISNUMBER(SEARCH("inactive", tblDocketedComments[[#This Row],[Docketed Consumer Comments]]))
  ),
  0,
  1
)</f>
        <v>1</v>
      </c>
    </row>
    <row r="947" spans="1:22" ht="11.65" hidden="1" customHeight="1">
      <c r="A947" s="2">
        <v>45907</v>
      </c>
      <c r="B947" s="1" t="s">
        <v>2025</v>
      </c>
      <c r="C947" s="1" t="s">
        <v>941</v>
      </c>
      <c r="D947" s="1" t="s">
        <v>63</v>
      </c>
      <c r="E947" s="1">
        <v>85012</v>
      </c>
      <c r="F947" s="1" t="s">
        <v>31</v>
      </c>
      <c r="G947" s="1" t="s">
        <v>2364</v>
      </c>
      <c r="H947" s="4" t="s">
        <v>2731</v>
      </c>
      <c r="I947" s="5" t="s">
        <v>126</v>
      </c>
      <c r="J947" s="5" t="s">
        <v>37</v>
      </c>
      <c r="K947" s="5" t="s">
        <v>37</v>
      </c>
      <c r="L947" s="5" t="s">
        <v>38</v>
      </c>
      <c r="M947" s="5" t="s">
        <v>37</v>
      </c>
      <c r="N947" s="5" t="s">
        <v>37</v>
      </c>
      <c r="O947" s="5" t="s">
        <v>38</v>
      </c>
      <c r="P947" s="5" t="s">
        <v>39</v>
      </c>
      <c r="Q947" s="2">
        <v>45961</v>
      </c>
      <c r="V947" s="46">
        <f>IF(
  OR(
    ISNUMBER(SEARCH("unable to locate acct", tblDocketedComments[[#This Row],[Docketed Consumer Comments]])),
    ISNUMBER(SEARCH("unknown", tblDocketedComments[[#This Row],[Docketed Consumer Comments]])),
    ISNUMBER(SEARCH("inactive", tblDocketedComments[[#This Row],[Docketed Consumer Comments]]))
  ),
  0,
  1
)</f>
        <v>1</v>
      </c>
    </row>
    <row r="948" spans="1:22" ht="11.65" hidden="1" customHeight="1">
      <c r="A948" s="2">
        <v>45907</v>
      </c>
      <c r="B948" s="1" t="s">
        <v>1703</v>
      </c>
      <c r="C948" s="1" t="s">
        <v>481</v>
      </c>
      <c r="D948" s="1" t="s">
        <v>63</v>
      </c>
      <c r="E948" s="1">
        <v>85032</v>
      </c>
      <c r="F948" s="1" t="s">
        <v>2732</v>
      </c>
      <c r="G948" s="1" t="s">
        <v>2364</v>
      </c>
      <c r="H948" s="4" t="s">
        <v>2733</v>
      </c>
      <c r="I948" s="5" t="s">
        <v>36</v>
      </c>
      <c r="J948" s="5" t="s">
        <v>37</v>
      </c>
      <c r="K948" s="5" t="s">
        <v>37</v>
      </c>
      <c r="L948" s="5" t="s">
        <v>36</v>
      </c>
      <c r="M948" s="5" t="s">
        <v>37</v>
      </c>
      <c r="N948" s="5" t="s">
        <v>37</v>
      </c>
      <c r="O948" s="5" t="s">
        <v>38</v>
      </c>
      <c r="P948" s="5" t="s">
        <v>39</v>
      </c>
      <c r="Q948" s="2">
        <v>45961</v>
      </c>
      <c r="V948" s="46">
        <f>IF(
  OR(
    ISNUMBER(SEARCH("unable to locate acct", tblDocketedComments[[#This Row],[Docketed Consumer Comments]])),
    ISNUMBER(SEARCH("unknown", tblDocketedComments[[#This Row],[Docketed Consumer Comments]])),
    ISNUMBER(SEARCH("inactive", tblDocketedComments[[#This Row],[Docketed Consumer Comments]]))
  ),
  0,
  1
)</f>
        <v>1</v>
      </c>
    </row>
    <row r="949" spans="1:22" ht="11.65" hidden="1" customHeight="1">
      <c r="A949" s="2">
        <v>45907</v>
      </c>
      <c r="B949" s="1" t="s">
        <v>449</v>
      </c>
      <c r="C949" s="1" t="s">
        <v>2734</v>
      </c>
      <c r="D949" s="1" t="s">
        <v>63</v>
      </c>
      <c r="E949" s="1">
        <v>85032</v>
      </c>
      <c r="F949" s="1" t="s">
        <v>310</v>
      </c>
      <c r="G949" s="1" t="s">
        <v>2364</v>
      </c>
      <c r="H949" s="4" t="s">
        <v>2735</v>
      </c>
      <c r="I949" s="5" t="s">
        <v>196</v>
      </c>
      <c r="J949" s="5" t="s">
        <v>37</v>
      </c>
      <c r="K949" s="5" t="s">
        <v>37</v>
      </c>
      <c r="L949" s="5" t="s">
        <v>2736</v>
      </c>
      <c r="M949" s="5" t="s">
        <v>37</v>
      </c>
      <c r="N949" s="5" t="s">
        <v>37</v>
      </c>
      <c r="O949" s="5" t="s">
        <v>38</v>
      </c>
      <c r="P949" s="5" t="s">
        <v>39</v>
      </c>
      <c r="Q949" s="2">
        <v>45961</v>
      </c>
      <c r="R949" s="1" t="s">
        <v>2737</v>
      </c>
      <c r="V949" s="46">
        <f>IF(
  OR(
    ISNUMBER(SEARCH("unable to locate acct", tblDocketedComments[[#This Row],[Docketed Consumer Comments]])),
    ISNUMBER(SEARCH("unknown", tblDocketedComments[[#This Row],[Docketed Consumer Comments]])),
    ISNUMBER(SEARCH("inactive", tblDocketedComments[[#This Row],[Docketed Consumer Comments]]))
  ),
  0,
  1
)</f>
        <v>1</v>
      </c>
    </row>
    <row r="950" spans="1:22" ht="11.65" hidden="1" customHeight="1">
      <c r="A950" s="2">
        <v>45907</v>
      </c>
      <c r="B950" s="1" t="s">
        <v>2738</v>
      </c>
      <c r="C950" s="1" t="s">
        <v>199</v>
      </c>
      <c r="D950" s="1" t="s">
        <v>504</v>
      </c>
      <c r="E950" s="1">
        <v>86001</v>
      </c>
      <c r="F950" s="1" t="s">
        <v>31</v>
      </c>
      <c r="G950" s="1" t="s">
        <v>2364</v>
      </c>
      <c r="H950" s="4" t="s">
        <v>90</v>
      </c>
      <c r="V950" s="46">
        <f>IF(
  OR(
    ISNUMBER(SEARCH("unable to locate acct", tblDocketedComments[[#This Row],[Docketed Consumer Comments]])),
    ISNUMBER(SEARCH("unknown", tblDocketedComments[[#This Row],[Docketed Consumer Comments]])),
    ISNUMBER(SEARCH("inactive", tblDocketedComments[[#This Row],[Docketed Consumer Comments]]))
  ),
  0,
  1
)</f>
        <v>1</v>
      </c>
    </row>
    <row r="951" spans="1:22" ht="11.65" hidden="1" customHeight="1">
      <c r="A951" s="2">
        <v>45907</v>
      </c>
      <c r="B951" s="1" t="s">
        <v>2739</v>
      </c>
      <c r="C951" s="1" t="s">
        <v>1824</v>
      </c>
      <c r="D951" s="1" t="s">
        <v>24</v>
      </c>
      <c r="E951" s="1">
        <v>85308</v>
      </c>
      <c r="F951" s="1" t="s">
        <v>310</v>
      </c>
      <c r="G951" s="1" t="s">
        <v>2364</v>
      </c>
      <c r="H951" s="4" t="s">
        <v>2740</v>
      </c>
      <c r="I951" s="5" t="s">
        <v>196</v>
      </c>
      <c r="J951" s="5" t="s">
        <v>37</v>
      </c>
      <c r="K951" s="5" t="s">
        <v>37</v>
      </c>
      <c r="L951" s="5" t="s">
        <v>2741</v>
      </c>
      <c r="M951" s="5" t="s">
        <v>37</v>
      </c>
      <c r="N951" s="5" t="s">
        <v>37</v>
      </c>
      <c r="O951" s="5" t="s">
        <v>38</v>
      </c>
      <c r="P951" s="5" t="s">
        <v>39</v>
      </c>
      <c r="Q951" s="2">
        <v>45961</v>
      </c>
      <c r="V951" s="46">
        <f>IF(
  OR(
    ISNUMBER(SEARCH("unable to locate acct", tblDocketedComments[[#This Row],[Docketed Consumer Comments]])),
    ISNUMBER(SEARCH("unknown", tblDocketedComments[[#This Row],[Docketed Consumer Comments]])),
    ISNUMBER(SEARCH("inactive", tblDocketedComments[[#This Row],[Docketed Consumer Comments]]))
  ),
  0,
  1
)</f>
        <v>1</v>
      </c>
    </row>
    <row r="952" spans="1:22" ht="11.65" hidden="1" customHeight="1">
      <c r="A952" s="2">
        <v>45907</v>
      </c>
      <c r="B952" s="1" t="s">
        <v>2742</v>
      </c>
      <c r="C952" s="1" t="s">
        <v>624</v>
      </c>
      <c r="D952" s="1" t="s">
        <v>24</v>
      </c>
      <c r="E952" s="1">
        <v>85310</v>
      </c>
      <c r="F952" s="1" t="s">
        <v>2743</v>
      </c>
      <c r="G952" s="1" t="s">
        <v>2364</v>
      </c>
      <c r="H952" s="4" t="s">
        <v>2744</v>
      </c>
      <c r="I952" s="5" t="s">
        <v>196</v>
      </c>
      <c r="J952" s="5" t="s">
        <v>37</v>
      </c>
      <c r="K952" s="5" t="s">
        <v>37</v>
      </c>
      <c r="L952" s="7" t="s">
        <v>2745</v>
      </c>
      <c r="M952" s="5" t="s">
        <v>37</v>
      </c>
      <c r="N952" s="5" t="s">
        <v>37</v>
      </c>
      <c r="O952" s="5" t="s">
        <v>38</v>
      </c>
      <c r="P952" s="2">
        <v>45938</v>
      </c>
      <c r="Q952" s="2">
        <v>45961</v>
      </c>
      <c r="R952" s="1" t="s">
        <v>2746</v>
      </c>
      <c r="V952" s="46">
        <f>IF(
  OR(
    ISNUMBER(SEARCH("unable to locate acct", tblDocketedComments[[#This Row],[Docketed Consumer Comments]])),
    ISNUMBER(SEARCH("unknown", tblDocketedComments[[#This Row],[Docketed Consumer Comments]])),
    ISNUMBER(SEARCH("inactive", tblDocketedComments[[#This Row],[Docketed Consumer Comments]]))
  ),
  0,
  1
)</f>
        <v>1</v>
      </c>
    </row>
    <row r="953" spans="1:22" ht="11.65" hidden="1" customHeight="1">
      <c r="A953" s="2">
        <v>45907</v>
      </c>
      <c r="B953" s="1" t="s">
        <v>2747</v>
      </c>
      <c r="C953" s="1" t="s">
        <v>2748</v>
      </c>
      <c r="D953" s="1" t="s">
        <v>30</v>
      </c>
      <c r="E953" s="1" t="s">
        <v>30</v>
      </c>
      <c r="F953" s="1" t="s">
        <v>2749</v>
      </c>
      <c r="G953" s="1" t="s">
        <v>2364</v>
      </c>
      <c r="H953" s="4" t="s">
        <v>2750</v>
      </c>
      <c r="I953" s="5" t="s">
        <v>36</v>
      </c>
      <c r="J953" s="5" t="s">
        <v>37</v>
      </c>
      <c r="K953" s="5" t="s">
        <v>37</v>
      </c>
      <c r="L953" s="5" t="s">
        <v>38</v>
      </c>
      <c r="M953" s="5" t="s">
        <v>37</v>
      </c>
      <c r="N953" s="5" t="s">
        <v>37</v>
      </c>
      <c r="O953" s="5" t="s">
        <v>38</v>
      </c>
      <c r="P953" s="5" t="s">
        <v>39</v>
      </c>
      <c r="Q953" s="2">
        <v>45961</v>
      </c>
      <c r="V953" s="46">
        <f>IF(
  OR(
    ISNUMBER(SEARCH("unable to locate acct", tblDocketedComments[[#This Row],[Docketed Consumer Comments]])),
    ISNUMBER(SEARCH("unknown", tblDocketedComments[[#This Row],[Docketed Consumer Comments]])),
    ISNUMBER(SEARCH("inactive", tblDocketedComments[[#This Row],[Docketed Consumer Comments]]))
  ),
  0,
  1
)</f>
        <v>1</v>
      </c>
    </row>
    <row r="954" spans="1:22" ht="11.65" hidden="1" customHeight="1">
      <c r="A954" s="2">
        <v>45907</v>
      </c>
      <c r="B954" s="1" t="s">
        <v>2751</v>
      </c>
      <c r="C954" s="1" t="s">
        <v>2752</v>
      </c>
      <c r="D954" s="1" t="s">
        <v>63</v>
      </c>
      <c r="E954" s="1">
        <v>85022</v>
      </c>
      <c r="F954" s="1" t="s">
        <v>31</v>
      </c>
      <c r="G954" s="1" t="s">
        <v>2364</v>
      </c>
      <c r="H954" s="4" t="s">
        <v>2753</v>
      </c>
      <c r="I954" s="5" t="s">
        <v>196</v>
      </c>
      <c r="J954" s="5" t="s">
        <v>37</v>
      </c>
      <c r="K954" s="5" t="s">
        <v>37</v>
      </c>
      <c r="L954" s="5" t="s">
        <v>38</v>
      </c>
      <c r="M954" s="5" t="s">
        <v>37</v>
      </c>
      <c r="N954" s="5" t="s">
        <v>37</v>
      </c>
      <c r="O954" s="5" t="s">
        <v>38</v>
      </c>
      <c r="P954" s="5" t="s">
        <v>39</v>
      </c>
      <c r="Q954" s="2">
        <v>45961</v>
      </c>
      <c r="V954" s="46">
        <f>IF(
  OR(
    ISNUMBER(SEARCH("unable to locate acct", tblDocketedComments[[#This Row],[Docketed Consumer Comments]])),
    ISNUMBER(SEARCH("unknown", tblDocketedComments[[#This Row],[Docketed Consumer Comments]])),
    ISNUMBER(SEARCH("inactive", tblDocketedComments[[#This Row],[Docketed Consumer Comments]]))
  ),
  0,
  1
)</f>
        <v>1</v>
      </c>
    </row>
    <row r="955" spans="1:22" ht="11.65" hidden="1" customHeight="1">
      <c r="A955" s="2">
        <v>45907</v>
      </c>
      <c r="B955" s="1" t="s">
        <v>2754</v>
      </c>
      <c r="C955" s="1" t="s">
        <v>2755</v>
      </c>
      <c r="D955" s="1" t="s">
        <v>30</v>
      </c>
      <c r="E955" s="1" t="s">
        <v>30</v>
      </c>
      <c r="F955" s="1" t="s">
        <v>2756</v>
      </c>
      <c r="G955" s="1" t="s">
        <v>2364</v>
      </c>
      <c r="H955" s="4" t="s">
        <v>2757</v>
      </c>
      <c r="I955" s="5" t="s">
        <v>418</v>
      </c>
      <c r="J955" s="5" t="s">
        <v>37</v>
      </c>
      <c r="K955" s="5" t="s">
        <v>37</v>
      </c>
      <c r="L955" s="5" t="s">
        <v>389</v>
      </c>
      <c r="M955" s="5" t="s">
        <v>37</v>
      </c>
      <c r="N955" s="5" t="s">
        <v>37</v>
      </c>
      <c r="O955" s="5" t="s">
        <v>38</v>
      </c>
      <c r="P955" s="5" t="s">
        <v>39</v>
      </c>
      <c r="Q955" s="2">
        <v>45961</v>
      </c>
      <c r="V955" s="46">
        <f>IF(
  OR(
    ISNUMBER(SEARCH("unable to locate acct", tblDocketedComments[[#This Row],[Docketed Consumer Comments]])),
    ISNUMBER(SEARCH("unknown", tblDocketedComments[[#This Row],[Docketed Consumer Comments]])),
    ISNUMBER(SEARCH("inactive", tblDocketedComments[[#This Row],[Docketed Consumer Comments]]))
  ),
  0,
  1
)</f>
        <v>1</v>
      </c>
    </row>
    <row r="956" spans="1:22" ht="11.65" hidden="1" customHeight="1">
      <c r="A956" s="2">
        <v>45907</v>
      </c>
      <c r="B956" s="1" t="s">
        <v>2758</v>
      </c>
      <c r="C956" s="1" t="s">
        <v>2273</v>
      </c>
      <c r="D956" s="1" t="s">
        <v>112</v>
      </c>
      <c r="E956" s="1">
        <v>85388</v>
      </c>
      <c r="F956" s="1" t="s">
        <v>31</v>
      </c>
      <c r="G956" s="1" t="s">
        <v>2364</v>
      </c>
      <c r="H956" s="19" t="s">
        <v>2759</v>
      </c>
      <c r="I956" s="5" t="s">
        <v>126</v>
      </c>
      <c r="J956" s="5" t="s">
        <v>37</v>
      </c>
      <c r="K956" s="5" t="s">
        <v>37</v>
      </c>
      <c r="M956" s="5" t="s">
        <v>37</v>
      </c>
      <c r="N956" s="5" t="s">
        <v>37</v>
      </c>
      <c r="O956" s="5" t="s">
        <v>38</v>
      </c>
      <c r="P956" s="5" t="s">
        <v>39</v>
      </c>
      <c r="Q956" s="2">
        <v>45961</v>
      </c>
      <c r="R956" s="1" t="s">
        <v>2760</v>
      </c>
      <c r="V956" s="46">
        <f>IF(
  OR(
    ISNUMBER(SEARCH("unable to locate acct", tblDocketedComments[[#This Row],[Docketed Consumer Comments]])),
    ISNUMBER(SEARCH("unknown", tblDocketedComments[[#This Row],[Docketed Consumer Comments]])),
    ISNUMBER(SEARCH("inactive", tblDocketedComments[[#This Row],[Docketed Consumer Comments]]))
  ),
  0,
  1
)</f>
        <v>1</v>
      </c>
    </row>
    <row r="957" spans="1:22" ht="11.65" hidden="1" customHeight="1">
      <c r="A957" s="2">
        <v>45907</v>
      </c>
      <c r="B957" s="1" t="s">
        <v>2761</v>
      </c>
      <c r="C957" s="1" t="s">
        <v>2762</v>
      </c>
      <c r="D957" s="1" t="s">
        <v>63</v>
      </c>
      <c r="E957" s="1">
        <v>85086</v>
      </c>
      <c r="F957" s="1" t="s">
        <v>31</v>
      </c>
      <c r="G957" s="1" t="s">
        <v>2364</v>
      </c>
      <c r="H957" s="4" t="s">
        <v>2763</v>
      </c>
      <c r="I957" s="5" t="s">
        <v>250</v>
      </c>
      <c r="J957" s="5" t="s">
        <v>37</v>
      </c>
      <c r="K957" s="5" t="s">
        <v>37</v>
      </c>
      <c r="L957" s="5" t="s">
        <v>1586</v>
      </c>
      <c r="M957" s="5" t="s">
        <v>37</v>
      </c>
      <c r="N957" s="5" t="s">
        <v>37</v>
      </c>
      <c r="O957" s="5" t="s">
        <v>38</v>
      </c>
      <c r="P957" s="5" t="s">
        <v>39</v>
      </c>
      <c r="Q957" s="2">
        <v>45961</v>
      </c>
      <c r="V957" s="46">
        <f>IF(
  OR(
    ISNUMBER(SEARCH("unable to locate acct", tblDocketedComments[[#This Row],[Docketed Consumer Comments]])),
    ISNUMBER(SEARCH("unknown", tblDocketedComments[[#This Row],[Docketed Consumer Comments]])),
    ISNUMBER(SEARCH("inactive", tblDocketedComments[[#This Row],[Docketed Consumer Comments]]))
  ),
  0,
  1
)</f>
        <v>1</v>
      </c>
    </row>
    <row r="958" spans="1:22" ht="11.65" hidden="1" customHeight="1">
      <c r="A958" s="2">
        <v>45907</v>
      </c>
      <c r="B958" s="1" t="s">
        <v>2764</v>
      </c>
      <c r="C958" s="1" t="s">
        <v>2395</v>
      </c>
      <c r="D958" s="1" t="s">
        <v>93</v>
      </c>
      <c r="E958" s="1">
        <v>85373</v>
      </c>
      <c r="F958" s="1" t="s">
        <v>31</v>
      </c>
      <c r="G958" s="1" t="s">
        <v>2364</v>
      </c>
      <c r="H958" s="4" t="s">
        <v>2765</v>
      </c>
      <c r="I958" s="5" t="s">
        <v>250</v>
      </c>
      <c r="J958" s="5" t="s">
        <v>37</v>
      </c>
      <c r="K958" s="5" t="s">
        <v>37</v>
      </c>
      <c r="L958" s="7" t="s">
        <v>2766</v>
      </c>
      <c r="M958" s="5" t="s">
        <v>37</v>
      </c>
      <c r="N958" s="5" t="s">
        <v>37</v>
      </c>
      <c r="O958" s="5" t="s">
        <v>38</v>
      </c>
      <c r="P958" s="2">
        <v>45938</v>
      </c>
      <c r="Q958" s="2">
        <v>45961</v>
      </c>
      <c r="R958" s="1" t="s">
        <v>2767</v>
      </c>
      <c r="V958" s="46">
        <f>IF(
  OR(
    ISNUMBER(SEARCH("unable to locate acct", tblDocketedComments[[#This Row],[Docketed Consumer Comments]])),
    ISNUMBER(SEARCH("unknown", tblDocketedComments[[#This Row],[Docketed Consumer Comments]])),
    ISNUMBER(SEARCH("inactive", tblDocketedComments[[#This Row],[Docketed Consumer Comments]]))
  ),
  0,
  1
)</f>
        <v>1</v>
      </c>
    </row>
    <row r="959" spans="1:22" ht="11.65" hidden="1" customHeight="1">
      <c r="A959" s="2">
        <v>45907</v>
      </c>
      <c r="B959" s="1" t="s">
        <v>2768</v>
      </c>
      <c r="C959" s="1" t="s">
        <v>2769</v>
      </c>
      <c r="D959" s="1" t="s">
        <v>63</v>
      </c>
      <c r="E959" s="1">
        <v>85086</v>
      </c>
      <c r="F959" s="1" t="s">
        <v>31</v>
      </c>
      <c r="G959" s="1" t="s">
        <v>2364</v>
      </c>
      <c r="H959" s="4" t="s">
        <v>2770</v>
      </c>
      <c r="I959" s="5" t="s">
        <v>36</v>
      </c>
      <c r="J959" s="5" t="s">
        <v>37</v>
      </c>
      <c r="K959" s="5" t="s">
        <v>37</v>
      </c>
      <c r="L959" s="5" t="s">
        <v>1586</v>
      </c>
      <c r="M959" s="5" t="s">
        <v>37</v>
      </c>
      <c r="N959" s="5" t="s">
        <v>37</v>
      </c>
      <c r="O959" s="5" t="s">
        <v>38</v>
      </c>
      <c r="P959" s="5" t="s">
        <v>39</v>
      </c>
      <c r="Q959" s="2">
        <v>45961</v>
      </c>
      <c r="V959" s="46">
        <f>IF(
  OR(
    ISNUMBER(SEARCH("unable to locate acct", tblDocketedComments[[#This Row],[Docketed Consumer Comments]])),
    ISNUMBER(SEARCH("unknown", tblDocketedComments[[#This Row],[Docketed Consumer Comments]])),
    ISNUMBER(SEARCH("inactive", tblDocketedComments[[#This Row],[Docketed Consumer Comments]]))
  ),
  0,
  1
)</f>
        <v>1</v>
      </c>
    </row>
    <row r="960" spans="1:22" ht="11.65" hidden="1" customHeight="1">
      <c r="A960" s="2">
        <v>45907</v>
      </c>
      <c r="B960" s="1" t="s">
        <v>2771</v>
      </c>
      <c r="C960" s="1" t="s">
        <v>2772</v>
      </c>
      <c r="D960" s="1" t="s">
        <v>125</v>
      </c>
      <c r="E960" s="1">
        <v>85260</v>
      </c>
      <c r="F960" s="1" t="s">
        <v>31</v>
      </c>
      <c r="G960" s="1" t="s">
        <v>2364</v>
      </c>
      <c r="H960" s="4" t="s">
        <v>2773</v>
      </c>
      <c r="I960" s="5" t="s">
        <v>36</v>
      </c>
      <c r="J960" s="5" t="s">
        <v>37</v>
      </c>
      <c r="K960" s="5" t="s">
        <v>37</v>
      </c>
      <c r="L960" s="5" t="s">
        <v>1586</v>
      </c>
      <c r="M960" s="5" t="s">
        <v>37</v>
      </c>
      <c r="N960" s="5" t="s">
        <v>37</v>
      </c>
      <c r="O960" s="5" t="s">
        <v>38</v>
      </c>
      <c r="P960" s="5" t="s">
        <v>39</v>
      </c>
      <c r="Q960" s="2">
        <v>45961</v>
      </c>
      <c r="V960" s="46">
        <f>IF(
  OR(
    ISNUMBER(SEARCH("unable to locate acct", tblDocketedComments[[#This Row],[Docketed Consumer Comments]])),
    ISNUMBER(SEARCH("unknown", tblDocketedComments[[#This Row],[Docketed Consumer Comments]])),
    ISNUMBER(SEARCH("inactive", tblDocketedComments[[#This Row],[Docketed Consumer Comments]]))
  ),
  0,
  1
)</f>
        <v>1</v>
      </c>
    </row>
    <row r="961" spans="1:22" ht="11.65" hidden="1" customHeight="1">
      <c r="A961" s="2">
        <v>45907</v>
      </c>
      <c r="B961" s="1" t="s">
        <v>2774</v>
      </c>
      <c r="C961" s="1" t="s">
        <v>2395</v>
      </c>
      <c r="D961" s="1" t="s">
        <v>30</v>
      </c>
      <c r="E961" s="1" t="s">
        <v>30</v>
      </c>
      <c r="F961" s="1" t="s">
        <v>31</v>
      </c>
      <c r="G961" s="1" t="s">
        <v>2364</v>
      </c>
      <c r="H961" s="4" t="s">
        <v>27</v>
      </c>
      <c r="V961" s="46">
        <f>IF(
  OR(
    ISNUMBER(SEARCH("unable to locate acct", tblDocketedComments[[#This Row],[Docketed Consumer Comments]])),
    ISNUMBER(SEARCH("unknown", tblDocketedComments[[#This Row],[Docketed Consumer Comments]])),
    ISNUMBER(SEARCH("inactive", tblDocketedComments[[#This Row],[Docketed Consumer Comments]]))
  ),
  0,
  1
)</f>
        <v>1</v>
      </c>
    </row>
    <row r="962" spans="1:22" ht="11.65" hidden="1" customHeight="1">
      <c r="A962" s="2">
        <v>45907</v>
      </c>
      <c r="B962" s="1" t="s">
        <v>2775</v>
      </c>
      <c r="C962" s="1" t="s">
        <v>2454</v>
      </c>
      <c r="D962" s="1" t="s">
        <v>30</v>
      </c>
      <c r="E962" s="1" t="s">
        <v>30</v>
      </c>
      <c r="F962" s="1" t="s">
        <v>310</v>
      </c>
      <c r="G962" s="1" t="s">
        <v>2364</v>
      </c>
      <c r="H962" s="4" t="s">
        <v>209</v>
      </c>
      <c r="I962" s="1"/>
      <c r="V962" s="46">
        <f>IF(
  OR(
    ISNUMBER(SEARCH("unable to locate acct", tblDocketedComments[[#This Row],[Docketed Consumer Comments]])),
    ISNUMBER(SEARCH("unknown", tblDocketedComments[[#This Row],[Docketed Consumer Comments]])),
    ISNUMBER(SEARCH("inactive", tblDocketedComments[[#This Row],[Docketed Consumer Comments]]))
  ),
  0,
  1
)</f>
        <v>1</v>
      </c>
    </row>
    <row r="963" spans="1:22" ht="11.65" hidden="1" customHeight="1">
      <c r="A963" s="2">
        <v>45907</v>
      </c>
      <c r="B963" s="1" t="s">
        <v>2776</v>
      </c>
      <c r="C963" s="1" t="s">
        <v>922</v>
      </c>
      <c r="D963" s="1" t="s">
        <v>30</v>
      </c>
      <c r="E963" s="1" t="s">
        <v>30</v>
      </c>
      <c r="F963" s="1" t="s">
        <v>310</v>
      </c>
      <c r="G963" s="1" t="s">
        <v>2364</v>
      </c>
      <c r="H963" s="4" t="s">
        <v>27</v>
      </c>
      <c r="V963" s="46">
        <f>IF(
  OR(
    ISNUMBER(SEARCH("unable to locate acct", tblDocketedComments[[#This Row],[Docketed Consumer Comments]])),
    ISNUMBER(SEARCH("unknown", tblDocketedComments[[#This Row],[Docketed Consumer Comments]])),
    ISNUMBER(SEARCH("inactive", tblDocketedComments[[#This Row],[Docketed Consumer Comments]]))
  ),
  0,
  1
)</f>
        <v>1</v>
      </c>
    </row>
    <row r="964" spans="1:22" ht="11.65" hidden="1" customHeight="1">
      <c r="A964" s="2">
        <v>45907</v>
      </c>
      <c r="B964" s="1" t="s">
        <v>2777</v>
      </c>
      <c r="C964" s="1" t="s">
        <v>2125</v>
      </c>
      <c r="D964" s="1" t="s">
        <v>30</v>
      </c>
      <c r="E964" s="1" t="s">
        <v>30</v>
      </c>
      <c r="F964" s="1" t="s">
        <v>310</v>
      </c>
      <c r="G964" s="1" t="s">
        <v>2364</v>
      </c>
      <c r="H964" s="4" t="s">
        <v>27</v>
      </c>
      <c r="V964" s="46">
        <f>IF(
  OR(
    ISNUMBER(SEARCH("unable to locate acct", tblDocketedComments[[#This Row],[Docketed Consumer Comments]])),
    ISNUMBER(SEARCH("unknown", tblDocketedComments[[#This Row],[Docketed Consumer Comments]])),
    ISNUMBER(SEARCH("inactive", tblDocketedComments[[#This Row],[Docketed Consumer Comments]]))
  ),
  0,
  1
)</f>
        <v>1</v>
      </c>
    </row>
    <row r="965" spans="1:22" ht="11.65" hidden="1" customHeight="1">
      <c r="A965" s="2">
        <v>45907</v>
      </c>
      <c r="B965" s="1" t="s">
        <v>2778</v>
      </c>
      <c r="C965" s="1" t="s">
        <v>2633</v>
      </c>
      <c r="D965" s="1" t="s">
        <v>63</v>
      </c>
      <c r="E965" s="1">
        <v>85086</v>
      </c>
      <c r="F965" s="1" t="s">
        <v>310</v>
      </c>
      <c r="G965" s="1" t="s">
        <v>2364</v>
      </c>
      <c r="H965" s="4" t="s">
        <v>2779</v>
      </c>
      <c r="I965" s="5" t="s">
        <v>196</v>
      </c>
      <c r="J965" s="5" t="s">
        <v>37</v>
      </c>
      <c r="K965" s="5" t="s">
        <v>37</v>
      </c>
      <c r="L965" s="5" t="s">
        <v>2780</v>
      </c>
      <c r="M965" s="5" t="s">
        <v>38</v>
      </c>
      <c r="N965" s="13">
        <v>508.72</v>
      </c>
      <c r="O965" s="5" t="s">
        <v>38</v>
      </c>
      <c r="P965" s="5" t="s">
        <v>39</v>
      </c>
      <c r="Q965" s="2">
        <v>45961</v>
      </c>
      <c r="V965" s="46">
        <f>IF(
  OR(
    ISNUMBER(SEARCH("unable to locate acct", tblDocketedComments[[#This Row],[Docketed Consumer Comments]])),
    ISNUMBER(SEARCH("unknown", tblDocketedComments[[#This Row],[Docketed Consumer Comments]])),
    ISNUMBER(SEARCH("inactive", tblDocketedComments[[#This Row],[Docketed Consumer Comments]]))
  ),
  0,
  1
)</f>
        <v>1</v>
      </c>
    </row>
    <row r="966" spans="1:22" ht="11.65" hidden="1" customHeight="1">
      <c r="A966" s="2">
        <v>45908</v>
      </c>
      <c r="B966" s="1" t="s">
        <v>2781</v>
      </c>
      <c r="C966" s="1" t="s">
        <v>2380</v>
      </c>
      <c r="D966" s="1" t="s">
        <v>89</v>
      </c>
      <c r="E966" s="1">
        <v>86341</v>
      </c>
      <c r="F966" s="1" t="s">
        <v>1990</v>
      </c>
      <c r="G966" s="1" t="s">
        <v>2782</v>
      </c>
      <c r="H966" s="4" t="s">
        <v>2783</v>
      </c>
      <c r="I966" s="5" t="s">
        <v>57</v>
      </c>
      <c r="J966" s="5" t="s">
        <v>37</v>
      </c>
      <c r="K966" s="5" t="s">
        <v>37</v>
      </c>
      <c r="L966" s="7" t="s">
        <v>2784</v>
      </c>
      <c r="M966" s="5" t="s">
        <v>37</v>
      </c>
      <c r="N966" s="5" t="s">
        <v>37</v>
      </c>
      <c r="O966" s="5" t="s">
        <v>38</v>
      </c>
      <c r="P966" s="2">
        <v>45938</v>
      </c>
      <c r="Q966" s="2">
        <v>45961</v>
      </c>
      <c r="R966" s="1" t="s">
        <v>2767</v>
      </c>
      <c r="V966" s="46">
        <f>IF(
  OR(
    ISNUMBER(SEARCH("unable to locate acct", tblDocketedComments[[#This Row],[Docketed Consumer Comments]])),
    ISNUMBER(SEARCH("unknown", tblDocketedComments[[#This Row],[Docketed Consumer Comments]])),
    ISNUMBER(SEARCH("inactive", tblDocketedComments[[#This Row],[Docketed Consumer Comments]]))
  ),
  0,
  1
)</f>
        <v>1</v>
      </c>
    </row>
    <row r="967" spans="1:22" ht="11.65" hidden="1" customHeight="1">
      <c r="A967" s="2">
        <v>45909</v>
      </c>
      <c r="B967" s="1" t="s">
        <v>2785</v>
      </c>
      <c r="C967" s="1" t="s">
        <v>2786</v>
      </c>
      <c r="D967" s="1" t="s">
        <v>63</v>
      </c>
      <c r="E967" s="1">
        <v>85012</v>
      </c>
      <c r="F967" s="1" t="s">
        <v>310</v>
      </c>
      <c r="G967" s="1" t="s">
        <v>2782</v>
      </c>
      <c r="H967" s="4" t="s">
        <v>2787</v>
      </c>
      <c r="I967" s="5" t="s">
        <v>126</v>
      </c>
      <c r="J967" s="5" t="s">
        <v>37</v>
      </c>
      <c r="K967" s="5" t="s">
        <v>37</v>
      </c>
      <c r="L967" s="5" t="s">
        <v>1586</v>
      </c>
      <c r="M967" s="5" t="s">
        <v>37</v>
      </c>
      <c r="N967" s="5" t="s">
        <v>37</v>
      </c>
      <c r="O967" s="5" t="s">
        <v>38</v>
      </c>
      <c r="P967" s="5" t="s">
        <v>39</v>
      </c>
      <c r="Q967" s="2">
        <v>45961</v>
      </c>
      <c r="V967" s="46">
        <f>IF(
  OR(
    ISNUMBER(SEARCH("unable to locate acct", tblDocketedComments[[#This Row],[Docketed Consumer Comments]])),
    ISNUMBER(SEARCH("unknown", tblDocketedComments[[#This Row],[Docketed Consumer Comments]])),
    ISNUMBER(SEARCH("inactive", tblDocketedComments[[#This Row],[Docketed Consumer Comments]]))
  ),
  0,
  1
)</f>
        <v>1</v>
      </c>
    </row>
    <row r="968" spans="1:22" ht="11.65" hidden="1" customHeight="1">
      <c r="A968" s="2">
        <v>45909</v>
      </c>
      <c r="B968" s="1" t="s">
        <v>2788</v>
      </c>
      <c r="C968" s="1" t="s">
        <v>2789</v>
      </c>
      <c r="D968" s="1" t="s">
        <v>202</v>
      </c>
      <c r="E968" s="1">
        <v>85383</v>
      </c>
      <c r="F968" s="1" t="s">
        <v>2790</v>
      </c>
      <c r="G968" s="1" t="s">
        <v>2782</v>
      </c>
      <c r="H968" s="4" t="s">
        <v>2791</v>
      </c>
      <c r="I968" s="5" t="s">
        <v>1488</v>
      </c>
      <c r="J968" s="5" t="s">
        <v>37</v>
      </c>
      <c r="K968" s="5" t="s">
        <v>37</v>
      </c>
      <c r="L968" s="5" t="s">
        <v>389</v>
      </c>
      <c r="M968" s="5" t="s">
        <v>37</v>
      </c>
      <c r="N968" s="5" t="s">
        <v>37</v>
      </c>
      <c r="O968" s="5" t="s">
        <v>38</v>
      </c>
      <c r="P968" s="5" t="s">
        <v>39</v>
      </c>
      <c r="Q968" s="2">
        <v>45961</v>
      </c>
      <c r="V968" s="46">
        <f>IF(
  OR(
    ISNUMBER(SEARCH("unable to locate acct", tblDocketedComments[[#This Row],[Docketed Consumer Comments]])),
    ISNUMBER(SEARCH("unknown", tblDocketedComments[[#This Row],[Docketed Consumer Comments]])),
    ISNUMBER(SEARCH("inactive", tblDocketedComments[[#This Row],[Docketed Consumer Comments]]))
  ),
  0,
  1
)</f>
        <v>1</v>
      </c>
    </row>
    <row r="969" spans="1:22" ht="11.65" hidden="1" customHeight="1">
      <c r="A969" s="2">
        <v>45909</v>
      </c>
      <c r="B969" s="1" t="s">
        <v>686</v>
      </c>
      <c r="C969" s="1" t="s">
        <v>1755</v>
      </c>
      <c r="D969" s="1" t="s">
        <v>112</v>
      </c>
      <c r="E969" s="1">
        <v>85374</v>
      </c>
      <c r="F969" s="1" t="s">
        <v>310</v>
      </c>
      <c r="G969" s="1" t="s">
        <v>2782</v>
      </c>
      <c r="H969" s="4" t="s">
        <v>2792</v>
      </c>
      <c r="I969" s="5" t="s">
        <v>36</v>
      </c>
      <c r="J969" s="5" t="s">
        <v>37</v>
      </c>
      <c r="K969" s="5" t="s">
        <v>37</v>
      </c>
      <c r="L969" s="5" t="s">
        <v>1586</v>
      </c>
      <c r="M969" s="5" t="s">
        <v>37</v>
      </c>
      <c r="N969" s="5" t="s">
        <v>37</v>
      </c>
      <c r="O969" s="5" t="s">
        <v>38</v>
      </c>
      <c r="P969" s="5" t="s">
        <v>39</v>
      </c>
      <c r="Q969" s="2">
        <v>45961</v>
      </c>
      <c r="V969" s="46">
        <f>IF(
  OR(
    ISNUMBER(SEARCH("unable to locate acct", tblDocketedComments[[#This Row],[Docketed Consumer Comments]])),
    ISNUMBER(SEARCH("unknown", tblDocketedComments[[#This Row],[Docketed Consumer Comments]])),
    ISNUMBER(SEARCH("inactive", tblDocketedComments[[#This Row],[Docketed Consumer Comments]]))
  ),
  0,
  1
)</f>
        <v>1</v>
      </c>
    </row>
    <row r="970" spans="1:22" ht="11.65" hidden="1" customHeight="1">
      <c r="A970" s="2">
        <v>45909</v>
      </c>
      <c r="B970" s="1" t="s">
        <v>1703</v>
      </c>
      <c r="C970" s="1" t="s">
        <v>2793</v>
      </c>
      <c r="D970" s="1" t="s">
        <v>63</v>
      </c>
      <c r="E970" s="1">
        <v>85032</v>
      </c>
      <c r="F970" s="1" t="s">
        <v>310</v>
      </c>
      <c r="G970" s="1" t="s">
        <v>2782</v>
      </c>
      <c r="H970" s="4" t="s">
        <v>27</v>
      </c>
      <c r="V970" s="46">
        <f>IF(
  OR(
    ISNUMBER(SEARCH("unable to locate acct", tblDocketedComments[[#This Row],[Docketed Consumer Comments]])),
    ISNUMBER(SEARCH("unknown", tblDocketedComments[[#This Row],[Docketed Consumer Comments]])),
    ISNUMBER(SEARCH("inactive", tblDocketedComments[[#This Row],[Docketed Consumer Comments]]))
  ),
  0,
  1
)</f>
        <v>1</v>
      </c>
    </row>
    <row r="971" spans="1:22" ht="11.65" hidden="1" customHeight="1">
      <c r="A971" s="2">
        <v>45909</v>
      </c>
      <c r="B971" s="1" t="s">
        <v>1356</v>
      </c>
      <c r="C971" s="1" t="s">
        <v>2794</v>
      </c>
      <c r="D971" s="1" t="s">
        <v>63</v>
      </c>
      <c r="E971" s="1">
        <v>85012</v>
      </c>
      <c r="F971" s="1" t="s">
        <v>310</v>
      </c>
      <c r="G971" s="1" t="s">
        <v>2782</v>
      </c>
      <c r="H971" s="4" t="s">
        <v>2795</v>
      </c>
      <c r="I971" s="5" t="s">
        <v>73</v>
      </c>
      <c r="J971" s="5" t="s">
        <v>38</v>
      </c>
      <c r="K971" s="5" t="s">
        <v>37</v>
      </c>
      <c r="L971" s="5" t="s">
        <v>1586</v>
      </c>
      <c r="M971" s="5" t="s">
        <v>37</v>
      </c>
      <c r="N971" s="5" t="s">
        <v>37</v>
      </c>
      <c r="O971" s="5" t="s">
        <v>38</v>
      </c>
      <c r="P971" s="5" t="s">
        <v>39</v>
      </c>
      <c r="Q971" s="2">
        <v>45961</v>
      </c>
      <c r="V971" s="46">
        <f>IF(
  OR(
    ISNUMBER(SEARCH("unable to locate acct", tblDocketedComments[[#This Row],[Docketed Consumer Comments]])),
    ISNUMBER(SEARCH("unknown", tblDocketedComments[[#This Row],[Docketed Consumer Comments]])),
    ISNUMBER(SEARCH("inactive", tblDocketedComments[[#This Row],[Docketed Consumer Comments]]))
  ),
  0,
  1
)</f>
        <v>1</v>
      </c>
    </row>
    <row r="972" spans="1:22" ht="11.65" hidden="1" customHeight="1">
      <c r="A972" s="2">
        <v>45909</v>
      </c>
      <c r="B972" s="1" t="s">
        <v>312</v>
      </c>
      <c r="C972" s="1" t="s">
        <v>553</v>
      </c>
      <c r="D972" s="1" t="s">
        <v>24</v>
      </c>
      <c r="E972" s="1">
        <v>85308</v>
      </c>
      <c r="F972" s="1" t="s">
        <v>2129</v>
      </c>
      <c r="G972" s="1" t="s">
        <v>2782</v>
      </c>
      <c r="H972" s="4" t="s">
        <v>27</v>
      </c>
      <c r="V972" s="46">
        <f>IF(
  OR(
    ISNUMBER(SEARCH("unable to locate acct", tblDocketedComments[[#This Row],[Docketed Consumer Comments]])),
    ISNUMBER(SEARCH("unknown", tblDocketedComments[[#This Row],[Docketed Consumer Comments]])),
    ISNUMBER(SEARCH("inactive", tblDocketedComments[[#This Row],[Docketed Consumer Comments]]))
  ),
  0,
  1
)</f>
        <v>1</v>
      </c>
    </row>
    <row r="973" spans="1:22" ht="11.65" hidden="1" customHeight="1">
      <c r="A973" s="2">
        <v>45909</v>
      </c>
      <c r="B973" s="1" t="s">
        <v>2796</v>
      </c>
      <c r="C973" s="1" t="s">
        <v>2797</v>
      </c>
      <c r="D973" s="1" t="s">
        <v>63</v>
      </c>
      <c r="E973" s="1">
        <v>85085</v>
      </c>
      <c r="F973" s="1" t="s">
        <v>310</v>
      </c>
      <c r="G973" s="1" t="s">
        <v>2782</v>
      </c>
      <c r="H973" s="4" t="s">
        <v>2798</v>
      </c>
      <c r="I973" s="5" t="s">
        <v>1684</v>
      </c>
      <c r="J973" s="5" t="s">
        <v>37</v>
      </c>
      <c r="K973" s="5" t="s">
        <v>37</v>
      </c>
      <c r="L973" s="5" t="s">
        <v>401</v>
      </c>
      <c r="M973" s="5" t="s">
        <v>37</v>
      </c>
      <c r="N973" s="5" t="s">
        <v>37</v>
      </c>
      <c r="O973" s="5" t="s">
        <v>38</v>
      </c>
      <c r="P973" s="5" t="s">
        <v>39</v>
      </c>
      <c r="Q973" s="2">
        <v>45961</v>
      </c>
      <c r="V973" s="46">
        <f>IF(
  OR(
    ISNUMBER(SEARCH("unable to locate acct", tblDocketedComments[[#This Row],[Docketed Consumer Comments]])),
    ISNUMBER(SEARCH("unknown", tblDocketedComments[[#This Row],[Docketed Consumer Comments]])),
    ISNUMBER(SEARCH("inactive", tblDocketedComments[[#This Row],[Docketed Consumer Comments]]))
  ),
  0,
  1
)</f>
        <v>1</v>
      </c>
    </row>
    <row r="974" spans="1:22" ht="11.65" hidden="1" customHeight="1">
      <c r="A974" s="2">
        <v>45909</v>
      </c>
      <c r="B974" s="1" t="s">
        <v>2799</v>
      </c>
      <c r="C974" s="1" t="s">
        <v>2800</v>
      </c>
      <c r="D974" s="1" t="s">
        <v>202</v>
      </c>
      <c r="E974" s="1">
        <v>85383</v>
      </c>
      <c r="F974" s="1" t="s">
        <v>310</v>
      </c>
      <c r="G974" s="1" t="s">
        <v>2782</v>
      </c>
      <c r="H974" s="4" t="s">
        <v>2801</v>
      </c>
      <c r="I974" s="5" t="s">
        <v>36</v>
      </c>
      <c r="J974" s="5" t="s">
        <v>37</v>
      </c>
      <c r="K974" s="5" t="s">
        <v>37</v>
      </c>
      <c r="L974" s="5" t="s">
        <v>1586</v>
      </c>
      <c r="M974" s="5" t="s">
        <v>37</v>
      </c>
      <c r="N974" s="5" t="s">
        <v>37</v>
      </c>
      <c r="O974" s="5" t="s">
        <v>38</v>
      </c>
      <c r="P974" s="5" t="s">
        <v>39</v>
      </c>
      <c r="Q974" s="2">
        <v>45961</v>
      </c>
      <c r="V974" s="46">
        <f>IF(
  OR(
    ISNUMBER(SEARCH("unable to locate acct", tblDocketedComments[[#This Row],[Docketed Consumer Comments]])),
    ISNUMBER(SEARCH("unknown", tblDocketedComments[[#This Row],[Docketed Consumer Comments]])),
    ISNUMBER(SEARCH("inactive", tblDocketedComments[[#This Row],[Docketed Consumer Comments]]))
  ),
  0,
  1
)</f>
        <v>1</v>
      </c>
    </row>
    <row r="975" spans="1:22" ht="11.65" hidden="1" customHeight="1">
      <c r="A975" s="2">
        <v>45909</v>
      </c>
      <c r="B975" s="1" t="s">
        <v>2802</v>
      </c>
      <c r="C975" s="1" t="s">
        <v>2803</v>
      </c>
      <c r="D975" s="1" t="s">
        <v>619</v>
      </c>
      <c r="E975" s="1">
        <v>85365</v>
      </c>
      <c r="F975" s="1" t="s">
        <v>2804</v>
      </c>
      <c r="G975" s="1" t="s">
        <v>2782</v>
      </c>
      <c r="H975" s="4" t="s">
        <v>2805</v>
      </c>
      <c r="I975" s="5" t="s">
        <v>196</v>
      </c>
      <c r="J975" s="5" t="s">
        <v>37</v>
      </c>
      <c r="K975" s="5" t="s">
        <v>37</v>
      </c>
      <c r="L975" s="7" t="s">
        <v>2806</v>
      </c>
      <c r="M975" s="5" t="s">
        <v>37</v>
      </c>
      <c r="N975" s="5" t="s">
        <v>37</v>
      </c>
      <c r="O975" s="5" t="s">
        <v>38</v>
      </c>
      <c r="P975" s="2">
        <v>45938</v>
      </c>
      <c r="Q975" s="2">
        <v>45961</v>
      </c>
      <c r="R975" s="1" t="s">
        <v>2767</v>
      </c>
      <c r="V975" s="46">
        <f>IF(
  OR(
    ISNUMBER(SEARCH("unable to locate acct", tblDocketedComments[[#This Row],[Docketed Consumer Comments]])),
    ISNUMBER(SEARCH("unknown", tblDocketedComments[[#This Row],[Docketed Consumer Comments]])),
    ISNUMBER(SEARCH("inactive", tblDocketedComments[[#This Row],[Docketed Consumer Comments]]))
  ),
  0,
  1
)</f>
        <v>1</v>
      </c>
    </row>
    <row r="976" spans="1:22" ht="11.65" hidden="1" customHeight="1">
      <c r="A976" s="2">
        <v>45909</v>
      </c>
      <c r="B976" s="1" t="s">
        <v>2807</v>
      </c>
      <c r="C976" s="1" t="s">
        <v>2808</v>
      </c>
      <c r="D976" s="1" t="s">
        <v>428</v>
      </c>
      <c r="E976" s="1">
        <v>85335</v>
      </c>
      <c r="F976" s="1" t="s">
        <v>2809</v>
      </c>
      <c r="G976" s="1" t="s">
        <v>2782</v>
      </c>
      <c r="H976" s="4" t="s">
        <v>2810</v>
      </c>
      <c r="I976" s="5" t="s">
        <v>1488</v>
      </c>
      <c r="J976" s="5" t="s">
        <v>37</v>
      </c>
      <c r="K976" s="5" t="s">
        <v>37</v>
      </c>
      <c r="L976" s="5" t="s">
        <v>389</v>
      </c>
      <c r="M976" s="5" t="s">
        <v>37</v>
      </c>
      <c r="N976" s="5" t="s">
        <v>37</v>
      </c>
      <c r="O976" s="5" t="s">
        <v>38</v>
      </c>
      <c r="P976" s="5" t="s">
        <v>39</v>
      </c>
      <c r="Q976" s="2">
        <v>45961</v>
      </c>
      <c r="V976" s="46">
        <f>IF(
  OR(
    ISNUMBER(SEARCH("unable to locate acct", tblDocketedComments[[#This Row],[Docketed Consumer Comments]])),
    ISNUMBER(SEARCH("unknown", tblDocketedComments[[#This Row],[Docketed Consumer Comments]])),
    ISNUMBER(SEARCH("inactive", tblDocketedComments[[#This Row],[Docketed Consumer Comments]]))
  ),
  0,
  1
)</f>
        <v>1</v>
      </c>
    </row>
    <row r="977" spans="1:22" ht="11.65" hidden="1" customHeight="1">
      <c r="A977" s="2">
        <v>45909</v>
      </c>
      <c r="B977" s="1" t="s">
        <v>2811</v>
      </c>
      <c r="C977" s="1" t="s">
        <v>1444</v>
      </c>
      <c r="D977" s="1" t="s">
        <v>370</v>
      </c>
      <c r="E977" s="1">
        <v>85225</v>
      </c>
      <c r="F977" s="1" t="s">
        <v>310</v>
      </c>
      <c r="G977" s="1" t="s">
        <v>2812</v>
      </c>
      <c r="H977" s="4" t="s">
        <v>2813</v>
      </c>
      <c r="I977" s="5" t="s">
        <v>46</v>
      </c>
      <c r="J977" s="5" t="s">
        <v>37</v>
      </c>
      <c r="K977" s="5" t="s">
        <v>37</v>
      </c>
      <c r="L977" s="5" t="s">
        <v>1586</v>
      </c>
      <c r="M977" s="5" t="s">
        <v>37</v>
      </c>
      <c r="N977" s="5" t="s">
        <v>37</v>
      </c>
      <c r="O977" s="5" t="s">
        <v>38</v>
      </c>
      <c r="P977" s="5" t="s">
        <v>39</v>
      </c>
      <c r="Q977" s="2">
        <v>45961</v>
      </c>
      <c r="V977" s="46">
        <f>IF(
  OR(
    ISNUMBER(SEARCH("unable to locate acct", tblDocketedComments[[#This Row],[Docketed Consumer Comments]])),
    ISNUMBER(SEARCH("unknown", tblDocketedComments[[#This Row],[Docketed Consumer Comments]])),
    ISNUMBER(SEARCH("inactive", tblDocketedComments[[#This Row],[Docketed Consumer Comments]]))
  ),
  0,
  1
)</f>
        <v>1</v>
      </c>
    </row>
    <row r="978" spans="1:22" ht="11.65" hidden="1" customHeight="1">
      <c r="A978" s="2">
        <v>45909</v>
      </c>
      <c r="B978" s="1" t="s">
        <v>558</v>
      </c>
      <c r="C978" s="1" t="s">
        <v>2814</v>
      </c>
      <c r="D978" s="1" t="s">
        <v>1719</v>
      </c>
      <c r="E978" s="1">
        <v>85615</v>
      </c>
      <c r="F978" s="1" t="s">
        <v>31</v>
      </c>
      <c r="G978" s="1" t="s">
        <v>2812</v>
      </c>
      <c r="H978" s="4" t="s">
        <v>2815</v>
      </c>
      <c r="I978" s="5" t="s">
        <v>196</v>
      </c>
      <c r="J978" s="5" t="s">
        <v>38</v>
      </c>
      <c r="K978" s="5" t="s">
        <v>37</v>
      </c>
      <c r="L978" s="7" t="s">
        <v>2816</v>
      </c>
      <c r="M978" s="5" t="s">
        <v>37</v>
      </c>
      <c r="N978" s="5" t="s">
        <v>37</v>
      </c>
      <c r="O978" s="5" t="s">
        <v>38</v>
      </c>
      <c r="P978" s="2">
        <v>45938</v>
      </c>
      <c r="Q978" s="2">
        <v>45961</v>
      </c>
      <c r="R978" s="1" t="s">
        <v>2767</v>
      </c>
      <c r="V978" s="46">
        <f>IF(
  OR(
    ISNUMBER(SEARCH("unable to locate acct", tblDocketedComments[[#This Row],[Docketed Consumer Comments]])),
    ISNUMBER(SEARCH("unknown", tblDocketedComments[[#This Row],[Docketed Consumer Comments]])),
    ISNUMBER(SEARCH("inactive", tblDocketedComments[[#This Row],[Docketed Consumer Comments]]))
  ),
  0,
  1
)</f>
        <v>1</v>
      </c>
    </row>
    <row r="979" spans="1:22" ht="11.65" hidden="1" customHeight="1">
      <c r="A979" s="2">
        <v>45909</v>
      </c>
      <c r="B979" s="1" t="s">
        <v>1136</v>
      </c>
      <c r="C979" s="1" t="s">
        <v>2817</v>
      </c>
      <c r="D979" s="1" t="s">
        <v>63</v>
      </c>
      <c r="E979" s="1">
        <v>85032</v>
      </c>
      <c r="F979" s="1" t="s">
        <v>310</v>
      </c>
      <c r="G979" s="1" t="s">
        <v>2812</v>
      </c>
      <c r="H979" s="4" t="s">
        <v>2818</v>
      </c>
      <c r="I979" s="5" t="s">
        <v>36</v>
      </c>
      <c r="J979" s="5" t="s">
        <v>37</v>
      </c>
      <c r="K979" s="5" t="s">
        <v>37</v>
      </c>
      <c r="L979" s="5" t="s">
        <v>1586</v>
      </c>
      <c r="M979" s="5" t="s">
        <v>37</v>
      </c>
      <c r="N979" s="5" t="s">
        <v>37</v>
      </c>
      <c r="O979" s="5" t="s">
        <v>38</v>
      </c>
      <c r="P979" s="5" t="s">
        <v>39</v>
      </c>
      <c r="Q979" s="2">
        <v>45961</v>
      </c>
      <c r="V979" s="46">
        <f>IF(
  OR(
    ISNUMBER(SEARCH("unable to locate acct", tblDocketedComments[[#This Row],[Docketed Consumer Comments]])),
    ISNUMBER(SEARCH("unknown", tblDocketedComments[[#This Row],[Docketed Consumer Comments]])),
    ISNUMBER(SEARCH("inactive", tblDocketedComments[[#This Row],[Docketed Consumer Comments]]))
  ),
  0,
  1
)</f>
        <v>1</v>
      </c>
    </row>
    <row r="980" spans="1:22" ht="11.65" hidden="1" customHeight="1">
      <c r="A980" s="2">
        <v>45909</v>
      </c>
      <c r="B980" s="1" t="s">
        <v>269</v>
      </c>
      <c r="C980" s="1" t="s">
        <v>420</v>
      </c>
      <c r="D980" s="1" t="s">
        <v>63</v>
      </c>
      <c r="E980" s="1">
        <v>85020</v>
      </c>
      <c r="F980" s="1" t="s">
        <v>310</v>
      </c>
      <c r="G980" s="1" t="s">
        <v>2812</v>
      </c>
      <c r="H980" s="4" t="s">
        <v>2819</v>
      </c>
      <c r="I980" s="5" t="s">
        <v>541</v>
      </c>
      <c r="J980" s="5" t="s">
        <v>37</v>
      </c>
      <c r="K980" s="5" t="s">
        <v>37</v>
      </c>
      <c r="L980" s="5" t="s">
        <v>389</v>
      </c>
      <c r="M980" s="5" t="s">
        <v>37</v>
      </c>
      <c r="N980" s="5" t="s">
        <v>37</v>
      </c>
      <c r="O980" s="5" t="s">
        <v>38</v>
      </c>
      <c r="P980" s="5" t="s">
        <v>39</v>
      </c>
      <c r="Q980" s="2">
        <v>45961</v>
      </c>
      <c r="V980" s="46">
        <f>IF(
  OR(
    ISNUMBER(SEARCH("unable to locate acct", tblDocketedComments[[#This Row],[Docketed Consumer Comments]])),
    ISNUMBER(SEARCH("unknown", tblDocketedComments[[#This Row],[Docketed Consumer Comments]])),
    ISNUMBER(SEARCH("inactive", tblDocketedComments[[#This Row],[Docketed Consumer Comments]]))
  ),
  0,
  1
)</f>
        <v>1</v>
      </c>
    </row>
    <row r="981" spans="1:22" ht="11.65" hidden="1" customHeight="1">
      <c r="A981" s="2">
        <v>45909</v>
      </c>
      <c r="B981" s="1" t="s">
        <v>2820</v>
      </c>
      <c r="C981" s="1" t="s">
        <v>177</v>
      </c>
      <c r="D981" s="1" t="s">
        <v>63</v>
      </c>
      <c r="E981" s="1">
        <v>85083</v>
      </c>
      <c r="F981" s="1" t="s">
        <v>31</v>
      </c>
      <c r="G981" s="1" t="s">
        <v>2812</v>
      </c>
      <c r="H981" s="4" t="s">
        <v>209</v>
      </c>
      <c r="V981" s="46">
        <f>IF(
  OR(
    ISNUMBER(SEARCH("unable to locate acct", tblDocketedComments[[#This Row],[Docketed Consumer Comments]])),
    ISNUMBER(SEARCH("unknown", tblDocketedComments[[#This Row],[Docketed Consumer Comments]])),
    ISNUMBER(SEARCH("inactive", tblDocketedComments[[#This Row],[Docketed Consumer Comments]]))
  ),
  0,
  1
)</f>
        <v>1</v>
      </c>
    </row>
    <row r="982" spans="1:22" ht="11.65" hidden="1" customHeight="1">
      <c r="A982" s="2">
        <v>45909</v>
      </c>
      <c r="B982" s="1" t="s">
        <v>2821</v>
      </c>
      <c r="C982" s="1" t="s">
        <v>1806</v>
      </c>
      <c r="D982" s="1" t="s">
        <v>63</v>
      </c>
      <c r="E982" s="1">
        <v>85083</v>
      </c>
      <c r="F982" s="1" t="s">
        <v>31</v>
      </c>
      <c r="G982" s="1" t="s">
        <v>2812</v>
      </c>
      <c r="H982" s="4" t="s">
        <v>2822</v>
      </c>
      <c r="I982" s="5" t="s">
        <v>126</v>
      </c>
      <c r="J982" s="5" t="s">
        <v>37</v>
      </c>
      <c r="K982" s="5" t="s">
        <v>37</v>
      </c>
      <c r="L982" s="5" t="s">
        <v>1586</v>
      </c>
      <c r="M982" s="5" t="s">
        <v>37</v>
      </c>
      <c r="N982" s="5" t="s">
        <v>37</v>
      </c>
      <c r="O982" s="5" t="s">
        <v>38</v>
      </c>
      <c r="P982" s="5" t="s">
        <v>39</v>
      </c>
      <c r="Q982" s="2">
        <v>45961</v>
      </c>
      <c r="V982" s="46">
        <f>IF(
  OR(
    ISNUMBER(SEARCH("unable to locate acct", tblDocketedComments[[#This Row],[Docketed Consumer Comments]])),
    ISNUMBER(SEARCH("unknown", tblDocketedComments[[#This Row],[Docketed Consumer Comments]])),
    ISNUMBER(SEARCH("inactive", tblDocketedComments[[#This Row],[Docketed Consumer Comments]]))
  ),
  0,
  1
)</f>
        <v>1</v>
      </c>
    </row>
    <row r="983" spans="1:22" ht="11.65" hidden="1" customHeight="1">
      <c r="A983" s="2">
        <v>45909</v>
      </c>
      <c r="B983" s="1" t="s">
        <v>835</v>
      </c>
      <c r="C983" s="1" t="s">
        <v>2823</v>
      </c>
      <c r="D983" s="1" t="s">
        <v>63</v>
      </c>
      <c r="E983" s="1">
        <v>85086</v>
      </c>
      <c r="F983" s="1" t="s">
        <v>31</v>
      </c>
      <c r="G983" s="1" t="s">
        <v>2812</v>
      </c>
      <c r="H983" s="4" t="s">
        <v>2824</v>
      </c>
      <c r="I983" s="5" t="s">
        <v>36</v>
      </c>
      <c r="J983" s="5" t="s">
        <v>38</v>
      </c>
      <c r="K983" s="5" t="s">
        <v>37</v>
      </c>
      <c r="L983" s="5" t="s">
        <v>1586</v>
      </c>
      <c r="M983" s="5" t="s">
        <v>37</v>
      </c>
      <c r="N983" s="5" t="s">
        <v>37</v>
      </c>
      <c r="O983" s="5" t="s">
        <v>38</v>
      </c>
      <c r="P983" s="5" t="s">
        <v>39</v>
      </c>
      <c r="Q983" s="2">
        <v>45961</v>
      </c>
      <c r="V983" s="46">
        <f>IF(
  OR(
    ISNUMBER(SEARCH("unable to locate acct", tblDocketedComments[[#This Row],[Docketed Consumer Comments]])),
    ISNUMBER(SEARCH("unknown", tblDocketedComments[[#This Row],[Docketed Consumer Comments]])),
    ISNUMBER(SEARCH("inactive", tblDocketedComments[[#This Row],[Docketed Consumer Comments]]))
  ),
  0,
  1
)</f>
        <v>1</v>
      </c>
    </row>
    <row r="984" spans="1:22" ht="11.65" hidden="1" customHeight="1">
      <c r="A984" s="2">
        <v>45909</v>
      </c>
      <c r="B984" s="1" t="s">
        <v>2825</v>
      </c>
      <c r="C984" s="1" t="s">
        <v>2587</v>
      </c>
      <c r="D984" s="1" t="s">
        <v>63</v>
      </c>
      <c r="E984" s="1">
        <v>85006</v>
      </c>
      <c r="F984" s="1" t="s">
        <v>31</v>
      </c>
      <c r="G984" s="1" t="s">
        <v>2812</v>
      </c>
      <c r="H984" s="4" t="s">
        <v>27</v>
      </c>
      <c r="V984" s="46">
        <f>IF(
  OR(
    ISNUMBER(SEARCH("unable to locate acct", tblDocketedComments[[#This Row],[Docketed Consumer Comments]])),
    ISNUMBER(SEARCH("unknown", tblDocketedComments[[#This Row],[Docketed Consumer Comments]])),
    ISNUMBER(SEARCH("inactive", tblDocketedComments[[#This Row],[Docketed Consumer Comments]]))
  ),
  0,
  1
)</f>
        <v>1</v>
      </c>
    </row>
    <row r="985" spans="1:22" ht="11.65" hidden="1" customHeight="1">
      <c r="A985" s="2">
        <v>45909</v>
      </c>
      <c r="B985" s="1" t="s">
        <v>2826</v>
      </c>
      <c r="C985" s="1" t="s">
        <v>102</v>
      </c>
      <c r="D985" s="1" t="s">
        <v>63</v>
      </c>
      <c r="E985" s="1">
        <v>85086</v>
      </c>
      <c r="F985" s="1" t="s">
        <v>2827</v>
      </c>
      <c r="G985" s="1" t="s">
        <v>2812</v>
      </c>
      <c r="H985" s="4" t="s">
        <v>2828</v>
      </c>
      <c r="I985" s="5" t="s">
        <v>46</v>
      </c>
      <c r="J985" s="5" t="s">
        <v>37</v>
      </c>
      <c r="K985" s="5" t="s">
        <v>37</v>
      </c>
      <c r="L985" s="5" t="s">
        <v>1586</v>
      </c>
      <c r="M985" s="5" t="s">
        <v>37</v>
      </c>
      <c r="N985" s="5" t="s">
        <v>37</v>
      </c>
      <c r="O985" s="5" t="s">
        <v>38</v>
      </c>
      <c r="P985" s="5" t="s">
        <v>39</v>
      </c>
      <c r="Q985" s="2">
        <v>45961</v>
      </c>
      <c r="V985" s="46">
        <f>IF(
  OR(
    ISNUMBER(SEARCH("unable to locate acct", tblDocketedComments[[#This Row],[Docketed Consumer Comments]])),
    ISNUMBER(SEARCH("unknown", tblDocketedComments[[#This Row],[Docketed Consumer Comments]])),
    ISNUMBER(SEARCH("inactive", tblDocketedComments[[#This Row],[Docketed Consumer Comments]]))
  ),
  0,
  1
)</f>
        <v>1</v>
      </c>
    </row>
    <row r="986" spans="1:22" ht="11.65" hidden="1" customHeight="1">
      <c r="A986" s="2">
        <v>45909</v>
      </c>
      <c r="B986" s="1" t="s">
        <v>2829</v>
      </c>
      <c r="C986" s="1" t="s">
        <v>2380</v>
      </c>
      <c r="D986" s="1" t="s">
        <v>63</v>
      </c>
      <c r="E986" s="1">
        <v>85086</v>
      </c>
      <c r="F986" s="1" t="s">
        <v>31</v>
      </c>
      <c r="G986" s="1" t="s">
        <v>2812</v>
      </c>
      <c r="H986" s="4" t="s">
        <v>2830</v>
      </c>
      <c r="I986" s="5" t="s">
        <v>46</v>
      </c>
      <c r="J986" s="5" t="s">
        <v>37</v>
      </c>
      <c r="K986" s="5" t="s">
        <v>37</v>
      </c>
      <c r="L986" s="5" t="s">
        <v>1586</v>
      </c>
      <c r="M986" s="5" t="s">
        <v>38</v>
      </c>
      <c r="N986" s="15">
        <v>1068.19</v>
      </c>
      <c r="O986" s="5" t="s">
        <v>38</v>
      </c>
      <c r="P986" s="7"/>
      <c r="Q986" s="2">
        <v>45961</v>
      </c>
      <c r="R986" s="1" t="s">
        <v>495</v>
      </c>
      <c r="V986" s="46">
        <f>IF(
  OR(
    ISNUMBER(SEARCH("unable to locate acct", tblDocketedComments[[#This Row],[Docketed Consumer Comments]])),
    ISNUMBER(SEARCH("unknown", tblDocketedComments[[#This Row],[Docketed Consumer Comments]])),
    ISNUMBER(SEARCH("inactive", tblDocketedComments[[#This Row],[Docketed Consumer Comments]]))
  ),
  0,
  1
)</f>
        <v>1</v>
      </c>
    </row>
    <row r="987" spans="1:22" ht="11.65" hidden="1" customHeight="1">
      <c r="A987" s="2">
        <v>45909</v>
      </c>
      <c r="B987" s="1" t="s">
        <v>2594</v>
      </c>
      <c r="C987" s="1" t="s">
        <v>206</v>
      </c>
      <c r="D987" s="1" t="s">
        <v>30</v>
      </c>
      <c r="E987" s="1" t="s">
        <v>30</v>
      </c>
      <c r="F987" s="1" t="s">
        <v>2831</v>
      </c>
      <c r="G987" s="1" t="s">
        <v>2812</v>
      </c>
      <c r="H987" s="4" t="s">
        <v>27</v>
      </c>
      <c r="V987" s="46">
        <f>IF(
  OR(
    ISNUMBER(SEARCH("unable to locate acct", tblDocketedComments[[#This Row],[Docketed Consumer Comments]])),
    ISNUMBER(SEARCH("unknown", tblDocketedComments[[#This Row],[Docketed Consumer Comments]])),
    ISNUMBER(SEARCH("inactive", tblDocketedComments[[#This Row],[Docketed Consumer Comments]]))
  ),
  0,
  1
)</f>
        <v>1</v>
      </c>
    </row>
    <row r="988" spans="1:22" ht="11.65" hidden="1" customHeight="1">
      <c r="A988" s="2">
        <v>45909</v>
      </c>
      <c r="B988" s="1" t="s">
        <v>2371</v>
      </c>
      <c r="C988" s="1" t="s">
        <v>2832</v>
      </c>
      <c r="D988" s="1" t="s">
        <v>30</v>
      </c>
      <c r="E988" s="1" t="s">
        <v>30</v>
      </c>
      <c r="F988" s="1" t="s">
        <v>310</v>
      </c>
      <c r="G988" s="1" t="s">
        <v>2812</v>
      </c>
      <c r="H988" s="4" t="s">
        <v>27</v>
      </c>
      <c r="V988" s="46">
        <f>IF(
  OR(
    ISNUMBER(SEARCH("unable to locate acct", tblDocketedComments[[#This Row],[Docketed Consumer Comments]])),
    ISNUMBER(SEARCH("unknown", tblDocketedComments[[#This Row],[Docketed Consumer Comments]])),
    ISNUMBER(SEARCH("inactive", tblDocketedComments[[#This Row],[Docketed Consumer Comments]]))
  ),
  0,
  1
)</f>
        <v>1</v>
      </c>
    </row>
    <row r="989" spans="1:22" ht="11.65" hidden="1" customHeight="1">
      <c r="A989" s="2">
        <v>45909</v>
      </c>
      <c r="B989" s="1" t="s">
        <v>1583</v>
      </c>
      <c r="C989" s="1" t="s">
        <v>284</v>
      </c>
      <c r="D989" s="1" t="s">
        <v>30</v>
      </c>
      <c r="E989" s="1" t="s">
        <v>30</v>
      </c>
      <c r="F989" s="1" t="s">
        <v>310</v>
      </c>
      <c r="G989" s="1" t="s">
        <v>2812</v>
      </c>
      <c r="H989" s="4" t="s">
        <v>209</v>
      </c>
      <c r="V989" s="46">
        <f>IF(
  OR(
    ISNUMBER(SEARCH("unable to locate acct", tblDocketedComments[[#This Row],[Docketed Consumer Comments]])),
    ISNUMBER(SEARCH("unknown", tblDocketedComments[[#This Row],[Docketed Consumer Comments]])),
    ISNUMBER(SEARCH("inactive", tblDocketedComments[[#This Row],[Docketed Consumer Comments]]))
  ),
  0,
  1
)</f>
        <v>1</v>
      </c>
    </row>
    <row r="990" spans="1:22" ht="11.65" hidden="1" customHeight="1">
      <c r="A990" s="2">
        <v>45909</v>
      </c>
      <c r="B990" s="1" t="s">
        <v>2761</v>
      </c>
      <c r="C990" s="1" t="s">
        <v>481</v>
      </c>
      <c r="D990" s="1" t="s">
        <v>63</v>
      </c>
      <c r="E990" s="1">
        <v>85086</v>
      </c>
      <c r="F990" s="1" t="s">
        <v>2827</v>
      </c>
      <c r="G990" s="1" t="s">
        <v>2812</v>
      </c>
      <c r="H990" s="5">
        <v>3006885688</v>
      </c>
      <c r="I990" s="5" t="s">
        <v>250</v>
      </c>
      <c r="J990" s="5" t="s">
        <v>37</v>
      </c>
      <c r="K990" s="5" t="s">
        <v>37</v>
      </c>
      <c r="L990" s="5" t="s">
        <v>1586</v>
      </c>
      <c r="M990" s="5" t="s">
        <v>37</v>
      </c>
      <c r="N990" s="5" t="s">
        <v>37</v>
      </c>
      <c r="O990" s="5" t="s">
        <v>38</v>
      </c>
      <c r="P990" s="5" t="s">
        <v>39</v>
      </c>
      <c r="Q990" s="2">
        <v>45961</v>
      </c>
      <c r="V990" s="46">
        <f>IF(
  OR(
    ISNUMBER(SEARCH("unable to locate acct", tblDocketedComments[[#This Row],[Docketed Consumer Comments]])),
    ISNUMBER(SEARCH("unknown", tblDocketedComments[[#This Row],[Docketed Consumer Comments]])),
    ISNUMBER(SEARCH("inactive", tblDocketedComments[[#This Row],[Docketed Consumer Comments]]))
  ),
  0,
  1
)</f>
        <v>1</v>
      </c>
    </row>
    <row r="991" spans="1:22" ht="11.65" hidden="1" customHeight="1">
      <c r="A991" s="2">
        <v>45909</v>
      </c>
      <c r="B991" s="1" t="s">
        <v>2833</v>
      </c>
      <c r="C991" s="1" t="s">
        <v>355</v>
      </c>
      <c r="D991" s="1" t="s">
        <v>125</v>
      </c>
      <c r="E991" s="1">
        <v>85255</v>
      </c>
      <c r="F991" s="1" t="s">
        <v>31</v>
      </c>
      <c r="G991" s="1" t="s">
        <v>2812</v>
      </c>
      <c r="H991" s="4" t="s">
        <v>209</v>
      </c>
      <c r="V991" s="46">
        <f>IF(
  OR(
    ISNUMBER(SEARCH("unable to locate acct", tblDocketedComments[[#This Row],[Docketed Consumer Comments]])),
    ISNUMBER(SEARCH("unknown", tblDocketedComments[[#This Row],[Docketed Consumer Comments]])),
    ISNUMBER(SEARCH("inactive", tblDocketedComments[[#This Row],[Docketed Consumer Comments]]))
  ),
  0,
  1
)</f>
        <v>1</v>
      </c>
    </row>
    <row r="992" spans="1:22" ht="11.65" hidden="1" customHeight="1">
      <c r="A992" s="2">
        <v>45909</v>
      </c>
      <c r="B992" s="1" t="s">
        <v>930</v>
      </c>
      <c r="C992" s="1" t="s">
        <v>2169</v>
      </c>
      <c r="D992" s="1" t="s">
        <v>880</v>
      </c>
      <c r="E992" s="1">
        <v>85086</v>
      </c>
      <c r="F992" s="1" t="s">
        <v>2834</v>
      </c>
      <c r="G992" s="1" t="s">
        <v>2812</v>
      </c>
      <c r="H992" s="4" t="s">
        <v>27</v>
      </c>
      <c r="V992" s="46">
        <f>IF(
  OR(
    ISNUMBER(SEARCH("unable to locate acct", tblDocketedComments[[#This Row],[Docketed Consumer Comments]])),
    ISNUMBER(SEARCH("unknown", tblDocketedComments[[#This Row],[Docketed Consumer Comments]])),
    ISNUMBER(SEARCH("inactive", tblDocketedComments[[#This Row],[Docketed Consumer Comments]]))
  ),
  0,
  1
)</f>
        <v>1</v>
      </c>
    </row>
    <row r="993" spans="1:22" ht="11.65" hidden="1" customHeight="1">
      <c r="A993" s="2">
        <v>45909</v>
      </c>
      <c r="B993" s="1" t="s">
        <v>1013</v>
      </c>
      <c r="C993" s="1" t="s">
        <v>2835</v>
      </c>
      <c r="D993" s="1" t="s">
        <v>30</v>
      </c>
      <c r="E993" s="1" t="s">
        <v>30</v>
      </c>
      <c r="F993" s="1" t="s">
        <v>310</v>
      </c>
      <c r="G993" s="1" t="s">
        <v>2812</v>
      </c>
      <c r="H993" s="4" t="s">
        <v>27</v>
      </c>
      <c r="V993" s="46">
        <f>IF(
  OR(
    ISNUMBER(SEARCH("unable to locate acct", tblDocketedComments[[#This Row],[Docketed Consumer Comments]])),
    ISNUMBER(SEARCH("unknown", tblDocketedComments[[#This Row],[Docketed Consumer Comments]])),
    ISNUMBER(SEARCH("inactive", tblDocketedComments[[#This Row],[Docketed Consumer Comments]]))
  ),
  0,
  1
)</f>
        <v>1</v>
      </c>
    </row>
    <row r="994" spans="1:22" ht="11.65" hidden="1" customHeight="1">
      <c r="A994" s="2">
        <v>45909</v>
      </c>
      <c r="B994" s="1" t="s">
        <v>2836</v>
      </c>
      <c r="C994" s="1" t="s">
        <v>133</v>
      </c>
      <c r="D994" s="1" t="s">
        <v>30</v>
      </c>
      <c r="E994" s="1" t="s">
        <v>30</v>
      </c>
      <c r="F994" s="1" t="s">
        <v>310</v>
      </c>
      <c r="G994" s="1" t="s">
        <v>2812</v>
      </c>
      <c r="H994" s="4" t="s">
        <v>2837</v>
      </c>
      <c r="I994" s="5" t="s">
        <v>250</v>
      </c>
      <c r="J994" s="5" t="s">
        <v>37</v>
      </c>
      <c r="K994" s="5" t="s">
        <v>37</v>
      </c>
      <c r="L994" s="5" t="s">
        <v>1586</v>
      </c>
      <c r="M994" s="5" t="s">
        <v>37</v>
      </c>
      <c r="N994" s="5" t="s">
        <v>37</v>
      </c>
      <c r="O994" s="5" t="s">
        <v>38</v>
      </c>
      <c r="P994" s="5" t="s">
        <v>39</v>
      </c>
      <c r="Q994" s="2">
        <v>45961</v>
      </c>
      <c r="V994" s="46">
        <f>IF(
  OR(
    ISNUMBER(SEARCH("unable to locate acct", tblDocketedComments[[#This Row],[Docketed Consumer Comments]])),
    ISNUMBER(SEARCH("unknown", tblDocketedComments[[#This Row],[Docketed Consumer Comments]])),
    ISNUMBER(SEARCH("inactive", tblDocketedComments[[#This Row],[Docketed Consumer Comments]]))
  ),
  0,
  1
)</f>
        <v>1</v>
      </c>
    </row>
    <row r="995" spans="1:22" ht="11.65" hidden="1" customHeight="1">
      <c r="A995" s="2">
        <v>45909</v>
      </c>
      <c r="B995" s="1" t="s">
        <v>2838</v>
      </c>
      <c r="C995" s="1" t="s">
        <v>252</v>
      </c>
      <c r="D995" s="1" t="s">
        <v>30</v>
      </c>
      <c r="E995" s="1" t="s">
        <v>30</v>
      </c>
      <c r="F995" s="1" t="s">
        <v>310</v>
      </c>
      <c r="G995" s="1" t="s">
        <v>2812</v>
      </c>
      <c r="H995" s="4" t="s">
        <v>27</v>
      </c>
      <c r="V995" s="46">
        <f>IF(
  OR(
    ISNUMBER(SEARCH("unable to locate acct", tblDocketedComments[[#This Row],[Docketed Consumer Comments]])),
    ISNUMBER(SEARCH("unknown", tblDocketedComments[[#This Row],[Docketed Consumer Comments]])),
    ISNUMBER(SEARCH("inactive", tblDocketedComments[[#This Row],[Docketed Consumer Comments]]))
  ),
  0,
  1
)</f>
        <v>1</v>
      </c>
    </row>
    <row r="996" spans="1:22" ht="11.65" hidden="1" customHeight="1">
      <c r="A996" s="2">
        <v>45909</v>
      </c>
      <c r="B996" s="1" t="s">
        <v>2839</v>
      </c>
      <c r="C996" s="1" t="s">
        <v>320</v>
      </c>
      <c r="D996" s="1" t="s">
        <v>63</v>
      </c>
      <c r="E996" s="1">
        <v>85085</v>
      </c>
      <c r="F996" s="1" t="s">
        <v>310</v>
      </c>
      <c r="G996" s="1" t="s">
        <v>2812</v>
      </c>
      <c r="H996" s="4" t="s">
        <v>2840</v>
      </c>
      <c r="I996" s="5" t="s">
        <v>36</v>
      </c>
      <c r="J996" s="5" t="s">
        <v>37</v>
      </c>
      <c r="K996" s="5" t="s">
        <v>37</v>
      </c>
      <c r="L996" s="5" t="s">
        <v>1586</v>
      </c>
      <c r="M996" s="5" t="s">
        <v>37</v>
      </c>
      <c r="N996" s="5" t="s">
        <v>37</v>
      </c>
      <c r="O996" s="5" t="s">
        <v>38</v>
      </c>
      <c r="P996" s="5" t="s">
        <v>39</v>
      </c>
      <c r="Q996" s="2">
        <v>45961</v>
      </c>
      <c r="V996" s="46">
        <f>IF(
  OR(
    ISNUMBER(SEARCH("unable to locate acct", tblDocketedComments[[#This Row],[Docketed Consumer Comments]])),
    ISNUMBER(SEARCH("unknown", tblDocketedComments[[#This Row],[Docketed Consumer Comments]])),
    ISNUMBER(SEARCH("inactive", tblDocketedComments[[#This Row],[Docketed Consumer Comments]]))
  ),
  0,
  1
)</f>
        <v>1</v>
      </c>
    </row>
    <row r="997" spans="1:22" ht="11.65" hidden="1" customHeight="1">
      <c r="A997" s="2">
        <v>45909</v>
      </c>
      <c r="B997" s="1" t="s">
        <v>2841</v>
      </c>
      <c r="C997" s="1" t="s">
        <v>931</v>
      </c>
      <c r="D997" s="1" t="s">
        <v>880</v>
      </c>
      <c r="E997" s="1">
        <v>85086</v>
      </c>
      <c r="F997" s="1" t="s">
        <v>2842</v>
      </c>
      <c r="G997" s="1" t="s">
        <v>2812</v>
      </c>
      <c r="H997" s="4" t="s">
        <v>2843</v>
      </c>
      <c r="I997" s="5" t="s">
        <v>250</v>
      </c>
      <c r="J997" s="5" t="s">
        <v>37</v>
      </c>
      <c r="K997" s="5" t="s">
        <v>37</v>
      </c>
      <c r="L997" s="5" t="s">
        <v>1586</v>
      </c>
      <c r="M997" s="5" t="s">
        <v>37</v>
      </c>
      <c r="N997" s="5" t="s">
        <v>37</v>
      </c>
      <c r="O997" s="5" t="s">
        <v>38</v>
      </c>
      <c r="P997" s="5" t="s">
        <v>39</v>
      </c>
      <c r="Q997" s="2">
        <v>45961</v>
      </c>
      <c r="V997" s="46">
        <f>IF(
  OR(
    ISNUMBER(SEARCH("unable to locate acct", tblDocketedComments[[#This Row],[Docketed Consumer Comments]])),
    ISNUMBER(SEARCH("unknown", tblDocketedComments[[#This Row],[Docketed Consumer Comments]])),
    ISNUMBER(SEARCH("inactive", tblDocketedComments[[#This Row],[Docketed Consumer Comments]]))
  ),
  0,
  1
)</f>
        <v>1</v>
      </c>
    </row>
    <row r="998" spans="1:22" ht="11.65" hidden="1" customHeight="1">
      <c r="A998" s="2">
        <v>45909</v>
      </c>
      <c r="B998" s="1" t="s">
        <v>2844</v>
      </c>
      <c r="C998" s="1" t="s">
        <v>2845</v>
      </c>
      <c r="D998" s="1" t="s">
        <v>63</v>
      </c>
      <c r="E998" s="1">
        <v>85086</v>
      </c>
      <c r="F998" s="1" t="s">
        <v>2588</v>
      </c>
      <c r="G998" s="1" t="s">
        <v>2812</v>
      </c>
      <c r="H998" s="4" t="s">
        <v>2846</v>
      </c>
      <c r="I998" s="5" t="s">
        <v>250</v>
      </c>
      <c r="J998" s="5" t="s">
        <v>37</v>
      </c>
      <c r="K998" s="5" t="s">
        <v>37</v>
      </c>
      <c r="L998" s="5" t="s">
        <v>1586</v>
      </c>
      <c r="M998" s="5" t="s">
        <v>37</v>
      </c>
      <c r="N998" s="5" t="s">
        <v>37</v>
      </c>
      <c r="O998" s="5" t="s">
        <v>38</v>
      </c>
      <c r="P998" s="5" t="s">
        <v>39</v>
      </c>
      <c r="Q998" s="2">
        <v>45961</v>
      </c>
      <c r="V998" s="46">
        <f>IF(
  OR(
    ISNUMBER(SEARCH("unable to locate acct", tblDocketedComments[[#This Row],[Docketed Consumer Comments]])),
    ISNUMBER(SEARCH("unknown", tblDocketedComments[[#This Row],[Docketed Consumer Comments]])),
    ISNUMBER(SEARCH("inactive", tblDocketedComments[[#This Row],[Docketed Consumer Comments]]))
  ),
  0,
  1
)</f>
        <v>1</v>
      </c>
    </row>
    <row r="999" spans="1:22" ht="11.65" hidden="1" customHeight="1">
      <c r="A999" s="2">
        <v>45909</v>
      </c>
      <c r="B999" s="1" t="s">
        <v>2847</v>
      </c>
      <c r="C999" s="1" t="s">
        <v>184</v>
      </c>
      <c r="D999" s="1" t="s">
        <v>2641</v>
      </c>
      <c r="E999" s="1">
        <v>85087</v>
      </c>
      <c r="F999" s="1" t="s">
        <v>310</v>
      </c>
      <c r="G999" s="1" t="s">
        <v>2812</v>
      </c>
      <c r="H999" s="4" t="s">
        <v>2848</v>
      </c>
      <c r="I999" s="5" t="s">
        <v>250</v>
      </c>
      <c r="J999" s="5" t="s">
        <v>37</v>
      </c>
      <c r="K999" s="5" t="s">
        <v>37</v>
      </c>
      <c r="L999" s="5" t="s">
        <v>1586</v>
      </c>
      <c r="M999" s="5" t="s">
        <v>38</v>
      </c>
      <c r="N999" s="15">
        <v>548.12</v>
      </c>
      <c r="O999" s="5" t="s">
        <v>38</v>
      </c>
      <c r="P999" s="7"/>
      <c r="Q999" s="2">
        <v>45961</v>
      </c>
      <c r="R999" s="1" t="s">
        <v>495</v>
      </c>
      <c r="V99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0" spans="1:22" ht="11.65" hidden="1" customHeight="1">
      <c r="A1000" s="2">
        <v>45909</v>
      </c>
      <c r="B1000" s="1" t="s">
        <v>2849</v>
      </c>
      <c r="C1000" s="1" t="s">
        <v>2850</v>
      </c>
      <c r="D1000" s="1" t="s">
        <v>63</v>
      </c>
      <c r="E1000" s="1">
        <v>85086</v>
      </c>
      <c r="F1000" s="1" t="s">
        <v>2851</v>
      </c>
      <c r="G1000" s="1" t="s">
        <v>2812</v>
      </c>
      <c r="H1000" s="4" t="s">
        <v>2852</v>
      </c>
      <c r="I1000" s="5" t="s">
        <v>196</v>
      </c>
      <c r="J1000" s="5" t="s">
        <v>37</v>
      </c>
      <c r="K1000" s="5" t="s">
        <v>37</v>
      </c>
      <c r="L1000" s="5" t="s">
        <v>1586</v>
      </c>
      <c r="M1000" s="5" t="s">
        <v>37</v>
      </c>
      <c r="N1000" s="5" t="s">
        <v>37</v>
      </c>
      <c r="O1000" s="5" t="s">
        <v>38</v>
      </c>
      <c r="P1000" s="5" t="s">
        <v>39</v>
      </c>
      <c r="Q1000" s="2">
        <v>45961</v>
      </c>
      <c r="V100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1" spans="1:22" ht="11.65" hidden="1" customHeight="1">
      <c r="A1001" s="2">
        <v>45909</v>
      </c>
      <c r="B1001" s="1" t="s">
        <v>2853</v>
      </c>
      <c r="C1001" s="1" t="s">
        <v>1661</v>
      </c>
      <c r="D1001" s="1" t="s">
        <v>2641</v>
      </c>
      <c r="E1001" s="1">
        <v>85087</v>
      </c>
      <c r="F1001" s="1" t="s">
        <v>310</v>
      </c>
      <c r="G1001" s="1" t="s">
        <v>2812</v>
      </c>
      <c r="H1001" s="4" t="s">
        <v>2854</v>
      </c>
      <c r="I1001" s="5" t="s">
        <v>81</v>
      </c>
      <c r="J1001" s="5" t="s">
        <v>37</v>
      </c>
      <c r="K1001" s="5" t="s">
        <v>37</v>
      </c>
      <c r="L1001" s="5" t="s">
        <v>389</v>
      </c>
      <c r="M1001" s="5" t="s">
        <v>37</v>
      </c>
      <c r="N1001" s="5" t="s">
        <v>37</v>
      </c>
      <c r="O1001" s="5" t="s">
        <v>38</v>
      </c>
      <c r="P1001" s="5" t="s">
        <v>39</v>
      </c>
      <c r="Q1001" s="2">
        <v>45961</v>
      </c>
      <c r="V100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2" spans="1:22" ht="11.65" hidden="1" customHeight="1">
      <c r="A1002" s="2">
        <v>45909</v>
      </c>
      <c r="B1002" s="1" t="s">
        <v>2855</v>
      </c>
      <c r="C1002" s="1" t="s">
        <v>780</v>
      </c>
      <c r="D1002" s="1" t="s">
        <v>24</v>
      </c>
      <c r="E1002" s="1">
        <v>85306</v>
      </c>
      <c r="F1002" s="1" t="s">
        <v>2856</v>
      </c>
      <c r="G1002" s="1" t="s">
        <v>2812</v>
      </c>
      <c r="H1002" s="4" t="s">
        <v>27</v>
      </c>
      <c r="V100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3" spans="1:22" ht="11.65" hidden="1" customHeight="1">
      <c r="A1003" s="2">
        <v>45909</v>
      </c>
      <c r="B1003" s="1" t="s">
        <v>2857</v>
      </c>
      <c r="C1003" s="1" t="s">
        <v>2858</v>
      </c>
      <c r="D1003" s="1" t="s">
        <v>30</v>
      </c>
      <c r="E1003" s="1" t="s">
        <v>30</v>
      </c>
      <c r="F1003" s="1" t="s">
        <v>310</v>
      </c>
      <c r="G1003" s="1" t="s">
        <v>2812</v>
      </c>
      <c r="H1003" s="4" t="s">
        <v>2859</v>
      </c>
      <c r="I1003" s="5" t="s">
        <v>36</v>
      </c>
      <c r="J1003" s="5" t="s">
        <v>37</v>
      </c>
      <c r="K1003" s="5" t="s">
        <v>37</v>
      </c>
      <c r="L1003" s="5" t="s">
        <v>1586</v>
      </c>
      <c r="M1003" s="5" t="s">
        <v>37</v>
      </c>
      <c r="N1003" s="5" t="s">
        <v>37</v>
      </c>
      <c r="O1003" s="5" t="s">
        <v>38</v>
      </c>
      <c r="P1003" s="5" t="s">
        <v>39</v>
      </c>
      <c r="Q1003" s="2">
        <v>45961</v>
      </c>
      <c r="V100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4" spans="1:22" ht="11.65" hidden="1" customHeight="1">
      <c r="A1004" s="2">
        <v>45909</v>
      </c>
      <c r="B1004" s="1" t="s">
        <v>558</v>
      </c>
      <c r="C1004" s="1" t="s">
        <v>135</v>
      </c>
      <c r="D1004" s="1" t="s">
        <v>30</v>
      </c>
      <c r="E1004" s="1" t="s">
        <v>30</v>
      </c>
      <c r="F1004" s="1" t="s">
        <v>31</v>
      </c>
      <c r="G1004" s="1" t="s">
        <v>2812</v>
      </c>
      <c r="H1004" s="4" t="s">
        <v>27</v>
      </c>
      <c r="V100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5" spans="1:22" ht="11.65" hidden="1" customHeight="1">
      <c r="A1005" s="2">
        <v>45909</v>
      </c>
      <c r="B1005" s="1" t="s">
        <v>2860</v>
      </c>
      <c r="C1005" s="1" t="s">
        <v>2861</v>
      </c>
      <c r="D1005" s="1" t="s">
        <v>85</v>
      </c>
      <c r="E1005" s="1">
        <v>86323</v>
      </c>
      <c r="F1005" s="1" t="s">
        <v>31</v>
      </c>
      <c r="G1005" s="1" t="s">
        <v>2812</v>
      </c>
      <c r="H1005" s="4" t="s">
        <v>2862</v>
      </c>
      <c r="I1005" s="5" t="s">
        <v>196</v>
      </c>
      <c r="J1005" s="5" t="s">
        <v>37</v>
      </c>
      <c r="K1005" s="5" t="s">
        <v>37</v>
      </c>
      <c r="L1005" s="5" t="s">
        <v>2863</v>
      </c>
      <c r="M1005" s="5" t="s">
        <v>37</v>
      </c>
      <c r="N1005" s="5" t="s">
        <v>37</v>
      </c>
      <c r="O1005" s="5" t="s">
        <v>38</v>
      </c>
      <c r="P1005" s="5" t="s">
        <v>39</v>
      </c>
      <c r="Q1005" s="2">
        <v>45961</v>
      </c>
      <c r="V100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6" spans="1:22" ht="11.65" hidden="1" customHeight="1">
      <c r="A1006" s="2">
        <v>45909</v>
      </c>
      <c r="B1006" s="1" t="s">
        <v>2864</v>
      </c>
      <c r="C1006" s="1" t="s">
        <v>801</v>
      </c>
      <c r="D1006" s="1" t="s">
        <v>63</v>
      </c>
      <c r="E1006" s="1">
        <v>85083</v>
      </c>
      <c r="F1006" s="1" t="s">
        <v>2865</v>
      </c>
      <c r="G1006" s="1" t="s">
        <v>2812</v>
      </c>
      <c r="H1006" s="4" t="s">
        <v>2866</v>
      </c>
      <c r="I1006" s="5" t="s">
        <v>250</v>
      </c>
      <c r="J1006" s="5" t="s">
        <v>37</v>
      </c>
      <c r="K1006" s="5" t="s">
        <v>37</v>
      </c>
      <c r="L1006" s="5" t="s">
        <v>1586</v>
      </c>
      <c r="M1006" s="5" t="s">
        <v>37</v>
      </c>
      <c r="N1006" s="5" t="s">
        <v>37</v>
      </c>
      <c r="O1006" s="5" t="s">
        <v>38</v>
      </c>
      <c r="P1006" s="5" t="s">
        <v>39</v>
      </c>
      <c r="Q1006" s="2">
        <v>45961</v>
      </c>
      <c r="V100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7" spans="1:22" ht="11.65" hidden="1" customHeight="1">
      <c r="A1007" s="2">
        <v>45909</v>
      </c>
      <c r="B1007" s="1" t="s">
        <v>2867</v>
      </c>
      <c r="C1007" s="1" t="s">
        <v>2868</v>
      </c>
      <c r="D1007" s="1" t="s">
        <v>63</v>
      </c>
      <c r="E1007" s="1">
        <v>85022</v>
      </c>
      <c r="F1007" s="1" t="s">
        <v>31</v>
      </c>
      <c r="G1007" s="1" t="s">
        <v>2812</v>
      </c>
      <c r="H1007" s="4" t="s">
        <v>27</v>
      </c>
      <c r="V100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8" spans="1:22" ht="11.65" hidden="1" customHeight="1">
      <c r="A1008" s="2">
        <v>45909</v>
      </c>
      <c r="B1008" s="1" t="s">
        <v>2869</v>
      </c>
      <c r="C1008" s="1" t="s">
        <v>2380</v>
      </c>
      <c r="D1008" s="1" t="s">
        <v>30</v>
      </c>
      <c r="E1008" s="1" t="s">
        <v>30</v>
      </c>
      <c r="F1008" s="1" t="s">
        <v>31</v>
      </c>
      <c r="G1008" s="1" t="s">
        <v>2812</v>
      </c>
      <c r="H1008" s="4" t="s">
        <v>2870</v>
      </c>
      <c r="I1008" s="5" t="s">
        <v>73</v>
      </c>
      <c r="J1008" s="5" t="s">
        <v>37</v>
      </c>
      <c r="K1008" s="5" t="s">
        <v>37</v>
      </c>
      <c r="L1008" s="5" t="s">
        <v>1586</v>
      </c>
      <c r="M1008" s="5" t="s">
        <v>37</v>
      </c>
      <c r="N1008" s="5" t="s">
        <v>37</v>
      </c>
      <c r="O1008" s="5" t="s">
        <v>38</v>
      </c>
      <c r="P1008" s="5" t="s">
        <v>39</v>
      </c>
      <c r="Q1008" s="2">
        <v>45961</v>
      </c>
      <c r="V100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09" spans="1:22" ht="11.65" hidden="1" customHeight="1">
      <c r="A1009" s="2">
        <v>45909</v>
      </c>
      <c r="B1009" s="1" t="s">
        <v>1797</v>
      </c>
      <c r="C1009" s="1" t="s">
        <v>2871</v>
      </c>
      <c r="D1009" s="1" t="s">
        <v>63</v>
      </c>
      <c r="E1009" s="1">
        <v>85035</v>
      </c>
      <c r="F1009" s="1" t="s">
        <v>310</v>
      </c>
      <c r="G1009" s="1" t="s">
        <v>2812</v>
      </c>
      <c r="H1009" s="4" t="s">
        <v>2872</v>
      </c>
      <c r="I1009" s="5" t="s">
        <v>36</v>
      </c>
      <c r="J1009" s="5" t="s">
        <v>37</v>
      </c>
      <c r="K1009" s="5" t="s">
        <v>37</v>
      </c>
      <c r="L1009" s="5" t="s">
        <v>1586</v>
      </c>
      <c r="M1009" s="5" t="s">
        <v>37</v>
      </c>
      <c r="N1009" s="5" t="s">
        <v>37</v>
      </c>
      <c r="O1009" s="5" t="s">
        <v>38</v>
      </c>
      <c r="P1009" s="5" t="s">
        <v>39</v>
      </c>
      <c r="Q1009" s="2">
        <v>45961</v>
      </c>
      <c r="U1009" s="1" t="s">
        <v>2873</v>
      </c>
      <c r="V100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0" spans="1:22" ht="11.65" hidden="1" customHeight="1">
      <c r="A1010" s="2">
        <v>45909</v>
      </c>
      <c r="B1010" s="1" t="s">
        <v>2874</v>
      </c>
      <c r="C1010" s="1" t="s">
        <v>2875</v>
      </c>
      <c r="D1010" s="1" t="s">
        <v>63</v>
      </c>
      <c r="E1010" s="1">
        <v>85028</v>
      </c>
      <c r="F1010" s="1" t="s">
        <v>2876</v>
      </c>
      <c r="G1010" s="1" t="s">
        <v>2812</v>
      </c>
      <c r="H1010" s="4" t="s">
        <v>2877</v>
      </c>
      <c r="I1010" s="5" t="s">
        <v>36</v>
      </c>
      <c r="J1010" s="5" t="s">
        <v>37</v>
      </c>
      <c r="K1010" s="5" t="s">
        <v>37</v>
      </c>
      <c r="L1010" s="5" t="s">
        <v>1586</v>
      </c>
      <c r="M1010" s="5" t="s">
        <v>37</v>
      </c>
      <c r="N1010" s="5" t="s">
        <v>37</v>
      </c>
      <c r="O1010" s="5" t="s">
        <v>38</v>
      </c>
      <c r="P1010" s="5" t="s">
        <v>39</v>
      </c>
      <c r="Q1010" s="2">
        <v>45961</v>
      </c>
      <c r="V101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1" spans="1:22" ht="11.65" hidden="1" customHeight="1">
      <c r="A1011" s="2">
        <v>45909</v>
      </c>
      <c r="B1011" s="1" t="s">
        <v>2290</v>
      </c>
      <c r="C1011" s="1" t="s">
        <v>355</v>
      </c>
      <c r="D1011" s="1" t="s">
        <v>30</v>
      </c>
      <c r="E1011" s="1" t="s">
        <v>30</v>
      </c>
      <c r="F1011" s="1" t="s">
        <v>31</v>
      </c>
      <c r="G1011" s="1" t="s">
        <v>2812</v>
      </c>
      <c r="H1011" s="4" t="s">
        <v>209</v>
      </c>
      <c r="V101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2" spans="1:22" ht="11.65" hidden="1" customHeight="1">
      <c r="A1012" s="2">
        <v>45909</v>
      </c>
      <c r="B1012" s="1" t="s">
        <v>2878</v>
      </c>
      <c r="C1012" s="1" t="s">
        <v>2040</v>
      </c>
      <c r="D1012" s="1" t="s">
        <v>174</v>
      </c>
      <c r="E1012" s="1">
        <v>85396</v>
      </c>
      <c r="F1012" s="1" t="s">
        <v>310</v>
      </c>
      <c r="G1012" s="1" t="s">
        <v>2812</v>
      </c>
      <c r="H1012" s="4" t="s">
        <v>2879</v>
      </c>
      <c r="I1012" s="5" t="s">
        <v>250</v>
      </c>
      <c r="J1012" s="5" t="s">
        <v>37</v>
      </c>
      <c r="K1012" s="5" t="s">
        <v>37</v>
      </c>
      <c r="L1012" s="5" t="s">
        <v>1586</v>
      </c>
      <c r="M1012" s="5" t="s">
        <v>37</v>
      </c>
      <c r="N1012" s="5" t="s">
        <v>37</v>
      </c>
      <c r="O1012" s="5" t="s">
        <v>38</v>
      </c>
      <c r="P1012" s="5" t="s">
        <v>39</v>
      </c>
      <c r="Q1012" s="2">
        <v>45961</v>
      </c>
      <c r="V101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3" spans="1:22" ht="11.65" hidden="1" customHeight="1">
      <c r="A1013" s="2">
        <v>45909</v>
      </c>
      <c r="B1013" s="1" t="s">
        <v>2880</v>
      </c>
      <c r="C1013" s="1" t="s">
        <v>2881</v>
      </c>
      <c r="D1013" s="1" t="s">
        <v>112</v>
      </c>
      <c r="E1013" s="1">
        <v>85374</v>
      </c>
      <c r="F1013" s="1" t="s">
        <v>31</v>
      </c>
      <c r="G1013" s="1" t="s">
        <v>2812</v>
      </c>
      <c r="H1013" s="4" t="s">
        <v>2882</v>
      </c>
      <c r="I1013" s="5" t="s">
        <v>57</v>
      </c>
      <c r="J1013" s="5" t="s">
        <v>37</v>
      </c>
      <c r="K1013" s="5" t="s">
        <v>37</v>
      </c>
      <c r="L1013" s="7" t="s">
        <v>2883</v>
      </c>
      <c r="M1013" s="5" t="s">
        <v>37</v>
      </c>
      <c r="N1013" s="5" t="s">
        <v>37</v>
      </c>
      <c r="O1013" s="5" t="s">
        <v>38</v>
      </c>
      <c r="P1013" s="2">
        <v>45938</v>
      </c>
      <c r="Q1013" s="2">
        <v>45961</v>
      </c>
      <c r="R1013" s="1" t="s">
        <v>2767</v>
      </c>
      <c r="V101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4" spans="1:22" ht="11.65" hidden="1" customHeight="1">
      <c r="A1014" s="2">
        <v>45909</v>
      </c>
      <c r="B1014" s="1" t="s">
        <v>2884</v>
      </c>
      <c r="C1014" s="1" t="s">
        <v>177</v>
      </c>
      <c r="D1014" s="1" t="s">
        <v>30</v>
      </c>
      <c r="E1014" s="1" t="s">
        <v>30</v>
      </c>
      <c r="F1014" s="1" t="s">
        <v>2885</v>
      </c>
      <c r="G1014" s="1" t="s">
        <v>2812</v>
      </c>
      <c r="H1014" s="4" t="s">
        <v>209</v>
      </c>
      <c r="V101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5" spans="1:22" ht="11.65" hidden="1" customHeight="1">
      <c r="A1015" s="2">
        <v>45909</v>
      </c>
      <c r="B1015" s="1" t="s">
        <v>2886</v>
      </c>
      <c r="C1015" s="1" t="s">
        <v>135</v>
      </c>
      <c r="D1015" s="1" t="s">
        <v>24</v>
      </c>
      <c r="E1015" s="1">
        <v>85310</v>
      </c>
      <c r="F1015" s="1" t="s">
        <v>2887</v>
      </c>
      <c r="G1015" s="1" t="s">
        <v>2888</v>
      </c>
      <c r="H1015" s="4" t="s">
        <v>27</v>
      </c>
      <c r="V101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6" spans="1:22" ht="11.65" hidden="1" customHeight="1">
      <c r="A1016" s="2">
        <v>45909</v>
      </c>
      <c r="B1016" s="1" t="s">
        <v>208</v>
      </c>
      <c r="C1016" s="1" t="s">
        <v>230</v>
      </c>
      <c r="D1016" s="1" t="s">
        <v>89</v>
      </c>
      <c r="E1016" s="1">
        <v>86351</v>
      </c>
      <c r="F1016" s="1" t="s">
        <v>2889</v>
      </c>
      <c r="G1016" s="1" t="s">
        <v>2888</v>
      </c>
      <c r="H1016" s="4" t="s">
        <v>2890</v>
      </c>
      <c r="I1016" s="5" t="s">
        <v>46</v>
      </c>
      <c r="J1016" s="5" t="s">
        <v>37</v>
      </c>
      <c r="K1016" s="5" t="s">
        <v>37</v>
      </c>
      <c r="L1016" s="5" t="s">
        <v>1586</v>
      </c>
      <c r="M1016" s="5" t="s">
        <v>37</v>
      </c>
      <c r="N1016" s="5" t="s">
        <v>37</v>
      </c>
      <c r="O1016" s="5" t="s">
        <v>38</v>
      </c>
      <c r="P1016" s="5" t="s">
        <v>39</v>
      </c>
      <c r="Q1016" s="2">
        <v>45961</v>
      </c>
      <c r="V101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7" spans="1:22" ht="11.65" hidden="1" customHeight="1">
      <c r="A1017" s="2">
        <v>45909</v>
      </c>
      <c r="B1017" s="1" t="s">
        <v>940</v>
      </c>
      <c r="C1017" s="1" t="s">
        <v>1707</v>
      </c>
      <c r="D1017" s="1" t="s">
        <v>63</v>
      </c>
      <c r="E1017" s="1">
        <v>85085</v>
      </c>
      <c r="F1017" s="1" t="s">
        <v>2891</v>
      </c>
      <c r="G1017" s="1" t="s">
        <v>2888</v>
      </c>
      <c r="H1017" s="4" t="s">
        <v>209</v>
      </c>
      <c r="V101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8" spans="1:22" ht="11.65" hidden="1" customHeight="1">
      <c r="A1018" s="2">
        <v>45909</v>
      </c>
      <c r="B1018" s="1" t="s">
        <v>2892</v>
      </c>
      <c r="C1018" s="1" t="s">
        <v>471</v>
      </c>
      <c r="D1018" s="1" t="s">
        <v>63</v>
      </c>
      <c r="E1018" s="1">
        <v>85023</v>
      </c>
      <c r="F1018" s="1" t="s">
        <v>310</v>
      </c>
      <c r="G1018" s="1" t="s">
        <v>2888</v>
      </c>
      <c r="H1018" s="4" t="s">
        <v>2893</v>
      </c>
      <c r="I1018" s="5" t="s">
        <v>36</v>
      </c>
      <c r="J1018" s="5" t="s">
        <v>37</v>
      </c>
      <c r="K1018" s="5" t="s">
        <v>37</v>
      </c>
      <c r="L1018" s="5" t="s">
        <v>1586</v>
      </c>
      <c r="M1018" s="5" t="s">
        <v>37</v>
      </c>
      <c r="N1018" s="5" t="s">
        <v>37</v>
      </c>
      <c r="O1018" s="5" t="s">
        <v>38</v>
      </c>
      <c r="P1018" s="5" t="s">
        <v>39</v>
      </c>
      <c r="Q1018" s="2">
        <v>45961</v>
      </c>
      <c r="V101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19" spans="1:22" ht="11.65" hidden="1" customHeight="1">
      <c r="A1019" s="2">
        <v>45909</v>
      </c>
      <c r="B1019" s="1" t="s">
        <v>2894</v>
      </c>
      <c r="C1019" s="1" t="s">
        <v>1444</v>
      </c>
      <c r="D1019" s="1" t="s">
        <v>63</v>
      </c>
      <c r="E1019" s="1">
        <v>85053</v>
      </c>
      <c r="F1019" s="1" t="s">
        <v>310</v>
      </c>
      <c r="G1019" s="1" t="s">
        <v>2888</v>
      </c>
      <c r="H1019" s="4" t="s">
        <v>2895</v>
      </c>
      <c r="I1019" s="5" t="s">
        <v>126</v>
      </c>
      <c r="J1019" s="5" t="s">
        <v>37</v>
      </c>
      <c r="K1019" s="5" t="s">
        <v>37</v>
      </c>
      <c r="L1019" s="5" t="s">
        <v>1586</v>
      </c>
      <c r="M1019" s="5" t="s">
        <v>37</v>
      </c>
      <c r="N1019" s="5" t="s">
        <v>37</v>
      </c>
      <c r="O1019" s="5" t="s">
        <v>38</v>
      </c>
      <c r="P1019" s="5" t="s">
        <v>39</v>
      </c>
      <c r="Q1019" s="2">
        <v>45961</v>
      </c>
      <c r="V101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0" spans="1:22" hidden="1">
      <c r="A1020" s="2">
        <v>45909</v>
      </c>
      <c r="B1020" s="1" t="s">
        <v>2896</v>
      </c>
      <c r="C1020" s="1" t="s">
        <v>1375</v>
      </c>
      <c r="D1020" s="1" t="s">
        <v>619</v>
      </c>
      <c r="E1020" s="1">
        <v>85365</v>
      </c>
      <c r="F1020" s="1" t="s">
        <v>2897</v>
      </c>
      <c r="G1020" s="1" t="s">
        <v>2898</v>
      </c>
      <c r="H1020" s="4" t="s">
        <v>27</v>
      </c>
      <c r="V102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1" spans="1:22" ht="11.65" hidden="1" customHeight="1">
      <c r="A1021" s="2">
        <v>45910</v>
      </c>
      <c r="B1021" s="1" t="s">
        <v>2899</v>
      </c>
      <c r="C1021" s="1" t="s">
        <v>2769</v>
      </c>
      <c r="D1021" s="1" t="s">
        <v>30</v>
      </c>
      <c r="E1021" s="1" t="s">
        <v>30</v>
      </c>
      <c r="F1021" s="1" t="s">
        <v>2900</v>
      </c>
      <c r="G1021" s="1" t="s">
        <v>2901</v>
      </c>
      <c r="H1021" s="4" t="s">
        <v>27</v>
      </c>
      <c r="V102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2" spans="1:22" ht="11.65" hidden="1" customHeight="1">
      <c r="A1022" s="2">
        <v>45910</v>
      </c>
      <c r="B1022" s="1" t="s">
        <v>2902</v>
      </c>
      <c r="C1022" s="1" t="s">
        <v>2903</v>
      </c>
      <c r="D1022" s="1" t="s">
        <v>85</v>
      </c>
      <c r="E1022" s="1">
        <v>86323</v>
      </c>
      <c r="F1022" s="1" t="s">
        <v>2904</v>
      </c>
      <c r="G1022" s="1" t="s">
        <v>2901</v>
      </c>
      <c r="H1022" s="4" t="s">
        <v>2905</v>
      </c>
      <c r="I1022" s="5" t="s">
        <v>243</v>
      </c>
      <c r="J1022" s="5" t="s">
        <v>37</v>
      </c>
      <c r="K1022" s="5" t="s">
        <v>37</v>
      </c>
      <c r="L1022" s="5" t="s">
        <v>389</v>
      </c>
      <c r="M1022" s="5" t="s">
        <v>37</v>
      </c>
      <c r="N1022" s="5" t="s">
        <v>37</v>
      </c>
      <c r="O1022" s="5" t="s">
        <v>38</v>
      </c>
      <c r="P1022" s="5" t="s">
        <v>39</v>
      </c>
      <c r="Q1022" s="2">
        <v>45961</v>
      </c>
      <c r="V102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3" spans="1:22" ht="11.65" hidden="1" customHeight="1">
      <c r="A1023" s="2">
        <v>45910</v>
      </c>
      <c r="B1023" s="1" t="s">
        <v>2906</v>
      </c>
      <c r="C1023" s="1" t="s">
        <v>2907</v>
      </c>
      <c r="D1023" s="1" t="s">
        <v>24</v>
      </c>
      <c r="E1023" s="1">
        <v>85308</v>
      </c>
      <c r="F1023" s="1" t="s">
        <v>310</v>
      </c>
      <c r="G1023" s="1" t="s">
        <v>2901</v>
      </c>
      <c r="H1023" s="4" t="s">
        <v>2908</v>
      </c>
      <c r="I1023" s="5" t="s">
        <v>196</v>
      </c>
      <c r="J1023" s="5" t="s">
        <v>37</v>
      </c>
      <c r="K1023" s="5" t="s">
        <v>37</v>
      </c>
      <c r="L1023" s="5" t="s">
        <v>2909</v>
      </c>
      <c r="M1023" s="5" t="s">
        <v>37</v>
      </c>
      <c r="N1023" s="5" t="s">
        <v>37</v>
      </c>
      <c r="O1023" s="5" t="s">
        <v>38</v>
      </c>
      <c r="P1023" s="5" t="s">
        <v>39</v>
      </c>
      <c r="Q1023" s="2">
        <v>45961</v>
      </c>
      <c r="V102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4" spans="1:22" ht="11.65" hidden="1" customHeight="1">
      <c r="A1024" s="2">
        <v>45910</v>
      </c>
      <c r="B1024" s="1" t="s">
        <v>2910</v>
      </c>
      <c r="C1024" s="1" t="s">
        <v>2911</v>
      </c>
      <c r="D1024" s="1" t="s">
        <v>63</v>
      </c>
      <c r="E1024" s="1">
        <v>85083</v>
      </c>
      <c r="F1024" s="1" t="s">
        <v>31</v>
      </c>
      <c r="G1024" s="1" t="s">
        <v>2901</v>
      </c>
      <c r="H1024" s="4" t="s">
        <v>2912</v>
      </c>
      <c r="I1024" s="5" t="s">
        <v>243</v>
      </c>
      <c r="J1024" s="5" t="s">
        <v>37</v>
      </c>
      <c r="K1024" s="5" t="s">
        <v>37</v>
      </c>
      <c r="L1024" s="5" t="s">
        <v>389</v>
      </c>
      <c r="M1024" s="5" t="s">
        <v>37</v>
      </c>
      <c r="N1024" s="5" t="s">
        <v>37</v>
      </c>
      <c r="O1024" s="5" t="s">
        <v>38</v>
      </c>
      <c r="P1024" s="5" t="s">
        <v>39</v>
      </c>
      <c r="Q1024" s="2">
        <v>45961</v>
      </c>
      <c r="V102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5" spans="1:22" ht="11.65" hidden="1" customHeight="1">
      <c r="A1025" s="2">
        <v>45910</v>
      </c>
      <c r="B1025" s="1" t="s">
        <v>2913</v>
      </c>
      <c r="C1025" s="1" t="s">
        <v>135</v>
      </c>
      <c r="D1025" s="1" t="s">
        <v>68</v>
      </c>
      <c r="E1025" s="1">
        <v>85331</v>
      </c>
      <c r="F1025" s="1" t="s">
        <v>310</v>
      </c>
      <c r="G1025" s="1" t="s">
        <v>2901</v>
      </c>
      <c r="H1025" s="4" t="s">
        <v>27</v>
      </c>
      <c r="V102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6" spans="1:22" ht="11.65" hidden="1" customHeight="1">
      <c r="A1026" s="2">
        <v>45910</v>
      </c>
      <c r="B1026" s="1" t="s">
        <v>2914</v>
      </c>
      <c r="C1026" s="1" t="s">
        <v>133</v>
      </c>
      <c r="D1026" s="1" t="s">
        <v>619</v>
      </c>
      <c r="E1026" s="1">
        <v>85365</v>
      </c>
      <c r="F1026" s="1" t="s">
        <v>31</v>
      </c>
      <c r="G1026" s="1" t="s">
        <v>2901</v>
      </c>
      <c r="H1026" s="4" t="s">
        <v>2915</v>
      </c>
      <c r="I1026" s="5" t="s">
        <v>36</v>
      </c>
      <c r="J1026" s="5" t="s">
        <v>37</v>
      </c>
      <c r="K1026" s="5" t="s">
        <v>37</v>
      </c>
      <c r="L1026" s="5" t="s">
        <v>1586</v>
      </c>
      <c r="M1026" s="5" t="s">
        <v>37</v>
      </c>
      <c r="N1026" s="5" t="s">
        <v>37</v>
      </c>
      <c r="O1026" s="5" t="s">
        <v>38</v>
      </c>
      <c r="P1026" s="5" t="s">
        <v>39</v>
      </c>
      <c r="Q1026" s="2">
        <v>45961</v>
      </c>
      <c r="V102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7" spans="1:22" ht="11.65" hidden="1" customHeight="1">
      <c r="A1027" s="2">
        <v>45910</v>
      </c>
      <c r="B1027" s="1" t="s">
        <v>940</v>
      </c>
      <c r="C1027" s="1" t="s">
        <v>2916</v>
      </c>
      <c r="D1027" s="1" t="s">
        <v>63</v>
      </c>
      <c r="E1027" s="1">
        <v>85008</v>
      </c>
      <c r="F1027" s="1" t="s">
        <v>31</v>
      </c>
      <c r="G1027" s="1" t="s">
        <v>2901</v>
      </c>
      <c r="H1027" s="4" t="s">
        <v>2917</v>
      </c>
      <c r="I1027" s="5" t="s">
        <v>196</v>
      </c>
      <c r="J1027" s="5" t="s">
        <v>37</v>
      </c>
      <c r="K1027" s="5" t="s">
        <v>37</v>
      </c>
      <c r="L1027" s="5" t="s">
        <v>2918</v>
      </c>
      <c r="M1027" s="5" t="s">
        <v>37</v>
      </c>
      <c r="N1027" s="5" t="s">
        <v>37</v>
      </c>
      <c r="O1027" s="5" t="s">
        <v>38</v>
      </c>
      <c r="P1027" s="5" t="s">
        <v>39</v>
      </c>
      <c r="Q1027" s="2">
        <v>45961</v>
      </c>
      <c r="V102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8" spans="1:22" ht="11.65" hidden="1" customHeight="1">
      <c r="A1028" s="2">
        <v>45910</v>
      </c>
      <c r="B1028" s="1" t="s">
        <v>2919</v>
      </c>
      <c r="C1028" s="1" t="s">
        <v>1905</v>
      </c>
      <c r="D1028" s="1" t="s">
        <v>1693</v>
      </c>
      <c r="E1028" s="1">
        <v>85351</v>
      </c>
      <c r="F1028" s="1" t="s">
        <v>31</v>
      </c>
      <c r="G1028" s="1" t="s">
        <v>2920</v>
      </c>
      <c r="H1028" s="4" t="s">
        <v>2921</v>
      </c>
      <c r="I1028" s="5" t="s">
        <v>126</v>
      </c>
      <c r="J1028" s="5" t="s">
        <v>37</v>
      </c>
      <c r="K1028" s="5" t="s">
        <v>37</v>
      </c>
      <c r="L1028" s="7" t="s">
        <v>2922</v>
      </c>
      <c r="O1028" s="5" t="s">
        <v>38</v>
      </c>
      <c r="P1028" s="2">
        <v>45938</v>
      </c>
      <c r="Q1028" s="2">
        <v>45961</v>
      </c>
      <c r="R1028" s="23" t="s">
        <v>2923</v>
      </c>
      <c r="V102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29" spans="1:22" ht="11.65" hidden="1" customHeight="1">
      <c r="A1029" s="2">
        <v>45910</v>
      </c>
      <c r="B1029" s="1" t="s">
        <v>2924</v>
      </c>
      <c r="C1029" s="1" t="s">
        <v>2925</v>
      </c>
      <c r="D1029" s="1" t="s">
        <v>63</v>
      </c>
      <c r="E1029" s="1">
        <v>85021</v>
      </c>
      <c r="F1029" s="1" t="s">
        <v>31</v>
      </c>
      <c r="G1029" s="1" t="s">
        <v>2920</v>
      </c>
      <c r="H1029" s="4" t="s">
        <v>2926</v>
      </c>
      <c r="I1029" s="5" t="s">
        <v>36</v>
      </c>
      <c r="J1029" s="5" t="s">
        <v>37</v>
      </c>
      <c r="K1029" s="5" t="s">
        <v>37</v>
      </c>
      <c r="L1029" s="5" t="s">
        <v>1586</v>
      </c>
      <c r="M1029" s="5" t="s">
        <v>37</v>
      </c>
      <c r="N1029" s="5" t="s">
        <v>37</v>
      </c>
      <c r="O1029" s="5" t="s">
        <v>38</v>
      </c>
      <c r="P1029" s="5" t="s">
        <v>39</v>
      </c>
      <c r="Q1029" s="2">
        <v>45961</v>
      </c>
      <c r="V102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0" spans="1:22" ht="11.65" hidden="1" customHeight="1">
      <c r="A1030" s="2">
        <v>45910</v>
      </c>
      <c r="B1030" s="1" t="s">
        <v>2726</v>
      </c>
      <c r="C1030" s="1" t="s">
        <v>479</v>
      </c>
      <c r="D1030" s="1" t="s">
        <v>2927</v>
      </c>
      <c r="E1030" s="1">
        <v>85344</v>
      </c>
      <c r="F1030" s="1" t="s">
        <v>2928</v>
      </c>
      <c r="G1030" s="1" t="s">
        <v>2920</v>
      </c>
      <c r="H1030" s="4" t="s">
        <v>27</v>
      </c>
      <c r="V103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1" spans="1:22" ht="11.65" hidden="1" customHeight="1">
      <c r="A1031" s="2">
        <v>45910</v>
      </c>
      <c r="B1031" s="1" t="s">
        <v>2726</v>
      </c>
      <c r="C1031" s="1" t="s">
        <v>1941</v>
      </c>
      <c r="D1031" s="1" t="s">
        <v>2929</v>
      </c>
      <c r="E1031" s="1">
        <v>85356</v>
      </c>
      <c r="F1031" s="1" t="s">
        <v>31</v>
      </c>
      <c r="G1031" s="1" t="s">
        <v>2920</v>
      </c>
      <c r="H1031" s="4" t="s">
        <v>27</v>
      </c>
      <c r="V103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2" spans="1:22" hidden="1">
      <c r="A1032" s="2">
        <v>45910</v>
      </c>
      <c r="B1032" s="1" t="s">
        <v>2930</v>
      </c>
      <c r="C1032" s="1" t="s">
        <v>2931</v>
      </c>
      <c r="D1032" s="1" t="s">
        <v>619</v>
      </c>
      <c r="E1032" s="1" t="s">
        <v>30</v>
      </c>
      <c r="F1032" s="1" t="s">
        <v>2932</v>
      </c>
      <c r="G1032" s="1" t="s">
        <v>2933</v>
      </c>
      <c r="H1032" s="4" t="s">
        <v>719</v>
      </c>
      <c r="I1032" s="5" t="s">
        <v>73</v>
      </c>
      <c r="J1032" s="5" t="s">
        <v>37</v>
      </c>
      <c r="K1032" s="5" t="s">
        <v>37</v>
      </c>
      <c r="L1032" s="5" t="s">
        <v>1586</v>
      </c>
      <c r="M1032" s="5" t="s">
        <v>37</v>
      </c>
      <c r="N1032" s="5" t="s">
        <v>37</v>
      </c>
      <c r="O1032" s="5" t="s">
        <v>38</v>
      </c>
      <c r="P1032" s="5" t="s">
        <v>39</v>
      </c>
      <c r="Q1032" s="2">
        <v>45961</v>
      </c>
      <c r="V103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3" spans="1:22" hidden="1">
      <c r="A1033" s="2">
        <v>45910</v>
      </c>
      <c r="B1033" s="1" t="s">
        <v>2416</v>
      </c>
      <c r="C1033" s="1" t="s">
        <v>717</v>
      </c>
      <c r="D1033" s="1" t="s">
        <v>63</v>
      </c>
      <c r="E1033" s="1">
        <v>85028</v>
      </c>
      <c r="F1033" s="1" t="s">
        <v>31</v>
      </c>
      <c r="G1033" s="1" t="s">
        <v>2933</v>
      </c>
      <c r="H1033" s="4" t="s">
        <v>2934</v>
      </c>
      <c r="I1033" s="5" t="s">
        <v>126</v>
      </c>
      <c r="J1033" s="5" t="s">
        <v>37</v>
      </c>
      <c r="K1033" s="5" t="s">
        <v>37</v>
      </c>
      <c r="L1033" s="5" t="s">
        <v>2935</v>
      </c>
      <c r="M1033" s="5" t="s">
        <v>37</v>
      </c>
      <c r="N1033" s="5" t="s">
        <v>37</v>
      </c>
      <c r="O1033" s="5" t="s">
        <v>38</v>
      </c>
      <c r="P1033" s="5" t="s">
        <v>39</v>
      </c>
      <c r="Q1033" s="2">
        <v>45961</v>
      </c>
      <c r="V103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4" spans="1:22" hidden="1">
      <c r="A1034" s="2">
        <v>45910</v>
      </c>
      <c r="B1034" s="1" t="s">
        <v>2936</v>
      </c>
      <c r="C1034" s="1" t="s">
        <v>359</v>
      </c>
      <c r="D1034" s="1" t="s">
        <v>174</v>
      </c>
      <c r="E1034" s="1">
        <v>85326</v>
      </c>
      <c r="F1034" s="1" t="s">
        <v>31</v>
      </c>
      <c r="G1034" s="1" t="s">
        <v>2933</v>
      </c>
      <c r="H1034" s="4" t="s">
        <v>2937</v>
      </c>
      <c r="I1034" s="5" t="s">
        <v>46</v>
      </c>
      <c r="J1034" s="5" t="s">
        <v>37</v>
      </c>
      <c r="K1034" s="5" t="s">
        <v>37</v>
      </c>
      <c r="L1034" s="5" t="s">
        <v>1586</v>
      </c>
      <c r="M1034" s="5" t="s">
        <v>37</v>
      </c>
      <c r="N1034" s="5" t="s">
        <v>37</v>
      </c>
      <c r="O1034" s="5" t="s">
        <v>38</v>
      </c>
      <c r="P1034" s="5" t="s">
        <v>39</v>
      </c>
      <c r="Q1034" s="2">
        <v>45961</v>
      </c>
      <c r="V103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5" spans="1:22" hidden="1">
      <c r="A1035" s="2">
        <v>45910</v>
      </c>
      <c r="B1035" s="29" t="s">
        <v>2938</v>
      </c>
      <c r="C1035" s="29" t="s">
        <v>363</v>
      </c>
      <c r="D1035" s="29" t="s">
        <v>169</v>
      </c>
      <c r="E1035" s="29">
        <v>85395</v>
      </c>
      <c r="F1035" s="29" t="s">
        <v>31</v>
      </c>
      <c r="G1035" s="29" t="s">
        <v>2933</v>
      </c>
      <c r="H1035" s="4" t="s">
        <v>2939</v>
      </c>
      <c r="I1035" s="5" t="s">
        <v>1488</v>
      </c>
      <c r="J1035" s="5" t="s">
        <v>37</v>
      </c>
      <c r="K1035" s="5" t="s">
        <v>37</v>
      </c>
      <c r="L1035" s="5" t="s">
        <v>389</v>
      </c>
      <c r="M1035" s="5" t="s">
        <v>37</v>
      </c>
      <c r="N1035" s="5" t="s">
        <v>37</v>
      </c>
      <c r="O1035" s="5" t="s">
        <v>38</v>
      </c>
      <c r="P1035" s="5" t="s">
        <v>39</v>
      </c>
      <c r="Q1035" s="2">
        <v>45961</v>
      </c>
      <c r="R1035" s="1" t="s">
        <v>2940</v>
      </c>
      <c r="V103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6" spans="1:22" hidden="1">
      <c r="A1036" s="2">
        <v>45910</v>
      </c>
      <c r="B1036" s="1" t="s">
        <v>2941</v>
      </c>
      <c r="C1036" s="1" t="s">
        <v>2942</v>
      </c>
      <c r="D1036" s="1" t="s">
        <v>63</v>
      </c>
      <c r="E1036" s="1">
        <v>85004</v>
      </c>
      <c r="F1036" s="1" t="s">
        <v>31</v>
      </c>
      <c r="G1036" s="1" t="s">
        <v>2933</v>
      </c>
      <c r="H1036" s="4" t="s">
        <v>2943</v>
      </c>
      <c r="I1036" s="5" t="s">
        <v>196</v>
      </c>
      <c r="J1036" s="5" t="s">
        <v>37</v>
      </c>
      <c r="K1036" s="5" t="s">
        <v>37</v>
      </c>
      <c r="L1036" s="7" t="s">
        <v>2944</v>
      </c>
      <c r="M1036" s="5" t="s">
        <v>37</v>
      </c>
      <c r="N1036" s="5" t="s">
        <v>37</v>
      </c>
      <c r="O1036" s="5" t="s">
        <v>38</v>
      </c>
      <c r="P1036" s="5" t="s">
        <v>39</v>
      </c>
      <c r="Q1036" s="2">
        <v>45961</v>
      </c>
      <c r="R1036" s="1" t="s">
        <v>2945</v>
      </c>
      <c r="V103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7" spans="1:22" hidden="1">
      <c r="A1037" s="2">
        <v>45910</v>
      </c>
      <c r="B1037" s="1" t="s">
        <v>2860</v>
      </c>
      <c r="C1037" s="1" t="s">
        <v>2861</v>
      </c>
      <c r="D1037" s="1" t="s">
        <v>85</v>
      </c>
      <c r="E1037" s="1">
        <v>86323</v>
      </c>
      <c r="F1037" s="1" t="s">
        <v>31</v>
      </c>
      <c r="G1037" s="1" t="s">
        <v>2933</v>
      </c>
      <c r="H1037" s="4" t="s">
        <v>2862</v>
      </c>
      <c r="I1037" s="5" t="s">
        <v>196</v>
      </c>
      <c r="J1037" s="5" t="s">
        <v>37</v>
      </c>
      <c r="K1037" s="5" t="s">
        <v>37</v>
      </c>
      <c r="L1037" s="5" t="s">
        <v>2946</v>
      </c>
      <c r="M1037" s="5" t="s">
        <v>37</v>
      </c>
      <c r="N1037" s="5" t="s">
        <v>37</v>
      </c>
      <c r="O1037" s="5" t="s">
        <v>38</v>
      </c>
      <c r="P1037" s="5" t="s">
        <v>39</v>
      </c>
      <c r="Q1037" s="2">
        <v>45961</v>
      </c>
      <c r="V103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8" spans="1:22" hidden="1">
      <c r="A1038" s="2">
        <v>45910</v>
      </c>
      <c r="B1038" s="1" t="s">
        <v>262</v>
      </c>
      <c r="C1038" s="1" t="s">
        <v>215</v>
      </c>
      <c r="D1038" s="1" t="s">
        <v>202</v>
      </c>
      <c r="E1038" s="1">
        <v>85345</v>
      </c>
      <c r="F1038" s="1" t="s">
        <v>31</v>
      </c>
      <c r="G1038" s="1" t="s">
        <v>2933</v>
      </c>
      <c r="H1038" s="4" t="s">
        <v>2947</v>
      </c>
      <c r="I1038" s="5" t="s">
        <v>196</v>
      </c>
      <c r="J1038" s="5" t="s">
        <v>37</v>
      </c>
      <c r="K1038" s="5" t="s">
        <v>37</v>
      </c>
      <c r="L1038" s="5" t="s">
        <v>1586</v>
      </c>
      <c r="M1038" s="5" t="s">
        <v>37</v>
      </c>
      <c r="N1038" s="5" t="s">
        <v>37</v>
      </c>
      <c r="O1038" s="5" t="s">
        <v>38</v>
      </c>
      <c r="P1038" s="5" t="s">
        <v>39</v>
      </c>
      <c r="Q1038" s="2">
        <v>45961</v>
      </c>
      <c r="V103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39" spans="1:22" hidden="1">
      <c r="A1039" s="2">
        <v>45910</v>
      </c>
      <c r="B1039" s="1" t="s">
        <v>2188</v>
      </c>
      <c r="C1039" s="1" t="s">
        <v>2188</v>
      </c>
      <c r="D1039" s="1" t="s">
        <v>30</v>
      </c>
      <c r="E1039" s="1" t="s">
        <v>30</v>
      </c>
      <c r="F1039" s="1" t="s">
        <v>2948</v>
      </c>
      <c r="G1039" s="1" t="s">
        <v>2933</v>
      </c>
      <c r="H1039" s="4" t="s">
        <v>27</v>
      </c>
      <c r="V103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0" spans="1:22" hidden="1">
      <c r="A1040" s="2">
        <v>45910</v>
      </c>
      <c r="B1040" s="1" t="s">
        <v>2682</v>
      </c>
      <c r="C1040" s="1" t="s">
        <v>2019</v>
      </c>
      <c r="D1040" s="1" t="s">
        <v>112</v>
      </c>
      <c r="E1040" s="1">
        <v>85388</v>
      </c>
      <c r="F1040" s="1" t="s">
        <v>310</v>
      </c>
      <c r="G1040" s="1" t="s">
        <v>2949</v>
      </c>
      <c r="H1040" s="4" t="s">
        <v>2950</v>
      </c>
      <c r="I1040" s="5" t="s">
        <v>46</v>
      </c>
      <c r="J1040" s="5" t="s">
        <v>37</v>
      </c>
      <c r="K1040" s="5" t="s">
        <v>37</v>
      </c>
      <c r="L1040" s="5" t="s">
        <v>1586</v>
      </c>
      <c r="M1040" s="5" t="s">
        <v>37</v>
      </c>
      <c r="N1040" s="5" t="s">
        <v>37</v>
      </c>
      <c r="O1040" s="5" t="s">
        <v>38</v>
      </c>
      <c r="P1040" s="5" t="s">
        <v>39</v>
      </c>
      <c r="Q1040" s="2">
        <v>45961</v>
      </c>
      <c r="V104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1" spans="1:22" hidden="1">
      <c r="A1041" s="2">
        <v>45911</v>
      </c>
      <c r="B1041" s="1" t="s">
        <v>2951</v>
      </c>
      <c r="C1041" s="1" t="s">
        <v>2952</v>
      </c>
      <c r="D1041" s="1" t="s">
        <v>125</v>
      </c>
      <c r="E1041" s="1">
        <v>85259</v>
      </c>
      <c r="F1041" s="1" t="s">
        <v>2953</v>
      </c>
      <c r="G1041" s="1" t="s">
        <v>2949</v>
      </c>
      <c r="H1041" s="4" t="s">
        <v>2954</v>
      </c>
      <c r="I1041" s="5" t="s">
        <v>36</v>
      </c>
      <c r="J1041" s="5" t="s">
        <v>37</v>
      </c>
      <c r="K1041" s="5" t="s">
        <v>37</v>
      </c>
      <c r="L1041" s="5" t="s">
        <v>1586</v>
      </c>
      <c r="M1041" s="5" t="s">
        <v>37</v>
      </c>
      <c r="N1041" s="5" t="s">
        <v>37</v>
      </c>
      <c r="O1041" s="5" t="s">
        <v>38</v>
      </c>
      <c r="P1041" s="5" t="s">
        <v>39</v>
      </c>
      <c r="Q1041" s="2">
        <v>45961</v>
      </c>
      <c r="V104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2" spans="1:22" hidden="1">
      <c r="A1042" s="2">
        <v>45911</v>
      </c>
      <c r="B1042" s="1" t="s">
        <v>2955</v>
      </c>
      <c r="C1042" s="1" t="s">
        <v>2956</v>
      </c>
      <c r="D1042" s="1" t="s">
        <v>30</v>
      </c>
      <c r="E1042" s="1" t="s">
        <v>30</v>
      </c>
      <c r="F1042" s="1" t="s">
        <v>2957</v>
      </c>
      <c r="G1042" s="1" t="s">
        <v>2949</v>
      </c>
      <c r="H1042" s="4" t="s">
        <v>27</v>
      </c>
      <c r="V104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3" spans="1:22" hidden="1">
      <c r="A1043" s="2">
        <v>45911</v>
      </c>
      <c r="B1043" s="1" t="s">
        <v>2368</v>
      </c>
      <c r="C1043" s="1" t="s">
        <v>2135</v>
      </c>
      <c r="D1043" s="1" t="s">
        <v>202</v>
      </c>
      <c r="E1043" s="1">
        <v>85345</v>
      </c>
      <c r="F1043" s="1" t="s">
        <v>310</v>
      </c>
      <c r="G1043" s="1" t="s">
        <v>2949</v>
      </c>
      <c r="H1043" s="4" t="s">
        <v>2958</v>
      </c>
      <c r="I1043" s="5" t="s">
        <v>46</v>
      </c>
      <c r="J1043" s="5" t="s">
        <v>37</v>
      </c>
      <c r="K1043" s="5" t="s">
        <v>37</v>
      </c>
      <c r="L1043" s="5" t="s">
        <v>2959</v>
      </c>
      <c r="M1043" s="5" t="s">
        <v>37</v>
      </c>
      <c r="N1043" s="5" t="s">
        <v>37</v>
      </c>
      <c r="O1043" s="5" t="s">
        <v>38</v>
      </c>
      <c r="P1043" s="5" t="s">
        <v>39</v>
      </c>
      <c r="Q1043" s="2">
        <v>45961</v>
      </c>
      <c r="V104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4" spans="1:22" hidden="1">
      <c r="A1044" s="2">
        <v>45911</v>
      </c>
      <c r="B1044" s="1" t="s">
        <v>2960</v>
      </c>
      <c r="C1044" s="1" t="s">
        <v>2961</v>
      </c>
      <c r="D1044" s="1" t="s">
        <v>30</v>
      </c>
      <c r="E1044" s="1" t="s">
        <v>30</v>
      </c>
      <c r="F1044" s="1" t="s">
        <v>310</v>
      </c>
      <c r="G1044" s="1" t="s">
        <v>2949</v>
      </c>
      <c r="H1044" s="4" t="s">
        <v>27</v>
      </c>
      <c r="V104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5" spans="1:22" hidden="1">
      <c r="A1045" s="2">
        <v>45911</v>
      </c>
      <c r="B1045" s="1" t="s">
        <v>224</v>
      </c>
      <c r="C1045" s="1" t="s">
        <v>346</v>
      </c>
      <c r="D1045" s="1" t="s">
        <v>85</v>
      </c>
      <c r="E1045" s="1">
        <v>86323</v>
      </c>
      <c r="F1045" s="1" t="s">
        <v>31</v>
      </c>
      <c r="G1045" s="1" t="s">
        <v>2949</v>
      </c>
      <c r="H1045" s="4" t="s">
        <v>2962</v>
      </c>
      <c r="I1045" s="5" t="s">
        <v>196</v>
      </c>
      <c r="J1045" s="5" t="s">
        <v>37</v>
      </c>
      <c r="K1045" s="5" t="s">
        <v>37</v>
      </c>
      <c r="L1045" s="5" t="s">
        <v>2863</v>
      </c>
      <c r="M1045" s="5" t="s">
        <v>37</v>
      </c>
      <c r="N1045" s="5" t="s">
        <v>37</v>
      </c>
      <c r="O1045" s="5" t="s">
        <v>38</v>
      </c>
      <c r="P1045" s="5" t="s">
        <v>39</v>
      </c>
      <c r="Q1045" s="2">
        <v>45961</v>
      </c>
      <c r="V104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6" spans="1:22" hidden="1">
      <c r="A1046" s="2">
        <v>45912</v>
      </c>
      <c r="B1046" s="1" t="s">
        <v>2963</v>
      </c>
      <c r="C1046" s="1" t="s">
        <v>2964</v>
      </c>
      <c r="D1046" s="1" t="s">
        <v>169</v>
      </c>
      <c r="E1046" s="1">
        <v>85395</v>
      </c>
      <c r="F1046" s="1" t="s">
        <v>31</v>
      </c>
      <c r="G1046" s="1" t="s">
        <v>2965</v>
      </c>
      <c r="H1046" s="4" t="s">
        <v>2966</v>
      </c>
      <c r="I1046" s="5" t="s">
        <v>36</v>
      </c>
      <c r="J1046" s="5" t="s">
        <v>37</v>
      </c>
      <c r="K1046" s="5" t="s">
        <v>37</v>
      </c>
      <c r="L1046" s="5" t="s">
        <v>1586</v>
      </c>
      <c r="M1046" s="5" t="s">
        <v>37</v>
      </c>
      <c r="N1046" s="5" t="s">
        <v>37</v>
      </c>
      <c r="O1046" s="5" t="s">
        <v>38</v>
      </c>
      <c r="P1046" s="5" t="s">
        <v>39</v>
      </c>
      <c r="Q1046" s="2">
        <v>45961</v>
      </c>
      <c r="V104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7" spans="1:22" hidden="1">
      <c r="A1047" s="2">
        <v>45912</v>
      </c>
      <c r="B1047" s="1" t="s">
        <v>1344</v>
      </c>
      <c r="C1047" s="1" t="s">
        <v>1198</v>
      </c>
      <c r="D1047" s="1" t="s">
        <v>63</v>
      </c>
      <c r="E1047" s="1">
        <v>85053</v>
      </c>
      <c r="F1047" s="1" t="s">
        <v>310</v>
      </c>
      <c r="G1047" s="1" t="s">
        <v>2967</v>
      </c>
      <c r="H1047" s="4" t="s">
        <v>1347</v>
      </c>
      <c r="I1047" s="5" t="s">
        <v>36</v>
      </c>
      <c r="J1047" s="5" t="s">
        <v>37</v>
      </c>
      <c r="K1047" s="5" t="s">
        <v>37</v>
      </c>
      <c r="L1047" s="5" t="s">
        <v>1586</v>
      </c>
      <c r="M1047" s="5" t="s">
        <v>37</v>
      </c>
      <c r="N1047" s="5" t="s">
        <v>37</v>
      </c>
      <c r="O1047" s="5" t="s">
        <v>38</v>
      </c>
      <c r="P1047" s="5" t="s">
        <v>39</v>
      </c>
      <c r="Q1047" s="2">
        <v>45961</v>
      </c>
      <c r="V104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8" spans="1:22" hidden="1">
      <c r="A1048" s="2">
        <v>45912</v>
      </c>
      <c r="B1048" s="1" t="s">
        <v>2968</v>
      </c>
      <c r="C1048" s="1" t="s">
        <v>2969</v>
      </c>
      <c r="D1048" s="1" t="s">
        <v>30</v>
      </c>
      <c r="E1048" s="1" t="s">
        <v>30</v>
      </c>
      <c r="F1048" s="1" t="s">
        <v>31</v>
      </c>
      <c r="G1048" s="1" t="s">
        <v>2970</v>
      </c>
      <c r="H1048" s="4" t="s">
        <v>27</v>
      </c>
      <c r="V104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49" spans="1:22" hidden="1">
      <c r="A1049" s="2">
        <v>45912</v>
      </c>
      <c r="B1049" s="1" t="s">
        <v>2971</v>
      </c>
      <c r="C1049" s="1" t="s">
        <v>1140</v>
      </c>
      <c r="D1049" s="1" t="s">
        <v>63</v>
      </c>
      <c r="E1049" s="1">
        <v>85027</v>
      </c>
      <c r="F1049" s="1" t="s">
        <v>741</v>
      </c>
      <c r="G1049" s="1" t="s">
        <v>2970</v>
      </c>
      <c r="H1049" s="4" t="s">
        <v>2972</v>
      </c>
      <c r="I1049" s="5" t="s">
        <v>196</v>
      </c>
      <c r="J1049" s="5" t="s">
        <v>37</v>
      </c>
      <c r="K1049" s="5" t="s">
        <v>37</v>
      </c>
      <c r="L1049" s="5" t="s">
        <v>2973</v>
      </c>
      <c r="M1049" s="5" t="s">
        <v>37</v>
      </c>
      <c r="N1049" s="5" t="s">
        <v>37</v>
      </c>
      <c r="O1049" s="5" t="s">
        <v>38</v>
      </c>
      <c r="P1049" s="5" t="s">
        <v>39</v>
      </c>
      <c r="Q1049" s="2">
        <v>45961</v>
      </c>
      <c r="V104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0" spans="1:22" hidden="1">
      <c r="A1050" s="2">
        <v>45912</v>
      </c>
      <c r="B1050" s="1" t="s">
        <v>2974</v>
      </c>
      <c r="C1050" s="1" t="s">
        <v>2975</v>
      </c>
      <c r="D1050" s="1" t="s">
        <v>523</v>
      </c>
      <c r="E1050" s="1">
        <v>85392</v>
      </c>
      <c r="F1050" s="1" t="s">
        <v>310</v>
      </c>
      <c r="G1050" s="1" t="s">
        <v>2970</v>
      </c>
      <c r="H1050" s="4" t="s">
        <v>2976</v>
      </c>
      <c r="I1050" s="5" t="s">
        <v>196</v>
      </c>
      <c r="J1050" s="5" t="s">
        <v>37</v>
      </c>
      <c r="K1050" s="5" t="s">
        <v>37</v>
      </c>
      <c r="L1050" s="7" t="s">
        <v>2977</v>
      </c>
      <c r="M1050" s="5" t="s">
        <v>37</v>
      </c>
      <c r="N1050" s="5" t="s">
        <v>37</v>
      </c>
      <c r="O1050" s="5" t="s">
        <v>38</v>
      </c>
      <c r="P1050" s="2">
        <v>45938</v>
      </c>
      <c r="Q1050" s="2">
        <v>45961</v>
      </c>
      <c r="R1050" s="1" t="s">
        <v>2978</v>
      </c>
      <c r="V105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1" spans="1:22" hidden="1">
      <c r="A1051" s="2">
        <v>45912</v>
      </c>
      <c r="B1051" s="1" t="s">
        <v>2979</v>
      </c>
      <c r="C1051" s="1" t="s">
        <v>427</v>
      </c>
      <c r="D1051" s="1" t="s">
        <v>24</v>
      </c>
      <c r="E1051" s="1">
        <v>85308</v>
      </c>
      <c r="F1051" s="1" t="s">
        <v>310</v>
      </c>
      <c r="G1051" s="1" t="s">
        <v>2970</v>
      </c>
      <c r="H1051" s="4" t="s">
        <v>2980</v>
      </c>
      <c r="I1051" s="5" t="s">
        <v>243</v>
      </c>
      <c r="J1051" s="5" t="s">
        <v>37</v>
      </c>
      <c r="K1051" s="5" t="s">
        <v>37</v>
      </c>
      <c r="L1051" s="5" t="s">
        <v>389</v>
      </c>
      <c r="M1051" s="5" t="s">
        <v>37</v>
      </c>
      <c r="N1051" s="5" t="s">
        <v>37</v>
      </c>
      <c r="O1051" s="5" t="s">
        <v>38</v>
      </c>
      <c r="P1051" s="5" t="s">
        <v>39</v>
      </c>
      <c r="Q1051" s="2">
        <v>45961</v>
      </c>
      <c r="V105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2" spans="1:22" hidden="1">
      <c r="A1052" s="2">
        <v>45912</v>
      </c>
      <c r="B1052" s="1" t="s">
        <v>2981</v>
      </c>
      <c r="C1052" s="1" t="s">
        <v>838</v>
      </c>
      <c r="D1052" s="1" t="s">
        <v>125</v>
      </c>
      <c r="E1052" s="1">
        <v>85255</v>
      </c>
      <c r="F1052" s="1" t="s">
        <v>31</v>
      </c>
      <c r="G1052" s="1" t="s">
        <v>2970</v>
      </c>
      <c r="H1052" s="4" t="s">
        <v>2982</v>
      </c>
      <c r="I1052" s="5" t="s">
        <v>541</v>
      </c>
      <c r="J1052" s="5" t="s">
        <v>37</v>
      </c>
      <c r="K1052" s="5" t="s">
        <v>37</v>
      </c>
      <c r="L1052" s="5" t="s">
        <v>389</v>
      </c>
      <c r="M1052" s="5" t="s">
        <v>37</v>
      </c>
      <c r="N1052" s="5" t="s">
        <v>37</v>
      </c>
      <c r="O1052" s="5" t="s">
        <v>38</v>
      </c>
      <c r="P1052" s="5" t="s">
        <v>39</v>
      </c>
      <c r="Q1052" s="2">
        <v>45961</v>
      </c>
      <c r="V105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3" spans="1:22" hidden="1">
      <c r="A1053" s="2">
        <v>45912</v>
      </c>
      <c r="B1053" s="1" t="s">
        <v>2983</v>
      </c>
      <c r="C1053" s="1" t="s">
        <v>2984</v>
      </c>
      <c r="D1053" s="1" t="s">
        <v>63</v>
      </c>
      <c r="E1053" s="1">
        <v>85014</v>
      </c>
      <c r="F1053" s="1" t="s">
        <v>310</v>
      </c>
      <c r="G1053" s="1" t="s">
        <v>2985</v>
      </c>
      <c r="H1053" s="4" t="s">
        <v>27</v>
      </c>
      <c r="V105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4" spans="1:22" hidden="1">
      <c r="A1054" s="2">
        <v>45912</v>
      </c>
      <c r="B1054" s="1" t="s">
        <v>2986</v>
      </c>
      <c r="C1054" s="1" t="s">
        <v>145</v>
      </c>
      <c r="D1054" s="1" t="s">
        <v>816</v>
      </c>
      <c r="E1054" s="1">
        <v>86303</v>
      </c>
      <c r="F1054" s="1" t="s">
        <v>2987</v>
      </c>
      <c r="G1054" s="1" t="s">
        <v>2985</v>
      </c>
      <c r="H1054" s="4" t="s">
        <v>2988</v>
      </c>
      <c r="I1054" s="5" t="s">
        <v>73</v>
      </c>
      <c r="J1054" s="5" t="s">
        <v>37</v>
      </c>
      <c r="K1054" s="5" t="s">
        <v>37</v>
      </c>
      <c r="L1054" s="5" t="s">
        <v>1586</v>
      </c>
      <c r="M1054" s="5" t="s">
        <v>37</v>
      </c>
      <c r="N1054" s="5" t="s">
        <v>37</v>
      </c>
      <c r="O1054" s="5" t="s">
        <v>38</v>
      </c>
      <c r="P1054" s="5" t="s">
        <v>39</v>
      </c>
      <c r="Q1054" s="2">
        <v>45961</v>
      </c>
      <c r="V105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5" spans="1:22" hidden="1">
      <c r="A1055" s="2">
        <v>45912</v>
      </c>
      <c r="B1055" s="1" t="s">
        <v>2989</v>
      </c>
      <c r="C1055" s="1" t="s">
        <v>1815</v>
      </c>
      <c r="D1055" s="1" t="s">
        <v>63</v>
      </c>
      <c r="E1055" s="1">
        <v>85002</v>
      </c>
      <c r="F1055" s="1" t="s">
        <v>2990</v>
      </c>
      <c r="G1055" s="1" t="s">
        <v>2985</v>
      </c>
      <c r="H1055" s="4" t="s">
        <v>27</v>
      </c>
      <c r="V105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6" spans="1:22" hidden="1">
      <c r="A1056" s="2">
        <v>45912</v>
      </c>
      <c r="B1056" s="1" t="s">
        <v>2991</v>
      </c>
      <c r="C1056" s="1" t="s">
        <v>312</v>
      </c>
      <c r="D1056" s="1" t="s">
        <v>63</v>
      </c>
      <c r="E1056" s="1">
        <v>85013</v>
      </c>
      <c r="F1056" s="1" t="s">
        <v>31</v>
      </c>
      <c r="G1056" s="1" t="s">
        <v>2985</v>
      </c>
      <c r="H1056" s="4" t="s">
        <v>27</v>
      </c>
      <c r="V105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7" spans="1:22" hidden="1">
      <c r="A1057" s="2">
        <v>45912</v>
      </c>
      <c r="B1057" s="1" t="s">
        <v>2992</v>
      </c>
      <c r="C1057" s="1" t="s">
        <v>42</v>
      </c>
      <c r="D1057" s="1" t="s">
        <v>112</v>
      </c>
      <c r="E1057" s="1">
        <v>85378</v>
      </c>
      <c r="F1057" s="1" t="s">
        <v>660</v>
      </c>
      <c r="G1057" s="1" t="s">
        <v>2985</v>
      </c>
      <c r="H1057" s="4" t="s">
        <v>2993</v>
      </c>
      <c r="I1057" s="5" t="s">
        <v>46</v>
      </c>
      <c r="J1057" s="5" t="s">
        <v>37</v>
      </c>
      <c r="K1057" s="5" t="s">
        <v>37</v>
      </c>
      <c r="L1057" s="5" t="s">
        <v>2994</v>
      </c>
      <c r="M1057" s="5" t="s">
        <v>37</v>
      </c>
      <c r="N1057" s="5" t="s">
        <v>37</v>
      </c>
      <c r="O1057" s="5" t="s">
        <v>38</v>
      </c>
      <c r="P1057" s="5" t="s">
        <v>39</v>
      </c>
      <c r="Q1057" s="2">
        <v>45961</v>
      </c>
      <c r="V105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8" spans="1:22" hidden="1">
      <c r="A1058" s="2">
        <v>45912</v>
      </c>
      <c r="B1058" s="1" t="s">
        <v>2995</v>
      </c>
      <c r="C1058" s="1" t="s">
        <v>312</v>
      </c>
      <c r="D1058" s="1" t="s">
        <v>24</v>
      </c>
      <c r="E1058" s="1">
        <v>85308</v>
      </c>
      <c r="F1058" s="1" t="s">
        <v>2996</v>
      </c>
      <c r="G1058" s="1" t="s">
        <v>2985</v>
      </c>
      <c r="H1058" s="4" t="s">
        <v>2997</v>
      </c>
      <c r="I1058" s="5" t="s">
        <v>541</v>
      </c>
      <c r="J1058" s="5" t="s">
        <v>37</v>
      </c>
      <c r="K1058" s="5" t="s">
        <v>37</v>
      </c>
      <c r="L1058" s="5" t="s">
        <v>389</v>
      </c>
      <c r="M1058" s="5" t="s">
        <v>37</v>
      </c>
      <c r="N1058" s="5" t="s">
        <v>37</v>
      </c>
      <c r="O1058" s="5" t="s">
        <v>38</v>
      </c>
      <c r="P1058" s="5" t="s">
        <v>39</v>
      </c>
      <c r="Q1058" s="2">
        <v>45961</v>
      </c>
      <c r="V105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59" spans="1:22" hidden="1">
      <c r="A1059" s="2">
        <v>45912</v>
      </c>
      <c r="B1059" s="1" t="s">
        <v>2998</v>
      </c>
      <c r="C1059" s="1" t="s">
        <v>252</v>
      </c>
      <c r="D1059" s="1" t="s">
        <v>63</v>
      </c>
      <c r="E1059" s="1">
        <v>85028</v>
      </c>
      <c r="F1059" s="1" t="s">
        <v>31</v>
      </c>
      <c r="G1059" s="1" t="s">
        <v>2985</v>
      </c>
      <c r="H1059" s="4" t="s">
        <v>2999</v>
      </c>
      <c r="I1059" s="5" t="s">
        <v>126</v>
      </c>
      <c r="J1059" s="5" t="s">
        <v>37</v>
      </c>
      <c r="K1059" s="5" t="s">
        <v>37</v>
      </c>
      <c r="L1059" s="7" t="s">
        <v>3000</v>
      </c>
      <c r="M1059" s="5" t="s">
        <v>37</v>
      </c>
      <c r="N1059" s="5" t="s">
        <v>37</v>
      </c>
      <c r="O1059" s="5" t="s">
        <v>38</v>
      </c>
      <c r="P1059" s="2">
        <v>45938</v>
      </c>
      <c r="Q1059" s="2">
        <v>45961</v>
      </c>
      <c r="R1059" s="1" t="s">
        <v>3001</v>
      </c>
      <c r="V105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0" spans="1:22" hidden="1">
      <c r="A1060" s="2">
        <v>45912</v>
      </c>
      <c r="B1060" s="1" t="s">
        <v>3002</v>
      </c>
      <c r="C1060" s="1" t="s">
        <v>1533</v>
      </c>
      <c r="D1060" s="1" t="s">
        <v>698</v>
      </c>
      <c r="E1060" s="1">
        <v>85375</v>
      </c>
      <c r="F1060" s="1" t="s">
        <v>31</v>
      </c>
      <c r="G1060" s="1" t="s">
        <v>2985</v>
      </c>
      <c r="H1060" s="4" t="s">
        <v>3003</v>
      </c>
      <c r="I1060" s="5" t="s">
        <v>57</v>
      </c>
      <c r="J1060" s="5" t="s">
        <v>37</v>
      </c>
      <c r="K1060" s="5" t="s">
        <v>37</v>
      </c>
      <c r="L1060" s="7" t="s">
        <v>3004</v>
      </c>
      <c r="M1060" s="5" t="s">
        <v>37</v>
      </c>
      <c r="N1060" s="5" t="s">
        <v>37</v>
      </c>
      <c r="O1060" s="5" t="s">
        <v>38</v>
      </c>
      <c r="P1060" s="2">
        <v>45938</v>
      </c>
      <c r="Q1060" s="2">
        <v>45961</v>
      </c>
      <c r="R1060" s="1" t="s">
        <v>2978</v>
      </c>
      <c r="V106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1" spans="1:22" hidden="1">
      <c r="A1061" s="2">
        <v>45912</v>
      </c>
      <c r="B1061" s="1" t="s">
        <v>3005</v>
      </c>
      <c r="C1061" s="1" t="s">
        <v>3006</v>
      </c>
      <c r="D1061" s="1" t="s">
        <v>125</v>
      </c>
      <c r="E1061" s="1">
        <v>85255</v>
      </c>
      <c r="F1061" s="1" t="s">
        <v>310</v>
      </c>
      <c r="G1061" s="1" t="s">
        <v>2985</v>
      </c>
      <c r="H1061" s="4" t="s">
        <v>3007</v>
      </c>
      <c r="I1061" s="5" t="s">
        <v>57</v>
      </c>
      <c r="J1061" s="5" t="s">
        <v>37</v>
      </c>
      <c r="K1061" s="5" t="s">
        <v>37</v>
      </c>
      <c r="L1061" s="7" t="s">
        <v>3008</v>
      </c>
      <c r="M1061" s="5" t="s">
        <v>37</v>
      </c>
      <c r="N1061" s="5" t="s">
        <v>37</v>
      </c>
      <c r="O1061" s="5" t="s">
        <v>38</v>
      </c>
      <c r="P1061" s="2">
        <v>45938</v>
      </c>
      <c r="Q1061" s="2">
        <v>45961</v>
      </c>
      <c r="R1061" s="1" t="s">
        <v>2978</v>
      </c>
      <c r="V106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2" spans="1:22" hidden="1">
      <c r="A1062" s="2">
        <v>45912</v>
      </c>
      <c r="B1062" s="1" t="s">
        <v>3009</v>
      </c>
      <c r="C1062" s="1" t="s">
        <v>312</v>
      </c>
      <c r="D1062" s="1" t="s">
        <v>619</v>
      </c>
      <c r="E1062" s="1">
        <v>85365</v>
      </c>
      <c r="F1062" s="1" t="s">
        <v>3010</v>
      </c>
      <c r="G1062" s="1" t="s">
        <v>2985</v>
      </c>
      <c r="H1062" s="4" t="s">
        <v>3011</v>
      </c>
      <c r="I1062" s="5" t="s">
        <v>73</v>
      </c>
      <c r="J1062" s="5" t="s">
        <v>37</v>
      </c>
      <c r="K1062" s="5" t="s">
        <v>37</v>
      </c>
      <c r="L1062" s="5" t="s">
        <v>1586</v>
      </c>
      <c r="M1062" s="5" t="s">
        <v>37</v>
      </c>
      <c r="N1062" s="5" t="s">
        <v>37</v>
      </c>
      <c r="O1062" s="5" t="s">
        <v>38</v>
      </c>
      <c r="P1062" s="5" t="s">
        <v>39</v>
      </c>
      <c r="Q1062" s="2">
        <v>45961</v>
      </c>
      <c r="V106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3" spans="1:22" hidden="1">
      <c r="A1063" s="2">
        <v>45912</v>
      </c>
      <c r="B1063" s="1" t="s">
        <v>3012</v>
      </c>
      <c r="C1063" s="1" t="s">
        <v>479</v>
      </c>
      <c r="D1063" s="1" t="s">
        <v>24</v>
      </c>
      <c r="E1063" s="1">
        <v>85308</v>
      </c>
      <c r="F1063" s="1" t="s">
        <v>310</v>
      </c>
      <c r="G1063" s="1" t="s">
        <v>2985</v>
      </c>
      <c r="H1063" s="4" t="s">
        <v>3013</v>
      </c>
      <c r="I1063" s="5" t="s">
        <v>36</v>
      </c>
      <c r="J1063" s="5" t="s">
        <v>37</v>
      </c>
      <c r="K1063" s="5" t="s">
        <v>37</v>
      </c>
      <c r="L1063" s="5" t="s">
        <v>1586</v>
      </c>
      <c r="M1063" s="5" t="s">
        <v>37</v>
      </c>
      <c r="N1063" s="5" t="s">
        <v>37</v>
      </c>
      <c r="O1063" s="5" t="s">
        <v>38</v>
      </c>
      <c r="P1063" s="5" t="s">
        <v>39</v>
      </c>
      <c r="Q1063" s="2">
        <v>45961</v>
      </c>
      <c r="R1063" s="1" t="s">
        <v>3014</v>
      </c>
      <c r="V106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4" spans="1:22" hidden="1">
      <c r="A1064" s="2">
        <v>45912</v>
      </c>
      <c r="B1064" s="1" t="s">
        <v>1136</v>
      </c>
      <c r="C1064" s="1" t="s">
        <v>3015</v>
      </c>
      <c r="D1064" s="1" t="s">
        <v>63</v>
      </c>
      <c r="E1064" s="1">
        <v>85032</v>
      </c>
      <c r="F1064" s="1" t="s">
        <v>3016</v>
      </c>
      <c r="G1064" s="1" t="s">
        <v>2985</v>
      </c>
      <c r="H1064" s="4" t="s">
        <v>3017</v>
      </c>
      <c r="I1064" s="5" t="s">
        <v>57</v>
      </c>
      <c r="J1064" s="5" t="s">
        <v>37</v>
      </c>
      <c r="K1064" s="5" t="s">
        <v>37</v>
      </c>
      <c r="L1064" s="7" t="s">
        <v>3018</v>
      </c>
      <c r="M1064" s="5" t="s">
        <v>37</v>
      </c>
      <c r="N1064" s="5" t="s">
        <v>37</v>
      </c>
      <c r="O1064" s="5" t="s">
        <v>38</v>
      </c>
      <c r="Q1064" s="2">
        <v>45961</v>
      </c>
      <c r="R1064" s="1" t="s">
        <v>3019</v>
      </c>
      <c r="V106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5" spans="1:22" hidden="1">
      <c r="A1065" s="2">
        <v>45912</v>
      </c>
      <c r="B1065" s="1" t="s">
        <v>3020</v>
      </c>
      <c r="C1065" s="1" t="s">
        <v>3021</v>
      </c>
      <c r="D1065" s="1" t="s">
        <v>63</v>
      </c>
      <c r="E1065" s="1">
        <v>85034</v>
      </c>
      <c r="F1065" s="1" t="s">
        <v>310</v>
      </c>
      <c r="G1065" s="1" t="s">
        <v>2985</v>
      </c>
      <c r="H1065" s="4" t="s">
        <v>209</v>
      </c>
      <c r="V106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6" spans="1:22" hidden="1">
      <c r="A1066" s="2">
        <v>45913</v>
      </c>
      <c r="B1066" s="1" t="s">
        <v>3022</v>
      </c>
      <c r="C1066" s="1" t="s">
        <v>3023</v>
      </c>
      <c r="D1066" s="1" t="s">
        <v>523</v>
      </c>
      <c r="E1066" s="1">
        <v>85392</v>
      </c>
      <c r="F1066" s="1" t="s">
        <v>31</v>
      </c>
      <c r="G1066" s="1" t="s">
        <v>2985</v>
      </c>
      <c r="H1066" s="4" t="s">
        <v>3024</v>
      </c>
      <c r="I1066" s="5" t="s">
        <v>250</v>
      </c>
      <c r="J1066" s="5" t="s">
        <v>37</v>
      </c>
      <c r="K1066" s="5" t="s">
        <v>37</v>
      </c>
      <c r="L1066" s="5" t="s">
        <v>1586</v>
      </c>
      <c r="M1066" s="5" t="s">
        <v>37</v>
      </c>
      <c r="N1066" s="5" t="s">
        <v>37</v>
      </c>
      <c r="O1066" s="5" t="s">
        <v>38</v>
      </c>
      <c r="P1066" s="5" t="s">
        <v>39</v>
      </c>
      <c r="Q1066" s="2">
        <v>45961</v>
      </c>
      <c r="V106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7" spans="1:22" hidden="1">
      <c r="A1067" s="2">
        <v>45913</v>
      </c>
      <c r="B1067" s="1" t="s">
        <v>3025</v>
      </c>
      <c r="C1067" s="1" t="s">
        <v>1634</v>
      </c>
      <c r="D1067" s="1" t="s">
        <v>63</v>
      </c>
      <c r="E1067" s="1">
        <v>85032</v>
      </c>
      <c r="F1067" s="1" t="s">
        <v>31</v>
      </c>
      <c r="G1067" s="1" t="s">
        <v>2985</v>
      </c>
      <c r="H1067" s="4" t="s">
        <v>27</v>
      </c>
      <c r="V106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8" spans="1:22" hidden="1">
      <c r="A1068" s="2">
        <v>45913</v>
      </c>
      <c r="B1068" s="1" t="s">
        <v>3026</v>
      </c>
      <c r="C1068" s="1" t="s">
        <v>3006</v>
      </c>
      <c r="D1068" s="1" t="s">
        <v>63</v>
      </c>
      <c r="E1068" s="1">
        <v>85003</v>
      </c>
      <c r="F1068" s="1" t="s">
        <v>31</v>
      </c>
      <c r="G1068" s="1" t="s">
        <v>2985</v>
      </c>
      <c r="H1068" s="4" t="s">
        <v>27</v>
      </c>
      <c r="V106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69" spans="1:22" hidden="1">
      <c r="A1069" s="2">
        <v>45913</v>
      </c>
      <c r="B1069" s="1" t="s">
        <v>3027</v>
      </c>
      <c r="C1069" s="1" t="s">
        <v>3028</v>
      </c>
      <c r="D1069" s="1" t="s">
        <v>112</v>
      </c>
      <c r="E1069" s="1">
        <v>85374</v>
      </c>
      <c r="F1069" s="1" t="s">
        <v>31</v>
      </c>
      <c r="G1069" s="1" t="s">
        <v>2985</v>
      </c>
      <c r="H1069" s="4" t="s">
        <v>27</v>
      </c>
      <c r="V106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0" spans="1:22" hidden="1">
      <c r="A1070" s="2">
        <v>45913</v>
      </c>
      <c r="B1070" s="1" t="s">
        <v>2046</v>
      </c>
      <c r="C1070" s="1" t="s">
        <v>597</v>
      </c>
      <c r="D1070" s="1" t="s">
        <v>169</v>
      </c>
      <c r="E1070" s="1">
        <v>85338</v>
      </c>
      <c r="F1070" s="1" t="s">
        <v>31</v>
      </c>
      <c r="G1070" s="1" t="s">
        <v>2985</v>
      </c>
      <c r="H1070" s="4" t="s">
        <v>209</v>
      </c>
      <c r="V107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1" spans="1:22" hidden="1">
      <c r="A1071" s="2">
        <v>45913</v>
      </c>
      <c r="B1071" s="1" t="s">
        <v>3029</v>
      </c>
      <c r="C1071" s="1" t="s">
        <v>3030</v>
      </c>
      <c r="D1071" s="1" t="s">
        <v>63</v>
      </c>
      <c r="E1071" s="1">
        <v>85022</v>
      </c>
      <c r="F1071" s="1" t="s">
        <v>31</v>
      </c>
      <c r="G1071" s="1" t="s">
        <v>2985</v>
      </c>
      <c r="H1071" s="4" t="s">
        <v>3031</v>
      </c>
      <c r="I1071" s="5" t="s">
        <v>73</v>
      </c>
      <c r="J1071" s="5" t="s">
        <v>37</v>
      </c>
      <c r="K1071" s="5" t="s">
        <v>37</v>
      </c>
      <c r="L1071" s="5" t="s">
        <v>1586</v>
      </c>
      <c r="M1071" s="5" t="s">
        <v>37</v>
      </c>
      <c r="N1071" s="5" t="s">
        <v>37</v>
      </c>
      <c r="O1071" s="5" t="s">
        <v>38</v>
      </c>
      <c r="P1071" s="5" t="s">
        <v>39</v>
      </c>
      <c r="Q1071" s="2">
        <v>45961</v>
      </c>
      <c r="V107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2" spans="1:22" hidden="1">
      <c r="A1072" s="2">
        <v>45913</v>
      </c>
      <c r="B1072" s="1" t="s">
        <v>2995</v>
      </c>
      <c r="C1072" s="1" t="s">
        <v>312</v>
      </c>
      <c r="D1072" s="1" t="s">
        <v>24</v>
      </c>
      <c r="E1072" s="1">
        <v>85308</v>
      </c>
      <c r="F1072" s="1" t="s">
        <v>31</v>
      </c>
      <c r="G1072" s="1" t="s">
        <v>2985</v>
      </c>
      <c r="H1072" s="4" t="s">
        <v>2997</v>
      </c>
      <c r="I1072" s="5" t="s">
        <v>541</v>
      </c>
      <c r="J1072" s="5" t="s">
        <v>37</v>
      </c>
      <c r="K1072" s="5" t="s">
        <v>37</v>
      </c>
      <c r="L1072" s="5" t="s">
        <v>389</v>
      </c>
      <c r="M1072" s="5" t="s">
        <v>37</v>
      </c>
      <c r="N1072" s="5" t="s">
        <v>37</v>
      </c>
      <c r="O1072" s="5" t="s">
        <v>38</v>
      </c>
      <c r="P1072" s="5" t="s">
        <v>39</v>
      </c>
      <c r="Q1072" s="2">
        <v>45961</v>
      </c>
      <c r="V107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3" spans="1:22" hidden="1">
      <c r="A1073" s="2">
        <v>45914</v>
      </c>
      <c r="B1073" s="1" t="s">
        <v>3032</v>
      </c>
      <c r="C1073" s="1" t="s">
        <v>3033</v>
      </c>
      <c r="D1073" s="1" t="s">
        <v>370</v>
      </c>
      <c r="E1073" s="1">
        <v>85225</v>
      </c>
      <c r="F1073" s="1" t="s">
        <v>310</v>
      </c>
      <c r="G1073" s="1" t="s">
        <v>2985</v>
      </c>
      <c r="H1073" s="4" t="s">
        <v>3034</v>
      </c>
      <c r="I1073" s="5" t="s">
        <v>3035</v>
      </c>
      <c r="J1073" s="5" t="s">
        <v>37</v>
      </c>
      <c r="K1073" s="5" t="s">
        <v>37</v>
      </c>
      <c r="L1073" s="5" t="s">
        <v>3036</v>
      </c>
      <c r="M1073" s="5" t="s">
        <v>37</v>
      </c>
      <c r="N1073" s="5" t="s">
        <v>37</v>
      </c>
      <c r="O1073" s="5" t="s">
        <v>38</v>
      </c>
      <c r="P1073" s="5" t="s">
        <v>39</v>
      </c>
      <c r="Q1073" s="2">
        <v>45961</v>
      </c>
      <c r="V107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4" spans="1:22" hidden="1">
      <c r="A1074" s="2">
        <v>45914</v>
      </c>
      <c r="B1074" s="1" t="s">
        <v>3037</v>
      </c>
      <c r="C1074" s="1" t="s">
        <v>611</v>
      </c>
      <c r="D1074" s="1" t="s">
        <v>63</v>
      </c>
      <c r="E1074" s="1">
        <v>85020</v>
      </c>
      <c r="F1074" s="1" t="s">
        <v>31</v>
      </c>
      <c r="G1074" s="1" t="s">
        <v>2985</v>
      </c>
      <c r="H1074" s="4" t="s">
        <v>3038</v>
      </c>
      <c r="I1074" s="5" t="s">
        <v>418</v>
      </c>
      <c r="J1074" s="5" t="s">
        <v>37</v>
      </c>
      <c r="K1074" s="5" t="s">
        <v>37</v>
      </c>
      <c r="L1074" s="5" t="s">
        <v>389</v>
      </c>
      <c r="M1074" s="5" t="s">
        <v>37</v>
      </c>
      <c r="N1074" s="5" t="s">
        <v>37</v>
      </c>
      <c r="O1074" s="5" t="s">
        <v>38</v>
      </c>
      <c r="P1074" s="5" t="s">
        <v>39</v>
      </c>
      <c r="Q1074" s="2">
        <v>45961</v>
      </c>
      <c r="V107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5" spans="1:22" hidden="1">
      <c r="A1075" s="2">
        <v>45914</v>
      </c>
      <c r="B1075" s="1" t="s">
        <v>926</v>
      </c>
      <c r="C1075" s="1" t="s">
        <v>1079</v>
      </c>
      <c r="D1075" s="1" t="s">
        <v>619</v>
      </c>
      <c r="E1075" s="1">
        <v>85365</v>
      </c>
      <c r="F1075" s="1" t="s">
        <v>3039</v>
      </c>
      <c r="G1075" s="1" t="s">
        <v>2985</v>
      </c>
      <c r="H1075" s="4" t="s">
        <v>209</v>
      </c>
      <c r="V107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6" spans="1:22" hidden="1">
      <c r="A1076" s="2">
        <v>45914</v>
      </c>
      <c r="B1076" s="1" t="s">
        <v>1884</v>
      </c>
      <c r="C1076" s="1" t="s">
        <v>3040</v>
      </c>
      <c r="D1076" s="1" t="s">
        <v>619</v>
      </c>
      <c r="E1076" s="1">
        <v>85364</v>
      </c>
      <c r="F1076" s="1" t="s">
        <v>3041</v>
      </c>
      <c r="G1076" s="1" t="s">
        <v>2985</v>
      </c>
      <c r="H1076" s="22" t="s">
        <v>3042</v>
      </c>
      <c r="I1076" s="5" t="s">
        <v>250</v>
      </c>
      <c r="J1076" s="5" t="s">
        <v>37</v>
      </c>
      <c r="K1076" s="5" t="s">
        <v>37</v>
      </c>
      <c r="L1076" s="7" t="s">
        <v>3043</v>
      </c>
      <c r="M1076" s="5" t="s">
        <v>38</v>
      </c>
      <c r="N1076" s="15">
        <v>722.34</v>
      </c>
      <c r="O1076" s="5" t="s">
        <v>38</v>
      </c>
      <c r="Q1076" s="2">
        <v>45961</v>
      </c>
      <c r="R1076" s="1" t="s">
        <v>3044</v>
      </c>
      <c r="U1076" s="1" t="s">
        <v>3045</v>
      </c>
      <c r="V107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7" spans="1:22" hidden="1">
      <c r="A1077" s="2">
        <v>45914</v>
      </c>
      <c r="B1077" s="1" t="s">
        <v>3046</v>
      </c>
      <c r="C1077" s="1" t="s">
        <v>333</v>
      </c>
      <c r="D1077" s="1" t="s">
        <v>63</v>
      </c>
      <c r="E1077" s="1">
        <v>85281</v>
      </c>
      <c r="F1077" s="1" t="s">
        <v>310</v>
      </c>
      <c r="G1077" s="1" t="s">
        <v>2985</v>
      </c>
      <c r="H1077" s="4" t="s">
        <v>3047</v>
      </c>
      <c r="I1077" s="5" t="s">
        <v>73</v>
      </c>
      <c r="J1077" s="5" t="s">
        <v>38</v>
      </c>
      <c r="K1077" s="5" t="s">
        <v>37</v>
      </c>
      <c r="L1077" s="5" t="s">
        <v>38</v>
      </c>
      <c r="M1077" s="5" t="s">
        <v>37</v>
      </c>
      <c r="N1077" s="5" t="s">
        <v>37</v>
      </c>
      <c r="O1077" s="5" t="s">
        <v>38</v>
      </c>
      <c r="P1077" s="5" t="s">
        <v>39</v>
      </c>
      <c r="Q1077" s="2">
        <v>45961</v>
      </c>
      <c r="V107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8" spans="1:22" hidden="1">
      <c r="A1078" s="2">
        <v>45914</v>
      </c>
      <c r="B1078" s="1" t="s">
        <v>3048</v>
      </c>
      <c r="C1078" s="1" t="s">
        <v>1472</v>
      </c>
      <c r="D1078" s="1" t="s">
        <v>202</v>
      </c>
      <c r="E1078" s="1">
        <v>85383</v>
      </c>
      <c r="F1078" s="1" t="s">
        <v>3049</v>
      </c>
      <c r="G1078" s="1" t="s">
        <v>2985</v>
      </c>
      <c r="H1078" s="4" t="s">
        <v>27</v>
      </c>
      <c r="V107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79" spans="1:22" hidden="1">
      <c r="A1079" s="2">
        <v>45914</v>
      </c>
      <c r="B1079" s="1" t="s">
        <v>2951</v>
      </c>
      <c r="C1079" s="1" t="s">
        <v>3006</v>
      </c>
      <c r="D1079" s="1" t="s">
        <v>125</v>
      </c>
      <c r="E1079" s="1">
        <v>85260</v>
      </c>
      <c r="F1079" s="1" t="s">
        <v>3050</v>
      </c>
      <c r="G1079" s="1" t="s">
        <v>2985</v>
      </c>
      <c r="H1079" s="4" t="s">
        <v>3051</v>
      </c>
      <c r="I1079" s="5" t="s">
        <v>196</v>
      </c>
      <c r="J1079" s="5" t="s">
        <v>37</v>
      </c>
      <c r="K1079" s="5" t="s">
        <v>37</v>
      </c>
      <c r="L1079" s="5" t="s">
        <v>3052</v>
      </c>
      <c r="M1079" s="5" t="s">
        <v>37</v>
      </c>
      <c r="N1079" s="5" t="s">
        <v>37</v>
      </c>
      <c r="O1079" s="5" t="s">
        <v>38</v>
      </c>
      <c r="P1079" s="5" t="s">
        <v>39</v>
      </c>
      <c r="Q1079" s="2">
        <v>45961</v>
      </c>
      <c r="V107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0" spans="1:22" hidden="1">
      <c r="A1080" s="2">
        <v>45917</v>
      </c>
      <c r="B1080" s="1" t="s">
        <v>3053</v>
      </c>
      <c r="C1080" s="1" t="s">
        <v>184</v>
      </c>
      <c r="D1080" s="1" t="s">
        <v>63</v>
      </c>
      <c r="E1080" s="1">
        <v>85023</v>
      </c>
      <c r="F1080" s="1" t="s">
        <v>3054</v>
      </c>
      <c r="G1080" s="1" t="s">
        <v>3055</v>
      </c>
      <c r="H1080" s="4" t="s">
        <v>3056</v>
      </c>
      <c r="I1080" s="5" t="s">
        <v>196</v>
      </c>
      <c r="J1080" s="5" t="s">
        <v>37</v>
      </c>
      <c r="K1080" s="5" t="s">
        <v>37</v>
      </c>
      <c r="L1080" s="7" t="s">
        <v>3057</v>
      </c>
      <c r="M1080" s="5" t="s">
        <v>37</v>
      </c>
      <c r="N1080" s="5" t="s">
        <v>37</v>
      </c>
      <c r="O1080" s="5" t="s">
        <v>38</v>
      </c>
      <c r="P1080" s="2">
        <v>45939</v>
      </c>
      <c r="Q1080" s="2">
        <v>45961</v>
      </c>
      <c r="R1080" s="1" t="s">
        <v>2474</v>
      </c>
      <c r="V108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1" spans="1:22" hidden="1">
      <c r="A1081" s="2">
        <v>45917</v>
      </c>
      <c r="B1081" s="1" t="s">
        <v>3058</v>
      </c>
      <c r="C1081" s="1" t="s">
        <v>225</v>
      </c>
      <c r="D1081" s="1" t="s">
        <v>737</v>
      </c>
      <c r="E1081" s="1">
        <v>86326</v>
      </c>
      <c r="F1081" s="1" t="s">
        <v>3059</v>
      </c>
      <c r="G1081" s="1" t="s">
        <v>3060</v>
      </c>
      <c r="H1081" s="4" t="s">
        <v>3061</v>
      </c>
      <c r="I1081" s="5" t="s">
        <v>36</v>
      </c>
      <c r="J1081" s="5" t="s">
        <v>37</v>
      </c>
      <c r="K1081" s="5" t="s">
        <v>37</v>
      </c>
      <c r="L1081" s="5" t="s">
        <v>38</v>
      </c>
      <c r="M1081" s="5" t="s">
        <v>37</v>
      </c>
      <c r="N1081" s="5" t="s">
        <v>37</v>
      </c>
      <c r="O1081" s="5" t="s">
        <v>38</v>
      </c>
      <c r="P1081" s="5" t="s">
        <v>39</v>
      </c>
      <c r="Q1081" s="2">
        <v>45961</v>
      </c>
      <c r="V108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2" spans="1:22" hidden="1">
      <c r="A1082" s="2">
        <v>45917</v>
      </c>
      <c r="B1082" s="1" t="s">
        <v>3062</v>
      </c>
      <c r="C1082" s="1" t="s">
        <v>879</v>
      </c>
      <c r="D1082" s="1" t="s">
        <v>737</v>
      </c>
      <c r="E1082" s="1">
        <v>86326</v>
      </c>
      <c r="F1082" s="1" t="s">
        <v>31</v>
      </c>
      <c r="G1082" s="1" t="s">
        <v>3060</v>
      </c>
      <c r="H1082" s="4" t="s">
        <v>3063</v>
      </c>
      <c r="I1082" s="5" t="s">
        <v>46</v>
      </c>
      <c r="J1082" s="5" t="s">
        <v>37</v>
      </c>
      <c r="K1082" s="5" t="s">
        <v>37</v>
      </c>
      <c r="L1082" s="5" t="s">
        <v>38</v>
      </c>
      <c r="M1082" s="5" t="s">
        <v>37</v>
      </c>
      <c r="N1082" s="5" t="s">
        <v>37</v>
      </c>
      <c r="O1082" s="5" t="s">
        <v>38</v>
      </c>
      <c r="P1082" s="5" t="s">
        <v>39</v>
      </c>
      <c r="Q1082" s="2">
        <v>45961</v>
      </c>
      <c r="V108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3" spans="1:22" hidden="1">
      <c r="A1083" s="2">
        <v>45917</v>
      </c>
      <c r="B1083" s="1" t="s">
        <v>3064</v>
      </c>
      <c r="C1083" s="1" t="s">
        <v>284</v>
      </c>
      <c r="D1083" s="1" t="s">
        <v>63</v>
      </c>
      <c r="E1083" s="1">
        <v>85050</v>
      </c>
      <c r="F1083" s="1" t="s">
        <v>3065</v>
      </c>
      <c r="G1083" s="1" t="s">
        <v>3060</v>
      </c>
      <c r="H1083" s="4" t="s">
        <v>3066</v>
      </c>
      <c r="I1083" s="5" t="s">
        <v>36</v>
      </c>
      <c r="J1083" s="5" t="s">
        <v>37</v>
      </c>
      <c r="K1083" s="5" t="s">
        <v>37</v>
      </c>
      <c r="L1083" s="5" t="s">
        <v>38</v>
      </c>
      <c r="M1083" s="5" t="s">
        <v>37</v>
      </c>
      <c r="N1083" s="5" t="s">
        <v>37</v>
      </c>
      <c r="O1083" s="5" t="s">
        <v>38</v>
      </c>
      <c r="P1083" s="5" t="s">
        <v>39</v>
      </c>
      <c r="Q1083" s="2">
        <v>45961</v>
      </c>
      <c r="V108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4" spans="1:22" hidden="1">
      <c r="A1084" s="2">
        <v>45917</v>
      </c>
      <c r="B1084" s="1" t="s">
        <v>1776</v>
      </c>
      <c r="C1084" s="1" t="s">
        <v>312</v>
      </c>
      <c r="D1084" s="1" t="s">
        <v>63</v>
      </c>
      <c r="E1084" s="1">
        <v>85023</v>
      </c>
      <c r="F1084" s="1" t="s">
        <v>310</v>
      </c>
      <c r="G1084" s="1" t="s">
        <v>3055</v>
      </c>
      <c r="H1084" s="4" t="s">
        <v>3067</v>
      </c>
      <c r="I1084" s="5" t="s">
        <v>250</v>
      </c>
      <c r="J1084" s="5" t="s">
        <v>37</v>
      </c>
      <c r="K1084" s="5" t="s">
        <v>37</v>
      </c>
      <c r="L1084" s="5" t="s">
        <v>38</v>
      </c>
      <c r="M1084" s="5" t="s">
        <v>37</v>
      </c>
      <c r="N1084" s="5" t="s">
        <v>37</v>
      </c>
      <c r="O1084" s="5" t="s">
        <v>38</v>
      </c>
      <c r="P1084" s="5" t="s">
        <v>39</v>
      </c>
      <c r="Q1084" s="2">
        <v>45961</v>
      </c>
      <c r="V108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5" spans="1:22" hidden="1">
      <c r="A1085" s="2">
        <v>45917</v>
      </c>
      <c r="B1085" s="1" t="s">
        <v>3068</v>
      </c>
      <c r="C1085" s="1" t="s">
        <v>3069</v>
      </c>
      <c r="D1085" s="1" t="s">
        <v>370</v>
      </c>
      <c r="E1085" s="1">
        <v>85225</v>
      </c>
      <c r="F1085" s="1" t="s">
        <v>3070</v>
      </c>
      <c r="G1085" s="1" t="s">
        <v>3071</v>
      </c>
      <c r="H1085" s="4" t="s">
        <v>3072</v>
      </c>
      <c r="I1085" s="5" t="s">
        <v>196</v>
      </c>
      <c r="J1085" s="5" t="s">
        <v>37</v>
      </c>
      <c r="K1085" s="5" t="s">
        <v>37</v>
      </c>
      <c r="L1085" s="7" t="s">
        <v>3073</v>
      </c>
      <c r="M1085" s="5" t="s">
        <v>37</v>
      </c>
      <c r="N1085" s="5" t="s">
        <v>37</v>
      </c>
      <c r="O1085" s="5" t="s">
        <v>38</v>
      </c>
      <c r="Q1085" s="2">
        <v>45961</v>
      </c>
      <c r="R1085" s="1" t="s">
        <v>3074</v>
      </c>
      <c r="V108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6" spans="1:22" hidden="1">
      <c r="A1086" s="2">
        <v>45917</v>
      </c>
      <c r="B1086" s="1" t="s">
        <v>3075</v>
      </c>
      <c r="C1086" s="1" t="s">
        <v>1815</v>
      </c>
      <c r="D1086" s="1" t="s">
        <v>125</v>
      </c>
      <c r="E1086" s="1">
        <v>85257</v>
      </c>
      <c r="F1086" s="1" t="s">
        <v>3076</v>
      </c>
      <c r="G1086" s="1" t="s">
        <v>3071</v>
      </c>
      <c r="H1086" s="4" t="s">
        <v>3077</v>
      </c>
      <c r="I1086" s="5" t="s">
        <v>36</v>
      </c>
      <c r="J1086" s="5" t="s">
        <v>37</v>
      </c>
      <c r="K1086" s="5" t="s">
        <v>37</v>
      </c>
      <c r="L1086" s="5" t="s">
        <v>38</v>
      </c>
      <c r="M1086" s="5" t="s">
        <v>37</v>
      </c>
      <c r="N1086" s="5" t="s">
        <v>37</v>
      </c>
      <c r="O1086" s="5" t="s">
        <v>38</v>
      </c>
      <c r="P1086" s="5" t="s">
        <v>39</v>
      </c>
      <c r="Q1086" s="2">
        <v>45961</v>
      </c>
      <c r="V108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7" spans="1:22" hidden="1">
      <c r="A1087" s="2">
        <v>45917</v>
      </c>
      <c r="B1087" s="1" t="s">
        <v>3078</v>
      </c>
      <c r="C1087" s="1" t="s">
        <v>2116</v>
      </c>
      <c r="D1087" s="1" t="s">
        <v>24</v>
      </c>
      <c r="E1087" s="1">
        <v>85310</v>
      </c>
      <c r="F1087" s="1" t="s">
        <v>3079</v>
      </c>
      <c r="G1087" s="1" t="s">
        <v>3071</v>
      </c>
      <c r="H1087" s="4" t="s">
        <v>3080</v>
      </c>
      <c r="I1087" s="5" t="s">
        <v>36</v>
      </c>
      <c r="J1087" s="5" t="s">
        <v>37</v>
      </c>
      <c r="K1087" s="5" t="s">
        <v>37</v>
      </c>
      <c r="L1087" s="5" t="s">
        <v>38</v>
      </c>
      <c r="M1087" s="5" t="s">
        <v>37</v>
      </c>
      <c r="N1087" s="5" t="s">
        <v>37</v>
      </c>
      <c r="O1087" s="5" t="s">
        <v>38</v>
      </c>
      <c r="P1087" s="5" t="s">
        <v>39</v>
      </c>
      <c r="Q1087" s="2">
        <v>45961</v>
      </c>
      <c r="V108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8" spans="1:22" hidden="1">
      <c r="A1088" s="2">
        <v>45918</v>
      </c>
      <c r="B1088" s="1" t="s">
        <v>3081</v>
      </c>
      <c r="C1088" s="1" t="s">
        <v>548</v>
      </c>
      <c r="D1088" s="1" t="s">
        <v>169</v>
      </c>
      <c r="E1088" s="1">
        <v>85338</v>
      </c>
      <c r="F1088" s="1" t="s">
        <v>3082</v>
      </c>
      <c r="G1088" s="1" t="s">
        <v>3083</v>
      </c>
      <c r="H1088" s="4" t="s">
        <v>3084</v>
      </c>
      <c r="I1088" s="5" t="s">
        <v>36</v>
      </c>
      <c r="J1088" s="5" t="s">
        <v>37</v>
      </c>
      <c r="K1088" s="5" t="s">
        <v>37</v>
      </c>
      <c r="L1088" s="5" t="s">
        <v>38</v>
      </c>
      <c r="M1088" s="5" t="s">
        <v>37</v>
      </c>
      <c r="N1088" s="5" t="s">
        <v>37</v>
      </c>
      <c r="O1088" s="5" t="s">
        <v>38</v>
      </c>
      <c r="P1088" s="5" t="s">
        <v>39</v>
      </c>
      <c r="Q1088" s="2">
        <v>45961</v>
      </c>
      <c r="V108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89" spans="1:22" hidden="1">
      <c r="A1089" s="2">
        <v>45918</v>
      </c>
      <c r="B1089" s="1" t="s">
        <v>3085</v>
      </c>
      <c r="C1089" s="1" t="s">
        <v>399</v>
      </c>
      <c r="D1089" s="1" t="s">
        <v>24</v>
      </c>
      <c r="E1089" s="1">
        <v>85310</v>
      </c>
      <c r="F1089" s="1" t="s">
        <v>3086</v>
      </c>
      <c r="G1089" s="1" t="s">
        <v>3083</v>
      </c>
      <c r="H1089" s="4" t="s">
        <v>27</v>
      </c>
      <c r="V1089"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0" spans="1:22" hidden="1">
      <c r="A1090" s="2">
        <v>45918</v>
      </c>
      <c r="B1090" s="1" t="s">
        <v>1148</v>
      </c>
      <c r="C1090" s="1" t="s">
        <v>821</v>
      </c>
      <c r="D1090" s="1" t="s">
        <v>169</v>
      </c>
      <c r="E1090" s="1">
        <v>85338</v>
      </c>
      <c r="F1090" s="1" t="s">
        <v>3087</v>
      </c>
      <c r="G1090" s="1" t="s">
        <v>3083</v>
      </c>
      <c r="H1090" s="4" t="s">
        <v>27</v>
      </c>
      <c r="V1090"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1" spans="1:22" hidden="1">
      <c r="A1091" s="2">
        <v>45918</v>
      </c>
      <c r="B1091" s="1" t="s">
        <v>1765</v>
      </c>
      <c r="C1091" s="1" t="s">
        <v>145</v>
      </c>
      <c r="D1091" s="1" t="s">
        <v>63</v>
      </c>
      <c r="E1091" s="1">
        <v>85032</v>
      </c>
      <c r="F1091" s="1" t="s">
        <v>3088</v>
      </c>
      <c r="G1091" s="1" t="s">
        <v>3083</v>
      </c>
      <c r="H1091" s="4" t="s">
        <v>3089</v>
      </c>
      <c r="I1091" s="5" t="s">
        <v>196</v>
      </c>
      <c r="J1091" s="5" t="s">
        <v>37</v>
      </c>
      <c r="K1091" s="5" t="s">
        <v>37</v>
      </c>
      <c r="L1091" s="5" t="s">
        <v>38</v>
      </c>
      <c r="M1091" s="5" t="s">
        <v>37</v>
      </c>
      <c r="N1091" s="5" t="s">
        <v>37</v>
      </c>
      <c r="O1091" s="5" t="s">
        <v>38</v>
      </c>
      <c r="P1091" s="5" t="s">
        <v>39</v>
      </c>
      <c r="Q1091" s="2">
        <v>45961</v>
      </c>
      <c r="V1091"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2" spans="1:22" hidden="1">
      <c r="A1092" s="2">
        <v>45918</v>
      </c>
      <c r="B1092" s="1" t="s">
        <v>3090</v>
      </c>
      <c r="C1092" s="1" t="s">
        <v>208</v>
      </c>
      <c r="D1092" s="1" t="s">
        <v>3091</v>
      </c>
      <c r="E1092" s="1">
        <v>86032</v>
      </c>
      <c r="F1092" s="1" t="s">
        <v>3092</v>
      </c>
      <c r="G1092" s="1" t="s">
        <v>3083</v>
      </c>
      <c r="H1092" s="4" t="s">
        <v>3093</v>
      </c>
      <c r="I1092" s="5" t="s">
        <v>46</v>
      </c>
      <c r="J1092" s="5" t="s">
        <v>37</v>
      </c>
      <c r="K1092" s="5" t="s">
        <v>37</v>
      </c>
      <c r="L1092" s="5" t="s">
        <v>38</v>
      </c>
      <c r="M1092" s="5" t="s">
        <v>38</v>
      </c>
      <c r="N1092" s="13">
        <v>361.43</v>
      </c>
      <c r="O1092" s="5" t="s">
        <v>38</v>
      </c>
      <c r="P1092" s="5" t="s">
        <v>39</v>
      </c>
      <c r="Q1092" s="2">
        <v>45961</v>
      </c>
      <c r="R1092" s="1" t="s">
        <v>3094</v>
      </c>
      <c r="V1092"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3" spans="1:22" hidden="1">
      <c r="A1093" s="2">
        <v>45918</v>
      </c>
      <c r="B1093" s="1" t="s">
        <v>3095</v>
      </c>
      <c r="C1093" s="1" t="s">
        <v>747</v>
      </c>
      <c r="D1093" s="1" t="s">
        <v>63</v>
      </c>
      <c r="E1093" s="1">
        <v>85024</v>
      </c>
      <c r="F1093" s="1" t="s">
        <v>3096</v>
      </c>
      <c r="G1093" s="1" t="s">
        <v>3083</v>
      </c>
      <c r="H1093" s="4" t="s">
        <v>27</v>
      </c>
      <c r="V1093"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4" spans="1:22" hidden="1">
      <c r="A1094" s="2">
        <v>45918</v>
      </c>
      <c r="B1094" s="1" t="s">
        <v>3097</v>
      </c>
      <c r="C1094" s="1" t="s">
        <v>3098</v>
      </c>
      <c r="D1094" s="1" t="s">
        <v>174</v>
      </c>
      <c r="E1094" s="1">
        <v>85396</v>
      </c>
      <c r="F1094" s="1" t="s">
        <v>3099</v>
      </c>
      <c r="G1094" s="1" t="s">
        <v>3083</v>
      </c>
      <c r="H1094" s="19" t="s">
        <v>3100</v>
      </c>
      <c r="I1094" s="5" t="s">
        <v>36</v>
      </c>
      <c r="J1094" s="5" t="s">
        <v>38</v>
      </c>
      <c r="K1094" s="5" t="s">
        <v>37</v>
      </c>
      <c r="L1094" s="5" t="s">
        <v>38</v>
      </c>
      <c r="M1094" s="5" t="s">
        <v>38</v>
      </c>
      <c r="N1094" s="15">
        <v>2904.39</v>
      </c>
      <c r="O1094" s="5" t="s">
        <v>38</v>
      </c>
      <c r="Q1094" s="2">
        <v>45961</v>
      </c>
      <c r="R1094" s="1" t="s">
        <v>3101</v>
      </c>
      <c r="V1094"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5" spans="1:22" hidden="1">
      <c r="A1095" s="2">
        <v>45918</v>
      </c>
      <c r="B1095" s="1" t="s">
        <v>2571</v>
      </c>
      <c r="C1095" s="1" t="s">
        <v>594</v>
      </c>
      <c r="D1095" s="1" t="s">
        <v>63</v>
      </c>
      <c r="E1095" s="1">
        <v>85014</v>
      </c>
      <c r="F1095" s="1" t="s">
        <v>3102</v>
      </c>
      <c r="G1095" s="1" t="s">
        <v>3083</v>
      </c>
      <c r="H1095" s="4" t="s">
        <v>3103</v>
      </c>
      <c r="I1095" s="5" t="s">
        <v>36</v>
      </c>
      <c r="J1095" s="5" t="s">
        <v>38</v>
      </c>
      <c r="L1095" s="5" t="s">
        <v>38</v>
      </c>
      <c r="O1095" s="5" t="s">
        <v>38</v>
      </c>
      <c r="P1095" s="5" t="s">
        <v>39</v>
      </c>
      <c r="V1095"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6" spans="1:22" hidden="1">
      <c r="A1096" s="2">
        <v>45918</v>
      </c>
      <c r="B1096" s="1" t="s">
        <v>3104</v>
      </c>
      <c r="C1096" s="1" t="s">
        <v>481</v>
      </c>
      <c r="D1096" s="1" t="s">
        <v>1198</v>
      </c>
      <c r="E1096" s="1">
        <v>85607</v>
      </c>
      <c r="F1096" s="1" t="s">
        <v>3105</v>
      </c>
      <c r="G1096" s="1" t="s">
        <v>3083</v>
      </c>
      <c r="H1096" s="4" t="s">
        <v>90</v>
      </c>
      <c r="V1096"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7" spans="1:22" hidden="1">
      <c r="A1097" s="2">
        <v>45918</v>
      </c>
      <c r="B1097" s="1" t="s">
        <v>3106</v>
      </c>
      <c r="C1097" s="1" t="s">
        <v>382</v>
      </c>
      <c r="D1097" s="1" t="s">
        <v>635</v>
      </c>
      <c r="E1097" s="1">
        <v>85281</v>
      </c>
      <c r="F1097" s="1" t="s">
        <v>3107</v>
      </c>
      <c r="G1097" s="1" t="s">
        <v>3083</v>
      </c>
      <c r="H1097" s="4" t="s">
        <v>3108</v>
      </c>
      <c r="I1097" s="5" t="s">
        <v>36</v>
      </c>
      <c r="J1097" s="5" t="s">
        <v>37</v>
      </c>
      <c r="K1097" s="5" t="s">
        <v>37</v>
      </c>
      <c r="L1097" s="5" t="s">
        <v>38</v>
      </c>
      <c r="M1097" s="5" t="s">
        <v>37</v>
      </c>
      <c r="N1097" s="5" t="s">
        <v>37</v>
      </c>
      <c r="O1097" s="5" t="s">
        <v>38</v>
      </c>
      <c r="P1097" s="5" t="s">
        <v>39</v>
      </c>
      <c r="Q1097" s="2">
        <v>45961</v>
      </c>
      <c r="R1097" s="1" t="s">
        <v>3109</v>
      </c>
      <c r="V1097"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8" spans="1:22" hidden="1">
      <c r="A1098" s="2">
        <v>45918</v>
      </c>
      <c r="B1098" s="1" t="s">
        <v>3110</v>
      </c>
      <c r="C1098" s="1" t="s">
        <v>1647</v>
      </c>
      <c r="D1098" s="1" t="s">
        <v>3111</v>
      </c>
      <c r="E1098" s="1">
        <v>85901</v>
      </c>
      <c r="F1098" s="1" t="s">
        <v>3112</v>
      </c>
      <c r="G1098" s="1" t="s">
        <v>3083</v>
      </c>
      <c r="H1098" s="4" t="s">
        <v>3113</v>
      </c>
      <c r="I1098" s="5" t="s">
        <v>73</v>
      </c>
      <c r="J1098" s="5" t="s">
        <v>37</v>
      </c>
      <c r="K1098" s="5" t="s">
        <v>37</v>
      </c>
      <c r="L1098" s="5" t="s">
        <v>38</v>
      </c>
      <c r="M1098" s="5" t="s">
        <v>37</v>
      </c>
      <c r="N1098" s="5" t="s">
        <v>37</v>
      </c>
      <c r="O1098" s="5" t="s">
        <v>38</v>
      </c>
      <c r="P1098" s="5" t="s">
        <v>39</v>
      </c>
      <c r="Q1098" s="2">
        <v>45961</v>
      </c>
      <c r="V1098" s="46">
        <f>IF(
  OR(
    ISNUMBER(SEARCH("unable to locate acct", tblDocketedComments[[#This Row],[Docketed Consumer Comments]])),
    ISNUMBER(SEARCH("unknown", tblDocketedComments[[#This Row],[Docketed Consumer Comments]])),
    ISNUMBER(SEARCH("inactive", tblDocketedComments[[#This Row],[Docketed Consumer Comments]]))
  ),
  0,
  1
)</f>
        <v>1</v>
      </c>
    </row>
    <row r="1099" spans="1:22" hidden="1">
      <c r="A1099" s="2">
        <v>45918</v>
      </c>
      <c r="B1099" s="1" t="s">
        <v>3114</v>
      </c>
      <c r="C1099" s="1" t="s">
        <v>2643</v>
      </c>
      <c r="D1099" s="1" t="s">
        <v>169</v>
      </c>
      <c r="E1099" s="1">
        <v>85338</v>
      </c>
      <c r="F1099" s="1" t="s">
        <v>3115</v>
      </c>
      <c r="G1099" s="1" t="s">
        <v>3083</v>
      </c>
      <c r="H1099" s="4" t="s">
        <v>3116</v>
      </c>
      <c r="I1099" s="5" t="s">
        <v>126</v>
      </c>
      <c r="J1099" s="5" t="s">
        <v>37</v>
      </c>
      <c r="K1099" s="5" t="s">
        <v>37</v>
      </c>
      <c r="L1099" s="5" t="s">
        <v>38</v>
      </c>
      <c r="M1099" s="5" t="s">
        <v>37</v>
      </c>
      <c r="N1099" s="5" t="s">
        <v>37</v>
      </c>
      <c r="O1099" s="5" t="s">
        <v>38</v>
      </c>
      <c r="P1099" s="5" t="s">
        <v>39</v>
      </c>
      <c r="Q1099" s="2">
        <v>45961</v>
      </c>
      <c r="V109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0" spans="1:22" hidden="1">
      <c r="A1100" s="2">
        <v>45918</v>
      </c>
      <c r="B1100" s="1" t="s">
        <v>3117</v>
      </c>
      <c r="C1100" s="1" t="s">
        <v>3118</v>
      </c>
      <c r="D1100" s="1" t="s">
        <v>240</v>
      </c>
      <c r="E1100" s="1">
        <v>85340</v>
      </c>
      <c r="F1100" s="1" t="s">
        <v>310</v>
      </c>
      <c r="G1100" s="1" t="s">
        <v>3083</v>
      </c>
      <c r="H1100" s="4" t="s">
        <v>3119</v>
      </c>
      <c r="I1100" s="5" t="s">
        <v>196</v>
      </c>
      <c r="J1100" s="5" t="s">
        <v>37</v>
      </c>
      <c r="K1100" s="5" t="s">
        <v>37</v>
      </c>
      <c r="L1100" s="5" t="s">
        <v>3120</v>
      </c>
      <c r="M1100" s="5" t="s">
        <v>37</v>
      </c>
      <c r="N1100" s="5" t="s">
        <v>37</v>
      </c>
      <c r="O1100" s="5" t="s">
        <v>38</v>
      </c>
      <c r="P1100" s="5" t="s">
        <v>39</v>
      </c>
      <c r="Q1100" s="2">
        <v>45961</v>
      </c>
      <c r="V110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1" spans="1:22" hidden="1">
      <c r="A1101" s="2">
        <v>45918</v>
      </c>
      <c r="B1101" s="1" t="s">
        <v>655</v>
      </c>
      <c r="C1101" s="1" t="s">
        <v>3121</v>
      </c>
      <c r="D1101" s="1" t="s">
        <v>202</v>
      </c>
      <c r="E1101" s="1">
        <v>85383</v>
      </c>
      <c r="F1101" s="1" t="s">
        <v>3122</v>
      </c>
      <c r="G1101" s="1" t="s">
        <v>3083</v>
      </c>
      <c r="H1101" s="4" t="s">
        <v>27</v>
      </c>
      <c r="V110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2" spans="1:22" hidden="1">
      <c r="A1102" s="2">
        <v>45918</v>
      </c>
      <c r="B1102" s="1" t="s">
        <v>3123</v>
      </c>
      <c r="C1102" s="1" t="s">
        <v>3124</v>
      </c>
      <c r="D1102" s="1" t="s">
        <v>125</v>
      </c>
      <c r="E1102" s="1">
        <v>85260</v>
      </c>
      <c r="F1102" s="1" t="s">
        <v>3125</v>
      </c>
      <c r="G1102" s="1" t="s">
        <v>3083</v>
      </c>
      <c r="H1102" s="4" t="s">
        <v>3126</v>
      </c>
      <c r="I1102" s="5" t="s">
        <v>126</v>
      </c>
      <c r="J1102" s="5" t="s">
        <v>37</v>
      </c>
      <c r="K1102" s="5" t="s">
        <v>37</v>
      </c>
      <c r="L1102" s="5" t="s">
        <v>38</v>
      </c>
      <c r="M1102" s="5" t="s">
        <v>37</v>
      </c>
      <c r="N1102" s="5" t="s">
        <v>37</v>
      </c>
      <c r="O1102" s="5" t="s">
        <v>38</v>
      </c>
      <c r="P1102" s="5" t="s">
        <v>39</v>
      </c>
      <c r="Q1102" s="2">
        <v>45960</v>
      </c>
      <c r="V110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3" spans="1:22" hidden="1">
      <c r="A1103" s="2">
        <v>45918</v>
      </c>
      <c r="B1103" s="1" t="s">
        <v>3127</v>
      </c>
      <c r="C1103" s="1" t="s">
        <v>3128</v>
      </c>
      <c r="D1103" s="1" t="s">
        <v>169</v>
      </c>
      <c r="E1103" s="1">
        <v>85338</v>
      </c>
      <c r="F1103" s="1" t="s">
        <v>3129</v>
      </c>
      <c r="G1103" s="1" t="s">
        <v>3083</v>
      </c>
      <c r="H1103" s="4" t="s">
        <v>3130</v>
      </c>
      <c r="I1103" s="5" t="s">
        <v>243</v>
      </c>
      <c r="J1103" s="5" t="s">
        <v>37</v>
      </c>
      <c r="K1103" s="5" t="s">
        <v>37</v>
      </c>
      <c r="L1103" s="5" t="s">
        <v>389</v>
      </c>
      <c r="M1103" s="5" t="s">
        <v>37</v>
      </c>
      <c r="N1103" s="5" t="s">
        <v>37</v>
      </c>
      <c r="O1103" s="5" t="s">
        <v>38</v>
      </c>
      <c r="P1103" s="5" t="s">
        <v>39</v>
      </c>
      <c r="Q1103" s="2">
        <v>45960</v>
      </c>
      <c r="V110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4" spans="1:22" hidden="1">
      <c r="A1104" s="2">
        <v>45918</v>
      </c>
      <c r="B1104" s="1" t="s">
        <v>3131</v>
      </c>
      <c r="C1104" s="1" t="s">
        <v>3132</v>
      </c>
      <c r="D1104" s="1" t="s">
        <v>63</v>
      </c>
      <c r="E1104" s="1">
        <v>85029</v>
      </c>
      <c r="F1104" s="1" t="s">
        <v>3133</v>
      </c>
      <c r="G1104" s="1" t="s">
        <v>3083</v>
      </c>
      <c r="H1104" s="4" t="s">
        <v>3134</v>
      </c>
      <c r="I1104" s="5" t="s">
        <v>46</v>
      </c>
      <c r="J1104" s="5" t="s">
        <v>37</v>
      </c>
      <c r="K1104" s="5" t="s">
        <v>37</v>
      </c>
      <c r="L1104" s="5" t="s">
        <v>38</v>
      </c>
      <c r="M1104" s="5" t="s">
        <v>37</v>
      </c>
      <c r="N1104" s="5" t="s">
        <v>37</v>
      </c>
      <c r="O1104" s="5" t="s">
        <v>38</v>
      </c>
      <c r="P1104" s="5" t="s">
        <v>39</v>
      </c>
      <c r="Q1104" s="2">
        <v>45960</v>
      </c>
      <c r="V110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5" spans="1:22" hidden="1">
      <c r="A1105" s="2">
        <v>45918</v>
      </c>
      <c r="B1105" s="1" t="s">
        <v>3135</v>
      </c>
      <c r="C1105" s="1" t="s">
        <v>548</v>
      </c>
      <c r="D1105" s="1" t="s">
        <v>63</v>
      </c>
      <c r="E1105" s="1">
        <v>85053</v>
      </c>
      <c r="F1105" s="1" t="s">
        <v>3136</v>
      </c>
      <c r="G1105" s="1" t="s">
        <v>3083</v>
      </c>
      <c r="H1105" s="4" t="s">
        <v>3137</v>
      </c>
      <c r="I1105" s="5" t="s">
        <v>36</v>
      </c>
      <c r="J1105" s="5" t="s">
        <v>37</v>
      </c>
      <c r="K1105" s="5" t="s">
        <v>37</v>
      </c>
      <c r="L1105" s="5" t="s">
        <v>38</v>
      </c>
      <c r="M1105" s="5" t="s">
        <v>37</v>
      </c>
      <c r="N1105" s="5" t="s">
        <v>37</v>
      </c>
      <c r="O1105" s="5" t="s">
        <v>38</v>
      </c>
      <c r="P1105" s="5" t="s">
        <v>39</v>
      </c>
      <c r="Q1105" s="2">
        <v>45960</v>
      </c>
      <c r="V110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6" spans="1:22" hidden="1">
      <c r="A1106" s="2">
        <v>45918</v>
      </c>
      <c r="B1106" s="1" t="s">
        <v>3138</v>
      </c>
      <c r="C1106" s="1" t="s">
        <v>481</v>
      </c>
      <c r="D1106" s="1" t="s">
        <v>169</v>
      </c>
      <c r="E1106" s="1">
        <v>85338</v>
      </c>
      <c r="F1106" s="1" t="s">
        <v>3139</v>
      </c>
      <c r="G1106" s="1" t="s">
        <v>3083</v>
      </c>
      <c r="H1106" s="4" t="s">
        <v>3130</v>
      </c>
      <c r="I1106" s="5" t="s">
        <v>243</v>
      </c>
      <c r="J1106" s="5" t="s">
        <v>37</v>
      </c>
      <c r="K1106" s="5" t="s">
        <v>37</v>
      </c>
      <c r="L1106" s="5" t="s">
        <v>389</v>
      </c>
      <c r="M1106" s="5" t="s">
        <v>37</v>
      </c>
      <c r="N1106" s="5" t="s">
        <v>37</v>
      </c>
      <c r="O1106" s="5" t="s">
        <v>38</v>
      </c>
      <c r="P1106" s="5" t="s">
        <v>39</v>
      </c>
      <c r="Q1106" s="2">
        <v>45960</v>
      </c>
      <c r="V110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7" spans="1:22" hidden="1">
      <c r="A1107" s="2">
        <v>45918</v>
      </c>
      <c r="B1107" s="1" t="s">
        <v>3140</v>
      </c>
      <c r="C1107" s="1" t="s">
        <v>558</v>
      </c>
      <c r="D1107" s="1" t="s">
        <v>63</v>
      </c>
      <c r="E1107" s="1">
        <v>85013</v>
      </c>
      <c r="F1107" s="1" t="s">
        <v>3141</v>
      </c>
      <c r="G1107" s="1" t="s">
        <v>3083</v>
      </c>
      <c r="H1107" s="4" t="s">
        <v>3142</v>
      </c>
      <c r="I1107" s="5" t="s">
        <v>196</v>
      </c>
      <c r="J1107" s="5" t="s">
        <v>37</v>
      </c>
      <c r="K1107" s="5" t="s">
        <v>37</v>
      </c>
      <c r="L1107" s="7" t="s">
        <v>3143</v>
      </c>
      <c r="M1107" s="5" t="s">
        <v>38</v>
      </c>
      <c r="N1107" s="15">
        <v>349.63</v>
      </c>
      <c r="O1107" s="5" t="s">
        <v>38</v>
      </c>
      <c r="P1107" s="7"/>
      <c r="Q1107" s="2">
        <v>45960</v>
      </c>
      <c r="R1107" s="1" t="s">
        <v>495</v>
      </c>
      <c r="V110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8" spans="1:22" hidden="1">
      <c r="A1108" s="2">
        <v>45918</v>
      </c>
      <c r="B1108" s="1" t="s">
        <v>3144</v>
      </c>
      <c r="C1108" s="1" t="s">
        <v>1198</v>
      </c>
      <c r="D1108" s="1" t="s">
        <v>125</v>
      </c>
      <c r="E1108" s="1">
        <v>85260</v>
      </c>
      <c r="F1108" s="1" t="s">
        <v>3145</v>
      </c>
      <c r="G1108" s="1" t="s">
        <v>3083</v>
      </c>
      <c r="H1108" s="19" t="s">
        <v>3146</v>
      </c>
      <c r="I1108" s="5" t="s">
        <v>73</v>
      </c>
      <c r="J1108" s="5" t="s">
        <v>37</v>
      </c>
      <c r="K1108" s="5" t="s">
        <v>37</v>
      </c>
      <c r="L1108" s="5" t="s">
        <v>38</v>
      </c>
      <c r="M1108" s="5" t="s">
        <v>37</v>
      </c>
      <c r="N1108" s="5" t="s">
        <v>37</v>
      </c>
      <c r="O1108" s="5" t="s">
        <v>38</v>
      </c>
      <c r="P1108" s="5" t="s">
        <v>39</v>
      </c>
      <c r="Q1108" s="2">
        <v>45960</v>
      </c>
      <c r="V110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09" spans="1:22" hidden="1">
      <c r="A1109" s="2">
        <v>45918</v>
      </c>
      <c r="B1109" s="1" t="s">
        <v>3147</v>
      </c>
      <c r="C1109" s="1" t="s">
        <v>3148</v>
      </c>
      <c r="D1109" s="1" t="s">
        <v>174</v>
      </c>
      <c r="E1109" s="1">
        <v>85396</v>
      </c>
      <c r="F1109" s="1" t="s">
        <v>3149</v>
      </c>
      <c r="G1109" s="1" t="s">
        <v>3083</v>
      </c>
      <c r="H1109" s="4" t="s">
        <v>3150</v>
      </c>
      <c r="I1109" s="5" t="s">
        <v>196</v>
      </c>
      <c r="J1109" s="5" t="s">
        <v>37</v>
      </c>
      <c r="K1109" s="5" t="s">
        <v>37</v>
      </c>
      <c r="L1109" s="7" t="s">
        <v>3151</v>
      </c>
      <c r="M1109" s="5" t="s">
        <v>37</v>
      </c>
      <c r="N1109" s="5" t="s">
        <v>37</v>
      </c>
      <c r="O1109" s="5" t="s">
        <v>38</v>
      </c>
      <c r="P1109" s="5" t="s">
        <v>39</v>
      </c>
      <c r="Q1109" s="2">
        <v>45960</v>
      </c>
      <c r="R1109" s="1" t="s">
        <v>3152</v>
      </c>
      <c r="V110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0" spans="1:22" hidden="1">
      <c r="A1110" s="2">
        <v>45918</v>
      </c>
      <c r="B1110" s="1" t="s">
        <v>3153</v>
      </c>
      <c r="C1110" s="1" t="s">
        <v>252</v>
      </c>
      <c r="D1110" s="1" t="s">
        <v>240</v>
      </c>
      <c r="E1110" s="1">
        <v>85340</v>
      </c>
      <c r="F1110" s="1" t="s">
        <v>3154</v>
      </c>
      <c r="G1110" s="1" t="s">
        <v>3155</v>
      </c>
      <c r="H1110" s="4" t="s">
        <v>3156</v>
      </c>
      <c r="I1110" s="5" t="s">
        <v>73</v>
      </c>
      <c r="J1110" s="5" t="s">
        <v>37</v>
      </c>
      <c r="K1110" s="5" t="s">
        <v>37</v>
      </c>
      <c r="L1110" s="5" t="s">
        <v>1586</v>
      </c>
      <c r="M1110" s="5" t="s">
        <v>37</v>
      </c>
      <c r="N1110" s="5" t="s">
        <v>37</v>
      </c>
      <c r="O1110" s="5" t="s">
        <v>38</v>
      </c>
      <c r="P1110" s="5" t="s">
        <v>39</v>
      </c>
      <c r="Q1110" s="2">
        <v>45960</v>
      </c>
      <c r="V111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1" spans="1:22" hidden="1">
      <c r="A1111" s="2">
        <v>45918</v>
      </c>
      <c r="B1111" s="1" t="s">
        <v>1868</v>
      </c>
      <c r="C1111" s="1" t="s">
        <v>1475</v>
      </c>
      <c r="D1111" s="1" t="s">
        <v>30</v>
      </c>
      <c r="E1111" s="1" t="s">
        <v>30</v>
      </c>
      <c r="F1111" s="1" t="s">
        <v>3157</v>
      </c>
      <c r="G1111" s="1" t="s">
        <v>3158</v>
      </c>
      <c r="H1111" s="4" t="s">
        <v>209</v>
      </c>
      <c r="V111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2" spans="1:22" hidden="1">
      <c r="A1112" s="2">
        <v>45918</v>
      </c>
      <c r="B1112" s="1" t="s">
        <v>2825</v>
      </c>
      <c r="C1112" s="1" t="s">
        <v>230</v>
      </c>
      <c r="D1112" s="1" t="s">
        <v>125</v>
      </c>
      <c r="E1112" s="1">
        <v>85262</v>
      </c>
      <c r="F1112" s="1" t="s">
        <v>3159</v>
      </c>
      <c r="G1112" s="1" t="s">
        <v>3155</v>
      </c>
      <c r="H1112" s="4" t="s">
        <v>3160</v>
      </c>
      <c r="I1112" s="5" t="s">
        <v>1488</v>
      </c>
      <c r="J1112" s="5" t="s">
        <v>37</v>
      </c>
      <c r="K1112" s="5" t="s">
        <v>37</v>
      </c>
      <c r="L1112" s="5" t="s">
        <v>389</v>
      </c>
      <c r="M1112" s="5" t="s">
        <v>37</v>
      </c>
      <c r="N1112" s="5" t="s">
        <v>37</v>
      </c>
      <c r="O1112" s="5" t="s">
        <v>38</v>
      </c>
      <c r="P1112" s="5" t="s">
        <v>39</v>
      </c>
      <c r="Q1112" s="2">
        <v>45960</v>
      </c>
      <c r="V111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3" spans="1:22" hidden="1">
      <c r="A1113" s="2">
        <v>45919</v>
      </c>
      <c r="B1113" s="1" t="s">
        <v>930</v>
      </c>
      <c r="C1113" s="1" t="s">
        <v>135</v>
      </c>
      <c r="D1113" s="1" t="s">
        <v>112</v>
      </c>
      <c r="E1113" s="1">
        <v>85379</v>
      </c>
      <c r="F1113" s="1" t="s">
        <v>3161</v>
      </c>
      <c r="G1113" s="1" t="s">
        <v>3155</v>
      </c>
      <c r="H1113" s="4" t="s">
        <v>27</v>
      </c>
      <c r="V111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4" spans="1:22" hidden="1">
      <c r="A1114" s="2">
        <v>45919</v>
      </c>
      <c r="B1114" s="1" t="s">
        <v>3162</v>
      </c>
      <c r="C1114" s="1" t="s">
        <v>1444</v>
      </c>
      <c r="D1114" s="1" t="s">
        <v>63</v>
      </c>
      <c r="E1114" s="1">
        <v>85032</v>
      </c>
      <c r="F1114" s="1" t="s">
        <v>3163</v>
      </c>
      <c r="G1114" s="1" t="s">
        <v>3155</v>
      </c>
      <c r="H1114" s="4" t="s">
        <v>3164</v>
      </c>
      <c r="I1114" s="5" t="s">
        <v>243</v>
      </c>
      <c r="J1114" s="5" t="s">
        <v>37</v>
      </c>
      <c r="K1114" s="5" t="s">
        <v>37</v>
      </c>
      <c r="L1114" s="5" t="s">
        <v>389</v>
      </c>
      <c r="M1114" s="5" t="s">
        <v>38</v>
      </c>
      <c r="N1114" s="13">
        <v>719.22</v>
      </c>
      <c r="O1114" s="5" t="s">
        <v>38</v>
      </c>
      <c r="Q1114" s="2">
        <v>45960</v>
      </c>
      <c r="R1114" s="1" t="s">
        <v>3165</v>
      </c>
      <c r="V111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5" spans="1:22" hidden="1">
      <c r="A1115" s="2">
        <v>45919</v>
      </c>
      <c r="B1115" s="1" t="s">
        <v>3166</v>
      </c>
      <c r="C1115" s="1" t="s">
        <v>481</v>
      </c>
      <c r="D1115" s="1" t="s">
        <v>136</v>
      </c>
      <c r="E1115" s="1">
        <v>85377</v>
      </c>
      <c r="F1115" s="1" t="s">
        <v>3167</v>
      </c>
      <c r="G1115" s="1" t="s">
        <v>3155</v>
      </c>
      <c r="H1115" s="4" t="s">
        <v>27</v>
      </c>
      <c r="V111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6" spans="1:22" hidden="1">
      <c r="A1116" s="2">
        <v>45919</v>
      </c>
      <c r="B1116" s="1" t="s">
        <v>3168</v>
      </c>
      <c r="C1116" s="1" t="s">
        <v>835</v>
      </c>
      <c r="D1116" s="1" t="s">
        <v>169</v>
      </c>
      <c r="E1116" s="1">
        <v>85339</v>
      </c>
      <c r="F1116" s="1" t="s">
        <v>3169</v>
      </c>
      <c r="G1116" s="1" t="s">
        <v>3155</v>
      </c>
      <c r="H1116" s="4" t="s">
        <v>27</v>
      </c>
      <c r="V111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7" spans="1:22" hidden="1">
      <c r="A1117" s="2">
        <v>45919</v>
      </c>
      <c r="B1117" s="1" t="s">
        <v>3170</v>
      </c>
      <c r="C1117" s="1" t="s">
        <v>3171</v>
      </c>
      <c r="D1117" s="1" t="s">
        <v>63</v>
      </c>
      <c r="E1117" s="1">
        <v>85032</v>
      </c>
      <c r="F1117" s="1" t="s">
        <v>3172</v>
      </c>
      <c r="G1117" s="1" t="s">
        <v>3155</v>
      </c>
      <c r="H1117" s="4" t="s">
        <v>27</v>
      </c>
      <c r="V111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8" spans="1:22" hidden="1">
      <c r="A1118" s="2">
        <v>45919</v>
      </c>
      <c r="B1118" s="1" t="s">
        <v>3173</v>
      </c>
      <c r="C1118" s="1" t="s">
        <v>3075</v>
      </c>
      <c r="D1118" s="1" t="s">
        <v>428</v>
      </c>
      <c r="E1118" s="1">
        <v>85335</v>
      </c>
      <c r="F1118" s="1" t="s">
        <v>3174</v>
      </c>
      <c r="G1118" s="1" t="s">
        <v>3155</v>
      </c>
      <c r="H1118" s="4" t="s">
        <v>3175</v>
      </c>
      <c r="I1118" s="5" t="s">
        <v>46</v>
      </c>
      <c r="J1118" s="5" t="s">
        <v>37</v>
      </c>
      <c r="K1118" s="5" t="s">
        <v>37</v>
      </c>
      <c r="L1118" s="5" t="s">
        <v>38</v>
      </c>
      <c r="M1118" s="5" t="s">
        <v>37</v>
      </c>
      <c r="N1118" s="5" t="s">
        <v>37</v>
      </c>
      <c r="O1118" s="5" t="s">
        <v>38</v>
      </c>
      <c r="P1118" s="5" t="s">
        <v>39</v>
      </c>
      <c r="Q1118" s="2">
        <v>45960</v>
      </c>
      <c r="V111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19" spans="1:22" hidden="1">
      <c r="A1119" s="2">
        <v>45919</v>
      </c>
      <c r="B1119" s="1" t="s">
        <v>3176</v>
      </c>
      <c r="C1119" s="1" t="s">
        <v>1475</v>
      </c>
      <c r="D1119" s="1" t="s">
        <v>24</v>
      </c>
      <c r="E1119" s="1">
        <v>85310</v>
      </c>
      <c r="F1119" s="1" t="s">
        <v>3177</v>
      </c>
      <c r="G1119" s="1" t="s">
        <v>3155</v>
      </c>
      <c r="H1119" s="4" t="s">
        <v>3178</v>
      </c>
      <c r="I1119" s="5" t="s">
        <v>46</v>
      </c>
      <c r="J1119" s="5" t="s">
        <v>37</v>
      </c>
      <c r="K1119" s="5" t="s">
        <v>37</v>
      </c>
      <c r="L1119" s="7" t="s">
        <v>3179</v>
      </c>
      <c r="M1119" s="5" t="s">
        <v>37</v>
      </c>
      <c r="N1119" s="5" t="s">
        <v>37</v>
      </c>
      <c r="O1119" s="5" t="s">
        <v>38</v>
      </c>
      <c r="P1119" s="2">
        <v>45940</v>
      </c>
      <c r="Q1119" s="2">
        <v>45960</v>
      </c>
      <c r="R1119" s="1" t="s">
        <v>3180</v>
      </c>
      <c r="V111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0" spans="1:22" hidden="1">
      <c r="A1120" s="2">
        <v>45919</v>
      </c>
      <c r="B1120" s="1" t="s">
        <v>3181</v>
      </c>
      <c r="C1120" s="1" t="s">
        <v>3182</v>
      </c>
      <c r="D1120" s="1" t="s">
        <v>3183</v>
      </c>
      <c r="E1120" s="1">
        <v>85306</v>
      </c>
      <c r="F1120" s="1" t="s">
        <v>3184</v>
      </c>
      <c r="G1120" s="1" t="s">
        <v>3155</v>
      </c>
      <c r="H1120" s="4" t="s">
        <v>3185</v>
      </c>
      <c r="I1120" s="5" t="s">
        <v>250</v>
      </c>
      <c r="J1120" s="5" t="s">
        <v>37</v>
      </c>
      <c r="K1120" s="5" t="s">
        <v>37</v>
      </c>
      <c r="L1120" s="5" t="s">
        <v>38</v>
      </c>
      <c r="M1120" s="5" t="s">
        <v>37</v>
      </c>
      <c r="N1120" s="5" t="s">
        <v>37</v>
      </c>
      <c r="O1120" s="5" t="s">
        <v>38</v>
      </c>
      <c r="P1120" s="5" t="s">
        <v>39</v>
      </c>
      <c r="Q1120" s="2">
        <v>45960</v>
      </c>
      <c r="V112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1" spans="1:22" hidden="1">
      <c r="A1121" s="2">
        <v>45919</v>
      </c>
      <c r="B1121" s="1" t="s">
        <v>3186</v>
      </c>
      <c r="C1121" s="1" t="s">
        <v>3187</v>
      </c>
      <c r="D1121" s="1" t="s">
        <v>202</v>
      </c>
      <c r="E1121" s="1">
        <v>85345</v>
      </c>
      <c r="F1121" s="1" t="s">
        <v>3188</v>
      </c>
      <c r="G1121" s="1" t="s">
        <v>3189</v>
      </c>
      <c r="H1121" s="4" t="s">
        <v>3190</v>
      </c>
      <c r="I1121" s="5" t="s">
        <v>126</v>
      </c>
      <c r="J1121" s="5" t="s">
        <v>37</v>
      </c>
      <c r="K1121" s="5" t="s">
        <v>37</v>
      </c>
      <c r="L1121" s="5" t="s">
        <v>38</v>
      </c>
      <c r="M1121" s="5" t="s">
        <v>37</v>
      </c>
      <c r="N1121" s="5" t="s">
        <v>37</v>
      </c>
      <c r="O1121" s="5" t="s">
        <v>38</v>
      </c>
      <c r="P1121" s="5" t="s">
        <v>39</v>
      </c>
      <c r="Q1121" s="2">
        <v>45960</v>
      </c>
      <c r="V112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2" spans="1:22" hidden="1">
      <c r="A1122" s="2">
        <v>45919</v>
      </c>
      <c r="B1122" s="1" t="s">
        <v>3191</v>
      </c>
      <c r="C1122" s="1" t="s">
        <v>2454</v>
      </c>
      <c r="D1122" s="1" t="s">
        <v>3192</v>
      </c>
      <c r="E1122" s="1">
        <v>85253</v>
      </c>
      <c r="F1122" s="1" t="s">
        <v>3193</v>
      </c>
      <c r="G1122" s="1" t="s">
        <v>3189</v>
      </c>
      <c r="H1122" s="4" t="s">
        <v>3194</v>
      </c>
      <c r="I1122" s="5" t="s">
        <v>36</v>
      </c>
      <c r="J1122" s="5" t="s">
        <v>37</v>
      </c>
      <c r="K1122" s="5" t="s">
        <v>37</v>
      </c>
      <c r="L1122" s="5" t="s">
        <v>38</v>
      </c>
      <c r="M1122" s="5" t="s">
        <v>37</v>
      </c>
      <c r="N1122" s="5" t="s">
        <v>37</v>
      </c>
      <c r="O1122" s="5" t="s">
        <v>38</v>
      </c>
      <c r="P1122" s="5" t="s">
        <v>39</v>
      </c>
      <c r="Q1122" s="2">
        <v>45960</v>
      </c>
      <c r="V112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3" spans="1:22" hidden="1">
      <c r="A1123" s="2">
        <v>45919</v>
      </c>
      <c r="B1123" s="1" t="s">
        <v>3195</v>
      </c>
      <c r="C1123" s="1" t="s">
        <v>312</v>
      </c>
      <c r="D1123" s="1" t="s">
        <v>448</v>
      </c>
      <c r="E1123" s="1">
        <v>85361</v>
      </c>
      <c r="F1123" s="1" t="s">
        <v>3196</v>
      </c>
      <c r="G1123" s="1" t="s">
        <v>3189</v>
      </c>
      <c r="H1123" s="4" t="s">
        <v>3197</v>
      </c>
      <c r="I1123" s="5" t="s">
        <v>73</v>
      </c>
      <c r="J1123" s="5" t="s">
        <v>37</v>
      </c>
      <c r="K1123" s="5" t="s">
        <v>37</v>
      </c>
      <c r="L1123" s="5" t="s">
        <v>38</v>
      </c>
      <c r="M1123" s="5" t="s">
        <v>37</v>
      </c>
      <c r="N1123" s="5" t="s">
        <v>37</v>
      </c>
      <c r="O1123" s="5" t="s">
        <v>38</v>
      </c>
      <c r="P1123" s="5" t="s">
        <v>39</v>
      </c>
      <c r="Q1123" s="2">
        <v>45960</v>
      </c>
      <c r="V112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4" spans="1:22" hidden="1">
      <c r="A1124" s="2">
        <v>45919</v>
      </c>
      <c r="B1124" s="1" t="s">
        <v>399</v>
      </c>
      <c r="C1124" s="1" t="s">
        <v>3198</v>
      </c>
      <c r="D1124" s="1" t="s">
        <v>3192</v>
      </c>
      <c r="E1124" s="1">
        <v>85253</v>
      </c>
      <c r="F1124" s="1" t="s">
        <v>3199</v>
      </c>
      <c r="G1124" s="1" t="s">
        <v>3189</v>
      </c>
      <c r="H1124" s="4" t="s">
        <v>27</v>
      </c>
      <c r="V112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5" spans="1:22" hidden="1">
      <c r="A1125" s="2">
        <v>45919</v>
      </c>
      <c r="B1125" s="1" t="s">
        <v>930</v>
      </c>
      <c r="C1125" s="1" t="s">
        <v>3200</v>
      </c>
      <c r="D1125" s="1" t="s">
        <v>112</v>
      </c>
      <c r="E1125" s="1">
        <v>85379</v>
      </c>
      <c r="F1125" s="1" t="s">
        <v>3201</v>
      </c>
      <c r="G1125" s="1" t="s">
        <v>3189</v>
      </c>
      <c r="H1125" s="4" t="s">
        <v>3202</v>
      </c>
      <c r="I1125" s="5" t="s">
        <v>418</v>
      </c>
      <c r="J1125" s="5" t="s">
        <v>37</v>
      </c>
      <c r="K1125" s="5" t="s">
        <v>37</v>
      </c>
      <c r="L1125" s="5" t="s">
        <v>389</v>
      </c>
      <c r="M1125" s="5" t="s">
        <v>37</v>
      </c>
      <c r="N1125" s="5" t="s">
        <v>37</v>
      </c>
      <c r="O1125" s="5" t="s">
        <v>38</v>
      </c>
      <c r="P1125" s="5" t="s">
        <v>39</v>
      </c>
      <c r="Q1125" s="2">
        <v>45960</v>
      </c>
      <c r="R1125" s="1" t="s">
        <v>2565</v>
      </c>
      <c r="V112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6" spans="1:22" hidden="1">
      <c r="A1126" s="2">
        <v>45919</v>
      </c>
      <c r="B1126" s="1" t="s">
        <v>3203</v>
      </c>
      <c r="C1126" s="1" t="s">
        <v>3204</v>
      </c>
      <c r="D1126" s="1" t="s">
        <v>3205</v>
      </c>
      <c r="E1126" s="1">
        <v>85335</v>
      </c>
      <c r="F1126" s="1" t="s">
        <v>3206</v>
      </c>
      <c r="G1126" s="1" t="s">
        <v>3189</v>
      </c>
      <c r="H1126" s="4" t="s">
        <v>27</v>
      </c>
      <c r="V112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7" spans="1:22" hidden="1">
      <c r="A1127" s="2">
        <v>45919</v>
      </c>
      <c r="B1127" s="1" t="s">
        <v>3207</v>
      </c>
      <c r="C1127" s="1" t="s">
        <v>3208</v>
      </c>
      <c r="D1127" s="1" t="s">
        <v>63</v>
      </c>
      <c r="E1127" s="1">
        <v>85027</v>
      </c>
      <c r="F1127" s="1" t="s">
        <v>3209</v>
      </c>
      <c r="G1127" s="1" t="s">
        <v>3189</v>
      </c>
      <c r="H1127" s="4" t="s">
        <v>3210</v>
      </c>
      <c r="I1127" s="5" t="s">
        <v>418</v>
      </c>
      <c r="J1127" s="5" t="s">
        <v>37</v>
      </c>
      <c r="K1127" s="5" t="s">
        <v>37</v>
      </c>
      <c r="L1127" s="5" t="s">
        <v>389</v>
      </c>
      <c r="M1127" s="5" t="s">
        <v>37</v>
      </c>
      <c r="N1127" s="5" t="s">
        <v>37</v>
      </c>
      <c r="O1127" s="5" t="s">
        <v>38</v>
      </c>
      <c r="P1127" s="5" t="s">
        <v>39</v>
      </c>
      <c r="Q1127" s="2">
        <v>45960</v>
      </c>
      <c r="V112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8" spans="1:22" hidden="1">
      <c r="A1128" s="2">
        <v>45919</v>
      </c>
      <c r="B1128" s="1" t="s">
        <v>3211</v>
      </c>
      <c r="C1128" s="1" t="s">
        <v>3212</v>
      </c>
      <c r="D1128" s="1" t="s">
        <v>202</v>
      </c>
      <c r="E1128" s="1">
        <v>85382</v>
      </c>
      <c r="F1128" s="1" t="s">
        <v>3213</v>
      </c>
      <c r="G1128" s="1" t="s">
        <v>3189</v>
      </c>
      <c r="H1128" s="4" t="s">
        <v>3214</v>
      </c>
      <c r="I1128" s="5" t="s">
        <v>250</v>
      </c>
      <c r="J1128" s="5" t="s">
        <v>37</v>
      </c>
      <c r="K1128" s="5" t="s">
        <v>37</v>
      </c>
      <c r="L1128" s="5" t="s">
        <v>38</v>
      </c>
      <c r="M1128" s="5" t="s">
        <v>37</v>
      </c>
      <c r="N1128" s="5" t="s">
        <v>37</v>
      </c>
      <c r="O1128" s="5" t="s">
        <v>38</v>
      </c>
      <c r="P1128" s="5" t="s">
        <v>39</v>
      </c>
      <c r="Q1128" s="2">
        <v>45960</v>
      </c>
      <c r="V112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29" spans="1:22" hidden="1">
      <c r="A1129" s="2">
        <v>45919</v>
      </c>
      <c r="B1129" s="1" t="s">
        <v>3215</v>
      </c>
      <c r="C1129" s="1" t="s">
        <v>717</v>
      </c>
      <c r="D1129" s="1" t="s">
        <v>125</v>
      </c>
      <c r="E1129" s="1">
        <v>85254</v>
      </c>
      <c r="F1129" s="1" t="s">
        <v>3216</v>
      </c>
      <c r="G1129" s="1" t="s">
        <v>3189</v>
      </c>
      <c r="H1129" s="4" t="s">
        <v>3217</v>
      </c>
      <c r="I1129" s="5" t="s">
        <v>36</v>
      </c>
      <c r="J1129" s="5" t="s">
        <v>37</v>
      </c>
      <c r="K1129" s="5" t="s">
        <v>37</v>
      </c>
      <c r="L1129" s="5" t="s">
        <v>38</v>
      </c>
      <c r="M1129" s="5" t="s">
        <v>37</v>
      </c>
      <c r="N1129" s="5" t="s">
        <v>37</v>
      </c>
      <c r="O1129" s="5" t="s">
        <v>38</v>
      </c>
      <c r="P1129" s="5" t="s">
        <v>39</v>
      </c>
      <c r="Q1129" s="2">
        <v>45960</v>
      </c>
      <c r="V112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0" spans="1:22" hidden="1">
      <c r="A1130" s="2">
        <v>45919</v>
      </c>
      <c r="B1130" s="1" t="s">
        <v>3218</v>
      </c>
      <c r="C1130" s="1" t="s">
        <v>3219</v>
      </c>
      <c r="D1130" s="1" t="s">
        <v>169</v>
      </c>
      <c r="E1130" s="1">
        <v>85338</v>
      </c>
      <c r="F1130" s="1" t="s">
        <v>3220</v>
      </c>
      <c r="G1130" s="1" t="s">
        <v>3189</v>
      </c>
      <c r="H1130" s="4" t="s">
        <v>3221</v>
      </c>
      <c r="I1130" s="5" t="s">
        <v>36</v>
      </c>
      <c r="J1130" s="5" t="s">
        <v>37</v>
      </c>
      <c r="K1130" s="5" t="s">
        <v>37</v>
      </c>
      <c r="L1130" s="5" t="s">
        <v>38</v>
      </c>
      <c r="M1130" s="5" t="s">
        <v>38</v>
      </c>
      <c r="N1130" s="15">
        <v>747.64</v>
      </c>
      <c r="O1130" s="5" t="s">
        <v>38</v>
      </c>
      <c r="P1130" s="7"/>
      <c r="Q1130" s="2">
        <v>45960</v>
      </c>
      <c r="R1130" s="1" t="s">
        <v>495</v>
      </c>
      <c r="V113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1" spans="1:22" hidden="1">
      <c r="A1131" s="2">
        <v>45919</v>
      </c>
      <c r="B1131" s="1" t="s">
        <v>3222</v>
      </c>
      <c r="C1131" s="1" t="s">
        <v>597</v>
      </c>
      <c r="D1131" s="1" t="s">
        <v>169</v>
      </c>
      <c r="E1131" s="1">
        <v>85338</v>
      </c>
      <c r="F1131" s="1" t="s">
        <v>3169</v>
      </c>
      <c r="G1131" s="1" t="s">
        <v>3189</v>
      </c>
      <c r="H1131" s="4" t="s">
        <v>3223</v>
      </c>
      <c r="I1131" s="5" t="s">
        <v>126</v>
      </c>
      <c r="J1131" s="5" t="s">
        <v>37</v>
      </c>
      <c r="K1131" s="5" t="s">
        <v>37</v>
      </c>
      <c r="L1131" s="7" t="s">
        <v>3224</v>
      </c>
      <c r="M1131" s="5" t="s">
        <v>37</v>
      </c>
      <c r="N1131" s="5" t="s">
        <v>37</v>
      </c>
      <c r="O1131" s="5" t="s">
        <v>38</v>
      </c>
      <c r="P1131" s="5" t="s">
        <v>39</v>
      </c>
      <c r="Q1131" s="2">
        <v>45960</v>
      </c>
      <c r="R1131" s="1" t="s">
        <v>3225</v>
      </c>
      <c r="V113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2" spans="1:22" hidden="1">
      <c r="A1132" s="2">
        <v>45919</v>
      </c>
      <c r="B1132" s="1" t="s">
        <v>2571</v>
      </c>
      <c r="C1132" s="1" t="s">
        <v>3226</v>
      </c>
      <c r="D1132" s="1" t="s">
        <v>30</v>
      </c>
      <c r="E1132" s="1" t="s">
        <v>30</v>
      </c>
      <c r="F1132" s="1" t="s">
        <v>3227</v>
      </c>
      <c r="G1132" s="1" t="s">
        <v>3189</v>
      </c>
      <c r="H1132" s="4" t="s">
        <v>27</v>
      </c>
      <c r="V113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3" spans="1:22" hidden="1">
      <c r="A1133" s="2">
        <v>45919</v>
      </c>
      <c r="B1133" s="1" t="s">
        <v>3228</v>
      </c>
      <c r="C1133" s="1" t="s">
        <v>334</v>
      </c>
      <c r="D1133" s="1" t="s">
        <v>30</v>
      </c>
      <c r="E1133" s="1" t="s">
        <v>30</v>
      </c>
      <c r="F1133" s="1" t="s">
        <v>3229</v>
      </c>
      <c r="G1133" s="1" t="s">
        <v>3189</v>
      </c>
      <c r="H1133" s="4" t="s">
        <v>3230</v>
      </c>
      <c r="I1133" s="5" t="s">
        <v>418</v>
      </c>
      <c r="J1133" s="5" t="s">
        <v>37</v>
      </c>
      <c r="K1133" s="5" t="s">
        <v>37</v>
      </c>
      <c r="L1133" s="5" t="s">
        <v>389</v>
      </c>
      <c r="M1133" s="5" t="s">
        <v>37</v>
      </c>
      <c r="N1133" s="5" t="s">
        <v>37</v>
      </c>
      <c r="O1133" s="5" t="s">
        <v>38</v>
      </c>
      <c r="P1133" s="5" t="s">
        <v>39</v>
      </c>
      <c r="Q1133" s="2">
        <v>45960</v>
      </c>
      <c r="V113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4" spans="1:22" hidden="1">
      <c r="A1134" s="2">
        <v>45919</v>
      </c>
      <c r="B1134" s="1" t="s">
        <v>3231</v>
      </c>
      <c r="C1134" s="1" t="s">
        <v>529</v>
      </c>
      <c r="D1134" s="1" t="s">
        <v>63</v>
      </c>
      <c r="E1134" s="1">
        <v>85032</v>
      </c>
      <c r="F1134" s="1" t="s">
        <v>31</v>
      </c>
      <c r="G1134" s="1" t="s">
        <v>3189</v>
      </c>
      <c r="H1134" s="4" t="s">
        <v>3232</v>
      </c>
      <c r="I1134" s="5" t="s">
        <v>418</v>
      </c>
      <c r="J1134" s="5" t="s">
        <v>37</v>
      </c>
      <c r="K1134" s="5" t="s">
        <v>37</v>
      </c>
      <c r="L1134" s="5" t="s">
        <v>389</v>
      </c>
      <c r="M1134" s="5" t="s">
        <v>37</v>
      </c>
      <c r="N1134" s="5" t="s">
        <v>37</v>
      </c>
      <c r="O1134" s="5" t="s">
        <v>38</v>
      </c>
      <c r="P1134" s="5" t="s">
        <v>39</v>
      </c>
      <c r="Q1134" s="2">
        <v>45960</v>
      </c>
      <c r="V113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5" spans="1:22" hidden="1">
      <c r="A1135" s="2">
        <v>45919</v>
      </c>
      <c r="B1135" s="1" t="s">
        <v>3233</v>
      </c>
      <c r="C1135" s="1" t="s">
        <v>611</v>
      </c>
      <c r="D1135" s="1" t="s">
        <v>63</v>
      </c>
      <c r="E1135" s="1">
        <v>85022</v>
      </c>
      <c r="F1135" s="1" t="s">
        <v>3234</v>
      </c>
      <c r="G1135" s="1" t="s">
        <v>3189</v>
      </c>
      <c r="H1135" s="4" t="s">
        <v>3235</v>
      </c>
      <c r="I1135" s="5" t="s">
        <v>36</v>
      </c>
      <c r="J1135" s="5" t="s">
        <v>37</v>
      </c>
      <c r="K1135" s="5" t="s">
        <v>37</v>
      </c>
      <c r="L1135" s="5" t="s">
        <v>38</v>
      </c>
      <c r="M1135" s="5" t="s">
        <v>37</v>
      </c>
      <c r="N1135" s="5" t="s">
        <v>37</v>
      </c>
      <c r="O1135" s="5" t="s">
        <v>38</v>
      </c>
      <c r="P1135" s="5" t="s">
        <v>39</v>
      </c>
      <c r="Q1135" s="2">
        <v>45960</v>
      </c>
      <c r="V113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6" spans="1:22" hidden="1">
      <c r="A1136" s="2">
        <v>45919</v>
      </c>
      <c r="B1136" s="1" t="s">
        <v>3236</v>
      </c>
      <c r="C1136" s="1" t="s">
        <v>3237</v>
      </c>
      <c r="D1136" s="1" t="s">
        <v>816</v>
      </c>
      <c r="E1136" s="1">
        <v>86303</v>
      </c>
      <c r="F1136" s="1" t="s">
        <v>3238</v>
      </c>
      <c r="G1136" s="1" t="s">
        <v>3189</v>
      </c>
      <c r="H1136" s="4" t="s">
        <v>3239</v>
      </c>
      <c r="I1136" s="5" t="s">
        <v>126</v>
      </c>
      <c r="J1136" s="5" t="s">
        <v>37</v>
      </c>
      <c r="K1136" s="5" t="s">
        <v>37</v>
      </c>
      <c r="L1136" s="5" t="s">
        <v>38</v>
      </c>
      <c r="M1136" s="5" t="s">
        <v>37</v>
      </c>
      <c r="N1136" s="5" t="s">
        <v>37</v>
      </c>
      <c r="O1136" s="5" t="s">
        <v>38</v>
      </c>
      <c r="P1136" s="5" t="s">
        <v>39</v>
      </c>
      <c r="Q1136" s="2">
        <v>45960</v>
      </c>
      <c r="V113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7" spans="1:22" hidden="1">
      <c r="A1137" s="5" t="s">
        <v>3240</v>
      </c>
      <c r="B1137" s="1" t="s">
        <v>160</v>
      </c>
      <c r="C1137" s="1" t="s">
        <v>780</v>
      </c>
      <c r="D1137" s="1" t="s">
        <v>63</v>
      </c>
      <c r="E1137" s="1">
        <v>85015</v>
      </c>
      <c r="F1137" s="1" t="s">
        <v>310</v>
      </c>
      <c r="G1137" s="1" t="s">
        <v>2563</v>
      </c>
      <c r="H1137" s="4" t="s">
        <v>27</v>
      </c>
      <c r="V113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8" spans="1:22" hidden="1">
      <c r="A1138" s="2">
        <v>45919</v>
      </c>
      <c r="B1138" s="1" t="s">
        <v>3241</v>
      </c>
      <c r="C1138" s="1" t="s">
        <v>1423</v>
      </c>
      <c r="D1138" s="1" t="s">
        <v>125</v>
      </c>
      <c r="E1138" s="1">
        <v>85260</v>
      </c>
      <c r="F1138" s="1" t="s">
        <v>3242</v>
      </c>
      <c r="G1138" s="1" t="s">
        <v>2563</v>
      </c>
      <c r="H1138" s="4" t="s">
        <v>3243</v>
      </c>
      <c r="I1138" s="5" t="s">
        <v>36</v>
      </c>
      <c r="J1138" s="5" t="s">
        <v>37</v>
      </c>
      <c r="K1138" s="5" t="s">
        <v>37</v>
      </c>
      <c r="L1138" s="5" t="s">
        <v>1586</v>
      </c>
      <c r="M1138" s="5" t="s">
        <v>37</v>
      </c>
      <c r="N1138" s="5" t="s">
        <v>37</v>
      </c>
      <c r="O1138" s="5" t="s">
        <v>38</v>
      </c>
      <c r="P1138" s="5" t="s">
        <v>39</v>
      </c>
      <c r="Q1138" s="2">
        <v>45960</v>
      </c>
      <c r="V113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39" spans="1:22" hidden="1">
      <c r="A1139" s="2">
        <v>45919</v>
      </c>
      <c r="B1139" s="1" t="s">
        <v>3244</v>
      </c>
      <c r="C1139" s="1" t="s">
        <v>3245</v>
      </c>
      <c r="D1139" s="1" t="s">
        <v>63</v>
      </c>
      <c r="E1139" s="1">
        <v>85013</v>
      </c>
      <c r="F1139" s="1" t="s">
        <v>3246</v>
      </c>
      <c r="G1139" s="1" t="s">
        <v>2563</v>
      </c>
      <c r="H1139" s="4" t="s">
        <v>3247</v>
      </c>
      <c r="I1139" s="5" t="s">
        <v>36</v>
      </c>
      <c r="J1139" s="5" t="s">
        <v>37</v>
      </c>
      <c r="K1139" s="5" t="s">
        <v>37</v>
      </c>
      <c r="L1139" s="5" t="s">
        <v>1586</v>
      </c>
      <c r="M1139" s="5" t="s">
        <v>37</v>
      </c>
      <c r="N1139" s="5" t="s">
        <v>37</v>
      </c>
      <c r="O1139" s="5" t="s">
        <v>38</v>
      </c>
      <c r="P1139" s="5" t="s">
        <v>39</v>
      </c>
      <c r="Q1139" s="2">
        <v>45960</v>
      </c>
      <c r="R1139" s="1" t="s">
        <v>3248</v>
      </c>
      <c r="V113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0" spans="1:22" hidden="1">
      <c r="A1140" s="2">
        <v>45919</v>
      </c>
      <c r="B1140" s="1" t="s">
        <v>2561</v>
      </c>
      <c r="C1140" s="1" t="s">
        <v>2562</v>
      </c>
      <c r="D1140" s="1" t="s">
        <v>112</v>
      </c>
      <c r="E1140" s="1">
        <v>85388</v>
      </c>
      <c r="F1140" s="1" t="s">
        <v>310</v>
      </c>
      <c r="G1140" s="1" t="s">
        <v>2563</v>
      </c>
      <c r="H1140" s="4" t="s">
        <v>2564</v>
      </c>
      <c r="I1140" s="5" t="s">
        <v>46</v>
      </c>
      <c r="J1140" s="5" t="s">
        <v>37</v>
      </c>
      <c r="K1140" s="5" t="s">
        <v>37</v>
      </c>
      <c r="L1140" s="5" t="s">
        <v>1586</v>
      </c>
      <c r="M1140" s="5" t="s">
        <v>37</v>
      </c>
      <c r="N1140" s="5" t="s">
        <v>37</v>
      </c>
      <c r="O1140" s="5" t="s">
        <v>38</v>
      </c>
      <c r="P1140" s="5" t="s">
        <v>39</v>
      </c>
      <c r="Q1140" s="2">
        <v>45960</v>
      </c>
      <c r="V114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1" spans="1:22" hidden="1">
      <c r="A1141" s="2">
        <v>45919</v>
      </c>
      <c r="B1141" s="1" t="s">
        <v>3249</v>
      </c>
      <c r="C1141" s="1" t="s">
        <v>3250</v>
      </c>
      <c r="D1141" s="1" t="s">
        <v>63</v>
      </c>
      <c r="E1141" s="1">
        <v>85021</v>
      </c>
      <c r="F1141" s="1" t="s">
        <v>3251</v>
      </c>
      <c r="G1141" s="1" t="s">
        <v>2563</v>
      </c>
      <c r="H1141" s="4" t="s">
        <v>27</v>
      </c>
      <c r="V114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2" spans="1:22" hidden="1">
      <c r="A1142" s="2">
        <v>45919</v>
      </c>
      <c r="B1142" s="1" t="s">
        <v>3252</v>
      </c>
      <c r="C1142" s="1" t="s">
        <v>1354</v>
      </c>
      <c r="D1142" s="1" t="s">
        <v>112</v>
      </c>
      <c r="E1142" s="1">
        <v>85374</v>
      </c>
      <c r="F1142" s="1" t="s">
        <v>3253</v>
      </c>
      <c r="G1142" s="1" t="s">
        <v>2563</v>
      </c>
      <c r="H1142" s="4" t="s">
        <v>3254</v>
      </c>
      <c r="I1142" s="5" t="s">
        <v>36</v>
      </c>
      <c r="J1142" s="5" t="s">
        <v>37</v>
      </c>
      <c r="K1142" s="5" t="s">
        <v>37</v>
      </c>
      <c r="L1142" s="5" t="s">
        <v>1586</v>
      </c>
      <c r="M1142" s="5" t="s">
        <v>37</v>
      </c>
      <c r="N1142" s="5" t="s">
        <v>37</v>
      </c>
      <c r="O1142" s="5" t="s">
        <v>38</v>
      </c>
      <c r="P1142" s="5" t="s">
        <v>39</v>
      </c>
      <c r="Q1142" s="2">
        <v>45960</v>
      </c>
      <c r="V114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3" spans="1:22" hidden="1">
      <c r="A1143" s="2">
        <v>45922</v>
      </c>
      <c r="B1143" s="1" t="s">
        <v>3255</v>
      </c>
      <c r="C1143" s="1" t="s">
        <v>117</v>
      </c>
      <c r="D1143" s="1" t="s">
        <v>3256</v>
      </c>
      <c r="E1143" s="1">
        <v>85120</v>
      </c>
      <c r="F1143" s="1" t="s">
        <v>3257</v>
      </c>
      <c r="G1143" s="1" t="s">
        <v>2563</v>
      </c>
      <c r="H1143" s="4" t="s">
        <v>27</v>
      </c>
      <c r="V114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4" spans="1:22" hidden="1">
      <c r="A1144" s="2">
        <v>45921</v>
      </c>
      <c r="B1144" s="1" t="s">
        <v>3258</v>
      </c>
      <c r="C1144" s="1" t="s">
        <v>194</v>
      </c>
      <c r="D1144" s="1" t="s">
        <v>635</v>
      </c>
      <c r="E1144" s="1">
        <v>85281</v>
      </c>
      <c r="F1144" s="1" t="s">
        <v>3259</v>
      </c>
      <c r="G1144" s="1" t="s">
        <v>2563</v>
      </c>
      <c r="H1144" s="4" t="s">
        <v>3260</v>
      </c>
      <c r="I1144" s="5" t="s">
        <v>36</v>
      </c>
      <c r="J1144" s="5" t="s">
        <v>37</v>
      </c>
      <c r="K1144" s="5" t="s">
        <v>37</v>
      </c>
      <c r="L1144" s="5" t="s">
        <v>401</v>
      </c>
      <c r="M1144" s="5" t="s">
        <v>37</v>
      </c>
      <c r="N1144" s="5" t="s">
        <v>37</v>
      </c>
      <c r="O1144" s="5" t="s">
        <v>38</v>
      </c>
      <c r="P1144" s="5" t="s">
        <v>39</v>
      </c>
      <c r="Q1144" s="2">
        <v>45960</v>
      </c>
      <c r="V114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5" spans="1:22" hidden="1">
      <c r="A1145" s="2">
        <v>45921</v>
      </c>
      <c r="B1145" s="1" t="s">
        <v>3261</v>
      </c>
      <c r="C1145" s="1" t="s">
        <v>437</v>
      </c>
      <c r="D1145" s="1" t="s">
        <v>112</v>
      </c>
      <c r="E1145" s="1">
        <v>85379</v>
      </c>
      <c r="F1145" s="1" t="s">
        <v>3262</v>
      </c>
      <c r="G1145" s="1" t="s">
        <v>2563</v>
      </c>
      <c r="H1145" s="4" t="s">
        <v>90</v>
      </c>
      <c r="V114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6" spans="1:22" hidden="1">
      <c r="A1146" s="2">
        <v>45921</v>
      </c>
      <c r="B1146" s="1" t="s">
        <v>3263</v>
      </c>
      <c r="C1146" s="1" t="s">
        <v>302</v>
      </c>
      <c r="D1146" s="1" t="s">
        <v>63</v>
      </c>
      <c r="E1146" s="1">
        <v>85087</v>
      </c>
      <c r="F1146" s="1" t="s">
        <v>3264</v>
      </c>
      <c r="G1146" s="1" t="s">
        <v>2563</v>
      </c>
      <c r="H1146" s="4" t="s">
        <v>27</v>
      </c>
      <c r="V114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7" spans="1:22" hidden="1">
      <c r="A1147" s="2">
        <v>45922</v>
      </c>
      <c r="B1147" s="1" t="s">
        <v>3265</v>
      </c>
      <c r="C1147" s="1" t="s">
        <v>548</v>
      </c>
      <c r="D1147" s="1" t="s">
        <v>129</v>
      </c>
      <c r="E1147" s="1">
        <v>85296</v>
      </c>
      <c r="F1147" s="1" t="s">
        <v>3266</v>
      </c>
      <c r="G1147" s="1" t="s">
        <v>2563</v>
      </c>
      <c r="H1147" s="4" t="s">
        <v>3267</v>
      </c>
      <c r="I1147" s="5" t="s">
        <v>36</v>
      </c>
      <c r="J1147" s="5" t="s">
        <v>37</v>
      </c>
      <c r="K1147" s="5" t="s">
        <v>37</v>
      </c>
      <c r="L1147" s="5" t="s">
        <v>1586</v>
      </c>
      <c r="M1147" s="5" t="s">
        <v>38</v>
      </c>
      <c r="N1147" s="15">
        <v>507.13</v>
      </c>
      <c r="O1147" s="5" t="s">
        <v>38</v>
      </c>
      <c r="P1147" s="7"/>
      <c r="Q1147" s="2">
        <v>45960</v>
      </c>
      <c r="R1147" s="1" t="s">
        <v>495</v>
      </c>
      <c r="V114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8" spans="1:22" hidden="1">
      <c r="A1148" s="2">
        <v>45922</v>
      </c>
      <c r="B1148" s="1" t="s">
        <v>3268</v>
      </c>
      <c r="C1148" s="1" t="s">
        <v>611</v>
      </c>
      <c r="D1148" s="1" t="s">
        <v>63</v>
      </c>
      <c r="E1148" s="1">
        <v>85023</v>
      </c>
      <c r="F1148" s="1" t="s">
        <v>3269</v>
      </c>
      <c r="G1148" s="1" t="s">
        <v>2563</v>
      </c>
      <c r="H1148" s="4" t="s">
        <v>3270</v>
      </c>
      <c r="I1148" s="5" t="s">
        <v>36</v>
      </c>
      <c r="J1148" s="5" t="s">
        <v>38</v>
      </c>
      <c r="K1148" s="5" t="s">
        <v>37</v>
      </c>
      <c r="L1148" s="5" t="s">
        <v>401</v>
      </c>
      <c r="M1148" s="5" t="s">
        <v>37</v>
      </c>
      <c r="N1148" s="5" t="s">
        <v>37</v>
      </c>
      <c r="O1148" s="5" t="s">
        <v>38</v>
      </c>
      <c r="P1148" s="5" t="s">
        <v>39</v>
      </c>
      <c r="Q1148" s="2">
        <v>45960</v>
      </c>
      <c r="V114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49" spans="1:22" hidden="1">
      <c r="A1149" s="2">
        <v>45922</v>
      </c>
      <c r="B1149" s="1" t="s">
        <v>2343</v>
      </c>
      <c r="C1149" s="1" t="s">
        <v>3271</v>
      </c>
      <c r="D1149" s="1" t="s">
        <v>30</v>
      </c>
      <c r="E1149" s="1" t="s">
        <v>30</v>
      </c>
      <c r="F1149" s="1" t="s">
        <v>31</v>
      </c>
      <c r="G1149" s="1" t="s">
        <v>2563</v>
      </c>
      <c r="H1149" s="4" t="s">
        <v>209</v>
      </c>
      <c r="V114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0" spans="1:22" hidden="1">
      <c r="A1150" s="2">
        <v>45922</v>
      </c>
      <c r="B1150" s="1" t="s">
        <v>3272</v>
      </c>
      <c r="C1150" s="1" t="s">
        <v>3273</v>
      </c>
      <c r="D1150" s="1" t="s">
        <v>30</v>
      </c>
      <c r="E1150" s="1" t="s">
        <v>30</v>
      </c>
      <c r="F1150" s="1" t="s">
        <v>3274</v>
      </c>
      <c r="G1150" s="1" t="s">
        <v>2563</v>
      </c>
      <c r="H1150" s="4" t="s">
        <v>3275</v>
      </c>
      <c r="I1150" s="5" t="s">
        <v>36</v>
      </c>
      <c r="J1150" s="5" t="s">
        <v>37</v>
      </c>
      <c r="K1150" s="5" t="s">
        <v>37</v>
      </c>
      <c r="L1150" s="5" t="s">
        <v>1586</v>
      </c>
      <c r="M1150" s="5" t="s">
        <v>37</v>
      </c>
      <c r="N1150" s="5" t="s">
        <v>37</v>
      </c>
      <c r="O1150" s="5" t="s">
        <v>38</v>
      </c>
      <c r="P1150" s="5" t="s">
        <v>39</v>
      </c>
      <c r="Q1150" s="2">
        <v>45960</v>
      </c>
      <c r="V115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1" spans="1:22" hidden="1">
      <c r="A1151" s="2">
        <v>45919</v>
      </c>
      <c r="B1151" s="1" t="s">
        <v>3276</v>
      </c>
      <c r="C1151" s="1" t="s">
        <v>838</v>
      </c>
      <c r="D1151" s="1" t="s">
        <v>85</v>
      </c>
      <c r="E1151" s="1">
        <v>86323</v>
      </c>
      <c r="F1151" s="1" t="s">
        <v>3277</v>
      </c>
      <c r="G1151" s="1" t="s">
        <v>2563</v>
      </c>
      <c r="H1151" s="4" t="s">
        <v>3278</v>
      </c>
      <c r="I1151" s="5" t="s">
        <v>73</v>
      </c>
      <c r="J1151" s="5" t="s">
        <v>37</v>
      </c>
      <c r="K1151" s="5" t="s">
        <v>37</v>
      </c>
      <c r="L1151" s="5" t="s">
        <v>1586</v>
      </c>
      <c r="M1151" s="5" t="s">
        <v>37</v>
      </c>
      <c r="N1151" s="5" t="s">
        <v>37</v>
      </c>
      <c r="O1151" s="5" t="s">
        <v>38</v>
      </c>
      <c r="P1151" s="5" t="s">
        <v>39</v>
      </c>
      <c r="Q1151" s="2">
        <v>45960</v>
      </c>
      <c r="V115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2" spans="1:22" hidden="1">
      <c r="A1152" s="2">
        <v>45922</v>
      </c>
      <c r="B1152" s="1" t="s">
        <v>2447</v>
      </c>
      <c r="C1152" s="1" t="s">
        <v>3279</v>
      </c>
      <c r="D1152" s="1" t="s">
        <v>63</v>
      </c>
      <c r="E1152" s="1">
        <v>85012</v>
      </c>
      <c r="F1152" s="1" t="s">
        <v>3280</v>
      </c>
      <c r="G1152" s="1" t="s">
        <v>3281</v>
      </c>
      <c r="H1152" s="5">
        <v>9503447476</v>
      </c>
      <c r="I1152" s="5" t="s">
        <v>36</v>
      </c>
      <c r="J1152" s="5" t="s">
        <v>37</v>
      </c>
      <c r="K1152" s="5" t="s">
        <v>37</v>
      </c>
      <c r="L1152" s="7" t="s">
        <v>3282</v>
      </c>
      <c r="M1152" s="5" t="s">
        <v>37</v>
      </c>
      <c r="N1152" s="5" t="s">
        <v>37</v>
      </c>
      <c r="O1152" s="5" t="s">
        <v>38</v>
      </c>
      <c r="P1152" s="2">
        <v>45940</v>
      </c>
      <c r="Q1152" s="2">
        <v>45960</v>
      </c>
      <c r="R1152" s="1" t="s">
        <v>3283</v>
      </c>
      <c r="V115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3" spans="1:22" hidden="1">
      <c r="A1153" s="2">
        <v>45922</v>
      </c>
      <c r="B1153" s="1" t="s">
        <v>3284</v>
      </c>
      <c r="C1153" s="1" t="s">
        <v>184</v>
      </c>
      <c r="D1153" s="1" t="s">
        <v>30</v>
      </c>
      <c r="E1153" s="1" t="s">
        <v>30</v>
      </c>
      <c r="F1153" s="1" t="s">
        <v>3285</v>
      </c>
      <c r="G1153" s="1" t="s">
        <v>3281</v>
      </c>
      <c r="H1153" s="4" t="s">
        <v>27</v>
      </c>
      <c r="V115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4" spans="1:22" ht="11.45" hidden="1" customHeight="1">
      <c r="A1154" s="2">
        <v>45922</v>
      </c>
      <c r="B1154" s="1" t="s">
        <v>3286</v>
      </c>
      <c r="C1154" s="1" t="s">
        <v>252</v>
      </c>
      <c r="D1154" s="1" t="s">
        <v>112</v>
      </c>
      <c r="E1154" s="1">
        <v>85378</v>
      </c>
      <c r="F1154" s="1" t="s">
        <v>3287</v>
      </c>
      <c r="G1154" s="1" t="s">
        <v>3281</v>
      </c>
      <c r="H1154" s="4" t="s">
        <v>27</v>
      </c>
      <c r="V115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5" spans="1:22" ht="11.45" hidden="1" customHeight="1">
      <c r="A1155" s="2">
        <v>45922</v>
      </c>
      <c r="B1155" s="1" t="s">
        <v>3288</v>
      </c>
      <c r="C1155" s="1" t="s">
        <v>199</v>
      </c>
      <c r="D1155" s="1" t="s">
        <v>174</v>
      </c>
      <c r="E1155" s="1">
        <v>85326</v>
      </c>
      <c r="F1155" s="1" t="s">
        <v>310</v>
      </c>
      <c r="G1155" s="1" t="s">
        <v>3281</v>
      </c>
      <c r="H1155" s="4" t="s">
        <v>3289</v>
      </c>
      <c r="I1155" s="5" t="s">
        <v>36</v>
      </c>
      <c r="J1155" s="5" t="s">
        <v>37</v>
      </c>
      <c r="K1155" s="5" t="s">
        <v>37</v>
      </c>
      <c r="L1155" s="5" t="s">
        <v>1586</v>
      </c>
      <c r="M1155" s="5" t="s">
        <v>37</v>
      </c>
      <c r="N1155" s="5" t="s">
        <v>37</v>
      </c>
      <c r="O1155" s="5" t="s">
        <v>38</v>
      </c>
      <c r="P1155" s="5" t="s">
        <v>39</v>
      </c>
      <c r="Q1155" s="2">
        <v>45960</v>
      </c>
      <c r="V115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6" spans="1:22" ht="11.45" hidden="1" customHeight="1">
      <c r="A1156" s="2">
        <v>45922</v>
      </c>
      <c r="B1156" s="1" t="s">
        <v>3290</v>
      </c>
      <c r="C1156" s="1" t="s">
        <v>3291</v>
      </c>
      <c r="D1156" s="1" t="s">
        <v>240</v>
      </c>
      <c r="E1156" s="1">
        <v>85340</v>
      </c>
      <c r="F1156" s="1" t="s">
        <v>3292</v>
      </c>
      <c r="G1156" s="1" t="s">
        <v>3281</v>
      </c>
      <c r="H1156" s="4" t="s">
        <v>3293</v>
      </c>
      <c r="I1156" s="5" t="s">
        <v>36</v>
      </c>
      <c r="J1156" s="5" t="s">
        <v>37</v>
      </c>
      <c r="K1156" s="5" t="s">
        <v>37</v>
      </c>
      <c r="L1156" s="5" t="s">
        <v>1586</v>
      </c>
      <c r="M1156" s="5" t="s">
        <v>37</v>
      </c>
      <c r="N1156" s="5" t="s">
        <v>37</v>
      </c>
      <c r="O1156" s="5" t="s">
        <v>38</v>
      </c>
      <c r="P1156" s="5" t="s">
        <v>39</v>
      </c>
      <c r="Q1156" s="2">
        <v>45960</v>
      </c>
      <c r="V115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7" spans="1:22" ht="11.45" hidden="1" customHeight="1">
      <c r="A1157" s="2">
        <v>45922</v>
      </c>
      <c r="B1157" s="1" t="s">
        <v>269</v>
      </c>
      <c r="C1157" s="1" t="s">
        <v>2907</v>
      </c>
      <c r="D1157" s="1" t="s">
        <v>202</v>
      </c>
      <c r="E1157" s="1">
        <v>85383</v>
      </c>
      <c r="F1157" s="1" t="s">
        <v>3294</v>
      </c>
      <c r="G1157" s="1" t="s">
        <v>3281</v>
      </c>
      <c r="H1157" s="4" t="s">
        <v>3295</v>
      </c>
      <c r="I1157" s="5" t="s">
        <v>196</v>
      </c>
      <c r="J1157" s="5" t="s">
        <v>37</v>
      </c>
      <c r="K1157" s="5" t="s">
        <v>37</v>
      </c>
      <c r="L1157" s="5" t="s">
        <v>3296</v>
      </c>
      <c r="M1157" s="5" t="s">
        <v>37</v>
      </c>
      <c r="N1157" s="5" t="s">
        <v>37</v>
      </c>
      <c r="O1157" s="5" t="s">
        <v>38</v>
      </c>
      <c r="P1157" s="5" t="s">
        <v>39</v>
      </c>
      <c r="Q1157" s="2">
        <v>45960</v>
      </c>
      <c r="V115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8" spans="1:22" ht="11.45" hidden="1" customHeight="1">
      <c r="A1158" s="2">
        <v>45922</v>
      </c>
      <c r="B1158" s="1" t="s">
        <v>3297</v>
      </c>
      <c r="C1158" s="1" t="s">
        <v>3273</v>
      </c>
      <c r="D1158" s="1" t="s">
        <v>125</v>
      </c>
      <c r="E1158" s="1">
        <v>85254</v>
      </c>
      <c r="F1158" s="1" t="s">
        <v>310</v>
      </c>
      <c r="G1158" s="1" t="s">
        <v>3281</v>
      </c>
      <c r="H1158" s="4" t="s">
        <v>3298</v>
      </c>
      <c r="I1158" s="5" t="s">
        <v>196</v>
      </c>
      <c r="J1158" s="5" t="s">
        <v>37</v>
      </c>
      <c r="K1158" s="5" t="s">
        <v>37</v>
      </c>
      <c r="L1158" s="5" t="s">
        <v>3299</v>
      </c>
      <c r="M1158" s="5" t="s">
        <v>37</v>
      </c>
      <c r="N1158" s="5" t="s">
        <v>37</v>
      </c>
      <c r="O1158" s="5" t="s">
        <v>38</v>
      </c>
      <c r="P1158" s="5" t="s">
        <v>39</v>
      </c>
      <c r="Q1158" s="2">
        <v>45960</v>
      </c>
      <c r="V115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59" spans="1:22" ht="11.45" hidden="1" customHeight="1">
      <c r="A1159" s="2">
        <v>45922</v>
      </c>
      <c r="B1159" s="1" t="s">
        <v>3300</v>
      </c>
      <c r="C1159" s="1" t="s">
        <v>2149</v>
      </c>
      <c r="D1159" s="1" t="s">
        <v>174</v>
      </c>
      <c r="E1159" s="1">
        <v>85326</v>
      </c>
      <c r="F1159" s="1" t="s">
        <v>3301</v>
      </c>
      <c r="G1159" s="1" t="s">
        <v>3281</v>
      </c>
      <c r="H1159" s="4" t="s">
        <v>3302</v>
      </c>
      <c r="I1159" s="5" t="s">
        <v>46</v>
      </c>
      <c r="J1159" s="5" t="s">
        <v>37</v>
      </c>
      <c r="K1159" s="5" t="s">
        <v>37</v>
      </c>
      <c r="L1159" s="7" t="s">
        <v>3303</v>
      </c>
      <c r="M1159" s="5" t="s">
        <v>38</v>
      </c>
      <c r="N1159" s="15">
        <v>333.26</v>
      </c>
      <c r="O1159" s="5" t="s">
        <v>38</v>
      </c>
      <c r="P1159" s="30">
        <v>45940</v>
      </c>
      <c r="Q1159" s="2">
        <v>45960</v>
      </c>
      <c r="R1159" s="1" t="s">
        <v>3152</v>
      </c>
      <c r="V115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0" spans="1:22" ht="11.45" hidden="1" customHeight="1">
      <c r="A1160" s="2">
        <v>45922</v>
      </c>
      <c r="B1160" s="1" t="s">
        <v>3304</v>
      </c>
      <c r="C1160" s="1" t="s">
        <v>1268</v>
      </c>
      <c r="D1160" s="1" t="s">
        <v>2109</v>
      </c>
      <c r="E1160" s="1">
        <v>86327</v>
      </c>
      <c r="F1160" s="1" t="s">
        <v>3305</v>
      </c>
      <c r="G1160" s="1" t="s">
        <v>3281</v>
      </c>
      <c r="H1160" s="4" t="s">
        <v>3306</v>
      </c>
      <c r="I1160" s="5" t="s">
        <v>46</v>
      </c>
      <c r="J1160" s="5" t="s">
        <v>37</v>
      </c>
      <c r="K1160" s="5" t="s">
        <v>37</v>
      </c>
      <c r="L1160" s="5" t="s">
        <v>1586</v>
      </c>
      <c r="M1160" s="5" t="s">
        <v>37</v>
      </c>
      <c r="N1160" s="5" t="s">
        <v>37</v>
      </c>
      <c r="O1160" s="5" t="s">
        <v>38</v>
      </c>
      <c r="P1160" s="5" t="s">
        <v>39</v>
      </c>
      <c r="Q1160" s="2">
        <v>45960</v>
      </c>
      <c r="V116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1" spans="1:22" ht="11.45" hidden="1" customHeight="1">
      <c r="A1161" s="2">
        <v>45922</v>
      </c>
      <c r="B1161" s="1" t="s">
        <v>3307</v>
      </c>
      <c r="C1161" s="1" t="s">
        <v>777</v>
      </c>
      <c r="D1161" s="1" t="s">
        <v>428</v>
      </c>
      <c r="E1161" s="1">
        <v>85335</v>
      </c>
      <c r="F1161" s="1" t="s">
        <v>3308</v>
      </c>
      <c r="G1161" s="1" t="s">
        <v>3281</v>
      </c>
      <c r="H1161" s="4" t="s">
        <v>90</v>
      </c>
      <c r="V116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2" spans="1:22" ht="11.45" hidden="1" customHeight="1">
      <c r="A1162" s="2">
        <v>45922</v>
      </c>
      <c r="B1162" s="1" t="s">
        <v>3309</v>
      </c>
      <c r="C1162" s="1" t="s">
        <v>3310</v>
      </c>
      <c r="D1162" s="1" t="s">
        <v>112</v>
      </c>
      <c r="E1162" s="1">
        <v>85379</v>
      </c>
      <c r="F1162" s="1" t="s">
        <v>3311</v>
      </c>
      <c r="G1162" s="1" t="s">
        <v>3281</v>
      </c>
      <c r="H1162" s="5">
        <v>5392330000</v>
      </c>
      <c r="I1162" s="5" t="s">
        <v>250</v>
      </c>
      <c r="J1162" s="5" t="s">
        <v>37</v>
      </c>
      <c r="K1162" s="5" t="s">
        <v>37</v>
      </c>
      <c r="L1162" s="5" t="s">
        <v>38</v>
      </c>
      <c r="M1162" s="5" t="s">
        <v>38</v>
      </c>
      <c r="N1162" s="13">
        <v>309.36</v>
      </c>
      <c r="O1162" s="5" t="s">
        <v>38</v>
      </c>
      <c r="P1162" s="5" t="s">
        <v>39</v>
      </c>
      <c r="Q1162" s="2">
        <v>45960</v>
      </c>
      <c r="V116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3" spans="1:22" ht="11.45" hidden="1" customHeight="1">
      <c r="A1163" s="2">
        <v>45922</v>
      </c>
      <c r="B1163" s="1" t="s">
        <v>2626</v>
      </c>
      <c r="C1163" s="1" t="s">
        <v>117</v>
      </c>
      <c r="D1163" s="1" t="s">
        <v>816</v>
      </c>
      <c r="E1163" s="1">
        <v>86303</v>
      </c>
      <c r="F1163" s="1" t="s">
        <v>3312</v>
      </c>
      <c r="G1163" s="1" t="s">
        <v>3281</v>
      </c>
      <c r="H1163" s="4" t="s">
        <v>3313</v>
      </c>
      <c r="I1163" s="5" t="s">
        <v>73</v>
      </c>
      <c r="J1163" s="5" t="s">
        <v>37</v>
      </c>
      <c r="K1163" s="5" t="s">
        <v>37</v>
      </c>
      <c r="L1163" s="5" t="s">
        <v>38</v>
      </c>
      <c r="M1163" s="5" t="s">
        <v>37</v>
      </c>
      <c r="N1163" s="5" t="s">
        <v>37</v>
      </c>
      <c r="O1163" s="5" t="s">
        <v>38</v>
      </c>
      <c r="P1163" s="5" t="s">
        <v>39</v>
      </c>
      <c r="Q1163" s="2">
        <v>45960</v>
      </c>
      <c r="V116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4" spans="1:22" ht="11.45" hidden="1" customHeight="1">
      <c r="A1164" s="2">
        <v>45922</v>
      </c>
      <c r="B1164" s="1" t="s">
        <v>3314</v>
      </c>
      <c r="C1164" s="1" t="s">
        <v>1306</v>
      </c>
      <c r="D1164" s="1" t="s">
        <v>174</v>
      </c>
      <c r="E1164" s="1">
        <v>85326</v>
      </c>
      <c r="F1164" s="1" t="s">
        <v>3315</v>
      </c>
      <c r="G1164" s="1" t="s">
        <v>3281</v>
      </c>
      <c r="H1164" s="4" t="s">
        <v>3316</v>
      </c>
      <c r="I1164" s="5" t="s">
        <v>36</v>
      </c>
      <c r="J1164" s="5" t="s">
        <v>37</v>
      </c>
      <c r="K1164" s="5" t="s">
        <v>37</v>
      </c>
      <c r="L1164" s="5" t="s">
        <v>38</v>
      </c>
      <c r="M1164" s="5" t="s">
        <v>38</v>
      </c>
      <c r="N1164" s="15">
        <v>1027.99</v>
      </c>
      <c r="O1164" s="5" t="s">
        <v>38</v>
      </c>
      <c r="P1164" s="7"/>
      <c r="Q1164" s="2">
        <v>45960</v>
      </c>
      <c r="R1164" s="1" t="s">
        <v>495</v>
      </c>
      <c r="V116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5" spans="1:22" ht="11.45" hidden="1" customHeight="1">
      <c r="A1165" s="2">
        <v>45922</v>
      </c>
      <c r="B1165" s="1" t="s">
        <v>365</v>
      </c>
      <c r="C1165" s="1" t="s">
        <v>256</v>
      </c>
      <c r="D1165" s="1" t="s">
        <v>174</v>
      </c>
      <c r="E1165" s="1">
        <v>85326</v>
      </c>
      <c r="F1165" s="1" t="s">
        <v>3317</v>
      </c>
      <c r="G1165" s="1" t="s">
        <v>3281</v>
      </c>
      <c r="H1165" s="4" t="s">
        <v>27</v>
      </c>
      <c r="V116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6" spans="1:22" ht="11.45" hidden="1" customHeight="1">
      <c r="A1166" s="2">
        <v>45922</v>
      </c>
      <c r="B1166" s="1" t="s">
        <v>3318</v>
      </c>
      <c r="C1166" s="1" t="s">
        <v>624</v>
      </c>
      <c r="D1166" s="1" t="s">
        <v>174</v>
      </c>
      <c r="E1166" s="1">
        <v>85326</v>
      </c>
      <c r="F1166" s="1" t="s">
        <v>3319</v>
      </c>
      <c r="G1166" s="1" t="s">
        <v>3281</v>
      </c>
      <c r="H1166" s="4" t="s">
        <v>27</v>
      </c>
      <c r="V116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7" spans="1:22" ht="11.45" hidden="1" customHeight="1">
      <c r="A1167" s="2">
        <v>45922</v>
      </c>
      <c r="B1167" s="1" t="s">
        <v>3320</v>
      </c>
      <c r="C1167" s="1" t="s">
        <v>3321</v>
      </c>
      <c r="D1167" s="1" t="s">
        <v>112</v>
      </c>
      <c r="E1167" s="1">
        <v>85387</v>
      </c>
      <c r="F1167" s="1" t="s">
        <v>3322</v>
      </c>
      <c r="G1167" s="1" t="s">
        <v>3281</v>
      </c>
      <c r="H1167" s="4" t="s">
        <v>3323</v>
      </c>
      <c r="I1167" s="5" t="s">
        <v>36</v>
      </c>
      <c r="J1167" s="5" t="s">
        <v>37</v>
      </c>
      <c r="K1167" s="5" t="s">
        <v>37</v>
      </c>
      <c r="L1167" s="5" t="s">
        <v>38</v>
      </c>
      <c r="M1167" s="5" t="s">
        <v>37</v>
      </c>
      <c r="N1167" s="5" t="s">
        <v>37</v>
      </c>
      <c r="O1167" s="5" t="s">
        <v>38</v>
      </c>
      <c r="P1167" s="5" t="s">
        <v>39</v>
      </c>
      <c r="Q1167" s="2">
        <v>45960</v>
      </c>
      <c r="V116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8" spans="1:22" ht="11.45" hidden="1" customHeight="1">
      <c r="A1168" s="2">
        <v>45922</v>
      </c>
      <c r="B1168" s="1" t="s">
        <v>3324</v>
      </c>
      <c r="C1168" s="1" t="s">
        <v>2116</v>
      </c>
      <c r="D1168" s="1" t="s">
        <v>698</v>
      </c>
      <c r="E1168" s="1">
        <v>85375</v>
      </c>
      <c r="F1168" s="1" t="s">
        <v>3325</v>
      </c>
      <c r="G1168" s="1" t="s">
        <v>3326</v>
      </c>
      <c r="H1168" s="4" t="s">
        <v>27</v>
      </c>
      <c r="V116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69" spans="1:22" ht="11.45" hidden="1" customHeight="1">
      <c r="A1169" s="2">
        <v>45922</v>
      </c>
      <c r="B1169" s="1" t="s">
        <v>3327</v>
      </c>
      <c r="C1169" s="1" t="s">
        <v>3328</v>
      </c>
      <c r="D1169" s="1" t="s">
        <v>174</v>
      </c>
      <c r="E1169" s="1">
        <v>85326</v>
      </c>
      <c r="F1169" s="1" t="s">
        <v>3322</v>
      </c>
      <c r="G1169" s="1" t="s">
        <v>3326</v>
      </c>
      <c r="H1169" s="4" t="s">
        <v>3329</v>
      </c>
      <c r="I1169" s="5" t="s">
        <v>36</v>
      </c>
      <c r="J1169" s="5" t="s">
        <v>38</v>
      </c>
      <c r="K1169" s="5" t="s">
        <v>37</v>
      </c>
      <c r="L1169" s="5" t="s">
        <v>38</v>
      </c>
      <c r="M1169" s="5" t="s">
        <v>38</v>
      </c>
      <c r="N1169" s="15">
        <v>771.64</v>
      </c>
      <c r="O1169" s="5" t="s">
        <v>38</v>
      </c>
      <c r="P1169" s="7"/>
      <c r="Q1169" s="2">
        <v>45960</v>
      </c>
      <c r="R1169" s="1" t="s">
        <v>495</v>
      </c>
      <c r="V116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0" spans="1:22" ht="11.45" hidden="1" customHeight="1">
      <c r="A1170" s="2">
        <v>45922</v>
      </c>
      <c r="B1170" s="1" t="s">
        <v>3330</v>
      </c>
      <c r="C1170" s="1" t="s">
        <v>3331</v>
      </c>
      <c r="D1170" s="1" t="s">
        <v>63</v>
      </c>
      <c r="E1170" s="1">
        <v>85022</v>
      </c>
      <c r="F1170" s="1" t="s">
        <v>3332</v>
      </c>
      <c r="G1170" s="1" t="s">
        <v>3333</v>
      </c>
      <c r="H1170" s="4" t="s">
        <v>3334</v>
      </c>
      <c r="I1170" s="5" t="s">
        <v>126</v>
      </c>
      <c r="J1170" s="5" t="s">
        <v>38</v>
      </c>
      <c r="K1170" s="5" t="s">
        <v>37</v>
      </c>
      <c r="L1170" s="5" t="s">
        <v>38</v>
      </c>
      <c r="M1170" s="5" t="s">
        <v>37</v>
      </c>
      <c r="N1170" s="5" t="s">
        <v>37</v>
      </c>
      <c r="O1170" s="5" t="s">
        <v>38</v>
      </c>
      <c r="P1170" s="5" t="s">
        <v>39</v>
      </c>
      <c r="Q1170" s="2">
        <v>45960</v>
      </c>
      <c r="V117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1" spans="1:22" ht="11.45" hidden="1" customHeight="1">
      <c r="A1171" s="2">
        <v>45923</v>
      </c>
      <c r="B1171" s="1" t="s">
        <v>3335</v>
      </c>
      <c r="C1171" s="1" t="s">
        <v>3336</v>
      </c>
      <c r="D1171" s="1" t="s">
        <v>174</v>
      </c>
      <c r="E1171" s="1">
        <v>85326</v>
      </c>
      <c r="F1171" s="1" t="s">
        <v>3337</v>
      </c>
      <c r="G1171" s="1" t="s">
        <v>3326</v>
      </c>
      <c r="H1171" s="4" t="s">
        <v>3338</v>
      </c>
      <c r="I1171" s="5" t="s">
        <v>196</v>
      </c>
      <c r="J1171" s="5" t="s">
        <v>37</v>
      </c>
      <c r="K1171" s="5" t="s">
        <v>37</v>
      </c>
      <c r="L1171" s="7" t="s">
        <v>3339</v>
      </c>
      <c r="M1171" s="5" t="s">
        <v>37</v>
      </c>
      <c r="N1171" s="5" t="s">
        <v>37</v>
      </c>
      <c r="O1171" s="5" t="s">
        <v>38</v>
      </c>
      <c r="P1171" s="2">
        <v>45940</v>
      </c>
      <c r="Q1171" s="2">
        <v>45960</v>
      </c>
      <c r="R1171" s="1" t="s">
        <v>3340</v>
      </c>
      <c r="V117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2" spans="1:22" ht="11.45" hidden="1" customHeight="1">
      <c r="A1172" s="2">
        <v>45923</v>
      </c>
      <c r="B1172" s="1" t="s">
        <v>3341</v>
      </c>
      <c r="C1172" s="1" t="s">
        <v>284</v>
      </c>
      <c r="D1172" s="1" t="s">
        <v>174</v>
      </c>
      <c r="E1172" s="1">
        <v>85326</v>
      </c>
      <c r="F1172" s="1" t="s">
        <v>3342</v>
      </c>
      <c r="G1172" s="1" t="s">
        <v>3326</v>
      </c>
      <c r="H1172" s="4" t="s">
        <v>3343</v>
      </c>
      <c r="I1172" s="5" t="s">
        <v>46</v>
      </c>
      <c r="J1172" s="5" t="s">
        <v>37</v>
      </c>
      <c r="K1172" s="5" t="s">
        <v>37</v>
      </c>
      <c r="L1172" s="5" t="s">
        <v>38</v>
      </c>
      <c r="M1172" s="5" t="s">
        <v>37</v>
      </c>
      <c r="N1172" s="5" t="s">
        <v>37</v>
      </c>
      <c r="O1172" s="5" t="s">
        <v>38</v>
      </c>
      <c r="P1172" s="5" t="s">
        <v>39</v>
      </c>
      <c r="Q1172" s="2">
        <v>45960</v>
      </c>
      <c r="V117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3" spans="1:22" ht="11.45" hidden="1" customHeight="1">
      <c r="A1173" s="2">
        <v>45923</v>
      </c>
      <c r="B1173" s="1" t="s">
        <v>3344</v>
      </c>
      <c r="C1173" s="1" t="s">
        <v>1634</v>
      </c>
      <c r="D1173" s="1" t="s">
        <v>169</v>
      </c>
      <c r="E1173" s="1">
        <v>85338</v>
      </c>
      <c r="F1173" s="1" t="s">
        <v>3345</v>
      </c>
      <c r="G1173" s="1" t="s">
        <v>3326</v>
      </c>
      <c r="H1173" s="4" t="s">
        <v>27</v>
      </c>
      <c r="V117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4" spans="1:22" ht="11.45" hidden="1" customHeight="1">
      <c r="A1174" s="2">
        <v>45923</v>
      </c>
      <c r="B1174" s="1" t="s">
        <v>3346</v>
      </c>
      <c r="C1174" s="1" t="s">
        <v>3347</v>
      </c>
      <c r="D1174" s="1" t="s">
        <v>63</v>
      </c>
      <c r="E1174" s="1">
        <v>85022</v>
      </c>
      <c r="F1174" s="1" t="s">
        <v>3348</v>
      </c>
      <c r="G1174" s="1" t="s">
        <v>3326</v>
      </c>
      <c r="H1174" s="19" t="s">
        <v>3349</v>
      </c>
      <c r="I1174" s="5" t="s">
        <v>36</v>
      </c>
      <c r="J1174" s="5" t="s">
        <v>37</v>
      </c>
      <c r="K1174" s="5" t="s">
        <v>37</v>
      </c>
      <c r="L1174" s="5" t="s">
        <v>38</v>
      </c>
      <c r="M1174" s="5" t="s">
        <v>38</v>
      </c>
      <c r="N1174" s="15">
        <v>1080.4000000000001</v>
      </c>
      <c r="O1174" s="5" t="s">
        <v>38</v>
      </c>
      <c r="Q1174" s="2">
        <v>45960</v>
      </c>
      <c r="R1174" s="1" t="s">
        <v>495</v>
      </c>
      <c r="V117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5" spans="1:22" ht="11.45" hidden="1" customHeight="1">
      <c r="A1175" s="2">
        <v>45923</v>
      </c>
      <c r="B1175" s="1" t="s">
        <v>3350</v>
      </c>
      <c r="C1175" s="1" t="s">
        <v>3351</v>
      </c>
      <c r="D1175" s="1" t="s">
        <v>428</v>
      </c>
      <c r="E1175" s="1">
        <v>85335</v>
      </c>
      <c r="F1175" s="1" t="s">
        <v>3352</v>
      </c>
      <c r="G1175" s="1" t="s">
        <v>3353</v>
      </c>
      <c r="H1175" s="4" t="s">
        <v>27</v>
      </c>
      <c r="V117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6" spans="1:22" ht="11.45" hidden="1" customHeight="1">
      <c r="A1176" s="2">
        <v>45923</v>
      </c>
      <c r="B1176" s="1" t="s">
        <v>930</v>
      </c>
      <c r="C1176" s="1" t="s">
        <v>263</v>
      </c>
      <c r="D1176" s="1" t="s">
        <v>240</v>
      </c>
      <c r="E1176" s="1">
        <v>85340</v>
      </c>
      <c r="F1176" s="1" t="s">
        <v>3354</v>
      </c>
      <c r="G1176" s="1" t="s">
        <v>3326</v>
      </c>
      <c r="H1176" s="4" t="s">
        <v>3355</v>
      </c>
      <c r="I1176" s="5" t="s">
        <v>36</v>
      </c>
      <c r="J1176" s="5" t="s">
        <v>37</v>
      </c>
      <c r="K1176" s="5" t="s">
        <v>37</v>
      </c>
      <c r="L1176" s="5" t="s">
        <v>38</v>
      </c>
      <c r="M1176" s="5" t="s">
        <v>37</v>
      </c>
      <c r="N1176" s="5" t="s">
        <v>37</v>
      </c>
      <c r="O1176" s="5" t="s">
        <v>38</v>
      </c>
      <c r="P1176" s="5" t="s">
        <v>39</v>
      </c>
      <c r="Q1176" s="2">
        <v>45960</v>
      </c>
      <c r="V117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7" spans="1:22" ht="11.45" hidden="1" customHeight="1">
      <c r="A1177" s="2">
        <v>45924</v>
      </c>
      <c r="B1177" s="1" t="s">
        <v>3244</v>
      </c>
      <c r="C1177" s="1" t="s">
        <v>3245</v>
      </c>
      <c r="D1177" s="1" t="s">
        <v>63</v>
      </c>
      <c r="E1177" s="1">
        <v>85013</v>
      </c>
      <c r="F1177" s="1" t="s">
        <v>3356</v>
      </c>
      <c r="G1177" s="1" t="s">
        <v>3357</v>
      </c>
      <c r="H1177" s="4" t="s">
        <v>3358</v>
      </c>
      <c r="I1177" s="5" t="s">
        <v>36</v>
      </c>
      <c r="J1177" s="5" t="s">
        <v>37</v>
      </c>
      <c r="K1177" s="5" t="s">
        <v>37</v>
      </c>
      <c r="L1177" s="5" t="s">
        <v>38</v>
      </c>
      <c r="M1177" s="5" t="s">
        <v>37</v>
      </c>
      <c r="N1177" s="5" t="s">
        <v>37</v>
      </c>
      <c r="O1177" s="5" t="s">
        <v>38</v>
      </c>
      <c r="P1177" s="5" t="s">
        <v>39</v>
      </c>
      <c r="Q1177" s="2">
        <v>45960</v>
      </c>
      <c r="R1177" s="1" t="s">
        <v>2565</v>
      </c>
      <c r="V117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8" spans="1:22" ht="11.45" hidden="1" customHeight="1">
      <c r="A1178" s="2">
        <v>44098</v>
      </c>
      <c r="B1178" s="1" t="s">
        <v>3359</v>
      </c>
      <c r="C1178" s="1" t="s">
        <v>3360</v>
      </c>
      <c r="D1178" s="1" t="s">
        <v>3361</v>
      </c>
      <c r="E1178" s="1">
        <v>86322</v>
      </c>
      <c r="F1178" s="1" t="s">
        <v>3362</v>
      </c>
      <c r="G1178" s="1" t="s">
        <v>3357</v>
      </c>
      <c r="H1178" s="19" t="s">
        <v>3363</v>
      </c>
      <c r="I1178" s="5" t="s">
        <v>57</v>
      </c>
      <c r="J1178" s="5" t="s">
        <v>37</v>
      </c>
      <c r="K1178" s="5" t="s">
        <v>37</v>
      </c>
      <c r="L1178" s="7" t="s">
        <v>3364</v>
      </c>
      <c r="M1178" s="5" t="s">
        <v>37</v>
      </c>
      <c r="N1178" s="5" t="s">
        <v>37</v>
      </c>
      <c r="O1178" s="5" t="s">
        <v>38</v>
      </c>
      <c r="P1178" s="2">
        <v>45940</v>
      </c>
      <c r="Q1178" s="2">
        <v>45960</v>
      </c>
      <c r="R1178" s="1" t="s">
        <v>3152</v>
      </c>
      <c r="V117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79" spans="1:22" ht="11.45" hidden="1" customHeight="1">
      <c r="A1179" s="2">
        <v>45924</v>
      </c>
      <c r="B1179" s="1" t="s">
        <v>3365</v>
      </c>
      <c r="C1179" s="1" t="s">
        <v>3023</v>
      </c>
      <c r="D1179" s="1" t="s">
        <v>112</v>
      </c>
      <c r="E1179" s="1">
        <v>85387</v>
      </c>
      <c r="F1179" s="1" t="s">
        <v>3366</v>
      </c>
      <c r="G1179" s="1" t="s">
        <v>3357</v>
      </c>
      <c r="H1179" s="4" t="s">
        <v>209</v>
      </c>
      <c r="V117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0" spans="1:22" ht="11.45" hidden="1" customHeight="1">
      <c r="A1180" s="2">
        <v>45925</v>
      </c>
      <c r="B1180" s="1" t="s">
        <v>3367</v>
      </c>
      <c r="C1180" s="1" t="s">
        <v>135</v>
      </c>
      <c r="D1180" s="1" t="s">
        <v>264</v>
      </c>
      <c r="E1180" s="1">
        <v>85541</v>
      </c>
      <c r="F1180" s="1" t="s">
        <v>3368</v>
      </c>
      <c r="G1180" s="1" t="s">
        <v>3357</v>
      </c>
      <c r="H1180" s="4" t="s">
        <v>3369</v>
      </c>
      <c r="I1180" s="5" t="s">
        <v>73</v>
      </c>
      <c r="J1180" s="5" t="s">
        <v>37</v>
      </c>
      <c r="K1180" s="5" t="s">
        <v>37</v>
      </c>
      <c r="L1180" s="5" t="s">
        <v>38</v>
      </c>
      <c r="M1180" s="5" t="s">
        <v>37</v>
      </c>
      <c r="N1180" s="5" t="s">
        <v>37</v>
      </c>
      <c r="O1180" s="5" t="s">
        <v>38</v>
      </c>
      <c r="P1180" s="5" t="s">
        <v>39</v>
      </c>
      <c r="Q1180" s="2">
        <v>45960</v>
      </c>
      <c r="V118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1" spans="1:22" ht="11.45" hidden="1" customHeight="1">
      <c r="A1181" s="2">
        <v>45925</v>
      </c>
      <c r="B1181" s="1" t="s">
        <v>3370</v>
      </c>
      <c r="C1181" s="1" t="s">
        <v>145</v>
      </c>
      <c r="D1181" s="1" t="s">
        <v>63</v>
      </c>
      <c r="E1181" s="1">
        <v>85032</v>
      </c>
      <c r="F1181" s="1" t="s">
        <v>3371</v>
      </c>
      <c r="G1181" s="1" t="s">
        <v>3357</v>
      </c>
      <c r="H1181" s="4" t="s">
        <v>3372</v>
      </c>
      <c r="I1181" s="5" t="s">
        <v>1684</v>
      </c>
      <c r="J1181" s="5" t="s">
        <v>37</v>
      </c>
      <c r="K1181" s="5" t="s">
        <v>37</v>
      </c>
      <c r="L1181" s="5" t="s">
        <v>38</v>
      </c>
      <c r="M1181" s="5" t="s">
        <v>37</v>
      </c>
      <c r="N1181" s="5" t="s">
        <v>37</v>
      </c>
      <c r="O1181" s="5" t="s">
        <v>38</v>
      </c>
      <c r="P1181" s="5" t="s">
        <v>39</v>
      </c>
      <c r="Q1181" s="2">
        <v>45960</v>
      </c>
      <c r="R1181" s="31" t="s">
        <v>3373</v>
      </c>
      <c r="V118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2" spans="1:22" ht="11.45" hidden="1" customHeight="1">
      <c r="A1182" s="2">
        <v>45925</v>
      </c>
      <c r="B1182" s="1" t="s">
        <v>3374</v>
      </c>
      <c r="C1182" s="1" t="s">
        <v>597</v>
      </c>
      <c r="D1182" s="1" t="s">
        <v>816</v>
      </c>
      <c r="E1182" s="1">
        <v>86301</v>
      </c>
      <c r="F1182" s="1" t="s">
        <v>3375</v>
      </c>
      <c r="G1182" s="1" t="s">
        <v>3357</v>
      </c>
      <c r="H1182" s="19" t="s">
        <v>3376</v>
      </c>
      <c r="I1182" s="5" t="s">
        <v>46</v>
      </c>
      <c r="J1182" s="5" t="s">
        <v>37</v>
      </c>
      <c r="K1182" s="5" t="s">
        <v>37</v>
      </c>
      <c r="L1182" s="5" t="s">
        <v>38</v>
      </c>
      <c r="M1182" s="5" t="s">
        <v>37</v>
      </c>
      <c r="N1182" s="5" t="s">
        <v>37</v>
      </c>
      <c r="O1182" s="5" t="s">
        <v>38</v>
      </c>
      <c r="P1182" s="5" t="s">
        <v>39</v>
      </c>
      <c r="Q1182" s="2">
        <v>45960</v>
      </c>
      <c r="V118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3" spans="1:22" ht="11.45" hidden="1" customHeight="1">
      <c r="A1183" s="2">
        <v>45926</v>
      </c>
      <c r="B1183" s="1" t="s">
        <v>3377</v>
      </c>
      <c r="C1183" s="1" t="s">
        <v>437</v>
      </c>
      <c r="D1183" s="1" t="s">
        <v>85</v>
      </c>
      <c r="E1183" s="1">
        <v>86323</v>
      </c>
      <c r="F1183" s="1" t="s">
        <v>3378</v>
      </c>
      <c r="G1183" s="1" t="s">
        <v>3379</v>
      </c>
      <c r="H1183" s="19">
        <v>6292353892</v>
      </c>
      <c r="I1183" s="5" t="s">
        <v>126</v>
      </c>
      <c r="J1183" s="5" t="s">
        <v>37</v>
      </c>
      <c r="K1183" s="5" t="s">
        <v>37</v>
      </c>
      <c r="L1183" s="5" t="s">
        <v>38</v>
      </c>
      <c r="M1183" s="5" t="s">
        <v>37</v>
      </c>
      <c r="N1183" s="5" t="s">
        <v>37</v>
      </c>
      <c r="O1183" s="5" t="s">
        <v>38</v>
      </c>
      <c r="P1183" s="5" t="s">
        <v>39</v>
      </c>
      <c r="Q1183" s="2">
        <v>45960</v>
      </c>
      <c r="V118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4" spans="1:22" ht="11.45" hidden="1" customHeight="1">
      <c r="A1184" s="2">
        <v>45926</v>
      </c>
      <c r="B1184" s="1" t="s">
        <v>246</v>
      </c>
      <c r="C1184" s="1" t="s">
        <v>3380</v>
      </c>
      <c r="D1184" s="1" t="s">
        <v>93</v>
      </c>
      <c r="E1184" s="1">
        <v>85351</v>
      </c>
      <c r="F1184" s="1" t="s">
        <v>3381</v>
      </c>
      <c r="G1184" s="1" t="s">
        <v>3382</v>
      </c>
      <c r="H1184" s="4" t="s">
        <v>27</v>
      </c>
      <c r="V118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5" spans="1:22" ht="11.45" hidden="1" customHeight="1">
      <c r="A1185" s="2">
        <v>45926</v>
      </c>
      <c r="B1185" s="1" t="s">
        <v>3383</v>
      </c>
      <c r="C1185" s="1" t="s">
        <v>1755</v>
      </c>
      <c r="D1185" s="1" t="s">
        <v>240</v>
      </c>
      <c r="E1185" s="1">
        <v>85340</v>
      </c>
      <c r="F1185" s="1" t="s">
        <v>3384</v>
      </c>
      <c r="G1185" s="1" t="s">
        <v>3379</v>
      </c>
      <c r="H1185" s="4" t="s">
        <v>3385</v>
      </c>
      <c r="I1185" s="5" t="s">
        <v>36</v>
      </c>
      <c r="J1185" s="5" t="s">
        <v>37</v>
      </c>
      <c r="K1185" s="5" t="s">
        <v>37</v>
      </c>
      <c r="L1185" s="5" t="s">
        <v>38</v>
      </c>
      <c r="M1185" s="5" t="s">
        <v>37</v>
      </c>
      <c r="N1185" s="5" t="s">
        <v>37</v>
      </c>
      <c r="O1185" s="5" t="s">
        <v>38</v>
      </c>
      <c r="P1185" s="5" t="s">
        <v>39</v>
      </c>
      <c r="Q1185" s="2">
        <v>45960</v>
      </c>
      <c r="V118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6" spans="1:22" ht="11.45" hidden="1" customHeight="1">
      <c r="A1186" s="2">
        <v>45927</v>
      </c>
      <c r="B1186" s="1" t="s">
        <v>2404</v>
      </c>
      <c r="C1186" s="1" t="s">
        <v>3006</v>
      </c>
      <c r="D1186" s="1" t="s">
        <v>24</v>
      </c>
      <c r="E1186" s="1">
        <v>85308</v>
      </c>
      <c r="F1186" s="1" t="s">
        <v>3386</v>
      </c>
      <c r="G1186" s="1" t="s">
        <v>3387</v>
      </c>
      <c r="H1186" s="4" t="s">
        <v>209</v>
      </c>
      <c r="V118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7" spans="1:22" ht="11.45" hidden="1" customHeight="1">
      <c r="A1187" s="2">
        <v>45928</v>
      </c>
      <c r="B1187" s="1" t="s">
        <v>3388</v>
      </c>
      <c r="C1187" s="1" t="s">
        <v>556</v>
      </c>
      <c r="D1187" s="1" t="s">
        <v>619</v>
      </c>
      <c r="E1187" s="1">
        <v>85367</v>
      </c>
      <c r="F1187" s="1" t="s">
        <v>3389</v>
      </c>
      <c r="G1187" s="1" t="s">
        <v>3387</v>
      </c>
      <c r="H1187" s="4" t="s">
        <v>3390</v>
      </c>
      <c r="I1187" s="5" t="s">
        <v>36</v>
      </c>
      <c r="J1187" s="5" t="s">
        <v>37</v>
      </c>
      <c r="K1187" s="5" t="s">
        <v>37</v>
      </c>
      <c r="L1187" s="5" t="s">
        <v>38</v>
      </c>
      <c r="M1187" s="5" t="s">
        <v>37</v>
      </c>
      <c r="N1187" s="5" t="s">
        <v>37</v>
      </c>
      <c r="O1187" s="5" t="s">
        <v>38</v>
      </c>
      <c r="P1187" s="5" t="s">
        <v>39</v>
      </c>
      <c r="Q1187" s="2">
        <v>45960</v>
      </c>
      <c r="V118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8" spans="1:22" ht="11.45" hidden="1" customHeight="1">
      <c r="A1188" s="2">
        <v>45928</v>
      </c>
      <c r="B1188" s="1" t="s">
        <v>3391</v>
      </c>
      <c r="C1188" s="1" t="s">
        <v>3392</v>
      </c>
      <c r="D1188" s="1" t="s">
        <v>24</v>
      </c>
      <c r="E1188" s="1">
        <v>85310</v>
      </c>
      <c r="F1188" s="1" t="s">
        <v>3393</v>
      </c>
      <c r="G1188" s="1" t="s">
        <v>3387</v>
      </c>
      <c r="H1188" s="4" t="s">
        <v>3394</v>
      </c>
      <c r="I1188" s="5" t="s">
        <v>541</v>
      </c>
      <c r="J1188" s="5" t="s">
        <v>37</v>
      </c>
      <c r="K1188" s="5" t="s">
        <v>37</v>
      </c>
      <c r="L1188" s="5" t="s">
        <v>389</v>
      </c>
      <c r="M1188" s="5" t="s">
        <v>38</v>
      </c>
      <c r="N1188" s="13">
        <v>368.4</v>
      </c>
      <c r="O1188" s="5" t="s">
        <v>38</v>
      </c>
      <c r="P1188" s="5" t="s">
        <v>39</v>
      </c>
      <c r="Q1188" s="2">
        <v>45960</v>
      </c>
      <c r="V118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89" spans="1:22" ht="11.45" hidden="1" customHeight="1">
      <c r="A1189" s="2">
        <v>45929</v>
      </c>
      <c r="B1189" s="1" t="s">
        <v>3395</v>
      </c>
      <c r="C1189" s="1" t="s">
        <v>1423</v>
      </c>
      <c r="D1189" s="1" t="s">
        <v>63</v>
      </c>
      <c r="E1189" s="1">
        <v>85086</v>
      </c>
      <c r="F1189" s="1" t="s">
        <v>3396</v>
      </c>
      <c r="G1189" s="1" t="s">
        <v>3387</v>
      </c>
      <c r="H1189" s="4" t="s">
        <v>27</v>
      </c>
      <c r="V1189"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0" spans="1:22" ht="11.45" hidden="1" customHeight="1">
      <c r="A1190" s="2">
        <v>45929</v>
      </c>
      <c r="B1190" s="1" t="s">
        <v>3397</v>
      </c>
      <c r="C1190" s="1" t="s">
        <v>3398</v>
      </c>
      <c r="D1190" s="1" t="s">
        <v>63</v>
      </c>
      <c r="E1190" s="1">
        <v>85050</v>
      </c>
      <c r="F1190" s="1" t="s">
        <v>3399</v>
      </c>
      <c r="G1190" s="1" t="s">
        <v>3387</v>
      </c>
      <c r="H1190" s="19" t="s">
        <v>3400</v>
      </c>
      <c r="I1190" s="5" t="s">
        <v>36</v>
      </c>
      <c r="J1190" s="5" t="s">
        <v>37</v>
      </c>
      <c r="K1190" s="5" t="s">
        <v>37</v>
      </c>
      <c r="L1190" s="5" t="s">
        <v>38</v>
      </c>
      <c r="M1190" s="5" t="s">
        <v>37</v>
      </c>
      <c r="N1190" s="5" t="s">
        <v>37</v>
      </c>
      <c r="O1190" s="5" t="s">
        <v>38</v>
      </c>
      <c r="P1190" s="5" t="s">
        <v>39</v>
      </c>
      <c r="Q1190" s="2">
        <v>45960</v>
      </c>
      <c r="V1190"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1" spans="1:22" ht="11.45" hidden="1" customHeight="1">
      <c r="A1191" s="2">
        <v>45930</v>
      </c>
      <c r="B1191" s="1" t="s">
        <v>3401</v>
      </c>
      <c r="C1191" s="1" t="s">
        <v>3402</v>
      </c>
      <c r="D1191" s="1" t="s">
        <v>112</v>
      </c>
      <c r="E1191" s="1">
        <v>85379</v>
      </c>
      <c r="F1191" s="1" t="s">
        <v>3403</v>
      </c>
      <c r="G1191" s="1" t="s">
        <v>3404</v>
      </c>
      <c r="H1191" s="4" t="s">
        <v>719</v>
      </c>
      <c r="I1191" s="5" t="s">
        <v>243</v>
      </c>
      <c r="J1191" s="5" t="s">
        <v>37</v>
      </c>
      <c r="K1191" s="5" t="s">
        <v>37</v>
      </c>
      <c r="L1191" s="5" t="s">
        <v>389</v>
      </c>
      <c r="M1191" s="5" t="s">
        <v>37</v>
      </c>
      <c r="N1191" s="5" t="s">
        <v>37</v>
      </c>
      <c r="O1191" s="5" t="s">
        <v>38</v>
      </c>
      <c r="P1191" s="5" t="s">
        <v>39</v>
      </c>
      <c r="Q1191" s="2">
        <v>45960</v>
      </c>
      <c r="V1191"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2" spans="1:22" ht="11.45" hidden="1" customHeight="1">
      <c r="A1192" s="2">
        <v>45930</v>
      </c>
      <c r="B1192" s="1" t="s">
        <v>3405</v>
      </c>
      <c r="C1192" s="1" t="s">
        <v>1093</v>
      </c>
      <c r="D1192" s="1" t="s">
        <v>125</v>
      </c>
      <c r="E1192" s="1">
        <v>85266</v>
      </c>
      <c r="F1192" s="1" t="s">
        <v>3406</v>
      </c>
      <c r="G1192" s="1" t="s">
        <v>3404</v>
      </c>
      <c r="H1192" s="4" t="s">
        <v>3407</v>
      </c>
      <c r="I1192" s="5" t="s">
        <v>36</v>
      </c>
      <c r="J1192" s="5" t="s">
        <v>37</v>
      </c>
      <c r="K1192" s="5" t="s">
        <v>37</v>
      </c>
      <c r="L1192" s="5" t="s">
        <v>38</v>
      </c>
      <c r="M1192" s="5" t="s">
        <v>37</v>
      </c>
      <c r="N1192" s="5" t="s">
        <v>37</v>
      </c>
      <c r="O1192" s="5" t="s">
        <v>38</v>
      </c>
      <c r="P1192" s="5" t="s">
        <v>39</v>
      </c>
      <c r="Q1192" s="2">
        <v>45960</v>
      </c>
      <c r="V1192"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3" spans="1:22" ht="11.45" hidden="1" customHeight="1">
      <c r="A1193" s="2">
        <v>45930</v>
      </c>
      <c r="B1193" s="1" t="s">
        <v>1271</v>
      </c>
      <c r="C1193" s="1" t="s">
        <v>124</v>
      </c>
      <c r="D1193" s="1" t="s">
        <v>93</v>
      </c>
      <c r="E1193" s="1">
        <v>85351</v>
      </c>
      <c r="F1193" s="1" t="s">
        <v>3408</v>
      </c>
      <c r="G1193" s="1" t="s">
        <v>3404</v>
      </c>
      <c r="H1193" s="4" t="s">
        <v>3409</v>
      </c>
      <c r="I1193" s="5" t="s">
        <v>250</v>
      </c>
      <c r="J1193" s="5" t="s">
        <v>37</v>
      </c>
      <c r="K1193" s="5" t="s">
        <v>37</v>
      </c>
      <c r="L1193" s="5" t="s">
        <v>38</v>
      </c>
      <c r="M1193" s="5" t="s">
        <v>37</v>
      </c>
      <c r="N1193" s="5" t="s">
        <v>37</v>
      </c>
      <c r="O1193" s="5" t="s">
        <v>38</v>
      </c>
      <c r="P1193" s="5" t="s">
        <v>39</v>
      </c>
      <c r="Q1193" s="2">
        <v>45960</v>
      </c>
      <c r="R1193" s="1" t="s">
        <v>3410</v>
      </c>
      <c r="V1193"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4" spans="1:22" ht="11.45" hidden="1" customHeight="1">
      <c r="A1194" s="2">
        <v>45930</v>
      </c>
      <c r="B1194" s="1" t="s">
        <v>3411</v>
      </c>
      <c r="C1194" s="1" t="s">
        <v>284</v>
      </c>
      <c r="D1194" s="1" t="s">
        <v>2109</v>
      </c>
      <c r="E1194" s="1">
        <v>86327</v>
      </c>
      <c r="F1194" s="1" t="s">
        <v>3412</v>
      </c>
      <c r="G1194" s="1" t="s">
        <v>3404</v>
      </c>
      <c r="H1194" s="4" t="s">
        <v>3413</v>
      </c>
      <c r="I1194" s="5" t="s">
        <v>73</v>
      </c>
      <c r="J1194" s="5" t="s">
        <v>37</v>
      </c>
      <c r="K1194" s="5" t="s">
        <v>37</v>
      </c>
      <c r="L1194" s="5" t="s">
        <v>3414</v>
      </c>
      <c r="M1194" s="5" t="s">
        <v>37</v>
      </c>
      <c r="N1194" s="5" t="s">
        <v>37</v>
      </c>
      <c r="O1194" s="5" t="s">
        <v>38</v>
      </c>
      <c r="P1194" s="5" t="s">
        <v>39</v>
      </c>
      <c r="Q1194" s="2">
        <v>45960</v>
      </c>
      <c r="R1194" s="1" t="s">
        <v>3415</v>
      </c>
      <c r="V1194"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5" spans="1:22" ht="11.25" hidden="1" customHeight="1">
      <c r="A1195" s="2">
        <v>45930</v>
      </c>
      <c r="B1195" s="1" t="s">
        <v>3416</v>
      </c>
      <c r="C1195" s="1" t="s">
        <v>3417</v>
      </c>
      <c r="D1195" s="1" t="s">
        <v>202</v>
      </c>
      <c r="E1195" s="1">
        <v>85345</v>
      </c>
      <c r="F1195" s="1" t="s">
        <v>310</v>
      </c>
      <c r="G1195" s="1" t="s">
        <v>3404</v>
      </c>
      <c r="H1195" s="4" t="s">
        <v>3418</v>
      </c>
      <c r="I1195" s="5" t="s">
        <v>196</v>
      </c>
      <c r="J1195" s="5" t="s">
        <v>37</v>
      </c>
      <c r="K1195" s="5" t="s">
        <v>37</v>
      </c>
      <c r="L1195" s="7" t="s">
        <v>3419</v>
      </c>
      <c r="M1195" s="5" t="s">
        <v>37</v>
      </c>
      <c r="N1195" s="5" t="s">
        <v>37</v>
      </c>
      <c r="O1195" s="5" t="s">
        <v>38</v>
      </c>
      <c r="P1195" s="2">
        <v>45940</v>
      </c>
      <c r="Q1195" s="2">
        <v>45960</v>
      </c>
      <c r="R1195" s="1" t="s">
        <v>3420</v>
      </c>
      <c r="V1195"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6" spans="1:22" ht="13.5" hidden="1" customHeight="1">
      <c r="A1196" s="2">
        <v>45930</v>
      </c>
      <c r="B1196" s="1" t="s">
        <v>3421</v>
      </c>
      <c r="C1196" s="1" t="s">
        <v>2273</v>
      </c>
      <c r="D1196" s="1" t="s">
        <v>169</v>
      </c>
      <c r="E1196" s="1">
        <v>85395</v>
      </c>
      <c r="F1196" s="1" t="s">
        <v>3422</v>
      </c>
      <c r="G1196" s="1" t="s">
        <v>3404</v>
      </c>
      <c r="H1196" s="4" t="s">
        <v>3423</v>
      </c>
      <c r="I1196" s="5" t="s">
        <v>46</v>
      </c>
      <c r="J1196" s="5" t="s">
        <v>37</v>
      </c>
      <c r="K1196" s="5" t="s">
        <v>37</v>
      </c>
      <c r="L1196" s="5" t="s">
        <v>3424</v>
      </c>
      <c r="M1196" s="5" t="s">
        <v>37</v>
      </c>
      <c r="N1196" s="5" t="s">
        <v>37</v>
      </c>
      <c r="O1196" s="5" t="s">
        <v>38</v>
      </c>
      <c r="P1196" s="5" t="s">
        <v>39</v>
      </c>
      <c r="Q1196" s="2">
        <v>45960</v>
      </c>
      <c r="V1196"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7" spans="1:22" ht="11.45" hidden="1" customHeight="1">
      <c r="A1197" s="2">
        <v>45930</v>
      </c>
      <c r="B1197" s="1" t="s">
        <v>3425</v>
      </c>
      <c r="C1197" s="1" t="s">
        <v>3426</v>
      </c>
      <c r="D1197" s="1" t="s">
        <v>174</v>
      </c>
      <c r="E1197" s="1">
        <v>85396</v>
      </c>
      <c r="F1197" s="1" t="s">
        <v>3427</v>
      </c>
      <c r="G1197" s="1" t="s">
        <v>3428</v>
      </c>
      <c r="H1197" s="4" t="s">
        <v>3429</v>
      </c>
      <c r="I1197" s="5" t="s">
        <v>1040</v>
      </c>
      <c r="J1197" s="5" t="s">
        <v>37</v>
      </c>
      <c r="K1197" s="5" t="s">
        <v>37</v>
      </c>
      <c r="L1197" s="5" t="s">
        <v>3430</v>
      </c>
      <c r="M1197" s="5" t="s">
        <v>37</v>
      </c>
      <c r="N1197" s="5" t="s">
        <v>37</v>
      </c>
      <c r="O1197" s="5" t="s">
        <v>38</v>
      </c>
      <c r="P1197" s="5" t="s">
        <v>39</v>
      </c>
      <c r="Q1197" s="2">
        <v>45960</v>
      </c>
      <c r="V1197"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8" spans="1:22" ht="13.5" hidden="1" customHeight="1">
      <c r="A1198" s="2">
        <v>45931</v>
      </c>
      <c r="B1198" s="1" t="s">
        <v>3431</v>
      </c>
      <c r="C1198" s="1" t="s">
        <v>3432</v>
      </c>
      <c r="D1198" s="1" t="s">
        <v>63</v>
      </c>
      <c r="E1198" s="1">
        <v>85032</v>
      </c>
      <c r="F1198" s="1" t="s">
        <v>3433</v>
      </c>
      <c r="G1198" s="1" t="s">
        <v>3434</v>
      </c>
      <c r="H1198" s="4" t="s">
        <v>90</v>
      </c>
      <c r="V1198" s="46">
        <f>IF(
  OR(
    ISNUMBER(SEARCH("unable to locate acct", tblDocketedComments[[#This Row],[Docketed Consumer Comments]])),
    ISNUMBER(SEARCH("unknown", tblDocketedComments[[#This Row],[Docketed Consumer Comments]])),
    ISNUMBER(SEARCH("inactive", tblDocketedComments[[#This Row],[Docketed Consumer Comments]]))
  ),
  0,
  1
)</f>
        <v>1</v>
      </c>
    </row>
    <row r="1199" spans="1:22" hidden="1">
      <c r="A1199" s="2">
        <v>45932</v>
      </c>
      <c r="B1199" s="1" t="s">
        <v>3435</v>
      </c>
      <c r="C1199" s="1" t="s">
        <v>3436</v>
      </c>
      <c r="D1199" s="1" t="s">
        <v>30</v>
      </c>
      <c r="E1199" s="1" t="s">
        <v>30</v>
      </c>
      <c r="F1199" s="1" t="s">
        <v>3437</v>
      </c>
      <c r="G1199" s="1" t="s">
        <v>3438</v>
      </c>
      <c r="H1199" s="4" t="s">
        <v>3439</v>
      </c>
      <c r="I1199" s="5" t="s">
        <v>541</v>
      </c>
      <c r="J1199" s="5" t="s">
        <v>37</v>
      </c>
      <c r="K1199" s="5" t="s">
        <v>37</v>
      </c>
      <c r="L1199" s="5" t="s">
        <v>389</v>
      </c>
      <c r="M1199" s="5" t="s">
        <v>38</v>
      </c>
      <c r="N1199" s="13">
        <v>170.45</v>
      </c>
      <c r="O1199" s="5" t="s">
        <v>38</v>
      </c>
      <c r="P1199" s="5" t="s">
        <v>39</v>
      </c>
      <c r="Q1199" s="2">
        <v>45960</v>
      </c>
      <c r="V119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0" spans="1:22" hidden="1">
      <c r="A1200" s="2">
        <v>45932</v>
      </c>
      <c r="B1200" s="1" t="s">
        <v>3440</v>
      </c>
      <c r="C1200" s="1" t="s">
        <v>3441</v>
      </c>
      <c r="D1200" s="1" t="s">
        <v>129</v>
      </c>
      <c r="E1200" s="1">
        <v>85233</v>
      </c>
      <c r="F1200" s="1" t="s">
        <v>310</v>
      </c>
      <c r="G1200" s="1" t="s">
        <v>3442</v>
      </c>
      <c r="H1200" s="4" t="s">
        <v>3443</v>
      </c>
      <c r="I1200" s="5" t="s">
        <v>243</v>
      </c>
      <c r="J1200" s="5" t="s">
        <v>37</v>
      </c>
      <c r="K1200" s="5" t="s">
        <v>37</v>
      </c>
      <c r="L1200" s="5" t="s">
        <v>389</v>
      </c>
      <c r="M1200" s="5" t="s">
        <v>37</v>
      </c>
      <c r="N1200" s="5" t="s">
        <v>37</v>
      </c>
      <c r="O1200" s="5" t="s">
        <v>38</v>
      </c>
      <c r="P1200" s="5" t="s">
        <v>39</v>
      </c>
      <c r="Q1200" s="2">
        <v>45960</v>
      </c>
      <c r="V120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1" spans="1:22" hidden="1">
      <c r="A1201" s="2">
        <v>45932</v>
      </c>
      <c r="B1201" s="1" t="s">
        <v>528</v>
      </c>
      <c r="C1201" s="1" t="s">
        <v>3395</v>
      </c>
      <c r="D1201" s="1" t="s">
        <v>63</v>
      </c>
      <c r="E1201" s="1">
        <v>85085</v>
      </c>
      <c r="F1201" s="1" t="s">
        <v>3444</v>
      </c>
      <c r="G1201" s="1" t="s">
        <v>3442</v>
      </c>
      <c r="H1201" s="4" t="s">
        <v>3445</v>
      </c>
      <c r="I1201" s="5" t="s">
        <v>1040</v>
      </c>
      <c r="J1201" s="5" t="s">
        <v>37</v>
      </c>
      <c r="K1201" s="5" t="s">
        <v>37</v>
      </c>
      <c r="L1201" s="5" t="s">
        <v>401</v>
      </c>
      <c r="M1201" s="5" t="s">
        <v>37</v>
      </c>
      <c r="N1201" s="5" t="s">
        <v>37</v>
      </c>
      <c r="O1201" s="5" t="s">
        <v>38</v>
      </c>
      <c r="P1201" s="5" t="s">
        <v>39</v>
      </c>
      <c r="Q1201" s="2">
        <v>45960</v>
      </c>
      <c r="R1201" s="1" t="s">
        <v>3446</v>
      </c>
      <c r="V120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2" spans="1:22" hidden="1">
      <c r="A1202" s="2">
        <v>45933</v>
      </c>
      <c r="B1202" s="1" t="s">
        <v>800</v>
      </c>
      <c r="C1202" s="1" t="s">
        <v>801</v>
      </c>
      <c r="D1202" s="1" t="s">
        <v>30</v>
      </c>
      <c r="E1202" s="1" t="s">
        <v>30</v>
      </c>
      <c r="F1202" s="1" t="s">
        <v>3447</v>
      </c>
      <c r="G1202" s="1" t="s">
        <v>3448</v>
      </c>
      <c r="H1202" s="4" t="s">
        <v>3449</v>
      </c>
      <c r="I1202" s="5" t="s">
        <v>73</v>
      </c>
      <c r="J1202" s="5" t="s">
        <v>37</v>
      </c>
      <c r="K1202" s="5" t="s">
        <v>37</v>
      </c>
      <c r="L1202" s="5" t="s">
        <v>38</v>
      </c>
      <c r="M1202" s="5" t="s">
        <v>37</v>
      </c>
      <c r="N1202" s="5" t="s">
        <v>37</v>
      </c>
      <c r="O1202" s="5" t="s">
        <v>38</v>
      </c>
      <c r="P1202" s="5" t="s">
        <v>39</v>
      </c>
      <c r="Q1202" s="2">
        <v>45960</v>
      </c>
      <c r="V120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3" spans="1:22" hidden="1">
      <c r="A1203" s="2">
        <v>45933</v>
      </c>
      <c r="B1203" s="1" t="s">
        <v>134</v>
      </c>
      <c r="C1203" s="1" t="s">
        <v>363</v>
      </c>
      <c r="D1203" s="1" t="s">
        <v>30</v>
      </c>
      <c r="E1203" s="1" t="s">
        <v>30</v>
      </c>
      <c r="F1203" s="1" t="s">
        <v>31</v>
      </c>
      <c r="G1203" s="1" t="s">
        <v>3448</v>
      </c>
      <c r="H1203" s="4" t="s">
        <v>209</v>
      </c>
      <c r="V120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4" spans="1:22" hidden="1">
      <c r="A1204" s="2">
        <v>45933</v>
      </c>
      <c r="B1204" s="1" t="s">
        <v>3450</v>
      </c>
      <c r="C1204" s="1" t="s">
        <v>88</v>
      </c>
      <c r="D1204" s="1" t="s">
        <v>68</v>
      </c>
      <c r="E1204" s="1">
        <v>85331</v>
      </c>
      <c r="F1204" s="1" t="s">
        <v>3451</v>
      </c>
      <c r="G1204" s="1" t="s">
        <v>3452</v>
      </c>
      <c r="H1204" s="4" t="s">
        <v>3453</v>
      </c>
      <c r="I1204" s="5" t="s">
        <v>36</v>
      </c>
      <c r="J1204" s="5" t="s">
        <v>37</v>
      </c>
      <c r="K1204" s="5" t="s">
        <v>37</v>
      </c>
      <c r="L1204" s="5" t="s">
        <v>38</v>
      </c>
      <c r="M1204" s="5" t="s">
        <v>37</v>
      </c>
      <c r="N1204" s="5" t="s">
        <v>37</v>
      </c>
      <c r="O1204" s="5" t="s">
        <v>38</v>
      </c>
      <c r="P1204" s="5" t="s">
        <v>39</v>
      </c>
      <c r="Q1204" s="2">
        <v>45960</v>
      </c>
      <c r="V120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5" spans="1:22" hidden="1">
      <c r="A1205" s="2">
        <v>45934</v>
      </c>
      <c r="B1205" s="1" t="s">
        <v>3454</v>
      </c>
      <c r="C1205" s="1" t="s">
        <v>1354</v>
      </c>
      <c r="D1205" s="1" t="s">
        <v>370</v>
      </c>
      <c r="E1205" s="1">
        <v>85225</v>
      </c>
      <c r="F1205" s="1" t="s">
        <v>3455</v>
      </c>
      <c r="G1205" s="1" t="s">
        <v>3456</v>
      </c>
      <c r="H1205" s="4" t="s">
        <v>719</v>
      </c>
      <c r="I1205" s="5" t="s">
        <v>3457</v>
      </c>
      <c r="J1205" s="5" t="s">
        <v>37</v>
      </c>
      <c r="K1205" s="5" t="s">
        <v>37</v>
      </c>
      <c r="L1205" s="5" t="s">
        <v>3458</v>
      </c>
      <c r="M1205" s="5" t="s">
        <v>37</v>
      </c>
      <c r="N1205" s="5" t="s">
        <v>37</v>
      </c>
      <c r="O1205" s="5" t="s">
        <v>38</v>
      </c>
      <c r="P1205" s="5" t="s">
        <v>39</v>
      </c>
      <c r="Q1205" s="2">
        <v>45954</v>
      </c>
      <c r="V120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6" spans="1:22" hidden="1">
      <c r="A1206" s="2">
        <v>45934</v>
      </c>
      <c r="B1206" s="1" t="s">
        <v>3459</v>
      </c>
      <c r="C1206" s="1" t="s">
        <v>320</v>
      </c>
      <c r="D1206" s="1" t="s">
        <v>63</v>
      </c>
      <c r="E1206" s="1">
        <v>85032</v>
      </c>
      <c r="F1206" s="1" t="s">
        <v>3460</v>
      </c>
      <c r="G1206" s="1" t="s">
        <v>3456</v>
      </c>
      <c r="H1206" s="4" t="s">
        <v>3461</v>
      </c>
      <c r="I1206" s="5" t="s">
        <v>36</v>
      </c>
      <c r="J1206" s="5" t="s">
        <v>38</v>
      </c>
      <c r="K1206" s="5" t="s">
        <v>37</v>
      </c>
      <c r="L1206" s="5" t="s">
        <v>38</v>
      </c>
      <c r="M1206" s="5" t="s">
        <v>37</v>
      </c>
      <c r="N1206" s="5" t="s">
        <v>37</v>
      </c>
      <c r="O1206" s="5" t="s">
        <v>38</v>
      </c>
      <c r="P1206" s="5" t="s">
        <v>39</v>
      </c>
      <c r="Q1206" s="2">
        <v>45954</v>
      </c>
      <c r="V120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7" spans="1:22" hidden="1">
      <c r="A1207" s="2">
        <v>45934</v>
      </c>
      <c r="B1207" s="1" t="s">
        <v>34</v>
      </c>
      <c r="C1207" s="1" t="s">
        <v>2273</v>
      </c>
      <c r="D1207" s="1" t="s">
        <v>261</v>
      </c>
      <c r="E1207" s="1">
        <v>86314</v>
      </c>
      <c r="F1207" s="1" t="s">
        <v>3462</v>
      </c>
      <c r="G1207" s="1" t="s">
        <v>3456</v>
      </c>
      <c r="H1207" s="4" t="s">
        <v>3463</v>
      </c>
      <c r="I1207" s="5" t="s">
        <v>196</v>
      </c>
      <c r="J1207" s="5" t="s">
        <v>37</v>
      </c>
      <c r="K1207" s="5" t="s">
        <v>37</v>
      </c>
      <c r="L1207" s="5" t="s">
        <v>3464</v>
      </c>
      <c r="M1207" s="5" t="s">
        <v>37</v>
      </c>
      <c r="N1207" s="5" t="s">
        <v>37</v>
      </c>
      <c r="O1207" s="5" t="s">
        <v>38</v>
      </c>
      <c r="P1207" s="5" t="s">
        <v>39</v>
      </c>
      <c r="Q1207" s="2">
        <v>45954</v>
      </c>
      <c r="V120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8" spans="1:22" hidden="1">
      <c r="A1208" s="2">
        <v>45935</v>
      </c>
      <c r="B1208" s="1" t="s">
        <v>1210</v>
      </c>
      <c r="C1208" s="1" t="s">
        <v>3465</v>
      </c>
      <c r="D1208" s="1" t="s">
        <v>737</v>
      </c>
      <c r="E1208" s="1">
        <v>86326</v>
      </c>
      <c r="F1208" s="1" t="s">
        <v>3466</v>
      </c>
      <c r="G1208" s="1" t="s">
        <v>3456</v>
      </c>
      <c r="H1208" s="4" t="s">
        <v>3467</v>
      </c>
      <c r="I1208" s="5" t="s">
        <v>243</v>
      </c>
      <c r="J1208" s="5" t="s">
        <v>37</v>
      </c>
      <c r="K1208" s="5" t="s">
        <v>37</v>
      </c>
      <c r="L1208" s="5" t="s">
        <v>389</v>
      </c>
      <c r="M1208" s="5" t="s">
        <v>37</v>
      </c>
      <c r="N1208" s="5" t="s">
        <v>37</v>
      </c>
      <c r="O1208" s="5" t="s">
        <v>38</v>
      </c>
      <c r="P1208" s="5" t="s">
        <v>39</v>
      </c>
      <c r="Q1208" s="2">
        <v>45954</v>
      </c>
      <c r="V120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09" spans="1:22" hidden="1">
      <c r="A1209" s="2">
        <v>45935</v>
      </c>
      <c r="B1209" s="1" t="s">
        <v>3468</v>
      </c>
      <c r="C1209" s="1" t="s">
        <v>2931</v>
      </c>
      <c r="D1209" s="1" t="s">
        <v>63</v>
      </c>
      <c r="E1209" s="1">
        <v>85014</v>
      </c>
      <c r="F1209" s="1" t="s">
        <v>310</v>
      </c>
      <c r="G1209" s="1" t="s">
        <v>3456</v>
      </c>
      <c r="H1209" s="4" t="s">
        <v>27</v>
      </c>
      <c r="V120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0" spans="1:22" hidden="1">
      <c r="A1210" s="2">
        <v>45935</v>
      </c>
      <c r="B1210" s="1" t="s">
        <v>3469</v>
      </c>
      <c r="C1210" s="1" t="s">
        <v>1089</v>
      </c>
      <c r="D1210" s="1" t="s">
        <v>3470</v>
      </c>
      <c r="E1210" s="1">
        <v>86324</v>
      </c>
      <c r="F1210" s="1" t="s">
        <v>31</v>
      </c>
      <c r="G1210" s="1" t="s">
        <v>3456</v>
      </c>
      <c r="H1210" s="4" t="s">
        <v>3471</v>
      </c>
      <c r="I1210" s="5" t="s">
        <v>73</v>
      </c>
      <c r="J1210" s="5" t="s">
        <v>37</v>
      </c>
      <c r="K1210" s="5" t="s">
        <v>37</v>
      </c>
      <c r="L1210" s="5" t="s">
        <v>38</v>
      </c>
      <c r="M1210" s="5" t="s">
        <v>37</v>
      </c>
      <c r="N1210" s="5" t="s">
        <v>37</v>
      </c>
      <c r="O1210" s="5" t="s">
        <v>38</v>
      </c>
      <c r="P1210" s="5" t="s">
        <v>39</v>
      </c>
      <c r="Q1210" s="2">
        <v>45954</v>
      </c>
      <c r="R1210" s="1" t="s">
        <v>3415</v>
      </c>
      <c r="V121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1" spans="1:22" hidden="1">
      <c r="A1211" s="2">
        <v>45936</v>
      </c>
      <c r="B1211" s="1" t="s">
        <v>3472</v>
      </c>
      <c r="C1211" s="1" t="s">
        <v>3473</v>
      </c>
      <c r="D1211" s="1" t="s">
        <v>63</v>
      </c>
      <c r="E1211" s="1">
        <v>85024</v>
      </c>
      <c r="F1211" s="1" t="s">
        <v>3474</v>
      </c>
      <c r="G1211" s="1" t="s">
        <v>3456</v>
      </c>
      <c r="H1211" s="4" t="s">
        <v>27</v>
      </c>
      <c r="V121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2" spans="1:22" hidden="1">
      <c r="A1212" s="2">
        <v>45936</v>
      </c>
      <c r="B1212" s="1" t="s">
        <v>3475</v>
      </c>
      <c r="C1212" s="1" t="s">
        <v>1707</v>
      </c>
      <c r="D1212" s="1" t="s">
        <v>24</v>
      </c>
      <c r="E1212" s="1">
        <v>85308</v>
      </c>
      <c r="F1212" s="1" t="s">
        <v>3476</v>
      </c>
      <c r="G1212" s="1" t="s">
        <v>3456</v>
      </c>
      <c r="H1212" s="4" t="s">
        <v>27</v>
      </c>
      <c r="V121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3" spans="1:22" hidden="1">
      <c r="A1213" s="2">
        <v>45937</v>
      </c>
      <c r="B1213" s="1" t="s">
        <v>3477</v>
      </c>
      <c r="C1213" s="1" t="s">
        <v>3478</v>
      </c>
      <c r="D1213" s="1" t="s">
        <v>169</v>
      </c>
      <c r="E1213" s="1">
        <v>85338</v>
      </c>
      <c r="F1213" s="1" t="s">
        <v>3479</v>
      </c>
      <c r="G1213" s="1" t="s">
        <v>3456</v>
      </c>
      <c r="H1213" s="4" t="s">
        <v>3480</v>
      </c>
      <c r="I1213" s="5" t="s">
        <v>541</v>
      </c>
      <c r="J1213" s="5" t="s">
        <v>38</v>
      </c>
      <c r="K1213" s="5" t="s">
        <v>37</v>
      </c>
      <c r="L1213" s="5" t="s">
        <v>389</v>
      </c>
      <c r="M1213" s="5" t="s">
        <v>37</v>
      </c>
      <c r="N1213" s="5" t="s">
        <v>37</v>
      </c>
      <c r="O1213" s="5" t="s">
        <v>38</v>
      </c>
      <c r="P1213" s="5" t="s">
        <v>39</v>
      </c>
      <c r="Q1213" s="2">
        <v>45954</v>
      </c>
      <c r="V121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4" spans="1:22" hidden="1">
      <c r="A1214" s="2">
        <v>45938</v>
      </c>
      <c r="B1214" s="1" t="s">
        <v>3481</v>
      </c>
      <c r="C1214" s="1" t="s">
        <v>3482</v>
      </c>
      <c r="D1214" s="1" t="s">
        <v>112</v>
      </c>
      <c r="E1214" s="1">
        <v>85379</v>
      </c>
      <c r="F1214" s="1" t="s">
        <v>310</v>
      </c>
      <c r="G1214" s="1" t="s">
        <v>3158</v>
      </c>
      <c r="H1214" s="4" t="s">
        <v>90</v>
      </c>
      <c r="V121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5" spans="1:22" hidden="1">
      <c r="A1215" s="2">
        <v>45938</v>
      </c>
      <c r="B1215" s="1" t="s">
        <v>3483</v>
      </c>
      <c r="C1215" s="1" t="s">
        <v>3484</v>
      </c>
      <c r="D1215" s="1" t="s">
        <v>125</v>
      </c>
      <c r="E1215" s="1">
        <v>85258</v>
      </c>
      <c r="F1215" s="1" t="s">
        <v>3485</v>
      </c>
      <c r="G1215" s="1" t="s">
        <v>3158</v>
      </c>
      <c r="H1215" s="4" t="s">
        <v>3486</v>
      </c>
      <c r="I1215" s="5" t="s">
        <v>36</v>
      </c>
      <c r="J1215" s="5" t="s">
        <v>37</v>
      </c>
      <c r="K1215" s="5" t="s">
        <v>37</v>
      </c>
      <c r="L1215" s="5" t="s">
        <v>38</v>
      </c>
      <c r="M1215" s="5" t="s">
        <v>37</v>
      </c>
      <c r="N1215" s="5" t="s">
        <v>37</v>
      </c>
      <c r="O1215" s="5" t="s">
        <v>38</v>
      </c>
      <c r="P1215" s="5" t="s">
        <v>39</v>
      </c>
      <c r="Q1215" s="2">
        <v>45954</v>
      </c>
      <c r="V121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6" spans="1:22" hidden="1">
      <c r="A1216" s="2">
        <v>45938</v>
      </c>
      <c r="B1216" s="1" t="s">
        <v>3487</v>
      </c>
      <c r="C1216" s="1" t="s">
        <v>2040</v>
      </c>
      <c r="D1216" s="1" t="s">
        <v>30</v>
      </c>
      <c r="E1216" s="1" t="s">
        <v>30</v>
      </c>
      <c r="F1216" s="1" t="s">
        <v>3488</v>
      </c>
      <c r="G1216" s="1" t="s">
        <v>3158</v>
      </c>
      <c r="H1216" s="4" t="s">
        <v>3489</v>
      </c>
      <c r="I1216" s="5" t="s">
        <v>57</v>
      </c>
      <c r="J1216" s="5" t="s">
        <v>37</v>
      </c>
      <c r="K1216" s="5" t="s">
        <v>37</v>
      </c>
      <c r="L1216" s="5" t="s">
        <v>3490</v>
      </c>
      <c r="M1216" s="5" t="s">
        <v>37</v>
      </c>
      <c r="N1216" s="5" t="s">
        <v>37</v>
      </c>
      <c r="O1216" s="5" t="s">
        <v>38</v>
      </c>
      <c r="P1216" s="5" t="s">
        <v>39</v>
      </c>
      <c r="Q1216" s="2">
        <v>45954</v>
      </c>
      <c r="V121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7" spans="1:22" hidden="1">
      <c r="A1217" s="2">
        <v>45938</v>
      </c>
      <c r="B1217" s="1" t="s">
        <v>3491</v>
      </c>
      <c r="C1217" s="1" t="s">
        <v>3492</v>
      </c>
      <c r="D1217" s="1" t="s">
        <v>125</v>
      </c>
      <c r="E1217" s="1">
        <v>85258</v>
      </c>
      <c r="F1217" s="1" t="s">
        <v>3493</v>
      </c>
      <c r="G1217" s="1" t="s">
        <v>3494</v>
      </c>
      <c r="H1217" s="4" t="s">
        <v>3495</v>
      </c>
      <c r="I1217" s="5" t="s">
        <v>36</v>
      </c>
      <c r="J1217" s="5" t="s">
        <v>37</v>
      </c>
      <c r="K1217" s="5" t="s">
        <v>37</v>
      </c>
      <c r="L1217" s="5" t="s">
        <v>38</v>
      </c>
      <c r="M1217" s="5" t="s">
        <v>37</v>
      </c>
      <c r="N1217" s="5" t="s">
        <v>37</v>
      </c>
      <c r="O1217" s="5" t="s">
        <v>38</v>
      </c>
      <c r="P1217" s="5" t="s">
        <v>39</v>
      </c>
      <c r="Q1217" s="2">
        <v>45954</v>
      </c>
      <c r="V121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8" spans="1:22" hidden="1">
      <c r="A1218" s="2">
        <v>45938</v>
      </c>
      <c r="B1218" s="1" t="s">
        <v>3496</v>
      </c>
      <c r="C1218" s="1" t="s">
        <v>3497</v>
      </c>
      <c r="D1218" s="1" t="s">
        <v>3498</v>
      </c>
      <c r="E1218" s="1" t="s">
        <v>30</v>
      </c>
      <c r="F1218" s="1" t="s">
        <v>310</v>
      </c>
      <c r="G1218" s="1" t="s">
        <v>3494</v>
      </c>
      <c r="H1218" s="4" t="s">
        <v>27</v>
      </c>
      <c r="R1218" s="1" t="s">
        <v>3499</v>
      </c>
      <c r="V121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19" spans="1:22" hidden="1">
      <c r="A1219" s="2">
        <v>45938</v>
      </c>
      <c r="B1219" s="1" t="s">
        <v>3500</v>
      </c>
      <c r="C1219" s="1" t="s">
        <v>3497</v>
      </c>
      <c r="D1219" s="1" t="s">
        <v>3498</v>
      </c>
      <c r="E1219" s="1" t="s">
        <v>30</v>
      </c>
      <c r="F1219" s="1" t="s">
        <v>310</v>
      </c>
      <c r="G1219" s="1" t="s">
        <v>3494</v>
      </c>
      <c r="H1219" s="4" t="s">
        <v>27</v>
      </c>
      <c r="R1219" s="1" t="s">
        <v>3499</v>
      </c>
      <c r="V121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0" spans="1:22" hidden="1">
      <c r="A1220" s="2">
        <v>45938</v>
      </c>
      <c r="B1220" s="1" t="s">
        <v>447</v>
      </c>
      <c r="C1220" s="1" t="s">
        <v>1223</v>
      </c>
      <c r="D1220" s="1" t="s">
        <v>3501</v>
      </c>
      <c r="E1220" s="1">
        <v>85541</v>
      </c>
      <c r="F1220" s="1" t="s">
        <v>3502</v>
      </c>
      <c r="G1220" s="1" t="s">
        <v>3494</v>
      </c>
      <c r="H1220" s="4" t="s">
        <v>3503</v>
      </c>
      <c r="I1220" s="5" t="s">
        <v>73</v>
      </c>
      <c r="J1220" s="5" t="s">
        <v>37</v>
      </c>
      <c r="K1220" s="5" t="s">
        <v>37</v>
      </c>
      <c r="L1220" s="5" t="s">
        <v>38</v>
      </c>
      <c r="M1220" s="5" t="s">
        <v>37</v>
      </c>
      <c r="N1220" s="5" t="s">
        <v>37</v>
      </c>
      <c r="O1220" s="5" t="s">
        <v>38</v>
      </c>
      <c r="P1220" s="5" t="s">
        <v>39</v>
      </c>
      <c r="Q1220" s="2">
        <v>45954</v>
      </c>
      <c r="V122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1" spans="1:22" hidden="1">
      <c r="A1221" s="2">
        <v>45938</v>
      </c>
      <c r="B1221" s="1" t="s">
        <v>3497</v>
      </c>
      <c r="C1221" s="1" t="s">
        <v>3500</v>
      </c>
      <c r="D1221" s="1" t="s">
        <v>3498</v>
      </c>
      <c r="E1221" s="1" t="s">
        <v>30</v>
      </c>
      <c r="F1221" s="1" t="s">
        <v>310</v>
      </c>
      <c r="G1221" s="1" t="s">
        <v>3494</v>
      </c>
      <c r="H1221" s="4" t="s">
        <v>27</v>
      </c>
      <c r="R1221" s="1" t="s">
        <v>3499</v>
      </c>
      <c r="V122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2" spans="1:22" hidden="1">
      <c r="A1222" s="2">
        <v>45938</v>
      </c>
      <c r="B1222" s="1" t="s">
        <v>3497</v>
      </c>
      <c r="C1222" s="1" t="s">
        <v>3500</v>
      </c>
      <c r="D1222" s="1" t="s">
        <v>3498</v>
      </c>
      <c r="E1222" s="1" t="s">
        <v>30</v>
      </c>
      <c r="F1222" s="1" t="s">
        <v>310</v>
      </c>
      <c r="G1222" s="1" t="s">
        <v>3494</v>
      </c>
      <c r="H1222" s="4" t="s">
        <v>27</v>
      </c>
      <c r="R1222" s="1" t="s">
        <v>3499</v>
      </c>
      <c r="V122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3" spans="1:22" hidden="1">
      <c r="A1223" s="2">
        <v>45938</v>
      </c>
      <c r="B1223" s="1" t="s">
        <v>3497</v>
      </c>
      <c r="C1223" s="1" t="s">
        <v>3504</v>
      </c>
      <c r="D1223" s="1" t="s">
        <v>3498</v>
      </c>
      <c r="E1223" s="1" t="s">
        <v>30</v>
      </c>
      <c r="F1223" s="1" t="s">
        <v>310</v>
      </c>
      <c r="G1223" s="1" t="s">
        <v>3494</v>
      </c>
      <c r="H1223" s="4" t="s">
        <v>27</v>
      </c>
      <c r="R1223" s="1" t="s">
        <v>3499</v>
      </c>
      <c r="V122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4" spans="1:22" hidden="1">
      <c r="A1224" s="2">
        <v>45939</v>
      </c>
      <c r="B1224" s="1" t="s">
        <v>3505</v>
      </c>
      <c r="C1224" s="1" t="s">
        <v>3506</v>
      </c>
      <c r="D1224" s="1" t="s">
        <v>202</v>
      </c>
      <c r="E1224" s="1">
        <v>85382</v>
      </c>
      <c r="F1224" s="1" t="s">
        <v>3507</v>
      </c>
      <c r="G1224" s="1" t="s">
        <v>3494</v>
      </c>
      <c r="H1224" s="4" t="s">
        <v>3508</v>
      </c>
      <c r="I1224" s="5" t="s">
        <v>36</v>
      </c>
      <c r="J1224" s="5" t="s">
        <v>37</v>
      </c>
      <c r="K1224" s="5" t="s">
        <v>37</v>
      </c>
      <c r="L1224" s="5" t="s">
        <v>38</v>
      </c>
      <c r="M1224" s="5" t="s">
        <v>37</v>
      </c>
      <c r="N1224" s="5" t="s">
        <v>37</v>
      </c>
      <c r="O1224" s="5" t="s">
        <v>38</v>
      </c>
      <c r="P1224" s="5" t="s">
        <v>39</v>
      </c>
      <c r="Q1224" s="2">
        <v>45954</v>
      </c>
      <c r="V122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5" spans="1:22" hidden="1">
      <c r="A1225" s="2">
        <v>45939</v>
      </c>
      <c r="B1225" s="1" t="s">
        <v>3509</v>
      </c>
      <c r="C1225" s="1" t="s">
        <v>801</v>
      </c>
      <c r="D1225" s="1" t="s">
        <v>63</v>
      </c>
      <c r="E1225" s="1">
        <v>85050</v>
      </c>
      <c r="F1225" s="1" t="s">
        <v>3510</v>
      </c>
      <c r="G1225" s="1" t="s">
        <v>3494</v>
      </c>
      <c r="H1225" s="4" t="s">
        <v>90</v>
      </c>
      <c r="V122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6" spans="1:22" hidden="1">
      <c r="A1226" s="2">
        <v>45940</v>
      </c>
      <c r="B1226" s="1" t="s">
        <v>3511</v>
      </c>
      <c r="C1226" s="1" t="s">
        <v>135</v>
      </c>
      <c r="D1226" s="1" t="s">
        <v>169</v>
      </c>
      <c r="E1226" s="1">
        <v>85338</v>
      </c>
      <c r="F1226" s="1" t="s">
        <v>2251</v>
      </c>
      <c r="G1226" s="8" t="s">
        <v>3512</v>
      </c>
      <c r="H1226" s="4" t="s">
        <v>27</v>
      </c>
      <c r="V122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7" spans="1:22" hidden="1">
      <c r="A1227" s="2">
        <v>45940</v>
      </c>
      <c r="B1227" s="1" t="s">
        <v>91</v>
      </c>
      <c r="C1227" s="1" t="s">
        <v>3513</v>
      </c>
      <c r="D1227" s="1" t="s">
        <v>93</v>
      </c>
      <c r="E1227" s="1">
        <v>85351</v>
      </c>
      <c r="F1227" s="1" t="s">
        <v>3514</v>
      </c>
      <c r="G1227" s="8" t="s">
        <v>3512</v>
      </c>
      <c r="H1227" s="4" t="s">
        <v>3515</v>
      </c>
      <c r="I1227" s="5" t="s">
        <v>73</v>
      </c>
      <c r="J1227" s="5" t="s">
        <v>37</v>
      </c>
      <c r="K1227" s="5" t="s">
        <v>37</v>
      </c>
      <c r="L1227" s="5" t="s">
        <v>38</v>
      </c>
      <c r="M1227" s="5" t="s">
        <v>37</v>
      </c>
      <c r="N1227" s="5" t="s">
        <v>37</v>
      </c>
      <c r="O1227" s="5" t="s">
        <v>38</v>
      </c>
      <c r="P1227" s="5" t="s">
        <v>39</v>
      </c>
      <c r="Q1227" s="2">
        <v>45954</v>
      </c>
      <c r="R1227" s="1" t="s">
        <v>3516</v>
      </c>
      <c r="V122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8" spans="1:22" hidden="1">
      <c r="A1228" s="2">
        <v>45940</v>
      </c>
      <c r="B1228" s="1" t="s">
        <v>3517</v>
      </c>
      <c r="C1228" s="1" t="s">
        <v>1729</v>
      </c>
      <c r="D1228" s="1" t="s">
        <v>2429</v>
      </c>
      <c r="E1228" s="1">
        <v>85132</v>
      </c>
      <c r="F1228" s="1" t="s">
        <v>3518</v>
      </c>
      <c r="G1228" s="8" t="s">
        <v>3512</v>
      </c>
      <c r="H1228" s="4" t="s">
        <v>3519</v>
      </c>
      <c r="I1228" s="5" t="s">
        <v>250</v>
      </c>
      <c r="J1228" s="5" t="s">
        <v>37</v>
      </c>
      <c r="K1228" s="5" t="s">
        <v>37</v>
      </c>
      <c r="L1228" s="5" t="s">
        <v>38</v>
      </c>
      <c r="M1228" s="5" t="s">
        <v>37</v>
      </c>
      <c r="N1228" s="5" t="s">
        <v>37</v>
      </c>
      <c r="O1228" s="5" t="s">
        <v>38</v>
      </c>
      <c r="P1228" s="5" t="s">
        <v>39</v>
      </c>
      <c r="Q1228" s="2">
        <v>45954</v>
      </c>
      <c r="V122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29" spans="1:22" hidden="1">
      <c r="A1229" s="2">
        <v>45940</v>
      </c>
      <c r="B1229" s="1" t="s">
        <v>3520</v>
      </c>
      <c r="C1229" s="1" t="s">
        <v>420</v>
      </c>
      <c r="D1229" s="1" t="s">
        <v>539</v>
      </c>
      <c r="E1229" s="1">
        <v>85122</v>
      </c>
      <c r="F1229" s="1" t="s">
        <v>3521</v>
      </c>
      <c r="G1229" s="8" t="s">
        <v>3512</v>
      </c>
      <c r="H1229" s="4" t="s">
        <v>3522</v>
      </c>
      <c r="I1229" s="5" t="s">
        <v>36</v>
      </c>
      <c r="J1229" s="5" t="s">
        <v>37</v>
      </c>
      <c r="K1229" s="5" t="s">
        <v>37</v>
      </c>
      <c r="L1229" s="5" t="s">
        <v>38</v>
      </c>
      <c r="M1229" s="5" t="s">
        <v>37</v>
      </c>
      <c r="N1229" s="5" t="s">
        <v>37</v>
      </c>
      <c r="O1229" s="5" t="s">
        <v>38</v>
      </c>
      <c r="P1229" s="5" t="s">
        <v>39</v>
      </c>
      <c r="Q1229" s="2">
        <v>45954</v>
      </c>
      <c r="R1229" s="1" t="s">
        <v>3523</v>
      </c>
      <c r="V122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0" spans="1:22" hidden="1">
      <c r="A1230" s="2">
        <v>45940</v>
      </c>
      <c r="B1230" s="1" t="s">
        <v>3520</v>
      </c>
      <c r="C1230" s="1" t="s">
        <v>597</v>
      </c>
      <c r="D1230" s="1" t="s">
        <v>539</v>
      </c>
      <c r="E1230" s="1">
        <v>85122</v>
      </c>
      <c r="F1230" s="1" t="s">
        <v>3524</v>
      </c>
      <c r="G1230" s="8" t="s">
        <v>3512</v>
      </c>
      <c r="H1230" s="4" t="s">
        <v>3522</v>
      </c>
      <c r="I1230" s="5" t="s">
        <v>36</v>
      </c>
      <c r="J1230" s="5" t="s">
        <v>37</v>
      </c>
      <c r="K1230" s="5" t="s">
        <v>37</v>
      </c>
      <c r="L1230" s="5" t="s">
        <v>38</v>
      </c>
      <c r="M1230" s="5" t="s">
        <v>37</v>
      </c>
      <c r="N1230" s="5" t="s">
        <v>37</v>
      </c>
      <c r="O1230" s="5" t="s">
        <v>38</v>
      </c>
      <c r="P1230" s="5" t="s">
        <v>39</v>
      </c>
      <c r="Q1230" s="2">
        <v>45954</v>
      </c>
      <c r="R1230" s="1" t="s">
        <v>3523</v>
      </c>
      <c r="V123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1" spans="1:22" hidden="1">
      <c r="A1231" s="2">
        <v>45940</v>
      </c>
      <c r="B1231" s="1" t="s">
        <v>1134</v>
      </c>
      <c r="C1231" s="1" t="s">
        <v>312</v>
      </c>
      <c r="D1231" s="1" t="s">
        <v>24</v>
      </c>
      <c r="E1231" s="1">
        <v>85308</v>
      </c>
      <c r="F1231" s="1" t="s">
        <v>3525</v>
      </c>
      <c r="G1231" s="8" t="s">
        <v>3512</v>
      </c>
      <c r="H1231" s="4" t="s">
        <v>27</v>
      </c>
      <c r="V123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2" spans="1:22">
      <c r="A1232" s="23">
        <v>45942</v>
      </c>
      <c r="B1232" s="1" t="s">
        <v>3526</v>
      </c>
      <c r="C1232" s="1" t="s">
        <v>145</v>
      </c>
      <c r="D1232" s="1" t="s">
        <v>539</v>
      </c>
      <c r="E1232" s="1">
        <v>85122</v>
      </c>
      <c r="F1232" s="1" t="s">
        <v>3527</v>
      </c>
      <c r="G1232" s="8" t="s">
        <v>3512</v>
      </c>
      <c r="H1232" s="4" t="s">
        <v>3528</v>
      </c>
      <c r="I1232" s="5" t="s">
        <v>36</v>
      </c>
      <c r="J1232" s="5" t="s">
        <v>37</v>
      </c>
      <c r="K1232" s="5" t="s">
        <v>37</v>
      </c>
      <c r="L1232" s="5" t="s">
        <v>38</v>
      </c>
      <c r="M1232" s="5" t="s">
        <v>37</v>
      </c>
      <c r="N1232" s="5" t="s">
        <v>37</v>
      </c>
      <c r="O1232" s="5" t="s">
        <v>38</v>
      </c>
      <c r="P1232" s="5" t="s">
        <v>39</v>
      </c>
      <c r="Q1232" s="2">
        <v>45954</v>
      </c>
      <c r="V123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3" spans="1:22" hidden="1">
      <c r="A1233" s="2">
        <v>45939</v>
      </c>
      <c r="B1233" s="1" t="s">
        <v>3529</v>
      </c>
      <c r="C1233" s="1" t="s">
        <v>3530</v>
      </c>
      <c r="D1233" s="1" t="s">
        <v>63</v>
      </c>
      <c r="E1233" s="1">
        <v>85050</v>
      </c>
      <c r="F1233" s="1" t="s">
        <v>3531</v>
      </c>
      <c r="G1233" s="32" t="s">
        <v>3512</v>
      </c>
      <c r="H1233" s="4" t="s">
        <v>3532</v>
      </c>
      <c r="I1233" s="5" t="s">
        <v>3533</v>
      </c>
      <c r="J1233" s="5" t="s">
        <v>37</v>
      </c>
      <c r="K1233" s="5" t="s">
        <v>37</v>
      </c>
      <c r="L1233" s="5" t="s">
        <v>389</v>
      </c>
      <c r="M1233" s="5" t="s">
        <v>37</v>
      </c>
      <c r="N1233" s="5" t="s">
        <v>37</v>
      </c>
      <c r="O1233" s="5" t="s">
        <v>38</v>
      </c>
      <c r="P1233" s="5" t="s">
        <v>39</v>
      </c>
      <c r="Q1233" s="2">
        <v>45954</v>
      </c>
      <c r="V123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4" spans="1:22" hidden="1">
      <c r="A1234" s="2">
        <v>45940</v>
      </c>
      <c r="B1234" s="1" t="s">
        <v>3534</v>
      </c>
      <c r="C1234" s="1" t="s">
        <v>2772</v>
      </c>
      <c r="D1234" s="1" t="s">
        <v>2542</v>
      </c>
      <c r="E1234" s="1">
        <v>86325</v>
      </c>
      <c r="F1234" s="1" t="s">
        <v>3535</v>
      </c>
      <c r="G1234" s="8" t="s">
        <v>3512</v>
      </c>
      <c r="H1234" s="4" t="s">
        <v>3536</v>
      </c>
      <c r="I1234" s="5" t="s">
        <v>73</v>
      </c>
      <c r="J1234" s="5" t="s">
        <v>38</v>
      </c>
      <c r="K1234" s="5" t="s">
        <v>37</v>
      </c>
      <c r="L1234" s="5" t="s">
        <v>1420</v>
      </c>
      <c r="M1234" s="5" t="s">
        <v>37</v>
      </c>
      <c r="N1234" s="5" t="s">
        <v>37</v>
      </c>
      <c r="O1234" s="5" t="s">
        <v>38</v>
      </c>
      <c r="P1234" s="5" t="s">
        <v>39</v>
      </c>
      <c r="Q1234" s="2">
        <v>45954</v>
      </c>
      <c r="R1234" s="1" t="s">
        <v>3537</v>
      </c>
      <c r="V123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5" spans="1:22" hidden="1">
      <c r="A1235" s="2">
        <v>45940</v>
      </c>
      <c r="B1235" s="1" t="s">
        <v>2175</v>
      </c>
      <c r="C1235" s="1" t="s">
        <v>1815</v>
      </c>
      <c r="D1235" s="1" t="s">
        <v>3538</v>
      </c>
      <c r="E1235" s="1">
        <v>85741</v>
      </c>
      <c r="F1235" s="1" t="s">
        <v>3531</v>
      </c>
      <c r="G1235" s="8" t="s">
        <v>3512</v>
      </c>
      <c r="H1235" s="4" t="s">
        <v>27</v>
      </c>
      <c r="V123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6" spans="1:22" hidden="1">
      <c r="A1236" s="2">
        <v>45940</v>
      </c>
      <c r="B1236" s="1" t="s">
        <v>3539</v>
      </c>
      <c r="C1236" s="1" t="s">
        <v>3540</v>
      </c>
      <c r="D1236" s="1" t="s">
        <v>3538</v>
      </c>
      <c r="E1236" s="1">
        <v>85712</v>
      </c>
      <c r="F1236" s="1" t="s">
        <v>3531</v>
      </c>
      <c r="G1236" s="8" t="s">
        <v>3512</v>
      </c>
      <c r="H1236" s="4" t="s">
        <v>27</v>
      </c>
      <c r="V123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7" spans="1:22" hidden="1">
      <c r="A1237" s="2">
        <v>45940</v>
      </c>
      <c r="B1237" s="1" t="s">
        <v>3541</v>
      </c>
      <c r="C1237" s="1" t="s">
        <v>3542</v>
      </c>
      <c r="D1237" s="1" t="s">
        <v>63</v>
      </c>
      <c r="E1237" s="1">
        <v>85029</v>
      </c>
      <c r="F1237" s="1" t="s">
        <v>3531</v>
      </c>
      <c r="G1237" s="8" t="s">
        <v>3512</v>
      </c>
      <c r="H1237" s="4" t="s">
        <v>3543</v>
      </c>
      <c r="I1237" s="5" t="s">
        <v>418</v>
      </c>
      <c r="J1237" s="5" t="s">
        <v>37</v>
      </c>
      <c r="K1237" s="5" t="s">
        <v>37</v>
      </c>
      <c r="L1237" s="5" t="s">
        <v>389</v>
      </c>
      <c r="M1237" s="13" t="s">
        <v>38</v>
      </c>
      <c r="N1237" s="13">
        <v>288.29000000000002</v>
      </c>
      <c r="O1237" s="5" t="s">
        <v>38</v>
      </c>
      <c r="P1237" s="5" t="s">
        <v>39</v>
      </c>
      <c r="Q1237" s="2">
        <v>45954</v>
      </c>
      <c r="V123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8" spans="1:22" hidden="1">
      <c r="A1238" s="2">
        <v>45940</v>
      </c>
      <c r="B1238" s="1" t="s">
        <v>3544</v>
      </c>
      <c r="C1238" s="1" t="s">
        <v>3023</v>
      </c>
      <c r="D1238" s="1" t="s">
        <v>93</v>
      </c>
      <c r="E1238" s="1">
        <v>85373</v>
      </c>
      <c r="F1238" s="1" t="s">
        <v>3531</v>
      </c>
      <c r="G1238" s="8" t="s">
        <v>3512</v>
      </c>
      <c r="H1238" s="4" t="s">
        <v>3545</v>
      </c>
      <c r="I1238" s="5" t="s">
        <v>57</v>
      </c>
      <c r="J1238" s="5" t="s">
        <v>38</v>
      </c>
      <c r="K1238" s="5" t="s">
        <v>37</v>
      </c>
      <c r="L1238" s="7" t="s">
        <v>3546</v>
      </c>
      <c r="M1238" s="5" t="s">
        <v>37</v>
      </c>
      <c r="N1238" s="5" t="s">
        <v>37</v>
      </c>
      <c r="O1238" s="5" t="s">
        <v>38</v>
      </c>
      <c r="P1238" s="2">
        <v>45945</v>
      </c>
      <c r="Q1238" s="2">
        <v>45954</v>
      </c>
      <c r="R1238" s="1" t="s">
        <v>2440</v>
      </c>
      <c r="V123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39" spans="1:22" hidden="1">
      <c r="A1239" s="2">
        <v>45940</v>
      </c>
      <c r="B1239" s="1" t="s">
        <v>3547</v>
      </c>
      <c r="C1239" s="1" t="s">
        <v>3548</v>
      </c>
      <c r="D1239" s="1" t="s">
        <v>68</v>
      </c>
      <c r="E1239" s="1">
        <v>85331</v>
      </c>
      <c r="F1239" s="1" t="s">
        <v>3531</v>
      </c>
      <c r="G1239" s="8" t="s">
        <v>3512</v>
      </c>
      <c r="H1239" s="4" t="s">
        <v>3549</v>
      </c>
      <c r="I1239" s="5" t="s">
        <v>46</v>
      </c>
      <c r="J1239" s="5" t="s">
        <v>37</v>
      </c>
      <c r="K1239" s="5" t="s">
        <v>37</v>
      </c>
      <c r="L1239" s="5" t="s">
        <v>401</v>
      </c>
      <c r="M1239" s="5" t="s">
        <v>37</v>
      </c>
      <c r="N1239" s="5" t="s">
        <v>37</v>
      </c>
      <c r="O1239" s="5" t="s">
        <v>38</v>
      </c>
      <c r="P1239" s="5" t="s">
        <v>39</v>
      </c>
      <c r="Q1239" s="2">
        <v>45954</v>
      </c>
      <c r="R1239" s="1" t="s">
        <v>3550</v>
      </c>
      <c r="V123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0" spans="1:22" hidden="1">
      <c r="A1240" s="2">
        <v>45940</v>
      </c>
      <c r="B1240" s="1" t="s">
        <v>3551</v>
      </c>
      <c r="C1240" s="1" t="s">
        <v>307</v>
      </c>
      <c r="D1240" s="1" t="s">
        <v>63</v>
      </c>
      <c r="E1240" s="1">
        <v>85050</v>
      </c>
      <c r="F1240" s="1" t="s">
        <v>3531</v>
      </c>
      <c r="G1240" s="8" t="s">
        <v>3512</v>
      </c>
      <c r="H1240" s="4" t="s">
        <v>3552</v>
      </c>
      <c r="I1240" s="5" t="s">
        <v>541</v>
      </c>
      <c r="J1240" s="5" t="s">
        <v>37</v>
      </c>
      <c r="K1240" s="5" t="s">
        <v>37</v>
      </c>
      <c r="L1240" s="5" t="s">
        <v>389</v>
      </c>
      <c r="M1240" s="5" t="s">
        <v>37</v>
      </c>
      <c r="N1240" s="5" t="s">
        <v>37</v>
      </c>
      <c r="O1240" s="5" t="s">
        <v>38</v>
      </c>
      <c r="P1240" s="5" t="s">
        <v>39</v>
      </c>
      <c r="Q1240" s="2">
        <v>45954</v>
      </c>
      <c r="V124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1" spans="1:22" hidden="1">
      <c r="A1241" s="2">
        <v>45940</v>
      </c>
      <c r="B1241" s="1" t="s">
        <v>3553</v>
      </c>
      <c r="C1241" s="1" t="s">
        <v>3554</v>
      </c>
      <c r="D1241" s="1" t="s">
        <v>125</v>
      </c>
      <c r="E1241" s="1">
        <v>85254</v>
      </c>
      <c r="F1241" s="1" t="s">
        <v>3531</v>
      </c>
      <c r="G1241" s="8" t="s">
        <v>3512</v>
      </c>
      <c r="H1241" s="4" t="s">
        <v>3555</v>
      </c>
      <c r="I1241" s="5" t="s">
        <v>196</v>
      </c>
      <c r="J1241" s="5" t="s">
        <v>37</v>
      </c>
      <c r="K1241" s="5" t="s">
        <v>37</v>
      </c>
      <c r="L1241" s="7" t="s">
        <v>3556</v>
      </c>
      <c r="M1241" s="5" t="s">
        <v>38</v>
      </c>
      <c r="N1241" s="13">
        <v>2463.12</v>
      </c>
      <c r="O1241" s="5" t="s">
        <v>38</v>
      </c>
      <c r="P1241" s="2">
        <v>45945</v>
      </c>
      <c r="Q1241" s="2">
        <v>45954</v>
      </c>
      <c r="R1241" s="1" t="s">
        <v>3557</v>
      </c>
      <c r="V124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2" spans="1:22" hidden="1">
      <c r="A1242" s="2">
        <v>45940</v>
      </c>
      <c r="B1242" s="1" t="s">
        <v>3558</v>
      </c>
      <c r="C1242" s="1" t="s">
        <v>3559</v>
      </c>
      <c r="D1242" s="1" t="s">
        <v>30</v>
      </c>
      <c r="E1242" s="1" t="s">
        <v>30</v>
      </c>
      <c r="F1242" s="1" t="s">
        <v>3560</v>
      </c>
      <c r="G1242" s="8" t="s">
        <v>3512</v>
      </c>
      <c r="H1242" s="4" t="s">
        <v>27</v>
      </c>
      <c r="V124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3" spans="1:22" hidden="1">
      <c r="A1243" s="2">
        <v>45944</v>
      </c>
      <c r="B1243" s="1" t="s">
        <v>3561</v>
      </c>
      <c r="C1243" s="1" t="s">
        <v>481</v>
      </c>
      <c r="D1243" s="1" t="s">
        <v>30</v>
      </c>
      <c r="E1243" s="1" t="s">
        <v>30</v>
      </c>
      <c r="F1243" s="1" t="s">
        <v>3562</v>
      </c>
      <c r="G1243" s="1" t="s">
        <v>3563</v>
      </c>
      <c r="H1243" s="4" t="s">
        <v>209</v>
      </c>
      <c r="V124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4" spans="1:22" hidden="1">
      <c r="A1244" s="2">
        <v>45944</v>
      </c>
      <c r="B1244" s="1" t="s">
        <v>3564</v>
      </c>
      <c r="C1244" s="1" t="s">
        <v>3565</v>
      </c>
      <c r="D1244" s="1" t="s">
        <v>63</v>
      </c>
      <c r="E1244" s="1">
        <v>85032</v>
      </c>
      <c r="F1244" s="1" t="s">
        <v>3531</v>
      </c>
      <c r="G1244" s="1" t="s">
        <v>3563</v>
      </c>
      <c r="H1244" s="4" t="s">
        <v>3566</v>
      </c>
      <c r="I1244" s="5" t="s">
        <v>36</v>
      </c>
      <c r="J1244" s="5" t="s">
        <v>37</v>
      </c>
      <c r="K1244" s="5" t="s">
        <v>37</v>
      </c>
      <c r="L1244" s="5" t="s">
        <v>1586</v>
      </c>
      <c r="M1244" s="5" t="s">
        <v>37</v>
      </c>
      <c r="N1244" s="5" t="s">
        <v>37</v>
      </c>
      <c r="O1244" s="5" t="s">
        <v>38</v>
      </c>
      <c r="P1244" s="5" t="s">
        <v>39</v>
      </c>
      <c r="Q1244" s="2">
        <v>45954</v>
      </c>
      <c r="V124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5" spans="1:22" hidden="1">
      <c r="A1245" s="2">
        <v>45944</v>
      </c>
      <c r="B1245" s="1" t="s">
        <v>3567</v>
      </c>
      <c r="C1245" s="1" t="s">
        <v>3568</v>
      </c>
      <c r="D1245" s="1" t="s">
        <v>93</v>
      </c>
      <c r="E1245" s="1">
        <v>85351</v>
      </c>
      <c r="F1245" s="1" t="s">
        <v>3569</v>
      </c>
      <c r="G1245" s="1" t="s">
        <v>3563</v>
      </c>
      <c r="H1245" s="4" t="s">
        <v>3570</v>
      </c>
      <c r="I1245" s="5" t="s">
        <v>36</v>
      </c>
      <c r="J1245" s="5" t="s">
        <v>37</v>
      </c>
      <c r="K1245" s="5" t="s">
        <v>37</v>
      </c>
      <c r="L1245" s="5" t="s">
        <v>1586</v>
      </c>
      <c r="M1245" s="5" t="s">
        <v>37</v>
      </c>
      <c r="N1245" s="5" t="s">
        <v>37</v>
      </c>
      <c r="O1245" s="5" t="s">
        <v>38</v>
      </c>
      <c r="P1245" s="5" t="s">
        <v>39</v>
      </c>
      <c r="Q1245" s="2">
        <v>45954</v>
      </c>
      <c r="V124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6" spans="1:22" hidden="1">
      <c r="A1246" s="2">
        <v>45944</v>
      </c>
      <c r="B1246" s="1" t="s">
        <v>3571</v>
      </c>
      <c r="C1246" s="1" t="s">
        <v>3540</v>
      </c>
      <c r="D1246" s="1" t="s">
        <v>93</v>
      </c>
      <c r="E1246" s="1">
        <v>85351</v>
      </c>
      <c r="F1246" s="1" t="s">
        <v>3569</v>
      </c>
      <c r="G1246" s="1" t="s">
        <v>3563</v>
      </c>
      <c r="H1246" s="4" t="s">
        <v>3570</v>
      </c>
      <c r="I1246" s="5" t="s">
        <v>36</v>
      </c>
      <c r="J1246" s="5" t="s">
        <v>37</v>
      </c>
      <c r="K1246" s="5" t="s">
        <v>37</v>
      </c>
      <c r="L1246" s="5" t="s">
        <v>1586</v>
      </c>
      <c r="M1246" s="5" t="s">
        <v>37</v>
      </c>
      <c r="N1246" s="5" t="s">
        <v>37</v>
      </c>
      <c r="O1246" s="5" t="s">
        <v>38</v>
      </c>
      <c r="P1246" s="5" t="s">
        <v>39</v>
      </c>
      <c r="Q1246" s="2">
        <v>45954</v>
      </c>
      <c r="V124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7" spans="1:22" hidden="1">
      <c r="A1247" s="2">
        <v>45944</v>
      </c>
      <c r="B1247" s="1" t="s">
        <v>3534</v>
      </c>
      <c r="C1247" s="1" t="s">
        <v>2772</v>
      </c>
      <c r="D1247" s="1" t="s">
        <v>2542</v>
      </c>
      <c r="E1247" s="1">
        <v>86325</v>
      </c>
      <c r="F1247" s="1" t="s">
        <v>3572</v>
      </c>
      <c r="G1247" s="1" t="s">
        <v>3563</v>
      </c>
      <c r="H1247" s="4" t="s">
        <v>3536</v>
      </c>
      <c r="I1247" s="5" t="s">
        <v>73</v>
      </c>
      <c r="J1247" s="5" t="s">
        <v>38</v>
      </c>
      <c r="K1247" s="5" t="s">
        <v>37</v>
      </c>
      <c r="L1247" s="5" t="s">
        <v>1420</v>
      </c>
      <c r="M1247" s="5" t="s">
        <v>37</v>
      </c>
      <c r="N1247" s="5" t="s">
        <v>37</v>
      </c>
      <c r="O1247" s="5" t="s">
        <v>38</v>
      </c>
      <c r="P1247" s="5" t="s">
        <v>39</v>
      </c>
      <c r="Q1247" s="2">
        <v>45954</v>
      </c>
      <c r="R1247" s="1" t="s">
        <v>3537</v>
      </c>
      <c r="V124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8" spans="1:22" hidden="1">
      <c r="A1248" s="2">
        <v>45944</v>
      </c>
      <c r="B1248" s="1" t="s">
        <v>2594</v>
      </c>
      <c r="C1248" s="1" t="s">
        <v>3040</v>
      </c>
      <c r="D1248" s="1" t="s">
        <v>63</v>
      </c>
      <c r="E1248" s="1">
        <v>85041</v>
      </c>
      <c r="F1248" s="1" t="s">
        <v>3531</v>
      </c>
      <c r="G1248" s="1" t="s">
        <v>3563</v>
      </c>
      <c r="H1248" s="4" t="s">
        <v>27</v>
      </c>
      <c r="V124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49" spans="1:22" hidden="1">
      <c r="A1249" s="2">
        <v>45945</v>
      </c>
      <c r="B1249" s="1" t="s">
        <v>3573</v>
      </c>
      <c r="C1249" s="1" t="s">
        <v>184</v>
      </c>
      <c r="D1249" s="1" t="s">
        <v>2265</v>
      </c>
      <c r="E1249" s="1">
        <v>85603</v>
      </c>
      <c r="F1249" s="1" t="s">
        <v>3574</v>
      </c>
      <c r="G1249" s="1" t="s">
        <v>3575</v>
      </c>
      <c r="H1249" s="4" t="s">
        <v>3576</v>
      </c>
      <c r="I1249" s="5" t="s">
        <v>196</v>
      </c>
      <c r="J1249" s="5" t="s">
        <v>37</v>
      </c>
      <c r="K1249" s="5" t="s">
        <v>37</v>
      </c>
      <c r="L1249" s="7" t="s">
        <v>3577</v>
      </c>
      <c r="M1249" s="5" t="s">
        <v>37</v>
      </c>
      <c r="N1249" s="5" t="s">
        <v>37</v>
      </c>
      <c r="O1249" s="5" t="s">
        <v>38</v>
      </c>
      <c r="P1249" s="2">
        <v>45947</v>
      </c>
      <c r="Q1249" s="2">
        <v>45954</v>
      </c>
      <c r="R1249" s="1" t="s">
        <v>3578</v>
      </c>
      <c r="V124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0" spans="1:22" hidden="1">
      <c r="A1250" s="2">
        <v>45944</v>
      </c>
      <c r="B1250" s="1" t="s">
        <v>3579</v>
      </c>
      <c r="C1250" s="1" t="s">
        <v>747</v>
      </c>
      <c r="D1250" s="1" t="s">
        <v>63</v>
      </c>
      <c r="E1250" s="1">
        <v>85032</v>
      </c>
      <c r="F1250" s="1" t="s">
        <v>3531</v>
      </c>
      <c r="G1250" s="1" t="s">
        <v>3580</v>
      </c>
      <c r="H1250" s="4" t="s">
        <v>3581</v>
      </c>
      <c r="I1250" s="5" t="s">
        <v>196</v>
      </c>
      <c r="J1250" s="5" t="s">
        <v>37</v>
      </c>
      <c r="L1250" s="5" t="s">
        <v>3582</v>
      </c>
      <c r="O1250" s="5" t="s">
        <v>38</v>
      </c>
      <c r="P1250" s="5" t="s">
        <v>39</v>
      </c>
      <c r="R1250" s="1" t="s">
        <v>3583</v>
      </c>
      <c r="V125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1" spans="1:22" hidden="1">
      <c r="A1251" s="2">
        <v>45944</v>
      </c>
      <c r="B1251" s="1" t="s">
        <v>3584</v>
      </c>
      <c r="C1251" s="1" t="s">
        <v>685</v>
      </c>
      <c r="D1251" s="1" t="s">
        <v>63</v>
      </c>
      <c r="E1251" s="1">
        <v>85015</v>
      </c>
      <c r="F1251" s="1" t="s">
        <v>3531</v>
      </c>
      <c r="G1251" s="1" t="s">
        <v>3580</v>
      </c>
      <c r="H1251" s="4" t="s">
        <v>3585</v>
      </c>
      <c r="I1251" s="5" t="s">
        <v>57</v>
      </c>
      <c r="J1251" s="5" t="s">
        <v>37</v>
      </c>
      <c r="K1251" s="5" t="s">
        <v>37</v>
      </c>
      <c r="L1251" s="7" t="s">
        <v>3586</v>
      </c>
      <c r="M1251" s="5" t="s">
        <v>37</v>
      </c>
      <c r="N1251" s="5" t="s">
        <v>37</v>
      </c>
      <c r="O1251" s="5" t="s">
        <v>38</v>
      </c>
      <c r="P1251" s="2">
        <v>45947</v>
      </c>
      <c r="Q1251" s="2">
        <v>45954</v>
      </c>
      <c r="R1251" s="1" t="s">
        <v>3587</v>
      </c>
      <c r="V125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2" spans="1:22" hidden="1">
      <c r="A1252" s="2">
        <v>45944</v>
      </c>
      <c r="B1252" s="1" t="s">
        <v>3588</v>
      </c>
      <c r="C1252" s="1" t="s">
        <v>548</v>
      </c>
      <c r="D1252" s="1" t="s">
        <v>3589</v>
      </c>
      <c r="E1252" s="1">
        <v>85602</v>
      </c>
      <c r="F1252" s="1" t="s">
        <v>3531</v>
      </c>
      <c r="G1252" s="1" t="s">
        <v>3580</v>
      </c>
      <c r="H1252" s="4" t="s">
        <v>27</v>
      </c>
      <c r="R1252" s="1" t="s">
        <v>3583</v>
      </c>
      <c r="V125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3" spans="1:22" hidden="1">
      <c r="A1253" s="2">
        <v>45944</v>
      </c>
      <c r="B1253" s="1" t="s">
        <v>3590</v>
      </c>
      <c r="C1253" s="1" t="s">
        <v>3591</v>
      </c>
      <c r="D1253" s="1" t="s">
        <v>3538</v>
      </c>
      <c r="E1253" s="1">
        <v>85747</v>
      </c>
      <c r="F1253" s="1" t="s">
        <v>3531</v>
      </c>
      <c r="G1253" s="1" t="s">
        <v>3580</v>
      </c>
      <c r="H1253" s="4" t="s">
        <v>27</v>
      </c>
      <c r="R1253" s="1" t="s">
        <v>3583</v>
      </c>
      <c r="V125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4" spans="1:22" hidden="1">
      <c r="A1254" s="2">
        <v>45944</v>
      </c>
      <c r="B1254" s="1" t="s">
        <v>3592</v>
      </c>
      <c r="C1254" s="1" t="s">
        <v>256</v>
      </c>
      <c r="D1254" s="1" t="s">
        <v>63</v>
      </c>
      <c r="E1254" s="1">
        <v>85032</v>
      </c>
      <c r="F1254" s="1" t="s">
        <v>3531</v>
      </c>
      <c r="G1254" s="1" t="s">
        <v>3580</v>
      </c>
      <c r="H1254" s="4" t="s">
        <v>27</v>
      </c>
      <c r="R1254" s="1" t="s">
        <v>3583</v>
      </c>
      <c r="V125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5" spans="1:22" hidden="1">
      <c r="A1255" s="2">
        <v>45944</v>
      </c>
      <c r="B1255" s="1" t="s">
        <v>3593</v>
      </c>
      <c r="C1255" s="1" t="s">
        <v>225</v>
      </c>
      <c r="D1255" s="1" t="s">
        <v>63</v>
      </c>
      <c r="E1255" s="1">
        <v>85032</v>
      </c>
      <c r="F1255" s="1" t="s">
        <v>3531</v>
      </c>
      <c r="G1255" s="1" t="s">
        <v>3580</v>
      </c>
      <c r="H1255" s="4" t="s">
        <v>3594</v>
      </c>
      <c r="I1255" s="5" t="s">
        <v>46</v>
      </c>
      <c r="J1255" s="5" t="s">
        <v>37</v>
      </c>
      <c r="K1255" s="5" t="s">
        <v>37</v>
      </c>
      <c r="L1255" s="5" t="s">
        <v>1586</v>
      </c>
      <c r="M1255" s="5" t="s">
        <v>37</v>
      </c>
      <c r="N1255" s="5" t="s">
        <v>37</v>
      </c>
      <c r="O1255" s="5" t="s">
        <v>38</v>
      </c>
      <c r="P1255" s="5" t="s">
        <v>39</v>
      </c>
      <c r="Q1255" s="2">
        <v>45954</v>
      </c>
      <c r="R1255" s="1" t="s">
        <v>3595</v>
      </c>
      <c r="V125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6" spans="1:22" hidden="1">
      <c r="A1256" s="2">
        <v>45944</v>
      </c>
      <c r="B1256" s="1" t="s">
        <v>167</v>
      </c>
      <c r="C1256" s="1" t="s">
        <v>3596</v>
      </c>
      <c r="D1256" s="1" t="s">
        <v>63</v>
      </c>
      <c r="E1256" s="1">
        <v>85007</v>
      </c>
      <c r="F1256" s="1" t="s">
        <v>3531</v>
      </c>
      <c r="G1256" s="1" t="s">
        <v>3580</v>
      </c>
      <c r="H1256" s="4" t="s">
        <v>3597</v>
      </c>
      <c r="I1256" s="5" t="s">
        <v>36</v>
      </c>
      <c r="J1256" s="5" t="s">
        <v>37</v>
      </c>
      <c r="K1256" s="5" t="s">
        <v>37</v>
      </c>
      <c r="L1256" s="5" t="s">
        <v>1586</v>
      </c>
      <c r="M1256" s="5" t="s">
        <v>37</v>
      </c>
      <c r="N1256" s="5" t="s">
        <v>37</v>
      </c>
      <c r="O1256" s="5" t="s">
        <v>38</v>
      </c>
      <c r="P1256" s="5" t="s">
        <v>39</v>
      </c>
      <c r="Q1256" s="2">
        <v>45954</v>
      </c>
      <c r="R1256" s="1" t="s">
        <v>3583</v>
      </c>
      <c r="V125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7" spans="1:22" hidden="1">
      <c r="A1257" s="2">
        <v>45944</v>
      </c>
      <c r="B1257" s="1" t="s">
        <v>2175</v>
      </c>
      <c r="C1257" s="1" t="s">
        <v>1815</v>
      </c>
      <c r="D1257" s="1" t="s">
        <v>3538</v>
      </c>
      <c r="E1257" s="1" t="s">
        <v>30</v>
      </c>
      <c r="F1257" s="1" t="s">
        <v>3531</v>
      </c>
      <c r="G1257" s="1" t="s">
        <v>3598</v>
      </c>
      <c r="H1257" s="4" t="s">
        <v>27</v>
      </c>
      <c r="V125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8" spans="1:22" hidden="1">
      <c r="A1258" s="2">
        <v>45944</v>
      </c>
      <c r="B1258" s="1" t="s">
        <v>3599</v>
      </c>
      <c r="C1258" s="1" t="s">
        <v>228</v>
      </c>
      <c r="D1258" s="1" t="s">
        <v>3538</v>
      </c>
      <c r="E1258" s="1" t="s">
        <v>30</v>
      </c>
      <c r="F1258" s="1" t="s">
        <v>3531</v>
      </c>
      <c r="G1258" s="1" t="s">
        <v>3598</v>
      </c>
      <c r="H1258" s="4" t="s">
        <v>27</v>
      </c>
      <c r="V125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59" spans="1:22" hidden="1">
      <c r="A1259" s="2">
        <v>45944</v>
      </c>
      <c r="B1259" s="1" t="s">
        <v>1116</v>
      </c>
      <c r="C1259" s="1" t="s">
        <v>3600</v>
      </c>
      <c r="D1259" s="1" t="s">
        <v>3538</v>
      </c>
      <c r="E1259" s="1" t="s">
        <v>30</v>
      </c>
      <c r="F1259" s="1" t="s">
        <v>3531</v>
      </c>
      <c r="G1259" s="1" t="s">
        <v>3598</v>
      </c>
      <c r="H1259" s="4" t="s">
        <v>27</v>
      </c>
      <c r="V125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0" spans="1:22" hidden="1">
      <c r="A1260" s="2">
        <v>45945</v>
      </c>
      <c r="B1260" s="1" t="s">
        <v>3601</v>
      </c>
      <c r="C1260" s="1" t="s">
        <v>440</v>
      </c>
      <c r="D1260" s="1" t="s">
        <v>3602</v>
      </c>
      <c r="E1260" s="1">
        <v>86337</v>
      </c>
      <c r="F1260" s="1" t="s">
        <v>3603</v>
      </c>
      <c r="G1260" s="1" t="s">
        <v>3604</v>
      </c>
      <c r="H1260" s="4" t="s">
        <v>3605</v>
      </c>
      <c r="I1260" s="5" t="s">
        <v>418</v>
      </c>
      <c r="J1260" s="5" t="s">
        <v>37</v>
      </c>
      <c r="K1260" s="5" t="s">
        <v>37</v>
      </c>
      <c r="L1260" s="5" t="s">
        <v>389</v>
      </c>
      <c r="M1260" s="5" t="s">
        <v>37</v>
      </c>
      <c r="N1260" s="5" t="s">
        <v>37</v>
      </c>
      <c r="O1260" s="5" t="s">
        <v>38</v>
      </c>
      <c r="P1260" s="5" t="s">
        <v>39</v>
      </c>
      <c r="Q1260" s="2">
        <v>45954</v>
      </c>
      <c r="V126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1" spans="1:22" hidden="1">
      <c r="A1261" s="2">
        <v>45945</v>
      </c>
      <c r="B1261" s="1" t="s">
        <v>3606</v>
      </c>
      <c r="C1261" s="1" t="s">
        <v>3273</v>
      </c>
      <c r="D1261" s="1" t="s">
        <v>3607</v>
      </c>
      <c r="E1261" s="1">
        <v>85650</v>
      </c>
      <c r="F1261" s="1" t="s">
        <v>3608</v>
      </c>
      <c r="G1261" s="1" t="s">
        <v>3604</v>
      </c>
      <c r="H1261" s="4" t="s">
        <v>3609</v>
      </c>
      <c r="I1261" s="5" t="s">
        <v>36</v>
      </c>
      <c r="J1261" s="5" t="s">
        <v>37</v>
      </c>
      <c r="K1261" s="5" t="s">
        <v>37</v>
      </c>
      <c r="L1261" s="5" t="s">
        <v>1586</v>
      </c>
      <c r="M1261" s="5" t="s">
        <v>37</v>
      </c>
      <c r="N1261" s="5" t="s">
        <v>37</v>
      </c>
      <c r="O1261" s="5" t="s">
        <v>38</v>
      </c>
      <c r="P1261" s="5" t="s">
        <v>39</v>
      </c>
      <c r="Q1261" s="2">
        <v>45954</v>
      </c>
      <c r="V126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2" spans="1:22" hidden="1">
      <c r="A1262" s="2">
        <v>45945</v>
      </c>
      <c r="B1262" s="1" t="s">
        <v>2594</v>
      </c>
      <c r="C1262" s="1" t="s">
        <v>3040</v>
      </c>
      <c r="D1262" s="1" t="s">
        <v>63</v>
      </c>
      <c r="E1262" s="1">
        <v>85041</v>
      </c>
      <c r="F1262" s="1" t="s">
        <v>3531</v>
      </c>
      <c r="G1262" s="1" t="s">
        <v>3604</v>
      </c>
      <c r="H1262" s="4" t="s">
        <v>27</v>
      </c>
      <c r="V126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3" spans="1:22" hidden="1">
      <c r="A1263" s="2">
        <v>45945</v>
      </c>
      <c r="B1263" s="1" t="s">
        <v>281</v>
      </c>
      <c r="C1263" s="1" t="s">
        <v>153</v>
      </c>
      <c r="D1263" s="1" t="s">
        <v>24</v>
      </c>
      <c r="E1263" s="1" t="s">
        <v>30</v>
      </c>
      <c r="F1263" s="1" t="s">
        <v>3610</v>
      </c>
      <c r="G1263" s="1" t="s">
        <v>3611</v>
      </c>
      <c r="H1263" s="4" t="s">
        <v>27</v>
      </c>
      <c r="V126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4" spans="1:22" hidden="1">
      <c r="A1264" s="2">
        <v>45946</v>
      </c>
      <c r="B1264" s="1" t="s">
        <v>3612</v>
      </c>
      <c r="C1264" s="1" t="s">
        <v>747</v>
      </c>
      <c r="D1264" s="1" t="s">
        <v>3613</v>
      </c>
      <c r="E1264" s="1">
        <v>85553</v>
      </c>
      <c r="F1264" s="1" t="s">
        <v>3614</v>
      </c>
      <c r="G1264" s="1" t="s">
        <v>3615</v>
      </c>
      <c r="H1264" s="4" t="s">
        <v>3616</v>
      </c>
      <c r="I1264" s="5" t="s">
        <v>541</v>
      </c>
      <c r="J1264" s="5" t="s">
        <v>37</v>
      </c>
      <c r="K1264" s="5" t="s">
        <v>37</v>
      </c>
      <c r="L1264" s="5" t="s">
        <v>389</v>
      </c>
      <c r="M1264" s="5" t="s">
        <v>37</v>
      </c>
      <c r="N1264" s="5" t="s">
        <v>37</v>
      </c>
      <c r="O1264" s="5" t="s">
        <v>38</v>
      </c>
      <c r="P1264" s="5" t="s">
        <v>39</v>
      </c>
      <c r="Q1264" s="2">
        <v>45954</v>
      </c>
      <c r="V126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5" spans="1:22" hidden="1">
      <c r="A1265" s="2">
        <v>45946</v>
      </c>
      <c r="B1265" s="1" t="s">
        <v>990</v>
      </c>
      <c r="C1265" s="1" t="s">
        <v>3617</v>
      </c>
      <c r="D1265" s="1" t="s">
        <v>63</v>
      </c>
      <c r="E1265" s="1">
        <v>85024</v>
      </c>
      <c r="F1265" s="1" t="s">
        <v>3618</v>
      </c>
      <c r="G1265" s="1" t="s">
        <v>3619</v>
      </c>
      <c r="H1265" s="4" t="s">
        <v>3620</v>
      </c>
      <c r="I1265" s="5" t="s">
        <v>36</v>
      </c>
      <c r="J1265" s="5" t="s">
        <v>37</v>
      </c>
      <c r="K1265" s="5" t="s">
        <v>37</v>
      </c>
      <c r="L1265" s="5" t="s">
        <v>1586</v>
      </c>
      <c r="M1265" s="5" t="s">
        <v>37</v>
      </c>
      <c r="N1265" s="5" t="s">
        <v>37</v>
      </c>
      <c r="O1265" s="5" t="s">
        <v>38</v>
      </c>
      <c r="P1265" s="5" t="s">
        <v>39</v>
      </c>
      <c r="Q1265" s="2">
        <v>45954</v>
      </c>
      <c r="V126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6" spans="1:22" hidden="1">
      <c r="A1266" s="2">
        <v>45946</v>
      </c>
      <c r="B1266" s="1" t="s">
        <v>3431</v>
      </c>
      <c r="C1266" s="1" t="s">
        <v>3621</v>
      </c>
      <c r="D1266" s="1" t="s">
        <v>816</v>
      </c>
      <c r="E1266" s="1">
        <v>86301</v>
      </c>
      <c r="F1266" s="1" t="s">
        <v>3622</v>
      </c>
      <c r="G1266" s="1" t="s">
        <v>3623</v>
      </c>
      <c r="H1266" s="4" t="s">
        <v>3624</v>
      </c>
      <c r="I1266" s="5" t="s">
        <v>36</v>
      </c>
      <c r="J1266" s="5" t="s">
        <v>37</v>
      </c>
      <c r="K1266" s="5" t="s">
        <v>37</v>
      </c>
      <c r="L1266" s="5" t="s">
        <v>1586</v>
      </c>
      <c r="M1266" s="5" t="s">
        <v>37</v>
      </c>
      <c r="N1266" s="5" t="s">
        <v>37</v>
      </c>
      <c r="O1266" s="5" t="s">
        <v>38</v>
      </c>
      <c r="P1266" s="5" t="s">
        <v>39</v>
      </c>
      <c r="Q1266" s="2">
        <v>45954</v>
      </c>
      <c r="V126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7" spans="1:22" hidden="1">
      <c r="A1267" s="2">
        <v>45946</v>
      </c>
      <c r="B1267" s="1" t="s">
        <v>3625</v>
      </c>
      <c r="C1267" s="1" t="s">
        <v>382</v>
      </c>
      <c r="D1267" s="1" t="s">
        <v>619</v>
      </c>
      <c r="E1267" s="1">
        <v>85364</v>
      </c>
      <c r="F1267" s="1" t="s">
        <v>3626</v>
      </c>
      <c r="G1267" s="1" t="s">
        <v>3623</v>
      </c>
      <c r="H1267" s="4" t="s">
        <v>3627</v>
      </c>
      <c r="I1267" s="5" t="s">
        <v>46</v>
      </c>
      <c r="J1267" s="5" t="s">
        <v>37</v>
      </c>
      <c r="K1267" s="5" t="s">
        <v>37</v>
      </c>
      <c r="L1267" s="5" t="s">
        <v>3628</v>
      </c>
      <c r="M1267" s="5" t="s">
        <v>37</v>
      </c>
      <c r="N1267" s="5" t="s">
        <v>37</v>
      </c>
      <c r="O1267" s="5" t="s">
        <v>38</v>
      </c>
      <c r="P1267" s="5" t="s">
        <v>39</v>
      </c>
      <c r="Q1267" s="2">
        <v>45954</v>
      </c>
      <c r="R1267" s="1" t="s">
        <v>3629</v>
      </c>
      <c r="V126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8" spans="1:22" hidden="1">
      <c r="A1268" s="2">
        <v>45946</v>
      </c>
      <c r="B1268" s="1" t="s">
        <v>3630</v>
      </c>
      <c r="C1268" s="1" t="s">
        <v>3631</v>
      </c>
      <c r="D1268" s="1" t="s">
        <v>635</v>
      </c>
      <c r="E1268" s="1">
        <v>85281</v>
      </c>
      <c r="F1268" s="1" t="s">
        <v>310</v>
      </c>
      <c r="G1268" s="1" t="s">
        <v>3623</v>
      </c>
      <c r="H1268" s="4" t="s">
        <v>90</v>
      </c>
      <c r="V126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69" spans="1:22" hidden="1">
      <c r="A1269" s="2">
        <v>45946</v>
      </c>
      <c r="B1269" s="1" t="s">
        <v>1134</v>
      </c>
      <c r="C1269" s="1" t="s">
        <v>991</v>
      </c>
      <c r="D1269" s="1" t="s">
        <v>63</v>
      </c>
      <c r="E1269" s="1">
        <v>85006</v>
      </c>
      <c r="F1269" s="1" t="s">
        <v>3632</v>
      </c>
      <c r="G1269" s="1" t="s">
        <v>3623</v>
      </c>
      <c r="H1269" s="4" t="s">
        <v>3633</v>
      </c>
      <c r="I1269" s="5" t="s">
        <v>541</v>
      </c>
      <c r="J1269" s="5" t="s">
        <v>37</v>
      </c>
      <c r="K1269" s="5" t="s">
        <v>37</v>
      </c>
      <c r="L1269" s="5" t="s">
        <v>389</v>
      </c>
      <c r="M1269" s="5" t="s">
        <v>37</v>
      </c>
      <c r="N1269" s="5" t="s">
        <v>37</v>
      </c>
      <c r="O1269" s="5" t="s">
        <v>38</v>
      </c>
      <c r="P1269" s="5" t="s">
        <v>39</v>
      </c>
      <c r="Q1269" s="2">
        <v>45954</v>
      </c>
      <c r="V126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0" spans="1:22" hidden="1">
      <c r="A1270" s="2">
        <v>45946</v>
      </c>
      <c r="B1270" s="1" t="s">
        <v>3634</v>
      </c>
      <c r="C1270" s="1" t="s">
        <v>3635</v>
      </c>
      <c r="D1270" s="1" t="s">
        <v>504</v>
      </c>
      <c r="E1270" s="1">
        <v>86005</v>
      </c>
      <c r="F1270" s="1" t="s">
        <v>3636</v>
      </c>
      <c r="G1270" s="1" t="s">
        <v>3623</v>
      </c>
      <c r="H1270" s="4" t="s">
        <v>3637</v>
      </c>
      <c r="I1270" s="5" t="s">
        <v>126</v>
      </c>
      <c r="J1270" s="5" t="s">
        <v>37</v>
      </c>
      <c r="K1270" s="5" t="s">
        <v>37</v>
      </c>
      <c r="L1270" s="5" t="s">
        <v>3638</v>
      </c>
      <c r="M1270" s="5" t="s">
        <v>37</v>
      </c>
      <c r="N1270" s="5" t="s">
        <v>37</v>
      </c>
      <c r="O1270" s="5" t="s">
        <v>38</v>
      </c>
      <c r="P1270" s="5" t="s">
        <v>39</v>
      </c>
      <c r="Q1270" s="2">
        <v>45954</v>
      </c>
      <c r="V127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1" spans="1:22" hidden="1">
      <c r="A1271" s="2">
        <v>45946</v>
      </c>
      <c r="B1271" s="1" t="s">
        <v>419</v>
      </c>
      <c r="C1271" s="1" t="s">
        <v>3639</v>
      </c>
      <c r="D1271" s="1" t="s">
        <v>63</v>
      </c>
      <c r="E1271" s="1">
        <v>85029</v>
      </c>
      <c r="F1271" s="1" t="s">
        <v>3640</v>
      </c>
      <c r="G1271" s="1" t="s">
        <v>3623</v>
      </c>
      <c r="H1271" s="4" t="s">
        <v>3641</v>
      </c>
      <c r="I1271" s="5" t="s">
        <v>126</v>
      </c>
      <c r="J1271" s="5" t="s">
        <v>37</v>
      </c>
      <c r="K1271" s="5" t="s">
        <v>37</v>
      </c>
      <c r="L1271" s="5" t="s">
        <v>1586</v>
      </c>
      <c r="M1271" s="5" t="s">
        <v>37</v>
      </c>
      <c r="N1271" s="5" t="s">
        <v>37</v>
      </c>
      <c r="O1271" s="5" t="s">
        <v>38</v>
      </c>
      <c r="P1271" s="5" t="s">
        <v>39</v>
      </c>
      <c r="Q1271" s="2">
        <v>45954</v>
      </c>
      <c r="V127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2" spans="1:22" hidden="1">
      <c r="A1272" s="2">
        <v>45947</v>
      </c>
      <c r="B1272" s="1" t="s">
        <v>78</v>
      </c>
      <c r="C1272" s="1" t="s">
        <v>79</v>
      </c>
      <c r="D1272" s="1" t="s">
        <v>125</v>
      </c>
      <c r="E1272" s="1">
        <v>85254</v>
      </c>
      <c r="F1272" s="1" t="s">
        <v>3642</v>
      </c>
      <c r="G1272" s="1" t="s">
        <v>3643</v>
      </c>
      <c r="H1272" s="4" t="s">
        <v>80</v>
      </c>
      <c r="I1272" s="5" t="s">
        <v>81</v>
      </c>
      <c r="J1272" s="5" t="s">
        <v>37</v>
      </c>
      <c r="K1272" s="5" t="s">
        <v>37</v>
      </c>
      <c r="L1272" s="5" t="s">
        <v>389</v>
      </c>
      <c r="M1272" s="5" t="s">
        <v>37</v>
      </c>
      <c r="N1272" s="5" t="s">
        <v>37</v>
      </c>
      <c r="O1272" s="5" t="s">
        <v>38</v>
      </c>
      <c r="P1272" s="5" t="s">
        <v>39</v>
      </c>
      <c r="Q1272" s="2">
        <v>45954</v>
      </c>
      <c r="R1272" s="1" t="s">
        <v>2873</v>
      </c>
      <c r="V127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3" spans="1:22" hidden="1">
      <c r="A1273" s="2">
        <v>45947</v>
      </c>
      <c r="B1273" s="1" t="s">
        <v>3644</v>
      </c>
      <c r="C1273" s="1" t="s">
        <v>707</v>
      </c>
      <c r="D1273" s="1" t="s">
        <v>30</v>
      </c>
      <c r="E1273" s="1" t="s">
        <v>30</v>
      </c>
      <c r="F1273" s="1" t="s">
        <v>3645</v>
      </c>
      <c r="G1273" s="1" t="s">
        <v>3643</v>
      </c>
      <c r="H1273" s="4" t="s">
        <v>90</v>
      </c>
      <c r="V127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4" spans="1:22" hidden="1">
      <c r="A1274" s="2">
        <v>45947</v>
      </c>
      <c r="B1274" s="1" t="s">
        <v>3646</v>
      </c>
      <c r="C1274" s="1" t="s">
        <v>1714</v>
      </c>
      <c r="D1274" s="1" t="s">
        <v>125</v>
      </c>
      <c r="E1274" s="1">
        <v>85254</v>
      </c>
      <c r="F1274" s="1" t="s">
        <v>3647</v>
      </c>
      <c r="G1274" s="1" t="s">
        <v>3643</v>
      </c>
      <c r="H1274" s="4" t="s">
        <v>3648</v>
      </c>
      <c r="I1274" s="5" t="s">
        <v>73</v>
      </c>
      <c r="J1274" s="5" t="s">
        <v>37</v>
      </c>
      <c r="K1274" s="5" t="s">
        <v>37</v>
      </c>
      <c r="L1274" s="5" t="s">
        <v>1586</v>
      </c>
      <c r="M1274" s="5" t="s">
        <v>37</v>
      </c>
      <c r="N1274" s="5" t="s">
        <v>37</v>
      </c>
      <c r="O1274" s="5" t="s">
        <v>38</v>
      </c>
      <c r="P1274" s="5" t="s">
        <v>39</v>
      </c>
      <c r="Q1274" s="2">
        <v>45954</v>
      </c>
      <c r="V127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5" spans="1:22" hidden="1">
      <c r="A1275" s="2">
        <v>45947</v>
      </c>
      <c r="B1275" s="1" t="s">
        <v>3649</v>
      </c>
      <c r="C1275" s="1" t="s">
        <v>575</v>
      </c>
      <c r="D1275" s="1" t="s">
        <v>3650</v>
      </c>
      <c r="F1275" s="1" t="s">
        <v>3651</v>
      </c>
      <c r="G1275" s="1" t="s">
        <v>3652</v>
      </c>
      <c r="H1275" s="4" t="s">
        <v>27</v>
      </c>
      <c r="V127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6" spans="1:22" hidden="1">
      <c r="A1276" s="2">
        <v>45947</v>
      </c>
      <c r="B1276" s="1" t="s">
        <v>3653</v>
      </c>
      <c r="C1276" s="1" t="s">
        <v>1475</v>
      </c>
      <c r="D1276" s="1" t="s">
        <v>30</v>
      </c>
      <c r="E1276" s="1" t="s">
        <v>30</v>
      </c>
      <c r="F1276" s="1" t="s">
        <v>3651</v>
      </c>
      <c r="G1276" s="1" t="s">
        <v>3652</v>
      </c>
      <c r="H1276" s="4" t="s">
        <v>27</v>
      </c>
      <c r="V127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7" spans="1:22" hidden="1">
      <c r="A1277" s="2">
        <v>45951</v>
      </c>
      <c r="B1277" s="1" t="s">
        <v>3654</v>
      </c>
      <c r="C1277" s="1" t="s">
        <v>88</v>
      </c>
      <c r="D1277" s="1" t="s">
        <v>2927</v>
      </c>
      <c r="E1277" s="1">
        <v>85344</v>
      </c>
      <c r="F1277" s="1" t="s">
        <v>3655</v>
      </c>
      <c r="G1277" s="1" t="s">
        <v>3656</v>
      </c>
      <c r="H1277" s="4" t="s">
        <v>3657</v>
      </c>
      <c r="I1277" s="5" t="s">
        <v>126</v>
      </c>
      <c r="J1277" s="5" t="s">
        <v>37</v>
      </c>
      <c r="K1277" s="5" t="s">
        <v>37</v>
      </c>
      <c r="M1277" s="5" t="s">
        <v>37</v>
      </c>
      <c r="N1277" s="5" t="s">
        <v>37</v>
      </c>
      <c r="O1277" s="5" t="s">
        <v>38</v>
      </c>
      <c r="P1277" s="5" t="s">
        <v>39</v>
      </c>
      <c r="Q1277" s="2">
        <v>45954</v>
      </c>
      <c r="R1277" s="1" t="s">
        <v>3658</v>
      </c>
      <c r="V127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8" spans="1:22" hidden="1">
      <c r="A1278" s="2">
        <v>45951</v>
      </c>
      <c r="B1278" s="1" t="s">
        <v>3659</v>
      </c>
      <c r="C1278" s="1" t="s">
        <v>529</v>
      </c>
      <c r="D1278" s="1" t="s">
        <v>202</v>
      </c>
      <c r="E1278" s="1">
        <v>85383</v>
      </c>
      <c r="F1278" s="1" t="s">
        <v>3660</v>
      </c>
      <c r="G1278" s="1" t="s">
        <v>3661</v>
      </c>
      <c r="H1278" s="4" t="s">
        <v>3662</v>
      </c>
      <c r="I1278" s="5" t="s">
        <v>36</v>
      </c>
      <c r="J1278" s="5" t="s">
        <v>37</v>
      </c>
      <c r="K1278" s="5" t="s">
        <v>37</v>
      </c>
      <c r="L1278" s="5" t="s">
        <v>1586</v>
      </c>
      <c r="M1278" s="5" t="s">
        <v>37</v>
      </c>
      <c r="N1278" s="5" t="s">
        <v>37</v>
      </c>
      <c r="O1278" s="5" t="s">
        <v>38</v>
      </c>
      <c r="P1278" s="5" t="s">
        <v>39</v>
      </c>
      <c r="Q1278" s="2">
        <v>45954</v>
      </c>
      <c r="V127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79" spans="1:22" hidden="1">
      <c r="A1279" s="2">
        <v>45951</v>
      </c>
      <c r="B1279" s="1" t="s">
        <v>3663</v>
      </c>
      <c r="C1279" s="1" t="s">
        <v>597</v>
      </c>
      <c r="D1279" s="1" t="s">
        <v>169</v>
      </c>
      <c r="E1279" s="1">
        <v>85338</v>
      </c>
      <c r="F1279" s="1" t="s">
        <v>3664</v>
      </c>
      <c r="G1279" s="1" t="s">
        <v>3661</v>
      </c>
      <c r="H1279" s="4" t="s">
        <v>3665</v>
      </c>
      <c r="I1279" s="5" t="s">
        <v>418</v>
      </c>
      <c r="J1279" s="5" t="s">
        <v>37</v>
      </c>
      <c r="K1279" s="5" t="s">
        <v>37</v>
      </c>
      <c r="L1279" s="5" t="s">
        <v>389</v>
      </c>
      <c r="M1279" s="5" t="s">
        <v>37</v>
      </c>
      <c r="N1279" s="5" t="s">
        <v>37</v>
      </c>
      <c r="O1279" s="5" t="s">
        <v>38</v>
      </c>
      <c r="P1279" s="5" t="s">
        <v>39</v>
      </c>
      <c r="Q1279" s="2">
        <v>45954</v>
      </c>
      <c r="V127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0" spans="1:22" hidden="1">
      <c r="A1280" s="2">
        <v>45951</v>
      </c>
      <c r="B1280" s="1" t="s">
        <v>3666</v>
      </c>
      <c r="C1280" s="1" t="s">
        <v>680</v>
      </c>
      <c r="D1280" s="1" t="s">
        <v>63</v>
      </c>
      <c r="E1280" s="1">
        <v>85014</v>
      </c>
      <c r="F1280" s="1" t="s">
        <v>3667</v>
      </c>
      <c r="G1280" s="1" t="s">
        <v>3668</v>
      </c>
      <c r="H1280" s="4" t="s">
        <v>90</v>
      </c>
      <c r="V128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1" spans="1:22" hidden="1">
      <c r="A1281" s="2">
        <v>45952</v>
      </c>
      <c r="B1281" s="1" t="s">
        <v>2566</v>
      </c>
      <c r="C1281" s="1" t="s">
        <v>1905</v>
      </c>
      <c r="D1281" s="1" t="s">
        <v>635</v>
      </c>
      <c r="E1281" s="1">
        <v>85282</v>
      </c>
      <c r="F1281" s="1" t="s">
        <v>3669</v>
      </c>
      <c r="G1281" s="1" t="s">
        <v>3668</v>
      </c>
      <c r="H1281" s="4" t="s">
        <v>27</v>
      </c>
      <c r="V128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2" spans="1:22" hidden="1">
      <c r="A1282" s="2">
        <v>45952</v>
      </c>
      <c r="B1282" s="1" t="s">
        <v>3670</v>
      </c>
      <c r="C1282" s="1" t="s">
        <v>3671</v>
      </c>
      <c r="D1282" s="1" t="s">
        <v>63</v>
      </c>
      <c r="E1282" s="1">
        <v>85012</v>
      </c>
      <c r="F1282" s="1" t="s">
        <v>3672</v>
      </c>
      <c r="G1282" s="1" t="s">
        <v>3668</v>
      </c>
      <c r="H1282" s="4" t="s">
        <v>3673</v>
      </c>
      <c r="I1282" s="5" t="s">
        <v>73</v>
      </c>
      <c r="J1282" s="5" t="s">
        <v>37</v>
      </c>
      <c r="K1282" s="5" t="s">
        <v>37</v>
      </c>
      <c r="L1282" s="5" t="s">
        <v>3674</v>
      </c>
      <c r="M1282" s="5" t="s">
        <v>37</v>
      </c>
      <c r="N1282" s="5" t="s">
        <v>37</v>
      </c>
      <c r="O1282" s="5" t="s">
        <v>38</v>
      </c>
      <c r="P1282" s="5" t="s">
        <v>39</v>
      </c>
      <c r="Q1282" s="2">
        <v>45954</v>
      </c>
      <c r="V128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3" spans="1:22" hidden="1">
      <c r="A1283" s="2">
        <v>45952</v>
      </c>
      <c r="B1283" s="1" t="s">
        <v>3675</v>
      </c>
      <c r="C1283" s="1" t="s">
        <v>228</v>
      </c>
      <c r="D1283" s="1" t="s">
        <v>174</v>
      </c>
      <c r="E1283" s="1">
        <v>85326</v>
      </c>
      <c r="F1283" s="1" t="s">
        <v>3676</v>
      </c>
      <c r="G1283" s="1" t="s">
        <v>3677</v>
      </c>
      <c r="H1283" s="4" t="s">
        <v>27</v>
      </c>
      <c r="Q1283" s="2"/>
      <c r="V128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4" spans="1:22" hidden="1">
      <c r="A1284" s="2">
        <v>45953</v>
      </c>
      <c r="B1284" s="1" t="s">
        <v>2601</v>
      </c>
      <c r="C1284" s="1" t="s">
        <v>1824</v>
      </c>
      <c r="D1284" s="1" t="s">
        <v>63</v>
      </c>
      <c r="E1284" s="1">
        <v>85019</v>
      </c>
      <c r="F1284" s="1" t="s">
        <v>3531</v>
      </c>
      <c r="G1284" s="1" t="s">
        <v>3677</v>
      </c>
      <c r="H1284" s="4" t="s">
        <v>90</v>
      </c>
      <c r="V128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5" spans="1:22" hidden="1">
      <c r="A1285" s="2">
        <v>45952</v>
      </c>
      <c r="B1285" s="1" t="s">
        <v>3678</v>
      </c>
      <c r="C1285" s="1" t="s">
        <v>3679</v>
      </c>
      <c r="D1285" s="1" t="s">
        <v>63</v>
      </c>
      <c r="E1285" s="1">
        <v>85023</v>
      </c>
      <c r="F1285" s="1" t="s">
        <v>3680</v>
      </c>
      <c r="G1285" s="1" t="s">
        <v>3681</v>
      </c>
      <c r="H1285" s="4" t="s">
        <v>3682</v>
      </c>
      <c r="I1285" s="5" t="s">
        <v>36</v>
      </c>
      <c r="J1285" s="5" t="s">
        <v>37</v>
      </c>
      <c r="K1285" s="5" t="s">
        <v>38</v>
      </c>
      <c r="L1285" s="5" t="s">
        <v>1586</v>
      </c>
      <c r="M1285" s="5" t="s">
        <v>37</v>
      </c>
      <c r="N1285" s="5" t="s">
        <v>37</v>
      </c>
      <c r="O1285" s="5" t="s">
        <v>38</v>
      </c>
      <c r="P1285" s="5" t="s">
        <v>39</v>
      </c>
      <c r="Q1285" s="2">
        <v>45954</v>
      </c>
      <c r="V128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6" spans="1:22" hidden="1">
      <c r="A1286" s="2">
        <v>45952</v>
      </c>
      <c r="B1286" s="1" t="s">
        <v>3683</v>
      </c>
      <c r="C1286" s="1" t="s">
        <v>2454</v>
      </c>
      <c r="D1286" s="1" t="s">
        <v>174</v>
      </c>
      <c r="E1286" s="1">
        <v>85396</v>
      </c>
      <c r="F1286" s="1" t="s">
        <v>3684</v>
      </c>
      <c r="G1286" s="1" t="s">
        <v>3685</v>
      </c>
      <c r="H1286" s="4" t="s">
        <v>3686</v>
      </c>
      <c r="I1286" s="5" t="s">
        <v>81</v>
      </c>
      <c r="J1286" s="5" t="s">
        <v>37</v>
      </c>
      <c r="K1286" s="5" t="s">
        <v>37</v>
      </c>
      <c r="L1286" s="5" t="s">
        <v>389</v>
      </c>
      <c r="M1286" s="5" t="s">
        <v>37</v>
      </c>
      <c r="N1286" s="5" t="s">
        <v>37</v>
      </c>
      <c r="O1286" s="5" t="s">
        <v>38</v>
      </c>
      <c r="P1286" s="5" t="s">
        <v>39</v>
      </c>
      <c r="Q1286" s="2">
        <v>45954</v>
      </c>
      <c r="V128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7" spans="1:22" hidden="1">
      <c r="A1287" s="2">
        <v>45952</v>
      </c>
      <c r="B1287" s="1" t="s">
        <v>617</v>
      </c>
      <c r="C1287" s="1" t="s">
        <v>3687</v>
      </c>
      <c r="D1287" s="1" t="s">
        <v>174</v>
      </c>
      <c r="E1287" s="1">
        <v>85326</v>
      </c>
      <c r="F1287" s="1" t="s">
        <v>3688</v>
      </c>
      <c r="G1287" s="1" t="s">
        <v>3685</v>
      </c>
      <c r="H1287" s="4" t="s">
        <v>209</v>
      </c>
      <c r="V128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8" spans="1:22" hidden="1">
      <c r="A1288" s="2">
        <v>45953</v>
      </c>
      <c r="B1288" s="1" t="s">
        <v>3689</v>
      </c>
      <c r="C1288" s="1" t="s">
        <v>879</v>
      </c>
      <c r="D1288" s="1" t="s">
        <v>30</v>
      </c>
      <c r="E1288" s="1" t="s">
        <v>30</v>
      </c>
      <c r="F1288" s="1" t="s">
        <v>3690</v>
      </c>
      <c r="H1288" s="4" t="s">
        <v>27</v>
      </c>
      <c r="V128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89" spans="1:22" hidden="1">
      <c r="A1289" s="2">
        <v>45953</v>
      </c>
      <c r="B1289" s="1" t="s">
        <v>3691</v>
      </c>
      <c r="C1289" s="1" t="s">
        <v>320</v>
      </c>
      <c r="D1289" s="1" t="s">
        <v>30</v>
      </c>
      <c r="E1289" s="1" t="s">
        <v>30</v>
      </c>
      <c r="F1289" s="1" t="s">
        <v>3692</v>
      </c>
      <c r="G1289" s="1" t="s">
        <v>3693</v>
      </c>
      <c r="H1289" s="4" t="s">
        <v>27</v>
      </c>
      <c r="V1289"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0" spans="1:22" hidden="1">
      <c r="A1290" s="2">
        <v>45954</v>
      </c>
      <c r="B1290" s="1" t="s">
        <v>3694</v>
      </c>
      <c r="C1290" s="1" t="s">
        <v>3695</v>
      </c>
      <c r="D1290" s="1" t="s">
        <v>174</v>
      </c>
      <c r="E1290" s="1">
        <v>85326</v>
      </c>
      <c r="F1290" s="1" t="s">
        <v>3696</v>
      </c>
      <c r="G1290" s="1" t="s">
        <v>3697</v>
      </c>
      <c r="H1290" s="4" t="s">
        <v>3698</v>
      </c>
      <c r="I1290" s="5" t="s">
        <v>46</v>
      </c>
      <c r="J1290" s="5" t="s">
        <v>37</v>
      </c>
      <c r="K1290" s="5" t="s">
        <v>37</v>
      </c>
      <c r="L1290" s="5" t="s">
        <v>1586</v>
      </c>
      <c r="M1290" s="5" t="s">
        <v>38</v>
      </c>
      <c r="N1290" s="13">
        <v>384.67</v>
      </c>
      <c r="O1290" s="5" t="s">
        <v>38</v>
      </c>
      <c r="P1290" s="5" t="s">
        <v>39</v>
      </c>
      <c r="Q1290" s="2">
        <v>45960</v>
      </c>
      <c r="V1290"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1" spans="1:22" hidden="1">
      <c r="A1291" s="2">
        <v>45954</v>
      </c>
      <c r="B1291" s="1" t="s">
        <v>3699</v>
      </c>
      <c r="C1291" s="1" t="s">
        <v>550</v>
      </c>
      <c r="D1291" s="1" t="s">
        <v>202</v>
      </c>
      <c r="E1291" s="1">
        <v>85383</v>
      </c>
      <c r="F1291" s="1" t="s">
        <v>3700</v>
      </c>
      <c r="G1291" s="1" t="s">
        <v>3697</v>
      </c>
      <c r="H1291" s="4" t="s">
        <v>3701</v>
      </c>
      <c r="I1291" s="5" t="s">
        <v>36</v>
      </c>
      <c r="J1291" s="5" t="s">
        <v>37</v>
      </c>
      <c r="K1291" s="5" t="s">
        <v>37</v>
      </c>
      <c r="L1291" s="5" t="s">
        <v>1586</v>
      </c>
      <c r="M1291" s="5" t="s">
        <v>37</v>
      </c>
      <c r="N1291" s="5" t="s">
        <v>37</v>
      </c>
      <c r="O1291" s="5" t="s">
        <v>38</v>
      </c>
      <c r="P1291" s="5" t="s">
        <v>39</v>
      </c>
      <c r="Q1291" s="2">
        <v>45960</v>
      </c>
      <c r="V1291"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2" spans="1:22" hidden="1">
      <c r="A1292" s="2">
        <v>45954</v>
      </c>
      <c r="B1292" s="1" t="s">
        <v>3702</v>
      </c>
      <c r="C1292" s="1" t="s">
        <v>481</v>
      </c>
      <c r="D1292" s="1" t="s">
        <v>169</v>
      </c>
      <c r="E1292" s="1">
        <v>85395</v>
      </c>
      <c r="F1292" s="1" t="s">
        <v>3703</v>
      </c>
      <c r="G1292" s="1" t="s">
        <v>3697</v>
      </c>
      <c r="H1292" s="4" t="s">
        <v>3704</v>
      </c>
      <c r="I1292" s="5" t="s">
        <v>418</v>
      </c>
      <c r="J1292" s="5" t="s">
        <v>37</v>
      </c>
      <c r="K1292" s="5" t="s">
        <v>37</v>
      </c>
      <c r="L1292" s="5" t="s">
        <v>389</v>
      </c>
      <c r="M1292" s="5" t="s">
        <v>37</v>
      </c>
      <c r="N1292" s="5" t="s">
        <v>37</v>
      </c>
      <c r="O1292" s="5" t="s">
        <v>38</v>
      </c>
      <c r="P1292" s="5" t="s">
        <v>39</v>
      </c>
      <c r="Q1292" s="2">
        <v>45960</v>
      </c>
      <c r="V1292"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3" spans="1:22" hidden="1">
      <c r="A1293" s="2">
        <v>45954</v>
      </c>
      <c r="B1293" s="1" t="s">
        <v>3705</v>
      </c>
      <c r="C1293" s="1" t="s">
        <v>2601</v>
      </c>
      <c r="D1293" s="1" t="s">
        <v>63</v>
      </c>
      <c r="E1293" s="1">
        <v>85003</v>
      </c>
      <c r="F1293" s="1" t="s">
        <v>3356</v>
      </c>
      <c r="G1293" s="1" t="s">
        <v>3706</v>
      </c>
      <c r="H1293" s="4" t="s">
        <v>3707</v>
      </c>
      <c r="I1293" s="5" t="s">
        <v>126</v>
      </c>
      <c r="J1293" s="5" t="s">
        <v>37</v>
      </c>
      <c r="K1293" s="5" t="s">
        <v>37</v>
      </c>
      <c r="L1293" s="5" t="s">
        <v>3708</v>
      </c>
      <c r="M1293" s="5" t="s">
        <v>38</v>
      </c>
      <c r="N1293" s="13">
        <v>398.69</v>
      </c>
      <c r="O1293" s="5" t="s">
        <v>38</v>
      </c>
      <c r="P1293" s="5" t="s">
        <v>39</v>
      </c>
      <c r="Q1293" s="2">
        <v>45960</v>
      </c>
      <c r="V1293"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4" spans="1:22" hidden="1">
      <c r="A1294" s="2">
        <v>45956</v>
      </c>
      <c r="B1294" s="1" t="s">
        <v>3709</v>
      </c>
      <c r="C1294" s="1" t="s">
        <v>690</v>
      </c>
      <c r="D1294" s="1" t="s">
        <v>63</v>
      </c>
      <c r="E1294" s="1">
        <v>85050</v>
      </c>
      <c r="F1294" s="1" t="s">
        <v>3710</v>
      </c>
      <c r="G1294" s="1" t="s">
        <v>3706</v>
      </c>
      <c r="H1294" s="4" t="s">
        <v>27</v>
      </c>
      <c r="V1294"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5" spans="1:22" hidden="1">
      <c r="A1295" s="2">
        <v>45959</v>
      </c>
      <c r="B1295" s="1" t="s">
        <v>3711</v>
      </c>
      <c r="C1295" s="1" t="s">
        <v>252</v>
      </c>
      <c r="D1295" s="1" t="s">
        <v>63</v>
      </c>
      <c r="E1295" s="1">
        <v>85086</v>
      </c>
      <c r="F1295" s="1" t="s">
        <v>3531</v>
      </c>
      <c r="G1295" s="1" t="s">
        <v>3712</v>
      </c>
      <c r="H1295" s="4" t="s">
        <v>3713</v>
      </c>
      <c r="I1295" s="5" t="s">
        <v>36</v>
      </c>
      <c r="J1295" s="5" t="s">
        <v>38</v>
      </c>
      <c r="K1295" s="5" t="s">
        <v>37</v>
      </c>
      <c r="L1295" s="5" t="s">
        <v>3714</v>
      </c>
      <c r="M1295" s="5" t="s">
        <v>38</v>
      </c>
      <c r="N1295" s="13">
        <v>318.62</v>
      </c>
      <c r="O1295" s="5" t="s">
        <v>38</v>
      </c>
      <c r="P1295" s="5" t="s">
        <v>39</v>
      </c>
      <c r="Q1295" s="2">
        <v>45960</v>
      </c>
      <c r="R1295" s="1" t="s">
        <v>3497</v>
      </c>
      <c r="V1295"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6" spans="1:22" hidden="1">
      <c r="A1296" s="2">
        <v>45959</v>
      </c>
      <c r="B1296" s="1" t="s">
        <v>1879</v>
      </c>
      <c r="C1296" s="1" t="s">
        <v>3715</v>
      </c>
      <c r="D1296" s="1" t="s">
        <v>174</v>
      </c>
      <c r="E1296" s="1">
        <v>85396</v>
      </c>
      <c r="F1296" s="1" t="s">
        <v>3531</v>
      </c>
      <c r="G1296" s="1" t="s">
        <v>3712</v>
      </c>
      <c r="H1296" s="4" t="s">
        <v>3716</v>
      </c>
      <c r="I1296" s="5" t="s">
        <v>36</v>
      </c>
      <c r="J1296" s="5" t="s">
        <v>37</v>
      </c>
      <c r="K1296" s="5" t="s">
        <v>37</v>
      </c>
      <c r="L1296" s="5" t="s">
        <v>1586</v>
      </c>
      <c r="M1296" s="5" t="s">
        <v>37</v>
      </c>
      <c r="N1296" s="5" t="s">
        <v>37</v>
      </c>
      <c r="O1296" s="5" t="s">
        <v>38</v>
      </c>
      <c r="P1296" s="5" t="s">
        <v>39</v>
      </c>
      <c r="Q1296" s="2">
        <v>45960</v>
      </c>
      <c r="R1296" s="1" t="s">
        <v>3497</v>
      </c>
      <c r="V1296"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7" spans="1:22" hidden="1">
      <c r="A1297" s="2">
        <v>45959</v>
      </c>
      <c r="B1297" s="1" t="s">
        <v>3717</v>
      </c>
      <c r="C1297" s="1" t="s">
        <v>3718</v>
      </c>
      <c r="D1297" s="1" t="s">
        <v>1204</v>
      </c>
      <c r="E1297" s="1">
        <v>85355</v>
      </c>
      <c r="F1297" s="1" t="s">
        <v>3531</v>
      </c>
      <c r="G1297" s="1" t="s">
        <v>3712</v>
      </c>
      <c r="H1297" s="4" t="s">
        <v>27</v>
      </c>
      <c r="Q1297" s="2"/>
      <c r="R1297" s="1" t="s">
        <v>3497</v>
      </c>
      <c r="V1297"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8" spans="1:22" hidden="1">
      <c r="A1298" s="2">
        <v>45959</v>
      </c>
      <c r="B1298" s="1" t="s">
        <v>3719</v>
      </c>
      <c r="C1298" s="1" t="s">
        <v>1714</v>
      </c>
      <c r="D1298" s="1" t="s">
        <v>169</v>
      </c>
      <c r="E1298" s="1">
        <v>85395</v>
      </c>
      <c r="F1298" s="1" t="s">
        <v>3531</v>
      </c>
      <c r="G1298" s="1" t="s">
        <v>3712</v>
      </c>
      <c r="H1298" s="4" t="s">
        <v>27</v>
      </c>
      <c r="Q1298" s="2"/>
      <c r="R1298" s="1" t="s">
        <v>3497</v>
      </c>
      <c r="V1298" s="46">
        <f>IF(
  OR(
    ISNUMBER(SEARCH("unable to locate acct", tblDocketedComments[[#This Row],[Docketed Consumer Comments]])),
    ISNUMBER(SEARCH("unknown", tblDocketedComments[[#This Row],[Docketed Consumer Comments]])),
    ISNUMBER(SEARCH("inactive", tblDocketedComments[[#This Row],[Docketed Consumer Comments]]))
  ),
  0,
  1
)</f>
        <v>1</v>
      </c>
    </row>
    <row r="1299" spans="1:22" hidden="1">
      <c r="A1299" s="2">
        <v>45959</v>
      </c>
      <c r="B1299" s="1" t="s">
        <v>3720</v>
      </c>
      <c r="C1299" s="1" t="s">
        <v>3721</v>
      </c>
      <c r="D1299" s="1" t="s">
        <v>112</v>
      </c>
      <c r="E1299" s="1">
        <v>85387</v>
      </c>
      <c r="F1299" s="1" t="s">
        <v>3531</v>
      </c>
      <c r="G1299" s="1" t="s">
        <v>3712</v>
      </c>
      <c r="H1299" s="4" t="s">
        <v>3722</v>
      </c>
      <c r="I1299" s="5" t="s">
        <v>36</v>
      </c>
      <c r="J1299" s="5" t="s">
        <v>37</v>
      </c>
      <c r="K1299" s="5" t="s">
        <v>37</v>
      </c>
      <c r="L1299" s="5" t="s">
        <v>1586</v>
      </c>
      <c r="M1299" s="5" t="s">
        <v>37</v>
      </c>
      <c r="N1299" s="5" t="s">
        <v>37</v>
      </c>
      <c r="O1299" s="5" t="s">
        <v>38</v>
      </c>
      <c r="P1299" s="5" t="s">
        <v>39</v>
      </c>
      <c r="Q1299" s="2">
        <v>45960</v>
      </c>
      <c r="R1299" s="1" t="s">
        <v>3497</v>
      </c>
      <c r="V129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0" spans="1:22" hidden="1">
      <c r="A1300" s="2">
        <v>45959</v>
      </c>
      <c r="B1300" s="1" t="s">
        <v>3723</v>
      </c>
      <c r="C1300" s="1" t="s">
        <v>3724</v>
      </c>
      <c r="D1300" s="1" t="s">
        <v>112</v>
      </c>
      <c r="E1300" s="1">
        <v>85379</v>
      </c>
      <c r="F1300" s="1" t="s">
        <v>3531</v>
      </c>
      <c r="G1300" s="1" t="s">
        <v>3712</v>
      </c>
      <c r="H1300" s="4" t="s">
        <v>3725</v>
      </c>
      <c r="I1300" s="5" t="s">
        <v>196</v>
      </c>
      <c r="J1300" s="5" t="s">
        <v>37</v>
      </c>
      <c r="K1300" s="5" t="s">
        <v>37</v>
      </c>
      <c r="L1300" s="5" t="s">
        <v>3726</v>
      </c>
      <c r="M1300" s="5" t="s">
        <v>37</v>
      </c>
      <c r="N1300" s="5" t="s">
        <v>37</v>
      </c>
      <c r="O1300" s="5" t="s">
        <v>38</v>
      </c>
      <c r="P1300" s="5" t="s">
        <v>39</v>
      </c>
      <c r="Q1300" s="2">
        <v>45960</v>
      </c>
      <c r="R1300" s="1" t="s">
        <v>3497</v>
      </c>
      <c r="V130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1" spans="1:22" hidden="1">
      <c r="A1301" s="2">
        <v>45959</v>
      </c>
      <c r="B1301" s="1" t="s">
        <v>3727</v>
      </c>
      <c r="C1301" s="1" t="s">
        <v>3728</v>
      </c>
      <c r="D1301" s="1" t="s">
        <v>174</v>
      </c>
      <c r="E1301" s="1">
        <v>85326</v>
      </c>
      <c r="F1301" s="1" t="s">
        <v>3531</v>
      </c>
      <c r="G1301" s="1" t="s">
        <v>3712</v>
      </c>
      <c r="H1301" s="4" t="s">
        <v>27</v>
      </c>
      <c r="Q1301" s="2"/>
      <c r="R1301" s="1" t="s">
        <v>3497</v>
      </c>
      <c r="V130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2" spans="1:22" hidden="1">
      <c r="A1302" s="2">
        <v>45959</v>
      </c>
      <c r="B1302" s="1" t="s">
        <v>3729</v>
      </c>
      <c r="C1302" s="1" t="s">
        <v>3730</v>
      </c>
      <c r="D1302" s="1" t="s">
        <v>112</v>
      </c>
      <c r="E1302" s="1">
        <v>85379</v>
      </c>
      <c r="F1302" s="1" t="s">
        <v>3531</v>
      </c>
      <c r="G1302" s="1" t="s">
        <v>3712</v>
      </c>
      <c r="H1302" s="4" t="s">
        <v>3731</v>
      </c>
      <c r="I1302" s="5" t="s">
        <v>541</v>
      </c>
      <c r="J1302" s="5" t="s">
        <v>37</v>
      </c>
      <c r="K1302" s="5" t="s">
        <v>37</v>
      </c>
      <c r="L1302" s="5" t="s">
        <v>389</v>
      </c>
      <c r="M1302" s="5" t="s">
        <v>37</v>
      </c>
      <c r="N1302" s="5" t="s">
        <v>37</v>
      </c>
      <c r="O1302" s="5" t="s">
        <v>38</v>
      </c>
      <c r="P1302" s="5" t="s">
        <v>39</v>
      </c>
      <c r="Q1302" s="2">
        <v>45960</v>
      </c>
      <c r="R1302" s="1" t="s">
        <v>3497</v>
      </c>
      <c r="V130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3" spans="1:22" hidden="1">
      <c r="A1303" s="2">
        <v>45959</v>
      </c>
      <c r="B1303" s="1" t="s">
        <v>3732</v>
      </c>
      <c r="C1303" s="1" t="s">
        <v>3733</v>
      </c>
      <c r="D1303" s="1" t="s">
        <v>240</v>
      </c>
      <c r="E1303" s="1">
        <v>85340</v>
      </c>
      <c r="F1303" s="1" t="s">
        <v>3531</v>
      </c>
      <c r="G1303" s="1" t="s">
        <v>3712</v>
      </c>
      <c r="H1303" s="4" t="s">
        <v>27</v>
      </c>
      <c r="Q1303" s="2"/>
      <c r="R1303" s="1" t="s">
        <v>3497</v>
      </c>
      <c r="V130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4" spans="1:22" ht="10.9" hidden="1" customHeight="1">
      <c r="A1304" s="2">
        <v>45959</v>
      </c>
      <c r="B1304" s="1" t="s">
        <v>3431</v>
      </c>
      <c r="C1304" s="1" t="s">
        <v>1220</v>
      </c>
      <c r="D1304" s="1" t="s">
        <v>63</v>
      </c>
      <c r="E1304" s="1">
        <v>85020</v>
      </c>
      <c r="F1304" s="1" t="s">
        <v>3531</v>
      </c>
      <c r="G1304" s="1" t="s">
        <v>3734</v>
      </c>
      <c r="H1304" s="4" t="s">
        <v>3735</v>
      </c>
      <c r="I1304" s="5" t="s">
        <v>73</v>
      </c>
      <c r="J1304" s="5" t="s">
        <v>37</v>
      </c>
      <c r="K1304" s="5" t="s">
        <v>37</v>
      </c>
      <c r="L1304" s="5" t="s">
        <v>1586</v>
      </c>
      <c r="M1304" s="5" t="s">
        <v>37</v>
      </c>
      <c r="N1304" s="5" t="s">
        <v>37</v>
      </c>
      <c r="O1304" s="5" t="s">
        <v>38</v>
      </c>
      <c r="P1304" s="5" t="s">
        <v>39</v>
      </c>
      <c r="Q1304" s="2">
        <v>45960</v>
      </c>
      <c r="V130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5" spans="1:22" hidden="1">
      <c r="A1305" s="2">
        <v>45959</v>
      </c>
      <c r="B1305" s="1" t="s">
        <v>3736</v>
      </c>
      <c r="C1305" s="1" t="s">
        <v>3737</v>
      </c>
      <c r="D1305" s="1" t="s">
        <v>174</v>
      </c>
      <c r="E1305" s="1">
        <v>85396</v>
      </c>
      <c r="F1305" s="1" t="s">
        <v>3738</v>
      </c>
      <c r="G1305" s="1" t="s">
        <v>3739</v>
      </c>
      <c r="H1305" s="4" t="s">
        <v>3740</v>
      </c>
      <c r="I1305" s="5" t="s">
        <v>36</v>
      </c>
      <c r="J1305" s="5" t="s">
        <v>37</v>
      </c>
      <c r="K1305" s="5" t="s">
        <v>37</v>
      </c>
      <c r="L1305" s="5" t="s">
        <v>1586</v>
      </c>
      <c r="M1305" s="5" t="s">
        <v>37</v>
      </c>
      <c r="N1305" s="5" t="s">
        <v>37</v>
      </c>
      <c r="O1305" s="5" t="s">
        <v>38</v>
      </c>
      <c r="P1305" s="5" t="s">
        <v>39</v>
      </c>
      <c r="Q1305" s="2">
        <v>45960</v>
      </c>
      <c r="V130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6" spans="1:22" hidden="1">
      <c r="A1306" s="2">
        <v>45961</v>
      </c>
      <c r="B1306" s="1" t="s">
        <v>3741</v>
      </c>
      <c r="C1306" s="1" t="s">
        <v>184</v>
      </c>
      <c r="D1306" s="1" t="s">
        <v>174</v>
      </c>
      <c r="E1306" s="1">
        <v>85396</v>
      </c>
      <c r="F1306" s="1" t="s">
        <v>3531</v>
      </c>
      <c r="G1306" s="1" t="s">
        <v>3742</v>
      </c>
      <c r="H1306" s="4" t="s">
        <v>27</v>
      </c>
      <c r="Q1306" s="2"/>
      <c r="R1306" s="1" t="s">
        <v>3497</v>
      </c>
      <c r="V130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7" spans="1:22" hidden="1">
      <c r="A1307" s="2">
        <v>45961</v>
      </c>
      <c r="B1307" s="1" t="s">
        <v>3743</v>
      </c>
      <c r="C1307" s="1" t="s">
        <v>3744</v>
      </c>
      <c r="D1307" s="1" t="s">
        <v>174</v>
      </c>
      <c r="E1307" s="1">
        <v>85326</v>
      </c>
      <c r="F1307" s="1" t="s">
        <v>3531</v>
      </c>
      <c r="G1307" s="1" t="s">
        <v>3742</v>
      </c>
      <c r="H1307" s="4" t="s">
        <v>27</v>
      </c>
      <c r="Q1307" s="2"/>
      <c r="R1307" s="1" t="s">
        <v>3497</v>
      </c>
      <c r="V130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8" spans="1:22" hidden="1">
      <c r="A1308" s="2">
        <v>45961</v>
      </c>
      <c r="B1308" s="1" t="s">
        <v>1686</v>
      </c>
      <c r="C1308" s="1" t="s">
        <v>790</v>
      </c>
      <c r="D1308" s="1" t="s">
        <v>63</v>
      </c>
      <c r="E1308" s="1">
        <v>85083</v>
      </c>
      <c r="F1308" s="1" t="s">
        <v>3531</v>
      </c>
      <c r="G1308" s="1" t="s">
        <v>3742</v>
      </c>
      <c r="H1308" s="4" t="s">
        <v>3745</v>
      </c>
      <c r="I1308" s="5" t="s">
        <v>243</v>
      </c>
      <c r="J1308" s="5" t="s">
        <v>37</v>
      </c>
      <c r="K1308" s="5" t="s">
        <v>37</v>
      </c>
      <c r="L1308" s="5" t="s">
        <v>389</v>
      </c>
      <c r="M1308" s="5" t="s">
        <v>37</v>
      </c>
      <c r="N1308" s="5" t="s">
        <v>37</v>
      </c>
      <c r="O1308" s="5" t="s">
        <v>38</v>
      </c>
      <c r="P1308" s="5" t="s">
        <v>39</v>
      </c>
      <c r="Q1308" s="2">
        <v>45961</v>
      </c>
      <c r="R1308" s="1" t="s">
        <v>3497</v>
      </c>
      <c r="V130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09" spans="1:22" hidden="1">
      <c r="A1309" s="2">
        <v>45961</v>
      </c>
      <c r="B1309" s="1" t="s">
        <v>367</v>
      </c>
      <c r="C1309" s="1" t="s">
        <v>3746</v>
      </c>
      <c r="D1309" s="1" t="s">
        <v>2105</v>
      </c>
      <c r="E1309" s="1">
        <v>85128</v>
      </c>
      <c r="F1309" s="1" t="s">
        <v>3531</v>
      </c>
      <c r="G1309" s="1" t="s">
        <v>3742</v>
      </c>
      <c r="H1309" s="4" t="s">
        <v>3747</v>
      </c>
      <c r="I1309" s="5" t="s">
        <v>36</v>
      </c>
      <c r="J1309" s="5" t="s">
        <v>37</v>
      </c>
      <c r="K1309" s="5" t="s">
        <v>37</v>
      </c>
      <c r="L1309" s="5" t="s">
        <v>1586</v>
      </c>
      <c r="M1309" s="5" t="s">
        <v>37</v>
      </c>
      <c r="N1309" s="5" t="s">
        <v>37</v>
      </c>
      <c r="O1309" s="5" t="s">
        <v>38</v>
      </c>
      <c r="P1309" s="5" t="s">
        <v>39</v>
      </c>
      <c r="Q1309" s="2">
        <v>45961</v>
      </c>
      <c r="R1309" s="1" t="s">
        <v>3497</v>
      </c>
      <c r="V130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0" spans="1:22" hidden="1">
      <c r="A1310" s="2">
        <v>45961</v>
      </c>
      <c r="B1310" s="1" t="s">
        <v>686</v>
      </c>
      <c r="C1310" s="1" t="s">
        <v>648</v>
      </c>
      <c r="D1310" s="1" t="s">
        <v>202</v>
      </c>
      <c r="E1310" s="1">
        <v>85382</v>
      </c>
      <c r="F1310" s="1" t="s">
        <v>3531</v>
      </c>
      <c r="G1310" s="1" t="s">
        <v>3742</v>
      </c>
      <c r="H1310" s="4" t="s">
        <v>3748</v>
      </c>
      <c r="I1310" s="5" t="s">
        <v>36</v>
      </c>
      <c r="J1310" s="5" t="s">
        <v>37</v>
      </c>
      <c r="K1310" s="5" t="s">
        <v>37</v>
      </c>
      <c r="L1310" s="5" t="s">
        <v>1586</v>
      </c>
      <c r="M1310" s="5" t="s">
        <v>37</v>
      </c>
      <c r="N1310" s="5" t="s">
        <v>37</v>
      </c>
      <c r="O1310" s="5" t="s">
        <v>38</v>
      </c>
      <c r="P1310" s="5" t="s">
        <v>39</v>
      </c>
      <c r="Q1310" s="2">
        <v>45961</v>
      </c>
      <c r="R1310" s="1" t="s">
        <v>3497</v>
      </c>
      <c r="V131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1" spans="1:22" hidden="1">
      <c r="A1311" s="2">
        <v>45961</v>
      </c>
      <c r="B1311" s="1" t="s">
        <v>3749</v>
      </c>
      <c r="C1311" s="1" t="s">
        <v>2019</v>
      </c>
      <c r="D1311" s="1" t="s">
        <v>174</v>
      </c>
      <c r="E1311" s="1">
        <v>85396</v>
      </c>
      <c r="F1311" s="1" t="s">
        <v>3531</v>
      </c>
      <c r="G1311" s="1" t="s">
        <v>3742</v>
      </c>
      <c r="H1311" s="4" t="s">
        <v>27</v>
      </c>
      <c r="Q1311" s="2"/>
      <c r="R1311" s="1" t="s">
        <v>3497</v>
      </c>
      <c r="V131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2" spans="1:22" hidden="1">
      <c r="A1312" s="2">
        <v>45961</v>
      </c>
      <c r="B1312" s="1" t="s">
        <v>3749</v>
      </c>
      <c r="C1312" s="1" t="s">
        <v>1749</v>
      </c>
      <c r="D1312" s="1" t="s">
        <v>174</v>
      </c>
      <c r="E1312" s="1">
        <v>85396</v>
      </c>
      <c r="F1312" s="1" t="s">
        <v>3531</v>
      </c>
      <c r="G1312" s="1" t="s">
        <v>3742</v>
      </c>
      <c r="H1312" s="4" t="s">
        <v>27</v>
      </c>
      <c r="Q1312" s="2"/>
      <c r="R1312" s="1" t="s">
        <v>3497</v>
      </c>
      <c r="V131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3" spans="1:22" hidden="1">
      <c r="A1313" s="2">
        <v>45961</v>
      </c>
      <c r="B1313" s="1" t="s">
        <v>3750</v>
      </c>
      <c r="C1313" s="1" t="s">
        <v>3751</v>
      </c>
      <c r="D1313" s="1" t="s">
        <v>174</v>
      </c>
      <c r="E1313" s="1">
        <v>85326</v>
      </c>
      <c r="F1313" s="1" t="s">
        <v>3531</v>
      </c>
      <c r="G1313" s="1" t="s">
        <v>3742</v>
      </c>
      <c r="H1313" s="4" t="s">
        <v>3752</v>
      </c>
      <c r="I1313" s="5" t="s">
        <v>3753</v>
      </c>
      <c r="J1313" s="5" t="s">
        <v>38</v>
      </c>
      <c r="K1313" s="5" t="s">
        <v>37</v>
      </c>
      <c r="L1313" s="5" t="s">
        <v>389</v>
      </c>
      <c r="M1313" s="5" t="s">
        <v>37</v>
      </c>
      <c r="N1313" s="5" t="s">
        <v>37</v>
      </c>
      <c r="O1313" s="5" t="s">
        <v>38</v>
      </c>
      <c r="P1313" s="5" t="s">
        <v>39</v>
      </c>
      <c r="Q1313" s="2">
        <v>45961</v>
      </c>
      <c r="R1313" s="1" t="s">
        <v>3497</v>
      </c>
      <c r="V131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4" spans="1:22" hidden="1">
      <c r="A1314" s="2">
        <v>45959</v>
      </c>
      <c r="B1314" s="1" t="s">
        <v>3754</v>
      </c>
      <c r="C1314" s="1" t="s">
        <v>3755</v>
      </c>
      <c r="D1314" s="1" t="s">
        <v>63</v>
      </c>
      <c r="E1314" s="1">
        <v>85032</v>
      </c>
      <c r="F1314" s="1" t="s">
        <v>3756</v>
      </c>
      <c r="G1314" s="1" t="s">
        <v>3757</v>
      </c>
      <c r="H1314" s="4" t="s">
        <v>3758</v>
      </c>
      <c r="I1314" s="5" t="s">
        <v>126</v>
      </c>
      <c r="J1314" s="5" t="s">
        <v>37</v>
      </c>
      <c r="K1314" s="5" t="s">
        <v>37</v>
      </c>
      <c r="L1314" s="5" t="s">
        <v>401</v>
      </c>
      <c r="M1314" s="5" t="s">
        <v>37</v>
      </c>
      <c r="N1314" s="5" t="s">
        <v>37</v>
      </c>
      <c r="O1314" s="5" t="s">
        <v>38</v>
      </c>
      <c r="P1314" s="5" t="s">
        <v>39</v>
      </c>
      <c r="Q1314" s="2">
        <v>45964</v>
      </c>
      <c r="V131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5" spans="1:22" hidden="1">
      <c r="A1315" s="2">
        <v>45961</v>
      </c>
      <c r="B1315" s="1" t="s">
        <v>3759</v>
      </c>
      <c r="C1315" s="1" t="s">
        <v>2258</v>
      </c>
      <c r="D1315" s="1" t="s">
        <v>63</v>
      </c>
      <c r="E1315" s="1">
        <v>85050</v>
      </c>
      <c r="F1315" s="1" t="s">
        <v>3531</v>
      </c>
      <c r="G1315" s="1" t="s">
        <v>3757</v>
      </c>
      <c r="H1315" s="4" t="s">
        <v>3760</v>
      </c>
      <c r="I1315" s="5" t="s">
        <v>126</v>
      </c>
      <c r="J1315" s="5" t="s">
        <v>37</v>
      </c>
      <c r="K1315" s="5" t="s">
        <v>37</v>
      </c>
      <c r="L1315" s="5" t="s">
        <v>38</v>
      </c>
      <c r="M1315" s="5" t="s">
        <v>38</v>
      </c>
      <c r="N1315" s="13">
        <v>302.06</v>
      </c>
      <c r="O1315" s="5" t="s">
        <v>38</v>
      </c>
      <c r="P1315" s="5" t="s">
        <v>39</v>
      </c>
      <c r="Q1315" s="2">
        <v>45964</v>
      </c>
      <c r="V131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6" spans="1:22" ht="13.9" hidden="1" customHeight="1">
      <c r="A1316" s="2">
        <v>45959</v>
      </c>
      <c r="B1316" s="1" t="s">
        <v>3761</v>
      </c>
      <c r="C1316" s="1" t="s">
        <v>3762</v>
      </c>
      <c r="D1316" s="1" t="s">
        <v>63</v>
      </c>
      <c r="E1316" s="1">
        <v>85032</v>
      </c>
      <c r="F1316" s="1" t="s">
        <v>3756</v>
      </c>
      <c r="G1316" s="1" t="s">
        <v>3757</v>
      </c>
      <c r="H1316" s="4" t="s">
        <v>3758</v>
      </c>
      <c r="I1316" s="5" t="s">
        <v>126</v>
      </c>
      <c r="J1316" s="5" t="s">
        <v>37</v>
      </c>
      <c r="K1316" s="5" t="s">
        <v>37</v>
      </c>
      <c r="L1316" s="5" t="s">
        <v>401</v>
      </c>
      <c r="M1316" s="5" t="s">
        <v>37</v>
      </c>
      <c r="N1316" s="5" t="s">
        <v>37</v>
      </c>
      <c r="O1316" s="5" t="s">
        <v>38</v>
      </c>
      <c r="P1316" s="5" t="s">
        <v>39</v>
      </c>
      <c r="Q1316" s="2">
        <v>45964</v>
      </c>
      <c r="V131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7" spans="1:22" hidden="1">
      <c r="A1317" s="2">
        <v>45961</v>
      </c>
      <c r="B1317" s="1" t="s">
        <v>3763</v>
      </c>
      <c r="C1317" s="1" t="s">
        <v>1941</v>
      </c>
      <c r="D1317" s="1" t="s">
        <v>1919</v>
      </c>
      <c r="E1317" s="1">
        <v>85208</v>
      </c>
      <c r="F1317" s="1" t="s">
        <v>3531</v>
      </c>
      <c r="G1317" s="1" t="s">
        <v>3757</v>
      </c>
      <c r="H1317" s="4" t="s">
        <v>27</v>
      </c>
      <c r="V131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8" spans="1:22" hidden="1">
      <c r="A1318" s="2">
        <v>45959</v>
      </c>
      <c r="B1318" s="1" t="s">
        <v>2781</v>
      </c>
      <c r="C1318" s="1" t="s">
        <v>2380</v>
      </c>
      <c r="D1318" s="1" t="s">
        <v>89</v>
      </c>
      <c r="E1318" s="1">
        <v>86351</v>
      </c>
      <c r="F1318" s="1" t="s">
        <v>3764</v>
      </c>
      <c r="G1318" s="1" t="s">
        <v>3757</v>
      </c>
      <c r="H1318" s="4" t="s">
        <v>2783</v>
      </c>
      <c r="I1318" s="5" t="s">
        <v>57</v>
      </c>
      <c r="J1318" s="5" t="s">
        <v>37</v>
      </c>
      <c r="K1318" s="5" t="s">
        <v>37</v>
      </c>
      <c r="L1318" s="7" t="s">
        <v>2784</v>
      </c>
      <c r="M1318" s="5" t="s">
        <v>37</v>
      </c>
      <c r="N1318" s="5" t="s">
        <v>37</v>
      </c>
      <c r="O1318" s="5" t="s">
        <v>38</v>
      </c>
      <c r="P1318" s="2">
        <v>45971</v>
      </c>
      <c r="Q1318" s="2">
        <v>45964</v>
      </c>
      <c r="R1318" s="1" t="s">
        <v>2172</v>
      </c>
      <c r="V131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19" spans="1:22" hidden="1">
      <c r="A1319" s="2">
        <v>45959</v>
      </c>
      <c r="B1319" s="1" t="s">
        <v>3765</v>
      </c>
      <c r="C1319" s="1" t="s">
        <v>3766</v>
      </c>
      <c r="D1319" s="1" t="s">
        <v>63</v>
      </c>
      <c r="E1319" s="1">
        <v>85085</v>
      </c>
      <c r="F1319" s="1" t="s">
        <v>3767</v>
      </c>
      <c r="G1319" s="1" t="s">
        <v>3757</v>
      </c>
      <c r="H1319" s="4" t="s">
        <v>3768</v>
      </c>
      <c r="I1319" s="5" t="s">
        <v>36</v>
      </c>
      <c r="J1319" s="5" t="s">
        <v>37</v>
      </c>
      <c r="K1319" s="5" t="s">
        <v>37</v>
      </c>
      <c r="L1319" s="5" t="s">
        <v>38</v>
      </c>
      <c r="M1319" s="5" t="s">
        <v>37</v>
      </c>
      <c r="N1319" s="5" t="s">
        <v>37</v>
      </c>
      <c r="O1319" s="5" t="s">
        <v>38</v>
      </c>
      <c r="P1319" s="5" t="s">
        <v>39</v>
      </c>
      <c r="Q1319" s="2">
        <v>45964</v>
      </c>
      <c r="V131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0" spans="1:22" hidden="1">
      <c r="A1320" s="2">
        <v>45961</v>
      </c>
      <c r="B1320" s="1" t="s">
        <v>3769</v>
      </c>
      <c r="C1320" s="1" t="s">
        <v>1674</v>
      </c>
      <c r="D1320" s="1" t="s">
        <v>3538</v>
      </c>
      <c r="E1320" s="1">
        <v>85730</v>
      </c>
      <c r="F1320" s="1" t="s">
        <v>3531</v>
      </c>
      <c r="G1320" s="1" t="s">
        <v>3757</v>
      </c>
      <c r="H1320" s="4" t="s">
        <v>27</v>
      </c>
      <c r="V132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1" spans="1:22" hidden="1">
      <c r="A1321" s="2">
        <v>45961</v>
      </c>
      <c r="B1321" s="1" t="s">
        <v>3770</v>
      </c>
      <c r="C1321" s="1" t="s">
        <v>3771</v>
      </c>
      <c r="D1321" s="1" t="s">
        <v>30</v>
      </c>
      <c r="F1321" s="1" t="s">
        <v>3772</v>
      </c>
      <c r="G1321" s="1" t="s">
        <v>3757</v>
      </c>
      <c r="H1321" s="4" t="s">
        <v>27</v>
      </c>
      <c r="V132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2" spans="1:22" hidden="1">
      <c r="A1322" s="2">
        <v>45961</v>
      </c>
      <c r="B1322" s="1" t="s">
        <v>167</v>
      </c>
      <c r="C1322" s="1" t="s">
        <v>503</v>
      </c>
      <c r="D1322" s="1" t="s">
        <v>30</v>
      </c>
      <c r="F1322" s="1" t="s">
        <v>3773</v>
      </c>
      <c r="G1322" s="1" t="s">
        <v>3757</v>
      </c>
      <c r="H1322" s="4" t="s">
        <v>209</v>
      </c>
      <c r="V132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3" spans="1:22" hidden="1">
      <c r="A1323" s="2">
        <v>45961</v>
      </c>
      <c r="B1323" s="1" t="s">
        <v>3774</v>
      </c>
      <c r="C1323" s="1" t="s">
        <v>79</v>
      </c>
      <c r="D1323" s="1" t="s">
        <v>3538</v>
      </c>
      <c r="E1323" s="1">
        <v>85745</v>
      </c>
      <c r="F1323" s="1" t="s">
        <v>3531</v>
      </c>
      <c r="G1323" s="1" t="s">
        <v>3757</v>
      </c>
      <c r="H1323" s="4" t="s">
        <v>27</v>
      </c>
      <c r="V132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4" spans="1:22" hidden="1">
      <c r="A1324" s="2">
        <v>45961</v>
      </c>
      <c r="B1324" s="1" t="s">
        <v>3775</v>
      </c>
      <c r="C1324" s="1" t="s">
        <v>481</v>
      </c>
      <c r="D1324" s="1" t="s">
        <v>698</v>
      </c>
      <c r="E1324" s="1">
        <v>85375</v>
      </c>
      <c r="F1324" s="1" t="s">
        <v>3776</v>
      </c>
      <c r="G1324" s="1" t="s">
        <v>3777</v>
      </c>
      <c r="H1324" s="4" t="s">
        <v>3778</v>
      </c>
      <c r="I1324" s="5" t="s">
        <v>541</v>
      </c>
      <c r="J1324" s="5" t="s">
        <v>37</v>
      </c>
      <c r="K1324" s="5" t="s">
        <v>37</v>
      </c>
      <c r="L1324" s="5" t="s">
        <v>389</v>
      </c>
      <c r="M1324" s="5" t="s">
        <v>37</v>
      </c>
      <c r="N1324" s="5" t="s">
        <v>37</v>
      </c>
      <c r="O1324" s="5" t="s">
        <v>38</v>
      </c>
      <c r="P1324" s="5" t="s">
        <v>39</v>
      </c>
      <c r="Q1324" s="2">
        <v>45964</v>
      </c>
      <c r="R1324" s="1" t="s">
        <v>3779</v>
      </c>
      <c r="V132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5" spans="1:22" hidden="1">
      <c r="A1325" s="2">
        <v>45961</v>
      </c>
      <c r="B1325" s="1" t="s">
        <v>1078</v>
      </c>
      <c r="C1325" s="1" t="s">
        <v>733</v>
      </c>
      <c r="D1325" s="1" t="s">
        <v>24</v>
      </c>
      <c r="E1325" s="1">
        <v>85308</v>
      </c>
      <c r="F1325" s="1" t="s">
        <v>3780</v>
      </c>
      <c r="G1325" s="1" t="s">
        <v>3781</v>
      </c>
      <c r="H1325" s="4" t="s">
        <v>27</v>
      </c>
      <c r="V132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6" spans="1:22" hidden="1">
      <c r="A1326" s="2">
        <v>45961</v>
      </c>
      <c r="B1326" s="1" t="s">
        <v>3782</v>
      </c>
      <c r="C1326" s="1" t="s">
        <v>3783</v>
      </c>
      <c r="D1326" s="1" t="s">
        <v>63</v>
      </c>
      <c r="E1326" s="1">
        <v>85086</v>
      </c>
      <c r="F1326" s="1" t="s">
        <v>3531</v>
      </c>
      <c r="G1326" s="1" t="s">
        <v>3784</v>
      </c>
      <c r="H1326" s="4" t="s">
        <v>27</v>
      </c>
      <c r="V132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7" spans="1:22" hidden="1">
      <c r="A1327" s="2">
        <v>45961</v>
      </c>
      <c r="B1327" s="1" t="s">
        <v>1134</v>
      </c>
      <c r="C1327" s="1" t="s">
        <v>211</v>
      </c>
      <c r="D1327" s="1" t="s">
        <v>169</v>
      </c>
      <c r="E1327" s="1">
        <v>85338</v>
      </c>
      <c r="F1327" s="1" t="s">
        <v>3785</v>
      </c>
      <c r="G1327" s="1" t="s">
        <v>3784</v>
      </c>
      <c r="H1327" s="4" t="s">
        <v>209</v>
      </c>
      <c r="V132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8" spans="1:22" hidden="1">
      <c r="A1328" s="2">
        <v>45961</v>
      </c>
      <c r="B1328" s="1" t="s">
        <v>3786</v>
      </c>
      <c r="C1328" s="1" t="s">
        <v>230</v>
      </c>
      <c r="D1328" s="1" t="s">
        <v>30</v>
      </c>
      <c r="E1328" s="1" t="s">
        <v>30</v>
      </c>
      <c r="F1328" s="1" t="s">
        <v>3787</v>
      </c>
      <c r="G1328" s="1" t="s">
        <v>3784</v>
      </c>
      <c r="H1328" s="4" t="s">
        <v>3788</v>
      </c>
      <c r="I1328" s="5" t="s">
        <v>126</v>
      </c>
      <c r="J1328" s="5" t="s">
        <v>37</v>
      </c>
      <c r="K1328" s="5" t="s">
        <v>37</v>
      </c>
      <c r="L1328" s="5" t="s">
        <v>38</v>
      </c>
      <c r="M1328" s="5" t="s">
        <v>37</v>
      </c>
      <c r="N1328" s="5" t="s">
        <v>37</v>
      </c>
      <c r="O1328" s="5" t="s">
        <v>38</v>
      </c>
      <c r="P1328" s="5" t="s">
        <v>39</v>
      </c>
      <c r="Q1328" s="2">
        <v>45965</v>
      </c>
      <c r="V132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29" spans="1:22" hidden="1">
      <c r="A1329" s="2">
        <v>45961</v>
      </c>
      <c r="B1329" s="1" t="s">
        <v>1765</v>
      </c>
      <c r="C1329" s="1" t="s">
        <v>3789</v>
      </c>
      <c r="D1329" s="1" t="s">
        <v>125</v>
      </c>
      <c r="E1329" s="1">
        <v>85266</v>
      </c>
      <c r="F1329" s="1" t="s">
        <v>3790</v>
      </c>
      <c r="G1329" s="1" t="s">
        <v>3784</v>
      </c>
      <c r="H1329" s="4" t="s">
        <v>27</v>
      </c>
      <c r="V132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0" spans="1:22" hidden="1">
      <c r="A1330" s="2">
        <v>45961</v>
      </c>
      <c r="B1330" s="1" t="s">
        <v>2963</v>
      </c>
      <c r="C1330" s="1" t="s">
        <v>3791</v>
      </c>
      <c r="D1330" s="1" t="s">
        <v>24</v>
      </c>
      <c r="E1330" s="1">
        <v>85310</v>
      </c>
      <c r="F1330" s="1" t="s">
        <v>3531</v>
      </c>
      <c r="G1330" s="1" t="s">
        <v>3792</v>
      </c>
      <c r="H1330" s="4" t="s">
        <v>3793</v>
      </c>
      <c r="I1330" s="5" t="s">
        <v>46</v>
      </c>
      <c r="J1330" s="5" t="s">
        <v>37</v>
      </c>
      <c r="K1330" s="5" t="s">
        <v>37</v>
      </c>
      <c r="L1330" s="5" t="s">
        <v>38</v>
      </c>
      <c r="M1330" s="5" t="s">
        <v>37</v>
      </c>
      <c r="N1330" s="5" t="s">
        <v>37</v>
      </c>
      <c r="O1330" s="5" t="s">
        <v>38</v>
      </c>
      <c r="P1330" s="5" t="s">
        <v>39</v>
      </c>
      <c r="Q1330" s="2">
        <v>45965</v>
      </c>
      <c r="V133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1" spans="1:22" hidden="1">
      <c r="A1331" s="2">
        <v>45964</v>
      </c>
      <c r="B1331" s="1" t="s">
        <v>210</v>
      </c>
      <c r="C1331" s="1" t="s">
        <v>211</v>
      </c>
      <c r="D1331" s="1" t="s">
        <v>85</v>
      </c>
      <c r="E1331" s="1">
        <v>86323</v>
      </c>
      <c r="F1331" s="1" t="s">
        <v>3794</v>
      </c>
      <c r="G1331" s="1" t="s">
        <v>3792</v>
      </c>
      <c r="H1331" s="4" t="s">
        <v>213</v>
      </c>
      <c r="I1331" s="5" t="s">
        <v>73</v>
      </c>
      <c r="J1331" s="5" t="s">
        <v>37</v>
      </c>
      <c r="K1331" s="5" t="s">
        <v>37</v>
      </c>
      <c r="L1331" s="5" t="s">
        <v>38</v>
      </c>
      <c r="M1331" s="5" t="s">
        <v>37</v>
      </c>
      <c r="N1331" s="5" t="s">
        <v>37</v>
      </c>
      <c r="O1331" s="5" t="s">
        <v>38</v>
      </c>
      <c r="P1331" s="5" t="s">
        <v>39</v>
      </c>
      <c r="Q1331" s="2">
        <v>45965</v>
      </c>
      <c r="V133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2" spans="1:22" hidden="1">
      <c r="A1332" s="2">
        <v>45964</v>
      </c>
      <c r="B1332" s="1" t="s">
        <v>3795</v>
      </c>
      <c r="C1332" s="1" t="s">
        <v>3796</v>
      </c>
      <c r="D1332" s="1" t="s">
        <v>30</v>
      </c>
      <c r="E1332" s="1" t="s">
        <v>30</v>
      </c>
      <c r="F1332" s="1" t="s">
        <v>3797</v>
      </c>
      <c r="G1332" s="1" t="s">
        <v>3792</v>
      </c>
      <c r="H1332" s="4" t="s">
        <v>209</v>
      </c>
      <c r="V133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3" spans="1:22" hidden="1">
      <c r="A1333" s="2">
        <v>45961</v>
      </c>
      <c r="B1333" s="1" t="s">
        <v>1776</v>
      </c>
      <c r="C1333" s="1" t="s">
        <v>1079</v>
      </c>
      <c r="D1333" s="1" t="s">
        <v>43</v>
      </c>
      <c r="E1333" s="1">
        <v>85363</v>
      </c>
      <c r="F1333" s="1" t="s">
        <v>3531</v>
      </c>
      <c r="G1333" s="1" t="s">
        <v>3792</v>
      </c>
      <c r="H1333" s="4" t="s">
        <v>3798</v>
      </c>
      <c r="I1333" s="5" t="s">
        <v>196</v>
      </c>
      <c r="J1333" s="5" t="s">
        <v>37</v>
      </c>
      <c r="K1333" s="5" t="s">
        <v>37</v>
      </c>
      <c r="L1333" s="5" t="s">
        <v>3799</v>
      </c>
      <c r="M1333" s="5" t="s">
        <v>38</v>
      </c>
      <c r="N1333" s="15">
        <v>1482.25</v>
      </c>
      <c r="O1333" s="5" t="s">
        <v>38</v>
      </c>
      <c r="P1333" s="7"/>
      <c r="Q1333" s="2">
        <v>45965</v>
      </c>
      <c r="R1333" s="33" t="s">
        <v>3800</v>
      </c>
      <c r="V133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4" spans="1:22" hidden="1">
      <c r="A1334" s="2">
        <v>45962</v>
      </c>
      <c r="B1334" s="1" t="s">
        <v>3801</v>
      </c>
      <c r="C1334" s="1" t="s">
        <v>611</v>
      </c>
      <c r="D1334" s="1" t="s">
        <v>63</v>
      </c>
      <c r="E1334" s="1">
        <v>85029</v>
      </c>
      <c r="F1334" s="1" t="s">
        <v>3802</v>
      </c>
      <c r="G1334" s="1" t="s">
        <v>3792</v>
      </c>
      <c r="H1334" s="4" t="s">
        <v>3803</v>
      </c>
      <c r="I1334" s="5" t="s">
        <v>36</v>
      </c>
      <c r="J1334" s="5" t="s">
        <v>37</v>
      </c>
      <c r="K1334" s="5" t="s">
        <v>37</v>
      </c>
      <c r="L1334" s="5" t="s">
        <v>38</v>
      </c>
      <c r="M1334" s="5" t="s">
        <v>37</v>
      </c>
      <c r="N1334" s="5" t="s">
        <v>37</v>
      </c>
      <c r="O1334" s="5" t="s">
        <v>38</v>
      </c>
      <c r="P1334" s="5" t="s">
        <v>39</v>
      </c>
      <c r="Q1334" s="2">
        <v>45965</v>
      </c>
      <c r="V133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5" spans="1:22" hidden="1">
      <c r="A1335" s="2">
        <v>45963</v>
      </c>
      <c r="B1335" s="1" t="s">
        <v>3804</v>
      </c>
      <c r="C1335" s="1" t="s">
        <v>135</v>
      </c>
      <c r="D1335" s="1" t="s">
        <v>737</v>
      </c>
      <c r="E1335" s="1">
        <v>86326</v>
      </c>
      <c r="F1335" s="1" t="s">
        <v>3805</v>
      </c>
      <c r="G1335" s="1" t="s">
        <v>3792</v>
      </c>
      <c r="H1335" s="4" t="s">
        <v>3806</v>
      </c>
      <c r="I1335" s="5" t="s">
        <v>541</v>
      </c>
      <c r="J1335" s="5" t="s">
        <v>37</v>
      </c>
      <c r="K1335" s="5" t="s">
        <v>37</v>
      </c>
      <c r="L1335" s="5" t="s">
        <v>389</v>
      </c>
      <c r="M1335" s="5" t="s">
        <v>37</v>
      </c>
      <c r="N1335" s="5" t="s">
        <v>37</v>
      </c>
      <c r="O1335" s="5" t="s">
        <v>38</v>
      </c>
      <c r="P1335" s="5" t="s">
        <v>39</v>
      </c>
      <c r="Q1335" s="2">
        <v>45965</v>
      </c>
      <c r="V133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6" spans="1:22" hidden="1">
      <c r="A1336" s="2">
        <v>45965</v>
      </c>
      <c r="B1336" s="1" t="s">
        <v>3807</v>
      </c>
      <c r="C1336" s="1" t="s">
        <v>3808</v>
      </c>
      <c r="D1336" s="1" t="s">
        <v>68</v>
      </c>
      <c r="E1336" s="1">
        <v>85331</v>
      </c>
      <c r="F1336" s="1" t="s">
        <v>3809</v>
      </c>
      <c r="G1336" s="1" t="s">
        <v>3810</v>
      </c>
      <c r="H1336" s="4" t="s">
        <v>3811</v>
      </c>
      <c r="I1336" s="5" t="s">
        <v>36</v>
      </c>
      <c r="J1336" s="5" t="s">
        <v>37</v>
      </c>
      <c r="K1336" s="5" t="s">
        <v>37</v>
      </c>
      <c r="L1336" s="5" t="s">
        <v>38</v>
      </c>
      <c r="M1336" s="5" t="s">
        <v>37</v>
      </c>
      <c r="N1336" s="5" t="s">
        <v>37</v>
      </c>
      <c r="O1336" s="5" t="s">
        <v>38</v>
      </c>
      <c r="P1336" s="5" t="s">
        <v>39</v>
      </c>
      <c r="Q1336" s="2">
        <v>45966</v>
      </c>
      <c r="V133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7" spans="1:22" hidden="1">
      <c r="A1337" s="2">
        <v>45906</v>
      </c>
      <c r="B1337" s="1" t="s">
        <v>2484</v>
      </c>
      <c r="C1337" s="1" t="s">
        <v>320</v>
      </c>
      <c r="D1337" s="1" t="s">
        <v>504</v>
      </c>
      <c r="E1337" s="1">
        <v>86005</v>
      </c>
      <c r="F1337" s="1" t="s">
        <v>3756</v>
      </c>
      <c r="G1337" s="1" t="s">
        <v>3810</v>
      </c>
      <c r="H1337" s="4" t="s">
        <v>3812</v>
      </c>
      <c r="I1337" s="5" t="s">
        <v>1684</v>
      </c>
      <c r="J1337" s="5" t="s">
        <v>37</v>
      </c>
      <c r="K1337" s="5" t="s">
        <v>37</v>
      </c>
      <c r="L1337" s="7" t="s">
        <v>3813</v>
      </c>
      <c r="M1337" s="5" t="s">
        <v>37</v>
      </c>
      <c r="N1337" s="5" t="s">
        <v>37</v>
      </c>
      <c r="O1337" s="5" t="s">
        <v>38</v>
      </c>
      <c r="P1337" s="2">
        <v>45971</v>
      </c>
      <c r="Q1337" s="2">
        <v>45966</v>
      </c>
      <c r="R1337" s="1" t="s">
        <v>3814</v>
      </c>
      <c r="V133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8" spans="1:22" hidden="1">
      <c r="A1338" s="2">
        <v>45964</v>
      </c>
      <c r="B1338" s="1" t="s">
        <v>3815</v>
      </c>
      <c r="C1338" s="1" t="s">
        <v>133</v>
      </c>
      <c r="D1338" s="1" t="s">
        <v>125</v>
      </c>
      <c r="E1338" s="1">
        <v>85255</v>
      </c>
      <c r="F1338" s="1" t="s">
        <v>3816</v>
      </c>
      <c r="G1338" s="1" t="s">
        <v>3817</v>
      </c>
      <c r="H1338" s="4" t="s">
        <v>3818</v>
      </c>
      <c r="I1338" s="5" t="s">
        <v>196</v>
      </c>
      <c r="J1338" s="5" t="s">
        <v>37</v>
      </c>
      <c r="K1338" s="5" t="s">
        <v>37</v>
      </c>
      <c r="L1338" s="7" t="s">
        <v>3819</v>
      </c>
      <c r="M1338" s="5" t="s">
        <v>37</v>
      </c>
      <c r="N1338" s="5" t="s">
        <v>37</v>
      </c>
      <c r="O1338" s="5" t="s">
        <v>38</v>
      </c>
      <c r="P1338" s="2">
        <v>45971</v>
      </c>
      <c r="Q1338" s="2">
        <v>45966</v>
      </c>
      <c r="R1338" s="1" t="s">
        <v>3820</v>
      </c>
      <c r="V133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39" spans="1:22" hidden="1">
      <c r="A1339" s="2">
        <v>45966</v>
      </c>
      <c r="B1339" s="1" t="s">
        <v>3821</v>
      </c>
      <c r="C1339" s="1" t="s">
        <v>784</v>
      </c>
      <c r="D1339" s="1" t="s">
        <v>63</v>
      </c>
      <c r="E1339" s="1">
        <v>85022</v>
      </c>
      <c r="F1339" s="1" t="s">
        <v>3822</v>
      </c>
      <c r="G1339" s="1" t="s">
        <v>3823</v>
      </c>
      <c r="H1339" s="4" t="s">
        <v>3824</v>
      </c>
      <c r="I1339" s="5" t="s">
        <v>196</v>
      </c>
      <c r="J1339" s="5" t="s">
        <v>37</v>
      </c>
      <c r="K1339" s="5" t="s">
        <v>37</v>
      </c>
      <c r="L1339" s="5" t="s">
        <v>3825</v>
      </c>
      <c r="M1339" s="5" t="s">
        <v>38</v>
      </c>
      <c r="N1339" s="13">
        <v>99.98</v>
      </c>
      <c r="O1339" s="5" t="s">
        <v>38</v>
      </c>
      <c r="P1339" s="5" t="s">
        <v>39</v>
      </c>
      <c r="Q1339" s="2">
        <v>45967</v>
      </c>
      <c r="R1339" s="1" t="s">
        <v>3826</v>
      </c>
      <c r="V133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0" spans="1:22" hidden="1">
      <c r="A1340" s="2">
        <v>45966</v>
      </c>
      <c r="B1340" s="1" t="s">
        <v>3827</v>
      </c>
      <c r="C1340" s="1" t="s">
        <v>135</v>
      </c>
      <c r="D1340" s="1" t="s">
        <v>63</v>
      </c>
      <c r="E1340" s="1">
        <v>85255</v>
      </c>
      <c r="F1340" s="1" t="s">
        <v>3828</v>
      </c>
      <c r="G1340" s="1" t="s">
        <v>3823</v>
      </c>
      <c r="H1340" s="4" t="s">
        <v>27</v>
      </c>
      <c r="V134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1" spans="1:22" hidden="1">
      <c r="A1341" s="2">
        <v>45966</v>
      </c>
      <c r="B1341" s="1" t="s">
        <v>3829</v>
      </c>
      <c r="C1341" s="1" t="s">
        <v>3830</v>
      </c>
      <c r="D1341" s="1" t="s">
        <v>174</v>
      </c>
      <c r="E1341" s="1">
        <v>85326</v>
      </c>
      <c r="F1341" s="1" t="s">
        <v>3831</v>
      </c>
      <c r="G1341" s="1" t="s">
        <v>3823</v>
      </c>
      <c r="H1341" s="4" t="s">
        <v>3832</v>
      </c>
      <c r="I1341" s="5" t="s">
        <v>36</v>
      </c>
      <c r="J1341" s="5" t="s">
        <v>37</v>
      </c>
      <c r="K1341" s="5" t="s">
        <v>37</v>
      </c>
      <c r="L1341" s="5" t="s">
        <v>38</v>
      </c>
      <c r="M1341" s="5" t="s">
        <v>38</v>
      </c>
      <c r="N1341" s="15">
        <v>1209</v>
      </c>
      <c r="O1341" s="5" t="s">
        <v>38</v>
      </c>
      <c r="P1341" s="7"/>
      <c r="Q1341" s="2">
        <v>45967</v>
      </c>
      <c r="R1341" s="1" t="s">
        <v>495</v>
      </c>
      <c r="V134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2" spans="1:22" hidden="1">
      <c r="A1342" s="2">
        <v>45951</v>
      </c>
      <c r="B1342" s="1" t="s">
        <v>3833</v>
      </c>
      <c r="C1342" s="1" t="s">
        <v>179</v>
      </c>
      <c r="D1342" s="1" t="s">
        <v>698</v>
      </c>
      <c r="E1342" s="1">
        <v>85375</v>
      </c>
      <c r="F1342" s="1" t="s">
        <v>3834</v>
      </c>
      <c r="G1342" s="1" t="s">
        <v>3835</v>
      </c>
      <c r="H1342" s="4" t="s">
        <v>90</v>
      </c>
      <c r="V134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3" spans="1:22" hidden="1">
      <c r="A1343" s="2">
        <v>45967</v>
      </c>
      <c r="B1343" s="1" t="s">
        <v>3836</v>
      </c>
      <c r="C1343" s="1" t="s">
        <v>3837</v>
      </c>
      <c r="D1343" s="1" t="s">
        <v>3838</v>
      </c>
      <c r="E1343" s="1">
        <v>85354</v>
      </c>
      <c r="F1343" s="1" t="s">
        <v>3839</v>
      </c>
      <c r="G1343" s="1" t="s">
        <v>3840</v>
      </c>
      <c r="H1343" s="4" t="s">
        <v>3841</v>
      </c>
      <c r="I1343" s="5" t="s">
        <v>36</v>
      </c>
      <c r="J1343" s="5" t="s">
        <v>37</v>
      </c>
      <c r="K1343" s="5" t="s">
        <v>37</v>
      </c>
      <c r="L1343" s="5" t="s">
        <v>38</v>
      </c>
      <c r="M1343" s="5" t="s">
        <v>38</v>
      </c>
      <c r="N1343" s="13">
        <v>347.99</v>
      </c>
      <c r="O1343" s="5" t="s">
        <v>38</v>
      </c>
      <c r="P1343" s="5" t="s">
        <v>39</v>
      </c>
      <c r="Q1343" s="2">
        <v>45968</v>
      </c>
      <c r="V134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4" spans="1:22" hidden="1">
      <c r="A1344" s="2">
        <v>45967</v>
      </c>
      <c r="B1344" s="1" t="s">
        <v>3842</v>
      </c>
      <c r="C1344" s="1" t="s">
        <v>3843</v>
      </c>
      <c r="D1344" s="1" t="s">
        <v>3538</v>
      </c>
      <c r="E1344" s="1">
        <v>85743</v>
      </c>
      <c r="F1344" s="1" t="s">
        <v>3844</v>
      </c>
      <c r="G1344" s="1" t="s">
        <v>3840</v>
      </c>
      <c r="V134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5" spans="1:22" hidden="1">
      <c r="A1345" s="2">
        <v>45967</v>
      </c>
      <c r="B1345" s="1" t="s">
        <v>3845</v>
      </c>
      <c r="C1345" s="1" t="s">
        <v>3846</v>
      </c>
      <c r="D1345" s="1" t="s">
        <v>24</v>
      </c>
      <c r="E1345" s="1">
        <v>85308</v>
      </c>
      <c r="F1345" s="1" t="s">
        <v>3847</v>
      </c>
      <c r="G1345" s="1" t="s">
        <v>3840</v>
      </c>
      <c r="H1345" s="4" t="s">
        <v>3848</v>
      </c>
      <c r="I1345" s="5" t="s">
        <v>36</v>
      </c>
      <c r="J1345" s="5" t="s">
        <v>37</v>
      </c>
      <c r="K1345" s="5" t="s">
        <v>37</v>
      </c>
      <c r="L1345" s="5" t="s">
        <v>38</v>
      </c>
      <c r="M1345" s="5" t="s">
        <v>37</v>
      </c>
      <c r="N1345" s="5" t="s">
        <v>37</v>
      </c>
      <c r="O1345" s="5" t="s">
        <v>38</v>
      </c>
      <c r="P1345" s="5" t="s">
        <v>39</v>
      </c>
      <c r="Q1345" s="2">
        <v>45968</v>
      </c>
      <c r="V134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6" spans="1:22" hidden="1">
      <c r="A1346" s="2">
        <v>45967</v>
      </c>
      <c r="B1346" s="1" t="s">
        <v>3849</v>
      </c>
      <c r="C1346" s="1" t="s">
        <v>3850</v>
      </c>
      <c r="D1346" s="1" t="s">
        <v>30</v>
      </c>
      <c r="E1346" s="1" t="s">
        <v>30</v>
      </c>
      <c r="F1346" s="1" t="s">
        <v>3531</v>
      </c>
      <c r="G1346" s="1" t="s">
        <v>3851</v>
      </c>
      <c r="H1346" s="4" t="s">
        <v>27</v>
      </c>
      <c r="R1346" s="1" t="s">
        <v>3497</v>
      </c>
      <c r="V134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7" spans="1:22" hidden="1">
      <c r="A1347" s="2">
        <v>45967</v>
      </c>
      <c r="B1347" s="1" t="s">
        <v>3852</v>
      </c>
      <c r="C1347" s="1" t="s">
        <v>373</v>
      </c>
      <c r="D1347" s="1" t="s">
        <v>30</v>
      </c>
      <c r="E1347" s="1" t="s">
        <v>30</v>
      </c>
      <c r="F1347" s="1" t="s">
        <v>3853</v>
      </c>
      <c r="G1347" s="1" t="s">
        <v>3851</v>
      </c>
      <c r="H1347" s="4" t="s">
        <v>27</v>
      </c>
      <c r="R1347" s="1" t="s">
        <v>3497</v>
      </c>
      <c r="V134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8" spans="1:22" hidden="1">
      <c r="A1348" s="2">
        <v>45967</v>
      </c>
      <c r="B1348" s="1" t="s">
        <v>3854</v>
      </c>
      <c r="C1348" s="1" t="s">
        <v>3098</v>
      </c>
      <c r="D1348" s="1" t="s">
        <v>63</v>
      </c>
      <c r="E1348" s="1">
        <v>850027</v>
      </c>
      <c r="F1348" s="1" t="s">
        <v>3855</v>
      </c>
      <c r="G1348" s="1" t="s">
        <v>3851</v>
      </c>
      <c r="H1348" s="4" t="s">
        <v>3856</v>
      </c>
      <c r="I1348" s="5" t="s">
        <v>196</v>
      </c>
      <c r="J1348" s="5" t="s">
        <v>37</v>
      </c>
      <c r="K1348" s="5" t="s">
        <v>37</v>
      </c>
      <c r="L1348" s="5" t="s">
        <v>38</v>
      </c>
      <c r="M1348" s="5" t="s">
        <v>38</v>
      </c>
      <c r="N1348" s="15">
        <v>933.92</v>
      </c>
      <c r="O1348" s="5" t="s">
        <v>38</v>
      </c>
      <c r="P1348" s="7"/>
      <c r="Q1348" s="2">
        <v>45968</v>
      </c>
      <c r="R1348" s="1" t="s">
        <v>3857</v>
      </c>
      <c r="V134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49" spans="1:22" hidden="1">
      <c r="A1349" s="2">
        <v>45967</v>
      </c>
      <c r="B1349" s="1" t="s">
        <v>3858</v>
      </c>
      <c r="C1349" s="1" t="s">
        <v>3859</v>
      </c>
      <c r="D1349" s="1" t="s">
        <v>30</v>
      </c>
      <c r="E1349" s="1" t="s">
        <v>30</v>
      </c>
      <c r="F1349" s="1" t="s">
        <v>3860</v>
      </c>
      <c r="G1349" s="1" t="s">
        <v>3851</v>
      </c>
      <c r="H1349" s="4" t="s">
        <v>27</v>
      </c>
      <c r="R1349" s="1" t="s">
        <v>3497</v>
      </c>
      <c r="V134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0" spans="1:22" hidden="1">
      <c r="A1350" s="2">
        <v>45967</v>
      </c>
      <c r="B1350" s="1" t="s">
        <v>3861</v>
      </c>
      <c r="C1350" s="1" t="s">
        <v>1149</v>
      </c>
      <c r="D1350" s="1" t="s">
        <v>30</v>
      </c>
      <c r="E1350" s="1" t="s">
        <v>30</v>
      </c>
      <c r="F1350" s="1" t="s">
        <v>3862</v>
      </c>
      <c r="G1350" s="1" t="s">
        <v>3851</v>
      </c>
      <c r="H1350" s="4" t="s">
        <v>90</v>
      </c>
      <c r="R1350" s="1" t="s">
        <v>3497</v>
      </c>
      <c r="V135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1" spans="1:22" hidden="1">
      <c r="A1351" s="2">
        <v>45967</v>
      </c>
      <c r="B1351" s="1" t="s">
        <v>3863</v>
      </c>
      <c r="C1351" s="1" t="s">
        <v>3687</v>
      </c>
      <c r="D1351" s="1" t="s">
        <v>30</v>
      </c>
      <c r="E1351" s="1" t="s">
        <v>30</v>
      </c>
      <c r="F1351" s="1" t="s">
        <v>3862</v>
      </c>
      <c r="G1351" s="1" t="s">
        <v>3851</v>
      </c>
      <c r="H1351" s="4" t="s">
        <v>90</v>
      </c>
      <c r="R1351" s="1" t="s">
        <v>3497</v>
      </c>
      <c r="V135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2" spans="1:22" hidden="1">
      <c r="A1352" s="2">
        <v>45967</v>
      </c>
      <c r="B1352" s="1" t="s">
        <v>704</v>
      </c>
      <c r="C1352" s="1" t="s">
        <v>3864</v>
      </c>
      <c r="D1352" s="1" t="s">
        <v>63</v>
      </c>
      <c r="E1352" s="1">
        <v>85012</v>
      </c>
      <c r="F1352" s="1" t="s">
        <v>3865</v>
      </c>
      <c r="G1352" s="1" t="s">
        <v>3851</v>
      </c>
      <c r="H1352" s="4" t="s">
        <v>3866</v>
      </c>
      <c r="I1352" s="5" t="s">
        <v>126</v>
      </c>
      <c r="J1352" s="5" t="s">
        <v>37</v>
      </c>
      <c r="K1352" s="5" t="s">
        <v>37</v>
      </c>
      <c r="L1352" s="5" t="s">
        <v>38</v>
      </c>
      <c r="M1352" s="5" t="s">
        <v>37</v>
      </c>
      <c r="N1352" s="5" t="s">
        <v>37</v>
      </c>
      <c r="O1352" s="5" t="s">
        <v>38</v>
      </c>
      <c r="P1352" s="5" t="s">
        <v>39</v>
      </c>
      <c r="Q1352" s="2">
        <v>45968</v>
      </c>
      <c r="R1352" s="1" t="s">
        <v>3497</v>
      </c>
      <c r="V135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3" spans="1:22" hidden="1">
      <c r="A1353" s="34">
        <v>45974</v>
      </c>
      <c r="B1353" s="35" t="s">
        <v>3867</v>
      </c>
      <c r="C1353" s="35" t="s">
        <v>3868</v>
      </c>
      <c r="D1353" s="35" t="s">
        <v>112</v>
      </c>
      <c r="E1353" s="35">
        <v>85374</v>
      </c>
      <c r="F1353" s="35" t="s">
        <v>3869</v>
      </c>
      <c r="G1353" s="36" t="s">
        <v>3870</v>
      </c>
      <c r="H1353" s="19">
        <v>8914685192</v>
      </c>
      <c r="I1353" s="19" t="s">
        <v>126</v>
      </c>
      <c r="J1353" s="19" t="s">
        <v>37</v>
      </c>
      <c r="K1353" s="19" t="s">
        <v>37</v>
      </c>
      <c r="L1353" s="19" t="s">
        <v>38</v>
      </c>
      <c r="M1353" s="19" t="s">
        <v>37</v>
      </c>
      <c r="N1353" s="19" t="s">
        <v>37</v>
      </c>
      <c r="O1353" s="19" t="s">
        <v>38</v>
      </c>
      <c r="P1353" s="19" t="s">
        <v>39</v>
      </c>
      <c r="Q1353" s="34">
        <v>45978</v>
      </c>
      <c r="R1353" s="35"/>
      <c r="S1353" s="35"/>
      <c r="T1353" s="35"/>
      <c r="U1353" s="35"/>
      <c r="V135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4" spans="1:22" hidden="1">
      <c r="A1354" s="34">
        <v>45980</v>
      </c>
      <c r="B1354" s="35" t="s">
        <v>3871</v>
      </c>
      <c r="C1354" s="35" t="s">
        <v>399</v>
      </c>
      <c r="D1354" s="35" t="s">
        <v>125</v>
      </c>
      <c r="E1354" s="35">
        <v>85262</v>
      </c>
      <c r="F1354" s="35" t="s">
        <v>3872</v>
      </c>
      <c r="G1354" s="36" t="s">
        <v>3873</v>
      </c>
      <c r="H1354" s="19">
        <v>8798080598</v>
      </c>
      <c r="I1354" s="19" t="s">
        <v>36</v>
      </c>
      <c r="J1354" s="19" t="s">
        <v>37</v>
      </c>
      <c r="K1354" s="19" t="s">
        <v>37</v>
      </c>
      <c r="L1354" s="19" t="s">
        <v>38</v>
      </c>
      <c r="M1354" s="19" t="s">
        <v>37</v>
      </c>
      <c r="N1354" s="19" t="s">
        <v>37</v>
      </c>
      <c r="O1354" s="19" t="s">
        <v>38</v>
      </c>
      <c r="P1354" s="19" t="s">
        <v>39</v>
      </c>
      <c r="Q1354" s="34">
        <v>45981</v>
      </c>
      <c r="R1354" s="35"/>
      <c r="S1354" s="35"/>
      <c r="T1354" s="35"/>
      <c r="U1354" s="35"/>
      <c r="V135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5" spans="1:22" hidden="1">
      <c r="A1355" s="37">
        <v>45980</v>
      </c>
      <c r="B1355" s="38" t="s">
        <v>3874</v>
      </c>
      <c r="C1355" s="38" t="s">
        <v>3875</v>
      </c>
      <c r="D1355" s="38" t="s">
        <v>125</v>
      </c>
      <c r="E1355" s="38">
        <v>85255</v>
      </c>
      <c r="F1355" s="38" t="s">
        <v>3876</v>
      </c>
      <c r="G1355" s="38" t="s">
        <v>3877</v>
      </c>
      <c r="H1355" s="39">
        <v>1678080000</v>
      </c>
      <c r="I1355" s="39" t="s">
        <v>36</v>
      </c>
      <c r="J1355" s="39" t="s">
        <v>37</v>
      </c>
      <c r="K1355" s="39" t="s">
        <v>37</v>
      </c>
      <c r="L1355" s="39" t="s">
        <v>3878</v>
      </c>
      <c r="M1355" s="39" t="s">
        <v>37</v>
      </c>
      <c r="N1355" s="39" t="s">
        <v>37</v>
      </c>
      <c r="O1355" s="39" t="s">
        <v>38</v>
      </c>
      <c r="P1355" s="39" t="s">
        <v>39</v>
      </c>
      <c r="Q1355" s="37">
        <v>45985</v>
      </c>
      <c r="R1355" s="35"/>
      <c r="S1355" s="35"/>
      <c r="T1355" s="35"/>
      <c r="U1355" s="35"/>
      <c r="V135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6" spans="1:22" hidden="1">
      <c r="A1356" s="37">
        <v>45982</v>
      </c>
      <c r="B1356" s="38" t="s">
        <v>3879</v>
      </c>
      <c r="C1356" s="38" t="s">
        <v>3880</v>
      </c>
      <c r="D1356" s="38" t="s">
        <v>816</v>
      </c>
      <c r="E1356" s="38">
        <v>86301</v>
      </c>
      <c r="F1356" s="38" t="s">
        <v>3881</v>
      </c>
      <c r="G1356" s="38" t="s">
        <v>3882</v>
      </c>
      <c r="H1356" s="39">
        <v>5936601000</v>
      </c>
      <c r="I1356" s="39" t="s">
        <v>46</v>
      </c>
      <c r="J1356" s="39" t="s">
        <v>37</v>
      </c>
      <c r="K1356" s="39" t="s">
        <v>37</v>
      </c>
      <c r="L1356" s="39" t="s">
        <v>38</v>
      </c>
      <c r="M1356" s="39" t="s">
        <v>37</v>
      </c>
      <c r="N1356" s="39" t="s">
        <v>37</v>
      </c>
      <c r="O1356" s="39" t="s">
        <v>38</v>
      </c>
      <c r="P1356" s="39" t="s">
        <v>39</v>
      </c>
      <c r="Q1356" s="37">
        <v>45985</v>
      </c>
      <c r="R1356" s="35"/>
      <c r="S1356" s="35"/>
      <c r="T1356" s="35"/>
      <c r="U1356" s="35"/>
      <c r="V135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7" spans="1:22" hidden="1">
      <c r="A1357" s="37">
        <v>45982</v>
      </c>
      <c r="B1357" s="38" t="s">
        <v>3883</v>
      </c>
      <c r="C1357" s="38" t="s">
        <v>3884</v>
      </c>
      <c r="D1357" s="38" t="s">
        <v>129</v>
      </c>
      <c r="E1357" s="38">
        <v>85233</v>
      </c>
      <c r="F1357" s="38" t="s">
        <v>3885</v>
      </c>
      <c r="G1357" s="38" t="s">
        <v>3886</v>
      </c>
      <c r="H1357" s="39">
        <v>5931221000</v>
      </c>
      <c r="I1357" s="39" t="s">
        <v>3887</v>
      </c>
      <c r="J1357" s="39" t="s">
        <v>37</v>
      </c>
      <c r="K1357" s="39" t="s">
        <v>37</v>
      </c>
      <c r="L1357" s="39" t="s">
        <v>389</v>
      </c>
      <c r="M1357" s="39" t="s">
        <v>37</v>
      </c>
      <c r="N1357" s="39" t="s">
        <v>37</v>
      </c>
      <c r="O1357" s="39" t="s">
        <v>38</v>
      </c>
      <c r="P1357" s="39" t="s">
        <v>39</v>
      </c>
      <c r="Q1357" s="37">
        <v>45985</v>
      </c>
      <c r="R1357" s="35" t="s">
        <v>2873</v>
      </c>
      <c r="S1357" s="35"/>
      <c r="T1357" s="35"/>
      <c r="U1357" s="35"/>
      <c r="V135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8" spans="1:22" hidden="1">
      <c r="A1358" s="37">
        <v>45985</v>
      </c>
      <c r="B1358" s="38" t="s">
        <v>208</v>
      </c>
      <c r="C1358" s="38" t="s">
        <v>3888</v>
      </c>
      <c r="D1358" s="38" t="s">
        <v>428</v>
      </c>
      <c r="E1358" s="38">
        <v>85335</v>
      </c>
      <c r="F1358" s="38" t="s">
        <v>3889</v>
      </c>
      <c r="G1358" s="38" t="s">
        <v>3890</v>
      </c>
      <c r="H1358" s="39">
        <v>3470156203</v>
      </c>
      <c r="I1358" s="39" t="s">
        <v>126</v>
      </c>
      <c r="J1358" s="39" t="s">
        <v>38</v>
      </c>
      <c r="K1358" s="39" t="s">
        <v>37</v>
      </c>
      <c r="L1358" s="39" t="s">
        <v>3891</v>
      </c>
      <c r="M1358" s="39" t="s">
        <v>37</v>
      </c>
      <c r="N1358" s="39" t="s">
        <v>37</v>
      </c>
      <c r="O1358" s="39" t="s">
        <v>38</v>
      </c>
      <c r="P1358" s="39" t="s">
        <v>39</v>
      </c>
      <c r="Q1358" s="37">
        <v>45993</v>
      </c>
      <c r="R1358" s="35" t="s">
        <v>3892</v>
      </c>
      <c r="S1358" s="35"/>
      <c r="T1358" s="35"/>
      <c r="U1358" s="35"/>
      <c r="V135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59" spans="1:22" hidden="1">
      <c r="A1359" s="37">
        <v>45985</v>
      </c>
      <c r="B1359" s="38" t="s">
        <v>3893</v>
      </c>
      <c r="C1359" s="38" t="s">
        <v>3894</v>
      </c>
      <c r="D1359" s="38" t="s">
        <v>174</v>
      </c>
      <c r="E1359" s="38">
        <v>85326</v>
      </c>
      <c r="F1359" s="38" t="s">
        <v>3895</v>
      </c>
      <c r="G1359" s="38" t="s">
        <v>3896</v>
      </c>
      <c r="H1359" s="39" t="s">
        <v>27</v>
      </c>
      <c r="I1359" s="39"/>
      <c r="J1359" s="39"/>
      <c r="K1359" s="39"/>
      <c r="L1359" s="39"/>
      <c r="M1359" s="39"/>
      <c r="N1359" s="39"/>
      <c r="O1359" s="39"/>
      <c r="P1359" s="39"/>
      <c r="Q1359" s="39"/>
      <c r="R1359" s="35"/>
      <c r="S1359" s="35"/>
      <c r="T1359" s="35"/>
      <c r="U1359" s="35"/>
      <c r="V135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0" spans="1:22" hidden="1">
      <c r="A1360" s="37">
        <v>45986</v>
      </c>
      <c r="B1360" s="38" t="s">
        <v>3897</v>
      </c>
      <c r="C1360" s="38" t="s">
        <v>3898</v>
      </c>
      <c r="D1360" s="38" t="s">
        <v>1302</v>
      </c>
      <c r="E1360" s="38">
        <v>85390</v>
      </c>
      <c r="F1360" s="38" t="s">
        <v>3899</v>
      </c>
      <c r="G1360" s="38" t="s">
        <v>3900</v>
      </c>
      <c r="H1360" s="39">
        <v>7004974298</v>
      </c>
      <c r="I1360" s="39" t="s">
        <v>196</v>
      </c>
      <c r="J1360" s="39" t="s">
        <v>37</v>
      </c>
      <c r="K1360" s="39" t="s">
        <v>37</v>
      </c>
      <c r="L1360" s="39" t="s">
        <v>3901</v>
      </c>
      <c r="M1360" s="39" t="s">
        <v>37</v>
      </c>
      <c r="N1360" s="39" t="s">
        <v>37</v>
      </c>
      <c r="O1360" s="39" t="s">
        <v>38</v>
      </c>
      <c r="P1360" s="39" t="s">
        <v>39</v>
      </c>
      <c r="Q1360" s="37">
        <v>45993</v>
      </c>
      <c r="R1360" s="35"/>
      <c r="S1360" s="35"/>
      <c r="T1360" s="35"/>
      <c r="U1360" s="35"/>
      <c r="V136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1" spans="1:22" hidden="1">
      <c r="A1361" s="37">
        <v>45986</v>
      </c>
      <c r="B1361" s="38" t="s">
        <v>3766</v>
      </c>
      <c r="C1361" s="38" t="s">
        <v>3465</v>
      </c>
      <c r="D1361" s="38" t="s">
        <v>169</v>
      </c>
      <c r="E1361" s="38">
        <v>85395</v>
      </c>
      <c r="F1361" s="38" t="s">
        <v>3902</v>
      </c>
      <c r="G1361" s="38" t="s">
        <v>3900</v>
      </c>
      <c r="H1361" s="39">
        <v>2057731000</v>
      </c>
      <c r="I1361" s="39" t="s">
        <v>36</v>
      </c>
      <c r="J1361" s="39" t="s">
        <v>37</v>
      </c>
      <c r="K1361" s="39" t="s">
        <v>37</v>
      </c>
      <c r="L1361" s="39" t="s">
        <v>38</v>
      </c>
      <c r="M1361" s="39" t="s">
        <v>37</v>
      </c>
      <c r="N1361" s="39" t="s">
        <v>37</v>
      </c>
      <c r="O1361" s="39" t="s">
        <v>38</v>
      </c>
      <c r="P1361" s="39" t="s">
        <v>39</v>
      </c>
      <c r="Q1361" s="37">
        <v>45993</v>
      </c>
      <c r="R1361" s="35"/>
      <c r="S1361" s="35"/>
      <c r="T1361" s="35"/>
      <c r="U1361" s="35"/>
      <c r="V136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2" spans="1:22" hidden="1">
      <c r="A1362" s="37">
        <v>45986</v>
      </c>
      <c r="B1362" s="38" t="s">
        <v>3903</v>
      </c>
      <c r="C1362" s="38" t="s">
        <v>3904</v>
      </c>
      <c r="D1362" s="38" t="s">
        <v>202</v>
      </c>
      <c r="E1362" s="38">
        <v>85382</v>
      </c>
      <c r="F1362" s="38" t="s">
        <v>3905</v>
      </c>
      <c r="G1362" s="38" t="s">
        <v>3900</v>
      </c>
      <c r="H1362" s="39">
        <v>5909528621</v>
      </c>
      <c r="I1362" s="39" t="s">
        <v>3906</v>
      </c>
      <c r="J1362" s="39" t="s">
        <v>37</v>
      </c>
      <c r="K1362" s="39" t="s">
        <v>37</v>
      </c>
      <c r="L1362" s="39" t="s">
        <v>38</v>
      </c>
      <c r="M1362" s="39" t="s">
        <v>37</v>
      </c>
      <c r="N1362" s="39" t="s">
        <v>37</v>
      </c>
      <c r="O1362" s="39" t="s">
        <v>38</v>
      </c>
      <c r="P1362" s="39" t="s">
        <v>39</v>
      </c>
      <c r="Q1362" s="37">
        <v>45993</v>
      </c>
      <c r="R1362" s="35"/>
      <c r="S1362" s="35"/>
      <c r="T1362" s="35"/>
      <c r="U1362" s="35"/>
      <c r="V136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3" spans="1:22" hidden="1">
      <c r="A1363" s="37">
        <v>45987</v>
      </c>
      <c r="B1363" s="38" t="s">
        <v>3907</v>
      </c>
      <c r="C1363" s="38" t="s">
        <v>3907</v>
      </c>
      <c r="D1363" s="38"/>
      <c r="E1363" s="38">
        <v>85285</v>
      </c>
      <c r="F1363" s="38" t="s">
        <v>3908</v>
      </c>
      <c r="G1363" s="38" t="s">
        <v>3909</v>
      </c>
      <c r="H1363" s="39" t="s">
        <v>27</v>
      </c>
      <c r="I1363" s="39"/>
      <c r="J1363" s="39"/>
      <c r="K1363" s="39"/>
      <c r="L1363" s="39"/>
      <c r="M1363" s="39"/>
      <c r="N1363" s="39"/>
      <c r="O1363" s="39"/>
      <c r="P1363" s="39"/>
      <c r="Q1363" s="39"/>
      <c r="R1363" s="35"/>
      <c r="S1363" s="35"/>
      <c r="T1363" s="35"/>
      <c r="U1363" s="35"/>
      <c r="V136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4" spans="1:22" hidden="1">
      <c r="A1364" s="37">
        <v>45987</v>
      </c>
      <c r="B1364" s="38" t="s">
        <v>431</v>
      </c>
      <c r="C1364" s="38" t="s">
        <v>3910</v>
      </c>
      <c r="D1364" s="38" t="s">
        <v>112</v>
      </c>
      <c r="E1364" s="38">
        <v>85388</v>
      </c>
      <c r="F1364" s="38" t="s">
        <v>3911</v>
      </c>
      <c r="G1364" s="38" t="s">
        <v>3909</v>
      </c>
      <c r="H1364" s="39" t="s">
        <v>90</v>
      </c>
      <c r="I1364" s="39"/>
      <c r="J1364" s="39"/>
      <c r="K1364" s="39"/>
      <c r="L1364" s="39"/>
      <c r="M1364" s="39"/>
      <c r="N1364" s="39"/>
      <c r="O1364" s="39"/>
      <c r="P1364" s="39"/>
      <c r="Q1364" s="39"/>
      <c r="R1364" s="35"/>
      <c r="S1364" s="35"/>
      <c r="T1364" s="35"/>
      <c r="U1364" s="35"/>
      <c r="V136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5" spans="1:22" hidden="1">
      <c r="A1365" s="37">
        <v>45987</v>
      </c>
      <c r="B1365" s="38" t="s">
        <v>3912</v>
      </c>
      <c r="C1365" s="38" t="s">
        <v>427</v>
      </c>
      <c r="D1365" s="38" t="s">
        <v>93</v>
      </c>
      <c r="E1365" s="38">
        <v>85351</v>
      </c>
      <c r="F1365" s="38" t="s">
        <v>812</v>
      </c>
      <c r="G1365" s="38" t="s">
        <v>3909</v>
      </c>
      <c r="H1365" s="39">
        <v>5503296768</v>
      </c>
      <c r="I1365" s="39" t="s">
        <v>36</v>
      </c>
      <c r="J1365" s="39" t="s">
        <v>37</v>
      </c>
      <c r="K1365" s="39" t="s">
        <v>37</v>
      </c>
      <c r="L1365" s="39" t="s">
        <v>38</v>
      </c>
      <c r="M1365" s="39" t="s">
        <v>37</v>
      </c>
      <c r="N1365" s="39" t="s">
        <v>37</v>
      </c>
      <c r="O1365" s="39" t="s">
        <v>38</v>
      </c>
      <c r="P1365" s="39" t="s">
        <v>39</v>
      </c>
      <c r="Q1365" s="37">
        <v>45993</v>
      </c>
      <c r="R1365" s="35"/>
      <c r="S1365" s="35"/>
      <c r="T1365" s="35"/>
      <c r="U1365" s="35"/>
      <c r="V136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6" spans="1:22" hidden="1">
      <c r="A1366" s="37">
        <v>45987</v>
      </c>
      <c r="B1366" s="38" t="s">
        <v>3913</v>
      </c>
      <c r="C1366" s="38" t="s">
        <v>230</v>
      </c>
      <c r="D1366" s="38" t="s">
        <v>169</v>
      </c>
      <c r="E1366" s="38">
        <v>85338</v>
      </c>
      <c r="F1366" s="38" t="s">
        <v>3914</v>
      </c>
      <c r="G1366" s="38" t="s">
        <v>3915</v>
      </c>
      <c r="H1366" s="39">
        <v>8464670000</v>
      </c>
      <c r="I1366" s="39" t="s">
        <v>36</v>
      </c>
      <c r="J1366" s="39" t="s">
        <v>37</v>
      </c>
      <c r="K1366" s="39" t="s">
        <v>37</v>
      </c>
      <c r="L1366" s="39" t="s">
        <v>38</v>
      </c>
      <c r="M1366" s="39" t="s">
        <v>37</v>
      </c>
      <c r="N1366" s="39" t="s">
        <v>37</v>
      </c>
      <c r="O1366" s="39" t="s">
        <v>38</v>
      </c>
      <c r="P1366" s="39" t="s">
        <v>39</v>
      </c>
      <c r="Q1366" s="37">
        <v>45993</v>
      </c>
      <c r="R1366" s="35"/>
      <c r="S1366" s="35"/>
      <c r="T1366" s="35"/>
      <c r="U1366" s="35"/>
      <c r="V136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7" spans="1:22" hidden="1">
      <c r="A1367" s="37">
        <v>45987</v>
      </c>
      <c r="B1367" s="38" t="s">
        <v>3916</v>
      </c>
      <c r="C1367" s="38" t="s">
        <v>3917</v>
      </c>
      <c r="D1367" s="38" t="s">
        <v>202</v>
      </c>
      <c r="E1367" s="38">
        <v>85382</v>
      </c>
      <c r="F1367" s="38" t="s">
        <v>3918</v>
      </c>
      <c r="G1367" s="38" t="s">
        <v>3915</v>
      </c>
      <c r="H1367" s="39">
        <v>6932600000</v>
      </c>
      <c r="I1367" s="39" t="s">
        <v>3919</v>
      </c>
      <c r="J1367" s="39" t="s">
        <v>37</v>
      </c>
      <c r="K1367" s="39" t="s">
        <v>37</v>
      </c>
      <c r="L1367" s="39" t="s">
        <v>389</v>
      </c>
      <c r="M1367" s="39" t="s">
        <v>37</v>
      </c>
      <c r="N1367" s="39" t="s">
        <v>37</v>
      </c>
      <c r="O1367" s="39" t="s">
        <v>38</v>
      </c>
      <c r="P1367" s="39" t="s">
        <v>39</v>
      </c>
      <c r="Q1367" s="37">
        <v>45993</v>
      </c>
      <c r="R1367" s="35"/>
      <c r="S1367" s="35"/>
      <c r="T1367" s="35"/>
      <c r="U1367" s="35"/>
      <c r="V136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8" spans="1:22" hidden="1">
      <c r="A1368" s="37">
        <v>45989</v>
      </c>
      <c r="B1368" s="38" t="s">
        <v>3920</v>
      </c>
      <c r="C1368" s="38" t="s">
        <v>3921</v>
      </c>
      <c r="D1368" s="38" t="s">
        <v>112</v>
      </c>
      <c r="E1368" s="38">
        <v>85387</v>
      </c>
      <c r="F1368" s="38" t="s">
        <v>3922</v>
      </c>
      <c r="G1368" s="38" t="s">
        <v>3923</v>
      </c>
      <c r="H1368" s="39">
        <v>6129600993</v>
      </c>
      <c r="I1368" s="39" t="s">
        <v>36</v>
      </c>
      <c r="J1368" s="39" t="s">
        <v>37</v>
      </c>
      <c r="K1368" s="39" t="s">
        <v>37</v>
      </c>
      <c r="L1368" s="39" t="s">
        <v>38</v>
      </c>
      <c r="M1368" s="39" t="s">
        <v>37</v>
      </c>
      <c r="N1368" s="39" t="s">
        <v>37</v>
      </c>
      <c r="O1368" s="39" t="s">
        <v>38</v>
      </c>
      <c r="P1368" s="39" t="s">
        <v>39</v>
      </c>
      <c r="Q1368" s="37">
        <v>45993</v>
      </c>
      <c r="R1368" s="35"/>
      <c r="S1368" s="35"/>
      <c r="T1368" s="35"/>
      <c r="U1368" s="35"/>
      <c r="V136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69" spans="1:22" hidden="1">
      <c r="A1369" s="37">
        <v>45993</v>
      </c>
      <c r="B1369" s="38" t="s">
        <v>3924</v>
      </c>
      <c r="C1369" s="38" t="s">
        <v>1444</v>
      </c>
      <c r="D1369" s="38" t="s">
        <v>112</v>
      </c>
      <c r="E1369" s="38">
        <v>85379</v>
      </c>
      <c r="F1369" s="38" t="s">
        <v>3756</v>
      </c>
      <c r="G1369" s="38" t="s">
        <v>3925</v>
      </c>
      <c r="H1369" s="39">
        <v>1501070000</v>
      </c>
      <c r="I1369" s="39" t="s">
        <v>541</v>
      </c>
      <c r="J1369" s="39" t="s">
        <v>37</v>
      </c>
      <c r="K1369" s="39" t="s">
        <v>37</v>
      </c>
      <c r="L1369" s="39" t="s">
        <v>389</v>
      </c>
      <c r="M1369" s="39" t="s">
        <v>37</v>
      </c>
      <c r="N1369" s="39" t="s">
        <v>37</v>
      </c>
      <c r="O1369" s="39" t="s">
        <v>38</v>
      </c>
      <c r="P1369" s="39" t="s">
        <v>39</v>
      </c>
      <c r="Q1369" s="37">
        <v>45994</v>
      </c>
      <c r="R1369" s="35"/>
      <c r="S1369" s="35"/>
      <c r="T1369" s="35"/>
      <c r="U1369" s="35"/>
      <c r="V136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0" spans="1:22" hidden="1">
      <c r="A1370" s="37">
        <v>45993</v>
      </c>
      <c r="B1370" s="38" t="s">
        <v>3926</v>
      </c>
      <c r="C1370" s="38" t="s">
        <v>2658</v>
      </c>
      <c r="D1370" s="38" t="s">
        <v>112</v>
      </c>
      <c r="E1370" s="38">
        <v>85387</v>
      </c>
      <c r="F1370" s="38" t="s">
        <v>3927</v>
      </c>
      <c r="G1370" s="38" t="s">
        <v>3928</v>
      </c>
      <c r="H1370" s="39">
        <v>4773125499</v>
      </c>
      <c r="I1370" s="39" t="s">
        <v>36</v>
      </c>
      <c r="J1370" s="39" t="s">
        <v>37</v>
      </c>
      <c r="K1370" s="39" t="s">
        <v>37</v>
      </c>
      <c r="L1370" s="39" t="s">
        <v>38</v>
      </c>
      <c r="M1370" s="39" t="s">
        <v>37</v>
      </c>
      <c r="N1370" s="39" t="s">
        <v>37</v>
      </c>
      <c r="O1370" s="39" t="s">
        <v>38</v>
      </c>
      <c r="P1370" s="39" t="s">
        <v>39</v>
      </c>
      <c r="Q1370" s="37">
        <v>45994</v>
      </c>
      <c r="R1370" s="35"/>
      <c r="S1370" s="35"/>
      <c r="T1370" s="35"/>
      <c r="U1370" s="35"/>
      <c r="V137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1" spans="1:22" hidden="1">
      <c r="A1371" s="37">
        <v>45993</v>
      </c>
      <c r="B1371" s="38" t="s">
        <v>3929</v>
      </c>
      <c r="C1371" s="38" t="s">
        <v>1140</v>
      </c>
      <c r="D1371" s="38" t="s">
        <v>112</v>
      </c>
      <c r="E1371" s="38">
        <v>85374</v>
      </c>
      <c r="F1371" s="38" t="s">
        <v>3756</v>
      </c>
      <c r="G1371" s="38" t="s">
        <v>3930</v>
      </c>
      <c r="H1371" s="39">
        <v>6238748397</v>
      </c>
      <c r="I1371" s="39" t="s">
        <v>57</v>
      </c>
      <c r="J1371" s="39" t="s">
        <v>37</v>
      </c>
      <c r="K1371" s="39" t="s">
        <v>37</v>
      </c>
      <c r="L1371" s="39" t="s">
        <v>3931</v>
      </c>
      <c r="M1371" s="39" t="s">
        <v>37</v>
      </c>
      <c r="N1371" s="39" t="s">
        <v>37</v>
      </c>
      <c r="O1371" s="39" t="s">
        <v>38</v>
      </c>
      <c r="P1371" s="39" t="s">
        <v>39</v>
      </c>
      <c r="Q1371" s="37">
        <v>45995</v>
      </c>
      <c r="R1371" s="35"/>
      <c r="S1371" s="35"/>
      <c r="T1371" s="35"/>
      <c r="U1371" s="35"/>
      <c r="V137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2" spans="1:22" hidden="1">
      <c r="A1372" s="37">
        <v>45993</v>
      </c>
      <c r="B1372" s="38" t="s">
        <v>3932</v>
      </c>
      <c r="C1372" s="38" t="s">
        <v>3933</v>
      </c>
      <c r="D1372" s="38" t="s">
        <v>428</v>
      </c>
      <c r="E1372" s="38">
        <v>85335</v>
      </c>
      <c r="F1372" s="38" t="s">
        <v>3756</v>
      </c>
      <c r="G1372" s="38" t="s">
        <v>3930</v>
      </c>
      <c r="H1372" s="39" t="s">
        <v>27</v>
      </c>
      <c r="I1372" s="39"/>
      <c r="J1372" s="39"/>
      <c r="K1372" s="39"/>
      <c r="L1372" s="39"/>
      <c r="M1372" s="39"/>
      <c r="N1372" s="39"/>
      <c r="O1372" s="39"/>
      <c r="P1372" s="39"/>
      <c r="Q1372" s="39"/>
      <c r="R1372" s="35"/>
      <c r="S1372" s="35"/>
      <c r="T1372" s="35"/>
      <c r="U1372" s="35"/>
      <c r="V137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3" spans="1:22" hidden="1">
      <c r="A1373" s="37">
        <v>45993</v>
      </c>
      <c r="B1373" s="38" t="s">
        <v>3934</v>
      </c>
      <c r="C1373" s="38" t="s">
        <v>3182</v>
      </c>
      <c r="D1373" s="38" t="s">
        <v>428</v>
      </c>
      <c r="E1373" s="38">
        <v>85335</v>
      </c>
      <c r="F1373" s="38" t="s">
        <v>3935</v>
      </c>
      <c r="G1373" s="38" t="s">
        <v>3930</v>
      </c>
      <c r="H1373" s="39">
        <v>6780889797</v>
      </c>
      <c r="I1373" s="39" t="s">
        <v>3936</v>
      </c>
      <c r="J1373" s="39" t="s">
        <v>38</v>
      </c>
      <c r="K1373" s="39" t="s">
        <v>37</v>
      </c>
      <c r="L1373" s="39" t="s">
        <v>389</v>
      </c>
      <c r="M1373" s="39" t="s">
        <v>38</v>
      </c>
      <c r="N1373" s="39">
        <v>425.23</v>
      </c>
      <c r="O1373" s="39" t="s">
        <v>38</v>
      </c>
      <c r="P1373" s="39" t="s">
        <v>39</v>
      </c>
      <c r="Q1373" s="37">
        <v>45995</v>
      </c>
      <c r="R1373" s="35"/>
      <c r="S1373" s="35"/>
      <c r="T1373" s="35"/>
      <c r="U1373" s="35"/>
      <c r="V137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4" spans="1:22" hidden="1">
      <c r="A1374" s="37">
        <v>45993</v>
      </c>
      <c r="B1374" s="38" t="s">
        <v>3561</v>
      </c>
      <c r="C1374" s="38" t="s">
        <v>3937</v>
      </c>
      <c r="D1374" s="38" t="s">
        <v>428</v>
      </c>
      <c r="E1374" s="38">
        <v>85335</v>
      </c>
      <c r="F1374" s="38" t="s">
        <v>3938</v>
      </c>
      <c r="G1374" s="38" t="s">
        <v>3930</v>
      </c>
      <c r="H1374" s="39">
        <v>591010000</v>
      </c>
      <c r="I1374" s="39" t="s">
        <v>196</v>
      </c>
      <c r="J1374" s="39" t="s">
        <v>37</v>
      </c>
      <c r="K1374" s="39" t="s">
        <v>37</v>
      </c>
      <c r="L1374" s="39" t="s">
        <v>3939</v>
      </c>
      <c r="M1374" s="39" t="s">
        <v>37</v>
      </c>
      <c r="N1374" s="39" t="s">
        <v>37</v>
      </c>
      <c r="O1374" s="39" t="s">
        <v>38</v>
      </c>
      <c r="P1374" s="39"/>
      <c r="Q1374" s="37">
        <v>45995</v>
      </c>
      <c r="R1374" s="35"/>
      <c r="S1374" s="35"/>
      <c r="T1374" s="35"/>
      <c r="U1374" s="35"/>
      <c r="V137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5" spans="1:22" hidden="1">
      <c r="A1375" s="37">
        <v>45993</v>
      </c>
      <c r="B1375" s="38" t="s">
        <v>3940</v>
      </c>
      <c r="C1375" s="38" t="s">
        <v>3941</v>
      </c>
      <c r="D1375" s="38" t="s">
        <v>24</v>
      </c>
      <c r="E1375" s="38">
        <v>85304</v>
      </c>
      <c r="F1375" s="38" t="s">
        <v>3942</v>
      </c>
      <c r="G1375" s="38" t="s">
        <v>3930</v>
      </c>
      <c r="H1375" s="39">
        <v>1370851931</v>
      </c>
      <c r="I1375" s="39" t="s">
        <v>250</v>
      </c>
      <c r="J1375" s="39" t="s">
        <v>37</v>
      </c>
      <c r="K1375" s="39" t="s">
        <v>37</v>
      </c>
      <c r="L1375" s="39" t="s">
        <v>38</v>
      </c>
      <c r="M1375" s="39" t="s">
        <v>37</v>
      </c>
      <c r="N1375" s="39" t="s">
        <v>37</v>
      </c>
      <c r="O1375" s="39" t="s">
        <v>38</v>
      </c>
      <c r="P1375" s="39" t="s">
        <v>39</v>
      </c>
      <c r="Q1375" s="37">
        <v>45995</v>
      </c>
      <c r="R1375" s="35"/>
      <c r="S1375" s="35"/>
      <c r="T1375" s="35"/>
      <c r="U1375" s="35"/>
      <c r="V137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6" spans="1:22" hidden="1">
      <c r="A1376" s="37">
        <v>45993</v>
      </c>
      <c r="B1376" s="38" t="s">
        <v>3943</v>
      </c>
      <c r="C1376" s="38" t="s">
        <v>3273</v>
      </c>
      <c r="D1376" s="38" t="s">
        <v>112</v>
      </c>
      <c r="E1376" s="38">
        <v>85387</v>
      </c>
      <c r="F1376" s="38" t="s">
        <v>3944</v>
      </c>
      <c r="G1376" s="38" t="s">
        <v>3930</v>
      </c>
      <c r="H1376" s="39">
        <v>9983127893</v>
      </c>
      <c r="I1376" s="39" t="s">
        <v>36</v>
      </c>
      <c r="J1376" s="39" t="s">
        <v>37</v>
      </c>
      <c r="K1376" s="39" t="s">
        <v>37</v>
      </c>
      <c r="L1376" s="39" t="s">
        <v>38</v>
      </c>
      <c r="M1376" s="39" t="s">
        <v>37</v>
      </c>
      <c r="N1376" s="39" t="s">
        <v>37</v>
      </c>
      <c r="O1376" s="39" t="s">
        <v>38</v>
      </c>
      <c r="P1376" s="39" t="s">
        <v>39</v>
      </c>
      <c r="Q1376" s="37">
        <v>45995</v>
      </c>
      <c r="R1376" s="35"/>
      <c r="S1376" s="35"/>
      <c r="T1376" s="35"/>
      <c r="U1376" s="35"/>
      <c r="V137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7" spans="1:22" hidden="1">
      <c r="A1377" s="37">
        <v>45993</v>
      </c>
      <c r="B1377" s="38" t="s">
        <v>3945</v>
      </c>
      <c r="C1377" s="38" t="s">
        <v>3946</v>
      </c>
      <c r="D1377" s="38" t="s">
        <v>3947</v>
      </c>
      <c r="E1377" s="38">
        <v>85378</v>
      </c>
      <c r="F1377" s="38" t="s">
        <v>3756</v>
      </c>
      <c r="G1377" s="38" t="s">
        <v>3930</v>
      </c>
      <c r="H1377" s="39">
        <v>6711360000</v>
      </c>
      <c r="I1377" s="39" t="s">
        <v>36</v>
      </c>
      <c r="J1377" s="39" t="s">
        <v>38</v>
      </c>
      <c r="K1377" s="39" t="s">
        <v>37</v>
      </c>
      <c r="L1377" s="39" t="s">
        <v>401</v>
      </c>
      <c r="M1377" s="39" t="s">
        <v>37</v>
      </c>
      <c r="N1377" s="39" t="s">
        <v>37</v>
      </c>
      <c r="O1377" s="39" t="s">
        <v>38</v>
      </c>
      <c r="P1377" s="39" t="s">
        <v>39</v>
      </c>
      <c r="Q1377" s="37">
        <v>45995</v>
      </c>
      <c r="R1377" s="35"/>
      <c r="S1377" s="35"/>
      <c r="T1377" s="35"/>
      <c r="U1377" s="35"/>
      <c r="V137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8" spans="1:22" hidden="1">
      <c r="A1378" s="37">
        <v>45993</v>
      </c>
      <c r="B1378" s="38" t="s">
        <v>1084</v>
      </c>
      <c r="C1378" s="38" t="s">
        <v>3948</v>
      </c>
      <c r="D1378" s="38" t="s">
        <v>174</v>
      </c>
      <c r="E1378" s="38">
        <v>85396</v>
      </c>
      <c r="F1378" s="38" t="s">
        <v>3949</v>
      </c>
      <c r="G1378" s="38" t="s">
        <v>3930</v>
      </c>
      <c r="H1378" s="39">
        <v>9411880000</v>
      </c>
      <c r="I1378" s="39" t="s">
        <v>46</v>
      </c>
      <c r="J1378" s="39" t="s">
        <v>37</v>
      </c>
      <c r="K1378" s="39" t="s">
        <v>37</v>
      </c>
      <c r="L1378" s="39" t="s">
        <v>38</v>
      </c>
      <c r="M1378" s="39" t="s">
        <v>37</v>
      </c>
      <c r="N1378" s="39" t="s">
        <v>37</v>
      </c>
      <c r="O1378" s="39" t="s">
        <v>38</v>
      </c>
      <c r="P1378" s="39" t="s">
        <v>39</v>
      </c>
      <c r="Q1378" s="37">
        <v>45995</v>
      </c>
      <c r="R1378" s="35"/>
      <c r="S1378" s="35"/>
      <c r="T1378" s="35"/>
      <c r="U1378" s="35"/>
      <c r="V137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79" spans="1:22" hidden="1">
      <c r="A1379" s="37">
        <v>45993</v>
      </c>
      <c r="B1379" s="38" t="s">
        <v>3950</v>
      </c>
      <c r="C1379" s="38" t="s">
        <v>3951</v>
      </c>
      <c r="D1379" s="38" t="s">
        <v>112</v>
      </c>
      <c r="E1379" s="38">
        <v>85374</v>
      </c>
      <c r="F1379" s="38" t="s">
        <v>3756</v>
      </c>
      <c r="G1379" s="38" t="s">
        <v>3930</v>
      </c>
      <c r="H1379" s="39" t="s">
        <v>27</v>
      </c>
      <c r="I1379" s="39"/>
      <c r="J1379" s="39"/>
      <c r="K1379" s="39"/>
      <c r="L1379" s="39"/>
      <c r="M1379" s="39"/>
      <c r="N1379" s="39"/>
      <c r="O1379" s="39"/>
      <c r="P1379" s="39"/>
      <c r="Q1379" s="39"/>
      <c r="R1379" s="35"/>
      <c r="S1379" s="35"/>
      <c r="T1379" s="35"/>
      <c r="U1379" s="35"/>
      <c r="V137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0" spans="1:22" hidden="1">
      <c r="A1380" s="37">
        <v>45993</v>
      </c>
      <c r="B1380" s="38" t="s">
        <v>127</v>
      </c>
      <c r="C1380" s="38" t="s">
        <v>2144</v>
      </c>
      <c r="D1380" s="38" t="s">
        <v>112</v>
      </c>
      <c r="E1380" s="38">
        <v>85388</v>
      </c>
      <c r="F1380" s="38" t="s">
        <v>3756</v>
      </c>
      <c r="G1380" s="38" t="s">
        <v>3930</v>
      </c>
      <c r="H1380" s="39" t="s">
        <v>27</v>
      </c>
      <c r="I1380" s="39"/>
      <c r="J1380" s="39"/>
      <c r="K1380" s="39"/>
      <c r="L1380" s="39"/>
      <c r="M1380" s="39"/>
      <c r="N1380" s="39"/>
      <c r="O1380" s="39"/>
      <c r="P1380" s="39"/>
      <c r="Q1380" s="39"/>
      <c r="R1380" s="35"/>
      <c r="S1380" s="35"/>
      <c r="T1380" s="35"/>
      <c r="U1380" s="35"/>
      <c r="V138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1" spans="1:22" hidden="1">
      <c r="A1381" s="37">
        <v>45993</v>
      </c>
      <c r="B1381" s="38" t="s">
        <v>3952</v>
      </c>
      <c r="C1381" s="38" t="s">
        <v>3530</v>
      </c>
      <c r="D1381" s="38" t="s">
        <v>428</v>
      </c>
      <c r="E1381" s="38">
        <v>85355</v>
      </c>
      <c r="F1381" s="38" t="s">
        <v>3953</v>
      </c>
      <c r="G1381" s="38" t="s">
        <v>3930</v>
      </c>
      <c r="H1381" s="39">
        <v>4392248810</v>
      </c>
      <c r="I1381" s="39" t="s">
        <v>46</v>
      </c>
      <c r="J1381" s="39" t="s">
        <v>37</v>
      </c>
      <c r="K1381" s="39" t="s">
        <v>37</v>
      </c>
      <c r="L1381" s="39" t="s">
        <v>38</v>
      </c>
      <c r="M1381" s="39" t="s">
        <v>37</v>
      </c>
      <c r="N1381" s="39" t="s">
        <v>37</v>
      </c>
      <c r="O1381" s="39" t="s">
        <v>38</v>
      </c>
      <c r="P1381" s="39" t="s">
        <v>39</v>
      </c>
      <c r="Q1381" s="37">
        <v>45995</v>
      </c>
      <c r="R1381" s="35"/>
      <c r="S1381" s="35"/>
      <c r="T1381" s="35"/>
      <c r="U1381" s="35"/>
      <c r="V138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2" spans="1:22" hidden="1">
      <c r="A1382" s="2">
        <v>45994</v>
      </c>
      <c r="B1382" s="1" t="s">
        <v>3954</v>
      </c>
      <c r="C1382" s="1" t="s">
        <v>1143</v>
      </c>
      <c r="D1382" s="1" t="s">
        <v>30</v>
      </c>
      <c r="E1382" s="1" t="s">
        <v>30</v>
      </c>
      <c r="F1382" s="1" t="s">
        <v>31</v>
      </c>
      <c r="G1382" s="40" t="s">
        <v>3955</v>
      </c>
      <c r="H1382" s="4" t="s">
        <v>27</v>
      </c>
      <c r="V138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3" spans="1:22" hidden="1">
      <c r="A1383" s="2">
        <v>45994</v>
      </c>
      <c r="B1383" s="1" t="s">
        <v>3956</v>
      </c>
      <c r="C1383" s="1" t="s">
        <v>3957</v>
      </c>
      <c r="D1383" s="1" t="s">
        <v>202</v>
      </c>
      <c r="E1383" s="1">
        <v>85383</v>
      </c>
      <c r="F1383" s="1" t="s">
        <v>3958</v>
      </c>
      <c r="G1383" s="40" t="s">
        <v>3959</v>
      </c>
      <c r="H1383" s="4" t="s">
        <v>3960</v>
      </c>
      <c r="I1383" s="5" t="s">
        <v>126</v>
      </c>
      <c r="J1383" s="5" t="s">
        <v>37</v>
      </c>
      <c r="K1383" s="5" t="s">
        <v>37</v>
      </c>
      <c r="L1383" s="5" t="s">
        <v>38</v>
      </c>
      <c r="M1383" s="5" t="s">
        <v>37</v>
      </c>
      <c r="N1383" s="5" t="s">
        <v>37</v>
      </c>
      <c r="O1383" s="5" t="s">
        <v>38</v>
      </c>
      <c r="P1383" s="5" t="s">
        <v>39</v>
      </c>
      <c r="Q1383" s="2">
        <v>45995</v>
      </c>
      <c r="V138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4" spans="1:22" ht="15" hidden="1">
      <c r="A1384" s="2">
        <v>45994</v>
      </c>
      <c r="B1384" s="1" t="s">
        <v>3961</v>
      </c>
      <c r="C1384" s="1" t="s">
        <v>3962</v>
      </c>
      <c r="D1384" s="1" t="s">
        <v>63</v>
      </c>
      <c r="E1384" s="1">
        <v>85017</v>
      </c>
      <c r="F1384" s="1" t="s">
        <v>3963</v>
      </c>
      <c r="G1384" s="41" t="s">
        <v>3964</v>
      </c>
      <c r="H1384" s="4" t="s">
        <v>90</v>
      </c>
      <c r="R1384" s="1" t="s">
        <v>3965</v>
      </c>
      <c r="V138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5" spans="1:22" hidden="1">
      <c r="A1385" s="2">
        <v>45994</v>
      </c>
      <c r="B1385" s="1" t="s">
        <v>3966</v>
      </c>
      <c r="C1385" s="1" t="s">
        <v>3967</v>
      </c>
      <c r="D1385" s="1" t="s">
        <v>63</v>
      </c>
      <c r="E1385" s="1">
        <v>85019</v>
      </c>
      <c r="F1385" s="1" t="s">
        <v>3968</v>
      </c>
      <c r="G1385" s="1" t="s">
        <v>3964</v>
      </c>
      <c r="H1385" s="4" t="s">
        <v>27</v>
      </c>
      <c r="R1385" s="1" t="s">
        <v>3965</v>
      </c>
      <c r="V138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6" spans="1:22" hidden="1">
      <c r="A1386" s="2">
        <v>45994</v>
      </c>
      <c r="B1386" s="1" t="s">
        <v>3969</v>
      </c>
      <c r="C1386" s="1" t="s">
        <v>3970</v>
      </c>
      <c r="D1386" s="1" t="s">
        <v>24</v>
      </c>
      <c r="E1386" s="1">
        <v>85301</v>
      </c>
      <c r="F1386" s="1" t="s">
        <v>3971</v>
      </c>
      <c r="G1386" s="1" t="s">
        <v>3964</v>
      </c>
      <c r="H1386" s="4" t="s">
        <v>27</v>
      </c>
      <c r="R1386" s="1" t="s">
        <v>3965</v>
      </c>
      <c r="V138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7" spans="1:22" hidden="1">
      <c r="A1387" s="2">
        <v>45994</v>
      </c>
      <c r="B1387" s="1" t="s">
        <v>657</v>
      </c>
      <c r="C1387" s="1" t="s">
        <v>3972</v>
      </c>
      <c r="D1387" s="1" t="s">
        <v>635</v>
      </c>
      <c r="E1387" s="1">
        <v>85281</v>
      </c>
      <c r="F1387" s="1" t="s">
        <v>3973</v>
      </c>
      <c r="G1387" s="1" t="s">
        <v>3964</v>
      </c>
      <c r="H1387" s="4" t="s">
        <v>27</v>
      </c>
      <c r="R1387" s="1" t="s">
        <v>3965</v>
      </c>
      <c r="V138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8" spans="1:22" hidden="1">
      <c r="A1388" s="2">
        <v>45994</v>
      </c>
      <c r="B1388" s="1" t="s">
        <v>3907</v>
      </c>
      <c r="C1388" s="1" t="s">
        <v>3907</v>
      </c>
      <c r="D1388" s="1" t="s">
        <v>63</v>
      </c>
      <c r="E1388" s="1">
        <v>85008</v>
      </c>
      <c r="F1388" s="1" t="s">
        <v>3974</v>
      </c>
      <c r="G1388" s="1" t="s">
        <v>3964</v>
      </c>
      <c r="H1388" s="4" t="s">
        <v>27</v>
      </c>
      <c r="R1388" s="1" t="s">
        <v>3965</v>
      </c>
      <c r="V138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89" spans="1:22" hidden="1">
      <c r="A1389" s="2">
        <v>45994</v>
      </c>
      <c r="B1389" s="1" t="s">
        <v>3975</v>
      </c>
      <c r="C1389" s="1" t="s">
        <v>3976</v>
      </c>
      <c r="D1389" s="1" t="s">
        <v>63</v>
      </c>
      <c r="E1389" s="1">
        <v>85008</v>
      </c>
      <c r="F1389" s="1" t="s">
        <v>3977</v>
      </c>
      <c r="G1389" s="1" t="s">
        <v>3964</v>
      </c>
      <c r="H1389" s="4" t="s">
        <v>3978</v>
      </c>
      <c r="I1389" s="5" t="s">
        <v>126</v>
      </c>
      <c r="J1389" s="5" t="s">
        <v>38</v>
      </c>
      <c r="K1389" s="5" t="s">
        <v>37</v>
      </c>
      <c r="L1389" s="5" t="s">
        <v>3979</v>
      </c>
      <c r="M1389" s="5" t="s">
        <v>37</v>
      </c>
      <c r="N1389" s="5" t="s">
        <v>37</v>
      </c>
      <c r="O1389" s="5" t="s">
        <v>38</v>
      </c>
      <c r="P1389" s="5" t="s">
        <v>39</v>
      </c>
      <c r="Q1389" s="2">
        <v>46000</v>
      </c>
      <c r="R1389" s="1" t="s">
        <v>3980</v>
      </c>
      <c r="V1389"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0" spans="1:22" hidden="1">
      <c r="A1390" s="2">
        <v>45994</v>
      </c>
      <c r="B1390" s="1" t="s">
        <v>2571</v>
      </c>
      <c r="C1390" s="1" t="s">
        <v>3946</v>
      </c>
      <c r="D1390" s="1" t="s">
        <v>63</v>
      </c>
      <c r="E1390" s="1">
        <v>85017</v>
      </c>
      <c r="F1390" s="1" t="s">
        <v>3981</v>
      </c>
      <c r="G1390" s="1" t="s">
        <v>3964</v>
      </c>
      <c r="H1390" s="4" t="s">
        <v>27</v>
      </c>
      <c r="R1390" s="1" t="s">
        <v>3965</v>
      </c>
      <c r="V1390"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1" spans="1:22" hidden="1">
      <c r="A1391" s="2">
        <v>45994</v>
      </c>
      <c r="B1391" s="1" t="s">
        <v>657</v>
      </c>
      <c r="C1391" s="1" t="s">
        <v>3982</v>
      </c>
      <c r="D1391" s="1" t="s">
        <v>63</v>
      </c>
      <c r="E1391" s="1">
        <v>85035</v>
      </c>
      <c r="F1391" s="1" t="s">
        <v>3983</v>
      </c>
      <c r="G1391" s="1" t="s">
        <v>3964</v>
      </c>
      <c r="H1391" s="4" t="s">
        <v>27</v>
      </c>
      <c r="R1391" s="1" t="s">
        <v>3965</v>
      </c>
      <c r="V1391"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2" spans="1:22" hidden="1">
      <c r="A1392" s="2">
        <v>45994</v>
      </c>
      <c r="B1392" s="1" t="s">
        <v>3984</v>
      </c>
      <c r="C1392" s="1" t="s">
        <v>3985</v>
      </c>
      <c r="D1392" s="1" t="s">
        <v>63</v>
      </c>
      <c r="E1392" s="1">
        <v>85008</v>
      </c>
      <c r="F1392" s="1" t="s">
        <v>3986</v>
      </c>
      <c r="G1392" s="1" t="s">
        <v>3964</v>
      </c>
      <c r="H1392" s="4" t="s">
        <v>27</v>
      </c>
      <c r="R1392" s="1" t="s">
        <v>3965</v>
      </c>
      <c r="V1392"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3" spans="1:22" hidden="1">
      <c r="A1393" s="2">
        <v>45994</v>
      </c>
      <c r="C1393" s="1" t="s">
        <v>3987</v>
      </c>
      <c r="D1393" s="1" t="s">
        <v>63</v>
      </c>
      <c r="E1393" s="1">
        <v>85017</v>
      </c>
      <c r="F1393" s="1" t="s">
        <v>3988</v>
      </c>
      <c r="G1393" s="1" t="s">
        <v>3964</v>
      </c>
      <c r="H1393" s="4" t="s">
        <v>27</v>
      </c>
      <c r="R1393" s="1" t="s">
        <v>3965</v>
      </c>
      <c r="V1393"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4" spans="1:22" hidden="1">
      <c r="A1394" s="2">
        <v>45994</v>
      </c>
      <c r="B1394" s="1" t="s">
        <v>3989</v>
      </c>
      <c r="C1394" s="1" t="s">
        <v>3990</v>
      </c>
      <c r="D1394" s="1" t="s">
        <v>63</v>
      </c>
      <c r="E1394" s="1">
        <v>85037</v>
      </c>
      <c r="F1394" s="1" t="s">
        <v>3991</v>
      </c>
      <c r="G1394" s="1" t="s">
        <v>3964</v>
      </c>
      <c r="H1394" s="4" t="s">
        <v>27</v>
      </c>
      <c r="V1394"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5" spans="1:22" hidden="1">
      <c r="A1395" s="2">
        <v>45994</v>
      </c>
      <c r="B1395" s="1" t="s">
        <v>3992</v>
      </c>
      <c r="C1395" s="1" t="s">
        <v>3993</v>
      </c>
      <c r="D1395" s="1" t="s">
        <v>63</v>
      </c>
      <c r="E1395" s="1">
        <v>85031</v>
      </c>
      <c r="F1395" s="1" t="s">
        <v>3994</v>
      </c>
      <c r="G1395" s="1" t="s">
        <v>3964</v>
      </c>
      <c r="H1395" s="4" t="s">
        <v>27</v>
      </c>
      <c r="V1395"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6" spans="1:22" hidden="1">
      <c r="A1396" s="2">
        <v>45994</v>
      </c>
      <c r="B1396" s="1" t="s">
        <v>3995</v>
      </c>
      <c r="C1396" s="1" t="s">
        <v>3996</v>
      </c>
      <c r="D1396" s="1" t="s">
        <v>112</v>
      </c>
      <c r="E1396" s="1">
        <v>85387</v>
      </c>
      <c r="F1396" s="1" t="s">
        <v>3997</v>
      </c>
      <c r="G1396" s="1" t="s">
        <v>3964</v>
      </c>
      <c r="H1396" s="4" t="s">
        <v>3998</v>
      </c>
      <c r="I1396" s="5" t="s">
        <v>36</v>
      </c>
      <c r="J1396" s="5" t="s">
        <v>37</v>
      </c>
      <c r="K1396" s="5" t="s">
        <v>37</v>
      </c>
      <c r="L1396" s="5" t="s">
        <v>38</v>
      </c>
      <c r="M1396" s="5" t="s">
        <v>37</v>
      </c>
      <c r="N1396" s="5" t="s">
        <v>37</v>
      </c>
      <c r="O1396" s="5" t="s">
        <v>38</v>
      </c>
      <c r="P1396" s="5" t="s">
        <v>39</v>
      </c>
      <c r="Q1396" s="2">
        <v>46000</v>
      </c>
      <c r="V1396"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7" spans="1:22" hidden="1">
      <c r="A1397" s="2">
        <v>45994</v>
      </c>
      <c r="B1397" s="1" t="s">
        <v>419</v>
      </c>
      <c r="C1397" s="1" t="s">
        <v>3639</v>
      </c>
      <c r="D1397" s="1" t="s">
        <v>63</v>
      </c>
      <c r="E1397" s="1">
        <v>85029</v>
      </c>
      <c r="F1397" s="1" t="s">
        <v>3999</v>
      </c>
      <c r="G1397" s="1" t="s">
        <v>3964</v>
      </c>
      <c r="H1397" s="4" t="s">
        <v>3641</v>
      </c>
      <c r="I1397" s="5" t="s">
        <v>126</v>
      </c>
      <c r="J1397" s="5" t="s">
        <v>37</v>
      </c>
      <c r="K1397" s="5" t="s">
        <v>37</v>
      </c>
      <c r="L1397" s="5" t="s">
        <v>38</v>
      </c>
      <c r="M1397" s="5" t="s">
        <v>37</v>
      </c>
      <c r="N1397" s="5" t="s">
        <v>37</v>
      </c>
      <c r="O1397" s="5" t="s">
        <v>38</v>
      </c>
      <c r="P1397" s="5" t="s">
        <v>39</v>
      </c>
      <c r="Q1397" s="2">
        <v>46000</v>
      </c>
      <c r="V1397"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8" spans="1:22" hidden="1">
      <c r="A1398" s="42">
        <v>45994</v>
      </c>
      <c r="B1398" s="33" t="s">
        <v>849</v>
      </c>
      <c r="C1398" s="33" t="s">
        <v>4000</v>
      </c>
      <c r="D1398" s="33" t="s">
        <v>63</v>
      </c>
      <c r="E1398" s="33">
        <v>85013</v>
      </c>
      <c r="F1398" s="33" t="s">
        <v>4001</v>
      </c>
      <c r="G1398" s="33" t="s">
        <v>3964</v>
      </c>
      <c r="H1398" s="43">
        <v>5334816770</v>
      </c>
      <c r="I1398" s="43" t="s">
        <v>4002</v>
      </c>
      <c r="J1398" s="43" t="s">
        <v>37</v>
      </c>
      <c r="K1398" s="43" t="s">
        <v>37</v>
      </c>
      <c r="L1398" s="43" t="s">
        <v>4003</v>
      </c>
      <c r="M1398" s="43" t="s">
        <v>37</v>
      </c>
      <c r="N1398" s="43" t="s">
        <v>37</v>
      </c>
      <c r="O1398" s="43" t="s">
        <v>38</v>
      </c>
      <c r="P1398" s="43"/>
      <c r="Q1398" s="42">
        <v>46000</v>
      </c>
      <c r="R1398" s="33" t="s">
        <v>4004</v>
      </c>
      <c r="S1398" s="33"/>
      <c r="T1398" s="33"/>
      <c r="U1398" s="33"/>
      <c r="V1398" s="46">
        <f>IF(
  OR(
    ISNUMBER(SEARCH("unable to locate acct", tblDocketedComments[[#This Row],[Docketed Consumer Comments]])),
    ISNUMBER(SEARCH("unknown", tblDocketedComments[[#This Row],[Docketed Consumer Comments]])),
    ISNUMBER(SEARCH("inactive", tblDocketedComments[[#This Row],[Docketed Consumer Comments]]))
  ),
  0,
  1
)</f>
        <v>1</v>
      </c>
    </row>
    <row r="1399" spans="1:22" hidden="1">
      <c r="A1399" s="2">
        <v>45994</v>
      </c>
      <c r="B1399" s="1" t="s">
        <v>1779</v>
      </c>
      <c r="C1399" s="1" t="s">
        <v>4005</v>
      </c>
      <c r="D1399" s="1" t="s">
        <v>63</v>
      </c>
      <c r="E1399" s="1">
        <v>85086</v>
      </c>
      <c r="F1399" s="1" t="s">
        <v>4006</v>
      </c>
      <c r="G1399" s="1" t="s">
        <v>3964</v>
      </c>
      <c r="H1399" s="4" t="s">
        <v>90</v>
      </c>
      <c r="V1399"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0" spans="1:22" hidden="1">
      <c r="A1400" s="2">
        <v>45994</v>
      </c>
      <c r="B1400" s="1" t="s">
        <v>4007</v>
      </c>
      <c r="C1400" s="1" t="s">
        <v>4008</v>
      </c>
      <c r="D1400" s="1" t="s">
        <v>63</v>
      </c>
      <c r="E1400" s="1">
        <v>85033</v>
      </c>
      <c r="F1400" s="1" t="s">
        <v>4009</v>
      </c>
      <c r="G1400" s="1" t="s">
        <v>3964</v>
      </c>
      <c r="H1400" s="4" t="s">
        <v>27</v>
      </c>
      <c r="V1400"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1" spans="1:22" hidden="1">
      <c r="A1401" s="2">
        <v>45994</v>
      </c>
      <c r="B1401" s="1" t="s">
        <v>4010</v>
      </c>
      <c r="C1401" s="1" t="s">
        <v>1647</v>
      </c>
      <c r="D1401" s="1" t="s">
        <v>737</v>
      </c>
      <c r="E1401" s="1">
        <v>86326</v>
      </c>
      <c r="F1401" s="1" t="s">
        <v>4011</v>
      </c>
      <c r="G1401" s="1" t="s">
        <v>3964</v>
      </c>
      <c r="H1401" s="4" t="s">
        <v>90</v>
      </c>
      <c r="V1401"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2" spans="1:22" hidden="1">
      <c r="A1402" s="2">
        <v>45994</v>
      </c>
      <c r="B1402" s="1" t="s">
        <v>4012</v>
      </c>
      <c r="C1402" s="1" t="s">
        <v>4013</v>
      </c>
      <c r="D1402" s="1" t="s">
        <v>24</v>
      </c>
      <c r="E1402" s="1">
        <v>85308</v>
      </c>
      <c r="F1402" s="1" t="s">
        <v>4014</v>
      </c>
      <c r="G1402" s="1" t="s">
        <v>3964</v>
      </c>
      <c r="H1402" s="4" t="s">
        <v>27</v>
      </c>
      <c r="V1402"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3" spans="1:22" hidden="1">
      <c r="A1403" s="2">
        <v>45994</v>
      </c>
      <c r="B1403" s="1" t="s">
        <v>4015</v>
      </c>
      <c r="C1403" s="1" t="s">
        <v>340</v>
      </c>
      <c r="D1403" s="1" t="s">
        <v>63</v>
      </c>
      <c r="E1403" s="1">
        <v>85022</v>
      </c>
      <c r="F1403" s="1" t="s">
        <v>4016</v>
      </c>
      <c r="G1403" s="1" t="s">
        <v>3964</v>
      </c>
      <c r="H1403" s="4" t="s">
        <v>4017</v>
      </c>
      <c r="I1403" s="5" t="s">
        <v>73</v>
      </c>
      <c r="J1403" s="5" t="s">
        <v>37</v>
      </c>
      <c r="K1403" s="5" t="s">
        <v>37</v>
      </c>
      <c r="L1403" s="5" t="s">
        <v>4018</v>
      </c>
      <c r="M1403" s="5" t="s">
        <v>37</v>
      </c>
      <c r="N1403" s="5" t="s">
        <v>37</v>
      </c>
      <c r="O1403" s="5" t="s">
        <v>38</v>
      </c>
      <c r="P1403" s="5" t="s">
        <v>39</v>
      </c>
      <c r="Q1403" s="2">
        <v>46000</v>
      </c>
      <c r="V1403"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4" spans="1:22" hidden="1">
      <c r="A1404" s="2">
        <v>45994</v>
      </c>
      <c r="B1404" s="1" t="s">
        <v>4019</v>
      </c>
      <c r="C1404" s="1" t="s">
        <v>4020</v>
      </c>
      <c r="D1404" s="1" t="s">
        <v>63</v>
      </c>
      <c r="E1404" s="1">
        <v>85003</v>
      </c>
      <c r="F1404" s="1" t="s">
        <v>4021</v>
      </c>
      <c r="G1404" s="1" t="s">
        <v>3964</v>
      </c>
      <c r="H1404" s="4" t="s">
        <v>27</v>
      </c>
      <c r="R1404" s="1" t="s">
        <v>3965</v>
      </c>
      <c r="V1404"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5" spans="1:22" hidden="1">
      <c r="A1405" s="2">
        <v>45994</v>
      </c>
      <c r="B1405" s="1" t="s">
        <v>4022</v>
      </c>
      <c r="C1405" s="1" t="s">
        <v>4023</v>
      </c>
      <c r="D1405" s="1" t="s">
        <v>523</v>
      </c>
      <c r="E1405" s="1">
        <v>85323</v>
      </c>
      <c r="F1405" s="1" t="s">
        <v>4024</v>
      </c>
      <c r="G1405" s="1" t="s">
        <v>3964</v>
      </c>
      <c r="H1405" s="4" t="s">
        <v>27</v>
      </c>
      <c r="R1405" s="1" t="s">
        <v>3965</v>
      </c>
      <c r="V1405"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6" spans="1:22" hidden="1">
      <c r="A1406" s="2">
        <v>45994</v>
      </c>
      <c r="B1406" s="1" t="s">
        <v>4025</v>
      </c>
      <c r="C1406" s="1" t="s">
        <v>4026</v>
      </c>
      <c r="D1406" s="1" t="s">
        <v>2542</v>
      </c>
      <c r="E1406" s="1">
        <v>86325</v>
      </c>
      <c r="F1406" s="1" t="s">
        <v>4027</v>
      </c>
      <c r="G1406" s="1" t="s">
        <v>3964</v>
      </c>
      <c r="H1406" s="4" t="s">
        <v>27</v>
      </c>
      <c r="V1406"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7" spans="1:22" hidden="1">
      <c r="A1407" s="2">
        <v>45994</v>
      </c>
      <c r="B1407" s="1" t="s">
        <v>4028</v>
      </c>
      <c r="C1407" s="1" t="s">
        <v>4029</v>
      </c>
      <c r="D1407" s="1" t="s">
        <v>112</v>
      </c>
      <c r="E1407" s="1">
        <v>85379</v>
      </c>
      <c r="F1407" s="1" t="s">
        <v>4030</v>
      </c>
      <c r="G1407" s="1" t="s">
        <v>3964</v>
      </c>
      <c r="H1407" s="4" t="s">
        <v>27</v>
      </c>
      <c r="V1407"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8" spans="1:22" hidden="1">
      <c r="A1408" s="2">
        <v>45994</v>
      </c>
      <c r="B1408" s="1" t="s">
        <v>30</v>
      </c>
      <c r="C1408" s="1" t="s">
        <v>4031</v>
      </c>
      <c r="D1408" s="1" t="s">
        <v>30</v>
      </c>
      <c r="E1408" s="1" t="s">
        <v>30</v>
      </c>
      <c r="F1408" s="1" t="s">
        <v>4032</v>
      </c>
      <c r="G1408" s="1" t="s">
        <v>3964</v>
      </c>
      <c r="H1408" s="4" t="s">
        <v>27</v>
      </c>
      <c r="V1408" s="46">
        <f>IF(
  OR(
    ISNUMBER(SEARCH("unable to locate acct", tblDocketedComments[[#This Row],[Docketed Consumer Comments]])),
    ISNUMBER(SEARCH("unknown", tblDocketedComments[[#This Row],[Docketed Consumer Comments]])),
    ISNUMBER(SEARCH("inactive", tblDocketedComments[[#This Row],[Docketed Consumer Comments]]))
  ),
  0,
  1
)</f>
        <v>1</v>
      </c>
    </row>
    <row r="1409" spans="1:22" hidden="1">
      <c r="A1409" s="2">
        <v>45994</v>
      </c>
      <c r="B1409" s="1" t="s">
        <v>4033</v>
      </c>
      <c r="C1409" s="1" t="s">
        <v>4034</v>
      </c>
      <c r="D1409" s="1" t="s">
        <v>68</v>
      </c>
      <c r="F1409" s="1" t="s">
        <v>4035</v>
      </c>
      <c r="G1409" s="1" t="s">
        <v>3964</v>
      </c>
      <c r="H1409" s="4" t="s">
        <v>4036</v>
      </c>
      <c r="I1409" s="5" t="s">
        <v>36</v>
      </c>
      <c r="J1409" s="5" t="s">
        <v>37</v>
      </c>
      <c r="K1409" s="5" t="s">
        <v>37</v>
      </c>
      <c r="L1409" s="5" t="s">
        <v>38</v>
      </c>
      <c r="M1409" s="5" t="s">
        <v>37</v>
      </c>
      <c r="N1409" s="5" t="s">
        <v>37</v>
      </c>
      <c r="O1409" s="5" t="s">
        <v>38</v>
      </c>
      <c r="P1409" s="5" t="s">
        <v>39</v>
      </c>
      <c r="Q1409" s="2">
        <v>46000</v>
      </c>
      <c r="V1409"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0" spans="1:22" hidden="1">
      <c r="A1410" s="2">
        <v>45994</v>
      </c>
      <c r="B1410" s="1" t="s">
        <v>4037</v>
      </c>
      <c r="C1410" s="1" t="s">
        <v>4038</v>
      </c>
      <c r="D1410" s="1" t="s">
        <v>63</v>
      </c>
      <c r="E1410" s="1">
        <v>85037</v>
      </c>
      <c r="F1410" s="1" t="s">
        <v>4039</v>
      </c>
      <c r="G1410" s="1" t="s">
        <v>3964</v>
      </c>
      <c r="H1410" s="4" t="s">
        <v>27</v>
      </c>
      <c r="R1410" s="1" t="s">
        <v>3965</v>
      </c>
      <c r="V1410"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1" spans="1:22" hidden="1">
      <c r="A1411" s="2">
        <v>45994</v>
      </c>
      <c r="B1411" s="1" t="s">
        <v>219</v>
      </c>
      <c r="C1411" s="1" t="s">
        <v>4040</v>
      </c>
      <c r="D1411" s="1" t="s">
        <v>63</v>
      </c>
      <c r="E1411" s="1">
        <v>85017</v>
      </c>
      <c r="F1411" s="1" t="s">
        <v>4041</v>
      </c>
      <c r="G1411" s="1" t="s">
        <v>3964</v>
      </c>
      <c r="H1411" s="4" t="s">
        <v>27</v>
      </c>
      <c r="R1411" s="1" t="s">
        <v>3965</v>
      </c>
      <c r="V1411"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2" spans="1:22" hidden="1">
      <c r="A1412" s="2">
        <v>45994</v>
      </c>
      <c r="B1412" s="1" t="s">
        <v>30</v>
      </c>
      <c r="C1412" s="1" t="s">
        <v>4042</v>
      </c>
      <c r="D1412" s="1" t="s">
        <v>63</v>
      </c>
      <c r="E1412" s="1">
        <v>85003</v>
      </c>
      <c r="F1412" s="1" t="s">
        <v>4043</v>
      </c>
      <c r="G1412" s="1" t="s">
        <v>3964</v>
      </c>
      <c r="H1412" s="4" t="s">
        <v>27</v>
      </c>
      <c r="V1412"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3" spans="1:22" hidden="1">
      <c r="A1413" s="2">
        <v>45994</v>
      </c>
      <c r="B1413" s="1" t="s">
        <v>4044</v>
      </c>
      <c r="C1413" s="1" t="s">
        <v>4045</v>
      </c>
      <c r="D1413" s="1" t="s">
        <v>63</v>
      </c>
      <c r="E1413" s="1">
        <v>85042</v>
      </c>
      <c r="F1413" s="1" t="s">
        <v>4046</v>
      </c>
      <c r="G1413" s="1" t="s">
        <v>3964</v>
      </c>
      <c r="H1413" s="4" t="s">
        <v>27</v>
      </c>
      <c r="V1413"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4" spans="1:22" hidden="1">
      <c r="A1414" s="2">
        <v>45994</v>
      </c>
      <c r="B1414" s="1" t="s">
        <v>4047</v>
      </c>
      <c r="C1414" s="1" t="s">
        <v>4048</v>
      </c>
      <c r="D1414" s="1" t="s">
        <v>4049</v>
      </c>
      <c r="E1414" s="1">
        <v>85040</v>
      </c>
      <c r="F1414" s="1" t="s">
        <v>4050</v>
      </c>
      <c r="G1414" s="1" t="s">
        <v>3964</v>
      </c>
      <c r="H1414" s="4" t="s">
        <v>27</v>
      </c>
      <c r="R1414" s="1" t="s">
        <v>3965</v>
      </c>
      <c r="V1414"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5" spans="1:22" hidden="1">
      <c r="A1415" s="2">
        <v>45994</v>
      </c>
      <c r="B1415" s="1" t="s">
        <v>30</v>
      </c>
      <c r="C1415" s="1" t="s">
        <v>4051</v>
      </c>
      <c r="D1415" s="1" t="s">
        <v>30</v>
      </c>
      <c r="E1415" s="1" t="s">
        <v>30</v>
      </c>
      <c r="G1415" s="1" t="s">
        <v>3964</v>
      </c>
      <c r="V1415"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6" spans="1:22" hidden="1">
      <c r="A1416" s="2">
        <v>45995</v>
      </c>
      <c r="B1416" s="1" t="s">
        <v>4052</v>
      </c>
      <c r="C1416" s="1" t="s">
        <v>4053</v>
      </c>
      <c r="D1416" s="1" t="s">
        <v>112</v>
      </c>
      <c r="E1416" s="1">
        <v>85379</v>
      </c>
      <c r="F1416" s="1" t="s">
        <v>4054</v>
      </c>
      <c r="G1416" s="40" t="s">
        <v>4055</v>
      </c>
      <c r="H1416" s="4" t="s">
        <v>4056</v>
      </c>
      <c r="I1416" s="5" t="s">
        <v>4057</v>
      </c>
      <c r="J1416" s="5" t="s">
        <v>37</v>
      </c>
      <c r="K1416" s="5" t="s">
        <v>37</v>
      </c>
      <c r="L1416" s="5" t="s">
        <v>389</v>
      </c>
      <c r="M1416" s="5" t="s">
        <v>37</v>
      </c>
      <c r="N1416" s="5" t="s">
        <v>37</v>
      </c>
      <c r="O1416" s="5" t="s">
        <v>38</v>
      </c>
      <c r="P1416" s="5" t="s">
        <v>39</v>
      </c>
      <c r="Q1416" s="2">
        <v>46000</v>
      </c>
      <c r="V1416"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7" spans="1:22" hidden="1">
      <c r="A1417" s="42">
        <v>45996</v>
      </c>
      <c r="B1417" s="33" t="s">
        <v>4058</v>
      </c>
      <c r="C1417" s="33" t="s">
        <v>479</v>
      </c>
      <c r="D1417" s="33" t="s">
        <v>63</v>
      </c>
      <c r="E1417" s="33">
        <v>85032</v>
      </c>
      <c r="F1417" s="33" t="s">
        <v>4059</v>
      </c>
      <c r="G1417" s="44" t="s">
        <v>4060</v>
      </c>
      <c r="H1417" s="45" t="s">
        <v>4061</v>
      </c>
      <c r="I1417" s="43" t="s">
        <v>57</v>
      </c>
      <c r="J1417" s="43" t="s">
        <v>37</v>
      </c>
      <c r="K1417" s="43" t="s">
        <v>37</v>
      </c>
      <c r="L1417" s="43" t="s">
        <v>4062</v>
      </c>
      <c r="M1417" s="43" t="s">
        <v>37</v>
      </c>
      <c r="N1417" s="43" t="s">
        <v>37</v>
      </c>
      <c r="O1417" s="43" t="s">
        <v>38</v>
      </c>
      <c r="P1417" s="43"/>
      <c r="Q1417" s="42">
        <v>46000</v>
      </c>
      <c r="R1417" s="33" t="s">
        <v>4004</v>
      </c>
      <c r="S1417" s="33"/>
      <c r="T1417" s="33"/>
      <c r="U1417" s="33"/>
      <c r="V1417"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8" spans="1:22" hidden="1">
      <c r="A1418" s="2">
        <v>46003</v>
      </c>
      <c r="B1418" s="1" t="s">
        <v>4063</v>
      </c>
      <c r="C1418" s="1" t="s">
        <v>784</v>
      </c>
      <c r="D1418" s="1" t="s">
        <v>112</v>
      </c>
      <c r="E1418" s="1">
        <v>85378</v>
      </c>
      <c r="F1418" s="1" t="s">
        <v>4064</v>
      </c>
      <c r="G1418" s="1" t="s">
        <v>4065</v>
      </c>
      <c r="H1418" s="4" t="s">
        <v>27</v>
      </c>
      <c r="V1418" s="46">
        <f>IF(
  OR(
    ISNUMBER(SEARCH("unable to locate acct", tblDocketedComments[[#This Row],[Docketed Consumer Comments]])),
    ISNUMBER(SEARCH("unknown", tblDocketedComments[[#This Row],[Docketed Consumer Comments]])),
    ISNUMBER(SEARCH("inactive", tblDocketedComments[[#This Row],[Docketed Consumer Comments]]))
  ),
  0,
  1
)</f>
        <v>1</v>
      </c>
    </row>
    <row r="1419" spans="1:22" hidden="1">
      <c r="A1419" s="2">
        <v>46003</v>
      </c>
      <c r="B1419" s="1" t="s">
        <v>4066</v>
      </c>
      <c r="C1419" s="1" t="s">
        <v>4067</v>
      </c>
      <c r="D1419" s="1" t="s">
        <v>174</v>
      </c>
      <c r="E1419" s="1">
        <v>85396</v>
      </c>
      <c r="F1419" s="1" t="s">
        <v>4068</v>
      </c>
      <c r="G1419" s="1" t="s">
        <v>4065</v>
      </c>
      <c r="H1419" s="4" t="s">
        <v>4069</v>
      </c>
      <c r="I1419" s="5" t="s">
        <v>250</v>
      </c>
      <c r="J1419" s="5" t="s">
        <v>37</v>
      </c>
      <c r="K1419" s="5" t="s">
        <v>37</v>
      </c>
      <c r="L1419" s="5" t="s">
        <v>38</v>
      </c>
      <c r="M1419" s="5" t="s">
        <v>37</v>
      </c>
      <c r="N1419" s="5" t="s">
        <v>37</v>
      </c>
      <c r="O1419" s="5" t="s">
        <v>38</v>
      </c>
      <c r="P1419" s="5" t="s">
        <v>39</v>
      </c>
      <c r="Q1419" s="5">
        <v>46008</v>
      </c>
      <c r="V1419" s="46">
        <f>IF(
  OR(
    ISNUMBER(SEARCH("unable to locate acct", tblDocketedComments[[#This Row],[Docketed Consumer Comments]])),
    ISNUMBER(SEARCH("unknown", tblDocketedComments[[#This Row],[Docketed Consumer Comments]])),
    ISNUMBER(SEARCH("inactive", tblDocketedComments[[#This Row],[Docketed Consumer Comments]]))
  ),
  0,
  1
)</f>
        <v>1</v>
      </c>
    </row>
    <row r="1420" spans="1:22" hidden="1">
      <c r="A1420" s="2">
        <v>46003</v>
      </c>
      <c r="B1420" s="1" t="s">
        <v>4070</v>
      </c>
      <c r="C1420" s="1" t="s">
        <v>4071</v>
      </c>
      <c r="D1420" s="1" t="s">
        <v>174</v>
      </c>
      <c r="E1420" s="1">
        <v>85396</v>
      </c>
      <c r="F1420" s="1" t="s">
        <v>4072</v>
      </c>
      <c r="G1420" s="1" t="s">
        <v>4065</v>
      </c>
      <c r="H1420" s="4" t="s">
        <v>4073</v>
      </c>
      <c r="I1420" s="5" t="s">
        <v>4074</v>
      </c>
      <c r="J1420" s="5" t="s">
        <v>37</v>
      </c>
      <c r="K1420" s="5" t="s">
        <v>37</v>
      </c>
      <c r="L1420" s="5" t="s">
        <v>38</v>
      </c>
      <c r="M1420" s="5" t="s">
        <v>37</v>
      </c>
      <c r="N1420" s="5" t="s">
        <v>37</v>
      </c>
      <c r="O1420" s="5" t="s">
        <v>38</v>
      </c>
      <c r="P1420" s="5" t="s">
        <v>39</v>
      </c>
      <c r="Q1420" s="5">
        <v>46008</v>
      </c>
      <c r="V1420" s="46">
        <f>IF(
  OR(
    ISNUMBER(SEARCH("unable to locate acct", tblDocketedComments[[#This Row],[Docketed Consumer Comments]])),
    ISNUMBER(SEARCH("unknown", tblDocketedComments[[#This Row],[Docketed Consumer Comments]])),
    ISNUMBER(SEARCH("inactive", tblDocketedComments[[#This Row],[Docketed Consumer Comments]]))
  ),
  0,
  1
)</f>
        <v>1</v>
      </c>
    </row>
    <row r="1421" spans="1:22" hidden="1">
      <c r="A1421" s="2">
        <v>46003</v>
      </c>
      <c r="B1421" s="1" t="s">
        <v>4075</v>
      </c>
      <c r="C1421" s="1" t="s">
        <v>208</v>
      </c>
      <c r="D1421" s="1" t="s">
        <v>174</v>
      </c>
      <c r="E1421" s="1">
        <v>85396</v>
      </c>
      <c r="F1421" s="1" t="s">
        <v>4076</v>
      </c>
      <c r="G1421" s="1" t="s">
        <v>4065</v>
      </c>
      <c r="H1421" s="4" t="s">
        <v>4077</v>
      </c>
      <c r="I1421" s="5" t="s">
        <v>4078</v>
      </c>
      <c r="J1421" s="5" t="s">
        <v>37</v>
      </c>
      <c r="K1421" s="5" t="s">
        <v>37</v>
      </c>
      <c r="L1421" s="5" t="s">
        <v>4079</v>
      </c>
      <c r="M1421" s="5" t="s">
        <v>37</v>
      </c>
      <c r="N1421" s="5" t="s">
        <v>37</v>
      </c>
      <c r="O1421" s="5" t="s">
        <v>38</v>
      </c>
      <c r="P1421" s="5" t="s">
        <v>39</v>
      </c>
      <c r="Q1421" s="5">
        <v>46008</v>
      </c>
      <c r="V1421" s="46">
        <f>IF(
  OR(
    ISNUMBER(SEARCH("unable to locate acct", tblDocketedComments[[#This Row],[Docketed Consumer Comments]])),
    ISNUMBER(SEARCH("unknown", tblDocketedComments[[#This Row],[Docketed Consumer Comments]])),
    ISNUMBER(SEARCH("inactive", tblDocketedComments[[#This Row],[Docketed Consumer Comments]]))
  ),
  0,
  1
)</f>
        <v>1</v>
      </c>
    </row>
    <row r="1422" spans="1:22" hidden="1">
      <c r="A1422" s="2">
        <v>46006</v>
      </c>
      <c r="B1422" s="1" t="s">
        <v>214</v>
      </c>
      <c r="C1422" s="1" t="s">
        <v>199</v>
      </c>
      <c r="D1422" s="1" t="s">
        <v>3538</v>
      </c>
      <c r="E1422" s="1" t="s">
        <v>30</v>
      </c>
      <c r="F1422" s="1" t="s">
        <v>3865</v>
      </c>
      <c r="G1422" s="1" t="s">
        <v>4080</v>
      </c>
      <c r="H1422" s="4" t="s">
        <v>27</v>
      </c>
      <c r="V1422" s="46">
        <f>IF(
  OR(
    ISNUMBER(SEARCH("unable to locate acct", tblDocketedComments[[#This Row],[Docketed Consumer Comments]])),
    ISNUMBER(SEARCH("unknown", tblDocketedComments[[#This Row],[Docketed Consumer Comments]])),
    ISNUMBER(SEARCH("inactive", tblDocketedComments[[#This Row],[Docketed Consumer Comments]]))
  ),
  0,
  1
)</f>
        <v>1</v>
      </c>
    </row>
    <row r="1423" spans="1:22" hidden="1">
      <c r="A1423" s="2">
        <v>46006</v>
      </c>
      <c r="B1423" s="1" t="s">
        <v>3561</v>
      </c>
      <c r="C1423" s="1" t="s">
        <v>481</v>
      </c>
      <c r="D1423" s="1" t="s">
        <v>85</v>
      </c>
      <c r="E1423" s="1">
        <v>86323</v>
      </c>
      <c r="F1423" s="1" t="s">
        <v>4081</v>
      </c>
      <c r="G1423" s="1" t="s">
        <v>4082</v>
      </c>
      <c r="H1423" s="4" t="s">
        <v>4083</v>
      </c>
      <c r="I1423" s="5" t="s">
        <v>126</v>
      </c>
      <c r="J1423" s="5" t="s">
        <v>37</v>
      </c>
      <c r="K1423" s="5" t="s">
        <v>37</v>
      </c>
      <c r="L1423" s="5" t="s">
        <v>38</v>
      </c>
      <c r="M1423" s="5" t="s">
        <v>37</v>
      </c>
      <c r="N1423" s="5" t="s">
        <v>37</v>
      </c>
      <c r="O1423" s="5" t="s">
        <v>38</v>
      </c>
      <c r="P1423" s="5" t="s">
        <v>39</v>
      </c>
      <c r="Q1423" s="5">
        <v>46008</v>
      </c>
      <c r="V1423" s="46">
        <f>IF(
  OR(
    ISNUMBER(SEARCH("unable to locate acct", tblDocketedComments[[#This Row],[Docketed Consumer Comments]])),
    ISNUMBER(SEARCH("unknown", tblDocketedComments[[#This Row],[Docketed Consumer Comments]])),
    ISNUMBER(SEARCH("inactive", tblDocketedComments[[#This Row],[Docketed Consumer Comments]]))
  ),
  0,
  1
)</f>
        <v>1</v>
      </c>
    </row>
    <row r="1424" spans="1:22" hidden="1">
      <c r="A1424" s="2">
        <v>46006</v>
      </c>
      <c r="B1424" s="1" t="s">
        <v>4084</v>
      </c>
      <c r="C1424" s="1" t="s">
        <v>4085</v>
      </c>
      <c r="D1424" s="1" t="s">
        <v>293</v>
      </c>
      <c r="E1424" s="1">
        <v>85138</v>
      </c>
      <c r="F1424" s="1" t="s">
        <v>4086</v>
      </c>
      <c r="G1424" s="1" t="s">
        <v>4087</v>
      </c>
      <c r="H1424" s="4" t="s">
        <v>27</v>
      </c>
      <c r="V1424" s="46">
        <f>IF(
  OR(
    ISNUMBER(SEARCH("unable to locate acct", tblDocketedComments[[#This Row],[Docketed Consumer Comments]])),
    ISNUMBER(SEARCH("unknown", tblDocketedComments[[#This Row],[Docketed Consumer Comments]])),
    ISNUMBER(SEARCH("inactive", tblDocketedComments[[#This Row],[Docketed Consumer Comments]]))
  ),
  0,
  1
)</f>
        <v>1</v>
      </c>
    </row>
    <row r="1425" spans="1:22" hidden="1">
      <c r="A1425" s="2">
        <v>46006</v>
      </c>
      <c r="B1425" s="1" t="s">
        <v>4088</v>
      </c>
      <c r="C1425" s="1" t="s">
        <v>662</v>
      </c>
      <c r="D1425" s="1" t="s">
        <v>4089</v>
      </c>
      <c r="E1425" s="1">
        <v>89145</v>
      </c>
      <c r="F1425" s="1" t="s">
        <v>4090</v>
      </c>
      <c r="G1425" s="1" t="s">
        <v>4091</v>
      </c>
      <c r="H1425" s="4" t="s">
        <v>27</v>
      </c>
      <c r="V1425" s="46">
        <f>IF(
  OR(
    ISNUMBER(SEARCH("unable to locate acct", tblDocketedComments[[#This Row],[Docketed Consumer Comments]])),
    ISNUMBER(SEARCH("unknown", tblDocketedComments[[#This Row],[Docketed Consumer Comments]])),
    ISNUMBER(SEARCH("inactive", tblDocketedComments[[#This Row],[Docketed Consumer Comments]]))
  ),
  0,
  1
)</f>
        <v>1</v>
      </c>
    </row>
    <row r="1426" spans="1:22" hidden="1">
      <c r="A1426" s="2">
        <v>46008</v>
      </c>
      <c r="B1426" s="1" t="s">
        <v>1713</v>
      </c>
      <c r="C1426" s="1" t="s">
        <v>1714</v>
      </c>
      <c r="D1426" s="1" t="s">
        <v>30</v>
      </c>
      <c r="E1426" s="1" t="s">
        <v>30</v>
      </c>
      <c r="F1426" s="1" t="s">
        <v>4092</v>
      </c>
      <c r="G1426" s="1" t="s">
        <v>4093</v>
      </c>
      <c r="H1426" s="4" t="s">
        <v>27</v>
      </c>
      <c r="V1426" s="46">
        <f>IF(
  OR(
    ISNUMBER(SEARCH("unable to locate acct", tblDocketedComments[[#This Row],[Docketed Consumer Comments]])),
    ISNUMBER(SEARCH("unknown", tblDocketedComments[[#This Row],[Docketed Consumer Comments]])),
    ISNUMBER(SEARCH("inactive", tblDocketedComments[[#This Row],[Docketed Consumer Comments]]))
  ),
  0,
  1
)</f>
        <v>1</v>
      </c>
    </row>
    <row r="1427" spans="1:22" hidden="1">
      <c r="A1427" s="42">
        <v>46009</v>
      </c>
      <c r="B1427" s="33" t="s">
        <v>4094</v>
      </c>
      <c r="C1427" s="33" t="s">
        <v>4095</v>
      </c>
      <c r="D1427" s="33" t="s">
        <v>63</v>
      </c>
      <c r="E1427" s="33">
        <v>85022</v>
      </c>
      <c r="F1427" s="33" t="s">
        <v>3865</v>
      </c>
      <c r="G1427" s="44" t="s">
        <v>4096</v>
      </c>
      <c r="H1427" s="45" t="s">
        <v>4097</v>
      </c>
      <c r="I1427" s="43" t="s">
        <v>196</v>
      </c>
      <c r="J1427" s="43" t="s">
        <v>37</v>
      </c>
      <c r="K1427" s="43" t="s">
        <v>37</v>
      </c>
      <c r="L1427" s="43" t="s">
        <v>4098</v>
      </c>
      <c r="M1427" s="43" t="s">
        <v>37</v>
      </c>
      <c r="N1427" s="43" t="s">
        <v>37</v>
      </c>
      <c r="O1427" s="43" t="s">
        <v>38</v>
      </c>
      <c r="P1427" s="43"/>
      <c r="Q1427" s="42">
        <v>46015</v>
      </c>
      <c r="R1427" s="33" t="s">
        <v>4004</v>
      </c>
      <c r="S1427" s="33"/>
      <c r="T1427" s="33"/>
      <c r="U1427" s="33"/>
      <c r="V1427" s="1">
        <f>IF(
  OR(
    ISNUMBER(SEARCH("unable to locate acct", tblDocketedComments[[#This Row],[Docketed Consumer Comments]])),
    ISNUMBER(SEARCH("unknown", tblDocketedComments[[#This Row],[Docketed Consumer Comments]])),
    ISNUMBER(SEARCH("inactive", tblDocketedComments[[#This Row],[Docketed Consumer Comments]]))
  ),
  0,
  1
)</f>
        <v>1</v>
      </c>
    </row>
    <row r="1428" spans="1:22" hidden="1">
      <c r="A1428" s="2">
        <v>46009</v>
      </c>
      <c r="B1428" s="1" t="s">
        <v>2348</v>
      </c>
      <c r="C1428" s="1" t="s">
        <v>4099</v>
      </c>
      <c r="D1428" s="1" t="s">
        <v>112</v>
      </c>
      <c r="E1428" s="1">
        <v>85387</v>
      </c>
      <c r="F1428" s="1" t="s">
        <v>3865</v>
      </c>
      <c r="G1428" s="40" t="s">
        <v>4096</v>
      </c>
      <c r="H1428" s="4" t="s">
        <v>27</v>
      </c>
      <c r="V1428" s="1">
        <f>IF(
  OR(
    ISNUMBER(SEARCH("unable to locate acct", tblDocketedComments[[#This Row],[Docketed Consumer Comments]])),
    ISNUMBER(SEARCH("unknown", tblDocketedComments[[#This Row],[Docketed Consumer Comments]])),
    ISNUMBER(SEARCH("inactive", tblDocketedComments[[#This Row],[Docketed Consumer Comments]]))
  ),
  0,
  1
)</f>
        <v>1</v>
      </c>
    </row>
    <row r="1429" spans="1:22" hidden="1">
      <c r="A1429" s="2">
        <v>46010</v>
      </c>
      <c r="B1429" s="1" t="s">
        <v>4100</v>
      </c>
      <c r="C1429" s="1" t="s">
        <v>4101</v>
      </c>
      <c r="D1429" s="1" t="s">
        <v>635</v>
      </c>
      <c r="F1429" s="1" t="s">
        <v>3865</v>
      </c>
      <c r="G1429" s="40" t="s">
        <v>4102</v>
      </c>
      <c r="H1429" s="4" t="s">
        <v>27</v>
      </c>
      <c r="V1429" s="1">
        <f>IF(
  OR(
    ISNUMBER(SEARCH("unable to locate acct", tblDocketedComments[[#This Row],[Docketed Consumer Comments]])),
    ISNUMBER(SEARCH("unknown", tblDocketedComments[[#This Row],[Docketed Consumer Comments]])),
    ISNUMBER(SEARCH("inactive", tblDocketedComments[[#This Row],[Docketed Consumer Comments]]))
  ),
  0,
  1
)</f>
        <v>1</v>
      </c>
    </row>
    <row r="1430" spans="1:22" hidden="1">
      <c r="A1430" s="2">
        <v>46010</v>
      </c>
      <c r="B1430" s="1" t="s">
        <v>1195</v>
      </c>
      <c r="C1430" s="1" t="s">
        <v>4103</v>
      </c>
      <c r="D1430" s="1" t="s">
        <v>112</v>
      </c>
      <c r="E1430" s="1">
        <v>85387</v>
      </c>
      <c r="F1430" s="1" t="s">
        <v>3865</v>
      </c>
      <c r="G1430" s="40" t="s">
        <v>4102</v>
      </c>
      <c r="H1430" s="4" t="s">
        <v>27</v>
      </c>
      <c r="V1430" s="1">
        <f>IF(
  OR(
    ISNUMBER(SEARCH("unable to locate acct", tblDocketedComments[[#This Row],[Docketed Consumer Comments]])),
    ISNUMBER(SEARCH("unknown", tblDocketedComments[[#This Row],[Docketed Consumer Comments]])),
    ISNUMBER(SEARCH("inactive", tblDocketedComments[[#This Row],[Docketed Consumer Comments]]))
  ),
  0,
  1
)</f>
        <v>1</v>
      </c>
    </row>
    <row r="1431" spans="1:22" hidden="1">
      <c r="A1431" s="42">
        <v>46010</v>
      </c>
      <c r="B1431" s="33" t="s">
        <v>4104</v>
      </c>
      <c r="C1431" s="33" t="s">
        <v>481</v>
      </c>
      <c r="D1431" s="33" t="s">
        <v>174</v>
      </c>
      <c r="E1431" s="33">
        <v>85326</v>
      </c>
      <c r="F1431" s="33" t="s">
        <v>3865</v>
      </c>
      <c r="G1431" s="44" t="s">
        <v>4102</v>
      </c>
      <c r="H1431" s="45" t="s">
        <v>4105</v>
      </c>
      <c r="I1431" s="43" t="s">
        <v>196</v>
      </c>
      <c r="J1431" s="43" t="s">
        <v>37</v>
      </c>
      <c r="K1431" s="43" t="s">
        <v>37</v>
      </c>
      <c r="L1431" s="43" t="s">
        <v>4106</v>
      </c>
      <c r="M1431" s="43" t="s">
        <v>38</v>
      </c>
      <c r="N1431" s="90">
        <v>1309.77</v>
      </c>
      <c r="O1431" s="43" t="s">
        <v>38</v>
      </c>
      <c r="P1431" s="43"/>
      <c r="Q1431" s="42">
        <v>46015</v>
      </c>
      <c r="R1431" s="33" t="s">
        <v>4107</v>
      </c>
      <c r="S1431" s="33"/>
      <c r="T1431" s="33"/>
      <c r="U1431" s="33"/>
      <c r="V1431" s="1">
        <f>IF(
  OR(
    ISNUMBER(SEARCH("unable to locate acct", tblDocketedComments[[#This Row],[Docketed Consumer Comments]])),
    ISNUMBER(SEARCH("unknown", tblDocketedComments[[#This Row],[Docketed Consumer Comments]])),
    ISNUMBER(SEARCH("inactive", tblDocketedComments[[#This Row],[Docketed Consumer Comments]]))
  ),
  0,
  1
)</f>
        <v>1</v>
      </c>
    </row>
    <row r="1432" spans="1:22" hidden="1">
      <c r="A1432" s="2">
        <v>46010</v>
      </c>
      <c r="B1432" s="1" t="s">
        <v>4108</v>
      </c>
      <c r="C1432" s="1" t="s">
        <v>702</v>
      </c>
      <c r="D1432" s="1" t="s">
        <v>63</v>
      </c>
      <c r="E1432" s="1">
        <v>85016</v>
      </c>
      <c r="F1432" s="1" t="s">
        <v>3865</v>
      </c>
      <c r="G1432" s="40" t="s">
        <v>4102</v>
      </c>
      <c r="H1432" s="4" t="s">
        <v>90</v>
      </c>
      <c r="V1432" s="1">
        <f>IF(
  OR(
    ISNUMBER(SEARCH("unable to locate acct", tblDocketedComments[[#This Row],[Docketed Consumer Comments]])),
    ISNUMBER(SEARCH("unknown", tblDocketedComments[[#This Row],[Docketed Consumer Comments]])),
    ISNUMBER(SEARCH("inactive", tblDocketedComments[[#This Row],[Docketed Consumer Comments]]))
  ),
  0,
  1
)</f>
        <v>1</v>
      </c>
    </row>
    <row r="1433" spans="1:22" hidden="1">
      <c r="A1433" s="2">
        <v>46010</v>
      </c>
      <c r="B1433" s="1" t="s">
        <v>4109</v>
      </c>
      <c r="C1433" s="1" t="s">
        <v>2184</v>
      </c>
      <c r="D1433" s="1" t="s">
        <v>63</v>
      </c>
      <c r="E1433" s="1">
        <v>85015</v>
      </c>
      <c r="F1433" s="1" t="s">
        <v>3865</v>
      </c>
      <c r="G1433" s="40" t="s">
        <v>4102</v>
      </c>
      <c r="H1433" s="4">
        <v>8352070000</v>
      </c>
      <c r="I1433" s="5" t="s">
        <v>126</v>
      </c>
      <c r="J1433" s="5" t="s">
        <v>37</v>
      </c>
      <c r="K1433" s="5" t="s">
        <v>37</v>
      </c>
      <c r="L1433" s="5" t="s">
        <v>38</v>
      </c>
      <c r="M1433" s="5" t="s">
        <v>37</v>
      </c>
      <c r="N1433" s="5" t="s">
        <v>37</v>
      </c>
      <c r="O1433" s="5" t="s">
        <v>38</v>
      </c>
      <c r="P1433" s="5" t="s">
        <v>39</v>
      </c>
      <c r="Q1433" s="2">
        <v>46015</v>
      </c>
      <c r="V1433" s="1">
        <f>IF(
  OR(
    ISNUMBER(SEARCH("unable to locate acct", tblDocketedComments[[#This Row],[Docketed Consumer Comments]])),
    ISNUMBER(SEARCH("unknown", tblDocketedComments[[#This Row],[Docketed Consumer Comments]])),
    ISNUMBER(SEARCH("inactive", tblDocketedComments[[#This Row],[Docketed Consumer Comments]]))
  ),
  0,
  1
)</f>
        <v>1</v>
      </c>
    </row>
    <row r="1434" spans="1:22" hidden="1">
      <c r="A1434" s="2">
        <v>46010</v>
      </c>
      <c r="B1434" s="1" t="s">
        <v>526</v>
      </c>
      <c r="C1434" s="1" t="s">
        <v>427</v>
      </c>
      <c r="D1434" s="1" t="s">
        <v>169</v>
      </c>
      <c r="E1434" s="1">
        <v>85338</v>
      </c>
      <c r="F1434" s="1" t="s">
        <v>3865</v>
      </c>
      <c r="G1434" s="40" t="s">
        <v>4102</v>
      </c>
      <c r="H1434" s="4" t="s">
        <v>27</v>
      </c>
      <c r="V1434" s="1">
        <f>IF(
  OR(
    ISNUMBER(SEARCH("unable to locate acct", tblDocketedComments[[#This Row],[Docketed Consumer Comments]])),
    ISNUMBER(SEARCH("unknown", tblDocketedComments[[#This Row],[Docketed Consumer Comments]])),
    ISNUMBER(SEARCH("inactive", tblDocketedComments[[#This Row],[Docketed Consumer Comments]]))
  ),
  0,
  1
)</f>
        <v>1</v>
      </c>
    </row>
    <row r="1435" spans="1:22" hidden="1">
      <c r="A1435" s="2">
        <v>46010</v>
      </c>
      <c r="B1435" s="1" t="s">
        <v>4110</v>
      </c>
      <c r="C1435" s="1" t="s">
        <v>1323</v>
      </c>
      <c r="D1435" s="1" t="s">
        <v>370</v>
      </c>
      <c r="E1435" s="1">
        <v>85286</v>
      </c>
      <c r="F1435" s="1" t="s">
        <v>3865</v>
      </c>
      <c r="G1435" s="40" t="s">
        <v>4102</v>
      </c>
      <c r="H1435" s="4" t="s">
        <v>27</v>
      </c>
      <c r="V1435" s="1">
        <f>IF(
  OR(
    ISNUMBER(SEARCH("unable to locate acct", tblDocketedComments[[#This Row],[Docketed Consumer Comments]])),
    ISNUMBER(SEARCH("unknown", tblDocketedComments[[#This Row],[Docketed Consumer Comments]])),
    ISNUMBER(SEARCH("inactive", tblDocketedComments[[#This Row],[Docketed Consumer Comments]]))
  ),
  0,
  1
)</f>
        <v>1</v>
      </c>
    </row>
    <row r="1436" spans="1:22" hidden="1">
      <c r="A1436" s="2">
        <v>46010</v>
      </c>
      <c r="B1436" s="1" t="s">
        <v>3561</v>
      </c>
      <c r="C1436" s="1" t="s">
        <v>4111</v>
      </c>
      <c r="D1436" s="1" t="s">
        <v>2641</v>
      </c>
      <c r="E1436" s="1">
        <v>85087</v>
      </c>
      <c r="F1436" s="1" t="s">
        <v>3865</v>
      </c>
      <c r="G1436" s="40" t="s">
        <v>4102</v>
      </c>
      <c r="H1436" s="4" t="s">
        <v>4112</v>
      </c>
      <c r="I1436" s="5" t="s">
        <v>4074</v>
      </c>
      <c r="J1436" s="5" t="s">
        <v>37</v>
      </c>
      <c r="K1436" s="5" t="s">
        <v>37</v>
      </c>
      <c r="L1436" s="5" t="s">
        <v>38</v>
      </c>
      <c r="M1436" s="5" t="s">
        <v>37</v>
      </c>
      <c r="N1436" s="5" t="s">
        <v>37</v>
      </c>
      <c r="O1436" s="5" t="s">
        <v>38</v>
      </c>
      <c r="P1436" s="5" t="s">
        <v>39</v>
      </c>
      <c r="Q1436" s="2">
        <v>46015</v>
      </c>
      <c r="V1436" s="1">
        <f>IF(
  OR(
    ISNUMBER(SEARCH("unable to locate acct", tblDocketedComments[[#This Row],[Docketed Consumer Comments]])),
    ISNUMBER(SEARCH("unknown", tblDocketedComments[[#This Row],[Docketed Consumer Comments]])),
    ISNUMBER(SEARCH("inactive", tblDocketedComments[[#This Row],[Docketed Consumer Comments]]))
  ),
  0,
  1
)</f>
        <v>1</v>
      </c>
    </row>
    <row r="1437" spans="1:22" hidden="1">
      <c r="A1437" s="42">
        <v>46010</v>
      </c>
      <c r="B1437" s="33" t="s">
        <v>1356</v>
      </c>
      <c r="C1437" s="33" t="s">
        <v>3733</v>
      </c>
      <c r="D1437" s="33" t="s">
        <v>174</v>
      </c>
      <c r="E1437" s="33">
        <v>85326</v>
      </c>
      <c r="F1437" s="33" t="s">
        <v>3865</v>
      </c>
      <c r="G1437" s="44" t="s">
        <v>4102</v>
      </c>
      <c r="H1437" s="45" t="s">
        <v>4113</v>
      </c>
      <c r="I1437" s="43" t="s">
        <v>196</v>
      </c>
      <c r="J1437" s="43" t="s">
        <v>37</v>
      </c>
      <c r="K1437" s="43" t="s">
        <v>37</v>
      </c>
      <c r="L1437" s="43" t="s">
        <v>4114</v>
      </c>
      <c r="M1437" s="43" t="s">
        <v>37</v>
      </c>
      <c r="N1437" s="43" t="s">
        <v>37</v>
      </c>
      <c r="O1437" s="43" t="s">
        <v>38</v>
      </c>
      <c r="P1437" s="43"/>
      <c r="Q1437" s="42">
        <v>46015</v>
      </c>
      <c r="R1437" s="33" t="s">
        <v>4004</v>
      </c>
      <c r="S1437" s="33"/>
      <c r="T1437" s="33"/>
      <c r="U1437" s="33"/>
      <c r="V1437" s="1">
        <f>IF(
  OR(
    ISNUMBER(SEARCH("unable to locate acct", tblDocketedComments[[#This Row],[Docketed Consumer Comments]])),
    ISNUMBER(SEARCH("unknown", tblDocketedComments[[#This Row],[Docketed Consumer Comments]])),
    ISNUMBER(SEARCH("inactive", tblDocketedComments[[#This Row],[Docketed Consumer Comments]]))
  ),
  0,
  1
)</f>
        <v>1</v>
      </c>
    </row>
    <row r="1438" spans="1:22">
      <c r="A1438" s="23">
        <v>46014</v>
      </c>
      <c r="B1438" s="1" t="s">
        <v>4115</v>
      </c>
      <c r="C1438" s="1" t="s">
        <v>4116</v>
      </c>
      <c r="D1438" s="1" t="s">
        <v>3538</v>
      </c>
      <c r="E1438" s="1">
        <v>85718</v>
      </c>
      <c r="F1438" s="1" t="s">
        <v>3865</v>
      </c>
      <c r="G1438" s="1" t="s">
        <v>4117</v>
      </c>
      <c r="H1438" s="4" t="s">
        <v>27</v>
      </c>
    </row>
    <row r="1439" spans="1:22">
      <c r="A1439" s="23">
        <v>46014</v>
      </c>
      <c r="B1439" s="1" t="s">
        <v>4094</v>
      </c>
      <c r="C1439" s="1" t="s">
        <v>1533</v>
      </c>
      <c r="D1439" s="1" t="s">
        <v>63</v>
      </c>
      <c r="E1439" s="1">
        <v>85022</v>
      </c>
      <c r="F1439" s="1" t="s">
        <v>3865</v>
      </c>
      <c r="G1439" s="1" t="s">
        <v>4117</v>
      </c>
      <c r="H1439" s="4" t="s">
        <v>4097</v>
      </c>
      <c r="I1439" s="5" t="s">
        <v>196</v>
      </c>
      <c r="J1439" s="5" t="s">
        <v>37</v>
      </c>
      <c r="K1439" s="5" t="s">
        <v>37</v>
      </c>
      <c r="L1439" s="5" t="s">
        <v>4098</v>
      </c>
      <c r="M1439" s="5" t="s">
        <v>37</v>
      </c>
      <c r="N1439" s="5" t="s">
        <v>37</v>
      </c>
      <c r="O1439" s="5" t="s">
        <v>38</v>
      </c>
      <c r="Q1439" s="5">
        <v>46017</v>
      </c>
    </row>
    <row r="1440" spans="1:22">
      <c r="A1440" s="23">
        <v>46014</v>
      </c>
      <c r="B1440" s="1" t="s">
        <v>4118</v>
      </c>
      <c r="C1440" s="1" t="s">
        <v>124</v>
      </c>
      <c r="D1440" s="1" t="s">
        <v>63</v>
      </c>
      <c r="E1440" s="1">
        <v>85032</v>
      </c>
      <c r="F1440" s="1" t="s">
        <v>3865</v>
      </c>
      <c r="G1440" s="1" t="s">
        <v>4117</v>
      </c>
      <c r="H1440" s="4" t="s">
        <v>27</v>
      </c>
    </row>
    <row r="1441" spans="1:17">
      <c r="A1441" s="23">
        <v>46014</v>
      </c>
      <c r="B1441" s="1" t="s">
        <v>4119</v>
      </c>
      <c r="C1441" s="1" t="s">
        <v>2646</v>
      </c>
      <c r="D1441" s="1" t="s">
        <v>523</v>
      </c>
      <c r="E1441" s="1">
        <v>85323</v>
      </c>
      <c r="F1441" s="1" t="s">
        <v>3865</v>
      </c>
      <c r="G1441" s="1" t="s">
        <v>4117</v>
      </c>
      <c r="H1441" s="4" t="s">
        <v>27</v>
      </c>
    </row>
    <row r="1442" spans="1:17">
      <c r="A1442" s="23">
        <v>46014</v>
      </c>
      <c r="B1442" s="1" t="s">
        <v>4120</v>
      </c>
      <c r="C1442" s="1" t="s">
        <v>4121</v>
      </c>
      <c r="D1442" s="1" t="s">
        <v>93</v>
      </c>
      <c r="E1442" s="1">
        <v>85373</v>
      </c>
      <c r="F1442" s="1" t="s">
        <v>3865</v>
      </c>
      <c r="G1442" s="1" t="s">
        <v>4117</v>
      </c>
      <c r="H1442" s="4" t="s">
        <v>27</v>
      </c>
    </row>
    <row r="1443" spans="1:17">
      <c r="A1443" s="23">
        <v>46015</v>
      </c>
      <c r="B1443" s="1" t="s">
        <v>3765</v>
      </c>
      <c r="C1443" s="1" t="s">
        <v>2128</v>
      </c>
      <c r="F1443" s="1" t="s">
        <v>3865</v>
      </c>
      <c r="G1443" s="1" t="s">
        <v>4122</v>
      </c>
      <c r="H1443" s="4" t="s">
        <v>27</v>
      </c>
    </row>
    <row r="1444" spans="1:17">
      <c r="A1444" s="23">
        <v>46015</v>
      </c>
      <c r="B1444" s="1" t="s">
        <v>4123</v>
      </c>
      <c r="C1444" s="1" t="s">
        <v>3124</v>
      </c>
      <c r="D1444" s="1" t="s">
        <v>63</v>
      </c>
      <c r="E1444" s="1">
        <v>85029</v>
      </c>
      <c r="F1444" s="1" t="s">
        <v>4124</v>
      </c>
      <c r="G1444" s="1" t="s">
        <v>4122</v>
      </c>
      <c r="H1444" s="4" t="s">
        <v>4125</v>
      </c>
      <c r="I1444" s="5" t="s">
        <v>36</v>
      </c>
      <c r="J1444" s="5" t="s">
        <v>37</v>
      </c>
      <c r="K1444" s="5" t="s">
        <v>37</v>
      </c>
      <c r="L1444" s="5" t="s">
        <v>38</v>
      </c>
      <c r="M1444" s="5" t="s">
        <v>37</v>
      </c>
      <c r="N1444" s="5" t="s">
        <v>37</v>
      </c>
      <c r="O1444" s="5" t="s">
        <v>38</v>
      </c>
      <c r="P1444" s="5" t="s">
        <v>39</v>
      </c>
      <c r="Q1444" s="5">
        <v>46017</v>
      </c>
    </row>
    <row r="1445" spans="1:17">
      <c r="A1445" s="23">
        <v>46017</v>
      </c>
      <c r="B1445" s="1" t="s">
        <v>4126</v>
      </c>
      <c r="C1445" s="1" t="s">
        <v>4127</v>
      </c>
      <c r="D1445" s="1" t="s">
        <v>63</v>
      </c>
      <c r="E1445" s="1">
        <v>85006</v>
      </c>
      <c r="F1445" s="1" t="s">
        <v>3865</v>
      </c>
      <c r="G1445" s="1" t="s">
        <v>4128</v>
      </c>
      <c r="H1445" s="4" t="s">
        <v>4129</v>
      </c>
      <c r="I1445" s="5" t="s">
        <v>126</v>
      </c>
      <c r="J1445" s="5" t="s">
        <v>37</v>
      </c>
      <c r="K1445" s="5" t="s">
        <v>37</v>
      </c>
      <c r="L1445" s="5" t="s">
        <v>38</v>
      </c>
      <c r="M1445" s="5" t="s">
        <v>37</v>
      </c>
      <c r="N1445" s="5" t="s">
        <v>37</v>
      </c>
      <c r="O1445" s="5" t="s">
        <v>38</v>
      </c>
      <c r="P1445" s="5" t="s">
        <v>39</v>
      </c>
      <c r="Q1445" s="5">
        <v>46020</v>
      </c>
    </row>
    <row r="1446" spans="1:17">
      <c r="A1446" s="23">
        <v>46017</v>
      </c>
      <c r="B1446" s="1" t="s">
        <v>4130</v>
      </c>
      <c r="C1446" s="1" t="s">
        <v>75</v>
      </c>
      <c r="D1446" s="1" t="s">
        <v>202</v>
      </c>
      <c r="E1446" s="1">
        <v>85345</v>
      </c>
      <c r="F1446" s="1" t="s">
        <v>3865</v>
      </c>
      <c r="G1446" s="1" t="s">
        <v>4128</v>
      </c>
      <c r="H1446" s="4" t="s">
        <v>4131</v>
      </c>
      <c r="I1446" s="5" t="s">
        <v>36</v>
      </c>
      <c r="J1446" s="5" t="s">
        <v>37</v>
      </c>
      <c r="K1446" s="5" t="s">
        <v>37</v>
      </c>
      <c r="L1446" s="5" t="s">
        <v>38</v>
      </c>
      <c r="M1446" s="5" t="s">
        <v>37</v>
      </c>
      <c r="N1446" s="5" t="s">
        <v>37</v>
      </c>
      <c r="O1446" s="5" t="s">
        <v>38</v>
      </c>
      <c r="P1446" s="5" t="s">
        <v>39</v>
      </c>
      <c r="Q1446" s="5">
        <v>46020</v>
      </c>
    </row>
    <row r="1447" spans="1:17">
      <c r="A1447" s="23">
        <v>46017</v>
      </c>
      <c r="B1447" s="1" t="s">
        <v>4132</v>
      </c>
      <c r="C1447" s="1" t="s">
        <v>225</v>
      </c>
      <c r="D1447" s="1" t="s">
        <v>63</v>
      </c>
      <c r="E1447" s="1">
        <v>85022</v>
      </c>
      <c r="F1447" s="1" t="s">
        <v>3865</v>
      </c>
      <c r="G1447" s="1" t="s">
        <v>4128</v>
      </c>
      <c r="H1447" s="4" t="s">
        <v>4133</v>
      </c>
      <c r="I1447" s="5" t="s">
        <v>4074</v>
      </c>
      <c r="J1447" s="5" t="s">
        <v>37</v>
      </c>
      <c r="K1447" s="5" t="s">
        <v>37</v>
      </c>
      <c r="L1447" s="5" t="s">
        <v>38</v>
      </c>
      <c r="M1447" s="5" t="s">
        <v>37</v>
      </c>
      <c r="N1447" s="5" t="s">
        <v>37</v>
      </c>
      <c r="O1447" s="5" t="s">
        <v>38</v>
      </c>
      <c r="P1447" s="5" t="s">
        <v>39</v>
      </c>
      <c r="Q1447" s="5">
        <v>46020</v>
      </c>
    </row>
    <row r="1448" spans="1:17" ht="13.5">
      <c r="A1448" s="23">
        <v>46021</v>
      </c>
      <c r="B1448" s="1" t="s">
        <v>4134</v>
      </c>
      <c r="C1448" s="1" t="s">
        <v>2267</v>
      </c>
      <c r="D1448" s="1" t="s">
        <v>30</v>
      </c>
      <c r="E1448" s="1" t="s">
        <v>30</v>
      </c>
      <c r="F1448" s="1" t="s">
        <v>4135</v>
      </c>
      <c r="G1448" s="40" t="s">
        <v>4136</v>
      </c>
      <c r="H1448" s="91" t="s">
        <v>27</v>
      </c>
      <c r="Q1448" s="2"/>
    </row>
    <row r="1449" spans="1:17" ht="13.5">
      <c r="A1449" s="23">
        <v>46021</v>
      </c>
      <c r="B1449" s="1" t="s">
        <v>3675</v>
      </c>
      <c r="C1449" s="1" t="s">
        <v>4137</v>
      </c>
      <c r="D1449" s="1" t="s">
        <v>202</v>
      </c>
      <c r="E1449" s="1">
        <v>85345</v>
      </c>
      <c r="F1449" s="1" t="s">
        <v>4138</v>
      </c>
      <c r="G1449" s="92" t="s">
        <v>4139</v>
      </c>
      <c r="H1449" s="93">
        <v>211611000</v>
      </c>
      <c r="I1449" s="5" t="s">
        <v>36</v>
      </c>
      <c r="J1449" s="5" t="s">
        <v>37</v>
      </c>
      <c r="K1449" s="5" t="s">
        <v>37</v>
      </c>
      <c r="L1449" s="5" t="s">
        <v>38</v>
      </c>
      <c r="M1449" s="5" t="s">
        <v>37</v>
      </c>
      <c r="N1449" s="5" t="s">
        <v>37</v>
      </c>
      <c r="O1449" s="5" t="s">
        <v>38</v>
      </c>
      <c r="P1449" s="5" t="s">
        <v>39</v>
      </c>
      <c r="Q1449" s="2">
        <v>46022</v>
      </c>
    </row>
    <row r="1450" spans="1:17">
      <c r="A1450" s="23">
        <v>46021</v>
      </c>
      <c r="B1450" s="1" t="s">
        <v>4140</v>
      </c>
      <c r="C1450" s="1" t="s">
        <v>1311</v>
      </c>
      <c r="D1450" s="1" t="s">
        <v>125</v>
      </c>
      <c r="E1450" s="1">
        <v>85254</v>
      </c>
      <c r="F1450" s="1" t="s">
        <v>3865</v>
      </c>
      <c r="G1450" s="27" t="s">
        <v>4139</v>
      </c>
      <c r="H1450" s="91" t="s">
        <v>4141</v>
      </c>
      <c r="I1450" s="5" t="s">
        <v>73</v>
      </c>
      <c r="J1450" s="5" t="s">
        <v>37</v>
      </c>
      <c r="K1450" s="5" t="s">
        <v>37</v>
      </c>
      <c r="L1450" s="5" t="s">
        <v>38</v>
      </c>
      <c r="M1450" s="5" t="s">
        <v>37</v>
      </c>
      <c r="N1450" s="5" t="s">
        <v>37</v>
      </c>
      <c r="O1450" s="5" t="s">
        <v>38</v>
      </c>
      <c r="P1450" s="5" t="s">
        <v>39</v>
      </c>
      <c r="Q1450" s="2">
        <v>46022</v>
      </c>
    </row>
    <row r="1451" spans="1:17">
      <c r="A1451" s="23">
        <v>46021</v>
      </c>
      <c r="B1451" s="1" t="s">
        <v>4142</v>
      </c>
      <c r="C1451" s="1" t="s">
        <v>4143</v>
      </c>
      <c r="D1451" s="1" t="s">
        <v>63</v>
      </c>
      <c r="E1451" s="1">
        <v>85029</v>
      </c>
      <c r="F1451" s="1" t="s">
        <v>3865</v>
      </c>
      <c r="G1451" s="27" t="s">
        <v>4139</v>
      </c>
      <c r="H1451" s="4" t="s">
        <v>4144</v>
      </c>
      <c r="I1451" s="5" t="s">
        <v>36</v>
      </c>
      <c r="J1451" s="5" t="s">
        <v>37</v>
      </c>
      <c r="K1451" s="5" t="s">
        <v>37</v>
      </c>
      <c r="L1451" s="5" t="s">
        <v>38</v>
      </c>
      <c r="M1451" s="5" t="s">
        <v>37</v>
      </c>
      <c r="N1451" s="5" t="s">
        <v>37</v>
      </c>
      <c r="O1451" s="5" t="s">
        <v>38</v>
      </c>
      <c r="P1451" s="5" t="s">
        <v>39</v>
      </c>
      <c r="Q1451" s="2">
        <v>46022</v>
      </c>
    </row>
    <row r="1452" spans="1:17">
      <c r="A1452" s="23">
        <v>46021</v>
      </c>
      <c r="B1452" s="1" t="s">
        <v>4145</v>
      </c>
      <c r="C1452" s="1" t="s">
        <v>4146</v>
      </c>
      <c r="D1452" s="1" t="s">
        <v>30</v>
      </c>
      <c r="E1452" s="1" t="s">
        <v>30</v>
      </c>
      <c r="F1452" s="1" t="s">
        <v>3865</v>
      </c>
      <c r="G1452" s="27" t="s">
        <v>4139</v>
      </c>
      <c r="H1452" s="4" t="s">
        <v>27</v>
      </c>
    </row>
    <row r="1453" spans="1:17">
      <c r="A1453" s="23">
        <v>46021</v>
      </c>
      <c r="B1453" s="1" t="s">
        <v>4147</v>
      </c>
      <c r="C1453" s="1" t="s">
        <v>1342</v>
      </c>
      <c r="D1453" s="1" t="s">
        <v>30</v>
      </c>
      <c r="E1453" s="1" t="s">
        <v>30</v>
      </c>
      <c r="F1453" s="1" t="s">
        <v>3865</v>
      </c>
      <c r="G1453" s="27" t="s">
        <v>4139</v>
      </c>
      <c r="H1453" s="4" t="s">
        <v>27</v>
      </c>
    </row>
    <row r="1454" spans="1:17">
      <c r="A1454" s="23">
        <v>46021</v>
      </c>
      <c r="B1454" s="1" t="s">
        <v>4148</v>
      </c>
      <c r="C1454" s="1" t="s">
        <v>838</v>
      </c>
      <c r="D1454" s="1" t="s">
        <v>30</v>
      </c>
      <c r="E1454" s="1" t="s">
        <v>30</v>
      </c>
      <c r="F1454" s="1" t="s">
        <v>3865</v>
      </c>
      <c r="G1454" s="27" t="s">
        <v>4139</v>
      </c>
      <c r="H1454" s="4" t="s">
        <v>27</v>
      </c>
    </row>
    <row r="1455" spans="1:17">
      <c r="A1455" s="23">
        <v>46021</v>
      </c>
      <c r="B1455" s="1" t="s">
        <v>4149</v>
      </c>
      <c r="C1455" s="1" t="s">
        <v>4150</v>
      </c>
      <c r="D1455" s="1" t="s">
        <v>30</v>
      </c>
      <c r="E1455" s="1" t="s">
        <v>30</v>
      </c>
      <c r="F1455" s="1" t="s">
        <v>3865</v>
      </c>
      <c r="G1455" s="27" t="s">
        <v>4139</v>
      </c>
      <c r="H1455" s="4" t="s">
        <v>27</v>
      </c>
    </row>
    <row r="1456" spans="1:17">
      <c r="A1456" s="23">
        <v>46021</v>
      </c>
      <c r="B1456" s="1" t="s">
        <v>4130</v>
      </c>
      <c r="C1456" s="1" t="s">
        <v>75</v>
      </c>
      <c r="D1456" s="1" t="s">
        <v>30</v>
      </c>
      <c r="E1456" s="1" t="s">
        <v>30</v>
      </c>
      <c r="F1456" s="1" t="s">
        <v>3865</v>
      </c>
      <c r="G1456" s="27" t="s">
        <v>4139</v>
      </c>
      <c r="H1456" s="4" t="s">
        <v>27</v>
      </c>
    </row>
    <row r="1457" spans="1:23">
      <c r="A1457" s="23">
        <v>46021</v>
      </c>
      <c r="B1457" s="1" t="s">
        <v>3765</v>
      </c>
      <c r="C1457" s="1" t="s">
        <v>2128</v>
      </c>
      <c r="D1457" s="1" t="s">
        <v>30</v>
      </c>
      <c r="E1457" s="1" t="s">
        <v>30</v>
      </c>
      <c r="F1457" s="1" t="s">
        <v>3865</v>
      </c>
      <c r="G1457" s="27" t="s">
        <v>4139</v>
      </c>
      <c r="H1457" s="4" t="s">
        <v>27</v>
      </c>
    </row>
    <row r="1458" spans="1:23">
      <c r="A1458" s="23">
        <v>46021</v>
      </c>
      <c r="B1458" s="1" t="s">
        <v>4151</v>
      </c>
      <c r="C1458" s="1" t="s">
        <v>1537</v>
      </c>
      <c r="D1458" s="1" t="s">
        <v>30</v>
      </c>
      <c r="E1458" s="1" t="s">
        <v>30</v>
      </c>
      <c r="F1458" s="1" t="s">
        <v>3865</v>
      </c>
      <c r="G1458" s="27" t="s">
        <v>4139</v>
      </c>
      <c r="H1458" s="4" t="s">
        <v>27</v>
      </c>
    </row>
    <row r="1459" spans="1:23">
      <c r="A1459" s="23">
        <v>46021</v>
      </c>
      <c r="B1459" s="1" t="s">
        <v>4115</v>
      </c>
      <c r="C1459" s="1" t="s">
        <v>4116</v>
      </c>
      <c r="D1459" s="1" t="s">
        <v>30</v>
      </c>
      <c r="E1459" s="1" t="s">
        <v>30</v>
      </c>
      <c r="F1459" s="1" t="s">
        <v>3865</v>
      </c>
      <c r="G1459" s="27" t="s">
        <v>4139</v>
      </c>
      <c r="H1459" s="4" t="s">
        <v>27</v>
      </c>
    </row>
    <row r="1460" spans="1:23">
      <c r="A1460" s="23">
        <v>46024</v>
      </c>
      <c r="B1460" s="1" t="s">
        <v>4152</v>
      </c>
      <c r="C1460" s="1" t="s">
        <v>4153</v>
      </c>
      <c r="D1460" s="1" t="s">
        <v>63</v>
      </c>
      <c r="E1460" s="1">
        <v>85027</v>
      </c>
      <c r="F1460" s="1" t="s">
        <v>3865</v>
      </c>
      <c r="G1460" s="94" t="s">
        <v>4154</v>
      </c>
      <c r="H1460" s="4" t="s">
        <v>4155</v>
      </c>
      <c r="I1460" s="5" t="s">
        <v>81</v>
      </c>
      <c r="J1460" s="5" t="s">
        <v>37</v>
      </c>
      <c r="K1460" s="5" t="s">
        <v>37</v>
      </c>
      <c r="L1460" s="5" t="s">
        <v>4079</v>
      </c>
      <c r="M1460" s="5" t="s">
        <v>37</v>
      </c>
      <c r="N1460" s="5" t="s">
        <v>37</v>
      </c>
      <c r="O1460" s="5" t="s">
        <v>38</v>
      </c>
      <c r="P1460" s="5" t="s">
        <v>39</v>
      </c>
      <c r="Q1460" s="2">
        <v>46027</v>
      </c>
    </row>
    <row r="1461" spans="1:23">
      <c r="A1461" s="23">
        <v>46024</v>
      </c>
      <c r="B1461" s="1" t="s">
        <v>4156</v>
      </c>
      <c r="C1461" s="1" t="s">
        <v>3006</v>
      </c>
      <c r="D1461" s="1" t="s">
        <v>261</v>
      </c>
      <c r="E1461" s="1">
        <v>86315</v>
      </c>
      <c r="F1461" s="1" t="s">
        <v>3865</v>
      </c>
      <c r="G1461" s="94" t="s">
        <v>4154</v>
      </c>
      <c r="H1461" s="4" t="s">
        <v>4157</v>
      </c>
      <c r="I1461" s="5" t="s">
        <v>196</v>
      </c>
      <c r="J1461" s="5" t="s">
        <v>37</v>
      </c>
      <c r="K1461" s="5" t="s">
        <v>37</v>
      </c>
      <c r="L1461" s="5" t="s">
        <v>38</v>
      </c>
      <c r="M1461" s="5" t="s">
        <v>37</v>
      </c>
      <c r="N1461" s="5" t="s">
        <v>37</v>
      </c>
      <c r="O1461" s="5" t="s">
        <v>38</v>
      </c>
      <c r="P1461" s="5" t="s">
        <v>39</v>
      </c>
      <c r="Q1461" s="2">
        <v>46027</v>
      </c>
    </row>
    <row r="1462" spans="1:23">
      <c r="A1462" s="103">
        <v>46024</v>
      </c>
      <c r="B1462" s="33" t="s">
        <v>2404</v>
      </c>
      <c r="C1462" s="33" t="s">
        <v>4158</v>
      </c>
      <c r="D1462" s="33" t="s">
        <v>539</v>
      </c>
      <c r="E1462" s="33">
        <v>85122</v>
      </c>
      <c r="F1462" s="33" t="s">
        <v>3865</v>
      </c>
      <c r="G1462" s="95" t="s">
        <v>4154</v>
      </c>
      <c r="H1462" s="45" t="s">
        <v>4159</v>
      </c>
      <c r="I1462" s="43" t="s">
        <v>36</v>
      </c>
      <c r="J1462" s="43" t="s">
        <v>37</v>
      </c>
      <c r="K1462" s="43" t="s">
        <v>37</v>
      </c>
      <c r="L1462" s="43" t="s">
        <v>38</v>
      </c>
      <c r="M1462" s="43" t="s">
        <v>38</v>
      </c>
      <c r="N1462" s="90">
        <v>832.08</v>
      </c>
      <c r="O1462" s="43" t="s">
        <v>38</v>
      </c>
      <c r="P1462" s="43"/>
      <c r="Q1462" s="42">
        <v>46027</v>
      </c>
      <c r="R1462" s="33" t="s">
        <v>4160</v>
      </c>
      <c r="S1462" s="33"/>
      <c r="T1462" s="33"/>
      <c r="U1462" s="33"/>
      <c r="V1462" s="33"/>
      <c r="W1462" s="33"/>
    </row>
    <row r="1463" spans="1:23">
      <c r="A1463" s="23">
        <v>46024</v>
      </c>
      <c r="B1463" s="1" t="s">
        <v>4161</v>
      </c>
      <c r="C1463" s="1" t="s">
        <v>4162</v>
      </c>
      <c r="D1463" s="1" t="s">
        <v>370</v>
      </c>
      <c r="E1463" s="1">
        <v>85249</v>
      </c>
      <c r="F1463" s="1" t="s">
        <v>3865</v>
      </c>
      <c r="G1463" s="94" t="s">
        <v>4154</v>
      </c>
      <c r="H1463" s="4" t="s">
        <v>27</v>
      </c>
    </row>
    <row r="1464" spans="1:23">
      <c r="A1464" s="23">
        <v>46024</v>
      </c>
      <c r="B1464" s="1" t="s">
        <v>4142</v>
      </c>
      <c r="C1464" s="1" t="s">
        <v>4143</v>
      </c>
      <c r="D1464" s="1" t="s">
        <v>63</v>
      </c>
      <c r="E1464" s="1">
        <v>85029</v>
      </c>
      <c r="F1464" s="1" t="s">
        <v>3865</v>
      </c>
      <c r="G1464" s="94" t="s">
        <v>4154</v>
      </c>
      <c r="H1464" s="4" t="s">
        <v>4144</v>
      </c>
      <c r="I1464" s="5" t="s">
        <v>36</v>
      </c>
      <c r="J1464" s="5" t="s">
        <v>37</v>
      </c>
      <c r="K1464" s="5" t="s">
        <v>37</v>
      </c>
      <c r="L1464" s="5" t="s">
        <v>38</v>
      </c>
      <c r="M1464" s="5" t="s">
        <v>37</v>
      </c>
      <c r="N1464" s="5" t="s">
        <v>37</v>
      </c>
      <c r="O1464" s="5" t="s">
        <v>38</v>
      </c>
      <c r="P1464" s="5" t="s">
        <v>39</v>
      </c>
      <c r="Q1464" s="2">
        <v>46022</v>
      </c>
      <c r="R1464" s="1" t="s">
        <v>4163</v>
      </c>
    </row>
    <row r="1465" spans="1:23">
      <c r="A1465" s="23">
        <v>46024</v>
      </c>
      <c r="B1465" s="1" t="s">
        <v>4147</v>
      </c>
      <c r="C1465" s="1" t="s">
        <v>1342</v>
      </c>
      <c r="D1465" s="1" t="s">
        <v>4164</v>
      </c>
      <c r="E1465" s="1">
        <v>85028</v>
      </c>
      <c r="F1465" s="1" t="s">
        <v>3865</v>
      </c>
      <c r="G1465" s="94" t="s">
        <v>4154</v>
      </c>
      <c r="H1465" s="4" t="s">
        <v>27</v>
      </c>
      <c r="R1465" s="1" t="s">
        <v>4163</v>
      </c>
    </row>
    <row r="1466" spans="1:23">
      <c r="A1466" s="23">
        <v>46024</v>
      </c>
      <c r="B1466" s="1" t="s">
        <v>4140</v>
      </c>
      <c r="C1466" s="1" t="s">
        <v>1311</v>
      </c>
      <c r="D1466" s="1" t="s">
        <v>125</v>
      </c>
      <c r="E1466" s="1">
        <v>85254</v>
      </c>
      <c r="F1466" s="1" t="s">
        <v>3865</v>
      </c>
      <c r="G1466" s="94" t="s">
        <v>4154</v>
      </c>
      <c r="H1466" s="91" t="s">
        <v>4141</v>
      </c>
      <c r="I1466" s="5" t="s">
        <v>73</v>
      </c>
      <c r="J1466" s="5" t="s">
        <v>37</v>
      </c>
      <c r="K1466" s="5" t="s">
        <v>37</v>
      </c>
      <c r="L1466" s="5" t="s">
        <v>38</v>
      </c>
      <c r="M1466" s="5" t="s">
        <v>37</v>
      </c>
      <c r="N1466" s="5" t="s">
        <v>37</v>
      </c>
      <c r="O1466" s="5" t="s">
        <v>38</v>
      </c>
      <c r="P1466" s="5" t="s">
        <v>39</v>
      </c>
      <c r="Q1466" s="2">
        <v>46022</v>
      </c>
      <c r="R1466" s="1" t="s">
        <v>4163</v>
      </c>
    </row>
    <row r="1467" spans="1:23">
      <c r="A1467" s="23">
        <v>46024</v>
      </c>
      <c r="B1467" s="1" t="s">
        <v>2201</v>
      </c>
      <c r="C1467" s="1" t="s">
        <v>437</v>
      </c>
      <c r="D1467" s="1" t="s">
        <v>63</v>
      </c>
      <c r="E1467" s="1">
        <v>85023</v>
      </c>
      <c r="F1467" s="1" t="s">
        <v>3865</v>
      </c>
      <c r="G1467" s="94" t="s">
        <v>4154</v>
      </c>
      <c r="H1467" s="4" t="s">
        <v>4165</v>
      </c>
      <c r="I1467" s="5" t="s">
        <v>36</v>
      </c>
      <c r="J1467" s="5" t="s">
        <v>38</v>
      </c>
      <c r="K1467" s="5" t="s">
        <v>37</v>
      </c>
      <c r="L1467" s="5" t="s">
        <v>38</v>
      </c>
      <c r="M1467" s="5" t="s">
        <v>37</v>
      </c>
      <c r="N1467" s="5" t="s">
        <v>37</v>
      </c>
      <c r="O1467" s="5" t="s">
        <v>38</v>
      </c>
      <c r="P1467" s="5" t="s">
        <v>39</v>
      </c>
      <c r="Q1467" s="2">
        <v>46027</v>
      </c>
    </row>
    <row r="1468" spans="1:23">
      <c r="A1468" s="23">
        <v>46024</v>
      </c>
      <c r="B1468" s="1" t="s">
        <v>4145</v>
      </c>
      <c r="C1468" s="1" t="s">
        <v>4146</v>
      </c>
      <c r="D1468" s="1" t="s">
        <v>24</v>
      </c>
      <c r="E1468" s="1">
        <v>85301</v>
      </c>
      <c r="F1468" s="1" t="s">
        <v>3865</v>
      </c>
      <c r="G1468" s="94" t="s">
        <v>4154</v>
      </c>
      <c r="H1468" s="4" t="s">
        <v>27</v>
      </c>
      <c r="R1468" s="1" t="s">
        <v>4163</v>
      </c>
    </row>
    <row r="1469" spans="1:23">
      <c r="A1469" s="23">
        <v>46024</v>
      </c>
      <c r="B1469" s="1" t="s">
        <v>4166</v>
      </c>
      <c r="C1469" s="1" t="s">
        <v>4167</v>
      </c>
      <c r="D1469" s="1" t="s">
        <v>4164</v>
      </c>
      <c r="E1469" s="1">
        <v>85037</v>
      </c>
      <c r="F1469" s="1" t="s">
        <v>3865</v>
      </c>
      <c r="G1469" s="94" t="s">
        <v>4154</v>
      </c>
      <c r="H1469" s="4" t="s">
        <v>27</v>
      </c>
    </row>
    <row r="1470" spans="1:23">
      <c r="A1470" s="23">
        <v>46024</v>
      </c>
      <c r="B1470" s="1" t="s">
        <v>269</v>
      </c>
      <c r="C1470" s="1" t="s">
        <v>4168</v>
      </c>
      <c r="D1470" s="1" t="s">
        <v>24</v>
      </c>
      <c r="E1470" s="1">
        <v>85301</v>
      </c>
      <c r="F1470" s="1" t="s">
        <v>3865</v>
      </c>
      <c r="G1470" s="94" t="s">
        <v>4154</v>
      </c>
      <c r="H1470" s="4" t="s">
        <v>27</v>
      </c>
    </row>
    <row r="1471" spans="1:23">
      <c r="A1471" s="23">
        <v>46024</v>
      </c>
      <c r="B1471" s="1" t="s">
        <v>2184</v>
      </c>
      <c r="C1471" s="1" t="s">
        <v>4169</v>
      </c>
      <c r="D1471" s="1" t="s">
        <v>4170</v>
      </c>
      <c r="E1471" s="1">
        <v>85143</v>
      </c>
      <c r="F1471" s="1" t="s">
        <v>3865</v>
      </c>
      <c r="G1471" s="94" t="s">
        <v>4154</v>
      </c>
      <c r="H1471" s="4" t="s">
        <v>27</v>
      </c>
    </row>
    <row r="1472" spans="1:23">
      <c r="A1472" s="23">
        <v>46024</v>
      </c>
      <c r="B1472" s="1" t="s">
        <v>4171</v>
      </c>
      <c r="C1472" s="1" t="s">
        <v>658</v>
      </c>
      <c r="D1472" s="1" t="s">
        <v>63</v>
      </c>
      <c r="E1472" s="1">
        <v>85053</v>
      </c>
      <c r="F1472" s="1" t="s">
        <v>3865</v>
      </c>
      <c r="G1472" s="94" t="s">
        <v>4154</v>
      </c>
      <c r="H1472" s="4" t="s">
        <v>4172</v>
      </c>
      <c r="I1472" s="5" t="s">
        <v>541</v>
      </c>
      <c r="J1472" s="5" t="s">
        <v>37</v>
      </c>
      <c r="K1472" s="5" t="s">
        <v>37</v>
      </c>
      <c r="L1472" s="5" t="s">
        <v>4079</v>
      </c>
      <c r="M1472" s="5" t="s">
        <v>37</v>
      </c>
      <c r="N1472" s="5" t="s">
        <v>37</v>
      </c>
      <c r="O1472" s="5" t="s">
        <v>38</v>
      </c>
      <c r="P1472" s="5" t="s">
        <v>39</v>
      </c>
      <c r="Q1472" s="2">
        <v>46027</v>
      </c>
    </row>
    <row r="1473" spans="1:23">
      <c r="A1473" s="23">
        <v>46024</v>
      </c>
      <c r="B1473" s="1" t="s">
        <v>1413</v>
      </c>
      <c r="C1473" s="1" t="s">
        <v>355</v>
      </c>
      <c r="D1473" s="1" t="s">
        <v>63</v>
      </c>
      <c r="E1473" s="1">
        <v>85027</v>
      </c>
      <c r="F1473" s="1" t="s">
        <v>3865</v>
      </c>
      <c r="G1473" s="94" t="s">
        <v>4154</v>
      </c>
      <c r="H1473" s="4" t="s">
        <v>1414</v>
      </c>
      <c r="I1473" s="5" t="s">
        <v>196</v>
      </c>
      <c r="J1473" s="5" t="s">
        <v>37</v>
      </c>
      <c r="K1473" s="5" t="s">
        <v>37</v>
      </c>
      <c r="L1473" s="19" t="s">
        <v>4173</v>
      </c>
      <c r="M1473" s="5" t="s">
        <v>37</v>
      </c>
      <c r="N1473" s="5" t="s">
        <v>37</v>
      </c>
      <c r="O1473" s="5" t="s">
        <v>38</v>
      </c>
      <c r="P1473" s="5" t="s">
        <v>39</v>
      </c>
      <c r="Q1473" s="2">
        <v>46027</v>
      </c>
    </row>
    <row r="1474" spans="1:23">
      <c r="A1474" s="23">
        <v>46024</v>
      </c>
      <c r="B1474" s="1" t="s">
        <v>4174</v>
      </c>
      <c r="C1474" s="1" t="s">
        <v>4175</v>
      </c>
      <c r="D1474" s="1" t="s">
        <v>619</v>
      </c>
      <c r="E1474" s="1">
        <v>85365</v>
      </c>
      <c r="F1474" s="1" t="s">
        <v>3865</v>
      </c>
      <c r="G1474" s="94" t="s">
        <v>4154</v>
      </c>
      <c r="H1474" s="4" t="s">
        <v>4176</v>
      </c>
      <c r="I1474" s="5" t="s">
        <v>541</v>
      </c>
      <c r="J1474" s="5" t="s">
        <v>38</v>
      </c>
      <c r="K1474" s="5" t="s">
        <v>37</v>
      </c>
      <c r="L1474" s="5" t="s">
        <v>4177</v>
      </c>
      <c r="M1474" s="5" t="s">
        <v>38</v>
      </c>
      <c r="N1474" s="13">
        <v>310</v>
      </c>
      <c r="O1474" s="5" t="s">
        <v>38</v>
      </c>
      <c r="P1474" s="5" t="s">
        <v>39</v>
      </c>
      <c r="Q1474" s="2">
        <v>46028</v>
      </c>
      <c r="R1474" s="1" t="s">
        <v>4178</v>
      </c>
    </row>
    <row r="1475" spans="1:23">
      <c r="A1475" s="23">
        <v>46024</v>
      </c>
      <c r="B1475" s="1" t="s">
        <v>367</v>
      </c>
      <c r="C1475" s="1" t="s">
        <v>2730</v>
      </c>
      <c r="D1475" s="1" t="s">
        <v>2429</v>
      </c>
      <c r="E1475" s="1">
        <v>85132</v>
      </c>
      <c r="F1475" s="1" t="s">
        <v>3865</v>
      </c>
      <c r="G1475" s="94" t="s">
        <v>4154</v>
      </c>
      <c r="H1475" s="4" t="s">
        <v>4179</v>
      </c>
      <c r="I1475" s="5" t="s">
        <v>1488</v>
      </c>
      <c r="J1475" s="5" t="s">
        <v>38</v>
      </c>
      <c r="K1475" s="5" t="s">
        <v>37</v>
      </c>
      <c r="L1475" s="5" t="s">
        <v>4079</v>
      </c>
      <c r="M1475" s="5" t="s">
        <v>37</v>
      </c>
      <c r="N1475" s="5" t="s">
        <v>37</v>
      </c>
      <c r="O1475" s="5" t="s">
        <v>38</v>
      </c>
      <c r="P1475" s="5" t="s">
        <v>39</v>
      </c>
      <c r="Q1475" s="2">
        <v>46028</v>
      </c>
    </row>
    <row r="1476" spans="1:23">
      <c r="A1476" s="103">
        <v>46024</v>
      </c>
      <c r="B1476" s="33" t="s">
        <v>2617</v>
      </c>
      <c r="C1476" s="33" t="s">
        <v>2380</v>
      </c>
      <c r="D1476" s="33" t="s">
        <v>4180</v>
      </c>
      <c r="E1476" s="33">
        <v>86047</v>
      </c>
      <c r="F1476" s="33" t="s">
        <v>3865</v>
      </c>
      <c r="G1476" s="95" t="s">
        <v>4154</v>
      </c>
      <c r="H1476" s="45" t="s">
        <v>4181</v>
      </c>
      <c r="I1476" s="43" t="s">
        <v>126</v>
      </c>
      <c r="J1476" s="43" t="s">
        <v>38</v>
      </c>
      <c r="K1476" s="43" t="s">
        <v>37</v>
      </c>
      <c r="L1476" s="43" t="s">
        <v>4182</v>
      </c>
      <c r="M1476" s="43" t="s">
        <v>37</v>
      </c>
      <c r="N1476" s="43" t="s">
        <v>37</v>
      </c>
      <c r="O1476" s="43" t="s">
        <v>38</v>
      </c>
      <c r="P1476" s="43"/>
      <c r="Q1476" s="42">
        <v>46028</v>
      </c>
      <c r="R1476" s="33"/>
      <c r="S1476" s="33"/>
      <c r="T1476" s="33"/>
      <c r="U1476" s="33"/>
      <c r="V1476" s="33"/>
      <c r="W1476" s="33"/>
    </row>
    <row r="1477" spans="1:23">
      <c r="A1477" s="23">
        <v>46024</v>
      </c>
      <c r="B1477" s="1" t="s">
        <v>4183</v>
      </c>
      <c r="C1477" s="1" t="s">
        <v>3148</v>
      </c>
      <c r="D1477" s="1" t="s">
        <v>63</v>
      </c>
      <c r="E1477" s="1">
        <v>85028</v>
      </c>
      <c r="F1477" s="1" t="s">
        <v>3865</v>
      </c>
      <c r="G1477" s="94" t="s">
        <v>4154</v>
      </c>
      <c r="H1477" s="4" t="s">
        <v>4184</v>
      </c>
      <c r="I1477" s="5" t="s">
        <v>36</v>
      </c>
      <c r="J1477" s="5" t="s">
        <v>37</v>
      </c>
      <c r="K1477" s="5" t="s">
        <v>37</v>
      </c>
      <c r="L1477" s="5" t="s">
        <v>38</v>
      </c>
      <c r="M1477" s="5" t="s">
        <v>37</v>
      </c>
      <c r="N1477" s="5" t="s">
        <v>37</v>
      </c>
      <c r="O1477" s="5" t="s">
        <v>38</v>
      </c>
      <c r="P1477" s="5" t="s">
        <v>39</v>
      </c>
      <c r="Q1477" s="2">
        <v>46028</v>
      </c>
    </row>
    <row r="1478" spans="1:23">
      <c r="A1478" s="23">
        <v>46024</v>
      </c>
      <c r="B1478" s="1" t="s">
        <v>3529</v>
      </c>
      <c r="C1478" s="1" t="s">
        <v>3530</v>
      </c>
      <c r="D1478" s="1" t="s">
        <v>63</v>
      </c>
      <c r="E1478" s="1">
        <v>85028</v>
      </c>
      <c r="F1478" s="1" t="s">
        <v>3865</v>
      </c>
      <c r="G1478" s="94" t="s">
        <v>4154</v>
      </c>
      <c r="H1478" s="4" t="s">
        <v>3532</v>
      </c>
      <c r="I1478" s="5" t="s">
        <v>418</v>
      </c>
      <c r="J1478" s="5" t="s">
        <v>37</v>
      </c>
      <c r="K1478" s="5" t="s">
        <v>37</v>
      </c>
      <c r="L1478" s="5" t="s">
        <v>4079</v>
      </c>
      <c r="M1478" s="5" t="s">
        <v>37</v>
      </c>
      <c r="N1478" s="5" t="s">
        <v>37</v>
      </c>
      <c r="O1478" s="5" t="s">
        <v>38</v>
      </c>
      <c r="P1478" s="5" t="s">
        <v>39</v>
      </c>
      <c r="Q1478" s="2">
        <v>46028</v>
      </c>
    </row>
    <row r="1479" spans="1:23">
      <c r="A1479" s="23">
        <v>46024</v>
      </c>
      <c r="B1479" s="1" t="s">
        <v>78</v>
      </c>
      <c r="C1479" s="1" t="s">
        <v>2040</v>
      </c>
      <c r="D1479" s="1" t="s">
        <v>619</v>
      </c>
      <c r="E1479" s="1">
        <v>85365</v>
      </c>
      <c r="F1479" s="1" t="s">
        <v>3865</v>
      </c>
      <c r="G1479" s="94" t="s">
        <v>4154</v>
      </c>
      <c r="H1479" s="4" t="s">
        <v>27</v>
      </c>
    </row>
    <row r="1480" spans="1:23">
      <c r="A1480" s="23">
        <v>46024</v>
      </c>
      <c r="B1480" s="1" t="s">
        <v>4185</v>
      </c>
      <c r="C1480" s="1" t="s">
        <v>4186</v>
      </c>
      <c r="D1480" s="1" t="s">
        <v>68</v>
      </c>
      <c r="E1480" s="1">
        <v>85331</v>
      </c>
      <c r="F1480" s="1" t="s">
        <v>3865</v>
      </c>
      <c r="G1480" s="94" t="s">
        <v>4154</v>
      </c>
      <c r="H1480" s="4" t="s">
        <v>27</v>
      </c>
    </row>
    <row r="1481" spans="1:23">
      <c r="A1481" s="23">
        <v>46024</v>
      </c>
      <c r="B1481" s="1" t="s">
        <v>4187</v>
      </c>
      <c r="C1481" s="1" t="s">
        <v>4188</v>
      </c>
      <c r="D1481" s="1" t="s">
        <v>63</v>
      </c>
      <c r="E1481" s="1">
        <v>85044</v>
      </c>
      <c r="F1481" s="1" t="s">
        <v>3865</v>
      </c>
      <c r="G1481" s="94" t="s">
        <v>4154</v>
      </c>
      <c r="H1481" s="4" t="s">
        <v>27</v>
      </c>
    </row>
    <row r="1482" spans="1:23">
      <c r="A1482" s="23">
        <v>46024</v>
      </c>
      <c r="B1482" s="1" t="s">
        <v>1136</v>
      </c>
      <c r="C1482" s="1" t="s">
        <v>284</v>
      </c>
      <c r="D1482" s="1" t="s">
        <v>504</v>
      </c>
      <c r="E1482" s="1">
        <v>86005</v>
      </c>
      <c r="F1482" s="1" t="s">
        <v>3865</v>
      </c>
      <c r="G1482" s="94" t="s">
        <v>4154</v>
      </c>
      <c r="H1482" s="4" t="s">
        <v>4189</v>
      </c>
      <c r="I1482" s="5" t="s">
        <v>36</v>
      </c>
      <c r="J1482" s="5" t="s">
        <v>37</v>
      </c>
      <c r="K1482" s="5" t="s">
        <v>37</v>
      </c>
      <c r="L1482" s="5" t="s">
        <v>38</v>
      </c>
      <c r="M1482" s="5" t="s">
        <v>37</v>
      </c>
      <c r="N1482" s="5" t="s">
        <v>37</v>
      </c>
      <c r="O1482" s="5" t="s">
        <v>38</v>
      </c>
      <c r="P1482" s="5" t="s">
        <v>39</v>
      </c>
      <c r="Q1482" s="2">
        <v>46028</v>
      </c>
    </row>
    <row r="1483" spans="1:23">
      <c r="A1483" s="23">
        <v>46024</v>
      </c>
      <c r="B1483" s="1" t="s">
        <v>4190</v>
      </c>
      <c r="C1483" s="1" t="s">
        <v>291</v>
      </c>
      <c r="D1483" s="1" t="s">
        <v>63</v>
      </c>
      <c r="E1483" s="1">
        <v>85013</v>
      </c>
      <c r="F1483" s="1" t="s">
        <v>3865</v>
      </c>
      <c r="G1483" s="94" t="s">
        <v>4154</v>
      </c>
      <c r="H1483" s="4" t="s">
        <v>27</v>
      </c>
    </row>
    <row r="1484" spans="1:23">
      <c r="A1484" s="103">
        <v>46024</v>
      </c>
      <c r="B1484" s="33" t="s">
        <v>4191</v>
      </c>
      <c r="C1484" s="33" t="s">
        <v>75</v>
      </c>
      <c r="D1484" s="33" t="s">
        <v>63</v>
      </c>
      <c r="E1484" s="33">
        <v>85028</v>
      </c>
      <c r="F1484" s="33" t="s">
        <v>3865</v>
      </c>
      <c r="G1484" s="95" t="s">
        <v>4154</v>
      </c>
      <c r="H1484" s="45" t="s">
        <v>4192</v>
      </c>
      <c r="I1484" s="43" t="s">
        <v>57</v>
      </c>
      <c r="J1484" s="43" t="s">
        <v>37</v>
      </c>
      <c r="K1484" s="43" t="s">
        <v>37</v>
      </c>
      <c r="L1484" s="43" t="s">
        <v>4193</v>
      </c>
      <c r="M1484" s="43" t="s">
        <v>37</v>
      </c>
      <c r="N1484" s="43" t="s">
        <v>37</v>
      </c>
      <c r="O1484" s="43" t="s">
        <v>38</v>
      </c>
      <c r="P1484" s="43"/>
      <c r="Q1484" s="43"/>
      <c r="R1484" s="33"/>
      <c r="S1484" s="33"/>
      <c r="T1484" s="33"/>
      <c r="U1484" s="33"/>
      <c r="V1484" s="33"/>
      <c r="W1484" s="33"/>
    </row>
    <row r="1485" spans="1:23" ht="13.5">
      <c r="A1485" s="23">
        <v>46027</v>
      </c>
      <c r="B1485" s="1" t="s">
        <v>4148</v>
      </c>
      <c r="C1485" s="1" t="s">
        <v>838</v>
      </c>
      <c r="D1485" s="1" t="s">
        <v>30</v>
      </c>
      <c r="E1485" s="1" t="s">
        <v>30</v>
      </c>
      <c r="F1485" s="1" t="s">
        <v>3865</v>
      </c>
      <c r="G1485" s="40" t="s">
        <v>4194</v>
      </c>
      <c r="H1485" s="4" t="s">
        <v>27</v>
      </c>
    </row>
    <row r="1486" spans="1:23">
      <c r="A1486" s="23">
        <v>46027</v>
      </c>
      <c r="B1486" s="1" t="s">
        <v>176</v>
      </c>
      <c r="C1486" s="1" t="s">
        <v>399</v>
      </c>
      <c r="D1486" s="1" t="s">
        <v>30</v>
      </c>
      <c r="E1486" s="1" t="s">
        <v>30</v>
      </c>
      <c r="F1486" s="1" t="s">
        <v>3865</v>
      </c>
      <c r="G1486" s="1" t="s">
        <v>4194</v>
      </c>
      <c r="H1486" s="4" t="s">
        <v>27</v>
      </c>
    </row>
    <row r="1487" spans="1:23">
      <c r="A1487" s="23">
        <v>46027</v>
      </c>
      <c r="B1487" s="1" t="s">
        <v>4147</v>
      </c>
      <c r="C1487" s="1" t="s">
        <v>1342</v>
      </c>
      <c r="D1487" s="1" t="s">
        <v>30</v>
      </c>
      <c r="E1487" s="1" t="s">
        <v>30</v>
      </c>
      <c r="F1487" s="1" t="s">
        <v>3865</v>
      </c>
      <c r="G1487" s="1" t="s">
        <v>4194</v>
      </c>
      <c r="H1487" s="4" t="s">
        <v>27</v>
      </c>
    </row>
    <row r="1488" spans="1:23">
      <c r="A1488" s="23">
        <v>46027</v>
      </c>
      <c r="B1488" s="1" t="s">
        <v>4195</v>
      </c>
      <c r="C1488" s="1" t="s">
        <v>4196</v>
      </c>
      <c r="D1488" s="1" t="s">
        <v>202</v>
      </c>
      <c r="E1488" s="1">
        <v>85382</v>
      </c>
      <c r="F1488" s="1" t="s">
        <v>3865</v>
      </c>
      <c r="G1488" s="1" t="s">
        <v>4194</v>
      </c>
      <c r="H1488" s="4">
        <v>1336550000</v>
      </c>
      <c r="I1488" s="5" t="s">
        <v>36</v>
      </c>
      <c r="J1488" s="5" t="s">
        <v>37</v>
      </c>
      <c r="K1488" s="5" t="s">
        <v>37</v>
      </c>
      <c r="L1488" s="5" t="s">
        <v>38</v>
      </c>
      <c r="M1488" s="5" t="s">
        <v>37</v>
      </c>
      <c r="N1488" s="5" t="s">
        <v>37</v>
      </c>
      <c r="O1488" s="5" t="s">
        <v>38</v>
      </c>
      <c r="P1488" s="5" t="s">
        <v>39</v>
      </c>
      <c r="Q1488" s="2">
        <v>46028</v>
      </c>
    </row>
    <row r="1489" spans="1:23">
      <c r="A1489" s="23">
        <v>46027</v>
      </c>
      <c r="B1489" s="1" t="s">
        <v>4197</v>
      </c>
      <c r="C1489" s="1" t="s">
        <v>1093</v>
      </c>
      <c r="D1489" s="1" t="s">
        <v>30</v>
      </c>
      <c r="E1489" s="1" t="s">
        <v>30</v>
      </c>
      <c r="F1489" s="1" t="s">
        <v>3865</v>
      </c>
      <c r="G1489" s="1" t="s">
        <v>4194</v>
      </c>
      <c r="H1489" s="4" t="s">
        <v>27</v>
      </c>
    </row>
    <row r="1490" spans="1:23">
      <c r="A1490" s="23">
        <v>46027</v>
      </c>
      <c r="B1490" s="1" t="s">
        <v>4198</v>
      </c>
      <c r="C1490" s="1" t="s">
        <v>3506</v>
      </c>
      <c r="D1490" s="1" t="s">
        <v>63</v>
      </c>
      <c r="E1490" s="1">
        <v>85027</v>
      </c>
      <c r="F1490" s="1" t="s">
        <v>3865</v>
      </c>
      <c r="G1490" s="1" t="s">
        <v>4194</v>
      </c>
      <c r="H1490" s="4" t="s">
        <v>4199</v>
      </c>
      <c r="I1490" s="5" t="s">
        <v>36</v>
      </c>
      <c r="J1490" s="5" t="s">
        <v>38</v>
      </c>
      <c r="K1490" s="5" t="s">
        <v>38</v>
      </c>
      <c r="L1490" s="5" t="s">
        <v>38</v>
      </c>
      <c r="M1490" s="5" t="s">
        <v>37</v>
      </c>
      <c r="N1490" s="5" t="s">
        <v>37</v>
      </c>
      <c r="O1490" s="5" t="s">
        <v>38</v>
      </c>
    </row>
    <row r="1491" spans="1:23">
      <c r="A1491" s="23">
        <v>46027</v>
      </c>
      <c r="B1491" s="1" t="s">
        <v>3561</v>
      </c>
      <c r="C1491" s="1" t="s">
        <v>270</v>
      </c>
      <c r="D1491" s="1" t="s">
        <v>30</v>
      </c>
      <c r="E1491" s="1" t="s">
        <v>30</v>
      </c>
      <c r="F1491" s="1" t="s">
        <v>3865</v>
      </c>
      <c r="G1491" s="1" t="s">
        <v>4194</v>
      </c>
      <c r="H1491" s="4" t="s">
        <v>27</v>
      </c>
    </row>
    <row r="1492" spans="1:23">
      <c r="A1492" s="23">
        <v>46027</v>
      </c>
      <c r="B1492" s="1" t="s">
        <v>4200</v>
      </c>
      <c r="C1492" s="1" t="s">
        <v>2730</v>
      </c>
      <c r="D1492" s="1" t="s">
        <v>24</v>
      </c>
      <c r="E1492" s="1">
        <v>85306</v>
      </c>
      <c r="F1492" s="1" t="s">
        <v>3865</v>
      </c>
      <c r="G1492" s="1" t="s">
        <v>4194</v>
      </c>
      <c r="H1492" s="4" t="s">
        <v>4201</v>
      </c>
      <c r="I1492" s="5" t="s">
        <v>36</v>
      </c>
      <c r="J1492" s="5" t="s">
        <v>37</v>
      </c>
      <c r="K1492" s="5" t="s">
        <v>37</v>
      </c>
      <c r="L1492" s="5" t="s">
        <v>38</v>
      </c>
      <c r="M1492" s="5" t="s">
        <v>37</v>
      </c>
      <c r="N1492" s="5" t="s">
        <v>37</v>
      </c>
      <c r="O1492" s="5" t="s">
        <v>38</v>
      </c>
      <c r="P1492" s="5" t="s">
        <v>39</v>
      </c>
      <c r="Q1492" s="2">
        <v>46030</v>
      </c>
    </row>
    <row r="1493" spans="1:23">
      <c r="A1493" s="103">
        <v>46027</v>
      </c>
      <c r="B1493" s="33" t="s">
        <v>4202</v>
      </c>
      <c r="C1493" s="33" t="s">
        <v>1639</v>
      </c>
      <c r="D1493" s="33" t="s">
        <v>63</v>
      </c>
      <c r="E1493" s="33">
        <v>85032</v>
      </c>
      <c r="F1493" s="33" t="s">
        <v>3865</v>
      </c>
      <c r="G1493" s="33" t="s">
        <v>4194</v>
      </c>
      <c r="H1493" s="45" t="s">
        <v>4203</v>
      </c>
      <c r="I1493" s="43" t="s">
        <v>4002</v>
      </c>
      <c r="J1493" s="43" t="s">
        <v>37</v>
      </c>
      <c r="K1493" s="43" t="s">
        <v>37</v>
      </c>
      <c r="L1493" s="43" t="s">
        <v>4204</v>
      </c>
      <c r="M1493" s="43" t="s">
        <v>37</v>
      </c>
      <c r="N1493" s="43" t="s">
        <v>37</v>
      </c>
      <c r="O1493" s="43" t="s">
        <v>38</v>
      </c>
      <c r="P1493" s="43"/>
      <c r="Q1493" s="43"/>
      <c r="R1493" s="33"/>
      <c r="S1493" s="33"/>
      <c r="T1493" s="33"/>
      <c r="U1493" s="33"/>
      <c r="V1493" s="33"/>
      <c r="W1493" s="33"/>
    </row>
    <row r="1494" spans="1:23">
      <c r="A1494" s="23">
        <v>46027</v>
      </c>
      <c r="B1494" s="1" t="s">
        <v>4205</v>
      </c>
      <c r="C1494" s="1" t="s">
        <v>1824</v>
      </c>
      <c r="D1494" s="1" t="s">
        <v>63</v>
      </c>
      <c r="E1494" s="1">
        <v>85027</v>
      </c>
      <c r="F1494" s="1" t="s">
        <v>3865</v>
      </c>
      <c r="G1494" s="1" t="s">
        <v>4194</v>
      </c>
      <c r="H1494" s="4" t="s">
        <v>4206</v>
      </c>
      <c r="I1494" s="5" t="s">
        <v>36</v>
      </c>
      <c r="J1494" s="5" t="s">
        <v>37</v>
      </c>
      <c r="K1494" s="5" t="s">
        <v>37</v>
      </c>
      <c r="L1494" s="5" t="s">
        <v>38</v>
      </c>
      <c r="M1494" s="5" t="s">
        <v>37</v>
      </c>
      <c r="N1494" s="5" t="s">
        <v>37</v>
      </c>
      <c r="O1494" s="5" t="s">
        <v>38</v>
      </c>
      <c r="P1494" s="5" t="s">
        <v>39</v>
      </c>
      <c r="Q1494" s="2">
        <v>46030</v>
      </c>
    </row>
    <row r="1495" spans="1:23">
      <c r="A1495" s="23">
        <v>46027</v>
      </c>
      <c r="B1495" s="1" t="s">
        <v>4207</v>
      </c>
      <c r="C1495" s="1" t="s">
        <v>1876</v>
      </c>
      <c r="D1495" s="1" t="s">
        <v>63</v>
      </c>
      <c r="E1495" s="1">
        <v>85022</v>
      </c>
      <c r="F1495" s="1" t="s">
        <v>4208</v>
      </c>
      <c r="G1495" s="1" t="s">
        <v>4194</v>
      </c>
      <c r="H1495" s="4" t="s">
        <v>4209</v>
      </c>
      <c r="I1495" s="5" t="s">
        <v>73</v>
      </c>
      <c r="J1495" s="5" t="s">
        <v>38</v>
      </c>
      <c r="K1495" s="5" t="s">
        <v>37</v>
      </c>
      <c r="L1495" s="5" t="s">
        <v>38</v>
      </c>
      <c r="M1495" s="5" t="s">
        <v>37</v>
      </c>
      <c r="N1495" s="5" t="s">
        <v>37</v>
      </c>
      <c r="O1495" s="5" t="s">
        <v>38</v>
      </c>
      <c r="P1495" s="5" t="s">
        <v>39</v>
      </c>
      <c r="Q1495" s="2">
        <v>46030</v>
      </c>
    </row>
    <row r="1496" spans="1:23">
      <c r="A1496" s="23">
        <v>46027</v>
      </c>
      <c r="B1496" s="1" t="s">
        <v>4210</v>
      </c>
      <c r="C1496" s="1" t="s">
        <v>4211</v>
      </c>
      <c r="D1496" s="1" t="s">
        <v>169</v>
      </c>
      <c r="E1496" s="1">
        <v>85395</v>
      </c>
      <c r="F1496" s="1" t="s">
        <v>4212</v>
      </c>
      <c r="G1496" s="1" t="s">
        <v>4194</v>
      </c>
      <c r="H1496" s="4" t="s">
        <v>4213</v>
      </c>
      <c r="I1496" s="5" t="s">
        <v>4214</v>
      </c>
      <c r="J1496" s="5" t="s">
        <v>37</v>
      </c>
      <c r="K1496" s="5" t="s">
        <v>37</v>
      </c>
      <c r="L1496" s="5" t="s">
        <v>4079</v>
      </c>
      <c r="M1496" s="5" t="s">
        <v>37</v>
      </c>
      <c r="N1496" s="5" t="s">
        <v>37</v>
      </c>
      <c r="O1496" s="5" t="s">
        <v>38</v>
      </c>
      <c r="P1496" s="5" t="s">
        <v>39</v>
      </c>
      <c r="Q1496" s="2">
        <v>46030</v>
      </c>
    </row>
    <row r="1497" spans="1:23">
      <c r="A1497" s="23">
        <v>46028</v>
      </c>
      <c r="B1497" s="1" t="s">
        <v>4215</v>
      </c>
      <c r="C1497" s="1" t="s">
        <v>4216</v>
      </c>
      <c r="D1497" s="1" t="s">
        <v>89</v>
      </c>
      <c r="E1497" s="1">
        <v>86351</v>
      </c>
      <c r="F1497" s="1" t="s">
        <v>4217</v>
      </c>
      <c r="G1497" s="104" t="s">
        <v>4218</v>
      </c>
      <c r="H1497" s="4" t="s">
        <v>4219</v>
      </c>
      <c r="I1497" s="5" t="s">
        <v>4214</v>
      </c>
      <c r="J1497" s="5" t="s">
        <v>37</v>
      </c>
      <c r="K1497" s="5" t="s">
        <v>37</v>
      </c>
      <c r="L1497" s="5" t="s">
        <v>4079</v>
      </c>
      <c r="M1497" s="5" t="s">
        <v>37</v>
      </c>
      <c r="N1497" s="5" t="s">
        <v>37</v>
      </c>
      <c r="O1497" s="5" t="s">
        <v>38</v>
      </c>
      <c r="P1497" s="5" t="s">
        <v>39</v>
      </c>
      <c r="Q1497" s="2">
        <v>46030</v>
      </c>
    </row>
    <row r="1498" spans="1:23">
      <c r="A1498" s="23">
        <v>46028</v>
      </c>
      <c r="B1498" s="1" t="s">
        <v>4220</v>
      </c>
      <c r="C1498" s="1" t="s">
        <v>4221</v>
      </c>
      <c r="D1498" s="1" t="s">
        <v>202</v>
      </c>
      <c r="E1498" s="1">
        <v>85282</v>
      </c>
      <c r="F1498" s="1" t="s">
        <v>4222</v>
      </c>
      <c r="G1498" s="1" t="s">
        <v>4218</v>
      </c>
      <c r="H1498" s="4" t="s">
        <v>27</v>
      </c>
    </row>
    <row r="1499" spans="1:23">
      <c r="A1499" s="23">
        <v>46028</v>
      </c>
      <c r="B1499" s="1" t="s">
        <v>4223</v>
      </c>
      <c r="C1499" s="1" t="s">
        <v>676</v>
      </c>
      <c r="D1499" s="1" t="s">
        <v>737</v>
      </c>
      <c r="E1499" s="1">
        <v>86326</v>
      </c>
      <c r="F1499" s="1" t="s">
        <v>4224</v>
      </c>
      <c r="G1499" s="1" t="s">
        <v>4218</v>
      </c>
      <c r="H1499" s="4" t="s">
        <v>4225</v>
      </c>
      <c r="I1499" s="5" t="s">
        <v>73</v>
      </c>
      <c r="J1499" s="5" t="s">
        <v>37</v>
      </c>
      <c r="K1499" s="5" t="s">
        <v>37</v>
      </c>
      <c r="L1499" s="5" t="s">
        <v>38</v>
      </c>
      <c r="M1499" s="5" t="s">
        <v>37</v>
      </c>
      <c r="N1499" s="5" t="s">
        <v>37</v>
      </c>
      <c r="O1499" s="5" t="s">
        <v>38</v>
      </c>
      <c r="P1499" s="5" t="s">
        <v>39</v>
      </c>
      <c r="Q1499" s="2">
        <v>46030</v>
      </c>
    </row>
    <row r="1500" spans="1:23" ht="13.5">
      <c r="A1500" s="23">
        <v>46028</v>
      </c>
      <c r="B1500" s="1" t="s">
        <v>3675</v>
      </c>
      <c r="C1500" s="1" t="s">
        <v>4137</v>
      </c>
      <c r="D1500" s="1" t="s">
        <v>202</v>
      </c>
      <c r="E1500" s="1">
        <v>85354</v>
      </c>
      <c r="F1500" s="1" t="s">
        <v>4226</v>
      </c>
      <c r="G1500" s="40" t="s">
        <v>4227</v>
      </c>
      <c r="H1500" s="4" t="s">
        <v>4228</v>
      </c>
      <c r="I1500" s="5" t="s">
        <v>36</v>
      </c>
      <c r="J1500" s="5" t="s">
        <v>37</v>
      </c>
      <c r="K1500" s="5" t="s">
        <v>37</v>
      </c>
      <c r="L1500" s="5" t="s">
        <v>38</v>
      </c>
      <c r="M1500" s="5" t="s">
        <v>37</v>
      </c>
      <c r="N1500" s="5" t="s">
        <v>37</v>
      </c>
      <c r="O1500" s="5" t="s">
        <v>38</v>
      </c>
      <c r="P1500" s="5" t="s">
        <v>39</v>
      </c>
      <c r="Q1500" s="2">
        <v>46030</v>
      </c>
    </row>
    <row r="1501" spans="1:23">
      <c r="A1501" s="23">
        <v>46028</v>
      </c>
      <c r="B1501" s="1" t="s">
        <v>4229</v>
      </c>
      <c r="C1501" s="1" t="s">
        <v>4230</v>
      </c>
      <c r="D1501" s="1" t="s">
        <v>93</v>
      </c>
      <c r="E1501" s="1">
        <v>85373</v>
      </c>
      <c r="F1501" s="1" t="s">
        <v>4231</v>
      </c>
      <c r="G1501" s="1" t="s">
        <v>4227</v>
      </c>
      <c r="H1501" s="4" t="s">
        <v>4232</v>
      </c>
      <c r="I1501" s="5" t="s">
        <v>196</v>
      </c>
      <c r="J1501" s="5" t="s">
        <v>37</v>
      </c>
      <c r="K1501" s="5" t="s">
        <v>37</v>
      </c>
      <c r="L1501" s="5" t="s">
        <v>38</v>
      </c>
      <c r="M1501" s="5" t="s">
        <v>37</v>
      </c>
      <c r="N1501" s="5" t="s">
        <v>37</v>
      </c>
      <c r="O1501" s="5" t="s">
        <v>38</v>
      </c>
      <c r="P1501" s="5" t="s">
        <v>39</v>
      </c>
      <c r="Q1501" s="2">
        <v>46030</v>
      </c>
    </row>
    <row r="1502" spans="1:23">
      <c r="A1502" s="23">
        <v>46028</v>
      </c>
      <c r="B1502" s="1" t="s">
        <v>4233</v>
      </c>
      <c r="C1502" s="1" t="s">
        <v>4234</v>
      </c>
      <c r="D1502" s="1" t="s">
        <v>30</v>
      </c>
      <c r="E1502" s="1" t="s">
        <v>30</v>
      </c>
      <c r="F1502" s="1" t="s">
        <v>4235</v>
      </c>
      <c r="G1502" s="1" t="s">
        <v>4227</v>
      </c>
      <c r="H1502" s="4" t="s">
        <v>27</v>
      </c>
    </row>
    <row r="1503" spans="1:23" ht="13.5">
      <c r="A1503" s="23">
        <v>46029</v>
      </c>
      <c r="B1503" s="1" t="s">
        <v>4236</v>
      </c>
      <c r="C1503" s="1" t="s">
        <v>4237</v>
      </c>
      <c r="D1503" s="1" t="s">
        <v>30</v>
      </c>
      <c r="E1503" s="1" t="s">
        <v>30</v>
      </c>
      <c r="F1503" s="1" t="s">
        <v>3865</v>
      </c>
      <c r="G1503" s="40" t="s">
        <v>4238</v>
      </c>
      <c r="H1503" s="4" t="s">
        <v>27</v>
      </c>
      <c r="R1503" s="1" t="s">
        <v>4239</v>
      </c>
    </row>
    <row r="1504" spans="1:23" ht="13.5">
      <c r="A1504" s="103">
        <v>46031</v>
      </c>
      <c r="B1504" s="33" t="s">
        <v>4240</v>
      </c>
      <c r="C1504" s="33" t="s">
        <v>307</v>
      </c>
      <c r="D1504" s="33" t="s">
        <v>63</v>
      </c>
      <c r="E1504" s="33">
        <v>85029</v>
      </c>
      <c r="F1504" s="33" t="s">
        <v>4241</v>
      </c>
      <c r="G1504" s="44" t="s">
        <v>4242</v>
      </c>
      <c r="H1504" s="45" t="s">
        <v>4243</v>
      </c>
      <c r="I1504" s="43" t="s">
        <v>36</v>
      </c>
      <c r="J1504" s="43" t="s">
        <v>37</v>
      </c>
      <c r="K1504" s="43" t="s">
        <v>37</v>
      </c>
      <c r="L1504" s="43" t="s">
        <v>38</v>
      </c>
      <c r="M1504" s="43" t="s">
        <v>37</v>
      </c>
      <c r="N1504" s="43" t="s">
        <v>37</v>
      </c>
      <c r="O1504" s="43" t="s">
        <v>38</v>
      </c>
      <c r="P1504" s="43"/>
      <c r="Q1504" s="42">
        <v>46034</v>
      </c>
      <c r="R1504" s="33" t="s">
        <v>4244</v>
      </c>
      <c r="S1504" s="33"/>
      <c r="T1504" s="33"/>
      <c r="U1504" s="33"/>
      <c r="V1504" s="33"/>
      <c r="W1504" s="33"/>
    </row>
    <row r="1505" spans="1:22" ht="13.5">
      <c r="A1505" s="23">
        <v>46035</v>
      </c>
      <c r="B1505" s="1" t="s">
        <v>3002</v>
      </c>
      <c r="C1505" s="1" t="s">
        <v>1533</v>
      </c>
      <c r="D1505" s="1" t="s">
        <v>698</v>
      </c>
      <c r="E1505" s="1">
        <v>85375</v>
      </c>
      <c r="F1505" s="1" t="s">
        <v>4245</v>
      </c>
      <c r="G1505" s="40" t="s">
        <v>4246</v>
      </c>
      <c r="H1505" s="4" t="s">
        <v>3003</v>
      </c>
      <c r="I1505" s="5" t="s">
        <v>57</v>
      </c>
      <c r="J1505" s="5" t="s">
        <v>37</v>
      </c>
      <c r="K1505" s="5" t="s">
        <v>141</v>
      </c>
      <c r="L1505" s="5" t="s">
        <v>4247</v>
      </c>
      <c r="M1505" s="5" t="s">
        <v>37</v>
      </c>
      <c r="N1505" s="5" t="s">
        <v>37</v>
      </c>
      <c r="O1505" s="5" t="s">
        <v>38</v>
      </c>
      <c r="P1505" s="5" t="s">
        <v>39</v>
      </c>
      <c r="Q1505" s="2">
        <v>46036</v>
      </c>
      <c r="R1505" s="1" t="s">
        <v>4239</v>
      </c>
    </row>
    <row r="1506" spans="1:22" ht="13.5">
      <c r="A1506" s="105">
        <v>46037</v>
      </c>
      <c r="B1506" s="35" t="s">
        <v>2826</v>
      </c>
      <c r="C1506" s="35" t="s">
        <v>4248</v>
      </c>
      <c r="D1506" s="35" t="s">
        <v>816</v>
      </c>
      <c r="E1506" s="35">
        <v>86303</v>
      </c>
      <c r="F1506" s="35" t="s">
        <v>4249</v>
      </c>
      <c r="G1506" s="106" t="s">
        <v>4250</v>
      </c>
      <c r="H1506" s="19">
        <v>5226390000</v>
      </c>
      <c r="I1506" s="19" t="s">
        <v>126</v>
      </c>
      <c r="J1506" s="19" t="s">
        <v>37</v>
      </c>
      <c r="K1506" s="19" t="s">
        <v>37</v>
      </c>
      <c r="L1506" s="19" t="s">
        <v>38</v>
      </c>
      <c r="M1506" s="19" t="s">
        <v>37</v>
      </c>
      <c r="N1506" s="19" t="s">
        <v>37</v>
      </c>
      <c r="O1506" s="19" t="s">
        <v>38</v>
      </c>
      <c r="P1506" s="19" t="s">
        <v>39</v>
      </c>
      <c r="Q1506" s="34">
        <v>46044</v>
      </c>
      <c r="R1506" s="35"/>
      <c r="S1506" s="35"/>
      <c r="T1506" s="35"/>
      <c r="U1506" s="35"/>
      <c r="V1506" s="35"/>
    </row>
    <row r="1507" spans="1:22">
      <c r="A1507" s="105">
        <v>46037</v>
      </c>
      <c r="B1507" s="35" t="s">
        <v>4251</v>
      </c>
      <c r="C1507" s="35" t="s">
        <v>440</v>
      </c>
      <c r="D1507" s="35" t="s">
        <v>240</v>
      </c>
      <c r="E1507" s="35">
        <v>85340</v>
      </c>
      <c r="F1507" s="35" t="s">
        <v>4252</v>
      </c>
      <c r="G1507" s="35" t="s">
        <v>4250</v>
      </c>
      <c r="H1507" s="19">
        <v>2887200000</v>
      </c>
      <c r="I1507" s="19" t="s">
        <v>36</v>
      </c>
      <c r="J1507" s="19" t="s">
        <v>37</v>
      </c>
      <c r="K1507" s="19" t="s">
        <v>37</v>
      </c>
      <c r="L1507" s="19" t="s">
        <v>38</v>
      </c>
      <c r="M1507" s="19" t="s">
        <v>37</v>
      </c>
      <c r="N1507" s="19" t="s">
        <v>37</v>
      </c>
      <c r="O1507" s="19" t="s">
        <v>38</v>
      </c>
      <c r="P1507" s="19" t="s">
        <v>39</v>
      </c>
      <c r="Q1507" s="34">
        <v>46044</v>
      </c>
      <c r="R1507" s="35"/>
      <c r="S1507" s="35"/>
      <c r="T1507" s="35"/>
      <c r="U1507" s="35"/>
      <c r="V1507" s="35"/>
    </row>
    <row r="1508" spans="1:22">
      <c r="A1508" s="105">
        <v>46037</v>
      </c>
      <c r="B1508" s="35" t="s">
        <v>4253</v>
      </c>
      <c r="C1508" s="35" t="s">
        <v>4254</v>
      </c>
      <c r="D1508" s="35" t="s">
        <v>174</v>
      </c>
      <c r="E1508" s="35">
        <v>85396</v>
      </c>
      <c r="F1508" s="35" t="s">
        <v>4255</v>
      </c>
      <c r="G1508" s="35" t="s">
        <v>4250</v>
      </c>
      <c r="H1508" s="19">
        <v>762951654</v>
      </c>
      <c r="I1508" s="19" t="s">
        <v>541</v>
      </c>
      <c r="J1508" s="19" t="s">
        <v>37</v>
      </c>
      <c r="K1508" s="19" t="s">
        <v>37</v>
      </c>
      <c r="L1508" s="19" t="s">
        <v>4079</v>
      </c>
      <c r="M1508" s="19" t="s">
        <v>37</v>
      </c>
      <c r="N1508" s="19" t="s">
        <v>37</v>
      </c>
      <c r="O1508" s="19" t="s">
        <v>38</v>
      </c>
      <c r="P1508" s="19" t="s">
        <v>39</v>
      </c>
      <c r="Q1508" s="34">
        <v>46044</v>
      </c>
      <c r="R1508" s="35"/>
      <c r="S1508" s="35"/>
      <c r="T1508" s="35"/>
      <c r="U1508" s="35"/>
      <c r="V1508" s="35"/>
    </row>
    <row r="1509" spans="1:22">
      <c r="A1509" s="105">
        <v>46037</v>
      </c>
      <c r="B1509" s="35" t="s">
        <v>4256</v>
      </c>
      <c r="C1509" s="35" t="s">
        <v>553</v>
      </c>
      <c r="D1509" s="35" t="s">
        <v>202</v>
      </c>
      <c r="E1509" s="35">
        <v>85383</v>
      </c>
      <c r="F1509" s="35" t="s">
        <v>4257</v>
      </c>
      <c r="G1509" s="35" t="s">
        <v>4250</v>
      </c>
      <c r="H1509" s="19">
        <v>8744753955</v>
      </c>
      <c r="I1509" s="19" t="s">
        <v>1488</v>
      </c>
      <c r="J1509" s="19" t="s">
        <v>37</v>
      </c>
      <c r="K1509" s="19" t="s">
        <v>37</v>
      </c>
      <c r="L1509" s="19" t="s">
        <v>4079</v>
      </c>
      <c r="M1509" s="19" t="s">
        <v>37</v>
      </c>
      <c r="N1509" s="19" t="s">
        <v>37</v>
      </c>
      <c r="O1509" s="19" t="s">
        <v>38</v>
      </c>
      <c r="P1509" s="19" t="s">
        <v>39</v>
      </c>
      <c r="Q1509" s="34">
        <v>46044</v>
      </c>
      <c r="R1509" s="35"/>
      <c r="S1509" s="35"/>
      <c r="T1509" s="35"/>
      <c r="U1509" s="35"/>
      <c r="V1509" s="35"/>
    </row>
    <row r="1510" spans="1:22">
      <c r="A1510" s="105">
        <v>46037</v>
      </c>
      <c r="B1510" s="35" t="s">
        <v>227</v>
      </c>
      <c r="C1510" s="35" t="s">
        <v>3062</v>
      </c>
      <c r="D1510" s="35" t="s">
        <v>737</v>
      </c>
      <c r="E1510" s="35">
        <v>86326</v>
      </c>
      <c r="F1510" s="35" t="s">
        <v>4258</v>
      </c>
      <c r="G1510" s="35" t="s">
        <v>4250</v>
      </c>
      <c r="H1510" s="19" t="s">
        <v>27</v>
      </c>
      <c r="I1510" s="19"/>
      <c r="J1510" s="19"/>
      <c r="K1510" s="19"/>
      <c r="L1510" s="19"/>
      <c r="M1510" s="19"/>
      <c r="N1510" s="19"/>
      <c r="O1510" s="19"/>
      <c r="P1510" s="19"/>
      <c r="Q1510" s="19"/>
      <c r="R1510" s="35"/>
      <c r="S1510" s="35"/>
      <c r="T1510" s="35"/>
      <c r="U1510" s="35"/>
      <c r="V1510" s="35"/>
    </row>
    <row r="1511" spans="1:22">
      <c r="A1511" s="105">
        <v>46037</v>
      </c>
      <c r="B1511" s="35" t="s">
        <v>820</v>
      </c>
      <c r="C1511" s="35" t="s">
        <v>440</v>
      </c>
      <c r="D1511" s="35" t="s">
        <v>169</v>
      </c>
      <c r="E1511" s="35">
        <v>85338</v>
      </c>
      <c r="F1511" s="35" t="s">
        <v>4259</v>
      </c>
      <c r="G1511" s="35" t="s">
        <v>4250</v>
      </c>
      <c r="H1511" s="19">
        <v>5733698031</v>
      </c>
      <c r="I1511" s="19" t="s">
        <v>250</v>
      </c>
      <c r="J1511" s="19" t="s">
        <v>37</v>
      </c>
      <c r="K1511" s="19" t="s">
        <v>37</v>
      </c>
      <c r="L1511" s="19" t="s">
        <v>38</v>
      </c>
      <c r="M1511" s="19" t="s">
        <v>37</v>
      </c>
      <c r="N1511" s="19" t="s">
        <v>37</v>
      </c>
      <c r="O1511" s="19" t="s">
        <v>38</v>
      </c>
      <c r="P1511" s="19" t="s">
        <v>39</v>
      </c>
      <c r="Q1511" s="34">
        <v>46044</v>
      </c>
      <c r="R1511" s="35"/>
      <c r="S1511" s="35"/>
      <c r="T1511" s="35"/>
      <c r="U1511" s="35"/>
      <c r="V1511" s="35"/>
    </row>
    <row r="1512" spans="1:22">
      <c r="A1512" s="105">
        <v>46037</v>
      </c>
      <c r="B1512" s="35" t="s">
        <v>4260</v>
      </c>
      <c r="C1512" s="35" t="s">
        <v>1815</v>
      </c>
      <c r="D1512" s="35" t="s">
        <v>4261</v>
      </c>
      <c r="E1512" s="35">
        <v>86332</v>
      </c>
      <c r="F1512" s="35" t="s">
        <v>4262</v>
      </c>
      <c r="G1512" s="35" t="s">
        <v>4250</v>
      </c>
      <c r="H1512" s="19">
        <v>6609290000</v>
      </c>
      <c r="I1512" s="19" t="s">
        <v>73</v>
      </c>
      <c r="J1512" s="19" t="s">
        <v>37</v>
      </c>
      <c r="K1512" s="19" t="s">
        <v>37</v>
      </c>
      <c r="L1512" s="19" t="s">
        <v>38</v>
      </c>
      <c r="M1512" s="19" t="s">
        <v>37</v>
      </c>
      <c r="N1512" s="19" t="s">
        <v>37</v>
      </c>
      <c r="O1512" s="19" t="s">
        <v>38</v>
      </c>
      <c r="P1512" s="19" t="s">
        <v>39</v>
      </c>
      <c r="Q1512" s="34">
        <v>45679</v>
      </c>
      <c r="R1512" s="35"/>
      <c r="S1512" s="35"/>
      <c r="T1512" s="35"/>
      <c r="U1512" s="35"/>
      <c r="V1512" s="35"/>
    </row>
    <row r="1513" spans="1:22">
      <c r="A1513" s="105">
        <v>46037</v>
      </c>
      <c r="B1513" s="35" t="s">
        <v>4263</v>
      </c>
      <c r="C1513" s="35" t="s">
        <v>246</v>
      </c>
      <c r="D1513" s="35" t="s">
        <v>202</v>
      </c>
      <c r="E1513" s="35">
        <v>85383</v>
      </c>
      <c r="F1513" s="35" t="s">
        <v>4264</v>
      </c>
      <c r="G1513" s="35" t="s">
        <v>4250</v>
      </c>
      <c r="H1513" s="19">
        <v>272930000</v>
      </c>
      <c r="I1513" s="19" t="s">
        <v>46</v>
      </c>
      <c r="J1513" s="19" t="s">
        <v>37</v>
      </c>
      <c r="K1513" s="19" t="s">
        <v>37</v>
      </c>
      <c r="L1513" s="19" t="s">
        <v>38</v>
      </c>
      <c r="M1513" s="19" t="s">
        <v>37</v>
      </c>
      <c r="N1513" s="19" t="s">
        <v>37</v>
      </c>
      <c r="O1513" s="19" t="s">
        <v>38</v>
      </c>
      <c r="P1513" s="19" t="s">
        <v>39</v>
      </c>
      <c r="Q1513" s="34">
        <v>45679</v>
      </c>
      <c r="R1513" s="35"/>
      <c r="S1513" s="35"/>
      <c r="T1513" s="35"/>
      <c r="U1513" s="35"/>
      <c r="V1513" s="35"/>
    </row>
    <row r="1514" spans="1:22">
      <c r="A1514" s="105">
        <v>46037</v>
      </c>
      <c r="B1514" s="35" t="s">
        <v>2482</v>
      </c>
      <c r="C1514" s="35" t="s">
        <v>1809</v>
      </c>
      <c r="D1514" s="35" t="s">
        <v>112</v>
      </c>
      <c r="E1514" s="35">
        <v>85387</v>
      </c>
      <c r="F1514" s="35" t="s">
        <v>4265</v>
      </c>
      <c r="G1514" s="35" t="s">
        <v>4250</v>
      </c>
      <c r="H1514" s="19">
        <v>7165151000</v>
      </c>
      <c r="I1514" s="19" t="s">
        <v>126</v>
      </c>
      <c r="J1514" s="19" t="s">
        <v>37</v>
      </c>
      <c r="K1514" s="19" t="s">
        <v>37</v>
      </c>
      <c r="L1514" s="19" t="s">
        <v>4266</v>
      </c>
      <c r="M1514" s="19" t="s">
        <v>37</v>
      </c>
      <c r="N1514" s="19" t="s">
        <v>37</v>
      </c>
      <c r="O1514" s="19" t="s">
        <v>38</v>
      </c>
      <c r="P1514" s="19" t="s">
        <v>39</v>
      </c>
      <c r="Q1514" s="34">
        <v>46044</v>
      </c>
      <c r="R1514" s="35"/>
      <c r="S1514" s="35"/>
      <c r="T1514" s="35"/>
      <c r="U1514" s="35"/>
      <c r="V1514" s="35"/>
    </row>
    <row r="1515" spans="1:22">
      <c r="A1515" s="105">
        <v>46037</v>
      </c>
      <c r="B1515" s="35" t="s">
        <v>4267</v>
      </c>
      <c r="C1515" s="35" t="s">
        <v>3321</v>
      </c>
      <c r="D1515" s="35" t="s">
        <v>112</v>
      </c>
      <c r="E1515" s="35">
        <v>85387</v>
      </c>
      <c r="F1515" s="35" t="s">
        <v>4268</v>
      </c>
      <c r="G1515" s="36" t="s">
        <v>4250</v>
      </c>
      <c r="H1515" s="19">
        <v>2553232071</v>
      </c>
      <c r="I1515" s="19" t="s">
        <v>36</v>
      </c>
      <c r="J1515" s="19" t="s">
        <v>37</v>
      </c>
      <c r="K1515" s="19" t="s">
        <v>37</v>
      </c>
      <c r="L1515" s="19" t="s">
        <v>38</v>
      </c>
      <c r="M1515" s="19" t="s">
        <v>37</v>
      </c>
      <c r="N1515" s="19" t="s">
        <v>37</v>
      </c>
      <c r="O1515" s="19" t="s">
        <v>38</v>
      </c>
      <c r="P1515" s="19" t="s">
        <v>39</v>
      </c>
      <c r="Q1515" s="34">
        <v>46044</v>
      </c>
      <c r="R1515" s="35"/>
      <c r="S1515" s="35"/>
      <c r="T1515" s="35"/>
      <c r="U1515" s="35"/>
      <c r="V1515" s="35"/>
    </row>
    <row r="1516" spans="1:22">
      <c r="A1516" s="103">
        <v>46037</v>
      </c>
      <c r="B1516" s="33" t="s">
        <v>4269</v>
      </c>
      <c r="C1516" s="33" t="s">
        <v>284</v>
      </c>
      <c r="D1516" s="33" t="s">
        <v>202</v>
      </c>
      <c r="E1516" s="33">
        <v>85383</v>
      </c>
      <c r="F1516" s="33" t="s">
        <v>4270</v>
      </c>
      <c r="G1516" s="107" t="s">
        <v>4250</v>
      </c>
      <c r="H1516" s="43">
        <v>7114840000</v>
      </c>
      <c r="I1516" s="43" t="s">
        <v>36</v>
      </c>
      <c r="J1516" s="43" t="s">
        <v>37</v>
      </c>
      <c r="K1516" s="43" t="s">
        <v>37</v>
      </c>
      <c r="L1516" s="43" t="s">
        <v>38</v>
      </c>
      <c r="M1516" s="43" t="s">
        <v>38</v>
      </c>
      <c r="N1516" s="90">
        <v>811.15</v>
      </c>
      <c r="O1516" s="43" t="s">
        <v>38</v>
      </c>
      <c r="P1516" s="43"/>
      <c r="Q1516" s="42">
        <v>46044</v>
      </c>
      <c r="R1516" s="33" t="s">
        <v>4244</v>
      </c>
      <c r="S1516" s="33"/>
      <c r="T1516" s="33"/>
      <c r="U1516" s="33"/>
      <c r="V1516" s="33"/>
    </row>
    <row r="1517" spans="1:22">
      <c r="A1517" s="105">
        <v>46037</v>
      </c>
      <c r="B1517" s="35" t="s">
        <v>4271</v>
      </c>
      <c r="C1517" s="35" t="s">
        <v>697</v>
      </c>
      <c r="D1517" s="35" t="s">
        <v>63</v>
      </c>
      <c r="E1517" s="35">
        <v>85083</v>
      </c>
      <c r="F1517" s="35" t="s">
        <v>4272</v>
      </c>
      <c r="G1517" s="36" t="s">
        <v>4250</v>
      </c>
      <c r="H1517" s="19">
        <v>6945331000</v>
      </c>
      <c r="I1517" s="19" t="s">
        <v>36</v>
      </c>
      <c r="J1517" s="19" t="s">
        <v>37</v>
      </c>
      <c r="K1517" s="19" t="s">
        <v>37</v>
      </c>
      <c r="L1517" s="19" t="s">
        <v>38</v>
      </c>
      <c r="M1517" s="19" t="s">
        <v>37</v>
      </c>
      <c r="N1517" s="19" t="s">
        <v>37</v>
      </c>
      <c r="O1517" s="19" t="s">
        <v>38</v>
      </c>
      <c r="P1517" s="19" t="s">
        <v>39</v>
      </c>
      <c r="Q1517" s="34">
        <v>46044</v>
      </c>
      <c r="R1517" s="35" t="s">
        <v>4239</v>
      </c>
      <c r="S1517" s="35"/>
      <c r="T1517" s="35"/>
      <c r="U1517" s="35"/>
      <c r="V1517" s="35"/>
    </row>
    <row r="1518" spans="1:22">
      <c r="A1518" s="103">
        <v>46038</v>
      </c>
      <c r="B1518" s="33" t="s">
        <v>4273</v>
      </c>
      <c r="C1518" s="33" t="s">
        <v>102</v>
      </c>
      <c r="D1518" s="33" t="s">
        <v>112</v>
      </c>
      <c r="E1518" s="33">
        <v>85374</v>
      </c>
      <c r="F1518" s="33" t="s">
        <v>4274</v>
      </c>
      <c r="G1518" s="107" t="s">
        <v>4275</v>
      </c>
      <c r="H1518" s="43">
        <v>9880461000</v>
      </c>
      <c r="I1518" s="43" t="s">
        <v>196</v>
      </c>
      <c r="J1518" s="43" t="s">
        <v>37</v>
      </c>
      <c r="K1518" s="43" t="s">
        <v>37</v>
      </c>
      <c r="L1518" s="43" t="s">
        <v>4276</v>
      </c>
      <c r="M1518" s="43" t="s">
        <v>37</v>
      </c>
      <c r="N1518" s="43" t="s">
        <v>37</v>
      </c>
      <c r="O1518" s="43" t="s">
        <v>38</v>
      </c>
      <c r="P1518" s="43"/>
      <c r="Q1518" s="42">
        <v>46044</v>
      </c>
      <c r="R1518" s="33" t="s">
        <v>4004</v>
      </c>
      <c r="S1518" s="33"/>
      <c r="T1518" s="33"/>
      <c r="U1518" s="33"/>
      <c r="V1518" s="33"/>
    </row>
    <row r="1519" spans="1:22">
      <c r="A1519" s="103">
        <v>46038</v>
      </c>
      <c r="B1519" s="33" t="s">
        <v>4084</v>
      </c>
      <c r="C1519" s="33" t="s">
        <v>2793</v>
      </c>
      <c r="D1519" s="33" t="s">
        <v>63</v>
      </c>
      <c r="E1519" s="33">
        <v>85028</v>
      </c>
      <c r="F1519" s="33" t="s">
        <v>4277</v>
      </c>
      <c r="G1519" s="107" t="s">
        <v>4275</v>
      </c>
      <c r="H1519" s="108">
        <v>6651201000</v>
      </c>
      <c r="I1519" s="43" t="s">
        <v>196</v>
      </c>
      <c r="J1519" s="43" t="s">
        <v>37</v>
      </c>
      <c r="K1519" s="43" t="s">
        <v>37</v>
      </c>
      <c r="L1519" s="43" t="s">
        <v>4278</v>
      </c>
      <c r="M1519" s="43" t="s">
        <v>37</v>
      </c>
      <c r="N1519" s="43" t="s">
        <v>37</v>
      </c>
      <c r="O1519" s="43" t="s">
        <v>38</v>
      </c>
      <c r="P1519" s="43"/>
      <c r="Q1519" s="42">
        <v>46044</v>
      </c>
      <c r="R1519" s="33" t="s">
        <v>4004</v>
      </c>
      <c r="S1519" s="33"/>
      <c r="T1519" s="33"/>
      <c r="U1519" s="33"/>
      <c r="V1519" s="33"/>
    </row>
    <row r="1520" spans="1:22">
      <c r="A1520" s="105">
        <v>46038</v>
      </c>
      <c r="B1520" s="35" t="s">
        <v>4166</v>
      </c>
      <c r="C1520" s="35" t="s">
        <v>1596</v>
      </c>
      <c r="D1520" s="35" t="s">
        <v>125</v>
      </c>
      <c r="E1520" s="35">
        <v>85266</v>
      </c>
      <c r="F1520" s="35" t="s">
        <v>4279</v>
      </c>
      <c r="G1520" s="36" t="s">
        <v>4275</v>
      </c>
      <c r="H1520" s="19">
        <v>4232034608</v>
      </c>
      <c r="I1520" s="19" t="s">
        <v>541</v>
      </c>
      <c r="J1520" s="19" t="s">
        <v>37</v>
      </c>
      <c r="K1520" s="19" t="s">
        <v>37</v>
      </c>
      <c r="L1520" s="19" t="s">
        <v>4079</v>
      </c>
      <c r="M1520" s="19" t="s">
        <v>37</v>
      </c>
      <c r="N1520" s="19" t="s">
        <v>37</v>
      </c>
      <c r="O1520" s="19" t="s">
        <v>38</v>
      </c>
      <c r="P1520" s="19" t="s">
        <v>39</v>
      </c>
      <c r="Q1520" s="34">
        <v>46044</v>
      </c>
      <c r="R1520" s="35" t="s">
        <v>4280</v>
      </c>
      <c r="S1520" s="35"/>
      <c r="T1520" s="35"/>
      <c r="U1520" s="35"/>
      <c r="V1520" s="35"/>
    </row>
    <row r="1521" spans="1:22">
      <c r="A1521" s="105">
        <v>46038</v>
      </c>
      <c r="B1521" s="35" t="s">
        <v>4281</v>
      </c>
      <c r="C1521" s="35" t="s">
        <v>4282</v>
      </c>
      <c r="D1521" s="35" t="s">
        <v>63</v>
      </c>
      <c r="E1521" s="35">
        <v>85020</v>
      </c>
      <c r="F1521" s="35" t="s">
        <v>4283</v>
      </c>
      <c r="G1521" s="36" t="s">
        <v>4275</v>
      </c>
      <c r="H1521" s="19" t="s">
        <v>27</v>
      </c>
      <c r="I1521" s="19"/>
      <c r="J1521" s="19"/>
      <c r="K1521" s="19"/>
      <c r="L1521" s="19"/>
      <c r="M1521" s="19"/>
      <c r="N1521" s="19"/>
      <c r="O1521" s="19"/>
      <c r="P1521" s="19"/>
      <c r="Q1521" s="19"/>
      <c r="R1521" s="35"/>
      <c r="S1521" s="35"/>
      <c r="T1521" s="35"/>
      <c r="U1521" s="35"/>
      <c r="V1521" s="35"/>
    </row>
    <row r="1522" spans="1:22">
      <c r="A1522" s="105">
        <v>46038</v>
      </c>
      <c r="B1522" s="35" t="s">
        <v>3081</v>
      </c>
      <c r="C1522" s="35" t="s">
        <v>548</v>
      </c>
      <c r="D1522" s="35" t="s">
        <v>169</v>
      </c>
      <c r="E1522" s="35">
        <v>85338</v>
      </c>
      <c r="F1522" s="35" t="s">
        <v>4284</v>
      </c>
      <c r="G1522" s="36" t="s">
        <v>4275</v>
      </c>
      <c r="H1522" s="19">
        <v>5669951000</v>
      </c>
      <c r="I1522" s="19" t="s">
        <v>250</v>
      </c>
      <c r="J1522" s="19" t="s">
        <v>37</v>
      </c>
      <c r="K1522" s="19" t="s">
        <v>37</v>
      </c>
      <c r="L1522" s="19" t="s">
        <v>38</v>
      </c>
      <c r="M1522" s="19" t="s">
        <v>37</v>
      </c>
      <c r="N1522" s="19" t="s">
        <v>37</v>
      </c>
      <c r="O1522" s="19" t="s">
        <v>38</v>
      </c>
      <c r="P1522" s="19" t="s">
        <v>39</v>
      </c>
      <c r="Q1522" s="34">
        <v>46044</v>
      </c>
      <c r="R1522" s="35"/>
      <c r="S1522" s="35"/>
      <c r="T1522" s="35"/>
      <c r="U1522" s="35"/>
      <c r="V1522" s="35"/>
    </row>
    <row r="1523" spans="1:22">
      <c r="A1523" s="105">
        <v>46038</v>
      </c>
      <c r="B1523" s="35" t="s">
        <v>4285</v>
      </c>
      <c r="C1523" s="35" t="s">
        <v>594</v>
      </c>
      <c r="D1523" s="35" t="s">
        <v>125</v>
      </c>
      <c r="E1523" s="35">
        <v>85259</v>
      </c>
      <c r="F1523" s="35" t="s">
        <v>4286</v>
      </c>
      <c r="G1523" s="36" t="s">
        <v>4275</v>
      </c>
      <c r="H1523" s="19">
        <v>777430000</v>
      </c>
      <c r="I1523" s="19" t="s">
        <v>126</v>
      </c>
      <c r="J1523" s="19" t="s">
        <v>37</v>
      </c>
      <c r="K1523" s="19" t="s">
        <v>37</v>
      </c>
      <c r="L1523" s="19" t="s">
        <v>38</v>
      </c>
      <c r="M1523" s="19" t="s">
        <v>37</v>
      </c>
      <c r="N1523" s="19" t="s">
        <v>37</v>
      </c>
      <c r="O1523" s="19" t="s">
        <v>38</v>
      </c>
      <c r="P1523" s="19" t="s">
        <v>39</v>
      </c>
      <c r="Q1523" s="34">
        <v>46044</v>
      </c>
      <c r="R1523" s="35"/>
      <c r="S1523" s="35"/>
      <c r="T1523" s="35"/>
      <c r="U1523" s="35"/>
      <c r="V1523" s="35"/>
    </row>
    <row r="1524" spans="1:22">
      <c r="A1524" s="105">
        <v>46038</v>
      </c>
      <c r="B1524" s="35" t="s">
        <v>4287</v>
      </c>
      <c r="C1524" s="35" t="s">
        <v>4288</v>
      </c>
      <c r="D1524" s="35" t="s">
        <v>698</v>
      </c>
      <c r="E1524" s="35">
        <v>85375</v>
      </c>
      <c r="F1524" s="35" t="s">
        <v>4289</v>
      </c>
      <c r="G1524" s="36" t="s">
        <v>4275</v>
      </c>
      <c r="H1524" s="19">
        <v>6740473583</v>
      </c>
      <c r="I1524" s="19" t="s">
        <v>541</v>
      </c>
      <c r="J1524" s="19" t="s">
        <v>37</v>
      </c>
      <c r="K1524" s="19" t="s">
        <v>37</v>
      </c>
      <c r="L1524" s="19" t="s">
        <v>4079</v>
      </c>
      <c r="M1524" s="19" t="s">
        <v>37</v>
      </c>
      <c r="N1524" s="19" t="s">
        <v>37</v>
      </c>
      <c r="O1524" s="19" t="s">
        <v>38</v>
      </c>
      <c r="P1524" s="19" t="s">
        <v>39</v>
      </c>
      <c r="Q1524" s="34">
        <v>46044</v>
      </c>
      <c r="R1524" s="35"/>
      <c r="S1524" s="35"/>
      <c r="T1524" s="35"/>
      <c r="U1524" s="35"/>
      <c r="V1524" s="35"/>
    </row>
    <row r="1525" spans="1:22" ht="13.5">
      <c r="A1525" s="105">
        <v>46042</v>
      </c>
      <c r="B1525" s="35" t="s">
        <v>4290</v>
      </c>
      <c r="C1525" s="35" t="s">
        <v>4291</v>
      </c>
      <c r="D1525" s="35" t="s">
        <v>63</v>
      </c>
      <c r="E1525" s="35">
        <v>85050</v>
      </c>
      <c r="F1525" s="35" t="s">
        <v>4292</v>
      </c>
      <c r="G1525" s="106" t="s">
        <v>4293</v>
      </c>
      <c r="H1525" s="19" t="s">
        <v>90</v>
      </c>
      <c r="I1525" s="19"/>
      <c r="J1525" s="19"/>
      <c r="K1525" s="19"/>
      <c r="L1525" s="19"/>
      <c r="M1525" s="19"/>
      <c r="N1525" s="19"/>
      <c r="O1525" s="19"/>
      <c r="P1525" s="19"/>
      <c r="Q1525" s="19"/>
      <c r="R1525" s="35"/>
      <c r="S1525" s="35"/>
      <c r="T1525" s="35"/>
      <c r="U1525" s="35"/>
      <c r="V1525" s="35"/>
    </row>
    <row r="1526" spans="1:22">
      <c r="A1526" s="105">
        <v>46042</v>
      </c>
      <c r="B1526" s="35" t="s">
        <v>4294</v>
      </c>
      <c r="C1526" s="35" t="s">
        <v>284</v>
      </c>
      <c r="D1526" s="35" t="s">
        <v>63</v>
      </c>
      <c r="E1526" s="35">
        <v>85032</v>
      </c>
      <c r="F1526" s="35" t="s">
        <v>4295</v>
      </c>
      <c r="G1526" s="35" t="s">
        <v>4293</v>
      </c>
      <c r="H1526" s="19">
        <v>4591500000</v>
      </c>
      <c r="I1526" s="19" t="s">
        <v>46</v>
      </c>
      <c r="J1526" s="19" t="s">
        <v>37</v>
      </c>
      <c r="K1526" s="19" t="s">
        <v>37</v>
      </c>
      <c r="L1526" s="19" t="s">
        <v>38</v>
      </c>
      <c r="M1526" s="19" t="s">
        <v>37</v>
      </c>
      <c r="N1526" s="19" t="s">
        <v>37</v>
      </c>
      <c r="O1526" s="19" t="s">
        <v>38</v>
      </c>
      <c r="P1526" s="19" t="s">
        <v>39</v>
      </c>
      <c r="Q1526" s="34">
        <v>46044</v>
      </c>
      <c r="R1526" s="35"/>
      <c r="S1526" s="35"/>
      <c r="T1526" s="35"/>
      <c r="U1526" s="35"/>
      <c r="V1526" s="35"/>
    </row>
    <row r="1527" spans="1:22">
      <c r="A1527" s="103">
        <v>46042</v>
      </c>
      <c r="B1527" s="33" t="s">
        <v>4296</v>
      </c>
      <c r="C1527" s="33" t="s">
        <v>139</v>
      </c>
      <c r="D1527" s="33" t="s">
        <v>63</v>
      </c>
      <c r="E1527" s="33">
        <v>85013</v>
      </c>
      <c r="F1527" s="33" t="s">
        <v>4297</v>
      </c>
      <c r="G1527" s="33" t="s">
        <v>4293</v>
      </c>
      <c r="H1527" s="43">
        <v>139488954</v>
      </c>
      <c r="I1527" s="43" t="s">
        <v>57</v>
      </c>
      <c r="J1527" s="43" t="s">
        <v>37</v>
      </c>
      <c r="K1527" s="43" t="s">
        <v>37</v>
      </c>
      <c r="L1527" s="43" t="s">
        <v>4298</v>
      </c>
      <c r="M1527" s="43" t="s">
        <v>37</v>
      </c>
      <c r="N1527" s="43" t="s">
        <v>37</v>
      </c>
      <c r="O1527" s="43" t="s">
        <v>38</v>
      </c>
      <c r="P1527" s="43"/>
      <c r="Q1527" s="42">
        <v>46044</v>
      </c>
      <c r="R1527" s="33" t="s">
        <v>4004</v>
      </c>
      <c r="S1527" s="33"/>
      <c r="T1527" s="33"/>
      <c r="U1527" s="33"/>
      <c r="V1527" s="33"/>
    </row>
    <row r="1528" spans="1:22">
      <c r="A1528" s="105">
        <v>46042</v>
      </c>
      <c r="B1528" s="35" t="s">
        <v>4299</v>
      </c>
      <c r="C1528" s="35" t="s">
        <v>481</v>
      </c>
      <c r="D1528" s="35" t="s">
        <v>63</v>
      </c>
      <c r="E1528" s="35">
        <v>85085</v>
      </c>
      <c r="F1528" s="35" t="s">
        <v>4300</v>
      </c>
      <c r="G1528" s="35" t="s">
        <v>4293</v>
      </c>
      <c r="H1528" s="19">
        <v>5852690207</v>
      </c>
      <c r="I1528" s="19" t="s">
        <v>46</v>
      </c>
      <c r="J1528" s="19" t="s">
        <v>37</v>
      </c>
      <c r="K1528" s="19" t="s">
        <v>37</v>
      </c>
      <c r="L1528" s="19" t="s">
        <v>38</v>
      </c>
      <c r="M1528" s="19" t="s">
        <v>37</v>
      </c>
      <c r="N1528" s="19" t="s">
        <v>37</v>
      </c>
      <c r="O1528" s="19" t="s">
        <v>38</v>
      </c>
      <c r="P1528" s="19" t="s">
        <v>39</v>
      </c>
      <c r="Q1528" s="34">
        <v>46044</v>
      </c>
      <c r="R1528" s="35"/>
      <c r="S1528" s="35"/>
      <c r="T1528" s="35"/>
      <c r="U1528" s="35"/>
      <c r="V1528" s="35"/>
    </row>
    <row r="1529" spans="1:22" ht="13.5">
      <c r="A1529" s="105">
        <v>46042</v>
      </c>
      <c r="B1529" s="35" t="s">
        <v>4301</v>
      </c>
      <c r="C1529" s="35" t="s">
        <v>437</v>
      </c>
      <c r="D1529" s="35" t="s">
        <v>169</v>
      </c>
      <c r="E1529" s="35">
        <v>85395</v>
      </c>
      <c r="F1529" s="35" t="s">
        <v>4302</v>
      </c>
      <c r="G1529" s="106" t="s">
        <v>4303</v>
      </c>
      <c r="H1529" s="19">
        <v>629830000</v>
      </c>
      <c r="I1529" s="19" t="s">
        <v>1488</v>
      </c>
      <c r="J1529" s="19" t="s">
        <v>37</v>
      </c>
      <c r="K1529" s="19" t="s">
        <v>37</v>
      </c>
      <c r="L1529" s="19" t="s">
        <v>4079</v>
      </c>
      <c r="M1529" s="19" t="s">
        <v>37</v>
      </c>
      <c r="N1529" s="19" t="s">
        <v>37</v>
      </c>
      <c r="O1529" s="19" t="s">
        <v>38</v>
      </c>
      <c r="P1529" s="19" t="s">
        <v>39</v>
      </c>
      <c r="Q1529" s="19" t="s">
        <v>4304</v>
      </c>
      <c r="R1529" s="35"/>
      <c r="S1529" s="35"/>
      <c r="T1529" s="35"/>
      <c r="U1529" s="35"/>
      <c r="V1529" s="35"/>
    </row>
    <row r="1530" spans="1:22" ht="13.5">
      <c r="A1530" s="105">
        <v>46043</v>
      </c>
      <c r="B1530" s="35" t="s">
        <v>4305</v>
      </c>
      <c r="C1530" s="35" t="s">
        <v>3791</v>
      </c>
      <c r="D1530" s="35" t="s">
        <v>174</v>
      </c>
      <c r="E1530" s="35">
        <v>85326</v>
      </c>
      <c r="F1530" s="35" t="s">
        <v>4306</v>
      </c>
      <c r="G1530" s="106" t="s">
        <v>4307</v>
      </c>
      <c r="H1530" s="19">
        <v>1107990000</v>
      </c>
      <c r="I1530" s="19" t="s">
        <v>4214</v>
      </c>
      <c r="J1530" s="19" t="s">
        <v>37</v>
      </c>
      <c r="K1530" s="19" t="s">
        <v>37</v>
      </c>
      <c r="L1530" s="19" t="s">
        <v>4079</v>
      </c>
      <c r="M1530" s="19" t="s">
        <v>37</v>
      </c>
      <c r="N1530" s="19" t="s">
        <v>37</v>
      </c>
      <c r="O1530" s="19" t="s">
        <v>38</v>
      </c>
      <c r="P1530" s="19" t="s">
        <v>39</v>
      </c>
      <c r="Q1530" s="34">
        <v>46049</v>
      </c>
      <c r="R1530" s="35"/>
      <c r="S1530" s="35"/>
      <c r="T1530" s="35"/>
      <c r="U1530" s="35"/>
      <c r="V1530" s="35"/>
    </row>
    <row r="1531" spans="1:22">
      <c r="A1531" s="103">
        <v>46043</v>
      </c>
      <c r="B1531" s="33" t="s">
        <v>4308</v>
      </c>
      <c r="C1531" s="33" t="s">
        <v>4309</v>
      </c>
      <c r="D1531" s="33" t="s">
        <v>169</v>
      </c>
      <c r="E1531" s="33">
        <v>85338</v>
      </c>
      <c r="F1531" s="33" t="s">
        <v>4310</v>
      </c>
      <c r="G1531" s="33" t="s">
        <v>4307</v>
      </c>
      <c r="H1531" s="43">
        <v>2947560540</v>
      </c>
      <c r="I1531" s="43" t="s">
        <v>4311</v>
      </c>
      <c r="J1531" s="43" t="s">
        <v>38</v>
      </c>
      <c r="K1531" s="43" t="s">
        <v>37</v>
      </c>
      <c r="L1531" s="43" t="s">
        <v>4312</v>
      </c>
      <c r="M1531" s="43" t="s">
        <v>38</v>
      </c>
      <c r="N1531" s="90">
        <v>681.89</v>
      </c>
      <c r="O1531" s="43" t="s">
        <v>38</v>
      </c>
      <c r="P1531" s="43"/>
      <c r="Q1531" s="42">
        <v>46049</v>
      </c>
      <c r="R1531" s="33" t="s">
        <v>4313</v>
      </c>
      <c r="S1531" s="33"/>
      <c r="T1531" s="33"/>
      <c r="U1531" s="33"/>
      <c r="V1531" s="33"/>
    </row>
    <row r="1532" spans="1:22">
      <c r="A1532" s="105">
        <v>46043</v>
      </c>
      <c r="B1532" s="35" t="s">
        <v>1019</v>
      </c>
      <c r="C1532" s="35" t="s">
        <v>4314</v>
      </c>
      <c r="D1532" s="35" t="s">
        <v>63</v>
      </c>
      <c r="E1532" s="35">
        <v>85032</v>
      </c>
      <c r="F1532" s="35" t="s">
        <v>4315</v>
      </c>
      <c r="G1532" s="35" t="s">
        <v>4307</v>
      </c>
      <c r="H1532" s="19">
        <v>6529860000</v>
      </c>
      <c r="I1532" s="19" t="s">
        <v>36</v>
      </c>
      <c r="J1532" s="19" t="s">
        <v>38</v>
      </c>
      <c r="K1532" s="19" t="s">
        <v>37</v>
      </c>
      <c r="L1532" s="19" t="s">
        <v>38</v>
      </c>
      <c r="M1532" s="19" t="s">
        <v>37</v>
      </c>
      <c r="N1532" s="19" t="s">
        <v>37</v>
      </c>
      <c r="O1532" s="19" t="s">
        <v>38</v>
      </c>
      <c r="P1532" s="19" t="s">
        <v>39</v>
      </c>
      <c r="Q1532" s="34">
        <v>46049</v>
      </c>
      <c r="R1532" s="35" t="s">
        <v>4316</v>
      </c>
      <c r="S1532" s="35"/>
      <c r="T1532" s="35"/>
      <c r="U1532" s="35"/>
      <c r="V1532" s="35"/>
    </row>
    <row r="1533" spans="1:22">
      <c r="A1533" s="105">
        <v>46043</v>
      </c>
      <c r="B1533" s="35" t="s">
        <v>4317</v>
      </c>
      <c r="C1533" s="35" t="s">
        <v>3436</v>
      </c>
      <c r="D1533" s="35" t="s">
        <v>24</v>
      </c>
      <c r="E1533" s="35">
        <v>85308</v>
      </c>
      <c r="F1533" s="35" t="s">
        <v>4318</v>
      </c>
      <c r="G1533" s="35" t="s">
        <v>4307</v>
      </c>
      <c r="H1533" s="19">
        <v>876477458</v>
      </c>
      <c r="I1533" s="19" t="s">
        <v>126</v>
      </c>
      <c r="J1533" s="19" t="s">
        <v>37</v>
      </c>
      <c r="K1533" s="19" t="s">
        <v>37</v>
      </c>
      <c r="L1533" s="19" t="s">
        <v>38</v>
      </c>
      <c r="M1533" s="19" t="s">
        <v>37</v>
      </c>
      <c r="N1533" s="19" t="s">
        <v>37</v>
      </c>
      <c r="O1533" s="19" t="s">
        <v>38</v>
      </c>
      <c r="P1533" s="19" t="s">
        <v>39</v>
      </c>
      <c r="Q1533" s="34">
        <v>46049</v>
      </c>
      <c r="R1533" s="35" t="s">
        <v>4319</v>
      </c>
      <c r="S1533" s="35"/>
      <c r="T1533" s="35"/>
      <c r="U1533" s="35"/>
      <c r="V1533" s="35"/>
    </row>
    <row r="1534" spans="1:22">
      <c r="A1534" s="105">
        <v>46043</v>
      </c>
      <c r="B1534" s="35" t="s">
        <v>4320</v>
      </c>
      <c r="C1534" s="35" t="s">
        <v>4321</v>
      </c>
      <c r="D1534" s="35" t="s">
        <v>202</v>
      </c>
      <c r="E1534" s="35">
        <v>85383</v>
      </c>
      <c r="F1534" s="35" t="s">
        <v>4322</v>
      </c>
      <c r="G1534" s="35" t="s">
        <v>4307</v>
      </c>
      <c r="H1534" s="19" t="s">
        <v>27</v>
      </c>
      <c r="I1534" s="19"/>
      <c r="J1534" s="19"/>
      <c r="K1534" s="19"/>
      <c r="L1534" s="19"/>
      <c r="M1534" s="19"/>
      <c r="N1534" s="19"/>
      <c r="O1534" s="19"/>
      <c r="P1534" s="19"/>
      <c r="Q1534" s="19"/>
      <c r="R1534" s="35"/>
      <c r="S1534" s="35"/>
      <c r="T1534" s="35"/>
      <c r="U1534" s="35"/>
      <c r="V1534" s="35"/>
    </row>
    <row r="1535" spans="1:22">
      <c r="A1535" s="105">
        <v>46043</v>
      </c>
      <c r="B1535" s="35" t="s">
        <v>1222</v>
      </c>
      <c r="C1535" s="35" t="s">
        <v>2931</v>
      </c>
      <c r="D1535" s="35" t="s">
        <v>125</v>
      </c>
      <c r="E1535" s="35">
        <v>85254</v>
      </c>
      <c r="F1535" s="35" t="s">
        <v>4323</v>
      </c>
      <c r="G1535" s="35" t="s">
        <v>4307</v>
      </c>
      <c r="H1535" s="19">
        <v>5636251000</v>
      </c>
      <c r="I1535" s="19" t="s">
        <v>36</v>
      </c>
      <c r="J1535" s="19" t="s">
        <v>37</v>
      </c>
      <c r="K1535" s="19" t="s">
        <v>37</v>
      </c>
      <c r="L1535" s="19" t="s">
        <v>38</v>
      </c>
      <c r="M1535" s="19" t="s">
        <v>37</v>
      </c>
      <c r="N1535" s="19" t="s">
        <v>37</v>
      </c>
      <c r="O1535" s="19" t="s">
        <v>38</v>
      </c>
      <c r="P1535" s="19" t="s">
        <v>39</v>
      </c>
      <c r="Q1535" s="34">
        <v>46049</v>
      </c>
      <c r="R1535" s="35"/>
      <c r="S1535" s="35"/>
      <c r="T1535" s="35"/>
      <c r="U1535" s="35"/>
      <c r="V1535" s="35"/>
    </row>
    <row r="1536" spans="1:22">
      <c r="A1536" s="105">
        <v>46043</v>
      </c>
      <c r="B1536" s="35" t="s">
        <v>4324</v>
      </c>
      <c r="C1536" s="35" t="s">
        <v>4325</v>
      </c>
      <c r="D1536" s="35" t="s">
        <v>125</v>
      </c>
      <c r="E1536" s="35">
        <v>85254</v>
      </c>
      <c r="F1536" s="35" t="s">
        <v>4326</v>
      </c>
      <c r="G1536" s="35" t="s">
        <v>4307</v>
      </c>
      <c r="H1536" s="19">
        <v>2726500000</v>
      </c>
      <c r="I1536" s="19" t="s">
        <v>3887</v>
      </c>
      <c r="J1536" s="19" t="s">
        <v>37</v>
      </c>
      <c r="K1536" s="19" t="s">
        <v>37</v>
      </c>
      <c r="L1536" s="19" t="s">
        <v>4079</v>
      </c>
      <c r="M1536" s="19" t="s">
        <v>37</v>
      </c>
      <c r="N1536" s="19" t="s">
        <v>37</v>
      </c>
      <c r="O1536" s="19" t="s">
        <v>38</v>
      </c>
      <c r="P1536" s="19" t="s">
        <v>39</v>
      </c>
      <c r="Q1536" s="34">
        <v>46049</v>
      </c>
      <c r="R1536" s="35"/>
      <c r="S1536" s="35"/>
      <c r="T1536" s="35"/>
      <c r="U1536" s="35"/>
      <c r="V1536" s="35"/>
    </row>
    <row r="1537" spans="1:22">
      <c r="A1537" s="105">
        <v>46043</v>
      </c>
      <c r="B1537" s="35" t="s">
        <v>4327</v>
      </c>
      <c r="C1537" s="35" t="s">
        <v>991</v>
      </c>
      <c r="D1537" s="35" t="s">
        <v>2641</v>
      </c>
      <c r="E1537" s="35">
        <v>85087</v>
      </c>
      <c r="F1537" s="35" t="s">
        <v>4328</v>
      </c>
      <c r="G1537" s="35" t="s">
        <v>4307</v>
      </c>
      <c r="H1537" s="19">
        <v>2729421000</v>
      </c>
      <c r="I1537" s="19" t="s">
        <v>36</v>
      </c>
      <c r="J1537" s="19" t="s">
        <v>37</v>
      </c>
      <c r="K1537" s="19" t="s">
        <v>37</v>
      </c>
      <c r="L1537" s="19" t="s">
        <v>38</v>
      </c>
      <c r="M1537" s="19" t="s">
        <v>37</v>
      </c>
      <c r="N1537" s="19" t="s">
        <v>37</v>
      </c>
      <c r="O1537" s="19" t="s">
        <v>38</v>
      </c>
      <c r="P1537" s="19" t="s">
        <v>39</v>
      </c>
      <c r="Q1537" s="34">
        <v>46049</v>
      </c>
      <c r="R1537" s="35"/>
      <c r="S1537" s="35"/>
      <c r="T1537" s="35"/>
      <c r="U1537" s="35"/>
      <c r="V1537" s="35"/>
    </row>
    <row r="1538" spans="1:22">
      <c r="A1538" s="105">
        <v>46043</v>
      </c>
      <c r="B1538" s="35" t="s">
        <v>4329</v>
      </c>
      <c r="C1538" s="35" t="s">
        <v>3327</v>
      </c>
      <c r="D1538" s="35" t="s">
        <v>63</v>
      </c>
      <c r="E1538" s="35">
        <v>85013</v>
      </c>
      <c r="F1538" s="35" t="s">
        <v>4330</v>
      </c>
      <c r="G1538" s="35" t="s">
        <v>4307</v>
      </c>
      <c r="H1538" s="19">
        <v>6975666837</v>
      </c>
      <c r="I1538" s="19" t="s">
        <v>4311</v>
      </c>
      <c r="J1538" s="19" t="s">
        <v>37</v>
      </c>
      <c r="K1538" s="19" t="s">
        <v>37</v>
      </c>
      <c r="L1538" s="19" t="s">
        <v>38</v>
      </c>
      <c r="M1538" s="19" t="s">
        <v>37</v>
      </c>
      <c r="N1538" s="19" t="s">
        <v>37</v>
      </c>
      <c r="O1538" s="19" t="s">
        <v>38</v>
      </c>
      <c r="P1538" s="19" t="s">
        <v>39</v>
      </c>
      <c r="Q1538" s="34">
        <v>46049</v>
      </c>
      <c r="R1538" s="35"/>
      <c r="S1538" s="35"/>
      <c r="T1538" s="35"/>
      <c r="U1538" s="35"/>
      <c r="V1538" s="35"/>
    </row>
    <row r="1539" spans="1:22">
      <c r="A1539" s="105">
        <v>46043</v>
      </c>
      <c r="B1539" s="35" t="s">
        <v>4331</v>
      </c>
      <c r="C1539" s="35" t="s">
        <v>879</v>
      </c>
      <c r="D1539" s="35" t="s">
        <v>2429</v>
      </c>
      <c r="E1539" s="35">
        <v>85132</v>
      </c>
      <c r="F1539" s="35" t="s">
        <v>4332</v>
      </c>
      <c r="G1539" s="35" t="s">
        <v>4307</v>
      </c>
      <c r="H1539" s="19">
        <v>836129855</v>
      </c>
      <c r="I1539" s="19" t="s">
        <v>36</v>
      </c>
      <c r="J1539" s="19" t="s">
        <v>37</v>
      </c>
      <c r="K1539" s="19" t="s">
        <v>37</v>
      </c>
      <c r="L1539" s="19" t="s">
        <v>38</v>
      </c>
      <c r="M1539" s="19" t="s">
        <v>37</v>
      </c>
      <c r="N1539" s="19" t="s">
        <v>37</v>
      </c>
      <c r="O1539" s="19" t="s">
        <v>38</v>
      </c>
      <c r="P1539" s="19" t="s">
        <v>39</v>
      </c>
      <c r="Q1539" s="34">
        <v>46049</v>
      </c>
      <c r="R1539" s="35"/>
      <c r="S1539" s="35"/>
      <c r="T1539" s="35"/>
      <c r="U1539" s="35"/>
      <c r="V1539" s="35"/>
    </row>
    <row r="1540" spans="1:22">
      <c r="A1540" s="105">
        <v>46043</v>
      </c>
      <c r="B1540" s="35" t="s">
        <v>4333</v>
      </c>
      <c r="C1540" s="35" t="s">
        <v>4334</v>
      </c>
      <c r="D1540" s="35" t="s">
        <v>112</v>
      </c>
      <c r="E1540" s="35">
        <v>85374</v>
      </c>
      <c r="F1540" s="35" t="s">
        <v>4335</v>
      </c>
      <c r="G1540" s="35" t="s">
        <v>4307</v>
      </c>
      <c r="H1540" s="19">
        <v>8492801026</v>
      </c>
      <c r="I1540" s="19" t="s">
        <v>36</v>
      </c>
      <c r="J1540" s="19" t="s">
        <v>37</v>
      </c>
      <c r="K1540" s="19" t="s">
        <v>37</v>
      </c>
      <c r="L1540" s="19" t="s">
        <v>38</v>
      </c>
      <c r="M1540" s="19" t="s">
        <v>37</v>
      </c>
      <c r="N1540" s="19" t="s">
        <v>37</v>
      </c>
      <c r="O1540" s="19" t="s">
        <v>38</v>
      </c>
      <c r="P1540" s="19" t="s">
        <v>39</v>
      </c>
      <c r="Q1540" s="34">
        <v>46049</v>
      </c>
      <c r="R1540" s="35"/>
      <c r="S1540" s="35"/>
      <c r="T1540" s="35"/>
      <c r="U1540" s="35"/>
      <c r="V1540" s="35"/>
    </row>
    <row r="1541" spans="1:22">
      <c r="A1541" s="105">
        <v>46043</v>
      </c>
      <c r="B1541" s="35" t="s">
        <v>4336</v>
      </c>
      <c r="C1541" s="35" t="s">
        <v>4337</v>
      </c>
      <c r="D1541" s="35" t="s">
        <v>261</v>
      </c>
      <c r="E1541" s="35">
        <v>86314</v>
      </c>
      <c r="F1541" s="35" t="s">
        <v>4338</v>
      </c>
      <c r="G1541" s="35" t="s">
        <v>4307</v>
      </c>
      <c r="H1541" s="19">
        <v>5226342152</v>
      </c>
      <c r="I1541" s="19" t="s">
        <v>73</v>
      </c>
      <c r="J1541" s="19" t="s">
        <v>37</v>
      </c>
      <c r="K1541" s="19" t="s">
        <v>37</v>
      </c>
      <c r="L1541" s="19" t="s">
        <v>38</v>
      </c>
      <c r="M1541" s="19" t="s">
        <v>37</v>
      </c>
      <c r="N1541" s="19" t="s">
        <v>37</v>
      </c>
      <c r="O1541" s="19" t="s">
        <v>38</v>
      </c>
      <c r="P1541" s="19" t="s">
        <v>39</v>
      </c>
      <c r="Q1541" s="34">
        <v>46049</v>
      </c>
      <c r="R1541" s="35"/>
      <c r="S1541" s="35"/>
      <c r="T1541" s="35"/>
      <c r="U1541" s="35"/>
      <c r="V1541" s="35"/>
    </row>
    <row r="1542" spans="1:22">
      <c r="A1542" s="105">
        <v>46043</v>
      </c>
      <c r="B1542" s="35" t="s">
        <v>4339</v>
      </c>
      <c r="C1542" s="35" t="s">
        <v>1310</v>
      </c>
      <c r="D1542" s="35" t="s">
        <v>2429</v>
      </c>
      <c r="E1542" s="35">
        <v>85132</v>
      </c>
      <c r="F1542" s="35" t="s">
        <v>4340</v>
      </c>
      <c r="G1542" s="35" t="s">
        <v>4307</v>
      </c>
      <c r="H1542" s="19">
        <v>9928983381</v>
      </c>
      <c r="I1542" s="19" t="s">
        <v>36</v>
      </c>
      <c r="J1542" s="19" t="s">
        <v>37</v>
      </c>
      <c r="K1542" s="19" t="s">
        <v>37</v>
      </c>
      <c r="L1542" s="19" t="s">
        <v>38</v>
      </c>
      <c r="M1542" s="19" t="s">
        <v>37</v>
      </c>
      <c r="N1542" s="19" t="s">
        <v>37</v>
      </c>
      <c r="O1542" s="19" t="s">
        <v>38</v>
      </c>
      <c r="P1542" s="19" t="s">
        <v>39</v>
      </c>
      <c r="Q1542" s="34">
        <v>46049</v>
      </c>
      <c r="R1542" s="35"/>
      <c r="S1542" s="35"/>
      <c r="T1542" s="35"/>
      <c r="U1542" s="35"/>
      <c r="V1542" s="35"/>
    </row>
    <row r="1543" spans="1:22">
      <c r="A1543" s="105">
        <v>46043</v>
      </c>
      <c r="B1543" s="35" t="s">
        <v>4341</v>
      </c>
      <c r="C1543" s="35" t="s">
        <v>4342</v>
      </c>
      <c r="D1543" s="35" t="s">
        <v>63</v>
      </c>
      <c r="E1543" s="35">
        <v>85023</v>
      </c>
      <c r="F1543" s="35" t="s">
        <v>3756</v>
      </c>
      <c r="G1543" s="35" t="s">
        <v>4307</v>
      </c>
      <c r="H1543" s="19">
        <v>3500289152</v>
      </c>
      <c r="I1543" s="19" t="s">
        <v>73</v>
      </c>
      <c r="J1543" s="19" t="s">
        <v>37</v>
      </c>
      <c r="K1543" s="19" t="s">
        <v>37</v>
      </c>
      <c r="L1543" s="19" t="s">
        <v>38</v>
      </c>
      <c r="M1543" s="19" t="s">
        <v>37</v>
      </c>
      <c r="N1543" s="19" t="s">
        <v>37</v>
      </c>
      <c r="O1543" s="19" t="s">
        <v>38</v>
      </c>
      <c r="P1543" s="19" t="s">
        <v>39</v>
      </c>
      <c r="Q1543" s="34">
        <v>46049</v>
      </c>
      <c r="R1543" s="35"/>
      <c r="S1543" s="35"/>
      <c r="T1543" s="35"/>
      <c r="U1543" s="35"/>
      <c r="V1543" s="35"/>
    </row>
    <row r="1544" spans="1:22">
      <c r="A1544" s="105">
        <v>46043</v>
      </c>
      <c r="B1544" s="35" t="s">
        <v>4343</v>
      </c>
      <c r="C1544" s="35" t="s">
        <v>4344</v>
      </c>
      <c r="D1544" s="35" t="s">
        <v>63</v>
      </c>
      <c r="E1544" s="35">
        <v>85353</v>
      </c>
      <c r="F1544" s="35" t="s">
        <v>4310</v>
      </c>
      <c r="G1544" s="35" t="s">
        <v>4307</v>
      </c>
      <c r="H1544" s="19" t="s">
        <v>27</v>
      </c>
      <c r="I1544" s="19"/>
      <c r="J1544" s="19"/>
      <c r="K1544" s="19"/>
      <c r="L1544" s="19"/>
      <c r="M1544" s="19"/>
      <c r="N1544" s="19"/>
      <c r="O1544" s="19"/>
      <c r="P1544" s="19"/>
      <c r="Q1544" s="19"/>
      <c r="R1544" s="35"/>
      <c r="S1544" s="35"/>
      <c r="T1544" s="35"/>
      <c r="U1544" s="35"/>
      <c r="V1544" s="35"/>
    </row>
    <row r="1545" spans="1:22">
      <c r="A1545" s="105">
        <v>46043</v>
      </c>
      <c r="B1545" s="35" t="s">
        <v>4345</v>
      </c>
      <c r="C1545" s="35" t="s">
        <v>747</v>
      </c>
      <c r="D1545" s="35" t="s">
        <v>68</v>
      </c>
      <c r="E1545" s="35">
        <v>85331</v>
      </c>
      <c r="F1545" s="35" t="s">
        <v>4346</v>
      </c>
      <c r="G1545" s="35" t="s">
        <v>4307</v>
      </c>
      <c r="H1545" s="19">
        <v>8321721000</v>
      </c>
      <c r="I1545" s="19" t="s">
        <v>36</v>
      </c>
      <c r="J1545" s="19" t="s">
        <v>37</v>
      </c>
      <c r="K1545" s="19" t="s">
        <v>37</v>
      </c>
      <c r="L1545" s="19" t="s">
        <v>38</v>
      </c>
      <c r="M1545" s="19" t="s">
        <v>37</v>
      </c>
      <c r="N1545" s="19" t="s">
        <v>37</v>
      </c>
      <c r="O1545" s="19" t="s">
        <v>38</v>
      </c>
      <c r="P1545" s="19" t="s">
        <v>39</v>
      </c>
      <c r="Q1545" s="34">
        <v>46049</v>
      </c>
      <c r="R1545" s="35"/>
      <c r="S1545" s="35"/>
      <c r="T1545" s="35"/>
      <c r="U1545" s="35"/>
      <c r="V1545" s="35"/>
    </row>
    <row r="1546" spans="1:22">
      <c r="A1546" s="103">
        <v>46043</v>
      </c>
      <c r="B1546" s="33" t="s">
        <v>4347</v>
      </c>
      <c r="C1546" s="33" t="s">
        <v>3766</v>
      </c>
      <c r="D1546" s="33" t="s">
        <v>169</v>
      </c>
      <c r="E1546" s="33">
        <v>85338</v>
      </c>
      <c r="F1546" s="33" t="s">
        <v>4348</v>
      </c>
      <c r="G1546" s="33" t="s">
        <v>4307</v>
      </c>
      <c r="H1546" s="43">
        <v>1232541000</v>
      </c>
      <c r="I1546" s="43" t="s">
        <v>196</v>
      </c>
      <c r="J1546" s="43" t="s">
        <v>37</v>
      </c>
      <c r="K1546" s="43" t="s">
        <v>37</v>
      </c>
      <c r="L1546" s="43" t="s">
        <v>4349</v>
      </c>
      <c r="M1546" s="43" t="s">
        <v>37</v>
      </c>
      <c r="N1546" s="43" t="s">
        <v>37</v>
      </c>
      <c r="O1546" s="43" t="s">
        <v>38</v>
      </c>
      <c r="P1546" s="43"/>
      <c r="Q1546" s="42">
        <v>46049</v>
      </c>
      <c r="R1546" s="33" t="s">
        <v>4004</v>
      </c>
      <c r="S1546" s="33"/>
      <c r="T1546" s="33"/>
      <c r="U1546" s="33"/>
      <c r="V1546" s="33"/>
    </row>
    <row r="1547" spans="1:22">
      <c r="A1547" s="105">
        <v>46043</v>
      </c>
      <c r="B1547" s="35" t="s">
        <v>2187</v>
      </c>
      <c r="C1547" s="35" t="s">
        <v>263</v>
      </c>
      <c r="D1547" s="35" t="s">
        <v>504</v>
      </c>
      <c r="E1547" s="35">
        <v>86004</v>
      </c>
      <c r="F1547" s="35" t="s">
        <v>4350</v>
      </c>
      <c r="G1547" s="35" t="s">
        <v>4307</v>
      </c>
      <c r="H1547" s="19" t="s">
        <v>90</v>
      </c>
      <c r="I1547" s="19"/>
      <c r="J1547" s="19"/>
      <c r="K1547" s="19"/>
      <c r="L1547" s="19"/>
      <c r="M1547" s="19"/>
      <c r="N1547" s="19"/>
      <c r="O1547" s="19"/>
      <c r="P1547" s="19"/>
      <c r="Q1547" s="19"/>
      <c r="R1547" s="35"/>
      <c r="S1547" s="35"/>
      <c r="T1547" s="35"/>
      <c r="U1547" s="35"/>
      <c r="V1547" s="35"/>
    </row>
    <row r="1548" spans="1:22">
      <c r="A1548" s="105">
        <v>46043</v>
      </c>
      <c r="B1548" s="35" t="s">
        <v>4351</v>
      </c>
      <c r="C1548" s="35" t="s">
        <v>4352</v>
      </c>
      <c r="D1548" s="35" t="s">
        <v>63</v>
      </c>
      <c r="E1548" s="35">
        <v>85021</v>
      </c>
      <c r="F1548" s="35" t="s">
        <v>4353</v>
      </c>
      <c r="G1548" s="35" t="s">
        <v>4307</v>
      </c>
      <c r="H1548" s="19" t="s">
        <v>90</v>
      </c>
      <c r="I1548" s="19"/>
      <c r="J1548" s="19"/>
      <c r="K1548" s="19"/>
      <c r="L1548" s="19"/>
      <c r="M1548" s="19"/>
      <c r="N1548" s="19"/>
      <c r="O1548" s="19"/>
      <c r="P1548" s="19"/>
      <c r="Q1548" s="19"/>
      <c r="R1548" s="35"/>
      <c r="S1548" s="35"/>
      <c r="T1548" s="35"/>
      <c r="U1548" s="35"/>
      <c r="V1548" s="35"/>
    </row>
    <row r="1549" spans="1:22">
      <c r="A1549" s="105">
        <v>46043</v>
      </c>
      <c r="B1549" s="35" t="s">
        <v>4354</v>
      </c>
      <c r="C1549" s="35" t="s">
        <v>1815</v>
      </c>
      <c r="D1549" s="35" t="s">
        <v>63</v>
      </c>
      <c r="E1549" s="35">
        <v>85013</v>
      </c>
      <c r="F1549" s="35" t="s">
        <v>4355</v>
      </c>
      <c r="G1549" s="35" t="s">
        <v>4307</v>
      </c>
      <c r="H1549" s="19">
        <v>4539057378</v>
      </c>
      <c r="I1549" s="19" t="s">
        <v>73</v>
      </c>
      <c r="J1549" s="19" t="s">
        <v>37</v>
      </c>
      <c r="K1549" s="19" t="s">
        <v>37</v>
      </c>
      <c r="L1549" s="19" t="s">
        <v>38</v>
      </c>
      <c r="M1549" s="19" t="s">
        <v>37</v>
      </c>
      <c r="N1549" s="19" t="s">
        <v>37</v>
      </c>
      <c r="O1549" s="19" t="s">
        <v>38</v>
      </c>
      <c r="P1549" s="19" t="s">
        <v>39</v>
      </c>
      <c r="Q1549" s="34">
        <v>46049</v>
      </c>
      <c r="R1549" s="35"/>
      <c r="S1549" s="35"/>
      <c r="T1549" s="35"/>
      <c r="U1549" s="35"/>
      <c r="V1549" s="35"/>
    </row>
    <row r="1550" spans="1:22">
      <c r="A1550" s="103">
        <v>46043</v>
      </c>
      <c r="B1550" s="33" t="s">
        <v>4356</v>
      </c>
      <c r="C1550" s="33" t="s">
        <v>3687</v>
      </c>
      <c r="D1550" s="33" t="s">
        <v>63</v>
      </c>
      <c r="E1550" s="33">
        <v>85027</v>
      </c>
      <c r="F1550" s="33" t="s">
        <v>4357</v>
      </c>
      <c r="G1550" s="33" t="s">
        <v>4307</v>
      </c>
      <c r="H1550" s="43">
        <v>8223980000</v>
      </c>
      <c r="I1550" s="43" t="s">
        <v>57</v>
      </c>
      <c r="J1550" s="43" t="s">
        <v>37</v>
      </c>
      <c r="K1550" s="43" t="s">
        <v>37</v>
      </c>
      <c r="L1550" s="43" t="s">
        <v>4358</v>
      </c>
      <c r="M1550" s="43" t="s">
        <v>37</v>
      </c>
      <c r="N1550" s="43" t="s">
        <v>37</v>
      </c>
      <c r="O1550" s="43" t="s">
        <v>38</v>
      </c>
      <c r="P1550" s="43"/>
      <c r="Q1550" s="42">
        <v>46049</v>
      </c>
      <c r="R1550" s="33" t="s">
        <v>4004</v>
      </c>
      <c r="S1550" s="33"/>
      <c r="T1550" s="33"/>
      <c r="U1550" s="33"/>
      <c r="V1550" s="33"/>
    </row>
    <row r="1551" spans="1:22">
      <c r="A1551" s="105">
        <v>46043</v>
      </c>
      <c r="B1551" s="35" t="s">
        <v>4359</v>
      </c>
      <c r="C1551" s="35" t="s">
        <v>79</v>
      </c>
      <c r="D1551" s="35" t="s">
        <v>24</v>
      </c>
      <c r="E1551" s="35">
        <v>85301</v>
      </c>
      <c r="F1551" s="35" t="s">
        <v>4360</v>
      </c>
      <c r="G1551" s="35" t="s">
        <v>4307</v>
      </c>
      <c r="H1551" s="19">
        <v>3110727023</v>
      </c>
      <c r="I1551" s="19" t="s">
        <v>126</v>
      </c>
      <c r="J1551" s="19" t="s">
        <v>37</v>
      </c>
      <c r="K1551" s="19" t="s">
        <v>37</v>
      </c>
      <c r="L1551" s="19" t="s">
        <v>4361</v>
      </c>
      <c r="M1551" s="19" t="s">
        <v>38</v>
      </c>
      <c r="N1551" s="19">
        <v>43.34</v>
      </c>
      <c r="O1551" s="19" t="s">
        <v>38</v>
      </c>
      <c r="P1551" s="19" t="s">
        <v>39</v>
      </c>
      <c r="Q1551" s="34">
        <v>45684</v>
      </c>
      <c r="R1551" s="35"/>
      <c r="S1551" s="35"/>
      <c r="T1551" s="35"/>
      <c r="U1551" s="35"/>
      <c r="V1551" s="35"/>
    </row>
    <row r="1552" spans="1:22">
      <c r="A1552" s="105">
        <v>46043</v>
      </c>
      <c r="B1552" s="35" t="s">
        <v>4362</v>
      </c>
      <c r="C1552" s="35" t="s">
        <v>252</v>
      </c>
      <c r="D1552" s="35" t="s">
        <v>63</v>
      </c>
      <c r="E1552" s="35">
        <v>85013</v>
      </c>
      <c r="F1552" s="35" t="s">
        <v>4363</v>
      </c>
      <c r="G1552" s="35" t="s">
        <v>4307</v>
      </c>
      <c r="H1552" s="19">
        <v>8910276728</v>
      </c>
      <c r="I1552" s="19" t="s">
        <v>73</v>
      </c>
      <c r="J1552" s="19" t="s">
        <v>37</v>
      </c>
      <c r="K1552" s="19" t="s">
        <v>37</v>
      </c>
      <c r="L1552" s="19" t="s">
        <v>38</v>
      </c>
      <c r="M1552" s="19" t="s">
        <v>37</v>
      </c>
      <c r="N1552" s="19" t="s">
        <v>37</v>
      </c>
      <c r="O1552" s="19" t="s">
        <v>38</v>
      </c>
      <c r="P1552" s="19" t="s">
        <v>39</v>
      </c>
      <c r="Q1552" s="34">
        <v>46049</v>
      </c>
      <c r="R1552" s="35"/>
      <c r="S1552" s="35"/>
      <c r="T1552" s="35"/>
      <c r="U1552" s="35"/>
      <c r="V1552" s="35"/>
    </row>
    <row r="1553" spans="1:22">
      <c r="A1553" s="105">
        <v>46043</v>
      </c>
      <c r="B1553" s="35" t="s">
        <v>4364</v>
      </c>
      <c r="C1553" s="35" t="s">
        <v>252</v>
      </c>
      <c r="D1553" s="35" t="s">
        <v>202</v>
      </c>
      <c r="E1553" s="35">
        <v>85345</v>
      </c>
      <c r="F1553" s="35" t="s">
        <v>4365</v>
      </c>
      <c r="G1553" s="35" t="s">
        <v>4307</v>
      </c>
      <c r="H1553" s="19" t="s">
        <v>27</v>
      </c>
      <c r="I1553" s="19"/>
      <c r="J1553" s="19"/>
      <c r="K1553" s="19"/>
      <c r="L1553" s="19"/>
      <c r="M1553" s="19"/>
      <c r="N1553" s="19"/>
      <c r="O1553" s="19"/>
      <c r="P1553" s="19"/>
      <c r="Q1553" s="19"/>
      <c r="R1553" s="35"/>
      <c r="S1553" s="35"/>
      <c r="T1553" s="35"/>
      <c r="U1553" s="35"/>
      <c r="V1553" s="35"/>
    </row>
    <row r="1554" spans="1:22" ht="13.5">
      <c r="A1554" s="105">
        <v>46043</v>
      </c>
      <c r="B1554" s="35" t="s">
        <v>74</v>
      </c>
      <c r="C1554" s="35" t="s">
        <v>4366</v>
      </c>
      <c r="D1554" s="35" t="s">
        <v>202</v>
      </c>
      <c r="E1554" s="35">
        <v>85383</v>
      </c>
      <c r="F1554" s="35" t="s">
        <v>4367</v>
      </c>
      <c r="G1554" s="106" t="s">
        <v>4368</v>
      </c>
      <c r="H1554" s="19">
        <v>2349858876</v>
      </c>
      <c r="I1554" s="19" t="s">
        <v>1040</v>
      </c>
      <c r="J1554" s="19" t="s">
        <v>37</v>
      </c>
      <c r="K1554" s="19" t="s">
        <v>37</v>
      </c>
      <c r="L1554" s="19" t="s">
        <v>38</v>
      </c>
      <c r="M1554" s="19" t="s">
        <v>37</v>
      </c>
      <c r="N1554" s="19" t="s">
        <v>37</v>
      </c>
      <c r="O1554" s="19" t="s">
        <v>38</v>
      </c>
      <c r="P1554" s="19" t="s">
        <v>39</v>
      </c>
      <c r="Q1554" s="34">
        <v>46049</v>
      </c>
      <c r="R1554" s="35" t="s">
        <v>4316</v>
      </c>
      <c r="S1554" s="35"/>
      <c r="T1554" s="35"/>
      <c r="U1554" s="35"/>
      <c r="V1554" s="35"/>
    </row>
    <row r="1555" spans="1:22" ht="13.5">
      <c r="A1555" s="105">
        <v>46043</v>
      </c>
      <c r="B1555" s="35" t="s">
        <v>4369</v>
      </c>
      <c r="C1555" s="35" t="s">
        <v>757</v>
      </c>
      <c r="D1555" s="35" t="s">
        <v>169</v>
      </c>
      <c r="E1555" s="35">
        <v>85395</v>
      </c>
      <c r="F1555" s="35" t="s">
        <v>4370</v>
      </c>
      <c r="G1555" s="106" t="s">
        <v>4368</v>
      </c>
      <c r="H1555" s="19">
        <v>3287157855</v>
      </c>
      <c r="I1555" s="19" t="s">
        <v>250</v>
      </c>
      <c r="J1555" s="19" t="s">
        <v>37</v>
      </c>
      <c r="K1555" s="19" t="s">
        <v>37</v>
      </c>
      <c r="L1555" s="19" t="s">
        <v>38</v>
      </c>
      <c r="M1555" s="19" t="s">
        <v>37</v>
      </c>
      <c r="N1555" s="19" t="s">
        <v>37</v>
      </c>
      <c r="O1555" s="19" t="s">
        <v>38</v>
      </c>
      <c r="P1555" s="19" t="s">
        <v>39</v>
      </c>
      <c r="Q1555" s="34">
        <v>46049</v>
      </c>
      <c r="R1555" s="35"/>
      <c r="S1555" s="35"/>
      <c r="T1555" s="35"/>
      <c r="U1555" s="35"/>
      <c r="V1555" s="35"/>
    </row>
    <row r="1556" spans="1:22" ht="13.5">
      <c r="A1556" s="105">
        <v>46043</v>
      </c>
      <c r="B1556" s="35" t="s">
        <v>3383</v>
      </c>
      <c r="C1556" s="35" t="s">
        <v>4371</v>
      </c>
      <c r="D1556" s="35" t="s">
        <v>112</v>
      </c>
      <c r="E1556" s="35">
        <v>85379</v>
      </c>
      <c r="F1556" s="35" t="s">
        <v>4372</v>
      </c>
      <c r="G1556" s="106" t="s">
        <v>4368</v>
      </c>
      <c r="H1556" s="19">
        <v>8334963855</v>
      </c>
      <c r="I1556" s="19" t="s">
        <v>36</v>
      </c>
      <c r="J1556" s="19" t="s">
        <v>37</v>
      </c>
      <c r="K1556" s="19" t="s">
        <v>37</v>
      </c>
      <c r="L1556" s="19" t="s">
        <v>38</v>
      </c>
      <c r="M1556" s="19" t="s">
        <v>37</v>
      </c>
      <c r="N1556" s="19" t="s">
        <v>37</v>
      </c>
      <c r="O1556" s="19" t="s">
        <v>38</v>
      </c>
      <c r="P1556" s="19" t="s">
        <v>39</v>
      </c>
      <c r="Q1556" s="34">
        <v>46049</v>
      </c>
      <c r="R1556" s="35"/>
      <c r="S1556" s="35"/>
      <c r="T1556" s="35"/>
      <c r="U1556" s="35"/>
      <c r="V1556" s="35"/>
    </row>
    <row r="1557" spans="1:22" ht="13.5">
      <c r="A1557" s="105">
        <v>46043</v>
      </c>
      <c r="B1557" s="35" t="s">
        <v>123</v>
      </c>
      <c r="C1557" s="35" t="s">
        <v>124</v>
      </c>
      <c r="D1557" s="35" t="s">
        <v>125</v>
      </c>
      <c r="E1557" s="35">
        <v>85254</v>
      </c>
      <c r="F1557" s="35" t="s">
        <v>4373</v>
      </c>
      <c r="G1557" s="106" t="s">
        <v>4368</v>
      </c>
      <c r="H1557" s="19">
        <v>7413433376</v>
      </c>
      <c r="I1557" s="19" t="s">
        <v>126</v>
      </c>
      <c r="J1557" s="19" t="s">
        <v>37</v>
      </c>
      <c r="K1557" s="19" t="s">
        <v>37</v>
      </c>
      <c r="L1557" s="19" t="s">
        <v>38</v>
      </c>
      <c r="M1557" s="19" t="s">
        <v>37</v>
      </c>
      <c r="N1557" s="19" t="s">
        <v>37</v>
      </c>
      <c r="O1557" s="19" t="s">
        <v>38</v>
      </c>
      <c r="P1557" s="19" t="s">
        <v>39</v>
      </c>
      <c r="Q1557" s="34">
        <v>46049</v>
      </c>
      <c r="R1557" s="35"/>
      <c r="S1557" s="35"/>
      <c r="T1557" s="35"/>
      <c r="U1557" s="35"/>
      <c r="V1557" s="35"/>
    </row>
    <row r="1558" spans="1:22" ht="13.5">
      <c r="A1558" s="105">
        <v>46043</v>
      </c>
      <c r="B1558" s="35" t="s">
        <v>3473</v>
      </c>
      <c r="C1558" s="35" t="s">
        <v>363</v>
      </c>
      <c r="D1558" s="35" t="s">
        <v>63</v>
      </c>
      <c r="E1558" s="35">
        <v>85022</v>
      </c>
      <c r="F1558" s="35" t="s">
        <v>4374</v>
      </c>
      <c r="G1558" s="106" t="s">
        <v>4368</v>
      </c>
      <c r="H1558" s="19">
        <v>4625460000</v>
      </c>
      <c r="I1558" s="19" t="s">
        <v>126</v>
      </c>
      <c r="J1558" s="19" t="s">
        <v>37</v>
      </c>
      <c r="K1558" s="19" t="s">
        <v>37</v>
      </c>
      <c r="L1558" s="19" t="s">
        <v>4375</v>
      </c>
      <c r="M1558" s="19" t="s">
        <v>37</v>
      </c>
      <c r="N1558" s="19" t="s">
        <v>37</v>
      </c>
      <c r="O1558" s="19" t="s">
        <v>38</v>
      </c>
      <c r="P1558" s="19" t="s">
        <v>39</v>
      </c>
      <c r="Q1558" s="34">
        <v>46049</v>
      </c>
      <c r="R1558" s="35"/>
      <c r="S1558" s="35"/>
      <c r="T1558" s="35"/>
      <c r="U1558" s="35"/>
      <c r="V1558" s="35"/>
    </row>
    <row r="1559" spans="1:22" ht="13.5">
      <c r="A1559" s="105">
        <v>46043</v>
      </c>
      <c r="B1559" s="35" t="s">
        <v>4376</v>
      </c>
      <c r="C1559" s="35" t="s">
        <v>117</v>
      </c>
      <c r="D1559" s="35" t="s">
        <v>112</v>
      </c>
      <c r="E1559" s="35">
        <v>85374</v>
      </c>
      <c r="F1559" s="35" t="s">
        <v>4377</v>
      </c>
      <c r="G1559" s="106" t="s">
        <v>4368</v>
      </c>
      <c r="H1559" s="19" t="s">
        <v>27</v>
      </c>
      <c r="I1559" s="19"/>
      <c r="J1559" s="19"/>
      <c r="K1559" s="19"/>
      <c r="L1559" s="19"/>
      <c r="M1559" s="19"/>
      <c r="N1559" s="19"/>
      <c r="O1559" s="19"/>
      <c r="P1559" s="19"/>
      <c r="Q1559" s="19"/>
      <c r="R1559" s="35"/>
      <c r="S1559" s="35"/>
      <c r="T1559" s="35"/>
      <c r="U1559" s="35"/>
      <c r="V1559" s="35"/>
    </row>
    <row r="1560" spans="1:22" ht="13.5">
      <c r="A1560" s="105">
        <v>46043</v>
      </c>
      <c r="B1560" s="35" t="s">
        <v>4378</v>
      </c>
      <c r="C1560" s="35" t="s">
        <v>4379</v>
      </c>
      <c r="D1560" s="35" t="s">
        <v>112</v>
      </c>
      <c r="E1560" s="35">
        <v>85379</v>
      </c>
      <c r="F1560" s="35" t="s">
        <v>4380</v>
      </c>
      <c r="G1560" s="106" t="s">
        <v>4368</v>
      </c>
      <c r="H1560" s="19">
        <v>2782988581</v>
      </c>
      <c r="I1560" s="19" t="s">
        <v>4311</v>
      </c>
      <c r="J1560" s="19" t="s">
        <v>37</v>
      </c>
      <c r="K1560" s="19" t="s">
        <v>37</v>
      </c>
      <c r="L1560" s="19" t="s">
        <v>38</v>
      </c>
      <c r="M1560" s="19" t="s">
        <v>37</v>
      </c>
      <c r="N1560" s="19" t="s">
        <v>37</v>
      </c>
      <c r="O1560" s="19" t="s">
        <v>38</v>
      </c>
      <c r="P1560" s="19" t="s">
        <v>39</v>
      </c>
      <c r="Q1560" s="34">
        <v>46049</v>
      </c>
      <c r="R1560" s="35"/>
      <c r="S1560" s="35"/>
      <c r="T1560" s="35"/>
      <c r="U1560" s="35"/>
      <c r="V1560" s="35"/>
    </row>
    <row r="1561" spans="1:22" ht="13.5">
      <c r="A1561" s="105">
        <v>46043</v>
      </c>
      <c r="B1561" s="35" t="s">
        <v>4381</v>
      </c>
      <c r="C1561" s="35" t="s">
        <v>4382</v>
      </c>
      <c r="D1561" s="35" t="s">
        <v>63</v>
      </c>
      <c r="E1561" s="35">
        <v>85006</v>
      </c>
      <c r="F1561" s="35" t="s">
        <v>4383</v>
      </c>
      <c r="G1561" s="106" t="s">
        <v>4368</v>
      </c>
      <c r="H1561" s="19" t="s">
        <v>27</v>
      </c>
      <c r="I1561" s="19"/>
      <c r="J1561" s="19"/>
      <c r="K1561" s="19"/>
      <c r="L1561" s="19"/>
      <c r="M1561" s="19"/>
      <c r="N1561" s="19"/>
      <c r="O1561" s="19"/>
      <c r="P1561" s="19"/>
      <c r="Q1561" s="19"/>
      <c r="R1561" s="35"/>
      <c r="S1561" s="35"/>
      <c r="T1561" s="35"/>
      <c r="U1561" s="35"/>
      <c r="V1561" s="35"/>
    </row>
    <row r="1562" spans="1:22" ht="13.5">
      <c r="A1562" s="105">
        <v>46043</v>
      </c>
      <c r="B1562" s="35" t="s">
        <v>4384</v>
      </c>
      <c r="C1562" s="35" t="s">
        <v>4385</v>
      </c>
      <c r="D1562" s="35" t="s">
        <v>24</v>
      </c>
      <c r="E1562" s="35">
        <v>85308</v>
      </c>
      <c r="F1562" s="35" t="s">
        <v>4386</v>
      </c>
      <c r="G1562" s="106" t="s">
        <v>4368</v>
      </c>
      <c r="H1562" s="19" t="s">
        <v>27</v>
      </c>
      <c r="I1562" s="19"/>
      <c r="J1562" s="19"/>
      <c r="K1562" s="19"/>
      <c r="L1562" s="19"/>
      <c r="M1562" s="19"/>
      <c r="N1562" s="19"/>
      <c r="O1562" s="19"/>
      <c r="P1562" s="19"/>
      <c r="Q1562" s="19"/>
      <c r="R1562" s="35"/>
      <c r="S1562" s="35"/>
      <c r="T1562" s="35"/>
      <c r="U1562" s="35"/>
      <c r="V1562" s="35"/>
    </row>
    <row r="1563" spans="1:22" ht="13.5">
      <c r="A1563" s="105">
        <v>46043</v>
      </c>
      <c r="B1563" s="35" t="s">
        <v>4387</v>
      </c>
      <c r="C1563" s="35" t="s">
        <v>4388</v>
      </c>
      <c r="D1563" s="35" t="s">
        <v>112</v>
      </c>
      <c r="E1563" s="35">
        <v>85379</v>
      </c>
      <c r="F1563" s="35" t="s">
        <v>4389</v>
      </c>
      <c r="G1563" s="106" t="s">
        <v>4368</v>
      </c>
      <c r="H1563" s="19">
        <v>4627150000</v>
      </c>
      <c r="I1563" s="19" t="s">
        <v>36</v>
      </c>
      <c r="J1563" s="19" t="s">
        <v>37</v>
      </c>
      <c r="K1563" s="19" t="s">
        <v>37</v>
      </c>
      <c r="L1563" s="19" t="s">
        <v>38</v>
      </c>
      <c r="M1563" s="19" t="s">
        <v>37</v>
      </c>
      <c r="N1563" s="19" t="s">
        <v>37</v>
      </c>
      <c r="O1563" s="19" t="s">
        <v>38</v>
      </c>
      <c r="P1563" s="19" t="s">
        <v>39</v>
      </c>
      <c r="Q1563" s="34">
        <v>46049</v>
      </c>
      <c r="R1563" s="35"/>
      <c r="S1563" s="35"/>
      <c r="T1563" s="35"/>
      <c r="U1563" s="35"/>
      <c r="V1563" s="35"/>
    </row>
    <row r="1564" spans="1:22" ht="13.5">
      <c r="A1564" s="105">
        <v>46043</v>
      </c>
      <c r="B1564" s="35" t="s">
        <v>4390</v>
      </c>
      <c r="C1564" s="35" t="s">
        <v>471</v>
      </c>
      <c r="D1564" s="35" t="s">
        <v>2429</v>
      </c>
      <c r="E1564" s="35">
        <v>85132</v>
      </c>
      <c r="F1564" s="35" t="s">
        <v>4391</v>
      </c>
      <c r="G1564" s="106" t="s">
        <v>4368</v>
      </c>
      <c r="H1564" s="19">
        <v>6893057406</v>
      </c>
      <c r="I1564" s="19" t="s">
        <v>4311</v>
      </c>
      <c r="J1564" s="19" t="s">
        <v>37</v>
      </c>
      <c r="K1564" s="19" t="s">
        <v>37</v>
      </c>
      <c r="L1564" s="19" t="s">
        <v>38</v>
      </c>
      <c r="M1564" s="19" t="s">
        <v>37</v>
      </c>
      <c r="N1564" s="19" t="s">
        <v>37</v>
      </c>
      <c r="O1564" s="19" t="s">
        <v>38</v>
      </c>
      <c r="P1564" s="19" t="s">
        <v>39</v>
      </c>
      <c r="Q1564" s="34">
        <v>46049</v>
      </c>
      <c r="R1564" s="35"/>
      <c r="S1564" s="35"/>
      <c r="T1564" s="35"/>
      <c r="U1564" s="35"/>
      <c r="V1564" s="35"/>
    </row>
    <row r="1565" spans="1:22" ht="13.5">
      <c r="A1565" s="105">
        <v>46043</v>
      </c>
      <c r="B1565" s="35" t="s">
        <v>4392</v>
      </c>
      <c r="C1565" s="35" t="s">
        <v>3687</v>
      </c>
      <c r="D1565" s="35" t="s">
        <v>635</v>
      </c>
      <c r="E1565" s="35">
        <v>85281</v>
      </c>
      <c r="F1565" s="35" t="s">
        <v>4393</v>
      </c>
      <c r="G1565" s="106" t="s">
        <v>4368</v>
      </c>
      <c r="H1565" s="19">
        <v>9969975926</v>
      </c>
      <c r="I1565" s="19" t="s">
        <v>57</v>
      </c>
      <c r="J1565" s="19" t="s">
        <v>38</v>
      </c>
      <c r="K1565" s="19" t="s">
        <v>37</v>
      </c>
      <c r="L1565" s="19" t="s">
        <v>4394</v>
      </c>
      <c r="M1565" s="19" t="s">
        <v>37</v>
      </c>
      <c r="N1565" s="19" t="s">
        <v>37</v>
      </c>
      <c r="O1565" s="19" t="s">
        <v>38</v>
      </c>
      <c r="P1565" s="19" t="s">
        <v>39</v>
      </c>
      <c r="Q1565" s="34">
        <v>46049</v>
      </c>
      <c r="R1565" s="35"/>
      <c r="S1565" s="35"/>
      <c r="T1565" s="35"/>
      <c r="U1565" s="35"/>
      <c r="V1565" s="35"/>
    </row>
    <row r="1566" spans="1:22" ht="13.5">
      <c r="A1566" s="105">
        <v>46043</v>
      </c>
      <c r="B1566" s="35" t="s">
        <v>4395</v>
      </c>
      <c r="C1566" s="35" t="s">
        <v>4396</v>
      </c>
      <c r="D1566" s="35" t="s">
        <v>63</v>
      </c>
      <c r="E1566" s="35">
        <v>85027</v>
      </c>
      <c r="F1566" s="35" t="s">
        <v>4397</v>
      </c>
      <c r="G1566" s="106" t="s">
        <v>4368</v>
      </c>
      <c r="H1566" s="19">
        <v>5403700000</v>
      </c>
      <c r="I1566" s="19" t="s">
        <v>3887</v>
      </c>
      <c r="J1566" s="19" t="s">
        <v>37</v>
      </c>
      <c r="K1566" s="19" t="s">
        <v>37</v>
      </c>
      <c r="L1566" s="19" t="s">
        <v>38</v>
      </c>
      <c r="M1566" s="19" t="s">
        <v>37</v>
      </c>
      <c r="N1566" s="19" t="s">
        <v>37</v>
      </c>
      <c r="O1566" s="19" t="s">
        <v>38</v>
      </c>
      <c r="P1566" s="19" t="s">
        <v>39</v>
      </c>
      <c r="Q1566" s="34">
        <v>46049</v>
      </c>
      <c r="R1566" s="35"/>
      <c r="S1566" s="35"/>
      <c r="T1566" s="35"/>
      <c r="U1566" s="35"/>
      <c r="V1566" s="35"/>
    </row>
    <row r="1567" spans="1:22" ht="13.5">
      <c r="A1567" s="105">
        <v>46043</v>
      </c>
      <c r="B1567" s="35" t="s">
        <v>4398</v>
      </c>
      <c r="C1567" s="35" t="s">
        <v>4399</v>
      </c>
      <c r="D1567" s="35" t="s">
        <v>63</v>
      </c>
      <c r="E1567" s="35">
        <v>85003</v>
      </c>
      <c r="F1567" s="35" t="s">
        <v>4400</v>
      </c>
      <c r="G1567" s="106" t="s">
        <v>4368</v>
      </c>
      <c r="H1567" s="19">
        <v>2971450583</v>
      </c>
      <c r="I1567" s="19" t="s">
        <v>36</v>
      </c>
      <c r="J1567" s="19" t="s">
        <v>37</v>
      </c>
      <c r="K1567" s="19" t="s">
        <v>37</v>
      </c>
      <c r="L1567" s="19" t="s">
        <v>38</v>
      </c>
      <c r="M1567" s="19" t="s">
        <v>37</v>
      </c>
      <c r="N1567" s="19" t="s">
        <v>37</v>
      </c>
      <c r="O1567" s="19" t="s">
        <v>38</v>
      </c>
      <c r="P1567" s="19" t="s">
        <v>39</v>
      </c>
      <c r="Q1567" s="34">
        <v>46050</v>
      </c>
      <c r="R1567" s="35"/>
      <c r="S1567" s="35"/>
      <c r="T1567" s="35"/>
      <c r="U1567" s="35"/>
      <c r="V1567" s="35"/>
    </row>
    <row r="1568" spans="1:22" ht="13.5">
      <c r="A1568" s="103">
        <v>46043</v>
      </c>
      <c r="B1568" s="33" t="s">
        <v>4401</v>
      </c>
      <c r="C1568" s="33" t="s">
        <v>648</v>
      </c>
      <c r="D1568" s="33" t="s">
        <v>4164</v>
      </c>
      <c r="E1568" s="33">
        <v>85013</v>
      </c>
      <c r="F1568" s="33" t="s">
        <v>4310</v>
      </c>
      <c r="G1568" s="44" t="s">
        <v>4368</v>
      </c>
      <c r="H1568" s="43">
        <v>4337494792</v>
      </c>
      <c r="I1568" s="43" t="s">
        <v>196</v>
      </c>
      <c r="J1568" s="43" t="s">
        <v>37</v>
      </c>
      <c r="K1568" s="43" t="s">
        <v>37</v>
      </c>
      <c r="L1568" s="43" t="s">
        <v>4402</v>
      </c>
      <c r="M1568" s="43" t="s">
        <v>37</v>
      </c>
      <c r="N1568" s="43" t="s">
        <v>37</v>
      </c>
      <c r="O1568" s="43" t="s">
        <v>38</v>
      </c>
      <c r="P1568" s="43"/>
      <c r="Q1568" s="42">
        <v>46050</v>
      </c>
      <c r="R1568" s="33" t="s">
        <v>4313</v>
      </c>
      <c r="S1568" s="33"/>
      <c r="T1568" s="33"/>
      <c r="U1568" s="33"/>
      <c r="V1568" s="33"/>
    </row>
    <row r="1569" spans="1:22" ht="13.5">
      <c r="A1569" s="105">
        <v>46043</v>
      </c>
      <c r="B1569" s="35" t="s">
        <v>4403</v>
      </c>
      <c r="C1569" s="35" t="s">
        <v>4404</v>
      </c>
      <c r="D1569" s="35" t="s">
        <v>112</v>
      </c>
      <c r="E1569" s="35">
        <v>85379</v>
      </c>
      <c r="F1569" s="35" t="s">
        <v>4405</v>
      </c>
      <c r="G1569" s="106" t="s">
        <v>4368</v>
      </c>
      <c r="H1569" s="19" t="s">
        <v>27</v>
      </c>
      <c r="I1569" s="19"/>
      <c r="J1569" s="19"/>
      <c r="K1569" s="19"/>
      <c r="L1569" s="19"/>
      <c r="M1569" s="19"/>
      <c r="N1569" s="19"/>
      <c r="O1569" s="19"/>
      <c r="P1569" s="19"/>
      <c r="Q1569" s="19"/>
      <c r="R1569" s="35"/>
      <c r="S1569" s="35"/>
      <c r="T1569" s="35"/>
      <c r="U1569" s="35"/>
      <c r="V1569" s="35"/>
    </row>
    <row r="1570" spans="1:22" ht="13.5">
      <c r="A1570" s="105">
        <v>46043</v>
      </c>
      <c r="B1570" s="35" t="s">
        <v>4406</v>
      </c>
      <c r="C1570" s="35" t="s">
        <v>4407</v>
      </c>
      <c r="D1570" s="35" t="s">
        <v>169</v>
      </c>
      <c r="E1570" s="35">
        <v>85338</v>
      </c>
      <c r="F1570" s="35" t="s">
        <v>4373</v>
      </c>
      <c r="G1570" s="106" t="s">
        <v>4368</v>
      </c>
      <c r="H1570" s="19">
        <v>9378625789</v>
      </c>
      <c r="I1570" s="19" t="s">
        <v>196</v>
      </c>
      <c r="J1570" s="19" t="s">
        <v>37</v>
      </c>
      <c r="K1570" s="19" t="s">
        <v>37</v>
      </c>
      <c r="L1570" s="19" t="s">
        <v>38</v>
      </c>
      <c r="M1570" s="19" t="s">
        <v>37</v>
      </c>
      <c r="N1570" s="19" t="s">
        <v>37</v>
      </c>
      <c r="O1570" s="19" t="s">
        <v>38</v>
      </c>
      <c r="P1570" s="19" t="s">
        <v>39</v>
      </c>
      <c r="Q1570" s="34">
        <v>46050</v>
      </c>
      <c r="R1570" s="35"/>
      <c r="S1570" s="35"/>
      <c r="T1570" s="35"/>
      <c r="U1570" s="35"/>
      <c r="V1570" s="35"/>
    </row>
    <row r="1571" spans="1:22" ht="13.5">
      <c r="A1571" s="105">
        <v>46043</v>
      </c>
      <c r="B1571" s="35" t="s">
        <v>2348</v>
      </c>
      <c r="C1571" s="35" t="s">
        <v>1876</v>
      </c>
      <c r="D1571" s="35" t="s">
        <v>63</v>
      </c>
      <c r="E1571" s="35">
        <v>85014</v>
      </c>
      <c r="F1571" s="35" t="s">
        <v>4310</v>
      </c>
      <c r="G1571" s="106" t="s">
        <v>4368</v>
      </c>
      <c r="H1571" s="19" t="s">
        <v>90</v>
      </c>
      <c r="I1571" s="19"/>
      <c r="J1571" s="19"/>
      <c r="K1571" s="19"/>
      <c r="L1571" s="19"/>
      <c r="M1571" s="19"/>
      <c r="N1571" s="19"/>
      <c r="O1571" s="19"/>
      <c r="P1571" s="19"/>
      <c r="Q1571" s="19"/>
      <c r="R1571" s="35"/>
      <c r="S1571" s="35"/>
      <c r="T1571" s="35"/>
      <c r="U1571" s="35"/>
      <c r="V1571" s="35"/>
    </row>
    <row r="1572" spans="1:22" ht="13.5">
      <c r="A1572" s="105">
        <v>46043</v>
      </c>
      <c r="B1572" s="35" t="s">
        <v>4408</v>
      </c>
      <c r="C1572" s="35" t="s">
        <v>4409</v>
      </c>
      <c r="D1572" s="35" t="s">
        <v>112</v>
      </c>
      <c r="E1572" s="35">
        <v>85387</v>
      </c>
      <c r="F1572" s="35" t="s">
        <v>4410</v>
      </c>
      <c r="G1572" s="106" t="s">
        <v>4368</v>
      </c>
      <c r="H1572" s="19">
        <v>7508640000</v>
      </c>
      <c r="I1572" s="19" t="s">
        <v>196</v>
      </c>
      <c r="J1572" s="19" t="s">
        <v>37</v>
      </c>
      <c r="K1572" s="19" t="s">
        <v>37</v>
      </c>
      <c r="L1572" s="19" t="s">
        <v>4411</v>
      </c>
      <c r="M1572" s="19" t="s">
        <v>37</v>
      </c>
      <c r="N1572" s="19" t="s">
        <v>37</v>
      </c>
      <c r="O1572" s="19" t="s">
        <v>38</v>
      </c>
      <c r="P1572" s="19" t="s">
        <v>39</v>
      </c>
      <c r="Q1572" s="34">
        <v>46050</v>
      </c>
      <c r="R1572" s="35"/>
      <c r="S1572" s="35"/>
      <c r="T1572" s="35"/>
      <c r="U1572" s="35"/>
      <c r="V1572" s="35"/>
    </row>
    <row r="1573" spans="1:22" ht="13.5">
      <c r="A1573" s="105">
        <v>46043</v>
      </c>
      <c r="B1573" s="35" t="s">
        <v>4412</v>
      </c>
      <c r="C1573" s="35" t="s">
        <v>4413</v>
      </c>
      <c r="D1573" s="35" t="s">
        <v>202</v>
      </c>
      <c r="E1573" s="35">
        <v>85383</v>
      </c>
      <c r="F1573" s="35" t="s">
        <v>4414</v>
      </c>
      <c r="G1573" s="106" t="s">
        <v>4368</v>
      </c>
      <c r="H1573" s="19" t="s">
        <v>27</v>
      </c>
      <c r="I1573" s="19"/>
      <c r="J1573" s="19"/>
      <c r="K1573" s="19"/>
      <c r="L1573" s="19"/>
      <c r="M1573" s="19"/>
      <c r="N1573" s="19"/>
      <c r="O1573" s="19"/>
      <c r="P1573" s="19"/>
      <c r="Q1573" s="19"/>
      <c r="R1573" s="35"/>
      <c r="S1573" s="35"/>
      <c r="T1573" s="35"/>
      <c r="U1573" s="35"/>
      <c r="V1573" s="35"/>
    </row>
    <row r="1574" spans="1:22" ht="13.5">
      <c r="A1574" s="103">
        <v>46043</v>
      </c>
      <c r="B1574" s="33" t="s">
        <v>4412</v>
      </c>
      <c r="C1574" s="33" t="s">
        <v>4415</v>
      </c>
      <c r="D1574" s="33" t="s">
        <v>93</v>
      </c>
      <c r="E1574" s="33">
        <v>85351</v>
      </c>
      <c r="F1574" s="33" t="s">
        <v>4416</v>
      </c>
      <c r="G1574" s="44" t="s">
        <v>4368</v>
      </c>
      <c r="H1574" s="43">
        <v>3985375594</v>
      </c>
      <c r="I1574" s="43" t="s">
        <v>196</v>
      </c>
      <c r="J1574" s="43" t="s">
        <v>38</v>
      </c>
      <c r="K1574" s="43" t="s">
        <v>37</v>
      </c>
      <c r="L1574" s="43" t="s">
        <v>4417</v>
      </c>
      <c r="M1574" s="43" t="s">
        <v>37</v>
      </c>
      <c r="N1574" s="43" t="s">
        <v>37</v>
      </c>
      <c r="O1574" s="43" t="s">
        <v>38</v>
      </c>
      <c r="P1574" s="43"/>
      <c r="Q1574" s="42">
        <v>46050</v>
      </c>
      <c r="R1574" s="33" t="s">
        <v>4313</v>
      </c>
      <c r="S1574" s="33"/>
      <c r="T1574" s="33"/>
      <c r="U1574" s="33"/>
      <c r="V1574" s="33"/>
    </row>
    <row r="1575" spans="1:22" ht="13.5">
      <c r="A1575" s="105">
        <v>46043</v>
      </c>
      <c r="B1575" s="35" t="s">
        <v>1765</v>
      </c>
      <c r="C1575" s="35" t="s">
        <v>920</v>
      </c>
      <c r="D1575" s="35" t="s">
        <v>24</v>
      </c>
      <c r="E1575" s="35">
        <v>85308</v>
      </c>
      <c r="F1575" s="35" t="s">
        <v>4418</v>
      </c>
      <c r="G1575" s="106" t="s">
        <v>4368</v>
      </c>
      <c r="H1575" s="19">
        <v>1370585483</v>
      </c>
      <c r="I1575" s="19" t="s">
        <v>126</v>
      </c>
      <c r="J1575" s="19" t="s">
        <v>37</v>
      </c>
      <c r="K1575" s="19" t="s">
        <v>37</v>
      </c>
      <c r="L1575" s="19" t="s">
        <v>4419</v>
      </c>
      <c r="M1575" s="19" t="s">
        <v>37</v>
      </c>
      <c r="N1575" s="19" t="s">
        <v>37</v>
      </c>
      <c r="O1575" s="19" t="s">
        <v>38</v>
      </c>
      <c r="P1575" s="19" t="s">
        <v>39</v>
      </c>
      <c r="Q1575" s="34">
        <v>46050</v>
      </c>
      <c r="R1575" s="35" t="s">
        <v>4420</v>
      </c>
      <c r="S1575" s="35"/>
      <c r="T1575" s="35"/>
      <c r="U1575" s="35"/>
      <c r="V1575" s="35"/>
    </row>
    <row r="1576" spans="1:22" ht="13.5">
      <c r="A1576" s="105">
        <v>46043</v>
      </c>
      <c r="B1576" s="35" t="s">
        <v>1165</v>
      </c>
      <c r="C1576" s="35" t="s">
        <v>4421</v>
      </c>
      <c r="D1576" s="35" t="s">
        <v>112</v>
      </c>
      <c r="E1576" s="35">
        <v>85374</v>
      </c>
      <c r="F1576" s="35" t="s">
        <v>4422</v>
      </c>
      <c r="G1576" s="106" t="s">
        <v>4368</v>
      </c>
      <c r="H1576" s="19" t="s">
        <v>27</v>
      </c>
      <c r="I1576" s="19"/>
      <c r="J1576" s="19"/>
      <c r="K1576" s="19"/>
      <c r="L1576" s="19"/>
      <c r="M1576" s="19"/>
      <c r="N1576" s="19"/>
      <c r="O1576" s="19"/>
      <c r="P1576" s="19"/>
      <c r="Q1576" s="19"/>
      <c r="R1576" s="35"/>
      <c r="S1576" s="35"/>
      <c r="T1576" s="35"/>
      <c r="U1576" s="35"/>
      <c r="V1576" s="35"/>
    </row>
    <row r="1577" spans="1:22" ht="13.5">
      <c r="A1577" s="105">
        <v>46043</v>
      </c>
      <c r="B1577" s="35" t="s">
        <v>4423</v>
      </c>
      <c r="C1577" s="35" t="s">
        <v>1760</v>
      </c>
      <c r="D1577" s="35" t="s">
        <v>2429</v>
      </c>
      <c r="E1577" s="35">
        <v>85132</v>
      </c>
      <c r="F1577" s="35" t="s">
        <v>4424</v>
      </c>
      <c r="G1577" s="106" t="s">
        <v>4368</v>
      </c>
      <c r="H1577" s="19" t="s">
        <v>27</v>
      </c>
      <c r="I1577" s="19"/>
      <c r="J1577" s="19"/>
      <c r="K1577" s="19"/>
      <c r="L1577" s="19"/>
      <c r="M1577" s="19"/>
      <c r="N1577" s="19"/>
      <c r="O1577" s="19"/>
      <c r="P1577" s="19"/>
      <c r="Q1577" s="19"/>
      <c r="R1577" s="35"/>
      <c r="S1577" s="35"/>
      <c r="T1577" s="35"/>
      <c r="U1577" s="35"/>
      <c r="V1577" s="35"/>
    </row>
    <row r="1578" spans="1:22">
      <c r="A1578" s="103">
        <v>46043</v>
      </c>
      <c r="B1578" s="33" t="s">
        <v>4425</v>
      </c>
      <c r="C1578" s="33" t="s">
        <v>4426</v>
      </c>
      <c r="D1578" s="33" t="s">
        <v>125</v>
      </c>
      <c r="E1578" s="33">
        <v>85254</v>
      </c>
      <c r="F1578" s="33" t="s">
        <v>4427</v>
      </c>
      <c r="G1578" s="33" t="s">
        <v>4368</v>
      </c>
      <c r="H1578" s="43">
        <v>6237080000</v>
      </c>
      <c r="I1578" s="43" t="s">
        <v>196</v>
      </c>
      <c r="J1578" s="43" t="s">
        <v>37</v>
      </c>
      <c r="K1578" s="43" t="s">
        <v>37</v>
      </c>
      <c r="L1578" s="43" t="s">
        <v>4428</v>
      </c>
      <c r="M1578" s="43" t="s">
        <v>37</v>
      </c>
      <c r="N1578" s="43" t="s">
        <v>37</v>
      </c>
      <c r="O1578" s="43" t="s">
        <v>38</v>
      </c>
      <c r="P1578" s="43"/>
      <c r="Q1578" s="42">
        <v>46050</v>
      </c>
      <c r="R1578" s="33" t="s">
        <v>4004</v>
      </c>
      <c r="S1578" s="33"/>
      <c r="T1578" s="33"/>
      <c r="U1578" s="33"/>
      <c r="V1578" s="33"/>
    </row>
    <row r="1579" spans="1:22">
      <c r="A1579" s="103">
        <v>46043</v>
      </c>
      <c r="B1579" s="33" t="s">
        <v>4429</v>
      </c>
      <c r="C1579" s="33" t="s">
        <v>4430</v>
      </c>
      <c r="D1579" s="33" t="s">
        <v>63</v>
      </c>
      <c r="E1579" s="33">
        <v>85013</v>
      </c>
      <c r="F1579" s="33" t="s">
        <v>4431</v>
      </c>
      <c r="G1579" s="33" t="s">
        <v>4368</v>
      </c>
      <c r="H1579" s="43">
        <v>1176780126</v>
      </c>
      <c r="I1579" s="43" t="s">
        <v>196</v>
      </c>
      <c r="J1579" s="43" t="s">
        <v>37</v>
      </c>
      <c r="K1579" s="43" t="s">
        <v>37</v>
      </c>
      <c r="L1579" s="43" t="s">
        <v>4432</v>
      </c>
      <c r="M1579" s="43" t="s">
        <v>37</v>
      </c>
      <c r="N1579" s="43" t="s">
        <v>37</v>
      </c>
      <c r="O1579" s="43" t="s">
        <v>38</v>
      </c>
      <c r="P1579" s="43"/>
      <c r="Q1579" s="42">
        <v>46050</v>
      </c>
      <c r="R1579" s="33" t="s">
        <v>4004</v>
      </c>
      <c r="S1579" s="33"/>
      <c r="T1579" s="33"/>
      <c r="U1579" s="33"/>
      <c r="V1579" s="33"/>
    </row>
    <row r="1580" spans="1:22">
      <c r="A1580" s="105">
        <v>46043</v>
      </c>
      <c r="B1580" s="35" t="s">
        <v>4433</v>
      </c>
      <c r="C1580" s="35" t="s">
        <v>382</v>
      </c>
      <c r="D1580" s="35" t="s">
        <v>63</v>
      </c>
      <c r="E1580" s="35">
        <v>85032</v>
      </c>
      <c r="F1580" s="35" t="s">
        <v>4434</v>
      </c>
      <c r="G1580" s="35" t="s">
        <v>4368</v>
      </c>
      <c r="H1580" s="19">
        <v>4460413461</v>
      </c>
      <c r="I1580" s="19" t="s">
        <v>196</v>
      </c>
      <c r="J1580" s="19" t="s">
        <v>37</v>
      </c>
      <c r="K1580" s="19" t="s">
        <v>37</v>
      </c>
      <c r="L1580" s="19" t="s">
        <v>38</v>
      </c>
      <c r="M1580" s="19" t="s">
        <v>37</v>
      </c>
      <c r="N1580" s="19" t="s">
        <v>37</v>
      </c>
      <c r="O1580" s="19" t="s">
        <v>38</v>
      </c>
      <c r="P1580" s="19" t="s">
        <v>39</v>
      </c>
      <c r="Q1580" s="34">
        <v>46050</v>
      </c>
      <c r="R1580" s="35"/>
      <c r="S1580" s="35"/>
      <c r="T1580" s="35"/>
      <c r="U1580" s="35"/>
      <c r="V1580" s="35"/>
    </row>
    <row r="1581" spans="1:22">
      <c r="A1581" s="103">
        <v>46043</v>
      </c>
      <c r="B1581" s="33" t="s">
        <v>4435</v>
      </c>
      <c r="C1581" s="33" t="s">
        <v>320</v>
      </c>
      <c r="D1581" s="33" t="s">
        <v>125</v>
      </c>
      <c r="E1581" s="33">
        <v>85254</v>
      </c>
      <c r="F1581" s="33" t="s">
        <v>4436</v>
      </c>
      <c r="G1581" s="33" t="s">
        <v>4368</v>
      </c>
      <c r="H1581" s="43">
        <v>7607661000</v>
      </c>
      <c r="I1581" s="43" t="s">
        <v>36</v>
      </c>
      <c r="J1581" s="43" t="s">
        <v>37</v>
      </c>
      <c r="K1581" s="43" t="s">
        <v>37</v>
      </c>
      <c r="L1581" s="43" t="s">
        <v>4437</v>
      </c>
      <c r="M1581" s="43" t="s">
        <v>37</v>
      </c>
      <c r="N1581" s="43" t="s">
        <v>37</v>
      </c>
      <c r="O1581" s="43" t="s">
        <v>38</v>
      </c>
      <c r="P1581" s="43"/>
      <c r="Q1581" s="42">
        <v>46050</v>
      </c>
      <c r="R1581" s="33" t="s">
        <v>4438</v>
      </c>
      <c r="S1581" s="33"/>
      <c r="T1581" s="33"/>
      <c r="U1581" s="33"/>
      <c r="V1581" s="33"/>
    </row>
    <row r="1582" spans="1:22">
      <c r="A1582" s="105">
        <v>46043</v>
      </c>
      <c r="B1582" s="35" t="s">
        <v>4439</v>
      </c>
      <c r="C1582" s="35" t="s">
        <v>131</v>
      </c>
      <c r="D1582" s="35" t="s">
        <v>63</v>
      </c>
      <c r="E1582" s="35">
        <v>85024</v>
      </c>
      <c r="F1582" s="35" t="s">
        <v>4440</v>
      </c>
      <c r="G1582" s="35" t="s">
        <v>4368</v>
      </c>
      <c r="H1582" s="19">
        <v>5403079705</v>
      </c>
      <c r="I1582" s="19" t="s">
        <v>73</v>
      </c>
      <c r="J1582" s="19" t="s">
        <v>37</v>
      </c>
      <c r="K1582" s="19" t="s">
        <v>37</v>
      </c>
      <c r="L1582" s="19" t="s">
        <v>38</v>
      </c>
      <c r="M1582" s="19" t="s">
        <v>37</v>
      </c>
      <c r="N1582" s="19" t="s">
        <v>37</v>
      </c>
      <c r="O1582" s="19" t="s">
        <v>38</v>
      </c>
      <c r="P1582" s="19" t="s">
        <v>39</v>
      </c>
      <c r="Q1582" s="34">
        <v>46050</v>
      </c>
      <c r="R1582" s="35"/>
      <c r="S1582" s="35"/>
      <c r="T1582" s="35"/>
      <c r="U1582" s="35"/>
      <c r="V1582" s="35"/>
    </row>
    <row r="1583" spans="1:22">
      <c r="A1583" s="105">
        <v>46043</v>
      </c>
      <c r="B1583" s="35" t="s">
        <v>4441</v>
      </c>
      <c r="C1583" s="35" t="s">
        <v>4442</v>
      </c>
      <c r="D1583" s="35" t="s">
        <v>63</v>
      </c>
      <c r="E1583" s="35">
        <v>85029</v>
      </c>
      <c r="F1583" s="35" t="s">
        <v>4443</v>
      </c>
      <c r="G1583" s="35" t="s">
        <v>4368</v>
      </c>
      <c r="H1583" s="19">
        <v>8776414251</v>
      </c>
      <c r="I1583" s="19" t="s">
        <v>36</v>
      </c>
      <c r="J1583" s="19" t="s">
        <v>38</v>
      </c>
      <c r="K1583" s="19" t="s">
        <v>37</v>
      </c>
      <c r="L1583" s="19" t="s">
        <v>4444</v>
      </c>
      <c r="M1583" s="19" t="s">
        <v>37</v>
      </c>
      <c r="N1583" s="19" t="s">
        <v>37</v>
      </c>
      <c r="O1583" s="19" t="s">
        <v>38</v>
      </c>
      <c r="P1583" s="19" t="s">
        <v>39</v>
      </c>
      <c r="Q1583" s="34">
        <v>46050</v>
      </c>
      <c r="R1583" s="35"/>
      <c r="S1583" s="35"/>
      <c r="T1583" s="35"/>
      <c r="U1583" s="35"/>
      <c r="V1583" s="35"/>
    </row>
    <row r="1584" spans="1:22">
      <c r="A1584" s="105">
        <v>46043</v>
      </c>
      <c r="B1584" s="35" t="s">
        <v>167</v>
      </c>
      <c r="C1584" s="35" t="s">
        <v>4445</v>
      </c>
      <c r="D1584" s="35" t="s">
        <v>112</v>
      </c>
      <c r="E1584" s="35">
        <v>85388</v>
      </c>
      <c r="F1584" s="35" t="s">
        <v>4446</v>
      </c>
      <c r="G1584" s="35" t="s">
        <v>4368</v>
      </c>
      <c r="H1584" s="19" t="s">
        <v>27</v>
      </c>
      <c r="I1584" s="19"/>
      <c r="J1584" s="19"/>
      <c r="K1584" s="19"/>
      <c r="L1584" s="19"/>
      <c r="M1584" s="19"/>
      <c r="N1584" s="19"/>
      <c r="O1584" s="19"/>
      <c r="P1584" s="19"/>
      <c r="Q1584" s="19"/>
      <c r="R1584" s="35"/>
      <c r="S1584" s="35"/>
      <c r="T1584" s="35"/>
      <c r="U1584" s="35"/>
      <c r="V1584" s="35"/>
    </row>
    <row r="1585" spans="1:22">
      <c r="A1585" s="105">
        <v>46043</v>
      </c>
      <c r="B1585" s="35" t="s">
        <v>4447</v>
      </c>
      <c r="C1585" s="35" t="s">
        <v>4448</v>
      </c>
      <c r="D1585" s="35" t="s">
        <v>63</v>
      </c>
      <c r="E1585" s="35">
        <v>85014</v>
      </c>
      <c r="F1585" s="35" t="s">
        <v>4449</v>
      </c>
      <c r="G1585" s="35" t="s">
        <v>4368</v>
      </c>
      <c r="H1585" s="19">
        <v>1217381119</v>
      </c>
      <c r="I1585" s="19" t="s">
        <v>73</v>
      </c>
      <c r="J1585" s="19" t="s">
        <v>37</v>
      </c>
      <c r="K1585" s="19" t="s">
        <v>37</v>
      </c>
      <c r="L1585" s="19" t="s">
        <v>38</v>
      </c>
      <c r="M1585" s="19" t="s">
        <v>37</v>
      </c>
      <c r="N1585" s="19" t="s">
        <v>37</v>
      </c>
      <c r="O1585" s="19" t="s">
        <v>38</v>
      </c>
      <c r="P1585" s="19" t="s">
        <v>39</v>
      </c>
      <c r="Q1585" s="34">
        <v>46050</v>
      </c>
      <c r="R1585" s="35"/>
      <c r="S1585" s="35"/>
      <c r="T1585" s="35"/>
      <c r="U1585" s="35"/>
      <c r="V1585" s="35"/>
    </row>
    <row r="1586" spans="1:22">
      <c r="A1586" s="105">
        <v>46043</v>
      </c>
      <c r="B1586" s="35" t="s">
        <v>4450</v>
      </c>
      <c r="C1586" s="35" t="s">
        <v>4451</v>
      </c>
      <c r="D1586" s="35" t="s">
        <v>698</v>
      </c>
      <c r="E1586" s="35">
        <v>85375</v>
      </c>
      <c r="F1586" s="35" t="s">
        <v>4452</v>
      </c>
      <c r="G1586" s="35" t="s">
        <v>4368</v>
      </c>
      <c r="H1586" s="19">
        <v>6948703534</v>
      </c>
      <c r="I1586" s="19" t="s">
        <v>73</v>
      </c>
      <c r="J1586" s="19" t="s">
        <v>37</v>
      </c>
      <c r="K1586" s="19" t="s">
        <v>37</v>
      </c>
      <c r="L1586" s="19" t="s">
        <v>38</v>
      </c>
      <c r="M1586" s="19" t="s">
        <v>37</v>
      </c>
      <c r="N1586" s="19" t="s">
        <v>37</v>
      </c>
      <c r="O1586" s="19" t="s">
        <v>38</v>
      </c>
      <c r="P1586" s="19" t="s">
        <v>39</v>
      </c>
      <c r="Q1586" s="34">
        <v>46050</v>
      </c>
      <c r="R1586" s="35"/>
      <c r="S1586" s="35"/>
      <c r="T1586" s="35"/>
      <c r="U1586" s="35"/>
      <c r="V1586" s="35"/>
    </row>
    <row r="1587" spans="1:22">
      <c r="A1587" s="105">
        <v>46043</v>
      </c>
      <c r="B1587" s="35" t="s">
        <v>4453</v>
      </c>
      <c r="C1587" s="35" t="s">
        <v>4454</v>
      </c>
      <c r="D1587" s="35" t="s">
        <v>63</v>
      </c>
      <c r="E1587" s="35">
        <v>85028</v>
      </c>
      <c r="F1587" s="35" t="s">
        <v>4455</v>
      </c>
      <c r="G1587" s="35" t="s">
        <v>4368</v>
      </c>
      <c r="H1587" s="19">
        <v>859906185</v>
      </c>
      <c r="I1587" s="19" t="s">
        <v>196</v>
      </c>
      <c r="J1587" s="19" t="s">
        <v>37</v>
      </c>
      <c r="K1587" s="19" t="s">
        <v>37</v>
      </c>
      <c r="L1587" s="19" t="s">
        <v>38</v>
      </c>
      <c r="M1587" s="19" t="s">
        <v>37</v>
      </c>
      <c r="N1587" s="19" t="s">
        <v>37</v>
      </c>
      <c r="O1587" s="19" t="s">
        <v>38</v>
      </c>
      <c r="P1587" s="19" t="s">
        <v>39</v>
      </c>
      <c r="Q1587" s="34">
        <v>46050</v>
      </c>
      <c r="R1587" s="35"/>
      <c r="S1587" s="35"/>
      <c r="T1587" s="35"/>
      <c r="U1587" s="35"/>
      <c r="V1587" s="35"/>
    </row>
    <row r="1588" spans="1:22">
      <c r="A1588" s="105">
        <v>46043</v>
      </c>
      <c r="B1588" s="35" t="s">
        <v>4456</v>
      </c>
      <c r="C1588" s="35" t="s">
        <v>4457</v>
      </c>
      <c r="D1588" s="35" t="s">
        <v>24</v>
      </c>
      <c r="E1588" s="35">
        <v>85308</v>
      </c>
      <c r="F1588" s="35" t="s">
        <v>4458</v>
      </c>
      <c r="G1588" s="35" t="s">
        <v>4368</v>
      </c>
      <c r="H1588" s="19">
        <v>3042908052</v>
      </c>
      <c r="I1588" s="19" t="s">
        <v>46</v>
      </c>
      <c r="J1588" s="19" t="s">
        <v>37</v>
      </c>
      <c r="K1588" s="19" t="s">
        <v>37</v>
      </c>
      <c r="L1588" s="19" t="s">
        <v>38</v>
      </c>
      <c r="M1588" s="19" t="s">
        <v>37</v>
      </c>
      <c r="N1588" s="19" t="s">
        <v>37</v>
      </c>
      <c r="O1588" s="19" t="s">
        <v>38</v>
      </c>
      <c r="P1588" s="19" t="s">
        <v>39</v>
      </c>
      <c r="Q1588" s="34">
        <v>46050</v>
      </c>
      <c r="R1588" s="35"/>
      <c r="S1588" s="35"/>
      <c r="T1588" s="35"/>
      <c r="U1588" s="35"/>
      <c r="V1588" s="35"/>
    </row>
    <row r="1589" spans="1:22">
      <c r="A1589" s="103">
        <v>46043</v>
      </c>
      <c r="B1589" s="33" t="s">
        <v>4459</v>
      </c>
      <c r="C1589" s="33" t="s">
        <v>2273</v>
      </c>
      <c r="D1589" s="33" t="s">
        <v>93</v>
      </c>
      <c r="E1589" s="33">
        <v>85351</v>
      </c>
      <c r="F1589" s="33" t="s">
        <v>4460</v>
      </c>
      <c r="G1589" s="33" t="s">
        <v>4368</v>
      </c>
      <c r="H1589" s="43">
        <v>7912130000</v>
      </c>
      <c r="I1589" s="43" t="s">
        <v>196</v>
      </c>
      <c r="J1589" s="43" t="s">
        <v>37</v>
      </c>
      <c r="K1589" s="43" t="s">
        <v>37</v>
      </c>
      <c r="L1589" s="43" t="s">
        <v>4461</v>
      </c>
      <c r="M1589" s="43" t="s">
        <v>37</v>
      </c>
      <c r="N1589" s="43" t="s">
        <v>37</v>
      </c>
      <c r="O1589" s="43" t="s">
        <v>38</v>
      </c>
      <c r="P1589" s="43"/>
      <c r="Q1589" s="42">
        <v>46050</v>
      </c>
      <c r="R1589" s="33" t="s">
        <v>4004</v>
      </c>
      <c r="S1589" s="33"/>
      <c r="T1589" s="33"/>
      <c r="U1589" s="33"/>
      <c r="V1589" s="33"/>
    </row>
    <row r="1590" spans="1:22">
      <c r="A1590" s="105">
        <v>46043</v>
      </c>
      <c r="B1590" s="35" t="s">
        <v>4462</v>
      </c>
      <c r="C1590" s="35" t="s">
        <v>733</v>
      </c>
      <c r="D1590" s="35" t="s">
        <v>93</v>
      </c>
      <c r="E1590" s="35">
        <v>85373</v>
      </c>
      <c r="F1590" s="35" t="s">
        <v>4463</v>
      </c>
      <c r="G1590" s="35" t="s">
        <v>4368</v>
      </c>
      <c r="H1590" s="19">
        <v>7836090000</v>
      </c>
      <c r="I1590" s="19" t="s">
        <v>4214</v>
      </c>
      <c r="J1590" s="19" t="s">
        <v>37</v>
      </c>
      <c r="K1590" s="19" t="s">
        <v>37</v>
      </c>
      <c r="L1590" s="19" t="s">
        <v>389</v>
      </c>
      <c r="M1590" s="19" t="s">
        <v>37</v>
      </c>
      <c r="N1590" s="19" t="s">
        <v>37</v>
      </c>
      <c r="O1590" s="19" t="s">
        <v>38</v>
      </c>
      <c r="P1590" s="19" t="s">
        <v>39</v>
      </c>
      <c r="Q1590" s="34">
        <v>46050</v>
      </c>
      <c r="R1590" s="35"/>
      <c r="S1590" s="35"/>
      <c r="T1590" s="35"/>
      <c r="U1590" s="35"/>
      <c r="V1590" s="35"/>
    </row>
    <row r="1591" spans="1:22">
      <c r="A1591" s="105">
        <v>46043</v>
      </c>
      <c r="B1591" s="35" t="s">
        <v>1204</v>
      </c>
      <c r="C1591" s="35" t="s">
        <v>1323</v>
      </c>
      <c r="D1591" s="35" t="s">
        <v>2429</v>
      </c>
      <c r="E1591" s="35">
        <v>85132</v>
      </c>
      <c r="F1591" s="35" t="s">
        <v>4310</v>
      </c>
      <c r="G1591" s="35" t="s">
        <v>4368</v>
      </c>
      <c r="H1591" s="19">
        <v>4812351000</v>
      </c>
      <c r="I1591" s="19" t="s">
        <v>4311</v>
      </c>
      <c r="J1591" s="19" t="s">
        <v>37</v>
      </c>
      <c r="K1591" s="19" t="s">
        <v>37</v>
      </c>
      <c r="L1591" s="19" t="s">
        <v>38</v>
      </c>
      <c r="M1591" s="19" t="s">
        <v>37</v>
      </c>
      <c r="N1591" s="19" t="s">
        <v>37</v>
      </c>
      <c r="O1591" s="19" t="s">
        <v>38</v>
      </c>
      <c r="P1591" s="19" t="s">
        <v>39</v>
      </c>
      <c r="Q1591" s="34">
        <v>46050</v>
      </c>
      <c r="R1591" s="35"/>
      <c r="S1591" s="35"/>
      <c r="T1591" s="35"/>
      <c r="U1591" s="35"/>
      <c r="V1591" s="35"/>
    </row>
    <row r="1592" spans="1:22">
      <c r="A1592" s="105">
        <v>46043</v>
      </c>
      <c r="B1592" s="35" t="s">
        <v>4464</v>
      </c>
      <c r="C1592" s="35" t="s">
        <v>4465</v>
      </c>
      <c r="D1592" s="35" t="s">
        <v>2051</v>
      </c>
      <c r="E1592" s="35">
        <v>86333</v>
      </c>
      <c r="F1592" s="35" t="s">
        <v>4466</v>
      </c>
      <c r="G1592" s="35" t="s">
        <v>4368</v>
      </c>
      <c r="H1592" s="19" t="s">
        <v>27</v>
      </c>
      <c r="I1592" s="19"/>
      <c r="J1592" s="19"/>
      <c r="K1592" s="19"/>
      <c r="L1592" s="19"/>
      <c r="M1592" s="19"/>
      <c r="N1592" s="19"/>
      <c r="O1592" s="19"/>
      <c r="P1592" s="19"/>
      <c r="Q1592" s="19"/>
      <c r="R1592" s="35"/>
      <c r="S1592" s="35"/>
      <c r="T1592" s="35"/>
      <c r="U1592" s="35"/>
      <c r="V1592" s="35"/>
    </row>
    <row r="1593" spans="1:22">
      <c r="A1593" s="105">
        <v>46043</v>
      </c>
      <c r="B1593" s="35" t="s">
        <v>4467</v>
      </c>
      <c r="C1593" s="35" t="s">
        <v>75</v>
      </c>
      <c r="D1593" s="35" t="s">
        <v>93</v>
      </c>
      <c r="E1593" s="35">
        <v>85351</v>
      </c>
      <c r="F1593" s="35" t="s">
        <v>4468</v>
      </c>
      <c r="G1593" s="35" t="s">
        <v>4368</v>
      </c>
      <c r="H1593" s="19" t="s">
        <v>27</v>
      </c>
      <c r="I1593" s="19"/>
      <c r="J1593" s="19"/>
      <c r="K1593" s="19"/>
      <c r="L1593" s="19"/>
      <c r="M1593" s="19"/>
      <c r="N1593" s="19"/>
      <c r="O1593" s="19"/>
      <c r="P1593" s="19"/>
      <c r="Q1593" s="19"/>
      <c r="R1593" s="35"/>
      <c r="S1593" s="35"/>
      <c r="T1593" s="35"/>
      <c r="U1593" s="35"/>
      <c r="V1593" s="35"/>
    </row>
    <row r="1594" spans="1:22">
      <c r="A1594" s="105">
        <v>46043</v>
      </c>
      <c r="B1594" s="35" t="s">
        <v>2108</v>
      </c>
      <c r="C1594" s="35" t="s">
        <v>747</v>
      </c>
      <c r="D1594" s="35" t="s">
        <v>2109</v>
      </c>
      <c r="E1594" s="35">
        <v>86327</v>
      </c>
      <c r="F1594" s="35" t="s">
        <v>4469</v>
      </c>
      <c r="G1594" s="35" t="s">
        <v>4368</v>
      </c>
      <c r="H1594" s="19">
        <v>5377231000</v>
      </c>
      <c r="I1594" s="19" t="s">
        <v>126</v>
      </c>
      <c r="J1594" s="19" t="s">
        <v>37</v>
      </c>
      <c r="K1594" s="19" t="s">
        <v>37</v>
      </c>
      <c r="L1594" s="19" t="s">
        <v>4470</v>
      </c>
      <c r="M1594" s="19" t="s">
        <v>37</v>
      </c>
      <c r="N1594" s="19" t="s">
        <v>37</v>
      </c>
      <c r="O1594" s="19" t="s">
        <v>38</v>
      </c>
      <c r="P1594" s="19" t="s">
        <v>39</v>
      </c>
      <c r="Q1594" s="34">
        <v>46050</v>
      </c>
      <c r="R1594" s="35"/>
      <c r="S1594" s="35"/>
      <c r="T1594" s="35"/>
      <c r="U1594" s="35"/>
      <c r="V1594" s="35"/>
    </row>
    <row r="1595" spans="1:22">
      <c r="A1595" s="105">
        <v>46043</v>
      </c>
      <c r="B1595" s="35" t="s">
        <v>4471</v>
      </c>
      <c r="C1595" s="35" t="s">
        <v>3465</v>
      </c>
      <c r="D1595" s="35" t="s">
        <v>63</v>
      </c>
      <c r="E1595" s="35">
        <v>85014</v>
      </c>
      <c r="F1595" s="35" t="s">
        <v>4472</v>
      </c>
      <c r="G1595" s="35" t="s">
        <v>4368</v>
      </c>
      <c r="H1595" s="19">
        <v>7329530000</v>
      </c>
      <c r="I1595" s="19" t="s">
        <v>3887</v>
      </c>
      <c r="J1595" s="19" t="s">
        <v>37</v>
      </c>
      <c r="K1595" s="19" t="s">
        <v>37</v>
      </c>
      <c r="L1595" s="19" t="s">
        <v>389</v>
      </c>
      <c r="M1595" s="19" t="s">
        <v>37</v>
      </c>
      <c r="N1595" s="19" t="s">
        <v>37</v>
      </c>
      <c r="O1595" s="19" t="s">
        <v>38</v>
      </c>
      <c r="P1595" s="19" t="s">
        <v>39</v>
      </c>
      <c r="Q1595" s="34">
        <v>46050</v>
      </c>
      <c r="R1595" s="35"/>
      <c r="S1595" s="35"/>
      <c r="T1595" s="35"/>
      <c r="U1595" s="35"/>
      <c r="V1595" s="35"/>
    </row>
    <row r="1596" spans="1:22">
      <c r="A1596" s="105">
        <v>46043</v>
      </c>
      <c r="B1596" s="35" t="s">
        <v>4473</v>
      </c>
      <c r="C1596" s="35" t="s">
        <v>328</v>
      </c>
      <c r="D1596" s="35" t="s">
        <v>112</v>
      </c>
      <c r="E1596" s="35">
        <v>85379</v>
      </c>
      <c r="F1596" s="35" t="s">
        <v>4474</v>
      </c>
      <c r="G1596" s="35" t="s">
        <v>4368</v>
      </c>
      <c r="H1596" s="19">
        <v>1264630000</v>
      </c>
      <c r="I1596" s="19" t="s">
        <v>36</v>
      </c>
      <c r="J1596" s="19" t="s">
        <v>38</v>
      </c>
      <c r="K1596" s="19" t="s">
        <v>37</v>
      </c>
      <c r="L1596" s="19" t="s">
        <v>38</v>
      </c>
      <c r="M1596" s="19" t="s">
        <v>37</v>
      </c>
      <c r="N1596" s="19" t="s">
        <v>37</v>
      </c>
      <c r="O1596" s="19" t="s">
        <v>38</v>
      </c>
      <c r="P1596" s="19" t="s">
        <v>39</v>
      </c>
      <c r="Q1596" s="34">
        <v>46050</v>
      </c>
      <c r="R1596" s="35"/>
      <c r="S1596" s="35"/>
      <c r="T1596" s="35"/>
      <c r="U1596" s="35"/>
      <c r="V1596" s="35"/>
    </row>
    <row r="1597" spans="1:22">
      <c r="A1597" s="105">
        <v>46043</v>
      </c>
      <c r="B1597" s="35" t="s">
        <v>4475</v>
      </c>
      <c r="C1597" s="35" t="s">
        <v>471</v>
      </c>
      <c r="D1597" s="35" t="s">
        <v>63</v>
      </c>
      <c r="E1597" s="35">
        <v>85029</v>
      </c>
      <c r="F1597" s="35" t="s">
        <v>4476</v>
      </c>
      <c r="G1597" s="35" t="s">
        <v>4368</v>
      </c>
      <c r="H1597" s="19">
        <v>3540008359</v>
      </c>
      <c r="I1597" s="19" t="s">
        <v>196</v>
      </c>
      <c r="J1597" s="19" t="s">
        <v>38</v>
      </c>
      <c r="K1597" s="19" t="s">
        <v>37</v>
      </c>
      <c r="L1597" s="19" t="s">
        <v>4477</v>
      </c>
      <c r="M1597" s="19" t="s">
        <v>37</v>
      </c>
      <c r="N1597" s="19" t="s">
        <v>37</v>
      </c>
      <c r="O1597" s="19" t="s">
        <v>38</v>
      </c>
      <c r="P1597" s="19" t="s">
        <v>39</v>
      </c>
      <c r="Q1597" s="34">
        <v>46050</v>
      </c>
      <c r="R1597" s="35"/>
      <c r="S1597" s="35"/>
      <c r="T1597" s="35"/>
      <c r="U1597" s="35"/>
      <c r="V1597" s="35"/>
    </row>
    <row r="1598" spans="1:22" ht="13.5">
      <c r="A1598" s="105">
        <v>46044</v>
      </c>
      <c r="B1598" s="35" t="s">
        <v>2267</v>
      </c>
      <c r="C1598" s="35" t="s">
        <v>1232</v>
      </c>
      <c r="D1598" s="35" t="s">
        <v>112</v>
      </c>
      <c r="E1598" s="35">
        <v>85387</v>
      </c>
      <c r="F1598" s="35" t="s">
        <v>4478</v>
      </c>
      <c r="G1598" s="106" t="s">
        <v>4479</v>
      </c>
      <c r="H1598" s="19" t="s">
        <v>27</v>
      </c>
      <c r="I1598" s="19"/>
      <c r="J1598" s="19"/>
      <c r="K1598" s="19"/>
      <c r="L1598" s="19"/>
      <c r="M1598" s="19"/>
      <c r="N1598" s="19"/>
      <c r="O1598" s="19"/>
      <c r="P1598" s="19"/>
      <c r="Q1598" s="19"/>
      <c r="R1598" s="35"/>
      <c r="S1598" s="35"/>
      <c r="T1598" s="35"/>
      <c r="U1598" s="35"/>
      <c r="V1598" s="35"/>
    </row>
    <row r="1599" spans="1:22">
      <c r="A1599" s="105">
        <v>46044</v>
      </c>
      <c r="B1599" s="35" t="s">
        <v>4480</v>
      </c>
      <c r="C1599" s="35" t="s">
        <v>1813</v>
      </c>
      <c r="D1599" s="35" t="s">
        <v>635</v>
      </c>
      <c r="E1599" s="35">
        <v>85281</v>
      </c>
      <c r="F1599" s="35" t="s">
        <v>4481</v>
      </c>
      <c r="G1599" s="35" t="s">
        <v>4479</v>
      </c>
      <c r="H1599" s="19">
        <v>8262211000</v>
      </c>
      <c r="I1599" s="19" t="s">
        <v>36</v>
      </c>
      <c r="J1599" s="19" t="s">
        <v>37</v>
      </c>
      <c r="K1599" s="19" t="s">
        <v>37</v>
      </c>
      <c r="L1599" s="19" t="s">
        <v>38</v>
      </c>
      <c r="M1599" s="19" t="s">
        <v>37</v>
      </c>
      <c r="N1599" s="19" t="s">
        <v>37</v>
      </c>
      <c r="O1599" s="19" t="s">
        <v>38</v>
      </c>
      <c r="P1599" s="19" t="s">
        <v>39</v>
      </c>
      <c r="Q1599" s="34">
        <v>46050</v>
      </c>
      <c r="R1599" s="35"/>
      <c r="S1599" s="35"/>
      <c r="T1599" s="35"/>
      <c r="U1599" s="35"/>
      <c r="V1599" s="35"/>
    </row>
    <row r="1600" spans="1:22">
      <c r="A1600" s="105">
        <v>46044</v>
      </c>
      <c r="B1600" s="35" t="s">
        <v>941</v>
      </c>
      <c r="C1600" s="35" t="s">
        <v>312</v>
      </c>
      <c r="D1600" s="35" t="s">
        <v>240</v>
      </c>
      <c r="E1600" s="35">
        <v>85340</v>
      </c>
      <c r="F1600" s="35" t="s">
        <v>4482</v>
      </c>
      <c r="G1600" s="35" t="s">
        <v>4479</v>
      </c>
      <c r="H1600" s="19" t="s">
        <v>27</v>
      </c>
      <c r="I1600" s="19"/>
      <c r="J1600" s="19"/>
      <c r="K1600" s="19"/>
      <c r="L1600" s="19"/>
      <c r="M1600" s="19"/>
      <c r="N1600" s="19"/>
      <c r="O1600" s="19"/>
      <c r="P1600" s="19"/>
      <c r="Q1600" s="19"/>
      <c r="R1600" s="35"/>
      <c r="S1600" s="35"/>
      <c r="T1600" s="35"/>
      <c r="U1600" s="35"/>
      <c r="V1600" s="35"/>
    </row>
    <row r="1601" spans="1:22">
      <c r="A1601" s="105">
        <v>46044</v>
      </c>
      <c r="B1601" s="35" t="s">
        <v>4483</v>
      </c>
      <c r="C1601" s="35" t="s">
        <v>2587</v>
      </c>
      <c r="D1601" s="35" t="s">
        <v>125</v>
      </c>
      <c r="E1601" s="35">
        <v>85254</v>
      </c>
      <c r="F1601" s="35" t="s">
        <v>4484</v>
      </c>
      <c r="G1601" s="35" t="s">
        <v>4479</v>
      </c>
      <c r="H1601" s="19">
        <v>7812541000</v>
      </c>
      <c r="I1601" s="19" t="s">
        <v>4214</v>
      </c>
      <c r="J1601" s="19" t="s">
        <v>37</v>
      </c>
      <c r="K1601" s="19" t="s">
        <v>37</v>
      </c>
      <c r="L1601" s="19" t="s">
        <v>389</v>
      </c>
      <c r="M1601" s="19" t="s">
        <v>37</v>
      </c>
      <c r="N1601" s="19" t="s">
        <v>37</v>
      </c>
      <c r="O1601" s="19" t="s">
        <v>38</v>
      </c>
      <c r="P1601" s="19" t="s">
        <v>39</v>
      </c>
      <c r="Q1601" s="34">
        <v>46050</v>
      </c>
      <c r="R1601" s="35"/>
      <c r="S1601" s="35"/>
      <c r="T1601" s="35"/>
      <c r="U1601" s="35"/>
      <c r="V1601" s="35"/>
    </row>
    <row r="1602" spans="1:22" ht="13.5">
      <c r="A1602" s="105">
        <v>46045</v>
      </c>
      <c r="B1602" s="35" t="s">
        <v>4485</v>
      </c>
      <c r="C1602" s="35" t="s">
        <v>440</v>
      </c>
      <c r="D1602" s="35" t="s">
        <v>85</v>
      </c>
      <c r="E1602" s="35">
        <v>86323</v>
      </c>
      <c r="F1602" s="35" t="s">
        <v>4486</v>
      </c>
      <c r="G1602" s="106" t="s">
        <v>4487</v>
      </c>
      <c r="H1602" s="19" t="s">
        <v>27</v>
      </c>
      <c r="I1602" s="19"/>
      <c r="J1602" s="19"/>
      <c r="K1602" s="19"/>
      <c r="L1602" s="19"/>
      <c r="M1602" s="19"/>
      <c r="N1602" s="19"/>
      <c r="O1602" s="19"/>
      <c r="P1602" s="19"/>
      <c r="Q1602" s="19"/>
      <c r="R1602" s="35"/>
      <c r="S1602" s="35"/>
      <c r="T1602" s="35"/>
      <c r="U1602" s="35"/>
      <c r="V1602" s="35"/>
    </row>
    <row r="1603" spans="1:22">
      <c r="A1603" s="105">
        <v>46045</v>
      </c>
      <c r="B1603" s="35" t="s">
        <v>4488</v>
      </c>
      <c r="C1603" s="35" t="s">
        <v>481</v>
      </c>
      <c r="D1603" s="35" t="s">
        <v>2051</v>
      </c>
      <c r="E1603" s="35">
        <v>86333</v>
      </c>
      <c r="F1603" s="35" t="s">
        <v>4489</v>
      </c>
      <c r="G1603" s="35" t="s">
        <v>4487</v>
      </c>
      <c r="H1603" s="19">
        <v>1334820000</v>
      </c>
      <c r="I1603" s="19" t="s">
        <v>73</v>
      </c>
      <c r="J1603" s="19" t="s">
        <v>37</v>
      </c>
      <c r="K1603" s="19" t="s">
        <v>37</v>
      </c>
      <c r="L1603" s="19" t="s">
        <v>38</v>
      </c>
      <c r="M1603" s="19" t="s">
        <v>37</v>
      </c>
      <c r="N1603" s="19" t="s">
        <v>37</v>
      </c>
      <c r="O1603" s="19" t="s">
        <v>38</v>
      </c>
      <c r="P1603" s="19" t="s">
        <v>39</v>
      </c>
      <c r="Q1603" s="34">
        <v>46050</v>
      </c>
      <c r="R1603" s="35"/>
      <c r="S1603" s="35"/>
      <c r="T1603" s="35"/>
      <c r="U1603" s="35"/>
      <c r="V1603" s="35"/>
    </row>
    <row r="1604" spans="1:22">
      <c r="A1604" s="105">
        <v>46045</v>
      </c>
      <c r="B1604" s="35" t="s">
        <v>4490</v>
      </c>
      <c r="C1604" s="35" t="s">
        <v>284</v>
      </c>
      <c r="D1604" s="35" t="s">
        <v>635</v>
      </c>
      <c r="E1604" s="35">
        <v>85282</v>
      </c>
      <c r="F1604" s="35" t="s">
        <v>4491</v>
      </c>
      <c r="G1604" s="35" t="s">
        <v>4487</v>
      </c>
      <c r="H1604" s="19" t="s">
        <v>27</v>
      </c>
      <c r="I1604" s="19"/>
      <c r="J1604" s="19"/>
      <c r="K1604" s="19"/>
      <c r="L1604" s="19"/>
      <c r="M1604" s="19"/>
      <c r="N1604" s="19"/>
      <c r="O1604" s="19"/>
      <c r="P1604" s="19"/>
      <c r="Q1604" s="19"/>
      <c r="R1604" s="35"/>
      <c r="S1604" s="35"/>
      <c r="T1604" s="35"/>
      <c r="U1604" s="35"/>
      <c r="V1604" s="35"/>
    </row>
    <row r="1605" spans="1:22">
      <c r="A1605" s="105">
        <v>46045</v>
      </c>
      <c r="B1605" s="35" t="s">
        <v>4492</v>
      </c>
      <c r="C1605" s="35" t="s">
        <v>1533</v>
      </c>
      <c r="D1605" s="35" t="s">
        <v>2051</v>
      </c>
      <c r="E1605" s="35">
        <v>86333</v>
      </c>
      <c r="F1605" s="35" t="s">
        <v>4489</v>
      </c>
      <c r="G1605" s="35" t="s">
        <v>4487</v>
      </c>
      <c r="H1605" s="19">
        <v>1334820000</v>
      </c>
      <c r="I1605" s="19" t="s">
        <v>73</v>
      </c>
      <c r="J1605" s="19" t="s">
        <v>37</v>
      </c>
      <c r="K1605" s="19" t="s">
        <v>37</v>
      </c>
      <c r="L1605" s="19" t="s">
        <v>38</v>
      </c>
      <c r="M1605" s="19" t="s">
        <v>37</v>
      </c>
      <c r="N1605" s="19" t="s">
        <v>37</v>
      </c>
      <c r="O1605" s="19" t="s">
        <v>38</v>
      </c>
      <c r="P1605" s="19" t="s">
        <v>39</v>
      </c>
      <c r="Q1605" s="34">
        <v>46050</v>
      </c>
      <c r="R1605" s="35"/>
      <c r="S1605" s="35"/>
      <c r="T1605" s="35"/>
      <c r="U1605" s="35"/>
      <c r="V1605" s="35"/>
    </row>
    <row r="1606" spans="1:22" ht="13.5">
      <c r="A1606" s="105">
        <v>46045</v>
      </c>
      <c r="B1606" s="35" t="s">
        <v>4493</v>
      </c>
      <c r="C1606" s="35" t="s">
        <v>133</v>
      </c>
      <c r="D1606" s="35" t="s">
        <v>2641</v>
      </c>
      <c r="E1606" s="35">
        <v>85087</v>
      </c>
      <c r="F1606" s="35" t="s">
        <v>4494</v>
      </c>
      <c r="G1606" s="106" t="s">
        <v>4495</v>
      </c>
      <c r="H1606" s="19">
        <v>611347410</v>
      </c>
      <c r="I1606" s="19" t="s">
        <v>541</v>
      </c>
      <c r="J1606" s="19" t="s">
        <v>37</v>
      </c>
      <c r="K1606" s="19" t="s">
        <v>37</v>
      </c>
      <c r="L1606" s="19" t="s">
        <v>389</v>
      </c>
      <c r="M1606" s="19" t="s">
        <v>37</v>
      </c>
      <c r="N1606" s="19" t="s">
        <v>37</v>
      </c>
      <c r="O1606" s="19" t="s">
        <v>38</v>
      </c>
      <c r="P1606" s="19" t="s">
        <v>39</v>
      </c>
      <c r="Q1606" s="34">
        <v>46050</v>
      </c>
      <c r="R1606" s="35"/>
      <c r="S1606" s="35"/>
      <c r="T1606" s="35"/>
      <c r="U1606" s="35"/>
      <c r="V1606" s="35"/>
    </row>
    <row r="1607" spans="1:22" ht="13.5">
      <c r="A1607" s="105">
        <v>46045</v>
      </c>
      <c r="B1607" s="35" t="s">
        <v>4496</v>
      </c>
      <c r="C1607" s="35" t="s">
        <v>4497</v>
      </c>
      <c r="D1607" s="35" t="s">
        <v>63</v>
      </c>
      <c r="E1607" s="35">
        <v>85027</v>
      </c>
      <c r="F1607" s="35" t="s">
        <v>4498</v>
      </c>
      <c r="G1607" s="106" t="s">
        <v>4499</v>
      </c>
      <c r="H1607" s="19">
        <v>5213017390</v>
      </c>
      <c r="I1607" s="19" t="s">
        <v>541</v>
      </c>
      <c r="J1607" s="19" t="s">
        <v>38</v>
      </c>
      <c r="K1607" s="19" t="s">
        <v>37</v>
      </c>
      <c r="L1607" s="19" t="s">
        <v>389</v>
      </c>
      <c r="M1607" s="19" t="s">
        <v>37</v>
      </c>
      <c r="N1607" s="19" t="s">
        <v>37</v>
      </c>
      <c r="O1607" s="19" t="s">
        <v>38</v>
      </c>
      <c r="P1607" s="19" t="s">
        <v>39</v>
      </c>
      <c r="Q1607" s="34">
        <v>46050</v>
      </c>
      <c r="R1607" s="35"/>
      <c r="S1607" s="35"/>
      <c r="T1607" s="35"/>
      <c r="U1607" s="35"/>
      <c r="V1607" s="35"/>
    </row>
    <row r="1608" spans="1:22">
      <c r="A1608" s="105">
        <v>46045</v>
      </c>
      <c r="B1608" s="35" t="s">
        <v>4500</v>
      </c>
      <c r="C1608" s="35" t="s">
        <v>291</v>
      </c>
      <c r="D1608" s="35" t="s">
        <v>125</v>
      </c>
      <c r="E1608" s="35">
        <v>85260</v>
      </c>
      <c r="F1608" s="35" t="s">
        <v>4501</v>
      </c>
      <c r="G1608" s="35" t="s">
        <v>4499</v>
      </c>
      <c r="H1608" s="19">
        <v>7489330000</v>
      </c>
      <c r="I1608" s="19" t="s">
        <v>73</v>
      </c>
      <c r="J1608" s="19" t="s">
        <v>37</v>
      </c>
      <c r="K1608" s="19" t="s">
        <v>37</v>
      </c>
      <c r="L1608" s="19" t="s">
        <v>38</v>
      </c>
      <c r="M1608" s="19" t="s">
        <v>37</v>
      </c>
      <c r="N1608" s="19" t="s">
        <v>37</v>
      </c>
      <c r="O1608" s="19" t="s">
        <v>38</v>
      </c>
      <c r="P1608" s="19" t="s">
        <v>39</v>
      </c>
      <c r="Q1608" s="34">
        <v>46050</v>
      </c>
      <c r="R1608" s="35"/>
      <c r="S1608" s="35"/>
      <c r="T1608" s="35"/>
      <c r="U1608" s="35"/>
      <c r="V1608" s="35"/>
    </row>
    <row r="1609" spans="1:22" ht="13.5">
      <c r="A1609" s="105">
        <v>46048</v>
      </c>
      <c r="B1609" s="35" t="s">
        <v>4502</v>
      </c>
      <c r="C1609" s="35" t="s">
        <v>491</v>
      </c>
      <c r="D1609" s="35" t="s">
        <v>261</v>
      </c>
      <c r="E1609" s="35">
        <v>86312</v>
      </c>
      <c r="F1609" s="35" t="s">
        <v>4503</v>
      </c>
      <c r="G1609" s="106" t="s">
        <v>4504</v>
      </c>
      <c r="H1609" s="19" t="s">
        <v>27</v>
      </c>
      <c r="I1609" s="19"/>
      <c r="J1609" s="19"/>
      <c r="K1609" s="19"/>
      <c r="L1609" s="19"/>
      <c r="M1609" s="19"/>
      <c r="N1609" s="19"/>
      <c r="O1609" s="19"/>
      <c r="P1609" s="19"/>
      <c r="Q1609" s="19"/>
      <c r="R1609" s="35"/>
      <c r="S1609" s="35"/>
      <c r="T1609" s="35"/>
      <c r="U1609" s="35"/>
      <c r="V1609" s="35"/>
    </row>
    <row r="1610" spans="1:22">
      <c r="A1610" s="105">
        <v>46048</v>
      </c>
      <c r="B1610" s="35" t="s">
        <v>4505</v>
      </c>
      <c r="C1610" s="35" t="s">
        <v>3015</v>
      </c>
      <c r="D1610" s="35" t="s">
        <v>737</v>
      </c>
      <c r="E1610" s="35">
        <v>86326</v>
      </c>
      <c r="F1610" s="35" t="s">
        <v>4506</v>
      </c>
      <c r="G1610" s="35" t="s">
        <v>4504</v>
      </c>
      <c r="H1610" s="19">
        <v>3498941000</v>
      </c>
      <c r="I1610" s="19" t="s">
        <v>126</v>
      </c>
      <c r="J1610" s="19" t="s">
        <v>38</v>
      </c>
      <c r="K1610" s="19" t="s">
        <v>37</v>
      </c>
      <c r="L1610" s="19" t="s">
        <v>4507</v>
      </c>
      <c r="M1610" s="19" t="s">
        <v>37</v>
      </c>
      <c r="N1610" s="19" t="s">
        <v>37</v>
      </c>
      <c r="O1610" s="19" t="s">
        <v>38</v>
      </c>
      <c r="P1610" s="19"/>
      <c r="Q1610" s="19"/>
      <c r="R1610" s="35"/>
      <c r="S1610" s="35"/>
      <c r="T1610" s="35"/>
      <c r="U1610" s="35"/>
      <c r="V1610" s="35"/>
    </row>
    <row r="1611" spans="1:22">
      <c r="A1611" s="105">
        <v>46048</v>
      </c>
      <c r="B1611" s="35" t="s">
        <v>4508</v>
      </c>
      <c r="C1611" s="35" t="s">
        <v>768</v>
      </c>
      <c r="D1611" s="35" t="s">
        <v>370</v>
      </c>
      <c r="E1611" s="35">
        <v>85226</v>
      </c>
      <c r="F1611" s="35" t="s">
        <v>4509</v>
      </c>
      <c r="G1611" s="35" t="s">
        <v>4504</v>
      </c>
      <c r="H1611" s="19" t="s">
        <v>27</v>
      </c>
      <c r="I1611" s="19"/>
      <c r="J1611" s="19"/>
      <c r="K1611" s="19"/>
      <c r="L1611" s="19"/>
      <c r="M1611" s="19"/>
      <c r="N1611" s="19"/>
      <c r="O1611" s="19"/>
      <c r="P1611" s="19"/>
      <c r="Q1611" s="19"/>
      <c r="R1611" s="35"/>
      <c r="S1611" s="35"/>
      <c r="T1611" s="35"/>
      <c r="U1611" s="35"/>
      <c r="V1611" s="35"/>
    </row>
    <row r="1612" spans="1:22">
      <c r="A1612" s="105">
        <v>46048</v>
      </c>
      <c r="B1612" s="35" t="s">
        <v>4510</v>
      </c>
      <c r="C1612" s="35" t="s">
        <v>4511</v>
      </c>
      <c r="D1612" s="35" t="s">
        <v>816</v>
      </c>
      <c r="E1612" s="35">
        <v>86303</v>
      </c>
      <c r="F1612" s="35" t="s">
        <v>4512</v>
      </c>
      <c r="G1612" s="35" t="s">
        <v>4504</v>
      </c>
      <c r="H1612" s="19">
        <v>1022760000</v>
      </c>
      <c r="I1612" s="19" t="s">
        <v>126</v>
      </c>
      <c r="J1612" s="19" t="s">
        <v>37</v>
      </c>
      <c r="K1612" s="19" t="s">
        <v>37</v>
      </c>
      <c r="L1612" s="19" t="s">
        <v>38</v>
      </c>
      <c r="M1612" s="19" t="s">
        <v>37</v>
      </c>
      <c r="N1612" s="19" t="s">
        <v>37</v>
      </c>
      <c r="O1612" s="19" t="s">
        <v>38</v>
      </c>
      <c r="P1612" s="19" t="s">
        <v>39</v>
      </c>
      <c r="Q1612" s="34">
        <v>46050</v>
      </c>
      <c r="R1612" s="35"/>
      <c r="S1612" s="35"/>
      <c r="T1612" s="35"/>
      <c r="U1612" s="35"/>
      <c r="V1612" s="35"/>
    </row>
    <row r="1613" spans="1:22">
      <c r="A1613" s="105">
        <v>46048</v>
      </c>
      <c r="B1613" s="35" t="s">
        <v>1893</v>
      </c>
      <c r="C1613" s="35" t="s">
        <v>1894</v>
      </c>
      <c r="D1613" s="35" t="s">
        <v>63</v>
      </c>
      <c r="E1613" s="35">
        <v>85024</v>
      </c>
      <c r="F1613" s="35" t="s">
        <v>4513</v>
      </c>
      <c r="G1613" s="35" t="s">
        <v>4504</v>
      </c>
      <c r="H1613" s="19">
        <v>9214141000</v>
      </c>
      <c r="I1613" s="19" t="s">
        <v>4311</v>
      </c>
      <c r="J1613" s="19" t="s">
        <v>37</v>
      </c>
      <c r="K1613" s="19" t="s">
        <v>37</v>
      </c>
      <c r="L1613" s="19" t="s">
        <v>38</v>
      </c>
      <c r="M1613" s="19" t="s">
        <v>37</v>
      </c>
      <c r="N1613" s="19" t="s">
        <v>37</v>
      </c>
      <c r="O1613" s="19" t="s">
        <v>38</v>
      </c>
      <c r="P1613" s="19" t="s">
        <v>39</v>
      </c>
      <c r="Q1613" s="34">
        <v>46050</v>
      </c>
      <c r="R1613" s="35"/>
      <c r="S1613" s="35"/>
      <c r="T1613" s="35"/>
      <c r="U1613" s="35"/>
      <c r="V1613" s="35"/>
    </row>
    <row r="1614" spans="1:22">
      <c r="A1614" s="105">
        <v>46048</v>
      </c>
      <c r="B1614" s="35" t="s">
        <v>2742</v>
      </c>
      <c r="C1614" s="35" t="s">
        <v>624</v>
      </c>
      <c r="D1614" s="35" t="s">
        <v>24</v>
      </c>
      <c r="E1614" s="35">
        <v>85310</v>
      </c>
      <c r="F1614" s="35" t="s">
        <v>4514</v>
      </c>
      <c r="G1614" s="35" t="s">
        <v>4504</v>
      </c>
      <c r="H1614" s="19">
        <v>8231151000</v>
      </c>
      <c r="I1614" s="19" t="s">
        <v>36</v>
      </c>
      <c r="J1614" s="19" t="s">
        <v>37</v>
      </c>
      <c r="K1614" s="19" t="s">
        <v>37</v>
      </c>
      <c r="L1614" s="19" t="s">
        <v>38</v>
      </c>
      <c r="M1614" s="19" t="s">
        <v>37</v>
      </c>
      <c r="N1614" s="19" t="s">
        <v>37</v>
      </c>
      <c r="O1614" s="19" t="s">
        <v>38</v>
      </c>
      <c r="P1614" s="19" t="s">
        <v>39</v>
      </c>
      <c r="Q1614" s="34">
        <v>46050</v>
      </c>
      <c r="R1614" s="35"/>
      <c r="S1614" s="35"/>
      <c r="T1614" s="35"/>
      <c r="U1614" s="35"/>
      <c r="V1614" s="35"/>
    </row>
    <row r="1615" spans="1:22" ht="13.5">
      <c r="A1615" s="105">
        <v>46048</v>
      </c>
      <c r="B1615" s="35" t="s">
        <v>367</v>
      </c>
      <c r="C1615" s="35" t="s">
        <v>4515</v>
      </c>
      <c r="D1615" s="35" t="s">
        <v>63</v>
      </c>
      <c r="E1615" s="35">
        <v>85043</v>
      </c>
      <c r="F1615" s="35" t="s">
        <v>4516</v>
      </c>
      <c r="G1615" s="106" t="s">
        <v>4517</v>
      </c>
      <c r="H1615" s="19" t="s">
        <v>27</v>
      </c>
      <c r="I1615" s="19"/>
      <c r="J1615" s="19"/>
      <c r="K1615" s="19"/>
      <c r="L1615" s="19"/>
      <c r="M1615" s="19"/>
      <c r="N1615" s="19"/>
      <c r="O1615" s="19"/>
      <c r="P1615" s="19"/>
      <c r="Q1615" s="19"/>
      <c r="R1615" s="35"/>
      <c r="S1615" s="35"/>
      <c r="T1615" s="35"/>
      <c r="U1615" s="35"/>
      <c r="V1615" s="35"/>
    </row>
    <row r="1616" spans="1:22">
      <c r="A1616" s="105">
        <v>46048</v>
      </c>
      <c r="B1616" s="35" t="s">
        <v>4518</v>
      </c>
      <c r="C1616" s="35" t="s">
        <v>991</v>
      </c>
      <c r="D1616" s="35" t="s">
        <v>68</v>
      </c>
      <c r="E1616" s="35">
        <v>85331</v>
      </c>
      <c r="F1616" s="35" t="s">
        <v>4519</v>
      </c>
      <c r="G1616" s="35" t="s">
        <v>4517</v>
      </c>
      <c r="H1616" s="19">
        <v>3266151000</v>
      </c>
      <c r="I1616" s="19" t="s">
        <v>541</v>
      </c>
      <c r="J1616" s="19" t="s">
        <v>37</v>
      </c>
      <c r="K1616" s="19" t="s">
        <v>37</v>
      </c>
      <c r="L1616" s="19" t="s">
        <v>389</v>
      </c>
      <c r="M1616" s="19" t="s">
        <v>37</v>
      </c>
      <c r="N1616" s="19" t="s">
        <v>37</v>
      </c>
      <c r="O1616" s="19" t="s">
        <v>38</v>
      </c>
      <c r="P1616" s="19" t="s">
        <v>39</v>
      </c>
      <c r="Q1616" s="34">
        <v>46050</v>
      </c>
      <c r="R1616" s="35"/>
      <c r="S1616" s="35"/>
      <c r="T1616" s="35"/>
      <c r="U1616" s="35"/>
      <c r="V1616" s="35"/>
    </row>
    <row r="1617" spans="1:23">
      <c r="A1617" s="105">
        <v>46048</v>
      </c>
      <c r="B1617" s="35" t="s">
        <v>4520</v>
      </c>
      <c r="C1617" s="35" t="s">
        <v>270</v>
      </c>
      <c r="D1617" s="35" t="s">
        <v>4164</v>
      </c>
      <c r="E1617" s="35">
        <v>85029</v>
      </c>
      <c r="F1617" s="35" t="s">
        <v>4521</v>
      </c>
      <c r="G1617" s="35" t="s">
        <v>4517</v>
      </c>
      <c r="H1617" s="19">
        <v>5307300000</v>
      </c>
      <c r="I1617" s="19" t="s">
        <v>73</v>
      </c>
      <c r="J1617" s="19" t="s">
        <v>37</v>
      </c>
      <c r="K1617" s="19" t="s">
        <v>37</v>
      </c>
      <c r="L1617" s="19" t="s">
        <v>38</v>
      </c>
      <c r="M1617" s="19" t="s">
        <v>37</v>
      </c>
      <c r="N1617" s="19" t="s">
        <v>37</v>
      </c>
      <c r="O1617" s="19" t="s">
        <v>38</v>
      </c>
      <c r="P1617" s="19" t="s">
        <v>39</v>
      </c>
      <c r="Q1617" s="34">
        <v>46050</v>
      </c>
      <c r="R1617" s="35" t="s">
        <v>4522</v>
      </c>
      <c r="S1617" s="35"/>
      <c r="T1617" s="35"/>
      <c r="U1617" s="35"/>
      <c r="V1617" s="35"/>
    </row>
    <row r="1618" spans="1:23" ht="13.5">
      <c r="A1618" s="105">
        <v>46049</v>
      </c>
      <c r="B1618" s="35" t="s">
        <v>4523</v>
      </c>
      <c r="C1618" s="35" t="s">
        <v>548</v>
      </c>
      <c r="D1618" s="35" t="s">
        <v>63</v>
      </c>
      <c r="E1618" s="35">
        <v>85003</v>
      </c>
      <c r="F1618" s="35" t="s">
        <v>4524</v>
      </c>
      <c r="G1618" s="106" t="s">
        <v>4525</v>
      </c>
      <c r="H1618" s="19">
        <v>8807453315</v>
      </c>
      <c r="I1618" s="19" t="s">
        <v>196</v>
      </c>
      <c r="J1618" s="19" t="s">
        <v>37</v>
      </c>
      <c r="K1618" s="19" t="s">
        <v>37</v>
      </c>
      <c r="L1618" s="19" t="s">
        <v>4419</v>
      </c>
      <c r="M1618" s="19" t="s">
        <v>37</v>
      </c>
      <c r="N1618" s="19" t="s">
        <v>37</v>
      </c>
      <c r="O1618" s="19" t="s">
        <v>38</v>
      </c>
      <c r="P1618" s="19" t="s">
        <v>39</v>
      </c>
      <c r="Q1618" s="34">
        <v>46050</v>
      </c>
      <c r="R1618" s="35"/>
      <c r="S1618" s="35"/>
      <c r="T1618" s="35"/>
      <c r="U1618" s="35"/>
      <c r="V1618" s="35"/>
    </row>
    <row r="1619" spans="1:23" ht="13.5">
      <c r="A1619" s="105">
        <v>46049</v>
      </c>
      <c r="B1619" s="35" t="s">
        <v>4526</v>
      </c>
      <c r="C1619" s="35" t="s">
        <v>2587</v>
      </c>
      <c r="D1619" s="35" t="s">
        <v>2641</v>
      </c>
      <c r="E1619" s="35">
        <v>85087</v>
      </c>
      <c r="F1619" s="35" t="s">
        <v>4527</v>
      </c>
      <c r="G1619" s="106" t="s">
        <v>4525</v>
      </c>
      <c r="H1619" s="19" t="s">
        <v>4528</v>
      </c>
      <c r="I1619" s="19" t="s">
        <v>73</v>
      </c>
      <c r="J1619" s="19" t="s">
        <v>37</v>
      </c>
      <c r="K1619" s="19" t="s">
        <v>37</v>
      </c>
      <c r="L1619" s="19" t="s">
        <v>38</v>
      </c>
      <c r="M1619" s="19" t="s">
        <v>37</v>
      </c>
      <c r="N1619" s="19" t="s">
        <v>37</v>
      </c>
      <c r="O1619" s="19" t="s">
        <v>38</v>
      </c>
      <c r="P1619" s="19" t="s">
        <v>39</v>
      </c>
      <c r="Q1619" s="34">
        <v>46050</v>
      </c>
      <c r="R1619" s="35"/>
      <c r="S1619" s="35"/>
      <c r="T1619" s="35"/>
      <c r="U1619" s="35"/>
      <c r="V1619" s="35"/>
    </row>
    <row r="1620" spans="1:23" ht="13.5">
      <c r="A1620" s="103">
        <v>46049</v>
      </c>
      <c r="B1620" s="33" t="s">
        <v>2043</v>
      </c>
      <c r="C1620" s="33" t="s">
        <v>2169</v>
      </c>
      <c r="D1620" s="33" t="s">
        <v>261</v>
      </c>
      <c r="E1620" s="33">
        <v>86315</v>
      </c>
      <c r="F1620" s="44" t="s">
        <v>4529</v>
      </c>
      <c r="G1620" s="44" t="s">
        <v>4525</v>
      </c>
      <c r="H1620" s="43">
        <v>5578697625</v>
      </c>
      <c r="I1620" s="43" t="s">
        <v>57</v>
      </c>
      <c r="J1620" s="43" t="s">
        <v>37</v>
      </c>
      <c r="K1620" s="43" t="s">
        <v>37</v>
      </c>
      <c r="L1620" s="43" t="s">
        <v>4419</v>
      </c>
      <c r="M1620" s="43" t="s">
        <v>37</v>
      </c>
      <c r="N1620" s="43" t="s">
        <v>37</v>
      </c>
      <c r="O1620" s="43" t="s">
        <v>38</v>
      </c>
      <c r="P1620" s="43" t="s">
        <v>39</v>
      </c>
      <c r="Q1620" s="42">
        <v>46050</v>
      </c>
      <c r="R1620" s="33" t="s">
        <v>4530</v>
      </c>
      <c r="S1620" s="33"/>
      <c r="T1620" s="33"/>
      <c r="U1620" s="33"/>
      <c r="V1620" s="33"/>
    </row>
    <row r="1621" spans="1:23" ht="13.5">
      <c r="A1621" s="103">
        <v>46049</v>
      </c>
      <c r="B1621" s="33" t="s">
        <v>4531</v>
      </c>
      <c r="C1621" s="33" t="s">
        <v>1806</v>
      </c>
      <c r="D1621" s="33" t="s">
        <v>63</v>
      </c>
      <c r="E1621" s="33">
        <v>85034</v>
      </c>
      <c r="F1621" s="33" t="s">
        <v>4532</v>
      </c>
      <c r="G1621" s="44" t="s">
        <v>4533</v>
      </c>
      <c r="H1621" s="43">
        <v>2265569362</v>
      </c>
      <c r="I1621" s="43" t="s">
        <v>126</v>
      </c>
      <c r="J1621" s="43" t="s">
        <v>38</v>
      </c>
      <c r="K1621" s="43" t="s">
        <v>37</v>
      </c>
      <c r="L1621" s="43" t="s">
        <v>38</v>
      </c>
      <c r="M1621" s="43" t="s">
        <v>37</v>
      </c>
      <c r="N1621" s="43" t="s">
        <v>37</v>
      </c>
      <c r="O1621" s="43" t="s">
        <v>38</v>
      </c>
      <c r="P1621" s="43"/>
      <c r="Q1621" s="42">
        <v>46050</v>
      </c>
      <c r="R1621" s="33" t="s">
        <v>4534</v>
      </c>
      <c r="S1621" s="33"/>
      <c r="T1621" s="33"/>
      <c r="U1621" s="33"/>
      <c r="V1621" s="33"/>
    </row>
    <row r="1622" spans="1:23">
      <c r="A1622" s="105">
        <v>46049</v>
      </c>
      <c r="B1622" s="35" t="s">
        <v>3786</v>
      </c>
      <c r="C1622" s="35" t="s">
        <v>230</v>
      </c>
      <c r="D1622" s="35" t="s">
        <v>63</v>
      </c>
      <c r="E1622" s="35">
        <v>85029</v>
      </c>
      <c r="F1622" s="35" t="s">
        <v>4535</v>
      </c>
      <c r="G1622" s="35"/>
      <c r="H1622" s="19">
        <v>9452141000</v>
      </c>
      <c r="I1622" s="19" t="s">
        <v>126</v>
      </c>
      <c r="J1622" s="19" t="s">
        <v>37</v>
      </c>
      <c r="K1622" s="19" t="s">
        <v>37</v>
      </c>
      <c r="L1622" s="19" t="s">
        <v>38</v>
      </c>
      <c r="M1622" s="19" t="s">
        <v>37</v>
      </c>
      <c r="N1622" s="19" t="s">
        <v>37</v>
      </c>
      <c r="O1622" s="19" t="s">
        <v>38</v>
      </c>
      <c r="P1622" s="19" t="s">
        <v>39</v>
      </c>
      <c r="Q1622" s="34">
        <v>46050</v>
      </c>
      <c r="R1622" s="35"/>
      <c r="S1622" s="35"/>
      <c r="T1622" s="35"/>
      <c r="U1622" s="35"/>
      <c r="V1622" s="35"/>
    </row>
    <row r="1623" spans="1:23" ht="13.5">
      <c r="A1623" s="105">
        <v>46049</v>
      </c>
      <c r="B1623" s="35" t="s">
        <v>1815</v>
      </c>
      <c r="C1623" s="35" t="s">
        <v>156</v>
      </c>
      <c r="D1623" s="35" t="s">
        <v>30</v>
      </c>
      <c r="E1623" s="35" t="s">
        <v>4536</v>
      </c>
      <c r="F1623" s="35" t="s">
        <v>4537</v>
      </c>
      <c r="G1623" s="106" t="s">
        <v>4538</v>
      </c>
      <c r="H1623" s="19" t="s">
        <v>27</v>
      </c>
      <c r="I1623" s="19"/>
      <c r="J1623" s="19"/>
      <c r="K1623" s="19"/>
      <c r="L1623" s="19"/>
      <c r="M1623" s="19"/>
      <c r="N1623" s="19"/>
      <c r="O1623" s="19"/>
      <c r="P1623" s="19"/>
      <c r="Q1623" s="19"/>
      <c r="R1623" s="35" t="s">
        <v>4239</v>
      </c>
      <c r="S1623" s="35"/>
      <c r="T1623" s="35"/>
      <c r="U1623" s="35"/>
      <c r="V1623" s="35"/>
    </row>
    <row r="1624" spans="1:23" ht="13.5">
      <c r="A1624" s="105">
        <v>46049</v>
      </c>
      <c r="B1624" s="35" t="s">
        <v>3509</v>
      </c>
      <c r="C1624" s="35" t="s">
        <v>422</v>
      </c>
      <c r="D1624" s="35" t="s">
        <v>30</v>
      </c>
      <c r="E1624" s="35" t="s">
        <v>4536</v>
      </c>
      <c r="F1624" s="35" t="s">
        <v>4537</v>
      </c>
      <c r="G1624" s="106" t="s">
        <v>4538</v>
      </c>
      <c r="H1624" s="19" t="s">
        <v>27</v>
      </c>
      <c r="I1624" s="19"/>
      <c r="J1624" s="19"/>
      <c r="K1624" s="19"/>
      <c r="L1624" s="19"/>
      <c r="M1624" s="19"/>
      <c r="N1624" s="19"/>
      <c r="O1624" s="19"/>
      <c r="P1624" s="19"/>
      <c r="Q1624" s="19"/>
      <c r="R1624" s="35" t="s">
        <v>4239</v>
      </c>
      <c r="S1624" s="35"/>
      <c r="T1624" s="35"/>
      <c r="U1624" s="35"/>
      <c r="V1624" s="35"/>
    </row>
    <row r="1625" spans="1:23" ht="13.5">
      <c r="A1625" s="103">
        <v>46050</v>
      </c>
      <c r="B1625" s="33" t="s">
        <v>1134</v>
      </c>
      <c r="C1625" s="33" t="s">
        <v>4539</v>
      </c>
      <c r="D1625" s="33" t="s">
        <v>202</v>
      </c>
      <c r="E1625" s="33">
        <v>85345</v>
      </c>
      <c r="F1625" s="33" t="s">
        <v>4540</v>
      </c>
      <c r="G1625" s="44" t="s">
        <v>4541</v>
      </c>
      <c r="H1625" s="45" t="s">
        <v>4542</v>
      </c>
      <c r="I1625" s="43" t="s">
        <v>196</v>
      </c>
      <c r="J1625" s="43" t="s">
        <v>37</v>
      </c>
      <c r="K1625" s="43" t="s">
        <v>37</v>
      </c>
      <c r="L1625" s="43" t="s">
        <v>4543</v>
      </c>
      <c r="M1625" s="43" t="s">
        <v>37</v>
      </c>
      <c r="N1625" s="43" t="s">
        <v>37</v>
      </c>
      <c r="O1625" s="43" t="s">
        <v>38</v>
      </c>
      <c r="P1625" s="43"/>
      <c r="Q1625" s="42">
        <v>46051</v>
      </c>
      <c r="R1625" s="33" t="s">
        <v>4544</v>
      </c>
      <c r="S1625" s="33"/>
      <c r="T1625" s="33"/>
      <c r="U1625" s="33"/>
      <c r="V1625" s="33"/>
      <c r="W1625" s="33"/>
    </row>
    <row r="1626" spans="1:23">
      <c r="A1626" s="23">
        <v>46050</v>
      </c>
      <c r="B1626" s="1" t="s">
        <v>4545</v>
      </c>
      <c r="C1626" s="1" t="s">
        <v>2931</v>
      </c>
      <c r="D1626" s="1" t="s">
        <v>619</v>
      </c>
      <c r="E1626" s="1">
        <v>85364</v>
      </c>
      <c r="F1626" s="1" t="s">
        <v>3865</v>
      </c>
      <c r="G1626" s="1" t="s">
        <v>4546</v>
      </c>
      <c r="H1626" s="4" t="s">
        <v>4547</v>
      </c>
      <c r="I1626" s="5" t="s">
        <v>196</v>
      </c>
      <c r="J1626" s="5" t="s">
        <v>37</v>
      </c>
      <c r="K1626" s="5" t="s">
        <v>37</v>
      </c>
      <c r="L1626" s="5" t="s">
        <v>4548</v>
      </c>
      <c r="M1626" s="5" t="s">
        <v>37</v>
      </c>
      <c r="N1626" s="5" t="s">
        <v>37</v>
      </c>
      <c r="O1626" s="5" t="s">
        <v>38</v>
      </c>
      <c r="Q1626" s="2">
        <v>46051</v>
      </c>
    </row>
    <row r="1627" spans="1:23" ht="13.5">
      <c r="A1627" s="23">
        <v>46050</v>
      </c>
      <c r="B1627" s="1" t="s">
        <v>4267</v>
      </c>
      <c r="C1627" s="1" t="s">
        <v>133</v>
      </c>
      <c r="D1627" s="1" t="s">
        <v>30</v>
      </c>
      <c r="E1627" s="1" t="s">
        <v>30</v>
      </c>
      <c r="F1627" s="1" t="s">
        <v>4549</v>
      </c>
      <c r="G1627" s="40" t="s">
        <v>4546</v>
      </c>
      <c r="H1627" s="4" t="s">
        <v>27</v>
      </c>
    </row>
    <row r="1628" spans="1:23" ht="13.5">
      <c r="A1628" s="23">
        <v>46050</v>
      </c>
      <c r="B1628" s="1" t="s">
        <v>4550</v>
      </c>
      <c r="C1628" s="1" t="s">
        <v>3465</v>
      </c>
      <c r="D1628" s="1" t="s">
        <v>816</v>
      </c>
      <c r="E1628" s="1">
        <v>86301</v>
      </c>
      <c r="F1628" s="1" t="s">
        <v>4551</v>
      </c>
      <c r="G1628" s="40" t="s">
        <v>4552</v>
      </c>
      <c r="H1628" s="5">
        <v>1993960000</v>
      </c>
      <c r="I1628" s="5" t="s">
        <v>73</v>
      </c>
      <c r="J1628" s="5" t="s">
        <v>37</v>
      </c>
      <c r="K1628" s="5" t="s">
        <v>37</v>
      </c>
      <c r="L1628" s="5" t="s">
        <v>38</v>
      </c>
      <c r="M1628" s="5" t="s">
        <v>37</v>
      </c>
      <c r="N1628" s="5" t="s">
        <v>37</v>
      </c>
      <c r="O1628" s="5" t="s">
        <v>38</v>
      </c>
      <c r="P1628" s="5" t="s">
        <v>39</v>
      </c>
      <c r="Q1628" s="2">
        <v>46051</v>
      </c>
      <c r="R1628" s="1" t="s">
        <v>4522</v>
      </c>
    </row>
    <row r="1629" spans="1:23">
      <c r="A1629" s="23">
        <v>46050</v>
      </c>
      <c r="B1629" s="1" t="s">
        <v>4553</v>
      </c>
      <c r="C1629" s="1" t="s">
        <v>133</v>
      </c>
      <c r="D1629" s="1" t="s">
        <v>1302</v>
      </c>
      <c r="E1629" s="1">
        <v>85390</v>
      </c>
      <c r="F1629" s="1" t="s">
        <v>4554</v>
      </c>
      <c r="G1629" s="1" t="s">
        <v>4552</v>
      </c>
      <c r="H1629" s="4" t="s">
        <v>4555</v>
      </c>
      <c r="I1629" s="5" t="s">
        <v>73</v>
      </c>
      <c r="J1629" s="5" t="s">
        <v>37</v>
      </c>
      <c r="K1629" s="5" t="s">
        <v>37</v>
      </c>
      <c r="L1629" s="5" t="s">
        <v>38</v>
      </c>
      <c r="M1629" s="5" t="s">
        <v>37</v>
      </c>
      <c r="N1629" s="5" t="s">
        <v>37</v>
      </c>
      <c r="O1629" s="5" t="s">
        <v>38</v>
      </c>
      <c r="P1629" s="5" t="s">
        <v>39</v>
      </c>
      <c r="Q1629" s="2">
        <v>46051</v>
      </c>
    </row>
    <row r="1630" spans="1:23">
      <c r="A1630" s="23">
        <v>46050</v>
      </c>
      <c r="B1630" s="1" t="s">
        <v>4556</v>
      </c>
      <c r="C1630" s="1" t="s">
        <v>225</v>
      </c>
      <c r="D1630" s="1" t="s">
        <v>1302</v>
      </c>
      <c r="E1630" s="1">
        <v>85390</v>
      </c>
      <c r="F1630" s="1" t="s">
        <v>4557</v>
      </c>
      <c r="G1630" s="1" t="s">
        <v>4552</v>
      </c>
      <c r="H1630" s="4" t="s">
        <v>4558</v>
      </c>
      <c r="I1630" s="5" t="s">
        <v>196</v>
      </c>
      <c r="J1630" s="5" t="s">
        <v>37</v>
      </c>
      <c r="K1630" s="5" t="s">
        <v>37</v>
      </c>
      <c r="L1630" s="5" t="s">
        <v>4548</v>
      </c>
      <c r="M1630" s="5" t="s">
        <v>37</v>
      </c>
      <c r="N1630" s="5" t="s">
        <v>37</v>
      </c>
      <c r="O1630" s="5" t="s">
        <v>38</v>
      </c>
      <c r="P1630" s="5" t="s">
        <v>39</v>
      </c>
      <c r="Q1630" s="2">
        <v>46051</v>
      </c>
    </row>
    <row r="1631" spans="1:23">
      <c r="A1631" s="23">
        <v>46050</v>
      </c>
      <c r="B1631" s="1" t="s">
        <v>4559</v>
      </c>
      <c r="C1631" s="1" t="s">
        <v>838</v>
      </c>
      <c r="D1631" s="1" t="s">
        <v>63</v>
      </c>
      <c r="E1631" s="1">
        <v>85040</v>
      </c>
      <c r="F1631" s="1" t="s">
        <v>4560</v>
      </c>
      <c r="G1631" s="1" t="s">
        <v>4552</v>
      </c>
      <c r="H1631" s="4" t="s">
        <v>27</v>
      </c>
    </row>
    <row r="1632" spans="1:23">
      <c r="A1632" s="23">
        <v>46050</v>
      </c>
      <c r="B1632" s="1" t="s">
        <v>930</v>
      </c>
      <c r="C1632" s="1" t="s">
        <v>4561</v>
      </c>
      <c r="D1632" s="1" t="s">
        <v>698</v>
      </c>
      <c r="E1632" s="1">
        <v>85375</v>
      </c>
      <c r="F1632" s="1" t="s">
        <v>4562</v>
      </c>
      <c r="G1632" s="1" t="s">
        <v>4552</v>
      </c>
      <c r="H1632" s="4" t="s">
        <v>27</v>
      </c>
    </row>
    <row r="1633" spans="1:23">
      <c r="A1633" s="23">
        <v>46050</v>
      </c>
      <c r="B1633" s="1" t="s">
        <v>686</v>
      </c>
      <c r="C1633" s="1" t="s">
        <v>4563</v>
      </c>
      <c r="D1633" s="1" t="s">
        <v>1302</v>
      </c>
      <c r="E1633" s="1">
        <v>85390</v>
      </c>
      <c r="F1633" s="1" t="s">
        <v>4564</v>
      </c>
      <c r="G1633" s="1" t="s">
        <v>4552</v>
      </c>
      <c r="H1633" s="4" t="s">
        <v>4565</v>
      </c>
      <c r="I1633" s="5" t="s">
        <v>36</v>
      </c>
      <c r="J1633" s="5" t="s">
        <v>37</v>
      </c>
      <c r="K1633" s="5" t="s">
        <v>37</v>
      </c>
      <c r="L1633" s="5" t="s">
        <v>38</v>
      </c>
      <c r="M1633" s="5" t="s">
        <v>37</v>
      </c>
      <c r="N1633" s="5" t="s">
        <v>37</v>
      </c>
      <c r="O1633" s="5" t="s">
        <v>38</v>
      </c>
      <c r="P1633" s="5" t="s">
        <v>39</v>
      </c>
      <c r="Q1633" s="2">
        <v>46051</v>
      </c>
    </row>
    <row r="1634" spans="1:23">
      <c r="A1634" s="103">
        <v>46050</v>
      </c>
      <c r="B1634" s="33" t="s">
        <v>4566</v>
      </c>
      <c r="C1634" s="33" t="s">
        <v>481</v>
      </c>
      <c r="D1634" s="33" t="s">
        <v>261</v>
      </c>
      <c r="E1634" s="33">
        <v>86314</v>
      </c>
      <c r="F1634" s="33" t="s">
        <v>4567</v>
      </c>
      <c r="G1634" s="33" t="s">
        <v>4552</v>
      </c>
      <c r="H1634" s="45" t="s">
        <v>4568</v>
      </c>
      <c r="I1634" s="43" t="s">
        <v>250</v>
      </c>
      <c r="J1634" s="43" t="s">
        <v>38</v>
      </c>
      <c r="K1634" s="43" t="s">
        <v>37</v>
      </c>
      <c r="L1634" s="43" t="s">
        <v>4569</v>
      </c>
      <c r="M1634" s="43" t="s">
        <v>37</v>
      </c>
      <c r="N1634" s="43" t="s">
        <v>37</v>
      </c>
      <c r="O1634" s="43" t="s">
        <v>38</v>
      </c>
      <c r="P1634" s="43"/>
      <c r="Q1634" s="42">
        <v>46051</v>
      </c>
      <c r="R1634" s="33" t="s">
        <v>4004</v>
      </c>
      <c r="S1634" s="33"/>
      <c r="T1634" s="33"/>
      <c r="U1634" s="33"/>
      <c r="V1634" s="33"/>
      <c r="W1634" s="33"/>
    </row>
    <row r="1635" spans="1:23">
      <c r="A1635" s="103">
        <v>46050</v>
      </c>
      <c r="B1635" s="33" t="s">
        <v>4570</v>
      </c>
      <c r="C1635" s="33" t="s">
        <v>4442</v>
      </c>
      <c r="D1635" s="33" t="s">
        <v>63</v>
      </c>
      <c r="E1635" s="33">
        <v>85020</v>
      </c>
      <c r="F1635" s="33" t="s">
        <v>4571</v>
      </c>
      <c r="G1635" s="33" t="s">
        <v>4552</v>
      </c>
      <c r="H1635" s="45" t="s">
        <v>4572</v>
      </c>
      <c r="I1635" s="43" t="s">
        <v>4573</v>
      </c>
      <c r="J1635" s="43" t="s">
        <v>37</v>
      </c>
      <c r="K1635" s="43" t="s">
        <v>37</v>
      </c>
      <c r="L1635" s="43" t="s">
        <v>4574</v>
      </c>
      <c r="M1635" s="43" t="s">
        <v>37</v>
      </c>
      <c r="N1635" s="43" t="s">
        <v>37</v>
      </c>
      <c r="O1635" s="43" t="s">
        <v>38</v>
      </c>
      <c r="P1635" s="43"/>
      <c r="Q1635" s="42">
        <v>46051</v>
      </c>
      <c r="R1635" s="33" t="s">
        <v>4004</v>
      </c>
      <c r="S1635" s="33"/>
      <c r="T1635" s="33"/>
      <c r="U1635" s="33"/>
      <c r="V1635" s="33"/>
      <c r="W1635" s="33"/>
    </row>
    <row r="1636" spans="1:23" ht="13.5">
      <c r="A1636" s="23">
        <v>46051</v>
      </c>
      <c r="B1636" s="1" t="s">
        <v>4575</v>
      </c>
      <c r="C1636" s="1" t="s">
        <v>1953</v>
      </c>
      <c r="D1636" s="1" t="s">
        <v>93</v>
      </c>
      <c r="E1636" s="1">
        <v>85351</v>
      </c>
      <c r="F1636" s="1" t="s">
        <v>4576</v>
      </c>
      <c r="G1636" s="40" t="s">
        <v>4577</v>
      </c>
      <c r="H1636" s="4" t="s">
        <v>4578</v>
      </c>
      <c r="I1636" s="5" t="s">
        <v>36</v>
      </c>
      <c r="J1636" s="5" t="s">
        <v>37</v>
      </c>
      <c r="K1636" s="5" t="s">
        <v>37</v>
      </c>
      <c r="L1636" s="5" t="s">
        <v>38</v>
      </c>
      <c r="M1636" s="5" t="s">
        <v>37</v>
      </c>
      <c r="N1636" s="5" t="s">
        <v>37</v>
      </c>
      <c r="O1636" s="5" t="s">
        <v>38</v>
      </c>
      <c r="P1636" s="5" t="s">
        <v>39</v>
      </c>
      <c r="Q1636" s="2">
        <v>46052</v>
      </c>
    </row>
    <row r="1637" spans="1:23">
      <c r="A1637" s="23">
        <v>46051</v>
      </c>
      <c r="B1637" s="1" t="s">
        <v>4579</v>
      </c>
      <c r="C1637" s="1" t="s">
        <v>4580</v>
      </c>
      <c r="D1637" s="1" t="s">
        <v>261</v>
      </c>
      <c r="E1637" s="1">
        <v>86314</v>
      </c>
      <c r="F1637" s="1" t="s">
        <v>4581</v>
      </c>
      <c r="G1637" s="1" t="s">
        <v>4577</v>
      </c>
      <c r="H1637" s="4" t="s">
        <v>4582</v>
      </c>
      <c r="I1637" s="5" t="s">
        <v>4311</v>
      </c>
      <c r="J1637" s="5" t="s">
        <v>37</v>
      </c>
      <c r="K1637" s="5" t="s">
        <v>37</v>
      </c>
      <c r="L1637" s="5" t="s">
        <v>38</v>
      </c>
      <c r="M1637" s="5" t="s">
        <v>37</v>
      </c>
      <c r="N1637" s="5" t="s">
        <v>37</v>
      </c>
      <c r="O1637" s="5" t="s">
        <v>38</v>
      </c>
      <c r="P1637" s="5" t="s">
        <v>39</v>
      </c>
      <c r="Q1637" s="2">
        <v>46052</v>
      </c>
    </row>
    <row r="1638" spans="1:23">
      <c r="A1638" s="103">
        <v>46051</v>
      </c>
      <c r="B1638" s="33" t="s">
        <v>227</v>
      </c>
      <c r="C1638" s="33" t="s">
        <v>4583</v>
      </c>
      <c r="D1638" s="33" t="s">
        <v>202</v>
      </c>
      <c r="E1638" s="33">
        <v>85383</v>
      </c>
      <c r="F1638" s="33" t="s">
        <v>4584</v>
      </c>
      <c r="G1638" s="33" t="s">
        <v>4577</v>
      </c>
      <c r="H1638" s="45" t="s">
        <v>4585</v>
      </c>
      <c r="I1638" s="43" t="s">
        <v>36</v>
      </c>
      <c r="J1638" s="43" t="s">
        <v>37</v>
      </c>
      <c r="K1638" s="43" t="s">
        <v>37</v>
      </c>
      <c r="L1638" s="43" t="s">
        <v>38</v>
      </c>
      <c r="M1638" s="43" t="s">
        <v>37</v>
      </c>
      <c r="N1638" s="43" t="s">
        <v>37</v>
      </c>
      <c r="O1638" s="43" t="s">
        <v>38</v>
      </c>
      <c r="P1638" s="43"/>
      <c r="Q1638" s="42">
        <v>46052</v>
      </c>
      <c r="R1638" s="33" t="s">
        <v>4534</v>
      </c>
      <c r="S1638" s="33"/>
      <c r="T1638" s="33"/>
      <c r="U1638" s="33"/>
      <c r="V1638" s="33"/>
      <c r="W1638" s="33"/>
    </row>
    <row r="1639" spans="1:23">
      <c r="A1639" s="103">
        <v>46051</v>
      </c>
      <c r="B1639" s="33" t="s">
        <v>4586</v>
      </c>
      <c r="C1639" s="33" t="s">
        <v>4587</v>
      </c>
      <c r="D1639" s="33" t="s">
        <v>63</v>
      </c>
      <c r="E1639" s="33">
        <v>85053</v>
      </c>
      <c r="F1639" s="33" t="s">
        <v>4588</v>
      </c>
      <c r="G1639" s="33" t="s">
        <v>4577</v>
      </c>
      <c r="H1639" s="45" t="s">
        <v>4589</v>
      </c>
      <c r="I1639" s="43" t="s">
        <v>36</v>
      </c>
      <c r="J1639" s="43" t="s">
        <v>38</v>
      </c>
      <c r="K1639" s="43" t="s">
        <v>37</v>
      </c>
      <c r="L1639" s="43" t="s">
        <v>38</v>
      </c>
      <c r="M1639" s="43" t="s">
        <v>38</v>
      </c>
      <c r="N1639" s="109">
        <v>2316.81</v>
      </c>
      <c r="O1639" s="43" t="s">
        <v>38</v>
      </c>
      <c r="P1639" s="43"/>
      <c r="Q1639" s="42">
        <v>46052</v>
      </c>
      <c r="R1639" s="33" t="s">
        <v>4534</v>
      </c>
      <c r="S1639" s="33"/>
      <c r="T1639" s="33"/>
      <c r="U1639" s="33"/>
      <c r="V1639" s="33"/>
      <c r="W1639" s="33"/>
    </row>
    <row r="1640" spans="1:23" ht="13.5">
      <c r="A1640" s="23">
        <v>46051</v>
      </c>
      <c r="B1640" s="1" t="s">
        <v>4590</v>
      </c>
      <c r="C1640" s="1" t="s">
        <v>1953</v>
      </c>
      <c r="D1640" s="1" t="s">
        <v>125</v>
      </c>
      <c r="E1640" s="1">
        <v>85254</v>
      </c>
      <c r="F1640" s="1" t="s">
        <v>4591</v>
      </c>
      <c r="G1640" s="40" t="s">
        <v>4592</v>
      </c>
      <c r="H1640" s="4" t="s">
        <v>4593</v>
      </c>
      <c r="I1640" s="5" t="s">
        <v>36</v>
      </c>
      <c r="J1640" s="5" t="s">
        <v>37</v>
      </c>
      <c r="K1640" s="5" t="s">
        <v>37</v>
      </c>
      <c r="L1640" s="5" t="s">
        <v>38</v>
      </c>
      <c r="M1640" s="5" t="s">
        <v>37</v>
      </c>
      <c r="N1640" s="5" t="s">
        <v>37</v>
      </c>
      <c r="O1640" s="5" t="s">
        <v>38</v>
      </c>
      <c r="P1640" s="5" t="s">
        <v>39</v>
      </c>
      <c r="Q1640" s="2">
        <v>46052</v>
      </c>
    </row>
    <row r="1641" spans="1:23" ht="13.5">
      <c r="A1641" s="23">
        <v>46051</v>
      </c>
      <c r="B1641" s="1" t="s">
        <v>4594</v>
      </c>
      <c r="C1641" s="1" t="s">
        <v>1227</v>
      </c>
      <c r="D1641" s="1" t="s">
        <v>63</v>
      </c>
      <c r="E1641" s="1">
        <v>85032</v>
      </c>
      <c r="F1641" s="1" t="s">
        <v>4595</v>
      </c>
      <c r="G1641" s="40" t="s">
        <v>4592</v>
      </c>
      <c r="H1641" s="4">
        <v>2225101000</v>
      </c>
      <c r="I1641" s="5" t="s">
        <v>126</v>
      </c>
      <c r="J1641" s="5" t="s">
        <v>37</v>
      </c>
      <c r="K1641" s="5" t="s">
        <v>37</v>
      </c>
      <c r="L1641" s="5" t="s">
        <v>4548</v>
      </c>
      <c r="M1641" s="5" t="s">
        <v>37</v>
      </c>
      <c r="N1641" s="5" t="s">
        <v>37</v>
      </c>
      <c r="O1641" s="5" t="s">
        <v>38</v>
      </c>
      <c r="Q1641" s="2">
        <v>46052</v>
      </c>
      <c r="R1641" s="1" t="s">
        <v>4596</v>
      </c>
    </row>
    <row r="1642" spans="1:23" ht="13.5">
      <c r="A1642" s="23">
        <v>46051</v>
      </c>
      <c r="B1642" s="1" t="s">
        <v>4597</v>
      </c>
      <c r="C1642" s="1" t="s">
        <v>2302</v>
      </c>
      <c r="D1642" s="1" t="s">
        <v>24</v>
      </c>
      <c r="E1642" s="1">
        <v>85308</v>
      </c>
      <c r="F1642" s="1" t="s">
        <v>4598</v>
      </c>
      <c r="G1642" s="40" t="s">
        <v>4592</v>
      </c>
      <c r="H1642" s="4" t="s">
        <v>90</v>
      </c>
    </row>
    <row r="1643" spans="1:23" ht="13.5">
      <c r="A1643" s="23">
        <v>46052</v>
      </c>
      <c r="B1643" s="1" t="s">
        <v>4599</v>
      </c>
      <c r="C1643" s="1" t="s">
        <v>4600</v>
      </c>
      <c r="D1643" s="1" t="s">
        <v>125</v>
      </c>
      <c r="E1643" s="1">
        <v>85254</v>
      </c>
      <c r="F1643" s="1" t="s">
        <v>4601</v>
      </c>
      <c r="G1643" s="40" t="s">
        <v>4602</v>
      </c>
      <c r="H1643" s="4" t="s">
        <v>4603</v>
      </c>
      <c r="I1643" s="5" t="s">
        <v>36</v>
      </c>
      <c r="J1643" s="5" t="s">
        <v>37</v>
      </c>
      <c r="K1643" s="5" t="s">
        <v>37</v>
      </c>
      <c r="L1643" s="5" t="s">
        <v>38</v>
      </c>
      <c r="M1643" s="5" t="s">
        <v>37</v>
      </c>
      <c r="N1643" s="5" t="s">
        <v>37</v>
      </c>
      <c r="O1643" s="5" t="s">
        <v>38</v>
      </c>
      <c r="P1643" s="5" t="s">
        <v>39</v>
      </c>
      <c r="Q1643" s="2">
        <v>46057</v>
      </c>
    </row>
    <row r="1644" spans="1:23" ht="13.5">
      <c r="A1644" s="23">
        <v>46052</v>
      </c>
      <c r="B1644" s="1" t="s">
        <v>4604</v>
      </c>
      <c r="C1644" s="1" t="s">
        <v>2135</v>
      </c>
      <c r="D1644" s="1" t="s">
        <v>698</v>
      </c>
      <c r="E1644" s="1">
        <v>85375</v>
      </c>
      <c r="F1644" s="1" t="s">
        <v>4605</v>
      </c>
      <c r="G1644" s="40" t="s">
        <v>4602</v>
      </c>
      <c r="H1644" s="4" t="s">
        <v>4606</v>
      </c>
      <c r="I1644" s="5" t="s">
        <v>46</v>
      </c>
      <c r="J1644" s="5" t="s">
        <v>37</v>
      </c>
      <c r="K1644" s="5" t="s">
        <v>37</v>
      </c>
      <c r="L1644" s="5" t="s">
        <v>38</v>
      </c>
      <c r="M1644" s="5" t="s">
        <v>38</v>
      </c>
      <c r="N1644" s="13">
        <v>72.2</v>
      </c>
      <c r="O1644" s="5" t="s">
        <v>38</v>
      </c>
      <c r="P1644" s="5" t="s">
        <v>39</v>
      </c>
      <c r="Q1644" s="2">
        <v>46057</v>
      </c>
    </row>
    <row r="1645" spans="1:23" ht="13.5">
      <c r="A1645" s="23">
        <v>46049</v>
      </c>
      <c r="B1645" s="1" t="s">
        <v>567</v>
      </c>
      <c r="C1645" s="1" t="s">
        <v>4607</v>
      </c>
      <c r="D1645" s="1" t="s">
        <v>448</v>
      </c>
      <c r="E1645" s="1">
        <v>85361</v>
      </c>
      <c r="F1645" s="1" t="s">
        <v>4608</v>
      </c>
      <c r="G1645" s="40" t="s">
        <v>4609</v>
      </c>
      <c r="H1645" s="4" t="s">
        <v>27</v>
      </c>
    </row>
    <row r="1646" spans="1:23">
      <c r="A1646" s="23">
        <v>46049</v>
      </c>
      <c r="B1646" s="1" t="s">
        <v>4610</v>
      </c>
      <c r="C1646" s="1" t="s">
        <v>4611</v>
      </c>
      <c r="D1646" s="1" t="s">
        <v>63</v>
      </c>
      <c r="E1646" s="1">
        <v>85083</v>
      </c>
      <c r="F1646" s="1" t="s">
        <v>4612</v>
      </c>
      <c r="G1646" s="1" t="s">
        <v>4609</v>
      </c>
      <c r="H1646" s="4" t="s">
        <v>4613</v>
      </c>
      <c r="I1646" s="5" t="s">
        <v>36</v>
      </c>
      <c r="J1646" s="5" t="s">
        <v>37</v>
      </c>
      <c r="K1646" s="5" t="s">
        <v>37</v>
      </c>
      <c r="L1646" s="5" t="s">
        <v>38</v>
      </c>
      <c r="M1646" s="5" t="s">
        <v>37</v>
      </c>
      <c r="N1646" s="5" t="s">
        <v>37</v>
      </c>
      <c r="O1646" s="5" t="s">
        <v>38</v>
      </c>
      <c r="P1646" s="5" t="s">
        <v>39</v>
      </c>
      <c r="Q1646" s="2">
        <v>46057</v>
      </c>
    </row>
    <row r="1647" spans="1:23">
      <c r="A1647" s="23">
        <v>46049</v>
      </c>
      <c r="B1647" s="1" t="s">
        <v>4614</v>
      </c>
      <c r="C1647" s="1" t="s">
        <v>471</v>
      </c>
      <c r="D1647" s="1" t="s">
        <v>261</v>
      </c>
      <c r="E1647" s="1">
        <v>86314</v>
      </c>
      <c r="F1647" s="1" t="s">
        <v>4615</v>
      </c>
      <c r="G1647" s="1" t="s">
        <v>4609</v>
      </c>
      <c r="H1647" s="4" t="s">
        <v>4616</v>
      </c>
      <c r="I1647" s="5" t="s">
        <v>126</v>
      </c>
      <c r="J1647" s="5" t="s">
        <v>37</v>
      </c>
      <c r="K1647" s="5" t="s">
        <v>37</v>
      </c>
      <c r="L1647" s="5" t="s">
        <v>38</v>
      </c>
      <c r="M1647" s="5" t="s">
        <v>37</v>
      </c>
      <c r="N1647" s="5" t="s">
        <v>37</v>
      </c>
      <c r="O1647" s="5" t="s">
        <v>38</v>
      </c>
      <c r="P1647" s="5" t="s">
        <v>39</v>
      </c>
      <c r="Q1647" s="2">
        <v>46057</v>
      </c>
    </row>
    <row r="1648" spans="1:23">
      <c r="A1648" s="23">
        <v>46049</v>
      </c>
      <c r="B1648" s="1" t="s">
        <v>4617</v>
      </c>
      <c r="C1648" s="1" t="s">
        <v>4618</v>
      </c>
      <c r="D1648" s="1" t="s">
        <v>619</v>
      </c>
      <c r="E1648" s="1">
        <v>85364</v>
      </c>
      <c r="F1648" s="1" t="s">
        <v>4619</v>
      </c>
      <c r="G1648" s="1" t="s">
        <v>4609</v>
      </c>
      <c r="H1648" s="4" t="s">
        <v>27</v>
      </c>
    </row>
    <row r="1649" spans="1:23">
      <c r="A1649" s="103">
        <v>46049</v>
      </c>
      <c r="B1649" s="33" t="s">
        <v>4620</v>
      </c>
      <c r="C1649" s="33" t="s">
        <v>312</v>
      </c>
      <c r="D1649" s="33" t="s">
        <v>412</v>
      </c>
      <c r="E1649" s="33">
        <v>85123</v>
      </c>
      <c r="F1649" s="33" t="s">
        <v>4621</v>
      </c>
      <c r="G1649" s="33" t="s">
        <v>4609</v>
      </c>
      <c r="H1649" s="45" t="s">
        <v>4622</v>
      </c>
      <c r="I1649" s="43" t="s">
        <v>36</v>
      </c>
      <c r="J1649" s="43" t="s">
        <v>37</v>
      </c>
      <c r="K1649" s="43" t="s">
        <v>37</v>
      </c>
      <c r="L1649" s="43" t="s">
        <v>38</v>
      </c>
      <c r="M1649" s="43" t="s">
        <v>38</v>
      </c>
      <c r="N1649" s="90">
        <v>309.8</v>
      </c>
      <c r="O1649" s="43" t="s">
        <v>38</v>
      </c>
      <c r="P1649" s="43"/>
      <c r="Q1649" s="42">
        <v>46057</v>
      </c>
      <c r="R1649" s="33" t="s">
        <v>4534</v>
      </c>
      <c r="S1649" s="33"/>
      <c r="T1649" s="33"/>
      <c r="U1649" s="33"/>
      <c r="V1649" s="33"/>
      <c r="W1649" s="33"/>
    </row>
    <row r="1650" spans="1:23">
      <c r="A1650" s="103">
        <v>46049</v>
      </c>
      <c r="B1650" s="33" t="s">
        <v>3852</v>
      </c>
      <c r="C1650" s="33" t="s">
        <v>4623</v>
      </c>
      <c r="D1650" s="33" t="s">
        <v>63</v>
      </c>
      <c r="E1650" s="33">
        <v>85023</v>
      </c>
      <c r="F1650" s="33" t="s">
        <v>4624</v>
      </c>
      <c r="G1650" s="33" t="s">
        <v>4609</v>
      </c>
      <c r="H1650" s="45" t="s">
        <v>4625</v>
      </c>
      <c r="I1650" s="43" t="s">
        <v>73</v>
      </c>
      <c r="J1650" s="43" t="s">
        <v>37</v>
      </c>
      <c r="K1650" s="43" t="s">
        <v>37</v>
      </c>
      <c r="L1650" s="43" t="s">
        <v>38</v>
      </c>
      <c r="M1650" s="43" t="s">
        <v>38</v>
      </c>
      <c r="N1650" s="90">
        <v>202.33</v>
      </c>
      <c r="O1650" s="43" t="s">
        <v>38</v>
      </c>
      <c r="P1650" s="43"/>
      <c r="Q1650" s="42">
        <v>46057</v>
      </c>
      <c r="R1650" s="33" t="s">
        <v>4534</v>
      </c>
      <c r="S1650" s="33"/>
      <c r="T1650" s="33"/>
      <c r="U1650" s="33"/>
      <c r="V1650" s="33"/>
      <c r="W1650" s="33"/>
    </row>
    <row r="1651" spans="1:23">
      <c r="A1651" s="23">
        <v>46049</v>
      </c>
      <c r="B1651" s="1" t="s">
        <v>4626</v>
      </c>
      <c r="C1651" s="1" t="s">
        <v>4627</v>
      </c>
      <c r="D1651" s="1" t="s">
        <v>63</v>
      </c>
      <c r="E1651" s="1">
        <v>85023</v>
      </c>
      <c r="F1651" s="1" t="s">
        <v>4628</v>
      </c>
      <c r="G1651" s="1" t="s">
        <v>4609</v>
      </c>
      <c r="H1651" s="4" t="s">
        <v>4629</v>
      </c>
      <c r="I1651" s="5" t="s">
        <v>46</v>
      </c>
      <c r="J1651" s="5" t="s">
        <v>37</v>
      </c>
      <c r="K1651" s="5" t="s">
        <v>37</v>
      </c>
      <c r="L1651" s="5" t="s">
        <v>38</v>
      </c>
      <c r="M1651" s="5" t="s">
        <v>37</v>
      </c>
      <c r="N1651" s="5" t="s">
        <v>37</v>
      </c>
      <c r="O1651" s="5" t="s">
        <v>38</v>
      </c>
      <c r="P1651" s="5" t="s">
        <v>39</v>
      </c>
      <c r="Q1651" s="2">
        <v>46057</v>
      </c>
      <c r="R1651" s="1" t="s">
        <v>4630</v>
      </c>
    </row>
    <row r="1652" spans="1:23">
      <c r="A1652" s="23">
        <v>46049</v>
      </c>
      <c r="B1652" s="1" t="s">
        <v>333</v>
      </c>
      <c r="C1652" s="1" t="s">
        <v>4234</v>
      </c>
      <c r="D1652" s="1" t="s">
        <v>112</v>
      </c>
      <c r="E1652" s="1">
        <v>85374</v>
      </c>
      <c r="F1652" s="1" t="s">
        <v>4631</v>
      </c>
      <c r="G1652" s="1" t="s">
        <v>4609</v>
      </c>
      <c r="H1652" s="4" t="s">
        <v>4632</v>
      </c>
      <c r="I1652" s="5" t="s">
        <v>73</v>
      </c>
      <c r="J1652" s="5" t="s">
        <v>38</v>
      </c>
      <c r="K1652" s="5" t="s">
        <v>37</v>
      </c>
      <c r="L1652" s="5" t="s">
        <v>38</v>
      </c>
      <c r="M1652" s="5" t="s">
        <v>37</v>
      </c>
      <c r="N1652" s="5" t="s">
        <v>37</v>
      </c>
      <c r="O1652" s="5" t="s">
        <v>38</v>
      </c>
      <c r="P1652" s="5" t="s">
        <v>39</v>
      </c>
      <c r="Q1652" s="2">
        <v>46057</v>
      </c>
    </row>
    <row r="1653" spans="1:23">
      <c r="A1653" s="23">
        <v>46049</v>
      </c>
      <c r="B1653" s="1" t="s">
        <v>4633</v>
      </c>
      <c r="C1653" s="1" t="s">
        <v>4634</v>
      </c>
      <c r="D1653" s="1" t="s">
        <v>619</v>
      </c>
      <c r="E1653" s="1">
        <v>85364</v>
      </c>
      <c r="F1653" s="1" t="s">
        <v>4635</v>
      </c>
      <c r="G1653" s="1" t="s">
        <v>4609</v>
      </c>
      <c r="H1653" s="4" t="s">
        <v>27</v>
      </c>
    </row>
    <row r="1654" spans="1:23">
      <c r="A1654" s="23">
        <v>46049</v>
      </c>
      <c r="B1654" s="1" t="s">
        <v>167</v>
      </c>
      <c r="C1654" s="1" t="s">
        <v>4636</v>
      </c>
      <c r="D1654" s="1" t="s">
        <v>202</v>
      </c>
      <c r="E1654" s="1">
        <v>85345</v>
      </c>
      <c r="F1654" s="1" t="s">
        <v>4637</v>
      </c>
      <c r="G1654" s="1" t="s">
        <v>4609</v>
      </c>
      <c r="H1654" s="4" t="s">
        <v>4638</v>
      </c>
      <c r="I1654" s="5" t="s">
        <v>126</v>
      </c>
      <c r="J1654" s="5" t="s">
        <v>37</v>
      </c>
      <c r="K1654" s="5" t="s">
        <v>37</v>
      </c>
      <c r="L1654" s="5" t="s">
        <v>38</v>
      </c>
      <c r="M1654" s="5" t="s">
        <v>37</v>
      </c>
      <c r="N1654" s="5" t="s">
        <v>37</v>
      </c>
      <c r="O1654" s="5" t="s">
        <v>38</v>
      </c>
      <c r="P1654" s="5" t="s">
        <v>39</v>
      </c>
      <c r="Q1654" s="2">
        <v>46057</v>
      </c>
    </row>
    <row r="1655" spans="1:23">
      <c r="A1655" s="23">
        <v>46049</v>
      </c>
      <c r="B1655" s="1" t="s">
        <v>4639</v>
      </c>
      <c r="C1655" s="1" t="s">
        <v>4640</v>
      </c>
      <c r="D1655" s="1" t="s">
        <v>412</v>
      </c>
      <c r="E1655" s="1">
        <v>85123</v>
      </c>
      <c r="F1655" s="1" t="s">
        <v>4641</v>
      </c>
      <c r="G1655" s="1" t="s">
        <v>4609</v>
      </c>
      <c r="H1655" s="4" t="s">
        <v>4642</v>
      </c>
      <c r="I1655" s="5" t="s">
        <v>4311</v>
      </c>
      <c r="J1655" s="5" t="s">
        <v>37</v>
      </c>
      <c r="K1655" s="5" t="s">
        <v>37</v>
      </c>
      <c r="L1655" s="5" t="s">
        <v>38</v>
      </c>
      <c r="M1655" s="5" t="s">
        <v>37</v>
      </c>
      <c r="N1655" s="5" t="s">
        <v>37</v>
      </c>
      <c r="O1655" s="5" t="s">
        <v>38</v>
      </c>
      <c r="P1655" s="5" t="s">
        <v>39</v>
      </c>
      <c r="Q1655" s="2">
        <v>46057</v>
      </c>
    </row>
    <row r="1656" spans="1:23">
      <c r="A1656" s="23">
        <v>46049</v>
      </c>
      <c r="B1656" s="1" t="s">
        <v>4643</v>
      </c>
      <c r="C1656" s="1" t="s">
        <v>4644</v>
      </c>
      <c r="D1656" s="1" t="s">
        <v>240</v>
      </c>
      <c r="E1656" s="1">
        <v>85340</v>
      </c>
      <c r="F1656" s="1" t="s">
        <v>4645</v>
      </c>
      <c r="G1656" s="1" t="s">
        <v>4609</v>
      </c>
      <c r="H1656" s="4" t="s">
        <v>4646</v>
      </c>
      <c r="I1656" s="5" t="s">
        <v>4647</v>
      </c>
      <c r="J1656" s="5" t="s">
        <v>37</v>
      </c>
      <c r="K1656" s="5" t="s">
        <v>37</v>
      </c>
      <c r="L1656" s="5" t="s">
        <v>4079</v>
      </c>
      <c r="M1656" s="5" t="s">
        <v>37</v>
      </c>
      <c r="N1656" s="5" t="s">
        <v>37</v>
      </c>
      <c r="O1656" s="5" t="s">
        <v>38</v>
      </c>
      <c r="P1656" s="5" t="s">
        <v>39</v>
      </c>
      <c r="Q1656" s="2">
        <v>46057</v>
      </c>
    </row>
    <row r="1657" spans="1:23">
      <c r="A1657" s="23">
        <v>46049</v>
      </c>
      <c r="B1657" s="1" t="s">
        <v>4648</v>
      </c>
      <c r="C1657" s="1" t="s">
        <v>2360</v>
      </c>
      <c r="D1657" s="1" t="s">
        <v>63</v>
      </c>
      <c r="E1657" s="1">
        <v>85029</v>
      </c>
      <c r="F1657" s="1" t="s">
        <v>4649</v>
      </c>
      <c r="G1657" s="1" t="s">
        <v>4609</v>
      </c>
      <c r="H1657" s="4" t="s">
        <v>4650</v>
      </c>
      <c r="I1657" s="5" t="s">
        <v>541</v>
      </c>
      <c r="J1657" s="5" t="s">
        <v>37</v>
      </c>
      <c r="K1657" s="5" t="s">
        <v>37</v>
      </c>
      <c r="L1657" s="5" t="s">
        <v>4079</v>
      </c>
      <c r="M1657" s="5" t="s">
        <v>38</v>
      </c>
      <c r="N1657" s="13">
        <v>125.36</v>
      </c>
      <c r="O1657" s="5" t="s">
        <v>38</v>
      </c>
      <c r="P1657" s="5" t="s">
        <v>39</v>
      </c>
      <c r="Q1657" s="2">
        <v>46057</v>
      </c>
    </row>
    <row r="1658" spans="1:23">
      <c r="A1658" s="23">
        <v>46049</v>
      </c>
      <c r="B1658" s="1" t="s">
        <v>4651</v>
      </c>
      <c r="C1658" s="1" t="s">
        <v>312</v>
      </c>
      <c r="D1658" s="1" t="s">
        <v>112</v>
      </c>
      <c r="E1658" s="1">
        <v>85379</v>
      </c>
      <c r="F1658" s="1" t="s">
        <v>4652</v>
      </c>
      <c r="G1658" s="1" t="s">
        <v>4609</v>
      </c>
      <c r="H1658" s="4" t="s">
        <v>4653</v>
      </c>
      <c r="I1658" s="5" t="s">
        <v>196</v>
      </c>
      <c r="J1658" s="5" t="s">
        <v>38</v>
      </c>
      <c r="K1658" s="5" t="s">
        <v>37</v>
      </c>
      <c r="L1658" s="5" t="s">
        <v>38</v>
      </c>
      <c r="M1658" s="5" t="s">
        <v>37</v>
      </c>
      <c r="N1658" s="5" t="s">
        <v>37</v>
      </c>
      <c r="O1658" s="5" t="s">
        <v>38</v>
      </c>
      <c r="P1658" s="5" t="s">
        <v>39</v>
      </c>
      <c r="Q1658" s="2">
        <v>46057</v>
      </c>
    </row>
    <row r="1659" spans="1:23">
      <c r="A1659" s="23">
        <v>46049</v>
      </c>
      <c r="B1659" s="1" t="s">
        <v>4654</v>
      </c>
      <c r="C1659" s="1" t="s">
        <v>4655</v>
      </c>
      <c r="D1659" s="1" t="s">
        <v>63</v>
      </c>
      <c r="E1659" s="1">
        <v>85006</v>
      </c>
      <c r="F1659" s="1" t="s">
        <v>4656</v>
      </c>
      <c r="G1659" s="1" t="s">
        <v>4609</v>
      </c>
      <c r="H1659" s="4" t="s">
        <v>4657</v>
      </c>
      <c r="I1659" s="5" t="s">
        <v>196</v>
      </c>
      <c r="J1659" s="5" t="s">
        <v>37</v>
      </c>
      <c r="K1659" s="5" t="s">
        <v>37</v>
      </c>
      <c r="L1659" s="5" t="s">
        <v>38</v>
      </c>
      <c r="M1659" s="5" t="s">
        <v>37</v>
      </c>
      <c r="N1659" s="5" t="s">
        <v>37</v>
      </c>
      <c r="O1659" s="5" t="s">
        <v>38</v>
      </c>
      <c r="P1659" s="5" t="s">
        <v>39</v>
      </c>
      <c r="Q1659" s="2">
        <v>46057</v>
      </c>
    </row>
    <row r="1660" spans="1:23">
      <c r="A1660" s="23">
        <v>46049</v>
      </c>
      <c r="B1660" s="1" t="s">
        <v>528</v>
      </c>
      <c r="C1660" s="1" t="s">
        <v>4658</v>
      </c>
      <c r="D1660" s="1" t="s">
        <v>4659</v>
      </c>
      <c r="E1660" s="1">
        <v>85339</v>
      </c>
      <c r="F1660" s="1" t="s">
        <v>4660</v>
      </c>
      <c r="G1660" s="1" t="s">
        <v>4609</v>
      </c>
      <c r="H1660" s="4" t="s">
        <v>27</v>
      </c>
    </row>
    <row r="1661" spans="1:23">
      <c r="A1661" s="23">
        <v>46049</v>
      </c>
      <c r="B1661" s="1" t="s">
        <v>3867</v>
      </c>
      <c r="C1661" s="1" t="s">
        <v>4661</v>
      </c>
      <c r="D1661" s="1" t="s">
        <v>2109</v>
      </c>
      <c r="E1661" s="1">
        <v>86327</v>
      </c>
      <c r="F1661" s="1" t="s">
        <v>4662</v>
      </c>
      <c r="G1661" s="1" t="s">
        <v>4609</v>
      </c>
      <c r="H1661" s="4" t="s">
        <v>27</v>
      </c>
    </row>
    <row r="1662" spans="1:23">
      <c r="A1662" s="23">
        <v>46049</v>
      </c>
      <c r="B1662" s="1" t="s">
        <v>4663</v>
      </c>
      <c r="C1662" s="1" t="s">
        <v>4664</v>
      </c>
      <c r="D1662" s="1" t="s">
        <v>1204</v>
      </c>
      <c r="E1662" s="1">
        <v>85355</v>
      </c>
      <c r="F1662" s="1" t="s">
        <v>4665</v>
      </c>
      <c r="G1662" s="1" t="s">
        <v>4609</v>
      </c>
      <c r="H1662" s="4" t="s">
        <v>4666</v>
      </c>
      <c r="I1662" s="5" t="s">
        <v>36</v>
      </c>
      <c r="J1662" s="5" t="s">
        <v>37</v>
      </c>
      <c r="K1662" s="5" t="s">
        <v>37</v>
      </c>
      <c r="L1662" s="5" t="s">
        <v>38</v>
      </c>
      <c r="M1662" s="5" t="s">
        <v>37</v>
      </c>
      <c r="N1662" s="5" t="s">
        <v>37</v>
      </c>
      <c r="O1662" s="5" t="s">
        <v>38</v>
      </c>
      <c r="P1662" s="5" t="s">
        <v>39</v>
      </c>
      <c r="Q1662" s="2">
        <v>46057</v>
      </c>
    </row>
    <row r="1663" spans="1:23">
      <c r="A1663" s="23">
        <v>46049</v>
      </c>
      <c r="B1663" s="1" t="s">
        <v>1116</v>
      </c>
      <c r="C1663" s="1" t="s">
        <v>4667</v>
      </c>
      <c r="D1663" s="1" t="s">
        <v>63</v>
      </c>
      <c r="E1663" s="1">
        <v>85023</v>
      </c>
      <c r="F1663" s="1" t="s">
        <v>4668</v>
      </c>
      <c r="G1663" s="1" t="s">
        <v>4609</v>
      </c>
      <c r="H1663" s="4" t="s">
        <v>4669</v>
      </c>
      <c r="I1663" s="5" t="s">
        <v>73</v>
      </c>
      <c r="J1663" s="5" t="s">
        <v>37</v>
      </c>
      <c r="K1663" s="5" t="s">
        <v>37</v>
      </c>
      <c r="L1663" s="5" t="s">
        <v>38</v>
      </c>
    </row>
    <row r="1664" spans="1:23">
      <c r="A1664" s="23">
        <v>46049</v>
      </c>
      <c r="B1664" s="1" t="s">
        <v>4670</v>
      </c>
      <c r="C1664" s="1" t="s">
        <v>2658</v>
      </c>
      <c r="D1664" s="1" t="s">
        <v>63</v>
      </c>
      <c r="E1664" s="1">
        <v>85013</v>
      </c>
      <c r="F1664" s="1" t="s">
        <v>4671</v>
      </c>
      <c r="G1664" s="1" t="s">
        <v>4609</v>
      </c>
      <c r="H1664" s="4" t="s">
        <v>4672</v>
      </c>
      <c r="I1664" s="5" t="s">
        <v>36</v>
      </c>
      <c r="J1664" s="5" t="s">
        <v>38</v>
      </c>
      <c r="K1664" s="5" t="s">
        <v>37</v>
      </c>
      <c r="L1664" s="5" t="s">
        <v>38</v>
      </c>
      <c r="M1664" s="5" t="s">
        <v>37</v>
      </c>
      <c r="N1664" s="5" t="s">
        <v>37</v>
      </c>
      <c r="O1664" s="5" t="s">
        <v>38</v>
      </c>
      <c r="P1664" s="5" t="s">
        <v>39</v>
      </c>
      <c r="Q1664" s="2">
        <v>46057</v>
      </c>
    </row>
    <row r="1665" spans="1:23">
      <c r="A1665" s="23">
        <v>46049</v>
      </c>
      <c r="B1665" s="1" t="s">
        <v>4673</v>
      </c>
      <c r="C1665" s="1" t="s">
        <v>307</v>
      </c>
      <c r="D1665" s="1" t="s">
        <v>202</v>
      </c>
      <c r="E1665" s="1">
        <v>85345</v>
      </c>
      <c r="F1665" s="1" t="s">
        <v>4674</v>
      </c>
      <c r="G1665" s="1" t="s">
        <v>4609</v>
      </c>
      <c r="H1665" s="4" t="s">
        <v>4675</v>
      </c>
      <c r="I1665" s="5" t="s">
        <v>36</v>
      </c>
      <c r="J1665" s="5" t="s">
        <v>37</v>
      </c>
      <c r="K1665" s="5" t="s">
        <v>37</v>
      </c>
      <c r="L1665" s="5" t="s">
        <v>38</v>
      </c>
      <c r="M1665" s="5" t="s">
        <v>37</v>
      </c>
      <c r="N1665" s="5" t="s">
        <v>37</v>
      </c>
      <c r="O1665" s="5" t="s">
        <v>38</v>
      </c>
      <c r="P1665" s="5" t="s">
        <v>39</v>
      </c>
      <c r="Q1665" s="2">
        <v>46057</v>
      </c>
    </row>
    <row r="1666" spans="1:23">
      <c r="A1666" s="23">
        <v>46049</v>
      </c>
      <c r="B1666" s="1" t="s">
        <v>4676</v>
      </c>
      <c r="C1666" s="1" t="s">
        <v>4677</v>
      </c>
      <c r="D1666" s="1" t="s">
        <v>63</v>
      </c>
      <c r="E1666" s="1">
        <v>85053</v>
      </c>
      <c r="F1666" s="1" t="s">
        <v>4678</v>
      </c>
      <c r="G1666" s="1" t="s">
        <v>4609</v>
      </c>
      <c r="H1666" s="4" t="s">
        <v>4679</v>
      </c>
      <c r="I1666" s="5" t="s">
        <v>36</v>
      </c>
      <c r="J1666" s="5" t="s">
        <v>37</v>
      </c>
      <c r="K1666" s="5" t="s">
        <v>37</v>
      </c>
      <c r="L1666" s="5" t="s">
        <v>38</v>
      </c>
      <c r="M1666" s="5" t="s">
        <v>37</v>
      </c>
      <c r="N1666" s="5" t="s">
        <v>37</v>
      </c>
      <c r="O1666" s="5" t="s">
        <v>38</v>
      </c>
      <c r="P1666" s="5" t="s">
        <v>39</v>
      </c>
      <c r="Q1666" s="2">
        <v>46057</v>
      </c>
    </row>
    <row r="1667" spans="1:23">
      <c r="A1667" s="23">
        <v>46049</v>
      </c>
      <c r="B1667" s="1" t="s">
        <v>4680</v>
      </c>
      <c r="C1667" s="1" t="s">
        <v>1463</v>
      </c>
      <c r="D1667" s="1" t="s">
        <v>24</v>
      </c>
      <c r="E1667" s="1">
        <v>85307</v>
      </c>
      <c r="F1667" s="110" t="s">
        <v>4681</v>
      </c>
      <c r="G1667" s="1" t="s">
        <v>4609</v>
      </c>
      <c r="H1667" s="4" t="s">
        <v>27</v>
      </c>
      <c r="R1667" s="1" t="s">
        <v>4682</v>
      </c>
    </row>
    <row r="1668" spans="1:23">
      <c r="A1668" s="23">
        <v>46049</v>
      </c>
      <c r="B1668" s="1" t="s">
        <v>4683</v>
      </c>
      <c r="C1668" s="1" t="s">
        <v>4684</v>
      </c>
      <c r="D1668" s="1" t="s">
        <v>63</v>
      </c>
      <c r="E1668" s="1">
        <v>85050</v>
      </c>
      <c r="F1668" s="1" t="s">
        <v>4685</v>
      </c>
      <c r="G1668" s="1" t="s">
        <v>4609</v>
      </c>
      <c r="H1668" s="4" t="s">
        <v>27</v>
      </c>
    </row>
    <row r="1669" spans="1:23">
      <c r="A1669" s="103">
        <v>46049</v>
      </c>
      <c r="B1669" s="33" t="s">
        <v>4686</v>
      </c>
      <c r="C1669" s="33" t="s">
        <v>4150</v>
      </c>
      <c r="D1669" s="33" t="s">
        <v>698</v>
      </c>
      <c r="E1669" s="33">
        <v>85375</v>
      </c>
      <c r="F1669" s="33" t="s">
        <v>4687</v>
      </c>
      <c r="G1669" s="33" t="s">
        <v>4609</v>
      </c>
      <c r="H1669" s="45" t="s">
        <v>4688</v>
      </c>
      <c r="I1669" s="43" t="s">
        <v>57</v>
      </c>
      <c r="J1669" s="43" t="s">
        <v>37</v>
      </c>
      <c r="K1669" s="43" t="s">
        <v>37</v>
      </c>
      <c r="L1669" s="43" t="s">
        <v>4689</v>
      </c>
      <c r="M1669" s="43" t="s">
        <v>37</v>
      </c>
      <c r="N1669" s="43" t="s">
        <v>37</v>
      </c>
      <c r="O1669" s="43" t="s">
        <v>38</v>
      </c>
      <c r="P1669" s="43"/>
      <c r="Q1669" s="42">
        <v>46057</v>
      </c>
      <c r="R1669" s="33" t="s">
        <v>4004</v>
      </c>
      <c r="S1669" s="33"/>
      <c r="T1669" s="33"/>
      <c r="U1669" s="33"/>
      <c r="V1669" s="33"/>
      <c r="W1669" s="33"/>
    </row>
    <row r="1670" spans="1:23">
      <c r="A1670" s="23">
        <v>46049</v>
      </c>
      <c r="B1670" s="1" t="s">
        <v>4690</v>
      </c>
      <c r="C1670" s="1" t="s">
        <v>3006</v>
      </c>
      <c r="D1670" s="1" t="s">
        <v>202</v>
      </c>
      <c r="E1670" s="1">
        <v>85345</v>
      </c>
      <c r="F1670" s="1" t="s">
        <v>4691</v>
      </c>
      <c r="G1670" s="1" t="s">
        <v>4609</v>
      </c>
      <c r="H1670" s="4" t="s">
        <v>4692</v>
      </c>
      <c r="I1670" s="5" t="s">
        <v>73</v>
      </c>
      <c r="J1670" s="5" t="s">
        <v>38</v>
      </c>
      <c r="K1670" s="5" t="s">
        <v>37</v>
      </c>
      <c r="L1670" s="5" t="s">
        <v>38</v>
      </c>
      <c r="M1670" s="5" t="s">
        <v>37</v>
      </c>
      <c r="N1670" s="5" t="s">
        <v>37</v>
      </c>
      <c r="O1670" s="5" t="s">
        <v>38</v>
      </c>
      <c r="P1670" s="5" t="s">
        <v>39</v>
      </c>
      <c r="Q1670" s="2">
        <v>46057</v>
      </c>
    </row>
    <row r="1671" spans="1:23">
      <c r="A1671" s="23">
        <v>46049</v>
      </c>
      <c r="B1671" s="1" t="s">
        <v>4693</v>
      </c>
      <c r="C1671" s="1" t="s">
        <v>4694</v>
      </c>
      <c r="D1671" s="1" t="s">
        <v>2429</v>
      </c>
      <c r="E1671" s="1">
        <v>85132</v>
      </c>
      <c r="F1671" s="1" t="s">
        <v>4695</v>
      </c>
      <c r="G1671" s="1" t="s">
        <v>4609</v>
      </c>
      <c r="H1671" s="4" t="s">
        <v>27</v>
      </c>
    </row>
    <row r="1672" spans="1:23">
      <c r="A1672" s="103">
        <v>46049</v>
      </c>
      <c r="B1672" s="33" t="s">
        <v>4696</v>
      </c>
      <c r="C1672" s="33" t="s">
        <v>382</v>
      </c>
      <c r="D1672" s="33" t="s">
        <v>4697</v>
      </c>
      <c r="E1672" s="33">
        <v>85332</v>
      </c>
      <c r="F1672" s="33" t="s">
        <v>4698</v>
      </c>
      <c r="G1672" s="33" t="s">
        <v>4609</v>
      </c>
      <c r="H1672" s="45" t="s">
        <v>4699</v>
      </c>
      <c r="I1672" s="43" t="s">
        <v>46</v>
      </c>
      <c r="J1672" s="43" t="s">
        <v>37</v>
      </c>
      <c r="K1672" s="43" t="s">
        <v>37</v>
      </c>
      <c r="L1672" s="43" t="s">
        <v>38</v>
      </c>
      <c r="M1672" s="43" t="s">
        <v>38</v>
      </c>
      <c r="N1672" s="90">
        <v>472.66</v>
      </c>
      <c r="O1672" s="43" t="s">
        <v>38</v>
      </c>
      <c r="P1672" s="43"/>
      <c r="Q1672" s="42">
        <v>46057</v>
      </c>
      <c r="R1672" s="33" t="s">
        <v>4534</v>
      </c>
      <c r="S1672" s="33"/>
      <c r="T1672" s="33"/>
      <c r="U1672" s="33"/>
      <c r="V1672" s="33"/>
      <c r="W1672" s="33"/>
    </row>
    <row r="1673" spans="1:23">
      <c r="A1673" s="23">
        <v>46049</v>
      </c>
      <c r="B1673" s="1" t="s">
        <v>49</v>
      </c>
      <c r="C1673" s="1" t="s">
        <v>312</v>
      </c>
      <c r="D1673" s="1" t="s">
        <v>63</v>
      </c>
      <c r="E1673" s="1">
        <v>85086</v>
      </c>
      <c r="F1673" s="1" t="s">
        <v>4700</v>
      </c>
      <c r="G1673" s="1" t="s">
        <v>4609</v>
      </c>
      <c r="H1673" s="4" t="s">
        <v>27</v>
      </c>
    </row>
    <row r="1674" spans="1:23">
      <c r="A1674" s="23">
        <v>46049</v>
      </c>
      <c r="B1674" s="1" t="s">
        <v>4701</v>
      </c>
      <c r="C1674" s="1" t="s">
        <v>225</v>
      </c>
      <c r="D1674" s="1" t="s">
        <v>93</v>
      </c>
      <c r="E1674" s="1">
        <v>85373</v>
      </c>
      <c r="F1674" s="1" t="s">
        <v>4702</v>
      </c>
      <c r="G1674" s="1" t="s">
        <v>4609</v>
      </c>
      <c r="H1674" s="4" t="s">
        <v>4703</v>
      </c>
      <c r="I1674" s="5" t="s">
        <v>126</v>
      </c>
      <c r="J1674" s="5" t="s">
        <v>38</v>
      </c>
      <c r="K1674" s="5" t="s">
        <v>37</v>
      </c>
      <c r="L1674" s="5" t="s">
        <v>4548</v>
      </c>
      <c r="M1674" s="5" t="s">
        <v>37</v>
      </c>
      <c r="N1674" s="5" t="s">
        <v>37</v>
      </c>
      <c r="O1674" s="5" t="s">
        <v>38</v>
      </c>
      <c r="Q1674" s="2">
        <v>46057</v>
      </c>
    </row>
    <row r="1675" spans="1:23">
      <c r="A1675" s="23">
        <v>46049</v>
      </c>
      <c r="B1675" s="1" t="s">
        <v>3012</v>
      </c>
      <c r="C1675" s="1" t="s">
        <v>4704</v>
      </c>
      <c r="D1675" s="1" t="s">
        <v>3361</v>
      </c>
      <c r="E1675" s="1">
        <v>86322</v>
      </c>
      <c r="F1675" s="1" t="s">
        <v>4705</v>
      </c>
      <c r="G1675" s="1" t="s">
        <v>4609</v>
      </c>
      <c r="H1675" s="4" t="s">
        <v>4706</v>
      </c>
      <c r="I1675" s="5" t="s">
        <v>46</v>
      </c>
      <c r="J1675" s="5" t="s">
        <v>38</v>
      </c>
      <c r="K1675" s="5" t="s">
        <v>37</v>
      </c>
      <c r="L1675" s="5" t="s">
        <v>38</v>
      </c>
      <c r="M1675" s="5" t="s">
        <v>37</v>
      </c>
      <c r="N1675" s="5" t="s">
        <v>37</v>
      </c>
      <c r="O1675" s="5" t="s">
        <v>38</v>
      </c>
      <c r="P1675" s="5" t="s">
        <v>39</v>
      </c>
      <c r="Q1675" s="2">
        <v>46057</v>
      </c>
    </row>
    <row r="1676" spans="1:23">
      <c r="A1676" s="23">
        <v>46049</v>
      </c>
      <c r="B1676" s="1" t="s">
        <v>4707</v>
      </c>
      <c r="C1676" s="1" t="s">
        <v>4708</v>
      </c>
      <c r="D1676" s="1" t="s">
        <v>412</v>
      </c>
      <c r="E1676" s="1">
        <v>85124</v>
      </c>
      <c r="F1676" s="1" t="s">
        <v>4709</v>
      </c>
      <c r="G1676" s="1" t="s">
        <v>4609</v>
      </c>
      <c r="H1676" s="4" t="s">
        <v>27</v>
      </c>
    </row>
    <row r="1677" spans="1:23">
      <c r="A1677" s="103">
        <v>46049</v>
      </c>
      <c r="B1677" s="33" t="s">
        <v>4710</v>
      </c>
      <c r="C1677" s="33" t="s">
        <v>920</v>
      </c>
      <c r="D1677" s="33" t="s">
        <v>63</v>
      </c>
      <c r="E1677" s="33">
        <v>85020</v>
      </c>
      <c r="F1677" s="33" t="s">
        <v>4711</v>
      </c>
      <c r="G1677" s="33" t="s">
        <v>4609</v>
      </c>
      <c r="H1677" s="45" t="s">
        <v>4712</v>
      </c>
      <c r="I1677" s="43" t="s">
        <v>36</v>
      </c>
      <c r="J1677" s="43" t="s">
        <v>37</v>
      </c>
      <c r="K1677" s="43" t="s">
        <v>37</v>
      </c>
      <c r="L1677" s="43" t="s">
        <v>38</v>
      </c>
      <c r="M1677" s="43" t="s">
        <v>38</v>
      </c>
      <c r="N1677" s="90">
        <v>178.5</v>
      </c>
      <c r="O1677" s="43" t="s">
        <v>38</v>
      </c>
      <c r="P1677" s="43"/>
      <c r="Q1677" s="42">
        <v>46057</v>
      </c>
      <c r="R1677" s="33" t="s">
        <v>4534</v>
      </c>
      <c r="S1677" s="33"/>
      <c r="T1677" s="33"/>
      <c r="U1677" s="33"/>
      <c r="V1677" s="33"/>
      <c r="W1677" s="33"/>
    </row>
    <row r="1678" spans="1:23">
      <c r="A1678" s="23">
        <v>46049</v>
      </c>
      <c r="B1678" s="1" t="s">
        <v>4713</v>
      </c>
      <c r="C1678" s="1" t="s">
        <v>479</v>
      </c>
      <c r="D1678" s="1" t="s">
        <v>63</v>
      </c>
      <c r="E1678" s="1">
        <v>85032</v>
      </c>
      <c r="F1678" s="1" t="s">
        <v>4714</v>
      </c>
      <c r="G1678" s="1" t="s">
        <v>4609</v>
      </c>
      <c r="H1678" s="4" t="s">
        <v>4715</v>
      </c>
      <c r="I1678" s="5" t="s">
        <v>4214</v>
      </c>
      <c r="J1678" s="5" t="s">
        <v>37</v>
      </c>
      <c r="K1678" s="5" t="s">
        <v>37</v>
      </c>
      <c r="L1678" s="5" t="s">
        <v>4079</v>
      </c>
      <c r="M1678" s="5" t="s">
        <v>37</v>
      </c>
      <c r="N1678" s="5" t="s">
        <v>37</v>
      </c>
      <c r="O1678" s="5" t="s">
        <v>38</v>
      </c>
      <c r="P1678" s="5" t="s">
        <v>39</v>
      </c>
      <c r="Q1678" s="2">
        <v>46057</v>
      </c>
    </row>
    <row r="1679" spans="1:23">
      <c r="A1679" s="23">
        <v>46049</v>
      </c>
      <c r="B1679" s="1" t="s">
        <v>1134</v>
      </c>
      <c r="C1679" s="1" t="s">
        <v>4716</v>
      </c>
      <c r="D1679" s="1" t="s">
        <v>93</v>
      </c>
      <c r="E1679" s="1">
        <v>85351</v>
      </c>
      <c r="F1679" s="1" t="s">
        <v>4717</v>
      </c>
      <c r="G1679" s="1" t="s">
        <v>4609</v>
      </c>
      <c r="H1679" s="4" t="s">
        <v>4718</v>
      </c>
      <c r="I1679" s="5" t="s">
        <v>46</v>
      </c>
      <c r="J1679" s="5" t="s">
        <v>38</v>
      </c>
      <c r="K1679" s="5" t="s">
        <v>37</v>
      </c>
      <c r="L1679" s="5" t="s">
        <v>4719</v>
      </c>
      <c r="M1679" s="5" t="s">
        <v>37</v>
      </c>
      <c r="N1679" s="5" t="s">
        <v>37</v>
      </c>
      <c r="O1679" s="5" t="s">
        <v>38</v>
      </c>
      <c r="P1679" s="5" t="s">
        <v>39</v>
      </c>
      <c r="Q1679" s="2">
        <v>46057</v>
      </c>
    </row>
    <row r="1680" spans="1:23">
      <c r="A1680" s="23">
        <v>46049</v>
      </c>
      <c r="B1680" s="1" t="s">
        <v>4720</v>
      </c>
      <c r="C1680" s="1" t="s">
        <v>481</v>
      </c>
      <c r="D1680" s="1" t="s">
        <v>63</v>
      </c>
      <c r="E1680" s="1">
        <v>85027</v>
      </c>
      <c r="F1680" s="1" t="s">
        <v>4721</v>
      </c>
      <c r="G1680" s="1" t="s">
        <v>4609</v>
      </c>
      <c r="H1680" s="4" t="s">
        <v>90</v>
      </c>
    </row>
    <row r="1681" spans="1:23">
      <c r="A1681" s="23">
        <v>46049</v>
      </c>
      <c r="B1681" s="1" t="s">
        <v>4722</v>
      </c>
      <c r="C1681" s="1" t="s">
        <v>3250</v>
      </c>
      <c r="D1681" s="1" t="s">
        <v>698</v>
      </c>
      <c r="E1681" s="1">
        <v>85375</v>
      </c>
      <c r="F1681" s="1" t="s">
        <v>4723</v>
      </c>
      <c r="G1681" s="1" t="s">
        <v>4609</v>
      </c>
      <c r="H1681" s="4" t="s">
        <v>27</v>
      </c>
    </row>
    <row r="1682" spans="1:23">
      <c r="A1682" s="23">
        <v>46049</v>
      </c>
      <c r="B1682" s="1" t="s">
        <v>4724</v>
      </c>
      <c r="C1682" s="1" t="s">
        <v>4116</v>
      </c>
      <c r="D1682" s="1" t="s">
        <v>63</v>
      </c>
      <c r="E1682" s="1">
        <v>85015</v>
      </c>
      <c r="F1682" s="1" t="s">
        <v>4725</v>
      </c>
      <c r="G1682" s="1" t="s">
        <v>4609</v>
      </c>
      <c r="H1682" s="4" t="s">
        <v>27</v>
      </c>
    </row>
    <row r="1683" spans="1:23">
      <c r="A1683" s="23">
        <v>46049</v>
      </c>
      <c r="B1683" s="1" t="s">
        <v>4726</v>
      </c>
      <c r="C1683" s="1" t="s">
        <v>911</v>
      </c>
      <c r="D1683" s="1" t="s">
        <v>63</v>
      </c>
      <c r="E1683" s="1">
        <v>85009</v>
      </c>
      <c r="F1683" s="1" t="s">
        <v>4727</v>
      </c>
      <c r="G1683" s="1" t="s">
        <v>4609</v>
      </c>
      <c r="H1683" s="4" t="s">
        <v>4728</v>
      </c>
      <c r="I1683" s="5" t="s">
        <v>36</v>
      </c>
      <c r="J1683" s="5" t="s">
        <v>37</v>
      </c>
      <c r="K1683" s="5" t="s">
        <v>37</v>
      </c>
      <c r="L1683" s="5" t="s">
        <v>38</v>
      </c>
      <c r="M1683" s="5" t="s">
        <v>37</v>
      </c>
      <c r="N1683" s="5" t="s">
        <v>37</v>
      </c>
      <c r="O1683" s="5" t="s">
        <v>38</v>
      </c>
      <c r="P1683" s="5" t="s">
        <v>39</v>
      </c>
      <c r="Q1683" s="2">
        <v>46057</v>
      </c>
    </row>
    <row r="1684" spans="1:23">
      <c r="A1684" s="23">
        <v>46049</v>
      </c>
      <c r="B1684" s="1" t="s">
        <v>4729</v>
      </c>
      <c r="C1684" s="1" t="s">
        <v>4730</v>
      </c>
      <c r="D1684" s="1" t="s">
        <v>63</v>
      </c>
      <c r="E1684" s="1">
        <v>85022</v>
      </c>
      <c r="F1684" s="1" t="s">
        <v>4731</v>
      </c>
      <c r="G1684" s="1" t="s">
        <v>4609</v>
      </c>
      <c r="H1684" s="4" t="s">
        <v>27</v>
      </c>
    </row>
    <row r="1685" spans="1:23">
      <c r="A1685" s="23">
        <v>46049</v>
      </c>
      <c r="B1685" s="1" t="s">
        <v>2482</v>
      </c>
      <c r="C1685" s="1" t="s">
        <v>145</v>
      </c>
      <c r="D1685" s="1" t="s">
        <v>112</v>
      </c>
      <c r="E1685" s="1">
        <v>85374</v>
      </c>
      <c r="F1685" s="1" t="s">
        <v>4732</v>
      </c>
      <c r="G1685" s="1" t="s">
        <v>4609</v>
      </c>
      <c r="H1685" s="4" t="s">
        <v>4733</v>
      </c>
      <c r="I1685" s="5" t="s">
        <v>73</v>
      </c>
      <c r="J1685" s="5" t="s">
        <v>38</v>
      </c>
      <c r="K1685" s="5" t="s">
        <v>37</v>
      </c>
      <c r="L1685" s="5" t="s">
        <v>38</v>
      </c>
      <c r="M1685" s="5" t="s">
        <v>37</v>
      </c>
      <c r="N1685" s="5" t="s">
        <v>37</v>
      </c>
      <c r="O1685" s="5" t="s">
        <v>38</v>
      </c>
      <c r="P1685" s="5" t="s">
        <v>39</v>
      </c>
      <c r="Q1685" s="2">
        <v>46057</v>
      </c>
    </row>
    <row r="1686" spans="1:23">
      <c r="A1686" s="23">
        <v>46049</v>
      </c>
      <c r="B1686" s="1" t="s">
        <v>815</v>
      </c>
      <c r="C1686" s="1" t="s">
        <v>1092</v>
      </c>
      <c r="D1686" s="1" t="s">
        <v>112</v>
      </c>
      <c r="E1686" s="1">
        <v>85379</v>
      </c>
      <c r="F1686" s="1" t="s">
        <v>4734</v>
      </c>
      <c r="G1686" s="1" t="s">
        <v>4609</v>
      </c>
      <c r="H1686" s="4" t="s">
        <v>27</v>
      </c>
    </row>
    <row r="1687" spans="1:23">
      <c r="A1687" s="23">
        <v>46049</v>
      </c>
      <c r="B1687" s="1" t="s">
        <v>1361</v>
      </c>
      <c r="C1687" s="1" t="s">
        <v>363</v>
      </c>
      <c r="D1687" s="1" t="s">
        <v>63</v>
      </c>
      <c r="E1687" s="1">
        <v>85044</v>
      </c>
      <c r="F1687" s="1" t="s">
        <v>4735</v>
      </c>
      <c r="G1687" s="1" t="s">
        <v>4609</v>
      </c>
      <c r="H1687" s="4" t="s">
        <v>27</v>
      </c>
    </row>
    <row r="1688" spans="1:23">
      <c r="A1688" s="23">
        <v>46049</v>
      </c>
      <c r="B1688" s="1" t="s">
        <v>4736</v>
      </c>
      <c r="C1688" s="1" t="s">
        <v>4737</v>
      </c>
      <c r="D1688" s="1" t="s">
        <v>3602</v>
      </c>
      <c r="E1688" s="1">
        <v>86337</v>
      </c>
      <c r="F1688" s="1" t="s">
        <v>4738</v>
      </c>
      <c r="G1688" s="1" t="s">
        <v>4609</v>
      </c>
      <c r="H1688" s="4" t="s">
        <v>4739</v>
      </c>
      <c r="I1688" s="5" t="s">
        <v>36</v>
      </c>
      <c r="J1688" s="5" t="s">
        <v>37</v>
      </c>
      <c r="K1688" s="5" t="s">
        <v>37</v>
      </c>
      <c r="L1688" s="5" t="s">
        <v>38</v>
      </c>
      <c r="M1688" s="5" t="s">
        <v>37</v>
      </c>
      <c r="N1688" s="5" t="s">
        <v>37</v>
      </c>
      <c r="O1688" s="5" t="s">
        <v>38</v>
      </c>
      <c r="P1688" s="5" t="s">
        <v>39</v>
      </c>
      <c r="Q1688" s="2">
        <v>46057</v>
      </c>
    </row>
    <row r="1689" spans="1:23">
      <c r="A1689" s="103">
        <v>46049</v>
      </c>
      <c r="B1689" s="33" t="s">
        <v>4740</v>
      </c>
      <c r="C1689" s="33" t="s">
        <v>307</v>
      </c>
      <c r="D1689" s="33" t="s">
        <v>2361</v>
      </c>
      <c r="E1689" s="33">
        <v>86335</v>
      </c>
      <c r="F1689" s="33" t="s">
        <v>4741</v>
      </c>
      <c r="G1689" s="33" t="s">
        <v>4609</v>
      </c>
      <c r="H1689" s="45" t="s">
        <v>4742</v>
      </c>
      <c r="I1689" s="43" t="s">
        <v>73</v>
      </c>
      <c r="J1689" s="43" t="s">
        <v>37</v>
      </c>
      <c r="K1689" s="43" t="s">
        <v>37</v>
      </c>
      <c r="L1689" s="43" t="s">
        <v>38</v>
      </c>
      <c r="M1689" s="43" t="s">
        <v>37</v>
      </c>
      <c r="N1689" s="43" t="s">
        <v>37</v>
      </c>
      <c r="O1689" s="43" t="s">
        <v>38</v>
      </c>
      <c r="P1689" s="43" t="s">
        <v>39</v>
      </c>
      <c r="Q1689" s="42">
        <v>46057</v>
      </c>
      <c r="R1689" s="33"/>
      <c r="S1689" s="33"/>
      <c r="T1689" s="33"/>
      <c r="U1689" s="33"/>
      <c r="V1689" s="33"/>
      <c r="W1689" s="33"/>
    </row>
    <row r="1690" spans="1:23">
      <c r="A1690" s="103">
        <v>46049</v>
      </c>
      <c r="B1690" s="33" t="s">
        <v>4743</v>
      </c>
      <c r="C1690" s="33" t="s">
        <v>4744</v>
      </c>
      <c r="D1690" s="33" t="s">
        <v>2109</v>
      </c>
      <c r="E1690" s="33">
        <v>86327</v>
      </c>
      <c r="F1690" s="33" t="s">
        <v>4745</v>
      </c>
      <c r="G1690" s="33" t="s">
        <v>4609</v>
      </c>
      <c r="H1690" s="45" t="s">
        <v>4746</v>
      </c>
      <c r="I1690" s="43" t="s">
        <v>36</v>
      </c>
      <c r="J1690" s="43" t="s">
        <v>37</v>
      </c>
      <c r="K1690" s="43" t="s">
        <v>37</v>
      </c>
      <c r="L1690" s="43" t="s">
        <v>4747</v>
      </c>
      <c r="M1690" s="43" t="s">
        <v>37</v>
      </c>
      <c r="N1690" s="43" t="s">
        <v>37</v>
      </c>
      <c r="O1690" s="43" t="s">
        <v>38</v>
      </c>
      <c r="P1690" s="43"/>
      <c r="Q1690" s="42">
        <v>46057</v>
      </c>
      <c r="R1690" s="33" t="s">
        <v>4004</v>
      </c>
      <c r="S1690" s="33"/>
      <c r="T1690" s="33"/>
      <c r="U1690" s="33"/>
      <c r="V1690" s="33"/>
      <c r="W1690" s="33"/>
    </row>
    <row r="1691" spans="1:23">
      <c r="A1691" s="23">
        <v>46049</v>
      </c>
      <c r="B1691" s="1" t="s">
        <v>4748</v>
      </c>
      <c r="C1691" s="1" t="s">
        <v>575</v>
      </c>
      <c r="D1691" s="1" t="s">
        <v>2361</v>
      </c>
      <c r="E1691" s="1">
        <v>86335</v>
      </c>
      <c r="F1691" s="1" t="s">
        <v>4749</v>
      </c>
      <c r="G1691" s="1" t="s">
        <v>4609</v>
      </c>
      <c r="H1691" s="4" t="s">
        <v>90</v>
      </c>
    </row>
    <row r="1692" spans="1:23">
      <c r="A1692" s="23">
        <v>46049</v>
      </c>
      <c r="B1692" s="1" t="s">
        <v>4750</v>
      </c>
      <c r="C1692" s="1" t="s">
        <v>4751</v>
      </c>
      <c r="D1692" s="1" t="s">
        <v>63</v>
      </c>
      <c r="E1692" s="1">
        <v>85006</v>
      </c>
      <c r="F1692" s="1" t="s">
        <v>4752</v>
      </c>
      <c r="G1692" s="1" t="s">
        <v>4609</v>
      </c>
      <c r="H1692" s="4" t="s">
        <v>27</v>
      </c>
    </row>
    <row r="1693" spans="1:23">
      <c r="A1693" s="23">
        <v>46049</v>
      </c>
      <c r="B1693" s="1" t="s">
        <v>4753</v>
      </c>
      <c r="C1693" s="1" t="s">
        <v>1293</v>
      </c>
      <c r="D1693" s="1" t="s">
        <v>169</v>
      </c>
      <c r="E1693" s="1">
        <v>85338</v>
      </c>
      <c r="F1693" s="1" t="s">
        <v>4754</v>
      </c>
      <c r="G1693" s="1" t="s">
        <v>4609</v>
      </c>
      <c r="H1693" s="4" t="s">
        <v>4755</v>
      </c>
      <c r="I1693" s="5" t="s">
        <v>4756</v>
      </c>
      <c r="J1693" s="5" t="s">
        <v>37</v>
      </c>
      <c r="K1693" s="5" t="s">
        <v>37</v>
      </c>
      <c r="L1693" s="5" t="s">
        <v>4079</v>
      </c>
      <c r="M1693" s="5" t="s">
        <v>37</v>
      </c>
      <c r="N1693" s="5" t="s">
        <v>37</v>
      </c>
      <c r="O1693" s="5" t="s">
        <v>38</v>
      </c>
      <c r="P1693" s="5" t="s">
        <v>39</v>
      </c>
      <c r="Q1693" s="2">
        <v>46057</v>
      </c>
    </row>
    <row r="1694" spans="1:23">
      <c r="A1694" s="23">
        <v>46049</v>
      </c>
      <c r="B1694" s="1" t="s">
        <v>3561</v>
      </c>
      <c r="C1694" s="1" t="s">
        <v>4757</v>
      </c>
      <c r="D1694" s="1" t="s">
        <v>63</v>
      </c>
      <c r="E1694" s="1">
        <v>85027</v>
      </c>
      <c r="F1694" s="1" t="s">
        <v>4758</v>
      </c>
      <c r="G1694" s="1" t="s">
        <v>4609</v>
      </c>
      <c r="H1694" s="4" t="s">
        <v>90</v>
      </c>
      <c r="R1694" s="1" t="s">
        <v>4759</v>
      </c>
    </row>
    <row r="1695" spans="1:23">
      <c r="A1695" s="23">
        <v>46049</v>
      </c>
      <c r="B1695" s="1" t="s">
        <v>652</v>
      </c>
      <c r="C1695" s="1" t="s">
        <v>4760</v>
      </c>
      <c r="D1695" s="1" t="s">
        <v>112</v>
      </c>
      <c r="E1695" s="1">
        <v>85379</v>
      </c>
      <c r="F1695" s="1" t="s">
        <v>4761</v>
      </c>
      <c r="G1695" s="1" t="s">
        <v>4609</v>
      </c>
      <c r="H1695" s="4" t="s">
        <v>4762</v>
      </c>
      <c r="I1695" s="5" t="s">
        <v>4756</v>
      </c>
      <c r="J1695" s="5" t="s">
        <v>37</v>
      </c>
      <c r="K1695" s="5" t="s">
        <v>37</v>
      </c>
      <c r="L1695" s="5" t="s">
        <v>4079</v>
      </c>
      <c r="M1695" s="5" t="s">
        <v>37</v>
      </c>
      <c r="N1695" s="5" t="s">
        <v>37</v>
      </c>
      <c r="O1695" s="5" t="s">
        <v>38</v>
      </c>
      <c r="P1695" s="5" t="s">
        <v>39</v>
      </c>
      <c r="Q1695" s="2">
        <v>46057</v>
      </c>
    </row>
    <row r="1696" spans="1:23">
      <c r="A1696" s="103">
        <v>46049</v>
      </c>
      <c r="B1696" s="33" t="s">
        <v>4763</v>
      </c>
      <c r="C1696" s="33" t="s">
        <v>777</v>
      </c>
      <c r="D1696" s="33" t="s">
        <v>63</v>
      </c>
      <c r="E1696" s="33">
        <v>85032</v>
      </c>
      <c r="F1696" s="33" t="s">
        <v>4764</v>
      </c>
      <c r="G1696" s="33" t="s">
        <v>4609</v>
      </c>
      <c r="H1696" s="45" t="s">
        <v>4765</v>
      </c>
      <c r="I1696" s="43" t="s">
        <v>36</v>
      </c>
      <c r="J1696" s="43" t="s">
        <v>38</v>
      </c>
      <c r="K1696" s="43" t="s">
        <v>37</v>
      </c>
      <c r="L1696" s="43" t="s">
        <v>4766</v>
      </c>
      <c r="M1696" s="43" t="s">
        <v>38</v>
      </c>
      <c r="N1696" s="90">
        <v>1183.6600000000001</v>
      </c>
      <c r="O1696" s="43" t="s">
        <v>38</v>
      </c>
      <c r="P1696" s="43"/>
      <c r="Q1696" s="42">
        <v>46057</v>
      </c>
      <c r="R1696" s="33" t="s">
        <v>4534</v>
      </c>
      <c r="S1696" s="33"/>
      <c r="T1696" s="33"/>
      <c r="U1696" s="33"/>
      <c r="V1696" s="33"/>
      <c r="W1696" s="33"/>
    </row>
    <row r="1697" spans="1:23">
      <c r="A1697" s="23">
        <v>46049</v>
      </c>
      <c r="B1697" s="1" t="s">
        <v>4767</v>
      </c>
      <c r="C1697" s="1" t="s">
        <v>4768</v>
      </c>
      <c r="D1697" s="1" t="s">
        <v>619</v>
      </c>
      <c r="E1697" s="1">
        <v>85365</v>
      </c>
      <c r="F1697" s="1" t="s">
        <v>4769</v>
      </c>
      <c r="G1697" s="1" t="s">
        <v>4609</v>
      </c>
      <c r="H1697" s="4" t="s">
        <v>4770</v>
      </c>
      <c r="I1697" s="5" t="s">
        <v>250</v>
      </c>
      <c r="J1697" s="5" t="s">
        <v>37</v>
      </c>
      <c r="K1697" s="5" t="s">
        <v>37</v>
      </c>
      <c r="L1697" s="5" t="s">
        <v>38</v>
      </c>
      <c r="M1697" s="5" t="s">
        <v>37</v>
      </c>
      <c r="N1697" s="5" t="s">
        <v>37</v>
      </c>
      <c r="O1697" s="5" t="s">
        <v>38</v>
      </c>
      <c r="P1697" s="5" t="s">
        <v>39</v>
      </c>
      <c r="Q1697" s="2">
        <v>46057</v>
      </c>
    </row>
    <row r="1698" spans="1:23">
      <c r="A1698" s="103">
        <v>46049</v>
      </c>
      <c r="B1698" s="33" t="s">
        <v>4771</v>
      </c>
      <c r="C1698" s="33" t="s">
        <v>4772</v>
      </c>
      <c r="D1698" s="33" t="s">
        <v>112</v>
      </c>
      <c r="E1698" s="33">
        <v>85387</v>
      </c>
      <c r="F1698" s="33" t="s">
        <v>4773</v>
      </c>
      <c r="G1698" s="33" t="s">
        <v>4609</v>
      </c>
      <c r="H1698" s="45" t="s">
        <v>4774</v>
      </c>
      <c r="I1698" s="43" t="s">
        <v>36</v>
      </c>
      <c r="J1698" s="43" t="s">
        <v>37</v>
      </c>
      <c r="K1698" s="43" t="s">
        <v>37</v>
      </c>
      <c r="L1698" s="43" t="s">
        <v>4419</v>
      </c>
      <c r="M1698" s="43" t="s">
        <v>38</v>
      </c>
      <c r="N1698" s="90">
        <v>361.81</v>
      </c>
      <c r="O1698" s="43" t="s">
        <v>38</v>
      </c>
      <c r="P1698" s="43"/>
      <c r="Q1698" s="42">
        <v>46057</v>
      </c>
      <c r="R1698" s="33" t="s">
        <v>4534</v>
      </c>
      <c r="S1698" s="33"/>
      <c r="T1698" s="33"/>
      <c r="U1698" s="33"/>
      <c r="V1698" s="33"/>
      <c r="W1698" s="33"/>
    </row>
    <row r="1699" spans="1:23">
      <c r="A1699" s="23">
        <v>46049</v>
      </c>
      <c r="B1699" s="1" t="s">
        <v>2727</v>
      </c>
      <c r="C1699" s="1" t="s">
        <v>1628</v>
      </c>
      <c r="D1699" s="1" t="s">
        <v>63</v>
      </c>
      <c r="E1699" s="1">
        <v>85022</v>
      </c>
      <c r="F1699" s="1" t="s">
        <v>4775</v>
      </c>
      <c r="G1699" s="1" t="s">
        <v>4609</v>
      </c>
      <c r="H1699" s="4" t="s">
        <v>4776</v>
      </c>
      <c r="I1699" s="5" t="s">
        <v>36</v>
      </c>
      <c r="J1699" s="5" t="s">
        <v>38</v>
      </c>
      <c r="K1699" s="5" t="s">
        <v>37</v>
      </c>
      <c r="L1699" s="5" t="s">
        <v>4777</v>
      </c>
      <c r="M1699" s="5" t="s">
        <v>37</v>
      </c>
      <c r="N1699" s="5" t="s">
        <v>37</v>
      </c>
      <c r="O1699" s="5" t="s">
        <v>38</v>
      </c>
      <c r="P1699" s="5" t="s">
        <v>39</v>
      </c>
      <c r="Q1699" s="2">
        <v>46057</v>
      </c>
    </row>
    <row r="1700" spans="1:23">
      <c r="A1700" s="103">
        <v>46049</v>
      </c>
      <c r="B1700" s="33" t="s">
        <v>4778</v>
      </c>
      <c r="C1700" s="33" t="s">
        <v>4737</v>
      </c>
      <c r="D1700" s="33" t="s">
        <v>112</v>
      </c>
      <c r="E1700" s="33">
        <v>85387</v>
      </c>
      <c r="F1700" s="33" t="s">
        <v>4779</v>
      </c>
      <c r="G1700" s="33" t="s">
        <v>4609</v>
      </c>
      <c r="H1700" s="45" t="s">
        <v>4780</v>
      </c>
      <c r="I1700" s="43" t="s">
        <v>36</v>
      </c>
      <c r="J1700" s="43" t="s">
        <v>38</v>
      </c>
      <c r="K1700" s="43" t="s">
        <v>37</v>
      </c>
      <c r="L1700" s="43" t="s">
        <v>38</v>
      </c>
      <c r="M1700" s="43" t="s">
        <v>38</v>
      </c>
      <c r="N1700" s="90">
        <v>563.04</v>
      </c>
      <c r="O1700" s="43" t="s">
        <v>38</v>
      </c>
      <c r="P1700" s="43"/>
      <c r="Q1700" s="42">
        <v>46057</v>
      </c>
      <c r="R1700" s="33" t="s">
        <v>4534</v>
      </c>
      <c r="S1700" s="33"/>
      <c r="T1700" s="33"/>
      <c r="U1700" s="33"/>
      <c r="V1700" s="33"/>
      <c r="W1700" s="33"/>
    </row>
    <row r="1701" spans="1:23">
      <c r="A1701" s="23">
        <v>46049</v>
      </c>
      <c r="B1701" s="1" t="s">
        <v>4781</v>
      </c>
      <c r="C1701" s="1" t="s">
        <v>4782</v>
      </c>
      <c r="D1701" s="1" t="s">
        <v>112</v>
      </c>
      <c r="E1701" s="1">
        <v>85387</v>
      </c>
      <c r="F1701" s="1" t="s">
        <v>4783</v>
      </c>
      <c r="G1701" s="1" t="s">
        <v>4609</v>
      </c>
      <c r="H1701" s="4" t="s">
        <v>4784</v>
      </c>
      <c r="I1701" s="5" t="s">
        <v>36</v>
      </c>
      <c r="J1701" s="5" t="s">
        <v>37</v>
      </c>
      <c r="K1701" s="5" t="s">
        <v>37</v>
      </c>
      <c r="L1701" s="5" t="s">
        <v>38</v>
      </c>
      <c r="M1701" s="5" t="s">
        <v>37</v>
      </c>
      <c r="N1701" s="5" t="s">
        <v>37</v>
      </c>
      <c r="O1701" s="5" t="s">
        <v>38</v>
      </c>
      <c r="P1701" s="5" t="s">
        <v>39</v>
      </c>
      <c r="Q1701" s="2">
        <v>46057</v>
      </c>
    </row>
    <row r="1702" spans="1:23">
      <c r="A1702" s="23">
        <v>46049</v>
      </c>
      <c r="B1702" s="1" t="s">
        <v>3383</v>
      </c>
      <c r="C1702" s="1" t="s">
        <v>307</v>
      </c>
      <c r="D1702" s="1" t="s">
        <v>24</v>
      </c>
      <c r="E1702" s="1">
        <v>85304</v>
      </c>
      <c r="F1702" s="1" t="s">
        <v>4785</v>
      </c>
      <c r="G1702" s="1" t="s">
        <v>4609</v>
      </c>
      <c r="H1702" s="4" t="s">
        <v>4786</v>
      </c>
      <c r="I1702" s="5" t="s">
        <v>4787</v>
      </c>
      <c r="J1702" s="5" t="s">
        <v>37</v>
      </c>
      <c r="K1702" s="5" t="s">
        <v>37</v>
      </c>
      <c r="L1702" s="5" t="s">
        <v>38</v>
      </c>
      <c r="M1702" s="5" t="s">
        <v>37</v>
      </c>
      <c r="N1702" s="5" t="s">
        <v>37</v>
      </c>
      <c r="O1702" s="5" t="s">
        <v>38</v>
      </c>
      <c r="P1702" s="5" t="s">
        <v>39</v>
      </c>
      <c r="Q1702" s="2">
        <v>46057</v>
      </c>
    </row>
    <row r="1703" spans="1:23">
      <c r="A1703" s="23">
        <v>46049</v>
      </c>
      <c r="B1703" s="1" t="s">
        <v>4788</v>
      </c>
      <c r="C1703" s="1" t="s">
        <v>230</v>
      </c>
      <c r="D1703" s="1" t="s">
        <v>3111</v>
      </c>
      <c r="E1703" s="1">
        <v>85901</v>
      </c>
      <c r="F1703" s="1" t="s">
        <v>4789</v>
      </c>
      <c r="G1703" s="1" t="s">
        <v>4609</v>
      </c>
      <c r="H1703" s="4" t="s">
        <v>4790</v>
      </c>
      <c r="I1703" s="5" t="s">
        <v>36</v>
      </c>
      <c r="J1703" s="5" t="s">
        <v>37</v>
      </c>
      <c r="K1703" s="5" t="s">
        <v>37</v>
      </c>
      <c r="L1703" s="5" t="s">
        <v>38</v>
      </c>
      <c r="M1703" s="5" t="s">
        <v>37</v>
      </c>
      <c r="N1703" s="5" t="s">
        <v>37</v>
      </c>
      <c r="O1703" s="5" t="s">
        <v>38</v>
      </c>
      <c r="P1703" s="5" t="s">
        <v>39</v>
      </c>
      <c r="Q1703" s="2">
        <v>46057</v>
      </c>
    </row>
    <row r="1704" spans="1:23">
      <c r="A1704" s="23">
        <v>46049</v>
      </c>
      <c r="B1704" s="1" t="s">
        <v>558</v>
      </c>
      <c r="C1704" s="1" t="s">
        <v>4791</v>
      </c>
      <c r="D1704" s="1" t="s">
        <v>112</v>
      </c>
      <c r="E1704" s="1">
        <v>85388</v>
      </c>
      <c r="F1704" s="1" t="s">
        <v>4792</v>
      </c>
      <c r="G1704" s="1" t="s">
        <v>4609</v>
      </c>
      <c r="H1704" s="4" t="s">
        <v>4793</v>
      </c>
      <c r="I1704" s="5" t="s">
        <v>36</v>
      </c>
      <c r="J1704" s="5" t="s">
        <v>37</v>
      </c>
      <c r="K1704" s="5" t="s">
        <v>37</v>
      </c>
      <c r="L1704" s="5" t="s">
        <v>38</v>
      </c>
      <c r="M1704" s="5" t="s">
        <v>37</v>
      </c>
      <c r="N1704" s="5" t="s">
        <v>37</v>
      </c>
      <c r="O1704" s="5" t="s">
        <v>38</v>
      </c>
      <c r="P1704" s="5" t="s">
        <v>39</v>
      </c>
      <c r="Q1704" s="2">
        <v>46057</v>
      </c>
    </row>
    <row r="1705" spans="1:23">
      <c r="A1705" s="23">
        <v>46049</v>
      </c>
      <c r="B1705" s="1" t="s">
        <v>4794</v>
      </c>
      <c r="C1705" s="1" t="s">
        <v>4457</v>
      </c>
      <c r="D1705" s="1" t="s">
        <v>523</v>
      </c>
      <c r="E1705" s="1">
        <v>85323</v>
      </c>
      <c r="F1705" s="1" t="s">
        <v>4795</v>
      </c>
      <c r="G1705" s="1" t="s">
        <v>4609</v>
      </c>
      <c r="H1705" s="4" t="s">
        <v>27</v>
      </c>
    </row>
    <row r="1706" spans="1:23">
      <c r="A1706" s="23">
        <v>46049</v>
      </c>
      <c r="B1706" s="1" t="s">
        <v>4796</v>
      </c>
      <c r="C1706" s="1" t="s">
        <v>575</v>
      </c>
      <c r="D1706" s="1" t="s">
        <v>89</v>
      </c>
      <c r="E1706" s="1">
        <v>86336</v>
      </c>
      <c r="F1706" s="1" t="s">
        <v>4797</v>
      </c>
      <c r="G1706" s="1" t="s">
        <v>4609</v>
      </c>
      <c r="H1706" s="4" t="s">
        <v>27</v>
      </c>
    </row>
    <row r="1707" spans="1:23">
      <c r="A1707" s="23">
        <v>46049</v>
      </c>
      <c r="B1707" s="1" t="s">
        <v>4798</v>
      </c>
      <c r="C1707" s="1" t="s">
        <v>75</v>
      </c>
      <c r="D1707" s="1" t="s">
        <v>24</v>
      </c>
      <c r="E1707" s="1">
        <v>85308</v>
      </c>
      <c r="F1707" s="1" t="s">
        <v>4799</v>
      </c>
      <c r="G1707" s="1" t="s">
        <v>4609</v>
      </c>
      <c r="H1707" s="4" t="s">
        <v>4800</v>
      </c>
      <c r="I1707" s="5" t="s">
        <v>36</v>
      </c>
      <c r="J1707" s="5" t="s">
        <v>37</v>
      </c>
      <c r="K1707" s="5" t="s">
        <v>37</v>
      </c>
      <c r="L1707" s="5" t="s">
        <v>38</v>
      </c>
      <c r="M1707" s="5" t="s">
        <v>37</v>
      </c>
      <c r="N1707" s="5" t="s">
        <v>37</v>
      </c>
      <c r="O1707" s="5" t="s">
        <v>38</v>
      </c>
      <c r="P1707" s="5" t="s">
        <v>39</v>
      </c>
      <c r="Q1707" s="2">
        <v>46057</v>
      </c>
    </row>
    <row r="1708" spans="1:23">
      <c r="A1708" s="23">
        <v>46049</v>
      </c>
      <c r="B1708" s="1" t="s">
        <v>1776</v>
      </c>
      <c r="C1708" s="1" t="s">
        <v>307</v>
      </c>
      <c r="D1708" s="1" t="s">
        <v>4801</v>
      </c>
      <c r="E1708" s="1">
        <v>85363</v>
      </c>
      <c r="F1708" s="1" t="s">
        <v>4802</v>
      </c>
      <c r="G1708" s="1" t="s">
        <v>4609</v>
      </c>
      <c r="H1708" s="4" t="s">
        <v>27</v>
      </c>
    </row>
    <row r="1709" spans="1:23">
      <c r="A1709" s="23">
        <v>46049</v>
      </c>
      <c r="B1709" s="1" t="s">
        <v>4803</v>
      </c>
      <c r="C1709" s="1" t="s">
        <v>2675</v>
      </c>
      <c r="D1709" s="1" t="s">
        <v>261</v>
      </c>
      <c r="E1709" s="1">
        <v>86315</v>
      </c>
      <c r="F1709" s="1" t="s">
        <v>4804</v>
      </c>
      <c r="G1709" s="1" t="s">
        <v>4609</v>
      </c>
      <c r="H1709" s="4" t="s">
        <v>27</v>
      </c>
    </row>
    <row r="1710" spans="1:23">
      <c r="A1710" s="103">
        <v>46049</v>
      </c>
      <c r="B1710" s="33" t="s">
        <v>4805</v>
      </c>
      <c r="C1710" s="33" t="s">
        <v>225</v>
      </c>
      <c r="D1710" s="33" t="s">
        <v>63</v>
      </c>
      <c r="E1710" s="33">
        <v>85053</v>
      </c>
      <c r="F1710" s="33" t="s">
        <v>4806</v>
      </c>
      <c r="G1710" s="33" t="s">
        <v>4609</v>
      </c>
      <c r="H1710" s="45" t="s">
        <v>4807</v>
      </c>
      <c r="I1710" s="43" t="s">
        <v>196</v>
      </c>
      <c r="J1710" s="43" t="s">
        <v>38</v>
      </c>
      <c r="K1710" s="43" t="s">
        <v>37</v>
      </c>
      <c r="L1710" s="43" t="s">
        <v>38</v>
      </c>
      <c r="M1710" s="43" t="s">
        <v>38</v>
      </c>
      <c r="N1710" s="90">
        <v>4114.0200000000004</v>
      </c>
      <c r="O1710" s="43" t="s">
        <v>38</v>
      </c>
      <c r="P1710" s="43"/>
      <c r="Q1710" s="42">
        <v>46057</v>
      </c>
      <c r="R1710" s="33" t="s">
        <v>4534</v>
      </c>
      <c r="S1710" s="33"/>
      <c r="T1710" s="33"/>
      <c r="U1710" s="33"/>
      <c r="V1710" s="33"/>
      <c r="W1710" s="33"/>
    </row>
    <row r="1711" spans="1:23">
      <c r="A1711" s="23">
        <v>46049</v>
      </c>
      <c r="B1711" s="1" t="s">
        <v>4644</v>
      </c>
      <c r="C1711" s="1" t="s">
        <v>153</v>
      </c>
      <c r="D1711" s="1" t="s">
        <v>93</v>
      </c>
      <c r="E1711" s="1">
        <v>85351</v>
      </c>
      <c r="F1711" s="1" t="s">
        <v>4808</v>
      </c>
      <c r="G1711" s="1" t="s">
        <v>4609</v>
      </c>
      <c r="H1711" s="4" t="s">
        <v>4809</v>
      </c>
      <c r="I1711" s="5" t="s">
        <v>541</v>
      </c>
      <c r="J1711" s="5" t="s">
        <v>37</v>
      </c>
      <c r="K1711" s="5" t="s">
        <v>37</v>
      </c>
      <c r="L1711" s="5" t="s">
        <v>4079</v>
      </c>
      <c r="M1711" s="5" t="s">
        <v>37</v>
      </c>
      <c r="N1711" s="5" t="s">
        <v>37</v>
      </c>
      <c r="O1711" s="5" t="s">
        <v>38</v>
      </c>
      <c r="P1711" s="5" t="s">
        <v>39</v>
      </c>
      <c r="Q1711" s="2">
        <v>46057</v>
      </c>
    </row>
    <row r="1712" spans="1:23">
      <c r="A1712" s="23">
        <v>46049</v>
      </c>
      <c r="B1712" s="1" t="s">
        <v>4810</v>
      </c>
      <c r="C1712" s="1" t="s">
        <v>131</v>
      </c>
      <c r="D1712" s="1" t="s">
        <v>63</v>
      </c>
      <c r="E1712" s="1">
        <v>85029</v>
      </c>
      <c r="F1712" s="1" t="s">
        <v>4811</v>
      </c>
      <c r="G1712" s="1" t="s">
        <v>4609</v>
      </c>
      <c r="H1712" s="4" t="s">
        <v>27</v>
      </c>
    </row>
    <row r="1713" spans="1:23">
      <c r="A1713" s="103">
        <v>46049</v>
      </c>
      <c r="B1713" s="33" t="s">
        <v>4812</v>
      </c>
      <c r="C1713" s="33" t="s">
        <v>320</v>
      </c>
      <c r="D1713" s="33" t="s">
        <v>504</v>
      </c>
      <c r="E1713" s="33">
        <v>86004</v>
      </c>
      <c r="F1713" s="111" t="s">
        <v>4813</v>
      </c>
      <c r="G1713" s="33" t="s">
        <v>4609</v>
      </c>
      <c r="H1713" s="45" t="s">
        <v>4814</v>
      </c>
      <c r="I1713" s="43" t="s">
        <v>196</v>
      </c>
      <c r="J1713" s="43" t="s">
        <v>38</v>
      </c>
      <c r="K1713" s="43" t="s">
        <v>37</v>
      </c>
      <c r="L1713" s="43" t="s">
        <v>4548</v>
      </c>
      <c r="M1713" s="43" t="s">
        <v>38</v>
      </c>
      <c r="N1713" s="90">
        <v>325</v>
      </c>
      <c r="O1713" s="43" t="s">
        <v>38</v>
      </c>
      <c r="P1713" s="43"/>
      <c r="Q1713" s="42">
        <v>46057</v>
      </c>
      <c r="R1713" s="33" t="s">
        <v>4534</v>
      </c>
      <c r="S1713" s="33"/>
      <c r="T1713" s="33"/>
      <c r="U1713" s="33"/>
      <c r="V1713" s="33"/>
      <c r="W1713" s="33"/>
    </row>
    <row r="1714" spans="1:23">
      <c r="A1714" s="23">
        <v>46049</v>
      </c>
      <c r="B1714" s="1" t="s">
        <v>3020</v>
      </c>
      <c r="C1714" s="1" t="s">
        <v>887</v>
      </c>
      <c r="D1714" s="1" t="s">
        <v>659</v>
      </c>
      <c r="E1714" s="1">
        <v>85350</v>
      </c>
      <c r="F1714" s="1" t="s">
        <v>4815</v>
      </c>
      <c r="G1714" s="1" t="s">
        <v>4609</v>
      </c>
      <c r="H1714" s="4" t="s">
        <v>27</v>
      </c>
    </row>
    <row r="1715" spans="1:23">
      <c r="A1715" s="23">
        <v>46049</v>
      </c>
      <c r="B1715" s="1" t="s">
        <v>4816</v>
      </c>
      <c r="C1715" s="1" t="s">
        <v>575</v>
      </c>
      <c r="D1715" s="1" t="s">
        <v>816</v>
      </c>
      <c r="E1715" s="1">
        <v>86303</v>
      </c>
      <c r="F1715" s="1" t="s">
        <v>4817</v>
      </c>
      <c r="G1715" s="1" t="s">
        <v>4609</v>
      </c>
      <c r="H1715" s="4" t="s">
        <v>4818</v>
      </c>
      <c r="I1715" s="5" t="s">
        <v>73</v>
      </c>
      <c r="J1715" s="5" t="s">
        <v>37</v>
      </c>
      <c r="K1715" s="5" t="s">
        <v>37</v>
      </c>
      <c r="L1715" s="5" t="s">
        <v>38</v>
      </c>
      <c r="M1715" s="5" t="s">
        <v>37</v>
      </c>
      <c r="N1715" s="5" t="s">
        <v>37</v>
      </c>
      <c r="O1715" s="5" t="s">
        <v>38</v>
      </c>
      <c r="P1715" s="5" t="s">
        <v>39</v>
      </c>
      <c r="Q1715" s="2">
        <v>46057</v>
      </c>
    </row>
    <row r="1716" spans="1:23">
      <c r="A1716" s="23">
        <v>46049</v>
      </c>
      <c r="B1716" s="1" t="s">
        <v>3561</v>
      </c>
      <c r="C1716" s="1" t="s">
        <v>4819</v>
      </c>
      <c r="D1716" s="1" t="s">
        <v>63</v>
      </c>
      <c r="E1716" s="1">
        <v>85032</v>
      </c>
      <c r="F1716" s="1" t="s">
        <v>4820</v>
      </c>
      <c r="G1716" s="1" t="s">
        <v>4609</v>
      </c>
      <c r="H1716" s="4" t="s">
        <v>4821</v>
      </c>
      <c r="I1716" s="5" t="s">
        <v>36</v>
      </c>
      <c r="J1716" s="5" t="s">
        <v>38</v>
      </c>
      <c r="K1716" s="5" t="s">
        <v>37</v>
      </c>
      <c r="L1716" s="5" t="s">
        <v>38</v>
      </c>
      <c r="M1716" s="5" t="s">
        <v>37</v>
      </c>
      <c r="N1716" s="5" t="s">
        <v>37</v>
      </c>
      <c r="O1716" s="5" t="s">
        <v>38</v>
      </c>
      <c r="P1716" s="5" t="s">
        <v>39</v>
      </c>
      <c r="Q1716" s="2">
        <v>46057</v>
      </c>
      <c r="R1716" s="1" t="s">
        <v>4759</v>
      </c>
    </row>
    <row r="1717" spans="1:23">
      <c r="A1717" s="23">
        <v>46049</v>
      </c>
      <c r="B1717" s="1" t="s">
        <v>4822</v>
      </c>
      <c r="C1717" s="1" t="s">
        <v>4823</v>
      </c>
      <c r="D1717" s="1" t="s">
        <v>169</v>
      </c>
      <c r="E1717" s="1">
        <v>85338</v>
      </c>
      <c r="F1717" s="1" t="s">
        <v>4824</v>
      </c>
      <c r="G1717" s="1" t="s">
        <v>4609</v>
      </c>
      <c r="H1717" s="4" t="s">
        <v>90</v>
      </c>
    </row>
    <row r="1718" spans="1:23">
      <c r="A1718" s="23">
        <v>46049</v>
      </c>
      <c r="B1718" s="1" t="s">
        <v>4825</v>
      </c>
      <c r="C1718" s="1" t="s">
        <v>4826</v>
      </c>
      <c r="D1718" s="1" t="s">
        <v>63</v>
      </c>
      <c r="E1718" s="1">
        <v>85029</v>
      </c>
      <c r="F1718" s="1" t="s">
        <v>4827</v>
      </c>
      <c r="G1718" s="1" t="s">
        <v>4609</v>
      </c>
      <c r="H1718" s="4" t="s">
        <v>4828</v>
      </c>
      <c r="I1718" s="5" t="s">
        <v>73</v>
      </c>
      <c r="J1718" s="5" t="s">
        <v>37</v>
      </c>
      <c r="K1718" s="5" t="s">
        <v>37</v>
      </c>
      <c r="L1718" s="5" t="s">
        <v>38</v>
      </c>
      <c r="M1718" s="5" t="s">
        <v>37</v>
      </c>
      <c r="N1718" s="5" t="s">
        <v>37</v>
      </c>
      <c r="O1718" s="5" t="s">
        <v>38</v>
      </c>
      <c r="P1718" s="5" t="s">
        <v>39</v>
      </c>
      <c r="Q1718" s="2">
        <v>46057</v>
      </c>
    </row>
    <row r="1719" spans="1:23">
      <c r="A1719" s="23">
        <v>46049</v>
      </c>
      <c r="B1719" s="1" t="s">
        <v>3765</v>
      </c>
      <c r="C1719" s="1" t="s">
        <v>4829</v>
      </c>
      <c r="D1719" s="1" t="s">
        <v>63</v>
      </c>
      <c r="E1719" s="1">
        <v>85050</v>
      </c>
      <c r="F1719" s="1" t="s">
        <v>4830</v>
      </c>
      <c r="G1719" s="1" t="s">
        <v>4609</v>
      </c>
      <c r="H1719" s="4" t="s">
        <v>27</v>
      </c>
    </row>
    <row r="1720" spans="1:23">
      <c r="A1720" s="23">
        <v>46049</v>
      </c>
      <c r="B1720" s="1" t="s">
        <v>4831</v>
      </c>
      <c r="C1720" s="1" t="s">
        <v>556</v>
      </c>
      <c r="D1720" s="1" t="s">
        <v>169</v>
      </c>
      <c r="E1720" s="1">
        <v>85395</v>
      </c>
      <c r="F1720" s="1" t="s">
        <v>4832</v>
      </c>
      <c r="G1720" s="1" t="s">
        <v>4609</v>
      </c>
      <c r="H1720" s="4" t="s">
        <v>4833</v>
      </c>
      <c r="I1720" s="5" t="s">
        <v>541</v>
      </c>
      <c r="J1720" s="5" t="s">
        <v>37</v>
      </c>
      <c r="K1720" s="5" t="s">
        <v>37</v>
      </c>
      <c r="L1720" s="5" t="s">
        <v>4079</v>
      </c>
      <c r="M1720" s="5" t="s">
        <v>4834</v>
      </c>
      <c r="N1720" s="5" t="s">
        <v>37</v>
      </c>
      <c r="O1720" s="5" t="s">
        <v>38</v>
      </c>
      <c r="P1720" s="5" t="s">
        <v>39</v>
      </c>
      <c r="Q1720" s="2">
        <v>45692</v>
      </c>
    </row>
    <row r="1721" spans="1:23">
      <c r="A1721" s="23">
        <v>46049</v>
      </c>
      <c r="B1721" s="1" t="s">
        <v>3012</v>
      </c>
      <c r="C1721" s="1" t="s">
        <v>4835</v>
      </c>
      <c r="D1721" s="1" t="s">
        <v>169</v>
      </c>
      <c r="E1721" s="1">
        <v>85395</v>
      </c>
      <c r="F1721" s="1" t="s">
        <v>4836</v>
      </c>
      <c r="G1721" s="1" t="s">
        <v>4609</v>
      </c>
      <c r="H1721" s="4" t="s">
        <v>4837</v>
      </c>
      <c r="I1721" s="5" t="s">
        <v>196</v>
      </c>
      <c r="J1721" s="5" t="s">
        <v>37</v>
      </c>
      <c r="K1721" s="5" t="s">
        <v>37</v>
      </c>
      <c r="L1721" s="5" t="s">
        <v>38</v>
      </c>
      <c r="M1721" s="5" t="s">
        <v>37</v>
      </c>
      <c r="N1721" s="5" t="s">
        <v>37</v>
      </c>
      <c r="O1721" s="5" t="s">
        <v>38</v>
      </c>
      <c r="P1721" s="5" t="s">
        <v>39</v>
      </c>
      <c r="Q1721" s="2">
        <v>46057</v>
      </c>
    </row>
    <row r="1722" spans="1:23">
      <c r="A1722" s="23">
        <v>46049</v>
      </c>
      <c r="B1722" s="1" t="s">
        <v>4838</v>
      </c>
      <c r="C1722" s="1" t="s">
        <v>486</v>
      </c>
      <c r="D1722" s="1" t="s">
        <v>923</v>
      </c>
      <c r="E1722" s="1">
        <v>85501</v>
      </c>
      <c r="F1722" s="1" t="s">
        <v>4839</v>
      </c>
      <c r="G1722" s="1" t="s">
        <v>4609</v>
      </c>
      <c r="H1722" s="4" t="s">
        <v>4840</v>
      </c>
      <c r="I1722" s="5" t="s">
        <v>73</v>
      </c>
      <c r="J1722" s="5" t="s">
        <v>37</v>
      </c>
      <c r="K1722" s="5" t="s">
        <v>37</v>
      </c>
      <c r="L1722" s="5" t="s">
        <v>38</v>
      </c>
      <c r="M1722" s="5" t="s">
        <v>37</v>
      </c>
      <c r="N1722" s="5" t="s">
        <v>37</v>
      </c>
      <c r="O1722" s="5" t="s">
        <v>38</v>
      </c>
      <c r="P1722" s="5" t="s">
        <v>39</v>
      </c>
      <c r="Q1722" s="2">
        <v>46057</v>
      </c>
    </row>
    <row r="1723" spans="1:23">
      <c r="A1723" s="23">
        <v>46049</v>
      </c>
      <c r="B1723" s="1" t="s">
        <v>3002</v>
      </c>
      <c r="C1723" s="1" t="s">
        <v>225</v>
      </c>
      <c r="D1723" s="1" t="s">
        <v>24</v>
      </c>
      <c r="E1723" s="1">
        <v>85304</v>
      </c>
      <c r="F1723" s="1" t="s">
        <v>4841</v>
      </c>
      <c r="G1723" s="1" t="s">
        <v>4609</v>
      </c>
      <c r="H1723" s="4" t="s">
        <v>4842</v>
      </c>
      <c r="I1723" s="5" t="s">
        <v>4214</v>
      </c>
      <c r="J1723" s="5" t="s">
        <v>38</v>
      </c>
      <c r="K1723" s="5" t="s">
        <v>37</v>
      </c>
      <c r="L1723" s="5" t="s">
        <v>4079</v>
      </c>
      <c r="M1723" s="5" t="s">
        <v>37</v>
      </c>
      <c r="N1723" s="5" t="s">
        <v>37</v>
      </c>
      <c r="O1723" s="5" t="s">
        <v>38</v>
      </c>
      <c r="P1723" s="5" t="s">
        <v>39</v>
      </c>
      <c r="Q1723" s="2">
        <v>46057</v>
      </c>
    </row>
    <row r="1724" spans="1:23">
      <c r="A1724" s="23">
        <v>46049</v>
      </c>
      <c r="B1724" s="1" t="s">
        <v>3012</v>
      </c>
      <c r="C1724" s="1" t="s">
        <v>4843</v>
      </c>
      <c r="D1724" s="1" t="s">
        <v>63</v>
      </c>
      <c r="E1724" s="1">
        <v>85032</v>
      </c>
      <c r="F1724" s="1" t="s">
        <v>4844</v>
      </c>
      <c r="G1724" s="1" t="s">
        <v>4609</v>
      </c>
      <c r="H1724" s="4" t="s">
        <v>90</v>
      </c>
      <c r="R1724" s="1" t="s">
        <v>4759</v>
      </c>
    </row>
    <row r="1725" spans="1:23">
      <c r="A1725" s="103">
        <v>46049</v>
      </c>
      <c r="B1725" s="33" t="s">
        <v>4845</v>
      </c>
      <c r="C1725" s="33" t="s">
        <v>184</v>
      </c>
      <c r="D1725" s="33" t="s">
        <v>125</v>
      </c>
      <c r="E1725" s="33">
        <v>85254</v>
      </c>
      <c r="F1725" s="33" t="s">
        <v>4846</v>
      </c>
      <c r="G1725" s="33" t="s">
        <v>4609</v>
      </c>
      <c r="H1725" s="45" t="s">
        <v>4847</v>
      </c>
      <c r="I1725" s="43" t="s">
        <v>196</v>
      </c>
      <c r="J1725" s="43" t="s">
        <v>37</v>
      </c>
      <c r="K1725" s="43" t="s">
        <v>37</v>
      </c>
      <c r="L1725" s="43" t="s">
        <v>4848</v>
      </c>
      <c r="M1725" s="43" t="s">
        <v>37</v>
      </c>
      <c r="N1725" s="43" t="s">
        <v>37</v>
      </c>
      <c r="O1725" s="43" t="s">
        <v>38</v>
      </c>
      <c r="P1725" s="43"/>
      <c r="Q1725" s="42">
        <v>46057</v>
      </c>
      <c r="R1725" s="33" t="s">
        <v>4004</v>
      </c>
      <c r="S1725" s="33"/>
      <c r="T1725" s="33"/>
      <c r="U1725" s="33"/>
      <c r="V1725" s="33"/>
      <c r="W1725" s="33"/>
    </row>
    <row r="1726" spans="1:23">
      <c r="A1726" s="23">
        <v>46049</v>
      </c>
      <c r="B1726" s="1" t="s">
        <v>4849</v>
      </c>
      <c r="C1726" s="1" t="s">
        <v>4850</v>
      </c>
      <c r="D1726" s="1" t="s">
        <v>202</v>
      </c>
      <c r="E1726" s="1">
        <v>85345</v>
      </c>
      <c r="F1726" s="1" t="s">
        <v>4851</v>
      </c>
      <c r="G1726" s="1" t="s">
        <v>4609</v>
      </c>
      <c r="H1726" s="4" t="s">
        <v>4852</v>
      </c>
      <c r="I1726" s="5" t="s">
        <v>541</v>
      </c>
      <c r="J1726" s="5" t="s">
        <v>37</v>
      </c>
      <c r="K1726" s="5" t="s">
        <v>37</v>
      </c>
      <c r="L1726" s="5" t="s">
        <v>4079</v>
      </c>
      <c r="M1726" s="5" t="s">
        <v>37</v>
      </c>
      <c r="N1726" s="5" t="s">
        <v>37</v>
      </c>
      <c r="O1726" s="5" t="s">
        <v>38</v>
      </c>
      <c r="P1726" s="5" t="s">
        <v>39</v>
      </c>
      <c r="Q1726" s="2">
        <v>46057</v>
      </c>
    </row>
    <row r="1727" spans="1:23">
      <c r="A1727" s="23">
        <v>46049</v>
      </c>
      <c r="B1727" s="1" t="s">
        <v>4853</v>
      </c>
      <c r="C1727" s="1" t="s">
        <v>4854</v>
      </c>
      <c r="D1727" s="1" t="s">
        <v>63</v>
      </c>
      <c r="E1727" s="1">
        <v>85029</v>
      </c>
      <c r="F1727" s="1" t="s">
        <v>4855</v>
      </c>
      <c r="G1727" s="1" t="s">
        <v>4609</v>
      </c>
      <c r="H1727" s="4" t="s">
        <v>27</v>
      </c>
    </row>
    <row r="1728" spans="1:23">
      <c r="A1728" s="23">
        <v>46049</v>
      </c>
      <c r="B1728" s="1" t="s">
        <v>4856</v>
      </c>
      <c r="C1728" s="1" t="s">
        <v>4857</v>
      </c>
      <c r="D1728" s="1" t="s">
        <v>2361</v>
      </c>
      <c r="E1728" s="1">
        <v>86335</v>
      </c>
      <c r="F1728" s="1" t="s">
        <v>4858</v>
      </c>
      <c r="G1728" s="1" t="s">
        <v>4609</v>
      </c>
      <c r="H1728" s="4" t="s">
        <v>4859</v>
      </c>
      <c r="I1728" s="5" t="s">
        <v>196</v>
      </c>
      <c r="J1728" s="5" t="s">
        <v>37</v>
      </c>
      <c r="K1728" s="5" t="s">
        <v>37</v>
      </c>
      <c r="L1728" s="5" t="s">
        <v>4860</v>
      </c>
      <c r="M1728" s="5" t="s">
        <v>37</v>
      </c>
      <c r="N1728" s="5" t="s">
        <v>37</v>
      </c>
      <c r="O1728" s="5" t="s">
        <v>38</v>
      </c>
      <c r="P1728" s="5" t="s">
        <v>39</v>
      </c>
      <c r="Q1728" s="2">
        <v>46057</v>
      </c>
    </row>
    <row r="1729" spans="1:23">
      <c r="A1729" s="23">
        <v>46049</v>
      </c>
      <c r="B1729" s="1" t="s">
        <v>4861</v>
      </c>
      <c r="C1729" s="1" t="s">
        <v>2380</v>
      </c>
      <c r="D1729" s="1" t="s">
        <v>63</v>
      </c>
      <c r="E1729" s="1">
        <v>85022</v>
      </c>
      <c r="F1729" s="1" t="s">
        <v>4862</v>
      </c>
      <c r="G1729" s="1" t="s">
        <v>4609</v>
      </c>
      <c r="H1729" s="4" t="s">
        <v>4863</v>
      </c>
      <c r="I1729" s="5" t="s">
        <v>4214</v>
      </c>
      <c r="J1729" s="5" t="s">
        <v>37</v>
      </c>
      <c r="K1729" s="5" t="s">
        <v>37</v>
      </c>
      <c r="L1729" s="5" t="s">
        <v>4079</v>
      </c>
      <c r="M1729" s="5" t="s">
        <v>37</v>
      </c>
      <c r="N1729" s="5" t="s">
        <v>37</v>
      </c>
      <c r="O1729" s="5" t="s">
        <v>38</v>
      </c>
      <c r="P1729" s="5" t="s">
        <v>39</v>
      </c>
      <c r="Q1729" s="2">
        <v>46057</v>
      </c>
    </row>
    <row r="1730" spans="1:23">
      <c r="A1730" s="103">
        <v>46049</v>
      </c>
      <c r="B1730" s="33" t="s">
        <v>3124</v>
      </c>
      <c r="C1730" s="33" t="s">
        <v>399</v>
      </c>
      <c r="D1730" s="33" t="s">
        <v>264</v>
      </c>
      <c r="E1730" s="33">
        <v>85541</v>
      </c>
      <c r="F1730" s="33" t="s">
        <v>4864</v>
      </c>
      <c r="G1730" s="33" t="s">
        <v>4609</v>
      </c>
      <c r="H1730" s="45" t="s">
        <v>4865</v>
      </c>
      <c r="I1730" s="43" t="s">
        <v>196</v>
      </c>
      <c r="J1730" s="43" t="s">
        <v>37</v>
      </c>
      <c r="K1730" s="43" t="s">
        <v>37</v>
      </c>
      <c r="L1730" s="43" t="s">
        <v>4866</v>
      </c>
      <c r="M1730" s="43" t="s">
        <v>37</v>
      </c>
      <c r="N1730" s="43" t="s">
        <v>37</v>
      </c>
      <c r="O1730" s="43" t="s">
        <v>38</v>
      </c>
      <c r="P1730" s="43"/>
      <c r="Q1730" s="42">
        <v>46057</v>
      </c>
      <c r="R1730" s="33" t="s">
        <v>4004</v>
      </c>
      <c r="S1730" s="33"/>
      <c r="T1730" s="33"/>
      <c r="U1730" s="33"/>
      <c r="V1730" s="33"/>
      <c r="W1730" s="33"/>
    </row>
    <row r="1731" spans="1:23">
      <c r="A1731" s="23">
        <v>46049</v>
      </c>
      <c r="B1731" s="1" t="s">
        <v>4867</v>
      </c>
      <c r="C1731" s="1" t="s">
        <v>2454</v>
      </c>
      <c r="D1731" s="1" t="s">
        <v>63</v>
      </c>
      <c r="E1731" s="1">
        <v>85053</v>
      </c>
      <c r="F1731" s="1" t="s">
        <v>4868</v>
      </c>
      <c r="G1731" s="1" t="s">
        <v>4609</v>
      </c>
      <c r="H1731" s="4" t="s">
        <v>4869</v>
      </c>
      <c r="I1731" s="5" t="s">
        <v>46</v>
      </c>
      <c r="J1731" s="5" t="s">
        <v>37</v>
      </c>
      <c r="K1731" s="5" t="s">
        <v>37</v>
      </c>
      <c r="L1731" s="5" t="s">
        <v>38</v>
      </c>
      <c r="M1731" s="5" t="s">
        <v>37</v>
      </c>
      <c r="N1731" s="5" t="s">
        <v>37</v>
      </c>
      <c r="O1731" s="5" t="s">
        <v>38</v>
      </c>
      <c r="P1731" s="5" t="s">
        <v>39</v>
      </c>
      <c r="Q1731" s="2">
        <v>46057</v>
      </c>
    </row>
    <row r="1732" spans="1:23">
      <c r="A1732" s="23">
        <v>46049</v>
      </c>
      <c r="B1732" s="1" t="s">
        <v>4870</v>
      </c>
      <c r="C1732" s="1" t="s">
        <v>4871</v>
      </c>
      <c r="D1732" s="1" t="s">
        <v>202</v>
      </c>
      <c r="E1732" s="1">
        <v>85345</v>
      </c>
      <c r="F1732" s="1" t="s">
        <v>4872</v>
      </c>
      <c r="G1732" s="1" t="s">
        <v>4609</v>
      </c>
      <c r="H1732" s="4" t="s">
        <v>4873</v>
      </c>
      <c r="I1732" s="5" t="s">
        <v>4214</v>
      </c>
      <c r="J1732" s="5" t="s">
        <v>37</v>
      </c>
      <c r="K1732" s="5" t="s">
        <v>37</v>
      </c>
      <c r="L1732" s="5" t="s">
        <v>4079</v>
      </c>
      <c r="M1732" s="5" t="s">
        <v>37</v>
      </c>
      <c r="N1732" s="5" t="s">
        <v>37</v>
      </c>
      <c r="O1732" s="5" t="s">
        <v>38</v>
      </c>
      <c r="P1732" s="5" t="s">
        <v>39</v>
      </c>
      <c r="Q1732" s="2">
        <v>46057</v>
      </c>
    </row>
    <row r="1733" spans="1:23">
      <c r="A1733" s="23">
        <v>46049</v>
      </c>
      <c r="B1733" s="1" t="s">
        <v>4874</v>
      </c>
      <c r="C1733" s="1" t="s">
        <v>117</v>
      </c>
      <c r="D1733" s="1" t="s">
        <v>63</v>
      </c>
      <c r="E1733" s="1">
        <v>85032</v>
      </c>
      <c r="F1733" s="1" t="s">
        <v>4875</v>
      </c>
      <c r="G1733" s="1" t="s">
        <v>4609</v>
      </c>
      <c r="H1733" s="4" t="s">
        <v>4876</v>
      </c>
      <c r="I1733" s="5" t="s">
        <v>36</v>
      </c>
      <c r="J1733" s="5" t="s">
        <v>37</v>
      </c>
      <c r="K1733" s="5" t="s">
        <v>37</v>
      </c>
      <c r="L1733" s="5" t="s">
        <v>38</v>
      </c>
      <c r="M1733" s="5" t="s">
        <v>37</v>
      </c>
      <c r="N1733" s="5" t="s">
        <v>37</v>
      </c>
      <c r="O1733" s="5" t="s">
        <v>38</v>
      </c>
      <c r="P1733" s="5" t="s">
        <v>39</v>
      </c>
      <c r="Q1733" s="2">
        <v>46057</v>
      </c>
    </row>
    <row r="1734" spans="1:23">
      <c r="A1734" s="23">
        <v>46049</v>
      </c>
      <c r="B1734" s="1" t="s">
        <v>4877</v>
      </c>
      <c r="C1734" s="1" t="s">
        <v>4757</v>
      </c>
      <c r="D1734" s="1" t="s">
        <v>428</v>
      </c>
      <c r="E1734" s="1">
        <v>85335</v>
      </c>
      <c r="F1734" s="1" t="s">
        <v>4878</v>
      </c>
      <c r="G1734" s="1" t="s">
        <v>4609</v>
      </c>
      <c r="H1734" s="4" t="s">
        <v>4879</v>
      </c>
      <c r="I1734" s="5" t="s">
        <v>4787</v>
      </c>
      <c r="J1734" s="5" t="s">
        <v>38</v>
      </c>
      <c r="K1734" s="5" t="s">
        <v>37</v>
      </c>
      <c r="L1734" s="5" t="s">
        <v>38</v>
      </c>
      <c r="M1734" s="5" t="s">
        <v>37</v>
      </c>
      <c r="N1734" s="5" t="s">
        <v>37</v>
      </c>
      <c r="O1734" s="5" t="s">
        <v>38</v>
      </c>
      <c r="P1734" s="5" t="s">
        <v>39</v>
      </c>
      <c r="Q1734" s="2">
        <v>46057</v>
      </c>
    </row>
    <row r="1735" spans="1:23">
      <c r="A1735" s="23">
        <v>46049</v>
      </c>
      <c r="B1735" s="1" t="s">
        <v>419</v>
      </c>
      <c r="C1735" s="1" t="s">
        <v>4880</v>
      </c>
      <c r="D1735" s="1" t="s">
        <v>63</v>
      </c>
      <c r="E1735" s="1">
        <v>85050</v>
      </c>
      <c r="F1735" s="1" t="s">
        <v>4881</v>
      </c>
      <c r="G1735" s="1" t="s">
        <v>4609</v>
      </c>
      <c r="H1735" s="4" t="s">
        <v>27</v>
      </c>
    </row>
    <row r="1736" spans="1:23">
      <c r="A1736" s="23">
        <v>46049</v>
      </c>
      <c r="B1736" s="1" t="s">
        <v>1893</v>
      </c>
      <c r="C1736" s="1" t="s">
        <v>173</v>
      </c>
      <c r="D1736" s="1" t="s">
        <v>619</v>
      </c>
      <c r="E1736" s="1">
        <v>85367</v>
      </c>
      <c r="F1736" s="1" t="s">
        <v>4882</v>
      </c>
      <c r="G1736" s="1" t="s">
        <v>4609</v>
      </c>
      <c r="H1736" s="4" t="s">
        <v>4883</v>
      </c>
      <c r="I1736" s="5" t="s">
        <v>46</v>
      </c>
      <c r="J1736" s="5" t="s">
        <v>37</v>
      </c>
      <c r="K1736" s="5" t="s">
        <v>37</v>
      </c>
      <c r="L1736" s="5" t="s">
        <v>38</v>
      </c>
      <c r="M1736" s="5" t="s">
        <v>37</v>
      </c>
      <c r="N1736" s="5" t="s">
        <v>37</v>
      </c>
      <c r="O1736" s="5" t="s">
        <v>38</v>
      </c>
      <c r="P1736" s="5" t="s">
        <v>39</v>
      </c>
      <c r="Q1736" s="2">
        <v>46057</v>
      </c>
    </row>
    <row r="1737" spans="1:23">
      <c r="A1737" s="23">
        <v>46049</v>
      </c>
      <c r="B1737" s="1" t="s">
        <v>4884</v>
      </c>
      <c r="C1737" s="1" t="s">
        <v>3121</v>
      </c>
      <c r="D1737" s="1" t="s">
        <v>698</v>
      </c>
      <c r="E1737" s="1">
        <v>85375</v>
      </c>
      <c r="F1737" s="1" t="s">
        <v>4885</v>
      </c>
      <c r="G1737" s="1" t="s">
        <v>4609</v>
      </c>
      <c r="H1737" s="4" t="s">
        <v>4886</v>
      </c>
      <c r="I1737" s="5" t="s">
        <v>46</v>
      </c>
      <c r="J1737" s="5" t="s">
        <v>37</v>
      </c>
      <c r="K1737" s="5" t="s">
        <v>37</v>
      </c>
      <c r="L1737" s="5" t="s">
        <v>38</v>
      </c>
      <c r="M1737" s="5" t="s">
        <v>37</v>
      </c>
      <c r="N1737" s="5" t="s">
        <v>37</v>
      </c>
      <c r="O1737" s="5" t="s">
        <v>38</v>
      </c>
      <c r="P1737" s="5" t="s">
        <v>39</v>
      </c>
      <c r="Q1737" s="2">
        <v>46057</v>
      </c>
    </row>
    <row r="1738" spans="1:23">
      <c r="A1738" s="23">
        <v>46049</v>
      </c>
      <c r="B1738" s="1" t="s">
        <v>4887</v>
      </c>
      <c r="C1738" s="1" t="s">
        <v>3015</v>
      </c>
      <c r="D1738" s="1" t="s">
        <v>4888</v>
      </c>
      <c r="E1738" s="1">
        <v>85379</v>
      </c>
      <c r="F1738" s="1" t="s">
        <v>4889</v>
      </c>
      <c r="G1738" s="1" t="s">
        <v>4609</v>
      </c>
      <c r="H1738" s="4" t="s">
        <v>4890</v>
      </c>
      <c r="I1738" s="5" t="s">
        <v>36</v>
      </c>
      <c r="J1738" s="5" t="s">
        <v>37</v>
      </c>
      <c r="K1738" s="5" t="s">
        <v>37</v>
      </c>
      <c r="L1738" s="5" t="s">
        <v>38</v>
      </c>
      <c r="M1738" s="5" t="s">
        <v>37</v>
      </c>
      <c r="N1738" s="5" t="s">
        <v>37</v>
      </c>
      <c r="O1738" s="5" t="s">
        <v>38</v>
      </c>
      <c r="P1738" s="5" t="s">
        <v>39</v>
      </c>
      <c r="Q1738" s="2">
        <v>46057</v>
      </c>
    </row>
    <row r="1739" spans="1:23">
      <c r="A1739" s="103">
        <v>46049</v>
      </c>
      <c r="B1739" s="33" t="s">
        <v>4891</v>
      </c>
      <c r="C1739" s="33" t="s">
        <v>208</v>
      </c>
      <c r="D1739" s="33" t="s">
        <v>264</v>
      </c>
      <c r="E1739" s="33">
        <v>85541</v>
      </c>
      <c r="F1739" s="33" t="s">
        <v>4892</v>
      </c>
      <c r="G1739" s="33" t="s">
        <v>4609</v>
      </c>
      <c r="H1739" s="45" t="s">
        <v>4893</v>
      </c>
      <c r="I1739" s="43" t="s">
        <v>36</v>
      </c>
      <c r="J1739" s="43" t="s">
        <v>38</v>
      </c>
      <c r="K1739" s="43" t="s">
        <v>37</v>
      </c>
      <c r="L1739" s="43" t="s">
        <v>38</v>
      </c>
      <c r="M1739" s="43" t="s">
        <v>38</v>
      </c>
      <c r="N1739" s="90">
        <v>502.83</v>
      </c>
      <c r="O1739" s="43" t="s">
        <v>38</v>
      </c>
      <c r="P1739" s="43"/>
      <c r="Q1739" s="42">
        <v>46057</v>
      </c>
      <c r="R1739" s="33" t="s">
        <v>4534</v>
      </c>
      <c r="S1739" s="33"/>
      <c r="T1739" s="33"/>
      <c r="U1739" s="33"/>
      <c r="V1739" s="33"/>
      <c r="W1739" s="33"/>
    </row>
    <row r="1740" spans="1:23">
      <c r="A1740" s="23">
        <v>46049</v>
      </c>
      <c r="B1740" s="1" t="s">
        <v>4894</v>
      </c>
      <c r="C1740" s="1" t="s">
        <v>1423</v>
      </c>
      <c r="D1740" s="1" t="s">
        <v>112</v>
      </c>
      <c r="E1740" s="1">
        <v>85374</v>
      </c>
      <c r="F1740" s="1" t="s">
        <v>4895</v>
      </c>
      <c r="G1740" s="1" t="s">
        <v>4609</v>
      </c>
      <c r="H1740" s="4" t="s">
        <v>4896</v>
      </c>
      <c r="I1740" s="5" t="s">
        <v>36</v>
      </c>
      <c r="J1740" s="5" t="s">
        <v>38</v>
      </c>
      <c r="K1740" s="5" t="s">
        <v>37</v>
      </c>
      <c r="L1740" s="5" t="s">
        <v>38</v>
      </c>
      <c r="M1740" s="5" t="s">
        <v>38</v>
      </c>
      <c r="N1740" s="13">
        <v>2005.59</v>
      </c>
      <c r="O1740" s="5" t="s">
        <v>38</v>
      </c>
      <c r="Q1740" s="2">
        <v>46057</v>
      </c>
      <c r="R1740" s="33" t="s">
        <v>4534</v>
      </c>
    </row>
    <row r="1741" spans="1:23">
      <c r="A1741" s="23">
        <v>46049</v>
      </c>
      <c r="B1741" s="1" t="s">
        <v>3416</v>
      </c>
      <c r="C1741" s="1" t="s">
        <v>4561</v>
      </c>
      <c r="D1741" s="1" t="s">
        <v>1198</v>
      </c>
      <c r="E1741" s="1">
        <v>85607</v>
      </c>
      <c r="F1741" s="1" t="s">
        <v>4897</v>
      </c>
      <c r="G1741" s="1" t="s">
        <v>4609</v>
      </c>
      <c r="H1741" s="4" t="s">
        <v>27</v>
      </c>
    </row>
    <row r="1742" spans="1:23">
      <c r="A1742" s="23">
        <v>46049</v>
      </c>
      <c r="B1742" s="1" t="s">
        <v>133</v>
      </c>
      <c r="C1742" s="1" t="s">
        <v>363</v>
      </c>
      <c r="D1742" s="1" t="s">
        <v>428</v>
      </c>
      <c r="E1742" s="1">
        <v>85335</v>
      </c>
      <c r="F1742" s="1" t="s">
        <v>4898</v>
      </c>
      <c r="G1742" s="1" t="s">
        <v>4609</v>
      </c>
      <c r="H1742" s="4" t="s">
        <v>4899</v>
      </c>
      <c r="I1742" s="5" t="s">
        <v>46</v>
      </c>
      <c r="J1742" s="5" t="s">
        <v>38</v>
      </c>
      <c r="K1742" s="5" t="s">
        <v>37</v>
      </c>
      <c r="L1742" s="5" t="s">
        <v>38</v>
      </c>
      <c r="M1742" s="5" t="s">
        <v>37</v>
      </c>
      <c r="N1742" s="5" t="s">
        <v>37</v>
      </c>
      <c r="O1742" s="5" t="s">
        <v>38</v>
      </c>
      <c r="P1742" s="5" t="s">
        <v>39</v>
      </c>
      <c r="Q1742" s="2">
        <v>46057</v>
      </c>
    </row>
    <row r="1743" spans="1:23">
      <c r="A1743" s="23">
        <v>46049</v>
      </c>
      <c r="B1743" s="1" t="s">
        <v>367</v>
      </c>
      <c r="C1743" s="1" t="s">
        <v>367</v>
      </c>
      <c r="D1743" s="1" t="s">
        <v>112</v>
      </c>
      <c r="E1743" s="1">
        <v>85378</v>
      </c>
      <c r="F1743" s="1" t="s">
        <v>4900</v>
      </c>
      <c r="G1743" s="1" t="s">
        <v>4609</v>
      </c>
      <c r="H1743" s="4" t="s">
        <v>27</v>
      </c>
    </row>
    <row r="1744" spans="1:23">
      <c r="A1744" s="23">
        <v>46049</v>
      </c>
      <c r="B1744" s="1" t="s">
        <v>3561</v>
      </c>
      <c r="C1744" s="1" t="s">
        <v>4901</v>
      </c>
      <c r="D1744" s="1" t="s">
        <v>2361</v>
      </c>
      <c r="E1744" s="1">
        <v>86335</v>
      </c>
      <c r="F1744" s="1" t="s">
        <v>4902</v>
      </c>
      <c r="G1744" s="1" t="s">
        <v>4609</v>
      </c>
      <c r="H1744" s="4" t="s">
        <v>4903</v>
      </c>
      <c r="I1744" s="5" t="s">
        <v>196</v>
      </c>
      <c r="J1744" s="5" t="s">
        <v>37</v>
      </c>
      <c r="K1744" s="5" t="s">
        <v>37</v>
      </c>
      <c r="L1744" s="5" t="s">
        <v>38</v>
      </c>
      <c r="M1744" s="5" t="s">
        <v>37</v>
      </c>
      <c r="N1744" s="5" t="s">
        <v>37</v>
      </c>
      <c r="O1744" s="5" t="s">
        <v>38</v>
      </c>
      <c r="P1744" s="5" t="s">
        <v>39</v>
      </c>
      <c r="Q1744" s="2">
        <v>46057</v>
      </c>
    </row>
    <row r="1745" spans="1:23">
      <c r="A1745" s="23">
        <v>46049</v>
      </c>
      <c r="B1745" s="1" t="s">
        <v>4904</v>
      </c>
      <c r="C1745" s="1" t="s">
        <v>4905</v>
      </c>
      <c r="D1745" s="1" t="s">
        <v>63</v>
      </c>
      <c r="E1745" s="1">
        <v>85024</v>
      </c>
      <c r="F1745" s="1" t="s">
        <v>4906</v>
      </c>
      <c r="G1745" s="1" t="s">
        <v>4609</v>
      </c>
      <c r="H1745" s="4" t="s">
        <v>4907</v>
      </c>
      <c r="I1745" s="5" t="s">
        <v>36</v>
      </c>
      <c r="J1745" s="5" t="s">
        <v>37</v>
      </c>
      <c r="K1745" s="5" t="s">
        <v>37</v>
      </c>
      <c r="L1745" s="5" t="s">
        <v>38</v>
      </c>
      <c r="M1745" s="5" t="s">
        <v>37</v>
      </c>
      <c r="N1745" s="5" t="s">
        <v>37</v>
      </c>
      <c r="O1745" s="5" t="s">
        <v>38</v>
      </c>
      <c r="P1745" s="5" t="s">
        <v>39</v>
      </c>
      <c r="Q1745" s="2">
        <v>46057</v>
      </c>
    </row>
    <row r="1746" spans="1:23">
      <c r="A1746" s="23">
        <v>46049</v>
      </c>
      <c r="B1746" s="1" t="s">
        <v>1765</v>
      </c>
      <c r="C1746" s="1" t="s">
        <v>1501</v>
      </c>
      <c r="D1746" s="1" t="s">
        <v>63</v>
      </c>
      <c r="E1746" s="1">
        <v>85015</v>
      </c>
      <c r="F1746" s="1" t="s">
        <v>4908</v>
      </c>
      <c r="G1746" s="1" t="s">
        <v>4609</v>
      </c>
      <c r="H1746" s="4" t="s">
        <v>27</v>
      </c>
    </row>
    <row r="1747" spans="1:23">
      <c r="A1747" s="103">
        <v>46049</v>
      </c>
      <c r="B1747" s="33" t="s">
        <v>4909</v>
      </c>
      <c r="C1747" s="33" t="s">
        <v>4910</v>
      </c>
      <c r="D1747" s="33" t="s">
        <v>4180</v>
      </c>
      <c r="E1747" s="33">
        <v>86047</v>
      </c>
      <c r="F1747" s="33" t="s">
        <v>4911</v>
      </c>
      <c r="G1747" s="33" t="s">
        <v>4609</v>
      </c>
      <c r="H1747" s="45" t="s">
        <v>4912</v>
      </c>
      <c r="I1747" s="43" t="s">
        <v>73</v>
      </c>
      <c r="J1747" s="43" t="s">
        <v>37</v>
      </c>
      <c r="K1747" s="43" t="s">
        <v>37</v>
      </c>
      <c r="L1747" s="43" t="s">
        <v>4913</v>
      </c>
      <c r="M1747" s="43" t="s">
        <v>37</v>
      </c>
      <c r="N1747" s="43" t="s">
        <v>37</v>
      </c>
      <c r="O1747" s="43" t="s">
        <v>38</v>
      </c>
      <c r="P1747" s="43"/>
      <c r="Q1747" s="42">
        <v>46057</v>
      </c>
      <c r="R1747" s="33" t="s">
        <v>4004</v>
      </c>
      <c r="S1747" s="33"/>
      <c r="T1747" s="33"/>
      <c r="U1747" s="33"/>
      <c r="V1747" s="33"/>
      <c r="W1747" s="33"/>
    </row>
    <row r="1748" spans="1:23">
      <c r="A1748" s="23">
        <v>46049</v>
      </c>
      <c r="B1748" s="1" t="s">
        <v>4914</v>
      </c>
      <c r="C1748" s="1" t="s">
        <v>777</v>
      </c>
      <c r="D1748" s="1" t="s">
        <v>169</v>
      </c>
      <c r="E1748" s="1">
        <v>85338</v>
      </c>
      <c r="F1748" s="1" t="s">
        <v>4915</v>
      </c>
      <c r="G1748" s="1" t="s">
        <v>4609</v>
      </c>
      <c r="H1748" s="4" t="s">
        <v>4916</v>
      </c>
      <c r="I1748" s="5" t="s">
        <v>36</v>
      </c>
      <c r="J1748" s="5" t="s">
        <v>37</v>
      </c>
      <c r="K1748" s="5" t="s">
        <v>37</v>
      </c>
      <c r="L1748" s="5" t="s">
        <v>38</v>
      </c>
      <c r="M1748" s="5" t="s">
        <v>37</v>
      </c>
      <c r="N1748" s="5" t="s">
        <v>37</v>
      </c>
      <c r="O1748" s="5" t="s">
        <v>38</v>
      </c>
      <c r="P1748" s="5" t="s">
        <v>39</v>
      </c>
      <c r="Q1748" s="2">
        <v>46058</v>
      </c>
    </row>
    <row r="1749" spans="1:23">
      <c r="A1749" s="23">
        <v>46049</v>
      </c>
      <c r="B1749" s="1" t="s">
        <v>4917</v>
      </c>
      <c r="C1749" s="1" t="s">
        <v>3554</v>
      </c>
      <c r="D1749" s="1" t="s">
        <v>125</v>
      </c>
      <c r="E1749" s="1">
        <v>85254</v>
      </c>
      <c r="F1749" s="1" t="s">
        <v>4918</v>
      </c>
      <c r="G1749" s="1" t="s">
        <v>4609</v>
      </c>
      <c r="H1749" s="4" t="s">
        <v>4919</v>
      </c>
      <c r="I1749" s="5" t="s">
        <v>36</v>
      </c>
      <c r="J1749" s="5" t="s">
        <v>37</v>
      </c>
      <c r="K1749" s="5" t="s">
        <v>37</v>
      </c>
      <c r="L1749" s="5" t="s">
        <v>38</v>
      </c>
      <c r="M1749" s="5" t="s">
        <v>37</v>
      </c>
      <c r="N1749" s="5" t="s">
        <v>37</v>
      </c>
      <c r="O1749" s="5" t="s">
        <v>38</v>
      </c>
      <c r="P1749" s="5" t="s">
        <v>39</v>
      </c>
      <c r="Q1749" s="2">
        <v>46058</v>
      </c>
    </row>
    <row r="1750" spans="1:23">
      <c r="A1750" s="23">
        <v>46049</v>
      </c>
      <c r="B1750" s="1" t="s">
        <v>4920</v>
      </c>
      <c r="C1750" s="1" t="s">
        <v>4013</v>
      </c>
      <c r="D1750" s="1" t="s">
        <v>619</v>
      </c>
      <c r="E1750" s="1">
        <v>85364</v>
      </c>
      <c r="F1750" s="1" t="s">
        <v>4921</v>
      </c>
      <c r="G1750" s="1" t="s">
        <v>4609</v>
      </c>
      <c r="H1750" s="4" t="s">
        <v>4922</v>
      </c>
      <c r="I1750" s="5" t="s">
        <v>541</v>
      </c>
      <c r="J1750" s="5" t="s">
        <v>37</v>
      </c>
      <c r="K1750" s="5" t="s">
        <v>37</v>
      </c>
      <c r="L1750" s="5" t="s">
        <v>4079</v>
      </c>
      <c r="M1750" s="5" t="s">
        <v>37</v>
      </c>
      <c r="N1750" s="5" t="s">
        <v>37</v>
      </c>
      <c r="O1750" s="5" t="s">
        <v>38</v>
      </c>
      <c r="P1750" s="5" t="s">
        <v>39</v>
      </c>
      <c r="Q1750" s="2">
        <v>46058</v>
      </c>
    </row>
    <row r="1751" spans="1:23">
      <c r="A1751" s="23">
        <v>46049</v>
      </c>
      <c r="B1751" s="1" t="s">
        <v>930</v>
      </c>
      <c r="C1751" s="1" t="s">
        <v>4923</v>
      </c>
      <c r="D1751" s="1" t="s">
        <v>24</v>
      </c>
      <c r="E1751" s="1">
        <v>85304</v>
      </c>
      <c r="F1751" s="1" t="s">
        <v>4924</v>
      </c>
      <c r="G1751" s="1" t="s">
        <v>4609</v>
      </c>
      <c r="H1751" s="4" t="s">
        <v>4925</v>
      </c>
      <c r="I1751" s="5" t="s">
        <v>36</v>
      </c>
      <c r="J1751" s="5" t="s">
        <v>37</v>
      </c>
      <c r="K1751" s="5" t="s">
        <v>37</v>
      </c>
      <c r="L1751" s="5" t="s">
        <v>38</v>
      </c>
      <c r="M1751" s="5" t="s">
        <v>37</v>
      </c>
      <c r="N1751" s="5" t="s">
        <v>37</v>
      </c>
      <c r="O1751" s="5" t="s">
        <v>38</v>
      </c>
      <c r="P1751" s="5" t="s">
        <v>39</v>
      </c>
      <c r="Q1751" s="2">
        <v>46058</v>
      </c>
    </row>
    <row r="1752" spans="1:23">
      <c r="A1752" s="23">
        <v>46049</v>
      </c>
      <c r="B1752" s="1" t="s">
        <v>4926</v>
      </c>
      <c r="C1752" s="1" t="s">
        <v>4927</v>
      </c>
      <c r="D1752" s="1" t="s">
        <v>174</v>
      </c>
      <c r="E1752" s="1">
        <v>85326</v>
      </c>
      <c r="F1752" s="1" t="s">
        <v>4928</v>
      </c>
      <c r="G1752" s="1" t="s">
        <v>4609</v>
      </c>
      <c r="H1752" s="4" t="s">
        <v>27</v>
      </c>
    </row>
    <row r="1753" spans="1:23">
      <c r="A1753" s="103">
        <v>46049</v>
      </c>
      <c r="B1753" s="33" t="s">
        <v>4929</v>
      </c>
      <c r="C1753" s="33" t="s">
        <v>131</v>
      </c>
      <c r="D1753" s="33" t="s">
        <v>63</v>
      </c>
      <c r="E1753" s="33">
        <v>85020</v>
      </c>
      <c r="F1753" s="33" t="s">
        <v>4930</v>
      </c>
      <c r="G1753" s="33" t="s">
        <v>4609</v>
      </c>
      <c r="H1753" s="45" t="s">
        <v>4931</v>
      </c>
      <c r="I1753" s="43" t="s">
        <v>36</v>
      </c>
      <c r="J1753" s="43" t="s">
        <v>37</v>
      </c>
      <c r="K1753" s="43" t="s">
        <v>37</v>
      </c>
      <c r="L1753" s="43" t="s">
        <v>38</v>
      </c>
      <c r="M1753" s="43" t="s">
        <v>38</v>
      </c>
      <c r="N1753" s="90">
        <v>393.41</v>
      </c>
      <c r="O1753" s="43" t="s">
        <v>38</v>
      </c>
      <c r="P1753" s="43"/>
      <c r="Q1753" s="42">
        <v>46058</v>
      </c>
      <c r="R1753" s="33" t="s">
        <v>4534</v>
      </c>
      <c r="S1753" s="33"/>
      <c r="T1753" s="33"/>
      <c r="U1753" s="33"/>
      <c r="V1753" s="33"/>
      <c r="W1753" s="33"/>
    </row>
    <row r="1754" spans="1:23">
      <c r="A1754" s="23">
        <v>46049</v>
      </c>
      <c r="B1754" s="1" t="s">
        <v>4932</v>
      </c>
      <c r="C1754" s="1" t="s">
        <v>42</v>
      </c>
      <c r="D1754" s="1" t="s">
        <v>3602</v>
      </c>
      <c r="E1754" s="1">
        <v>86337</v>
      </c>
      <c r="F1754" s="1" t="s">
        <v>4933</v>
      </c>
      <c r="G1754" s="1" t="s">
        <v>4609</v>
      </c>
      <c r="H1754" s="4" t="s">
        <v>27</v>
      </c>
    </row>
    <row r="1755" spans="1:23">
      <c r="A1755" s="23">
        <v>46049</v>
      </c>
      <c r="B1755" s="1" t="s">
        <v>4934</v>
      </c>
      <c r="C1755" s="1" t="s">
        <v>1741</v>
      </c>
      <c r="D1755" s="1" t="s">
        <v>63</v>
      </c>
      <c r="E1755" s="1">
        <v>85028</v>
      </c>
      <c r="F1755" s="1" t="s">
        <v>4935</v>
      </c>
      <c r="G1755" s="1" t="s">
        <v>4609</v>
      </c>
      <c r="H1755" s="4" t="s">
        <v>4936</v>
      </c>
      <c r="I1755" s="5" t="s">
        <v>36</v>
      </c>
      <c r="J1755" s="5" t="s">
        <v>37</v>
      </c>
      <c r="K1755" s="5" t="s">
        <v>37</v>
      </c>
      <c r="L1755" s="5" t="s">
        <v>38</v>
      </c>
      <c r="M1755" s="5" t="s">
        <v>37</v>
      </c>
      <c r="N1755" s="5" t="s">
        <v>37</v>
      </c>
      <c r="O1755" s="5" t="s">
        <v>38</v>
      </c>
      <c r="P1755" s="5" t="s">
        <v>39</v>
      </c>
      <c r="Q1755" s="2">
        <v>46058</v>
      </c>
    </row>
    <row r="1756" spans="1:23">
      <c r="A1756" s="23">
        <v>46049</v>
      </c>
      <c r="B1756" s="1" t="s">
        <v>4937</v>
      </c>
      <c r="C1756" s="1" t="s">
        <v>420</v>
      </c>
      <c r="D1756" s="1" t="s">
        <v>63</v>
      </c>
      <c r="E1756" s="1">
        <v>85022</v>
      </c>
      <c r="F1756" s="1" t="s">
        <v>4938</v>
      </c>
      <c r="G1756" s="1" t="s">
        <v>4609</v>
      </c>
      <c r="H1756" s="4" t="s">
        <v>27</v>
      </c>
    </row>
    <row r="1757" spans="1:23">
      <c r="A1757" s="23">
        <v>46049</v>
      </c>
      <c r="B1757" s="1" t="s">
        <v>789</v>
      </c>
      <c r="C1757" s="1" t="s">
        <v>135</v>
      </c>
      <c r="D1757" s="1" t="s">
        <v>261</v>
      </c>
      <c r="E1757" s="1">
        <v>86315</v>
      </c>
      <c r="F1757" s="1" t="s">
        <v>4939</v>
      </c>
      <c r="G1757" s="1" t="s">
        <v>4609</v>
      </c>
      <c r="H1757" s="5">
        <v>7884110000</v>
      </c>
      <c r="I1757" s="5" t="s">
        <v>73</v>
      </c>
      <c r="J1757" s="5" t="s">
        <v>37</v>
      </c>
      <c r="K1757" s="5" t="s">
        <v>37</v>
      </c>
      <c r="L1757" s="5" t="s">
        <v>38</v>
      </c>
      <c r="M1757" s="5" t="s">
        <v>37</v>
      </c>
      <c r="N1757" s="5" t="s">
        <v>37</v>
      </c>
      <c r="O1757" s="5" t="s">
        <v>38</v>
      </c>
      <c r="P1757" s="5" t="s">
        <v>39</v>
      </c>
      <c r="Q1757" s="2">
        <v>46058</v>
      </c>
    </row>
    <row r="1758" spans="1:23">
      <c r="A1758" s="23">
        <v>46049</v>
      </c>
      <c r="B1758" s="1" t="s">
        <v>1134</v>
      </c>
      <c r="C1758" s="1" t="s">
        <v>131</v>
      </c>
      <c r="D1758" s="1" t="s">
        <v>619</v>
      </c>
      <c r="E1758" s="1">
        <v>85365</v>
      </c>
      <c r="F1758" s="1" t="s">
        <v>4940</v>
      </c>
      <c r="G1758" s="1" t="s">
        <v>4609</v>
      </c>
      <c r="H1758" s="4" t="s">
        <v>4941</v>
      </c>
      <c r="I1758" s="5" t="s">
        <v>36</v>
      </c>
      <c r="J1758" s="5" t="s">
        <v>38</v>
      </c>
      <c r="K1758" s="5" t="s">
        <v>37</v>
      </c>
      <c r="L1758" s="5" t="s">
        <v>38</v>
      </c>
      <c r="M1758" s="5" t="s">
        <v>37</v>
      </c>
      <c r="N1758" s="5" t="s">
        <v>37</v>
      </c>
      <c r="O1758" s="5" t="s">
        <v>38</v>
      </c>
      <c r="P1758" s="5" t="s">
        <v>39</v>
      </c>
      <c r="Q1758" s="2">
        <v>46058</v>
      </c>
    </row>
    <row r="1759" spans="1:23">
      <c r="A1759" s="23">
        <v>46049</v>
      </c>
      <c r="B1759" s="1" t="s">
        <v>4942</v>
      </c>
      <c r="C1759" s="1" t="s">
        <v>4943</v>
      </c>
      <c r="D1759" s="1" t="s">
        <v>63</v>
      </c>
      <c r="E1759" s="1">
        <v>85085</v>
      </c>
      <c r="F1759" s="1" t="s">
        <v>4944</v>
      </c>
      <c r="G1759" s="1" t="s">
        <v>4609</v>
      </c>
      <c r="H1759" s="4" t="s">
        <v>27</v>
      </c>
    </row>
    <row r="1760" spans="1:23">
      <c r="A1760" s="23">
        <v>46049</v>
      </c>
      <c r="B1760" s="1" t="s">
        <v>941</v>
      </c>
      <c r="C1760" s="1" t="s">
        <v>4945</v>
      </c>
      <c r="D1760" s="1" t="s">
        <v>2229</v>
      </c>
      <c r="E1760" s="1">
        <v>85321</v>
      </c>
      <c r="F1760" s="1" t="s">
        <v>4946</v>
      </c>
      <c r="G1760" s="1" t="s">
        <v>4609</v>
      </c>
      <c r="H1760" s="4" t="s">
        <v>4947</v>
      </c>
      <c r="I1760" s="5" t="s">
        <v>73</v>
      </c>
      <c r="J1760" s="5" t="s">
        <v>37</v>
      </c>
      <c r="K1760" s="5" t="s">
        <v>37</v>
      </c>
      <c r="L1760" s="5" t="s">
        <v>38</v>
      </c>
      <c r="M1760" s="5" t="s">
        <v>37</v>
      </c>
      <c r="N1760" s="5" t="s">
        <v>37</v>
      </c>
      <c r="O1760" s="5" t="s">
        <v>38</v>
      </c>
      <c r="P1760" s="5" t="s">
        <v>39</v>
      </c>
      <c r="Q1760" s="2">
        <v>46058</v>
      </c>
    </row>
    <row r="1761" spans="1:23">
      <c r="A1761" s="23">
        <v>46049</v>
      </c>
      <c r="B1761" s="1" t="s">
        <v>4948</v>
      </c>
      <c r="C1761" s="1" t="s">
        <v>3392</v>
      </c>
      <c r="D1761" s="1" t="s">
        <v>412</v>
      </c>
      <c r="E1761" s="1">
        <v>85123</v>
      </c>
      <c r="F1761" s="1" t="s">
        <v>4949</v>
      </c>
      <c r="G1761" s="1" t="s">
        <v>4609</v>
      </c>
      <c r="H1761" s="5">
        <v>1080686483</v>
      </c>
      <c r="I1761" s="5" t="s">
        <v>36</v>
      </c>
      <c r="J1761" s="5" t="s">
        <v>37</v>
      </c>
      <c r="K1761" s="5" t="s">
        <v>37</v>
      </c>
      <c r="L1761" s="5" t="s">
        <v>38</v>
      </c>
      <c r="M1761" s="5" t="s">
        <v>37</v>
      </c>
      <c r="N1761" s="5" t="s">
        <v>37</v>
      </c>
      <c r="O1761" s="5" t="s">
        <v>38</v>
      </c>
      <c r="P1761" s="5" t="s">
        <v>39</v>
      </c>
      <c r="Q1761" s="2">
        <v>46058</v>
      </c>
    </row>
    <row r="1762" spans="1:23">
      <c r="A1762" s="23">
        <v>46049</v>
      </c>
      <c r="B1762" s="1" t="s">
        <v>930</v>
      </c>
      <c r="C1762" s="1" t="s">
        <v>3015</v>
      </c>
      <c r="D1762" s="1" t="s">
        <v>112</v>
      </c>
      <c r="E1762" s="1">
        <v>85379</v>
      </c>
      <c r="F1762" s="1" t="s">
        <v>4950</v>
      </c>
      <c r="G1762" s="1" t="s">
        <v>4609</v>
      </c>
      <c r="H1762" s="4" t="s">
        <v>4951</v>
      </c>
      <c r="I1762" s="5" t="s">
        <v>36</v>
      </c>
      <c r="J1762" s="5" t="s">
        <v>37</v>
      </c>
      <c r="K1762" s="5" t="s">
        <v>37</v>
      </c>
      <c r="L1762" s="5" t="s">
        <v>38</v>
      </c>
      <c r="M1762" s="5" t="s">
        <v>37</v>
      </c>
      <c r="N1762" s="5" t="s">
        <v>37</v>
      </c>
      <c r="O1762" s="5" t="s">
        <v>38</v>
      </c>
      <c r="P1762" s="5" t="s">
        <v>39</v>
      </c>
      <c r="Q1762" s="2">
        <v>46058</v>
      </c>
    </row>
    <row r="1763" spans="1:23">
      <c r="A1763" s="23">
        <v>46049</v>
      </c>
      <c r="B1763" s="1" t="s">
        <v>2963</v>
      </c>
      <c r="C1763" s="1" t="s">
        <v>3062</v>
      </c>
      <c r="D1763" s="1" t="s">
        <v>4952</v>
      </c>
      <c r="E1763" s="1">
        <v>86334</v>
      </c>
      <c r="F1763" s="1" t="s">
        <v>4953</v>
      </c>
      <c r="G1763" s="1" t="s">
        <v>4609</v>
      </c>
      <c r="H1763" s="4" t="s">
        <v>4954</v>
      </c>
      <c r="I1763" s="5" t="s">
        <v>46</v>
      </c>
      <c r="J1763" s="5" t="s">
        <v>37</v>
      </c>
      <c r="K1763" s="5" t="s">
        <v>37</v>
      </c>
      <c r="L1763" s="5" t="s">
        <v>38</v>
      </c>
      <c r="M1763" s="5" t="s">
        <v>37</v>
      </c>
      <c r="N1763" s="5" t="s">
        <v>37</v>
      </c>
      <c r="O1763" s="5" t="s">
        <v>38</v>
      </c>
      <c r="P1763" s="5" t="s">
        <v>39</v>
      </c>
      <c r="Q1763" s="2">
        <v>46058</v>
      </c>
    </row>
    <row r="1764" spans="1:23">
      <c r="A1764" s="23">
        <v>46049</v>
      </c>
      <c r="B1764" s="1" t="s">
        <v>1949</v>
      </c>
      <c r="C1764" s="1" t="s">
        <v>4955</v>
      </c>
      <c r="D1764" s="1" t="s">
        <v>63</v>
      </c>
      <c r="E1764" s="1">
        <v>85023</v>
      </c>
      <c r="F1764" s="1" t="s">
        <v>4956</v>
      </c>
      <c r="G1764" s="1" t="s">
        <v>4609</v>
      </c>
      <c r="H1764" s="4" t="s">
        <v>4957</v>
      </c>
      <c r="I1764" s="5" t="s">
        <v>36</v>
      </c>
      <c r="J1764" s="5" t="s">
        <v>38</v>
      </c>
      <c r="K1764" s="5" t="s">
        <v>37</v>
      </c>
      <c r="L1764" s="5" t="s">
        <v>38</v>
      </c>
      <c r="M1764" s="5" t="s">
        <v>37</v>
      </c>
      <c r="N1764" s="5" t="s">
        <v>37</v>
      </c>
      <c r="O1764" s="5" t="s">
        <v>38</v>
      </c>
      <c r="P1764" s="5" t="s">
        <v>39</v>
      </c>
      <c r="Q1764" s="2">
        <v>46058</v>
      </c>
    </row>
    <row r="1765" spans="1:23">
      <c r="A1765" s="23">
        <v>46049</v>
      </c>
      <c r="B1765" s="1" t="s">
        <v>4958</v>
      </c>
      <c r="C1765" s="1" t="s">
        <v>4959</v>
      </c>
      <c r="D1765" s="1" t="s">
        <v>125</v>
      </c>
      <c r="E1765" s="1">
        <v>85260</v>
      </c>
      <c r="F1765" s="1" t="s">
        <v>4960</v>
      </c>
      <c r="G1765" s="1" t="s">
        <v>4609</v>
      </c>
      <c r="H1765" s="4" t="s">
        <v>27</v>
      </c>
    </row>
    <row r="1766" spans="1:23">
      <c r="A1766" s="23">
        <v>46049</v>
      </c>
      <c r="B1766" s="1" t="s">
        <v>3327</v>
      </c>
      <c r="C1766" s="1" t="s">
        <v>697</v>
      </c>
      <c r="D1766" s="1" t="s">
        <v>3470</v>
      </c>
      <c r="E1766" s="1">
        <v>86324</v>
      </c>
      <c r="F1766" s="1" t="s">
        <v>4961</v>
      </c>
      <c r="G1766" s="1" t="s">
        <v>4609</v>
      </c>
      <c r="H1766" s="4" t="s">
        <v>27</v>
      </c>
    </row>
    <row r="1767" spans="1:23">
      <c r="A1767" s="23">
        <v>46049</v>
      </c>
      <c r="B1767" s="1" t="s">
        <v>4962</v>
      </c>
      <c r="C1767" s="1" t="s">
        <v>4963</v>
      </c>
      <c r="D1767" s="1" t="s">
        <v>112</v>
      </c>
      <c r="E1767" s="1">
        <v>85388</v>
      </c>
      <c r="F1767" s="1" t="s">
        <v>4964</v>
      </c>
      <c r="G1767" s="1" t="s">
        <v>4609</v>
      </c>
      <c r="H1767" s="4" t="s">
        <v>4965</v>
      </c>
      <c r="I1767" s="5" t="s">
        <v>36</v>
      </c>
      <c r="J1767" s="5" t="s">
        <v>37</v>
      </c>
      <c r="K1767" s="5" t="s">
        <v>37</v>
      </c>
      <c r="L1767" s="5" t="s">
        <v>38</v>
      </c>
      <c r="M1767" s="5" t="s">
        <v>37</v>
      </c>
      <c r="N1767" s="5" t="s">
        <v>37</v>
      </c>
      <c r="O1767" s="5" t="s">
        <v>38</v>
      </c>
      <c r="P1767" s="5" t="s">
        <v>39</v>
      </c>
      <c r="Q1767" s="2">
        <v>46058</v>
      </c>
    </row>
    <row r="1768" spans="1:23">
      <c r="A1768" s="23">
        <v>46049</v>
      </c>
      <c r="B1768" s="1" t="s">
        <v>2785</v>
      </c>
      <c r="C1768" s="1" t="s">
        <v>4966</v>
      </c>
      <c r="D1768" s="1" t="s">
        <v>1054</v>
      </c>
      <c r="E1768" s="1">
        <v>85268</v>
      </c>
      <c r="F1768" s="1" t="s">
        <v>4967</v>
      </c>
      <c r="G1768" s="1" t="s">
        <v>4609</v>
      </c>
      <c r="H1768" s="4" t="s">
        <v>27</v>
      </c>
    </row>
    <row r="1769" spans="1:23">
      <c r="A1769" s="23">
        <v>46049</v>
      </c>
      <c r="B1769" s="1" t="s">
        <v>4968</v>
      </c>
      <c r="C1769" s="1" t="s">
        <v>4969</v>
      </c>
      <c r="D1769" s="1" t="s">
        <v>264</v>
      </c>
      <c r="E1769" s="1">
        <v>85541</v>
      </c>
      <c r="F1769" s="1" t="s">
        <v>4970</v>
      </c>
      <c r="G1769" s="1" t="s">
        <v>4609</v>
      </c>
      <c r="H1769" s="4" t="s">
        <v>27</v>
      </c>
    </row>
    <row r="1770" spans="1:23">
      <c r="A1770" s="23">
        <v>46049</v>
      </c>
      <c r="B1770" s="1" t="s">
        <v>4971</v>
      </c>
      <c r="C1770" s="1" t="s">
        <v>991</v>
      </c>
      <c r="D1770" s="1" t="s">
        <v>24</v>
      </c>
      <c r="E1770" s="1">
        <v>85303</v>
      </c>
      <c r="F1770" s="1" t="s">
        <v>4972</v>
      </c>
      <c r="G1770" s="1" t="s">
        <v>4609</v>
      </c>
      <c r="H1770" s="4" t="s">
        <v>27</v>
      </c>
    </row>
    <row r="1771" spans="1:23">
      <c r="A1771" s="23">
        <v>46049</v>
      </c>
      <c r="B1771" s="1" t="s">
        <v>4190</v>
      </c>
      <c r="C1771" s="1" t="s">
        <v>4282</v>
      </c>
      <c r="D1771" s="1" t="s">
        <v>93</v>
      </c>
      <c r="E1771" s="1">
        <v>85351</v>
      </c>
      <c r="F1771" s="1" t="s">
        <v>4973</v>
      </c>
      <c r="G1771" s="1" t="s">
        <v>4609</v>
      </c>
      <c r="H1771" s="4" t="s">
        <v>4974</v>
      </c>
      <c r="I1771" s="5" t="s">
        <v>4214</v>
      </c>
      <c r="J1771" s="5" t="s">
        <v>37</v>
      </c>
      <c r="K1771" s="5" t="s">
        <v>37</v>
      </c>
      <c r="L1771" s="5" t="s">
        <v>4079</v>
      </c>
      <c r="M1771" s="5" t="s">
        <v>37</v>
      </c>
      <c r="N1771" s="5" t="s">
        <v>37</v>
      </c>
      <c r="O1771" s="5" t="s">
        <v>38</v>
      </c>
      <c r="P1771" s="5" t="s">
        <v>39</v>
      </c>
      <c r="Q1771" s="2">
        <v>46058</v>
      </c>
    </row>
    <row r="1772" spans="1:23">
      <c r="A1772" s="23">
        <v>46049</v>
      </c>
      <c r="B1772" s="1" t="s">
        <v>4975</v>
      </c>
      <c r="C1772" s="1" t="s">
        <v>486</v>
      </c>
      <c r="D1772" s="1" t="s">
        <v>4164</v>
      </c>
      <c r="E1772" s="1">
        <v>85086</v>
      </c>
      <c r="F1772" s="1" t="s">
        <v>4976</v>
      </c>
      <c r="G1772" s="1" t="s">
        <v>4609</v>
      </c>
      <c r="H1772" s="4" t="s">
        <v>4977</v>
      </c>
      <c r="I1772" s="5" t="s">
        <v>36</v>
      </c>
      <c r="J1772" s="5" t="s">
        <v>37</v>
      </c>
      <c r="K1772" s="5" t="s">
        <v>37</v>
      </c>
      <c r="L1772" s="5" t="s">
        <v>38</v>
      </c>
      <c r="M1772" s="5" t="s">
        <v>37</v>
      </c>
      <c r="N1772" s="5" t="s">
        <v>37</v>
      </c>
      <c r="O1772" s="5" t="s">
        <v>38</v>
      </c>
      <c r="P1772" s="5" t="s">
        <v>39</v>
      </c>
      <c r="Q1772" s="2">
        <v>46058</v>
      </c>
    </row>
    <row r="1773" spans="1:23">
      <c r="A1773" s="23">
        <v>46049</v>
      </c>
      <c r="B1773" s="1" t="s">
        <v>4384</v>
      </c>
      <c r="C1773" s="1" t="s">
        <v>4978</v>
      </c>
      <c r="D1773" s="1" t="s">
        <v>504</v>
      </c>
      <c r="E1773" s="1">
        <v>86004</v>
      </c>
      <c r="F1773" s="1" t="s">
        <v>4979</v>
      </c>
      <c r="G1773" s="1" t="s">
        <v>4609</v>
      </c>
      <c r="H1773" s="5">
        <v>6838697128</v>
      </c>
      <c r="I1773" s="5" t="s">
        <v>73</v>
      </c>
      <c r="J1773" s="5" t="s">
        <v>38</v>
      </c>
      <c r="K1773" s="5" t="s">
        <v>37</v>
      </c>
      <c r="L1773" s="5" t="s">
        <v>38</v>
      </c>
      <c r="M1773" s="5" t="s">
        <v>37</v>
      </c>
      <c r="N1773" s="5" t="s">
        <v>37</v>
      </c>
      <c r="O1773" s="5" t="s">
        <v>38</v>
      </c>
      <c r="P1773" s="5" t="s">
        <v>39</v>
      </c>
      <c r="Q1773" s="2">
        <v>46058</v>
      </c>
    </row>
    <row r="1774" spans="1:23">
      <c r="A1774" s="105">
        <v>46049</v>
      </c>
      <c r="B1774" s="35" t="s">
        <v>4980</v>
      </c>
      <c r="C1774" s="35" t="s">
        <v>4981</v>
      </c>
      <c r="D1774" s="35" t="s">
        <v>619</v>
      </c>
      <c r="E1774" s="35">
        <v>85364</v>
      </c>
      <c r="F1774" s="35" t="s">
        <v>4982</v>
      </c>
      <c r="G1774" s="35" t="s">
        <v>4609</v>
      </c>
      <c r="H1774" s="22" t="s">
        <v>27</v>
      </c>
      <c r="I1774" s="19"/>
      <c r="J1774" s="19"/>
      <c r="K1774" s="19"/>
      <c r="L1774" s="19"/>
      <c r="M1774" s="19"/>
      <c r="N1774" s="19"/>
      <c r="O1774" s="19"/>
      <c r="P1774" s="19"/>
      <c r="Q1774" s="19"/>
      <c r="R1774" s="35"/>
      <c r="S1774" s="35"/>
      <c r="T1774" s="35"/>
      <c r="U1774" s="35"/>
      <c r="V1774" s="35"/>
      <c r="W1774" s="35"/>
    </row>
    <row r="1775" spans="1:23">
      <c r="A1775" s="23">
        <v>46049</v>
      </c>
      <c r="B1775" s="1" t="s">
        <v>4983</v>
      </c>
      <c r="C1775" s="1" t="s">
        <v>3062</v>
      </c>
      <c r="D1775" s="1" t="s">
        <v>93</v>
      </c>
      <c r="E1775" s="1">
        <v>85373</v>
      </c>
      <c r="F1775" s="1" t="s">
        <v>4984</v>
      </c>
      <c r="G1775" s="1" t="s">
        <v>4609</v>
      </c>
      <c r="H1775" s="4" t="s">
        <v>4985</v>
      </c>
      <c r="I1775" s="5" t="s">
        <v>3887</v>
      </c>
      <c r="J1775" s="5" t="s">
        <v>38</v>
      </c>
      <c r="K1775" s="5" t="s">
        <v>37</v>
      </c>
      <c r="L1775" s="5" t="s">
        <v>4079</v>
      </c>
      <c r="M1775" s="5" t="s">
        <v>37</v>
      </c>
      <c r="N1775" s="5" t="s">
        <v>37</v>
      </c>
      <c r="O1775" s="5" t="s">
        <v>38</v>
      </c>
      <c r="P1775" s="5" t="s">
        <v>39</v>
      </c>
      <c r="Q1775" s="2">
        <v>46058</v>
      </c>
    </row>
    <row r="1776" spans="1:23">
      <c r="A1776" s="103">
        <v>46049</v>
      </c>
      <c r="B1776" s="33" t="s">
        <v>4986</v>
      </c>
      <c r="C1776" s="33" t="s">
        <v>4987</v>
      </c>
      <c r="D1776" s="33" t="s">
        <v>85</v>
      </c>
      <c r="E1776" s="33">
        <v>86323</v>
      </c>
      <c r="F1776" s="33" t="s">
        <v>4988</v>
      </c>
      <c r="G1776" s="33" t="s">
        <v>4609</v>
      </c>
      <c r="H1776" s="45" t="s">
        <v>4989</v>
      </c>
      <c r="I1776" s="43" t="s">
        <v>36</v>
      </c>
      <c r="J1776" s="43" t="s">
        <v>38</v>
      </c>
      <c r="K1776" s="43" t="s">
        <v>37</v>
      </c>
      <c r="L1776" s="43" t="s">
        <v>38</v>
      </c>
      <c r="M1776" s="43" t="s">
        <v>38</v>
      </c>
      <c r="N1776" s="90">
        <v>1048.1600000000001</v>
      </c>
      <c r="O1776" s="43" t="s">
        <v>38</v>
      </c>
      <c r="P1776" s="43"/>
      <c r="Q1776" s="42">
        <v>46058</v>
      </c>
      <c r="R1776" s="33" t="s">
        <v>4990</v>
      </c>
      <c r="S1776" s="33"/>
      <c r="T1776" s="33"/>
      <c r="U1776" s="33"/>
      <c r="V1776" s="33"/>
      <c r="W1776" s="33"/>
    </row>
    <row r="1777" spans="1:18">
      <c r="A1777" s="23">
        <v>46049</v>
      </c>
      <c r="B1777" s="1" t="s">
        <v>558</v>
      </c>
      <c r="C1777" s="1" t="s">
        <v>658</v>
      </c>
      <c r="D1777" s="1" t="s">
        <v>112</v>
      </c>
      <c r="E1777" s="1">
        <v>85388</v>
      </c>
      <c r="F1777" s="1" t="s">
        <v>4991</v>
      </c>
      <c r="G1777" s="1" t="s">
        <v>4609</v>
      </c>
      <c r="H1777" s="4" t="s">
        <v>4992</v>
      </c>
      <c r="I1777" s="5" t="s">
        <v>36</v>
      </c>
      <c r="J1777" s="5" t="s">
        <v>37</v>
      </c>
      <c r="K1777" s="5" t="s">
        <v>37</v>
      </c>
      <c r="L1777" s="5" t="s">
        <v>38</v>
      </c>
      <c r="M1777" s="5" t="s">
        <v>37</v>
      </c>
      <c r="N1777" s="5" t="s">
        <v>37</v>
      </c>
      <c r="O1777" s="5" t="s">
        <v>38</v>
      </c>
      <c r="P1777" s="5" t="s">
        <v>39</v>
      </c>
      <c r="Q1777" s="2">
        <v>46058</v>
      </c>
      <c r="R1777" s="1" t="s">
        <v>4993</v>
      </c>
    </row>
    <row r="1778" spans="1:18">
      <c r="A1778" s="23">
        <v>46049</v>
      </c>
      <c r="B1778" s="1" t="s">
        <v>2833</v>
      </c>
      <c r="C1778" s="1" t="s">
        <v>1093</v>
      </c>
      <c r="D1778" s="1" t="s">
        <v>174</v>
      </c>
      <c r="E1778" s="1">
        <v>85396</v>
      </c>
      <c r="F1778" s="1" t="s">
        <v>4994</v>
      </c>
      <c r="G1778" s="1" t="s">
        <v>4609</v>
      </c>
      <c r="H1778" s="4" t="s">
        <v>4995</v>
      </c>
      <c r="I1778" s="5" t="s">
        <v>4214</v>
      </c>
      <c r="J1778" s="5" t="s">
        <v>37</v>
      </c>
      <c r="K1778" s="5" t="s">
        <v>37</v>
      </c>
      <c r="L1778" s="5" t="s">
        <v>4079</v>
      </c>
      <c r="M1778" s="5" t="s">
        <v>37</v>
      </c>
      <c r="N1778" s="5" t="s">
        <v>37</v>
      </c>
      <c r="O1778" s="5" t="s">
        <v>38</v>
      </c>
      <c r="P1778" s="5" t="s">
        <v>39</v>
      </c>
      <c r="Q1778" s="2">
        <v>46058</v>
      </c>
    </row>
    <row r="1779" spans="1:18">
      <c r="A1779" s="23">
        <v>46049</v>
      </c>
      <c r="B1779" s="1" t="s">
        <v>358</v>
      </c>
      <c r="C1779" s="1" t="s">
        <v>4996</v>
      </c>
      <c r="D1779" s="1" t="s">
        <v>129</v>
      </c>
      <c r="E1779" s="1">
        <v>85233</v>
      </c>
      <c r="F1779" s="1" t="s">
        <v>4997</v>
      </c>
      <c r="G1779" s="1" t="s">
        <v>4609</v>
      </c>
      <c r="H1779" s="4" t="s">
        <v>90</v>
      </c>
      <c r="R1779" s="1" t="s">
        <v>4759</v>
      </c>
    </row>
    <row r="1780" spans="1:18">
      <c r="A1780" s="23">
        <v>46049</v>
      </c>
      <c r="B1780" s="1" t="s">
        <v>4998</v>
      </c>
      <c r="C1780" s="1" t="s">
        <v>4999</v>
      </c>
      <c r="D1780" s="1" t="s">
        <v>63</v>
      </c>
      <c r="E1780" s="1">
        <v>85029</v>
      </c>
      <c r="F1780" s="1" t="s">
        <v>5000</v>
      </c>
      <c r="G1780" s="1" t="s">
        <v>4609</v>
      </c>
      <c r="H1780" s="4" t="s">
        <v>27</v>
      </c>
    </row>
    <row r="1781" spans="1:18">
      <c r="A1781" s="23">
        <v>46049</v>
      </c>
      <c r="B1781" s="1" t="s">
        <v>5001</v>
      </c>
      <c r="C1781" s="1" t="s">
        <v>67</v>
      </c>
      <c r="D1781" s="1" t="s">
        <v>112</v>
      </c>
      <c r="E1781" s="1">
        <v>85374</v>
      </c>
      <c r="F1781" s="1" t="s">
        <v>5002</v>
      </c>
      <c r="G1781" s="1" t="s">
        <v>4609</v>
      </c>
      <c r="H1781" s="4" t="s">
        <v>5003</v>
      </c>
      <c r="I1781" s="5" t="s">
        <v>46</v>
      </c>
      <c r="J1781" s="5" t="s">
        <v>37</v>
      </c>
      <c r="K1781" s="5" t="s">
        <v>37</v>
      </c>
      <c r="L1781" s="5" t="s">
        <v>38</v>
      </c>
      <c r="M1781" s="5" t="s">
        <v>37</v>
      </c>
      <c r="N1781" s="5" t="s">
        <v>37</v>
      </c>
      <c r="O1781" s="5" t="s">
        <v>38</v>
      </c>
      <c r="P1781" s="5" t="s">
        <v>39</v>
      </c>
      <c r="Q1781" s="2">
        <v>46058</v>
      </c>
    </row>
    <row r="1782" spans="1:18">
      <c r="A1782" s="23">
        <v>46049</v>
      </c>
      <c r="B1782" s="1" t="s">
        <v>5004</v>
      </c>
      <c r="C1782" s="1" t="s">
        <v>135</v>
      </c>
      <c r="D1782" s="1" t="s">
        <v>174</v>
      </c>
      <c r="E1782" s="1">
        <v>85326</v>
      </c>
      <c r="F1782" s="1" t="s">
        <v>5005</v>
      </c>
      <c r="G1782" s="1" t="s">
        <v>4609</v>
      </c>
      <c r="H1782" s="4" t="s">
        <v>27</v>
      </c>
      <c r="R1782" s="1" t="s">
        <v>4759</v>
      </c>
    </row>
    <row r="1783" spans="1:18">
      <c r="A1783" s="23">
        <v>46049</v>
      </c>
      <c r="B1783" s="1" t="s">
        <v>5006</v>
      </c>
      <c r="C1783" s="1" t="s">
        <v>1323</v>
      </c>
      <c r="D1783" s="1" t="s">
        <v>448</v>
      </c>
      <c r="E1783" s="1">
        <v>85361</v>
      </c>
      <c r="F1783" s="1" t="s">
        <v>5007</v>
      </c>
      <c r="G1783" s="1" t="s">
        <v>4609</v>
      </c>
      <c r="H1783" s="4" t="s">
        <v>90</v>
      </c>
    </row>
    <row r="1784" spans="1:18">
      <c r="A1784" s="23">
        <v>46049</v>
      </c>
      <c r="B1784" s="1" t="s">
        <v>2531</v>
      </c>
      <c r="C1784" s="1" t="s">
        <v>4399</v>
      </c>
      <c r="D1784" s="1" t="s">
        <v>63</v>
      </c>
      <c r="E1784" s="1">
        <v>85032</v>
      </c>
      <c r="F1784" s="1" t="s">
        <v>5008</v>
      </c>
      <c r="G1784" s="1" t="s">
        <v>4609</v>
      </c>
      <c r="H1784" s="4" t="s">
        <v>5009</v>
      </c>
      <c r="I1784" s="5" t="s">
        <v>73</v>
      </c>
      <c r="J1784" s="5" t="s">
        <v>37</v>
      </c>
      <c r="K1784" s="5" t="s">
        <v>37</v>
      </c>
      <c r="L1784" s="5" t="s">
        <v>38</v>
      </c>
      <c r="M1784" s="5" t="s">
        <v>37</v>
      </c>
      <c r="N1784" s="5" t="s">
        <v>37</v>
      </c>
      <c r="O1784" s="5" t="s">
        <v>38</v>
      </c>
      <c r="P1784" s="5" t="s">
        <v>39</v>
      </c>
      <c r="Q1784" s="2">
        <v>46058</v>
      </c>
    </row>
    <row r="1785" spans="1:18">
      <c r="A1785" s="23">
        <v>46049</v>
      </c>
      <c r="B1785" s="1" t="s">
        <v>306</v>
      </c>
      <c r="C1785" s="1" t="s">
        <v>5010</v>
      </c>
      <c r="D1785" s="1" t="s">
        <v>523</v>
      </c>
      <c r="E1785" s="1">
        <v>85323</v>
      </c>
      <c r="F1785" s="1" t="s">
        <v>5011</v>
      </c>
      <c r="G1785" s="1" t="s">
        <v>4609</v>
      </c>
      <c r="H1785" s="4" t="s">
        <v>5012</v>
      </c>
      <c r="R1785" s="1" t="s">
        <v>4759</v>
      </c>
    </row>
    <row r="1786" spans="1:18">
      <c r="A1786" s="23">
        <v>46049</v>
      </c>
      <c r="B1786" s="1" t="s">
        <v>5013</v>
      </c>
      <c r="C1786" s="1" t="s">
        <v>5014</v>
      </c>
      <c r="D1786" s="1" t="s">
        <v>24</v>
      </c>
      <c r="E1786" s="1">
        <v>85308</v>
      </c>
      <c r="F1786" s="1" t="s">
        <v>5015</v>
      </c>
      <c r="G1786" s="1" t="s">
        <v>4609</v>
      </c>
      <c r="H1786" s="4" t="s">
        <v>27</v>
      </c>
    </row>
    <row r="1787" spans="1:18">
      <c r="A1787" s="23">
        <v>46049</v>
      </c>
      <c r="B1787" s="1" t="s">
        <v>5016</v>
      </c>
      <c r="C1787" s="1" t="s">
        <v>3023</v>
      </c>
      <c r="D1787" s="1" t="s">
        <v>63</v>
      </c>
      <c r="E1787" s="1">
        <v>85017</v>
      </c>
      <c r="F1787" s="1" t="s">
        <v>5017</v>
      </c>
      <c r="G1787" s="1" t="s">
        <v>4609</v>
      </c>
      <c r="H1787" s="4" t="s">
        <v>5018</v>
      </c>
      <c r="I1787" s="5" t="s">
        <v>126</v>
      </c>
      <c r="J1787" s="5" t="s">
        <v>37</v>
      </c>
      <c r="K1787" s="5" t="s">
        <v>37</v>
      </c>
      <c r="L1787" s="5" t="s">
        <v>5019</v>
      </c>
      <c r="M1787" s="5" t="s">
        <v>37</v>
      </c>
      <c r="N1787" s="5" t="s">
        <v>37</v>
      </c>
      <c r="O1787" s="5" t="s">
        <v>38</v>
      </c>
      <c r="P1787" s="5" t="s">
        <v>39</v>
      </c>
      <c r="Q1787" s="2">
        <v>46058</v>
      </c>
    </row>
    <row r="1788" spans="1:18">
      <c r="A1788" s="23">
        <v>46049</v>
      </c>
      <c r="B1788" s="1" t="s">
        <v>5020</v>
      </c>
      <c r="C1788" s="1" t="s">
        <v>4111</v>
      </c>
      <c r="D1788" s="1" t="s">
        <v>63</v>
      </c>
      <c r="E1788" s="1">
        <v>85032</v>
      </c>
      <c r="F1788" s="1" t="s">
        <v>5021</v>
      </c>
      <c r="G1788" s="1" t="s">
        <v>4609</v>
      </c>
      <c r="H1788" s="4" t="s">
        <v>5022</v>
      </c>
      <c r="I1788" s="5" t="s">
        <v>126</v>
      </c>
      <c r="J1788" s="5" t="s">
        <v>37</v>
      </c>
      <c r="K1788" s="5" t="s">
        <v>37</v>
      </c>
      <c r="L1788" s="5" t="s">
        <v>38</v>
      </c>
      <c r="M1788" s="5" t="s">
        <v>37</v>
      </c>
      <c r="N1788" s="5" t="s">
        <v>37</v>
      </c>
      <c r="O1788" s="5" t="s">
        <v>38</v>
      </c>
      <c r="P1788" s="5" t="s">
        <v>39</v>
      </c>
      <c r="Q1788" s="2">
        <v>46058</v>
      </c>
    </row>
    <row r="1789" spans="1:18">
      <c r="A1789" s="23">
        <v>46049</v>
      </c>
      <c r="B1789" s="1" t="s">
        <v>5023</v>
      </c>
      <c r="C1789" s="1" t="s">
        <v>177</v>
      </c>
      <c r="D1789" s="1" t="s">
        <v>264</v>
      </c>
      <c r="E1789" s="1">
        <v>85541</v>
      </c>
      <c r="F1789" s="1" t="s">
        <v>5024</v>
      </c>
      <c r="G1789" s="1" t="s">
        <v>4609</v>
      </c>
      <c r="H1789" s="4" t="s">
        <v>5025</v>
      </c>
      <c r="I1789" s="5" t="s">
        <v>73</v>
      </c>
      <c r="J1789" s="5" t="s">
        <v>37</v>
      </c>
      <c r="K1789" s="5" t="s">
        <v>37</v>
      </c>
      <c r="L1789" s="5" t="s">
        <v>38</v>
      </c>
      <c r="M1789" s="5" t="s">
        <v>37</v>
      </c>
      <c r="N1789" s="5" t="s">
        <v>37</v>
      </c>
      <c r="O1789" s="5" t="s">
        <v>38</v>
      </c>
      <c r="P1789" s="5" t="s">
        <v>39</v>
      </c>
      <c r="Q1789" s="2">
        <v>46058</v>
      </c>
    </row>
    <row r="1790" spans="1:18">
      <c r="A1790" s="23">
        <v>46049</v>
      </c>
      <c r="B1790" s="1" t="s">
        <v>5026</v>
      </c>
      <c r="C1790" s="1" t="s">
        <v>658</v>
      </c>
      <c r="D1790" s="1" t="s">
        <v>202</v>
      </c>
      <c r="E1790" s="1">
        <v>85382</v>
      </c>
      <c r="F1790" s="1" t="s">
        <v>5027</v>
      </c>
      <c r="G1790" s="1" t="s">
        <v>4609</v>
      </c>
      <c r="H1790" s="4" t="s">
        <v>27</v>
      </c>
    </row>
    <row r="1791" spans="1:18">
      <c r="A1791" s="23">
        <v>46049</v>
      </c>
      <c r="B1791" s="1" t="s">
        <v>5028</v>
      </c>
      <c r="C1791" s="1" t="s">
        <v>5029</v>
      </c>
      <c r="D1791" s="1" t="s">
        <v>5030</v>
      </c>
      <c r="E1791" s="1">
        <v>85544</v>
      </c>
      <c r="F1791" s="1" t="s">
        <v>5031</v>
      </c>
      <c r="G1791" s="1" t="s">
        <v>4609</v>
      </c>
      <c r="H1791" s="4" t="s">
        <v>5032</v>
      </c>
      <c r="I1791" s="5" t="s">
        <v>36</v>
      </c>
      <c r="J1791" s="5" t="s">
        <v>38</v>
      </c>
      <c r="K1791" s="5" t="s">
        <v>37</v>
      </c>
      <c r="L1791" s="5" t="s">
        <v>5033</v>
      </c>
      <c r="M1791" s="5" t="s">
        <v>37</v>
      </c>
      <c r="N1791" s="5" t="s">
        <v>37</v>
      </c>
      <c r="O1791" s="5" t="s">
        <v>38</v>
      </c>
      <c r="P1791" s="5" t="s">
        <v>39</v>
      </c>
      <c r="Q1791" s="2">
        <v>46058</v>
      </c>
    </row>
    <row r="1792" spans="1:18">
      <c r="A1792" s="23">
        <v>46049</v>
      </c>
      <c r="B1792" s="1" t="s">
        <v>5034</v>
      </c>
      <c r="C1792" s="1" t="s">
        <v>102</v>
      </c>
      <c r="D1792" s="1" t="s">
        <v>174</v>
      </c>
      <c r="E1792" s="1">
        <v>85326</v>
      </c>
      <c r="F1792" s="1" t="s">
        <v>5035</v>
      </c>
      <c r="G1792" s="1" t="s">
        <v>4609</v>
      </c>
      <c r="H1792" s="4" t="s">
        <v>5036</v>
      </c>
      <c r="I1792" s="5" t="s">
        <v>36</v>
      </c>
      <c r="J1792" s="5" t="s">
        <v>37</v>
      </c>
      <c r="K1792" s="5" t="s">
        <v>37</v>
      </c>
      <c r="L1792" s="5" t="s">
        <v>38</v>
      </c>
      <c r="M1792" s="5" t="s">
        <v>37</v>
      </c>
      <c r="N1792" s="5" t="s">
        <v>37</v>
      </c>
      <c r="O1792" s="5" t="s">
        <v>38</v>
      </c>
      <c r="P1792" s="5" t="s">
        <v>39</v>
      </c>
      <c r="Q1792" s="2">
        <v>46058</v>
      </c>
    </row>
    <row r="1793" spans="1:23">
      <c r="A1793" s="23">
        <v>46049</v>
      </c>
      <c r="B1793" s="1" t="s">
        <v>5037</v>
      </c>
      <c r="C1793" s="1" t="s">
        <v>5038</v>
      </c>
      <c r="D1793" s="1" t="s">
        <v>63</v>
      </c>
      <c r="E1793" s="1">
        <v>85029</v>
      </c>
      <c r="F1793" s="1" t="s">
        <v>5039</v>
      </c>
      <c r="G1793" s="1" t="s">
        <v>4609</v>
      </c>
      <c r="H1793" s="4" t="s">
        <v>27</v>
      </c>
    </row>
    <row r="1794" spans="1:23">
      <c r="A1794" s="23">
        <v>46049</v>
      </c>
      <c r="B1794" s="1" t="s">
        <v>367</v>
      </c>
      <c r="C1794" s="1" t="s">
        <v>5040</v>
      </c>
      <c r="D1794" s="1" t="s">
        <v>698</v>
      </c>
      <c r="E1794" s="1">
        <v>85375</v>
      </c>
      <c r="F1794" s="1" t="s">
        <v>5041</v>
      </c>
      <c r="G1794" s="1" t="s">
        <v>4609</v>
      </c>
      <c r="H1794" s="4" t="s">
        <v>5042</v>
      </c>
      <c r="I1794" s="5" t="s">
        <v>541</v>
      </c>
      <c r="J1794" s="5" t="s">
        <v>37</v>
      </c>
      <c r="K1794" s="5" t="s">
        <v>37</v>
      </c>
      <c r="L1794" s="5" t="s">
        <v>4079</v>
      </c>
      <c r="M1794" s="5" t="s">
        <v>37</v>
      </c>
      <c r="N1794" s="5" t="s">
        <v>37</v>
      </c>
      <c r="O1794" s="5" t="s">
        <v>38</v>
      </c>
      <c r="P1794" s="5" t="s">
        <v>39</v>
      </c>
      <c r="Q1794" s="2">
        <v>46058</v>
      </c>
    </row>
    <row r="1795" spans="1:23">
      <c r="A1795" s="23">
        <v>46049</v>
      </c>
      <c r="B1795" s="1" t="s">
        <v>5043</v>
      </c>
      <c r="C1795" s="1" t="s">
        <v>124</v>
      </c>
      <c r="D1795" s="1" t="s">
        <v>63</v>
      </c>
      <c r="E1795" s="1">
        <v>85032</v>
      </c>
      <c r="F1795" s="1" t="s">
        <v>5044</v>
      </c>
      <c r="G1795" s="1" t="s">
        <v>4609</v>
      </c>
      <c r="H1795" s="4" t="s">
        <v>5045</v>
      </c>
      <c r="I1795" s="5" t="s">
        <v>57</v>
      </c>
      <c r="J1795" s="5" t="s">
        <v>37</v>
      </c>
      <c r="K1795" s="5" t="s">
        <v>37</v>
      </c>
      <c r="L1795" s="5" t="s">
        <v>4419</v>
      </c>
      <c r="M1795" s="5" t="s">
        <v>37</v>
      </c>
      <c r="N1795" s="5" t="s">
        <v>37</v>
      </c>
      <c r="O1795" s="5" t="s">
        <v>38</v>
      </c>
      <c r="P1795" s="5" t="s">
        <v>39</v>
      </c>
      <c r="Q1795" s="2">
        <v>46058</v>
      </c>
    </row>
    <row r="1796" spans="1:23">
      <c r="A1796" s="23">
        <v>46049</v>
      </c>
      <c r="B1796" s="1" t="s">
        <v>5046</v>
      </c>
      <c r="C1796" s="1" t="s">
        <v>3006</v>
      </c>
      <c r="D1796" s="1" t="s">
        <v>63</v>
      </c>
      <c r="E1796" s="1">
        <v>85024</v>
      </c>
      <c r="F1796" s="1" t="s">
        <v>5047</v>
      </c>
      <c r="G1796" s="1" t="s">
        <v>4609</v>
      </c>
      <c r="H1796" s="4" t="s">
        <v>5048</v>
      </c>
      <c r="I1796" s="5" t="s">
        <v>36</v>
      </c>
      <c r="J1796" s="5" t="s">
        <v>37</v>
      </c>
      <c r="K1796" s="5" t="s">
        <v>37</v>
      </c>
      <c r="L1796" s="5" t="s">
        <v>38</v>
      </c>
      <c r="M1796" s="5" t="s">
        <v>37</v>
      </c>
      <c r="N1796" s="5" t="s">
        <v>37</v>
      </c>
      <c r="O1796" s="5" t="s">
        <v>38</v>
      </c>
      <c r="P1796" s="5" t="s">
        <v>39</v>
      </c>
      <c r="Q1796" s="2">
        <v>46058</v>
      </c>
    </row>
    <row r="1797" spans="1:23">
      <c r="A1797" s="23">
        <v>46049</v>
      </c>
      <c r="B1797" s="1" t="s">
        <v>5049</v>
      </c>
      <c r="C1797" s="1" t="s">
        <v>4623</v>
      </c>
      <c r="D1797" s="1" t="s">
        <v>1919</v>
      </c>
      <c r="E1797" s="1">
        <v>85201</v>
      </c>
      <c r="F1797" s="1" t="s">
        <v>5050</v>
      </c>
      <c r="G1797" s="1" t="s">
        <v>4609</v>
      </c>
      <c r="H1797" s="4" t="s">
        <v>27</v>
      </c>
    </row>
    <row r="1798" spans="1:23">
      <c r="A1798" s="23">
        <v>46049</v>
      </c>
      <c r="B1798" s="1" t="s">
        <v>5051</v>
      </c>
      <c r="C1798" s="1" t="s">
        <v>328</v>
      </c>
      <c r="D1798" s="1" t="s">
        <v>1919</v>
      </c>
      <c r="E1798" s="1">
        <v>85207</v>
      </c>
      <c r="F1798" s="1" t="s">
        <v>5052</v>
      </c>
      <c r="G1798" s="1" t="s">
        <v>4609</v>
      </c>
      <c r="H1798" s="4" t="s">
        <v>27</v>
      </c>
    </row>
    <row r="1799" spans="1:23">
      <c r="A1799" s="23">
        <v>46049</v>
      </c>
      <c r="B1799" s="1" t="s">
        <v>5053</v>
      </c>
      <c r="C1799" s="1" t="s">
        <v>4607</v>
      </c>
      <c r="D1799" s="1" t="s">
        <v>24</v>
      </c>
      <c r="E1799" s="1">
        <v>85302</v>
      </c>
      <c r="F1799" s="1" t="s">
        <v>5054</v>
      </c>
      <c r="G1799" s="1" t="s">
        <v>4609</v>
      </c>
      <c r="H1799" s="4" t="s">
        <v>27</v>
      </c>
    </row>
    <row r="1800" spans="1:23">
      <c r="A1800" s="23">
        <v>46049</v>
      </c>
      <c r="B1800" s="1" t="s">
        <v>5055</v>
      </c>
      <c r="C1800" s="1" t="s">
        <v>747</v>
      </c>
      <c r="D1800" s="1" t="s">
        <v>698</v>
      </c>
      <c r="E1800" s="1">
        <v>85375</v>
      </c>
      <c r="F1800" s="1" t="s">
        <v>5056</v>
      </c>
      <c r="G1800" s="1" t="s">
        <v>4609</v>
      </c>
      <c r="H1800" s="4" t="s">
        <v>5057</v>
      </c>
      <c r="I1800" s="5" t="s">
        <v>46</v>
      </c>
      <c r="J1800" s="5" t="s">
        <v>38</v>
      </c>
      <c r="K1800" s="5" t="s">
        <v>37</v>
      </c>
      <c r="L1800" s="5" t="s">
        <v>38</v>
      </c>
      <c r="M1800" s="5" t="s">
        <v>37</v>
      </c>
      <c r="N1800" s="5" t="s">
        <v>37</v>
      </c>
      <c r="O1800" s="5" t="s">
        <v>38</v>
      </c>
      <c r="P1800" s="5" t="s">
        <v>39</v>
      </c>
      <c r="Q1800" s="2">
        <v>46058</v>
      </c>
    </row>
    <row r="1801" spans="1:23">
      <c r="A1801" s="105">
        <v>46049</v>
      </c>
      <c r="B1801" s="35" t="s">
        <v>5058</v>
      </c>
      <c r="C1801" s="35" t="s">
        <v>131</v>
      </c>
      <c r="D1801" s="35" t="s">
        <v>85</v>
      </c>
      <c r="E1801" s="35">
        <v>86323</v>
      </c>
      <c r="F1801" s="35" t="s">
        <v>5059</v>
      </c>
      <c r="G1801" s="35" t="s">
        <v>4609</v>
      </c>
      <c r="H1801" s="22" t="s">
        <v>5060</v>
      </c>
      <c r="I1801" s="19" t="s">
        <v>73</v>
      </c>
      <c r="J1801" s="19" t="s">
        <v>38</v>
      </c>
      <c r="K1801" s="19" t="s">
        <v>37</v>
      </c>
      <c r="L1801" s="19" t="s">
        <v>38</v>
      </c>
      <c r="M1801" s="19" t="s">
        <v>37</v>
      </c>
      <c r="N1801" s="19" t="s">
        <v>37</v>
      </c>
      <c r="O1801" s="19" t="s">
        <v>38</v>
      </c>
      <c r="P1801" s="19" t="s">
        <v>39</v>
      </c>
      <c r="Q1801" s="34">
        <v>46058</v>
      </c>
      <c r="R1801" s="35"/>
      <c r="S1801" s="35"/>
      <c r="T1801" s="35"/>
      <c r="U1801" s="35"/>
      <c r="V1801" s="35"/>
      <c r="W1801" s="35"/>
    </row>
    <row r="1802" spans="1:23">
      <c r="A1802" s="23">
        <v>46049</v>
      </c>
      <c r="B1802" s="1" t="s">
        <v>5061</v>
      </c>
      <c r="C1802" s="1" t="s">
        <v>597</v>
      </c>
      <c r="D1802" s="1" t="s">
        <v>370</v>
      </c>
      <c r="E1802" s="1">
        <v>85225</v>
      </c>
      <c r="F1802" s="1" t="s">
        <v>5062</v>
      </c>
      <c r="G1802" s="1" t="s">
        <v>4609</v>
      </c>
      <c r="H1802" s="4" t="s">
        <v>27</v>
      </c>
    </row>
    <row r="1803" spans="1:23">
      <c r="A1803" s="23">
        <v>46049</v>
      </c>
      <c r="B1803" s="1" t="s">
        <v>5063</v>
      </c>
      <c r="C1803" s="1" t="s">
        <v>177</v>
      </c>
      <c r="D1803" s="1" t="s">
        <v>24</v>
      </c>
      <c r="E1803" s="1">
        <v>85308</v>
      </c>
      <c r="F1803" s="1" t="s">
        <v>5064</v>
      </c>
      <c r="G1803" s="1" t="s">
        <v>4609</v>
      </c>
      <c r="H1803" s="4" t="s">
        <v>27</v>
      </c>
    </row>
    <row r="1804" spans="1:23">
      <c r="A1804" s="23">
        <v>46049</v>
      </c>
      <c r="B1804" s="1" t="s">
        <v>5065</v>
      </c>
      <c r="C1804" s="1" t="s">
        <v>5066</v>
      </c>
      <c r="D1804" s="1" t="s">
        <v>202</v>
      </c>
      <c r="E1804" s="1">
        <v>85383</v>
      </c>
      <c r="F1804" s="1" t="s">
        <v>5067</v>
      </c>
      <c r="G1804" s="1" t="s">
        <v>4609</v>
      </c>
      <c r="H1804" s="4" t="s">
        <v>27</v>
      </c>
    </row>
    <row r="1805" spans="1:23">
      <c r="A1805" s="23">
        <v>46049</v>
      </c>
      <c r="B1805" s="1" t="s">
        <v>4617</v>
      </c>
      <c r="C1805" s="1" t="s">
        <v>5068</v>
      </c>
      <c r="D1805" s="1" t="s">
        <v>4164</v>
      </c>
      <c r="E1805" s="1">
        <v>85043</v>
      </c>
      <c r="F1805" s="1" t="s">
        <v>5069</v>
      </c>
      <c r="G1805" s="1" t="s">
        <v>4609</v>
      </c>
      <c r="H1805" s="4" t="s">
        <v>27</v>
      </c>
    </row>
    <row r="1806" spans="1:23">
      <c r="A1806" s="23">
        <v>46049</v>
      </c>
      <c r="B1806" s="1" t="s">
        <v>5070</v>
      </c>
      <c r="C1806" s="1" t="s">
        <v>3069</v>
      </c>
      <c r="D1806" s="1" t="s">
        <v>24</v>
      </c>
      <c r="E1806" s="1">
        <v>85306</v>
      </c>
      <c r="F1806" s="1" t="s">
        <v>5071</v>
      </c>
      <c r="G1806" s="1" t="s">
        <v>4609</v>
      </c>
      <c r="H1806" s="4" t="s">
        <v>27</v>
      </c>
    </row>
    <row r="1807" spans="1:23">
      <c r="A1807" s="23">
        <v>46049</v>
      </c>
      <c r="B1807" s="1" t="s">
        <v>5072</v>
      </c>
      <c r="C1807" s="1" t="s">
        <v>225</v>
      </c>
      <c r="D1807" s="1" t="s">
        <v>129</v>
      </c>
      <c r="E1807" s="1">
        <v>85233</v>
      </c>
      <c r="F1807" s="1" t="s">
        <v>5073</v>
      </c>
      <c r="G1807" s="1" t="s">
        <v>4609</v>
      </c>
      <c r="H1807" s="4" t="s">
        <v>5074</v>
      </c>
      <c r="I1807" s="5" t="s">
        <v>541</v>
      </c>
      <c r="J1807" s="5" t="s">
        <v>37</v>
      </c>
      <c r="K1807" s="5" t="s">
        <v>37</v>
      </c>
      <c r="L1807" s="5" t="s">
        <v>4079</v>
      </c>
      <c r="M1807" s="5" t="s">
        <v>37</v>
      </c>
      <c r="N1807" s="5" t="s">
        <v>37</v>
      </c>
      <c r="O1807" s="5" t="s">
        <v>38</v>
      </c>
      <c r="P1807" s="5" t="s">
        <v>39</v>
      </c>
      <c r="Q1807" s="2">
        <v>46058</v>
      </c>
    </row>
    <row r="1808" spans="1:23">
      <c r="A1808" s="23">
        <v>46049</v>
      </c>
      <c r="B1808" s="1" t="s">
        <v>5075</v>
      </c>
      <c r="C1808" s="1" t="s">
        <v>5076</v>
      </c>
      <c r="D1808" s="1" t="s">
        <v>2105</v>
      </c>
      <c r="E1808" s="1">
        <v>85128</v>
      </c>
      <c r="F1808" s="1" t="s">
        <v>5077</v>
      </c>
      <c r="G1808" s="1" t="s">
        <v>4609</v>
      </c>
      <c r="H1808" s="4" t="s">
        <v>5078</v>
      </c>
      <c r="I1808" s="5" t="s">
        <v>46</v>
      </c>
      <c r="J1808" s="5" t="s">
        <v>37</v>
      </c>
      <c r="K1808" s="5" t="s">
        <v>37</v>
      </c>
      <c r="L1808" s="5" t="s">
        <v>38</v>
      </c>
      <c r="M1808" s="5" t="s">
        <v>37</v>
      </c>
      <c r="N1808" s="5" t="s">
        <v>37</v>
      </c>
      <c r="O1808" s="5" t="s">
        <v>38</v>
      </c>
      <c r="P1808" s="5" t="s">
        <v>39</v>
      </c>
      <c r="Q1808" s="2">
        <v>46058</v>
      </c>
    </row>
    <row r="1809" spans="1:23">
      <c r="A1809" s="23">
        <v>46049</v>
      </c>
      <c r="B1809" s="1" t="s">
        <v>4920</v>
      </c>
      <c r="C1809" s="1" t="s">
        <v>4013</v>
      </c>
      <c r="D1809" s="1" t="s">
        <v>619</v>
      </c>
      <c r="E1809" s="1">
        <v>85364</v>
      </c>
      <c r="F1809" s="1" t="s">
        <v>5079</v>
      </c>
      <c r="G1809" s="1" t="s">
        <v>4609</v>
      </c>
      <c r="H1809" s="4" t="s">
        <v>5080</v>
      </c>
      <c r="I1809" s="5" t="s">
        <v>541</v>
      </c>
      <c r="J1809" s="5" t="s">
        <v>37</v>
      </c>
      <c r="K1809" s="5" t="s">
        <v>37</v>
      </c>
      <c r="L1809" s="5" t="s">
        <v>4079</v>
      </c>
      <c r="M1809" s="5" t="s">
        <v>37</v>
      </c>
      <c r="N1809" s="5" t="s">
        <v>37</v>
      </c>
      <c r="O1809" s="5" t="s">
        <v>38</v>
      </c>
      <c r="P1809" s="5" t="s">
        <v>39</v>
      </c>
      <c r="Q1809" s="2">
        <v>46058</v>
      </c>
    </row>
    <row r="1810" spans="1:23">
      <c r="A1810" s="23">
        <v>46049</v>
      </c>
      <c r="B1810" s="1" t="s">
        <v>5081</v>
      </c>
      <c r="C1810" s="1" t="s">
        <v>5082</v>
      </c>
      <c r="D1810" s="1" t="s">
        <v>63</v>
      </c>
      <c r="E1810" s="1">
        <v>85015</v>
      </c>
      <c r="F1810" s="1" t="s">
        <v>5083</v>
      </c>
      <c r="G1810" s="1" t="s">
        <v>4609</v>
      </c>
      <c r="H1810" s="4" t="s">
        <v>27</v>
      </c>
    </row>
    <row r="1811" spans="1:23">
      <c r="A1811" s="23">
        <v>46048</v>
      </c>
      <c r="B1811" s="1" t="s">
        <v>5084</v>
      </c>
      <c r="C1811" s="1" t="s">
        <v>5085</v>
      </c>
      <c r="D1811" s="1" t="s">
        <v>412</v>
      </c>
      <c r="E1811" s="1">
        <v>85123</v>
      </c>
      <c r="F1811" s="1" t="s">
        <v>5086</v>
      </c>
      <c r="G1811" s="1" t="s">
        <v>4609</v>
      </c>
      <c r="H1811" s="4" t="s">
        <v>5087</v>
      </c>
      <c r="I1811" s="5" t="s">
        <v>36</v>
      </c>
      <c r="J1811" s="5" t="s">
        <v>37</v>
      </c>
      <c r="K1811" s="5" t="s">
        <v>37</v>
      </c>
      <c r="L1811" s="5" t="s">
        <v>38</v>
      </c>
      <c r="M1811" s="5" t="s">
        <v>37</v>
      </c>
      <c r="N1811" s="5" t="s">
        <v>37</v>
      </c>
      <c r="O1811" s="5" t="s">
        <v>38</v>
      </c>
      <c r="P1811" s="5" t="s">
        <v>39</v>
      </c>
      <c r="Q1811" s="2">
        <v>46058</v>
      </c>
    </row>
    <row r="1812" spans="1:23" ht="13.5">
      <c r="A1812" s="23">
        <v>46055</v>
      </c>
      <c r="B1812" s="1" t="s">
        <v>3233</v>
      </c>
      <c r="C1812" s="1" t="s">
        <v>611</v>
      </c>
      <c r="D1812" s="1" t="s">
        <v>63</v>
      </c>
      <c r="E1812" s="1">
        <v>85022</v>
      </c>
      <c r="F1812" s="1" t="s">
        <v>5088</v>
      </c>
      <c r="G1812" s="40" t="s">
        <v>5089</v>
      </c>
      <c r="H1812" s="4" t="s">
        <v>3235</v>
      </c>
      <c r="I1812" s="5" t="s">
        <v>36</v>
      </c>
      <c r="J1812" s="5" t="s">
        <v>37</v>
      </c>
      <c r="K1812" s="5" t="s">
        <v>37</v>
      </c>
      <c r="L1812" s="5" t="s">
        <v>38</v>
      </c>
      <c r="M1812" s="5" t="s">
        <v>37</v>
      </c>
      <c r="N1812" s="5" t="s">
        <v>37</v>
      </c>
      <c r="O1812" s="5" t="s">
        <v>38</v>
      </c>
      <c r="P1812" s="5" t="s">
        <v>39</v>
      </c>
      <c r="Q1812" s="2">
        <v>46058</v>
      </c>
    </row>
    <row r="1813" spans="1:23">
      <c r="A1813" s="23">
        <v>46055</v>
      </c>
      <c r="B1813" s="1" t="s">
        <v>4579</v>
      </c>
      <c r="C1813" s="1" t="s">
        <v>4580</v>
      </c>
      <c r="D1813" s="1" t="s">
        <v>261</v>
      </c>
      <c r="E1813" s="1">
        <v>86314</v>
      </c>
      <c r="F1813" s="1" t="s">
        <v>5090</v>
      </c>
      <c r="G1813" s="1" t="s">
        <v>5089</v>
      </c>
      <c r="H1813" s="4" t="s">
        <v>4582</v>
      </c>
      <c r="I1813" s="5" t="s">
        <v>46</v>
      </c>
      <c r="J1813" s="5" t="s">
        <v>37</v>
      </c>
      <c r="K1813" s="5" t="s">
        <v>37</v>
      </c>
      <c r="L1813" s="5" t="s">
        <v>38</v>
      </c>
      <c r="M1813" s="5" t="s">
        <v>37</v>
      </c>
      <c r="N1813" s="5" t="s">
        <v>37</v>
      </c>
      <c r="O1813" s="5" t="s">
        <v>38</v>
      </c>
      <c r="P1813" s="5" t="s">
        <v>39</v>
      </c>
      <c r="Q1813" s="2">
        <v>46058</v>
      </c>
    </row>
    <row r="1814" spans="1:23">
      <c r="A1814" s="23">
        <v>46055</v>
      </c>
      <c r="B1814" s="1" t="s">
        <v>4575</v>
      </c>
      <c r="C1814" s="1" t="s">
        <v>1953</v>
      </c>
      <c r="D1814" s="1" t="s">
        <v>93</v>
      </c>
      <c r="E1814" s="1">
        <v>85351</v>
      </c>
      <c r="F1814" s="1" t="s">
        <v>5091</v>
      </c>
      <c r="G1814" s="1" t="s">
        <v>5089</v>
      </c>
      <c r="H1814" s="5">
        <v>2196530000</v>
      </c>
      <c r="I1814" s="5" t="s">
        <v>36</v>
      </c>
      <c r="J1814" s="5" t="s">
        <v>37</v>
      </c>
      <c r="K1814" s="5" t="s">
        <v>37</v>
      </c>
      <c r="L1814" s="5" t="s">
        <v>38</v>
      </c>
      <c r="M1814" s="5" t="s">
        <v>37</v>
      </c>
      <c r="N1814" s="5" t="s">
        <v>37</v>
      </c>
      <c r="O1814" s="5" t="s">
        <v>38</v>
      </c>
      <c r="P1814" s="5" t="s">
        <v>39</v>
      </c>
      <c r="Q1814" s="2">
        <v>46058</v>
      </c>
    </row>
    <row r="1815" spans="1:23">
      <c r="A1815" s="23">
        <v>46055</v>
      </c>
      <c r="B1815" s="1" t="s">
        <v>208</v>
      </c>
      <c r="C1815" s="1" t="s">
        <v>1824</v>
      </c>
      <c r="D1815" s="1" t="s">
        <v>63</v>
      </c>
      <c r="E1815" s="1">
        <v>85023</v>
      </c>
      <c r="F1815" s="1" t="s">
        <v>5092</v>
      </c>
      <c r="G1815" s="1" t="s">
        <v>5089</v>
      </c>
      <c r="H1815" s="4" t="s">
        <v>5093</v>
      </c>
      <c r="I1815" s="5" t="s">
        <v>36</v>
      </c>
      <c r="J1815" s="5" t="s">
        <v>37</v>
      </c>
      <c r="K1815" s="5" t="s">
        <v>37</v>
      </c>
      <c r="L1815" s="5" t="s">
        <v>38</v>
      </c>
      <c r="M1815" s="5" t="s">
        <v>37</v>
      </c>
      <c r="N1815" s="5" t="s">
        <v>37</v>
      </c>
      <c r="O1815" s="5" t="s">
        <v>38</v>
      </c>
      <c r="P1815" s="5" t="s">
        <v>39</v>
      </c>
      <c r="Q1815" s="2">
        <v>46058</v>
      </c>
    </row>
    <row r="1816" spans="1:23">
      <c r="A1816" s="103">
        <v>46055</v>
      </c>
      <c r="B1816" s="33" t="s">
        <v>5094</v>
      </c>
      <c r="C1816" s="33" t="s">
        <v>5095</v>
      </c>
      <c r="D1816" s="33" t="s">
        <v>619</v>
      </c>
      <c r="E1816" s="33">
        <v>85364</v>
      </c>
      <c r="F1816" s="33" t="s">
        <v>5096</v>
      </c>
      <c r="G1816" s="33" t="s">
        <v>5089</v>
      </c>
      <c r="H1816" s="45" t="s">
        <v>5097</v>
      </c>
      <c r="I1816" s="43" t="s">
        <v>196</v>
      </c>
      <c r="J1816" s="43" t="s">
        <v>38</v>
      </c>
      <c r="K1816" s="43" t="s">
        <v>37</v>
      </c>
      <c r="L1816" s="43" t="s">
        <v>5098</v>
      </c>
      <c r="M1816" s="43" t="s">
        <v>38</v>
      </c>
      <c r="N1816" s="90">
        <v>163.08000000000001</v>
      </c>
      <c r="O1816" s="43" t="s">
        <v>38</v>
      </c>
      <c r="P1816" s="43"/>
      <c r="Q1816" s="42">
        <v>46058</v>
      </c>
      <c r="R1816" s="33" t="s">
        <v>5099</v>
      </c>
      <c r="S1816" s="33"/>
      <c r="T1816" s="33"/>
      <c r="U1816" s="33"/>
      <c r="V1816" s="33"/>
      <c r="W1816" s="33"/>
    </row>
    <row r="1817" spans="1:23">
      <c r="A1817" s="23">
        <v>46055</v>
      </c>
      <c r="B1817" s="1" t="s">
        <v>2738</v>
      </c>
      <c r="C1817" s="1" t="s">
        <v>199</v>
      </c>
      <c r="D1817" s="1" t="s">
        <v>504</v>
      </c>
      <c r="E1817" s="1">
        <v>86001</v>
      </c>
      <c r="F1817" s="1" t="s">
        <v>5100</v>
      </c>
      <c r="G1817" s="1" t="s">
        <v>5089</v>
      </c>
      <c r="H1817" s="4" t="s">
        <v>90</v>
      </c>
    </row>
    <row r="1818" spans="1:23">
      <c r="A1818" s="23">
        <v>46055</v>
      </c>
      <c r="B1818" s="1" t="s">
        <v>5101</v>
      </c>
      <c r="C1818" s="1" t="s">
        <v>543</v>
      </c>
      <c r="D1818" s="1" t="s">
        <v>504</v>
      </c>
      <c r="E1818" s="1">
        <v>86001</v>
      </c>
      <c r="F1818" s="1" t="s">
        <v>5102</v>
      </c>
      <c r="G1818" s="1" t="s">
        <v>5089</v>
      </c>
      <c r="H1818" s="4" t="s">
        <v>5103</v>
      </c>
      <c r="I1818" s="5" t="s">
        <v>196</v>
      </c>
      <c r="J1818" s="5" t="s">
        <v>37</v>
      </c>
      <c r="K1818" s="5" t="s">
        <v>37</v>
      </c>
      <c r="L1818" s="5" t="s">
        <v>38</v>
      </c>
      <c r="M1818" s="5" t="s">
        <v>37</v>
      </c>
      <c r="N1818" s="5" t="s">
        <v>37</v>
      </c>
      <c r="O1818" s="5" t="s">
        <v>38</v>
      </c>
      <c r="P1818" s="5" t="s">
        <v>39</v>
      </c>
      <c r="Q1818" s="2">
        <v>46058</v>
      </c>
    </row>
    <row r="1819" spans="1:23">
      <c r="A1819" s="23">
        <v>46055</v>
      </c>
      <c r="B1819" s="1" t="s">
        <v>467</v>
      </c>
      <c r="C1819" s="1" t="s">
        <v>256</v>
      </c>
      <c r="D1819" s="1" t="s">
        <v>202</v>
      </c>
      <c r="E1819" s="1">
        <v>85345</v>
      </c>
      <c r="F1819" s="1" t="s">
        <v>5104</v>
      </c>
      <c r="G1819" s="1" t="s">
        <v>5089</v>
      </c>
      <c r="H1819" s="4" t="s">
        <v>27</v>
      </c>
    </row>
    <row r="1820" spans="1:23">
      <c r="A1820" s="23">
        <v>46055</v>
      </c>
      <c r="B1820" s="1" t="s">
        <v>467</v>
      </c>
      <c r="C1820" s="1" t="s">
        <v>768</v>
      </c>
      <c r="D1820" s="1" t="s">
        <v>202</v>
      </c>
      <c r="E1820" s="1">
        <v>85345</v>
      </c>
      <c r="F1820" s="1" t="s">
        <v>5105</v>
      </c>
      <c r="G1820" s="1" t="s">
        <v>5089</v>
      </c>
      <c r="H1820" s="4" t="s">
        <v>27</v>
      </c>
    </row>
    <row r="1821" spans="1:23">
      <c r="A1821" s="23">
        <v>46055</v>
      </c>
      <c r="B1821" s="1" t="s">
        <v>5106</v>
      </c>
      <c r="C1821" s="1" t="s">
        <v>597</v>
      </c>
      <c r="D1821" s="1" t="s">
        <v>63</v>
      </c>
      <c r="E1821" s="1">
        <v>85020</v>
      </c>
      <c r="F1821" s="1" t="s">
        <v>5107</v>
      </c>
      <c r="G1821" s="1" t="s">
        <v>5089</v>
      </c>
      <c r="H1821" s="4" t="s">
        <v>27</v>
      </c>
    </row>
    <row r="1822" spans="1:23">
      <c r="A1822" s="23">
        <v>46055</v>
      </c>
      <c r="B1822" s="1" t="s">
        <v>5108</v>
      </c>
      <c r="C1822" s="1" t="s">
        <v>307</v>
      </c>
      <c r="D1822" s="1" t="s">
        <v>63</v>
      </c>
      <c r="E1822" s="1">
        <v>85029</v>
      </c>
      <c r="F1822" s="1" t="s">
        <v>5109</v>
      </c>
      <c r="G1822" s="1" t="s">
        <v>5089</v>
      </c>
      <c r="H1822" s="4" t="s">
        <v>27</v>
      </c>
    </row>
    <row r="1823" spans="1:23">
      <c r="A1823" s="23">
        <v>46055</v>
      </c>
      <c r="B1823" s="1" t="s">
        <v>2307</v>
      </c>
      <c r="C1823" s="1" t="s">
        <v>1815</v>
      </c>
      <c r="D1823" s="1" t="s">
        <v>63</v>
      </c>
      <c r="E1823" s="1">
        <v>85009</v>
      </c>
      <c r="F1823" s="1" t="s">
        <v>5110</v>
      </c>
      <c r="G1823" s="1" t="s">
        <v>5089</v>
      </c>
      <c r="H1823" s="4" t="s">
        <v>5111</v>
      </c>
      <c r="I1823" s="5" t="s">
        <v>73</v>
      </c>
      <c r="J1823" s="5" t="s">
        <v>38</v>
      </c>
      <c r="K1823" s="5" t="s">
        <v>37</v>
      </c>
      <c r="L1823" s="5" t="s">
        <v>38</v>
      </c>
      <c r="M1823" s="5" t="s">
        <v>37</v>
      </c>
      <c r="N1823" s="5" t="s">
        <v>37</v>
      </c>
      <c r="O1823" s="5" t="s">
        <v>38</v>
      </c>
      <c r="P1823" s="5" t="s">
        <v>39</v>
      </c>
      <c r="Q1823" s="2">
        <v>46058</v>
      </c>
    </row>
    <row r="1824" spans="1:23">
      <c r="A1824" s="23">
        <v>46055</v>
      </c>
      <c r="B1824" s="1" t="s">
        <v>5112</v>
      </c>
      <c r="C1824" s="1" t="s">
        <v>5113</v>
      </c>
      <c r="D1824" s="1" t="s">
        <v>63</v>
      </c>
      <c r="E1824" s="1">
        <v>85023</v>
      </c>
      <c r="F1824" s="1" t="s">
        <v>5114</v>
      </c>
      <c r="G1824" s="1" t="s">
        <v>5089</v>
      </c>
      <c r="H1824" s="4" t="s">
        <v>27</v>
      </c>
    </row>
    <row r="1825" spans="1:23">
      <c r="A1825" s="23">
        <v>46055</v>
      </c>
      <c r="B1825" s="1" t="s">
        <v>5115</v>
      </c>
      <c r="C1825" s="1" t="s">
        <v>3554</v>
      </c>
      <c r="D1825" s="1" t="s">
        <v>85</v>
      </c>
      <c r="E1825" s="1">
        <v>86323</v>
      </c>
      <c r="F1825" s="1" t="s">
        <v>5116</v>
      </c>
      <c r="G1825" s="1" t="s">
        <v>5089</v>
      </c>
      <c r="H1825" s="4" t="s">
        <v>5117</v>
      </c>
      <c r="I1825" s="5" t="s">
        <v>73</v>
      </c>
      <c r="J1825" s="5" t="s">
        <v>37</v>
      </c>
      <c r="K1825" s="5" t="s">
        <v>37</v>
      </c>
      <c r="L1825" s="5" t="s">
        <v>38</v>
      </c>
      <c r="M1825" s="5" t="s">
        <v>37</v>
      </c>
      <c r="N1825" s="5" t="s">
        <v>37</v>
      </c>
      <c r="O1825" s="5" t="s">
        <v>38</v>
      </c>
      <c r="P1825" s="5" t="s">
        <v>39</v>
      </c>
      <c r="Q1825" s="2">
        <v>46058</v>
      </c>
    </row>
    <row r="1826" spans="1:23">
      <c r="A1826" s="23">
        <v>46055</v>
      </c>
      <c r="B1826" s="1" t="s">
        <v>5118</v>
      </c>
      <c r="C1826" s="1" t="s">
        <v>320</v>
      </c>
      <c r="D1826" s="1" t="s">
        <v>504</v>
      </c>
      <c r="E1826" s="1">
        <v>86001</v>
      </c>
      <c r="F1826" s="1" t="s">
        <v>5119</v>
      </c>
      <c r="G1826" s="1" t="s">
        <v>5089</v>
      </c>
      <c r="H1826" s="4" t="s">
        <v>5120</v>
      </c>
      <c r="I1826" s="5" t="s">
        <v>73</v>
      </c>
      <c r="J1826" s="5" t="s">
        <v>37</v>
      </c>
      <c r="K1826" s="5" t="s">
        <v>37</v>
      </c>
      <c r="L1826" s="5" t="s">
        <v>38</v>
      </c>
      <c r="M1826" s="5" t="s">
        <v>37</v>
      </c>
      <c r="N1826" s="5" t="s">
        <v>37</v>
      </c>
      <c r="O1826" s="5" t="s">
        <v>38</v>
      </c>
      <c r="P1826" s="5" t="s">
        <v>39</v>
      </c>
      <c r="Q1826" s="2">
        <v>46058</v>
      </c>
    </row>
    <row r="1827" spans="1:23">
      <c r="A1827" s="23">
        <v>46055</v>
      </c>
      <c r="B1827" s="1" t="s">
        <v>5121</v>
      </c>
      <c r="C1827" s="1" t="s">
        <v>5122</v>
      </c>
      <c r="D1827" s="1" t="s">
        <v>125</v>
      </c>
      <c r="E1827" s="1">
        <v>85258</v>
      </c>
      <c r="F1827" s="1" t="s">
        <v>5123</v>
      </c>
      <c r="G1827" s="1" t="s">
        <v>5089</v>
      </c>
      <c r="H1827" s="4" t="s">
        <v>5124</v>
      </c>
      <c r="I1827" s="5" t="s">
        <v>196</v>
      </c>
      <c r="J1827" s="5" t="s">
        <v>37</v>
      </c>
      <c r="K1827" s="5" t="s">
        <v>37</v>
      </c>
      <c r="L1827" s="5" t="s">
        <v>38</v>
      </c>
      <c r="M1827" s="5" t="s">
        <v>37</v>
      </c>
      <c r="N1827" s="5" t="s">
        <v>37</v>
      </c>
      <c r="O1827" s="5" t="s">
        <v>38</v>
      </c>
      <c r="P1827" s="5" t="s">
        <v>39</v>
      </c>
      <c r="Q1827" s="2">
        <v>46058</v>
      </c>
    </row>
    <row r="1828" spans="1:23">
      <c r="A1828" s="23">
        <v>46055</v>
      </c>
      <c r="B1828" s="1" t="s">
        <v>4604</v>
      </c>
      <c r="C1828" s="1" t="s">
        <v>2135</v>
      </c>
      <c r="D1828" s="1" t="s">
        <v>698</v>
      </c>
      <c r="E1828" s="1">
        <v>85375</v>
      </c>
      <c r="F1828" s="1" t="s">
        <v>5125</v>
      </c>
      <c r="G1828" s="1" t="s">
        <v>5089</v>
      </c>
      <c r="H1828" s="4" t="s">
        <v>4606</v>
      </c>
      <c r="I1828" s="5" t="s">
        <v>46</v>
      </c>
      <c r="J1828" s="5" t="s">
        <v>37</v>
      </c>
      <c r="K1828" s="5" t="s">
        <v>37</v>
      </c>
      <c r="L1828" s="5" t="s">
        <v>38</v>
      </c>
      <c r="M1828" s="5" t="s">
        <v>38</v>
      </c>
      <c r="N1828" s="13">
        <v>72.2</v>
      </c>
      <c r="O1828" s="5" t="s">
        <v>38</v>
      </c>
      <c r="P1828" s="5" t="s">
        <v>39</v>
      </c>
      <c r="Q1828" s="2">
        <v>46058</v>
      </c>
    </row>
    <row r="1829" spans="1:23">
      <c r="A1829" s="23">
        <v>46055</v>
      </c>
      <c r="B1829" s="1" t="s">
        <v>3062</v>
      </c>
      <c r="C1829" s="1" t="s">
        <v>227</v>
      </c>
      <c r="D1829" s="1" t="s">
        <v>737</v>
      </c>
      <c r="E1829" s="1">
        <v>86326</v>
      </c>
      <c r="F1829" s="1" t="s">
        <v>5126</v>
      </c>
      <c r="G1829" s="1" t="s">
        <v>5089</v>
      </c>
      <c r="H1829" s="4" t="s">
        <v>5127</v>
      </c>
      <c r="I1829" s="5" t="s">
        <v>46</v>
      </c>
      <c r="J1829" s="5" t="s">
        <v>37</v>
      </c>
      <c r="K1829" s="5" t="s">
        <v>37</v>
      </c>
      <c r="L1829" s="5" t="s">
        <v>38</v>
      </c>
      <c r="M1829" s="5" t="s">
        <v>37</v>
      </c>
      <c r="N1829" s="5" t="s">
        <v>37</v>
      </c>
      <c r="O1829" s="5" t="s">
        <v>38</v>
      </c>
      <c r="P1829" s="5" t="s">
        <v>39</v>
      </c>
      <c r="Q1829" s="2">
        <v>46058</v>
      </c>
    </row>
    <row r="1830" spans="1:23" ht="13.5">
      <c r="A1830" s="23">
        <v>46055</v>
      </c>
      <c r="B1830" s="1" t="s">
        <v>5128</v>
      </c>
      <c r="C1830" s="1" t="s">
        <v>5129</v>
      </c>
      <c r="D1830" s="1" t="s">
        <v>1302</v>
      </c>
      <c r="E1830" s="1">
        <v>85390</v>
      </c>
      <c r="F1830" s="1" t="s">
        <v>5130</v>
      </c>
      <c r="G1830" s="40" t="s">
        <v>5131</v>
      </c>
      <c r="H1830" s="4" t="s">
        <v>27</v>
      </c>
    </row>
    <row r="1831" spans="1:23">
      <c r="A1831" s="23">
        <v>46055</v>
      </c>
      <c r="B1831" s="1" t="s">
        <v>5132</v>
      </c>
      <c r="C1831" s="1" t="s">
        <v>2817</v>
      </c>
      <c r="D1831" s="1" t="s">
        <v>1204</v>
      </c>
      <c r="E1831" s="1">
        <v>85355</v>
      </c>
      <c r="F1831" s="1" t="s">
        <v>5133</v>
      </c>
      <c r="G1831" s="1" t="s">
        <v>5131</v>
      </c>
      <c r="H1831" s="4" t="s">
        <v>5134</v>
      </c>
      <c r="I1831" s="5" t="s">
        <v>36</v>
      </c>
      <c r="J1831" s="5" t="s">
        <v>37</v>
      </c>
      <c r="K1831" s="5" t="s">
        <v>37</v>
      </c>
      <c r="L1831" s="5" t="s">
        <v>38</v>
      </c>
      <c r="M1831" s="5" t="s">
        <v>37</v>
      </c>
      <c r="N1831" s="5" t="s">
        <v>37</v>
      </c>
      <c r="O1831" s="5" t="s">
        <v>38</v>
      </c>
      <c r="P1831" s="5" t="s">
        <v>39</v>
      </c>
      <c r="Q1831" s="2">
        <v>46058</v>
      </c>
    </row>
    <row r="1832" spans="1:23">
      <c r="A1832" s="103">
        <v>46055</v>
      </c>
      <c r="B1832" s="33" t="s">
        <v>5135</v>
      </c>
      <c r="C1832" s="33" t="s">
        <v>4116</v>
      </c>
      <c r="D1832" s="33" t="s">
        <v>412</v>
      </c>
      <c r="E1832" s="33">
        <v>85123</v>
      </c>
      <c r="F1832" s="33" t="s">
        <v>5136</v>
      </c>
      <c r="G1832" s="33" t="s">
        <v>5131</v>
      </c>
      <c r="H1832" s="45" t="s">
        <v>5137</v>
      </c>
      <c r="I1832" s="43" t="s">
        <v>57</v>
      </c>
      <c r="J1832" s="43" t="s">
        <v>37</v>
      </c>
      <c r="K1832" s="43" t="s">
        <v>37</v>
      </c>
      <c r="L1832" s="43" t="s">
        <v>5138</v>
      </c>
      <c r="M1832" s="43" t="s">
        <v>37</v>
      </c>
      <c r="N1832" s="43" t="s">
        <v>37</v>
      </c>
      <c r="O1832" s="43" t="s">
        <v>38</v>
      </c>
      <c r="P1832" s="43"/>
      <c r="Q1832" s="42">
        <v>46058</v>
      </c>
      <c r="R1832" s="33" t="s">
        <v>4004</v>
      </c>
      <c r="S1832" s="33"/>
      <c r="T1832" s="33"/>
      <c r="U1832" s="33"/>
      <c r="V1832" s="33"/>
      <c r="W1832" s="33"/>
    </row>
    <row r="1833" spans="1:23">
      <c r="A1833" s="103">
        <v>46055</v>
      </c>
      <c r="B1833" s="33" t="s">
        <v>227</v>
      </c>
      <c r="C1833" s="33" t="s">
        <v>4583</v>
      </c>
      <c r="D1833" s="33" t="s">
        <v>202</v>
      </c>
      <c r="E1833" s="33">
        <v>85383</v>
      </c>
      <c r="F1833" s="33" t="s">
        <v>5139</v>
      </c>
      <c r="G1833" s="33" t="s">
        <v>5131</v>
      </c>
      <c r="H1833" s="43">
        <v>3381172505</v>
      </c>
      <c r="I1833" s="43" t="s">
        <v>36</v>
      </c>
      <c r="J1833" s="43" t="s">
        <v>38</v>
      </c>
      <c r="K1833" s="43" t="s">
        <v>37</v>
      </c>
      <c r="L1833" s="43" t="s">
        <v>38</v>
      </c>
      <c r="M1833" s="43" t="s">
        <v>37</v>
      </c>
      <c r="N1833" s="43" t="s">
        <v>37</v>
      </c>
      <c r="O1833" s="43" t="s">
        <v>38</v>
      </c>
      <c r="P1833" s="43"/>
      <c r="Q1833" s="42">
        <v>46058</v>
      </c>
      <c r="R1833" s="33" t="s">
        <v>4534</v>
      </c>
      <c r="S1833" s="33"/>
      <c r="T1833" s="33"/>
      <c r="U1833" s="33"/>
      <c r="V1833" s="33"/>
      <c r="W1833" s="33"/>
    </row>
    <row r="1834" spans="1:23">
      <c r="A1834" s="23">
        <v>46055</v>
      </c>
      <c r="B1834" s="1" t="s">
        <v>2714</v>
      </c>
      <c r="C1834" s="1" t="s">
        <v>471</v>
      </c>
      <c r="D1834" s="1" t="s">
        <v>63</v>
      </c>
      <c r="E1834" s="1">
        <v>85020</v>
      </c>
      <c r="F1834" s="1" t="s">
        <v>5140</v>
      </c>
      <c r="G1834" s="1" t="s">
        <v>5131</v>
      </c>
      <c r="H1834" s="4" t="s">
        <v>5141</v>
      </c>
      <c r="I1834" s="5" t="s">
        <v>541</v>
      </c>
      <c r="J1834" s="5" t="s">
        <v>37</v>
      </c>
      <c r="K1834" s="5" t="s">
        <v>37</v>
      </c>
      <c r="L1834" s="5" t="s">
        <v>4079</v>
      </c>
      <c r="M1834" s="5" t="s">
        <v>37</v>
      </c>
      <c r="N1834" s="5" t="s">
        <v>37</v>
      </c>
      <c r="O1834" s="5" t="s">
        <v>38</v>
      </c>
      <c r="P1834" s="5" t="s">
        <v>39</v>
      </c>
      <c r="Q1834" s="2">
        <v>46058</v>
      </c>
    </row>
    <row r="1835" spans="1:23">
      <c r="A1835" s="23">
        <v>46055</v>
      </c>
      <c r="B1835" s="1" t="s">
        <v>5142</v>
      </c>
      <c r="C1835" s="1" t="s">
        <v>5143</v>
      </c>
      <c r="D1835" s="1" t="s">
        <v>125</v>
      </c>
      <c r="E1835" s="1">
        <v>85258</v>
      </c>
      <c r="F1835" s="1" t="s">
        <v>5144</v>
      </c>
      <c r="G1835" s="1" t="s">
        <v>5131</v>
      </c>
      <c r="H1835" s="4" t="s">
        <v>5145</v>
      </c>
      <c r="I1835" s="5" t="s">
        <v>250</v>
      </c>
      <c r="J1835" s="5" t="s">
        <v>37</v>
      </c>
      <c r="K1835" s="5" t="s">
        <v>37</v>
      </c>
      <c r="L1835" s="5" t="s">
        <v>38</v>
      </c>
      <c r="M1835" s="5" t="s">
        <v>37</v>
      </c>
      <c r="N1835" s="5" t="s">
        <v>37</v>
      </c>
      <c r="O1835" s="5" t="s">
        <v>38</v>
      </c>
      <c r="P1835" s="5" t="s">
        <v>39</v>
      </c>
      <c r="Q1835" s="2">
        <v>46058</v>
      </c>
    </row>
    <row r="1836" spans="1:23" ht="13.5">
      <c r="A1836" s="23">
        <v>46055</v>
      </c>
      <c r="B1836" s="1" t="s">
        <v>224</v>
      </c>
      <c r="C1836" s="1" t="s">
        <v>225</v>
      </c>
      <c r="D1836" s="1" t="s">
        <v>30</v>
      </c>
      <c r="E1836" s="1" t="s">
        <v>30</v>
      </c>
      <c r="F1836" s="1" t="s">
        <v>5146</v>
      </c>
      <c r="G1836" s="40" t="s">
        <v>5147</v>
      </c>
      <c r="H1836" s="4" t="s">
        <v>27</v>
      </c>
      <c r="R1836" s="1" t="s">
        <v>4239</v>
      </c>
    </row>
    <row r="1837" spans="1:23" ht="13.5">
      <c r="A1837" s="23">
        <v>46055</v>
      </c>
      <c r="B1837" s="1" t="s">
        <v>33</v>
      </c>
      <c r="C1837" s="1" t="s">
        <v>1704</v>
      </c>
      <c r="D1837" s="1" t="s">
        <v>24</v>
      </c>
      <c r="E1837" s="1">
        <v>85310</v>
      </c>
      <c r="F1837" s="1" t="s">
        <v>5148</v>
      </c>
      <c r="G1837" s="40" t="s">
        <v>5149</v>
      </c>
      <c r="H1837" s="4" t="s">
        <v>5150</v>
      </c>
      <c r="I1837" s="5" t="s">
        <v>36</v>
      </c>
      <c r="J1837" s="5" t="s">
        <v>37</v>
      </c>
      <c r="K1837" s="5" t="s">
        <v>37</v>
      </c>
      <c r="L1837" s="5" t="s">
        <v>38</v>
      </c>
      <c r="M1837" s="5" t="s">
        <v>37</v>
      </c>
      <c r="N1837" s="5" t="s">
        <v>37</v>
      </c>
      <c r="O1837" s="5" t="s">
        <v>38</v>
      </c>
      <c r="P1837" s="5" t="s">
        <v>39</v>
      </c>
      <c r="Q1837" s="2">
        <v>46058</v>
      </c>
    </row>
    <row r="1838" spans="1:23">
      <c r="A1838" s="102">
        <v>46056</v>
      </c>
      <c r="B1838" s="36" t="s">
        <v>4088</v>
      </c>
      <c r="C1838" s="36" t="s">
        <v>5151</v>
      </c>
      <c r="D1838" s="36" t="s">
        <v>428</v>
      </c>
      <c r="E1838" s="36">
        <v>85335</v>
      </c>
      <c r="F1838" s="36" t="s">
        <v>5152</v>
      </c>
      <c r="G1838" s="36" t="s">
        <v>5153</v>
      </c>
      <c r="H1838" s="112" t="s">
        <v>27</v>
      </c>
      <c r="I1838" s="112"/>
      <c r="J1838" s="112"/>
      <c r="K1838" s="112"/>
      <c r="L1838" s="112"/>
      <c r="M1838" s="112"/>
      <c r="N1838" s="112"/>
      <c r="O1838" s="112"/>
      <c r="P1838" s="112"/>
      <c r="Q1838" s="112"/>
      <c r="R1838" s="36"/>
      <c r="S1838" s="36"/>
      <c r="T1838" s="36"/>
      <c r="U1838" s="36"/>
      <c r="V1838" s="36"/>
    </row>
    <row r="1839" spans="1:23">
      <c r="A1839" s="102">
        <v>46056</v>
      </c>
      <c r="B1839" s="36" t="s">
        <v>5154</v>
      </c>
      <c r="C1839" s="36" t="s">
        <v>597</v>
      </c>
      <c r="D1839" s="36" t="s">
        <v>93</v>
      </c>
      <c r="E1839" s="36">
        <v>85373</v>
      </c>
      <c r="F1839" s="36" t="s">
        <v>5155</v>
      </c>
      <c r="G1839" s="36" t="s">
        <v>5153</v>
      </c>
      <c r="H1839" s="112" t="s">
        <v>27</v>
      </c>
      <c r="I1839" s="112"/>
      <c r="J1839" s="112"/>
      <c r="K1839" s="112"/>
      <c r="L1839" s="112"/>
      <c r="M1839" s="112"/>
      <c r="N1839" s="112"/>
      <c r="O1839" s="112"/>
      <c r="P1839" s="112"/>
      <c r="Q1839" s="112"/>
      <c r="R1839" s="36"/>
      <c r="S1839" s="36"/>
      <c r="T1839" s="36"/>
      <c r="U1839" s="36"/>
      <c r="V1839" s="36"/>
    </row>
    <row r="1840" spans="1:23">
      <c r="A1840" s="102">
        <v>46056</v>
      </c>
      <c r="B1840" s="36" t="s">
        <v>2598</v>
      </c>
      <c r="C1840" s="36" t="s">
        <v>5156</v>
      </c>
      <c r="D1840" s="36" t="s">
        <v>698</v>
      </c>
      <c r="E1840" s="36">
        <v>85375</v>
      </c>
      <c r="F1840" s="36" t="s">
        <v>5157</v>
      </c>
      <c r="G1840" s="36" t="s">
        <v>5158</v>
      </c>
      <c r="H1840" s="112">
        <v>581519571</v>
      </c>
      <c r="I1840" s="112" t="s">
        <v>46</v>
      </c>
      <c r="J1840" s="112" t="s">
        <v>37</v>
      </c>
      <c r="K1840" s="112" t="s">
        <v>37</v>
      </c>
      <c r="L1840" s="112" t="s">
        <v>38</v>
      </c>
      <c r="M1840" s="112" t="s">
        <v>37</v>
      </c>
      <c r="N1840" s="112" t="s">
        <v>37</v>
      </c>
      <c r="O1840" s="112" t="s">
        <v>38</v>
      </c>
      <c r="P1840" s="112" t="s">
        <v>39</v>
      </c>
      <c r="Q1840" s="113">
        <v>46062</v>
      </c>
      <c r="R1840" s="36"/>
      <c r="S1840" s="36"/>
      <c r="T1840" s="36"/>
      <c r="U1840" s="36"/>
      <c r="V1840" s="36"/>
    </row>
    <row r="1841" spans="1:22">
      <c r="A1841" s="114">
        <v>46056</v>
      </c>
      <c r="B1841" s="107" t="s">
        <v>5159</v>
      </c>
      <c r="C1841" s="107" t="s">
        <v>233</v>
      </c>
      <c r="D1841" s="107" t="s">
        <v>63</v>
      </c>
      <c r="E1841" s="107">
        <v>85029</v>
      </c>
      <c r="F1841" s="107" t="s">
        <v>5160</v>
      </c>
      <c r="G1841" s="107" t="s">
        <v>5158</v>
      </c>
      <c r="H1841" s="115">
        <v>4236731000</v>
      </c>
      <c r="I1841" s="115" t="s">
        <v>36</v>
      </c>
      <c r="J1841" s="115" t="s">
        <v>37</v>
      </c>
      <c r="K1841" s="115" t="s">
        <v>37</v>
      </c>
      <c r="L1841" s="115" t="s">
        <v>38</v>
      </c>
      <c r="M1841" s="115" t="s">
        <v>38</v>
      </c>
      <c r="N1841" s="116">
        <v>450.33</v>
      </c>
      <c r="O1841" s="115" t="s">
        <v>38</v>
      </c>
      <c r="P1841" s="115"/>
      <c r="Q1841" s="117">
        <v>44966</v>
      </c>
      <c r="R1841" s="107" t="s">
        <v>4534</v>
      </c>
      <c r="S1841" s="107"/>
      <c r="T1841" s="107"/>
      <c r="U1841" s="107"/>
      <c r="V1841" s="107"/>
    </row>
    <row r="1842" spans="1:22">
      <c r="A1842" s="102">
        <v>46056</v>
      </c>
      <c r="B1842" s="36" t="s">
        <v>5161</v>
      </c>
      <c r="C1842" s="36" t="s">
        <v>1050</v>
      </c>
      <c r="D1842" s="36" t="s">
        <v>174</v>
      </c>
      <c r="E1842" s="36">
        <v>85396</v>
      </c>
      <c r="F1842" s="36" t="s">
        <v>5162</v>
      </c>
      <c r="G1842" s="36" t="s">
        <v>5158</v>
      </c>
      <c r="H1842" s="112">
        <v>5577998699</v>
      </c>
      <c r="I1842" s="112" t="s">
        <v>126</v>
      </c>
      <c r="J1842" s="112" t="s">
        <v>37</v>
      </c>
      <c r="K1842" s="112" t="s">
        <v>37</v>
      </c>
      <c r="L1842" s="112" t="s">
        <v>38</v>
      </c>
      <c r="M1842" s="112" t="s">
        <v>37</v>
      </c>
      <c r="N1842" s="112" t="s">
        <v>37</v>
      </c>
      <c r="O1842" s="112" t="s">
        <v>38</v>
      </c>
      <c r="P1842" s="112" t="s">
        <v>39</v>
      </c>
      <c r="Q1842" s="113">
        <v>46062</v>
      </c>
      <c r="R1842" s="36"/>
      <c r="S1842" s="36"/>
      <c r="T1842" s="36"/>
      <c r="U1842" s="36"/>
      <c r="V1842" s="36"/>
    </row>
    <row r="1843" spans="1:22">
      <c r="A1843" s="102">
        <v>46057</v>
      </c>
      <c r="B1843" s="36" t="s">
        <v>5163</v>
      </c>
      <c r="C1843" s="36" t="s">
        <v>1475</v>
      </c>
      <c r="D1843" s="36" t="s">
        <v>5164</v>
      </c>
      <c r="E1843" s="36">
        <v>85937</v>
      </c>
      <c r="F1843" s="36" t="s">
        <v>5165</v>
      </c>
      <c r="G1843" s="36" t="s">
        <v>5166</v>
      </c>
      <c r="H1843" s="112" t="s">
        <v>27</v>
      </c>
      <c r="I1843" s="112"/>
      <c r="J1843" s="112"/>
      <c r="K1843" s="112"/>
      <c r="L1843" s="112"/>
      <c r="M1843" s="112"/>
      <c r="N1843" s="112"/>
      <c r="O1843" s="112"/>
      <c r="P1843" s="112"/>
      <c r="Q1843" s="112"/>
      <c r="R1843" s="36"/>
      <c r="S1843" s="36"/>
      <c r="T1843" s="36"/>
      <c r="U1843" s="36"/>
      <c r="V1843" s="36"/>
    </row>
    <row r="1844" spans="1:22">
      <c r="A1844" s="102">
        <v>46057</v>
      </c>
      <c r="B1844" s="36" t="s">
        <v>5167</v>
      </c>
      <c r="C1844" s="36" t="s">
        <v>30</v>
      </c>
      <c r="D1844" s="36" t="s">
        <v>30</v>
      </c>
      <c r="E1844" s="36" t="s">
        <v>4536</v>
      </c>
      <c r="F1844" s="36" t="s">
        <v>5168</v>
      </c>
      <c r="G1844" s="36" t="s">
        <v>5169</v>
      </c>
      <c r="H1844" s="112" t="s">
        <v>27</v>
      </c>
      <c r="I1844" s="112"/>
      <c r="J1844" s="112"/>
      <c r="K1844" s="112"/>
      <c r="L1844" s="112"/>
      <c r="M1844" s="112"/>
      <c r="N1844" s="112"/>
      <c r="O1844" s="112"/>
      <c r="P1844" s="112"/>
      <c r="Q1844" s="112"/>
      <c r="R1844" s="36"/>
      <c r="S1844" s="36"/>
      <c r="T1844" s="36"/>
      <c r="U1844" s="36"/>
      <c r="V1844" s="36"/>
    </row>
    <row r="1845" spans="1:22">
      <c r="A1845" s="102">
        <v>46058</v>
      </c>
      <c r="B1845" s="36" t="s">
        <v>5170</v>
      </c>
      <c r="C1845" s="36" t="s">
        <v>5171</v>
      </c>
      <c r="D1845" s="36" t="s">
        <v>816</v>
      </c>
      <c r="E1845" s="36">
        <v>86305</v>
      </c>
      <c r="F1845" s="36" t="s">
        <v>5172</v>
      </c>
      <c r="G1845" s="36" t="s">
        <v>5173</v>
      </c>
      <c r="H1845" s="112">
        <v>4523821000</v>
      </c>
      <c r="I1845" s="112" t="s">
        <v>36</v>
      </c>
      <c r="J1845" s="112" t="s">
        <v>37</v>
      </c>
      <c r="K1845" s="112" t="s">
        <v>37</v>
      </c>
      <c r="L1845" s="112" t="s">
        <v>38</v>
      </c>
      <c r="M1845" s="112" t="s">
        <v>37</v>
      </c>
      <c r="N1845" s="112" t="s">
        <v>37</v>
      </c>
      <c r="O1845" s="112" t="s">
        <v>38</v>
      </c>
      <c r="P1845" s="112" t="s">
        <v>39</v>
      </c>
      <c r="Q1845" s="113">
        <v>46062</v>
      </c>
      <c r="R1845" s="36"/>
      <c r="S1845" s="36"/>
      <c r="T1845" s="36"/>
      <c r="U1845" s="36"/>
      <c r="V1845" s="36"/>
    </row>
    <row r="1846" spans="1:22">
      <c r="A1846" s="102">
        <v>46058</v>
      </c>
      <c r="B1846" s="36" t="s">
        <v>645</v>
      </c>
      <c r="C1846" s="36" t="s">
        <v>5174</v>
      </c>
      <c r="D1846" s="36" t="s">
        <v>659</v>
      </c>
      <c r="E1846" s="36">
        <v>85350</v>
      </c>
      <c r="F1846" s="36" t="s">
        <v>5175</v>
      </c>
      <c r="G1846" s="36" t="s">
        <v>5173</v>
      </c>
      <c r="H1846" s="112">
        <v>1237080000</v>
      </c>
      <c r="I1846" s="112" t="s">
        <v>541</v>
      </c>
      <c r="J1846" s="112" t="s">
        <v>37</v>
      </c>
      <c r="K1846" s="112" t="s">
        <v>37</v>
      </c>
      <c r="L1846" s="112" t="s">
        <v>4079</v>
      </c>
      <c r="M1846" s="112" t="s">
        <v>37</v>
      </c>
      <c r="N1846" s="112" t="s">
        <v>37</v>
      </c>
      <c r="O1846" s="112" t="s">
        <v>38</v>
      </c>
      <c r="P1846" s="112" t="s">
        <v>39</v>
      </c>
      <c r="Q1846" s="113">
        <v>46062</v>
      </c>
      <c r="R1846" s="36"/>
      <c r="S1846" s="36"/>
      <c r="T1846" s="36"/>
      <c r="U1846" s="36"/>
      <c r="V1846" s="36"/>
    </row>
    <row r="1847" spans="1:22">
      <c r="A1847" s="102">
        <v>46058</v>
      </c>
      <c r="B1847" s="36" t="s">
        <v>2860</v>
      </c>
      <c r="C1847" s="36" t="s">
        <v>3015</v>
      </c>
      <c r="D1847" s="36" t="s">
        <v>169</v>
      </c>
      <c r="E1847" s="36">
        <v>85338</v>
      </c>
      <c r="F1847" s="36" t="s">
        <v>5176</v>
      </c>
      <c r="G1847" s="36" t="s">
        <v>5173</v>
      </c>
      <c r="H1847" s="112">
        <v>9987316691</v>
      </c>
      <c r="I1847" s="112" t="s">
        <v>46</v>
      </c>
      <c r="J1847" s="112" t="s">
        <v>37</v>
      </c>
      <c r="K1847" s="112" t="s">
        <v>37</v>
      </c>
      <c r="L1847" s="112" t="s">
        <v>5177</v>
      </c>
      <c r="M1847" s="112" t="s">
        <v>37</v>
      </c>
      <c r="N1847" s="112" t="s">
        <v>37</v>
      </c>
      <c r="O1847" s="112" t="s">
        <v>38</v>
      </c>
      <c r="P1847" s="112" t="s">
        <v>39</v>
      </c>
      <c r="Q1847" s="113">
        <v>46062</v>
      </c>
      <c r="R1847" s="36"/>
      <c r="S1847" s="36"/>
      <c r="T1847" s="36"/>
      <c r="U1847" s="36"/>
      <c r="V1847" s="36"/>
    </row>
    <row r="1848" spans="1:22">
      <c r="A1848" s="102">
        <v>46058</v>
      </c>
      <c r="B1848" s="36" t="s">
        <v>5178</v>
      </c>
      <c r="C1848" s="36" t="s">
        <v>5179</v>
      </c>
      <c r="D1848" s="36" t="s">
        <v>63</v>
      </c>
      <c r="E1848" s="36">
        <v>85022</v>
      </c>
      <c r="F1848" s="36" t="s">
        <v>5180</v>
      </c>
      <c r="G1848" s="36" t="s">
        <v>5173</v>
      </c>
      <c r="H1848" s="112" t="s">
        <v>27</v>
      </c>
      <c r="I1848" s="112"/>
      <c r="J1848" s="112"/>
      <c r="K1848" s="112"/>
      <c r="L1848" s="112"/>
      <c r="M1848" s="112"/>
      <c r="N1848" s="112"/>
      <c r="O1848" s="112"/>
      <c r="P1848" s="112"/>
      <c r="Q1848" s="112"/>
      <c r="R1848" s="36"/>
      <c r="S1848" s="36"/>
      <c r="T1848" s="36"/>
      <c r="U1848" s="36"/>
      <c r="V1848" s="36"/>
    </row>
    <row r="1849" spans="1:22">
      <c r="A1849" s="102">
        <v>46059</v>
      </c>
      <c r="B1849" s="36" t="s">
        <v>5181</v>
      </c>
      <c r="C1849" s="36" t="s">
        <v>2724</v>
      </c>
      <c r="D1849" s="36" t="s">
        <v>63</v>
      </c>
      <c r="E1849" s="36">
        <v>85028</v>
      </c>
      <c r="F1849" s="36" t="s">
        <v>5182</v>
      </c>
      <c r="G1849" s="36" t="s">
        <v>5183</v>
      </c>
      <c r="H1849" s="112">
        <v>2047225462</v>
      </c>
      <c r="I1849" s="112" t="s">
        <v>36</v>
      </c>
      <c r="J1849" s="112" t="s">
        <v>37</v>
      </c>
      <c r="K1849" s="112" t="s">
        <v>37</v>
      </c>
      <c r="L1849" s="112" t="s">
        <v>38</v>
      </c>
      <c r="M1849" s="112" t="s">
        <v>37</v>
      </c>
      <c r="N1849" s="112" t="s">
        <v>37</v>
      </c>
      <c r="O1849" s="112" t="s">
        <v>38</v>
      </c>
      <c r="P1849" s="112" t="s">
        <v>39</v>
      </c>
      <c r="Q1849" s="113">
        <v>46062</v>
      </c>
      <c r="R1849" s="36" t="s">
        <v>5184</v>
      </c>
      <c r="S1849" s="36"/>
      <c r="T1849" s="36"/>
      <c r="U1849" s="36"/>
      <c r="V1849" s="36"/>
    </row>
    <row r="1850" spans="1:22">
      <c r="A1850" s="102">
        <v>46059</v>
      </c>
      <c r="B1850" s="36" t="s">
        <v>5185</v>
      </c>
      <c r="C1850" s="36" t="s">
        <v>4835</v>
      </c>
      <c r="D1850" s="36" t="s">
        <v>63</v>
      </c>
      <c r="E1850" s="36">
        <v>85054</v>
      </c>
      <c r="F1850" s="36" t="s">
        <v>5186</v>
      </c>
      <c r="G1850" s="36" t="s">
        <v>5183</v>
      </c>
      <c r="H1850" s="112" t="s">
        <v>27</v>
      </c>
      <c r="I1850" s="112"/>
      <c r="J1850" s="112"/>
      <c r="K1850" s="112"/>
      <c r="L1850" s="112"/>
      <c r="M1850" s="112"/>
      <c r="N1850" s="112"/>
      <c r="O1850" s="112"/>
      <c r="P1850" s="112"/>
      <c r="Q1850" s="112"/>
      <c r="R1850" s="36"/>
      <c r="S1850" s="36"/>
      <c r="T1850" s="36"/>
      <c r="U1850" s="36"/>
      <c r="V1850" s="36"/>
    </row>
    <row r="1851" spans="1:22">
      <c r="A1851" s="102">
        <v>46062</v>
      </c>
      <c r="B1851" s="36" t="s">
        <v>1091</v>
      </c>
      <c r="C1851" s="36" t="s">
        <v>133</v>
      </c>
      <c r="D1851" s="36" t="s">
        <v>63</v>
      </c>
      <c r="E1851" s="36">
        <v>85086</v>
      </c>
      <c r="F1851" s="36" t="s">
        <v>5187</v>
      </c>
      <c r="G1851" s="36" t="s">
        <v>5188</v>
      </c>
      <c r="H1851" s="112" t="s">
        <v>90</v>
      </c>
      <c r="I1851" s="112"/>
      <c r="J1851" s="112"/>
      <c r="K1851" s="112"/>
      <c r="L1851" s="112"/>
      <c r="M1851" s="112"/>
      <c r="N1851" s="112"/>
      <c r="O1851" s="112"/>
      <c r="P1851" s="112"/>
      <c r="Q1851" s="112"/>
      <c r="R1851" s="36" t="s">
        <v>4759</v>
      </c>
      <c r="S1851" s="36"/>
      <c r="T1851" s="36"/>
      <c r="U1851" s="36"/>
      <c r="V1851" s="36"/>
    </row>
    <row r="1852" spans="1:22">
      <c r="A1852" s="102">
        <v>46062</v>
      </c>
      <c r="B1852" s="36" t="s">
        <v>1765</v>
      </c>
      <c r="C1852" s="36" t="s">
        <v>1711</v>
      </c>
      <c r="D1852" s="36" t="s">
        <v>370</v>
      </c>
      <c r="E1852" s="36">
        <v>85225</v>
      </c>
      <c r="F1852" s="36" t="s">
        <v>5189</v>
      </c>
      <c r="G1852" s="36" t="s">
        <v>5188</v>
      </c>
      <c r="H1852" s="112">
        <v>8793561000</v>
      </c>
      <c r="I1852" s="112" t="s">
        <v>73</v>
      </c>
      <c r="J1852" s="112" t="s">
        <v>38</v>
      </c>
      <c r="K1852" s="112" t="s">
        <v>37</v>
      </c>
      <c r="L1852" s="112" t="s">
        <v>38</v>
      </c>
      <c r="M1852" s="112" t="s">
        <v>37</v>
      </c>
      <c r="N1852" s="112" t="s">
        <v>37</v>
      </c>
      <c r="O1852" s="112" t="s">
        <v>38</v>
      </c>
      <c r="P1852" s="112" t="s">
        <v>39</v>
      </c>
      <c r="Q1852" s="113">
        <v>46062</v>
      </c>
      <c r="R1852" s="36"/>
      <c r="S1852" s="36"/>
      <c r="T1852" s="36"/>
      <c r="U1852" s="36"/>
      <c r="V1852" s="36"/>
    </row>
    <row r="1853" spans="1:22">
      <c r="A1853" s="102">
        <v>46062</v>
      </c>
      <c r="B1853" s="36" t="s">
        <v>5190</v>
      </c>
      <c r="C1853" s="36" t="s">
        <v>312</v>
      </c>
      <c r="D1853" s="36" t="s">
        <v>63</v>
      </c>
      <c r="E1853" s="36">
        <v>85022</v>
      </c>
      <c r="F1853" s="36" t="s">
        <v>5191</v>
      </c>
      <c r="G1853" s="36" t="s">
        <v>5188</v>
      </c>
      <c r="H1853" s="112">
        <v>9087250000</v>
      </c>
      <c r="I1853" s="112" t="s">
        <v>36</v>
      </c>
      <c r="J1853" s="112" t="s">
        <v>37</v>
      </c>
      <c r="K1853" s="112" t="s">
        <v>37</v>
      </c>
      <c r="L1853" s="112" t="s">
        <v>38</v>
      </c>
      <c r="M1853" s="112" t="s">
        <v>37</v>
      </c>
      <c r="N1853" s="112" t="s">
        <v>37</v>
      </c>
      <c r="O1853" s="112" t="s">
        <v>38</v>
      </c>
      <c r="P1853" s="112" t="s">
        <v>39</v>
      </c>
      <c r="Q1853" s="113">
        <v>46062</v>
      </c>
      <c r="R1853" s="36" t="s">
        <v>1009</v>
      </c>
      <c r="S1853" s="36"/>
      <c r="T1853" s="36"/>
      <c r="U1853" s="36"/>
      <c r="V1853" s="36"/>
    </row>
    <row r="1854" spans="1:22">
      <c r="A1854" s="102">
        <v>46064</v>
      </c>
      <c r="B1854" s="36" t="s">
        <v>5192</v>
      </c>
      <c r="C1854" s="36" t="s">
        <v>481</v>
      </c>
      <c r="D1854" s="36" t="s">
        <v>93</v>
      </c>
      <c r="E1854" s="36">
        <v>85351</v>
      </c>
      <c r="F1854" s="36" t="s">
        <v>5193</v>
      </c>
      <c r="G1854" s="36" t="s">
        <v>5194</v>
      </c>
      <c r="H1854" s="36">
        <v>3728125563</v>
      </c>
      <c r="I1854" s="36" t="s">
        <v>36</v>
      </c>
      <c r="J1854" s="36" t="s">
        <v>37</v>
      </c>
      <c r="K1854" s="36" t="s">
        <v>37</v>
      </c>
      <c r="L1854" s="36" t="s">
        <v>38</v>
      </c>
      <c r="M1854" s="36" t="s">
        <v>37</v>
      </c>
      <c r="N1854" s="36" t="s">
        <v>37</v>
      </c>
      <c r="O1854" s="36" t="s">
        <v>38</v>
      </c>
      <c r="P1854" s="36" t="s">
        <v>39</v>
      </c>
      <c r="Q1854" s="102">
        <v>46066</v>
      </c>
      <c r="R1854" s="36"/>
      <c r="S1854" s="36"/>
      <c r="T1854" s="36"/>
      <c r="U1854" s="36"/>
      <c r="V1854" s="36"/>
    </row>
    <row r="1855" spans="1:22">
      <c r="A1855" s="102">
        <v>46064</v>
      </c>
      <c r="B1855" s="36" t="s">
        <v>5195</v>
      </c>
      <c r="C1855" s="36" t="s">
        <v>1268</v>
      </c>
      <c r="D1855" s="36" t="s">
        <v>816</v>
      </c>
      <c r="E1855" s="36">
        <v>86303</v>
      </c>
      <c r="F1855" s="36" t="s">
        <v>5196</v>
      </c>
      <c r="G1855" s="36" t="s">
        <v>5194</v>
      </c>
      <c r="H1855" s="36">
        <v>9134311000</v>
      </c>
      <c r="I1855" s="36" t="s">
        <v>73</v>
      </c>
      <c r="J1855" s="36" t="s">
        <v>38</v>
      </c>
      <c r="K1855" s="36" t="s">
        <v>37</v>
      </c>
      <c r="L1855" s="36" t="s">
        <v>38</v>
      </c>
      <c r="M1855" s="36" t="s">
        <v>37</v>
      </c>
      <c r="N1855" s="36" t="s">
        <v>37</v>
      </c>
      <c r="O1855" s="36" t="s">
        <v>38</v>
      </c>
      <c r="P1855" s="36" t="s">
        <v>39</v>
      </c>
      <c r="Q1855" s="102">
        <v>46066</v>
      </c>
      <c r="R1855" s="36"/>
      <c r="S1855" s="36"/>
      <c r="T1855" s="36"/>
      <c r="U1855" s="36"/>
      <c r="V1855" s="36"/>
    </row>
    <row r="1856" spans="1:22">
      <c r="A1856" s="114">
        <v>46064</v>
      </c>
      <c r="B1856" s="107" t="s">
        <v>5197</v>
      </c>
      <c r="C1856" s="107" t="s">
        <v>784</v>
      </c>
      <c r="D1856" s="107" t="s">
        <v>63</v>
      </c>
      <c r="E1856" s="107">
        <v>85008</v>
      </c>
      <c r="F1856" s="107" t="s">
        <v>5198</v>
      </c>
      <c r="G1856" s="107" t="s">
        <v>5194</v>
      </c>
      <c r="H1856" s="107">
        <v>6643300000</v>
      </c>
      <c r="I1856" s="107" t="s">
        <v>196</v>
      </c>
      <c r="J1856" s="107" t="s">
        <v>37</v>
      </c>
      <c r="K1856" s="107" t="s">
        <v>37</v>
      </c>
      <c r="L1856" s="107" t="s">
        <v>5199</v>
      </c>
      <c r="M1856" s="107" t="s">
        <v>37</v>
      </c>
      <c r="N1856" s="107" t="s">
        <v>37</v>
      </c>
      <c r="O1856" s="107" t="s">
        <v>38</v>
      </c>
      <c r="P1856" s="107"/>
      <c r="Q1856" s="114">
        <v>46066</v>
      </c>
      <c r="R1856" s="107" t="s">
        <v>5200</v>
      </c>
      <c r="S1856" s="107"/>
      <c r="T1856" s="107"/>
      <c r="U1856" s="107"/>
      <c r="V1856" s="107"/>
    </row>
    <row r="1857" spans="1:22">
      <c r="A1857" s="102">
        <v>46064</v>
      </c>
      <c r="B1857" s="36" t="s">
        <v>49</v>
      </c>
      <c r="C1857" s="36" t="s">
        <v>611</v>
      </c>
      <c r="D1857" s="36" t="s">
        <v>93</v>
      </c>
      <c r="E1857" s="36">
        <v>85351</v>
      </c>
      <c r="F1857" s="36" t="s">
        <v>5201</v>
      </c>
      <c r="G1857" s="36" t="s">
        <v>5194</v>
      </c>
      <c r="H1857" s="36" t="s">
        <v>27</v>
      </c>
      <c r="I1857" s="36"/>
      <c r="J1857" s="36"/>
      <c r="K1857" s="36"/>
      <c r="L1857" s="36"/>
      <c r="M1857" s="36"/>
      <c r="N1857" s="36"/>
      <c r="O1857" s="36"/>
      <c r="P1857" s="36"/>
      <c r="Q1857" s="36"/>
      <c r="R1857" s="36"/>
      <c r="S1857" s="36"/>
      <c r="T1857" s="36"/>
      <c r="U1857" s="36"/>
      <c r="V1857" s="36"/>
    </row>
    <row r="1858" spans="1:22">
      <c r="A1858" s="102">
        <v>46064</v>
      </c>
      <c r="B1858" s="36" t="s">
        <v>5202</v>
      </c>
      <c r="C1858" s="36" t="s">
        <v>5203</v>
      </c>
      <c r="D1858" s="36" t="s">
        <v>93</v>
      </c>
      <c r="E1858" s="36">
        <v>85351</v>
      </c>
      <c r="F1858" s="36" t="s">
        <v>5204</v>
      </c>
      <c r="G1858" s="36" t="s">
        <v>5194</v>
      </c>
      <c r="H1858" s="36">
        <v>99821000</v>
      </c>
      <c r="I1858" s="36" t="s">
        <v>1488</v>
      </c>
      <c r="J1858" s="36" t="s">
        <v>37</v>
      </c>
      <c r="K1858" s="36" t="s">
        <v>37</v>
      </c>
      <c r="L1858" s="36" t="s">
        <v>4079</v>
      </c>
      <c r="M1858" s="36" t="s">
        <v>37</v>
      </c>
      <c r="N1858" s="36" t="s">
        <v>37</v>
      </c>
      <c r="O1858" s="36" t="s">
        <v>38</v>
      </c>
      <c r="P1858" s="36" t="s">
        <v>39</v>
      </c>
      <c r="Q1858" s="102">
        <v>46066</v>
      </c>
      <c r="R1858" s="36"/>
      <c r="S1858" s="36"/>
      <c r="T1858" s="36"/>
      <c r="U1858" s="36"/>
      <c r="V1858" s="36"/>
    </row>
    <row r="1859" spans="1:22">
      <c r="A1859" s="102">
        <v>46064</v>
      </c>
      <c r="B1859" s="36" t="s">
        <v>5205</v>
      </c>
      <c r="C1859" s="36" t="s">
        <v>5206</v>
      </c>
      <c r="D1859" s="36" t="s">
        <v>93</v>
      </c>
      <c r="E1859" s="36"/>
      <c r="F1859" s="36" t="s">
        <v>5207</v>
      </c>
      <c r="G1859" s="36" t="s">
        <v>5194</v>
      </c>
      <c r="H1859" s="36"/>
      <c r="I1859" s="36"/>
      <c r="J1859" s="36"/>
      <c r="K1859" s="36"/>
      <c r="L1859" s="36"/>
      <c r="M1859" s="36"/>
      <c r="N1859" s="36"/>
      <c r="O1859" s="36"/>
      <c r="P1859" s="36"/>
      <c r="Q1859" s="36"/>
      <c r="R1859" s="36"/>
      <c r="S1859" s="36"/>
      <c r="T1859" s="36"/>
      <c r="U1859" s="36"/>
      <c r="V1859" s="36"/>
    </row>
    <row r="1860" spans="1:22">
      <c r="A1860" s="114">
        <v>46064</v>
      </c>
      <c r="B1860" s="107" t="s">
        <v>5197</v>
      </c>
      <c r="C1860" s="107" t="s">
        <v>5208</v>
      </c>
      <c r="D1860" s="107" t="s">
        <v>63</v>
      </c>
      <c r="E1860" s="107">
        <v>85016</v>
      </c>
      <c r="F1860" s="107" t="s">
        <v>5209</v>
      </c>
      <c r="G1860" s="107" t="s">
        <v>5194</v>
      </c>
      <c r="H1860" s="107">
        <v>9532631000</v>
      </c>
      <c r="I1860" s="107" t="s">
        <v>196</v>
      </c>
      <c r="J1860" s="107" t="s">
        <v>37</v>
      </c>
      <c r="K1860" s="107" t="s">
        <v>37</v>
      </c>
      <c r="L1860" s="107" t="s">
        <v>5210</v>
      </c>
      <c r="M1860" s="107" t="s">
        <v>38</v>
      </c>
      <c r="N1860" s="118">
        <v>472.1</v>
      </c>
      <c r="O1860" s="107" t="s">
        <v>38</v>
      </c>
      <c r="P1860" s="107"/>
      <c r="Q1860" s="114">
        <v>46066</v>
      </c>
      <c r="R1860" s="107" t="s">
        <v>5099</v>
      </c>
      <c r="S1860" s="107"/>
      <c r="T1860" s="107"/>
      <c r="U1860" s="107"/>
      <c r="V1860" s="107"/>
    </row>
    <row r="1861" spans="1:22">
      <c r="A1861" s="102">
        <v>46064</v>
      </c>
      <c r="B1861" s="36" t="s">
        <v>5197</v>
      </c>
      <c r="C1861" s="36" t="s">
        <v>5211</v>
      </c>
      <c r="D1861" s="36" t="s">
        <v>63</v>
      </c>
      <c r="E1861" s="36">
        <v>85014</v>
      </c>
      <c r="F1861" s="36" t="s">
        <v>5212</v>
      </c>
      <c r="G1861" s="36" t="s">
        <v>5194</v>
      </c>
      <c r="H1861" s="36" t="s">
        <v>27</v>
      </c>
      <c r="I1861" s="36"/>
      <c r="J1861" s="36"/>
      <c r="K1861" s="36"/>
      <c r="L1861" s="36"/>
      <c r="M1861" s="36"/>
      <c r="N1861" s="36"/>
      <c r="O1861" s="36"/>
      <c r="P1861" s="36"/>
      <c r="Q1861" s="36"/>
      <c r="R1861" s="36"/>
      <c r="S1861" s="36"/>
      <c r="T1861" s="36"/>
      <c r="U1861" s="36"/>
      <c r="V1861" s="36"/>
    </row>
    <row r="1862" spans="1:22">
      <c r="A1862" s="102">
        <v>46064</v>
      </c>
      <c r="B1862" s="36" t="s">
        <v>5213</v>
      </c>
      <c r="C1862" s="36" t="s">
        <v>5214</v>
      </c>
      <c r="D1862" s="36"/>
      <c r="E1862" s="36"/>
      <c r="F1862" s="36" t="s">
        <v>5215</v>
      </c>
      <c r="G1862" s="36" t="s">
        <v>5194</v>
      </c>
      <c r="H1862" s="36" t="s">
        <v>27</v>
      </c>
      <c r="I1862" s="36"/>
      <c r="J1862" s="36"/>
      <c r="K1862" s="36"/>
      <c r="L1862" s="36"/>
      <c r="M1862" s="36"/>
      <c r="N1862" s="36"/>
      <c r="O1862" s="36"/>
      <c r="P1862" s="36"/>
      <c r="Q1862" s="36"/>
      <c r="R1862" s="36"/>
      <c r="S1862" s="36"/>
      <c r="T1862" s="36"/>
      <c r="U1862" s="36"/>
      <c r="V1862" s="36"/>
    </row>
    <row r="1863" spans="1:22">
      <c r="A1863" s="102">
        <v>46064</v>
      </c>
      <c r="B1863" s="36" t="s">
        <v>5216</v>
      </c>
      <c r="C1863" s="36" t="s">
        <v>5217</v>
      </c>
      <c r="D1863" s="36" t="s">
        <v>5206</v>
      </c>
      <c r="E1863" s="36" t="s">
        <v>5218</v>
      </c>
      <c r="F1863" s="36" t="s">
        <v>5219</v>
      </c>
      <c r="G1863" s="36" t="s">
        <v>5194</v>
      </c>
      <c r="H1863" s="36" t="s">
        <v>27</v>
      </c>
      <c r="I1863" s="36"/>
      <c r="J1863" s="36"/>
      <c r="K1863" s="36"/>
      <c r="L1863" s="36"/>
      <c r="M1863" s="36"/>
      <c r="N1863" s="36"/>
      <c r="O1863" s="36"/>
      <c r="P1863" s="36"/>
      <c r="Q1863" s="36"/>
      <c r="R1863" s="36"/>
      <c r="S1863" s="36"/>
      <c r="T1863" s="36"/>
      <c r="U1863" s="36"/>
      <c r="V1863" s="36"/>
    </row>
    <row r="1864" spans="1:22">
      <c r="A1864" s="102">
        <v>46064</v>
      </c>
      <c r="B1864" s="36" t="s">
        <v>5220</v>
      </c>
      <c r="C1864" s="36" t="s">
        <v>5221</v>
      </c>
      <c r="D1864" s="36" t="s">
        <v>737</v>
      </c>
      <c r="E1864" s="36">
        <v>86326</v>
      </c>
      <c r="F1864" s="36" t="s">
        <v>5222</v>
      </c>
      <c r="G1864" s="36" t="s">
        <v>5194</v>
      </c>
      <c r="H1864" s="36">
        <v>2790610000</v>
      </c>
      <c r="I1864" s="36" t="s">
        <v>3919</v>
      </c>
      <c r="J1864" s="36" t="s">
        <v>37</v>
      </c>
      <c r="K1864" s="36" t="s">
        <v>37</v>
      </c>
      <c r="L1864" s="36" t="s">
        <v>4079</v>
      </c>
      <c r="M1864" s="36" t="s">
        <v>37</v>
      </c>
      <c r="N1864" s="36" t="s">
        <v>37</v>
      </c>
      <c r="O1864" s="36" t="s">
        <v>38</v>
      </c>
      <c r="P1864" s="36" t="s">
        <v>39</v>
      </c>
      <c r="Q1864" s="102">
        <v>46066</v>
      </c>
      <c r="R1864" s="36" t="s">
        <v>260</v>
      </c>
      <c r="S1864" s="36"/>
      <c r="T1864" s="36"/>
      <c r="U1864" s="36"/>
      <c r="V1864" s="36"/>
    </row>
    <row r="1865" spans="1:22">
      <c r="A1865" s="102">
        <v>46064</v>
      </c>
      <c r="B1865" s="36" t="s">
        <v>5223</v>
      </c>
      <c r="C1865" s="36" t="s">
        <v>4636</v>
      </c>
      <c r="D1865" s="36" t="s">
        <v>3111</v>
      </c>
      <c r="E1865" s="36">
        <v>85901</v>
      </c>
      <c r="F1865" s="36" t="s">
        <v>5224</v>
      </c>
      <c r="G1865" s="36" t="s">
        <v>5225</v>
      </c>
      <c r="H1865" s="36" t="s">
        <v>27</v>
      </c>
      <c r="I1865" s="36"/>
      <c r="J1865" s="36"/>
      <c r="K1865" s="36"/>
      <c r="L1865" s="36"/>
      <c r="M1865" s="36"/>
      <c r="N1865" s="36"/>
      <c r="O1865" s="36"/>
      <c r="P1865" s="36"/>
      <c r="Q1865" s="36"/>
      <c r="R1865" s="36"/>
      <c r="S1865" s="36"/>
      <c r="T1865" s="36"/>
      <c r="U1865" s="36"/>
      <c r="V1865" s="36"/>
    </row>
    <row r="1866" spans="1:22">
      <c r="A1866" s="102">
        <v>46064</v>
      </c>
      <c r="B1866" s="36" t="s">
        <v>5226</v>
      </c>
      <c r="C1866" s="36" t="s">
        <v>320</v>
      </c>
      <c r="D1866" s="36" t="s">
        <v>4673</v>
      </c>
      <c r="E1866" s="36">
        <v>86018</v>
      </c>
      <c r="F1866" s="36" t="s">
        <v>5227</v>
      </c>
      <c r="G1866" s="36" t="s">
        <v>5225</v>
      </c>
      <c r="H1866" s="36">
        <v>2382490000</v>
      </c>
      <c r="I1866" s="36" t="s">
        <v>46</v>
      </c>
      <c r="J1866" s="36" t="s">
        <v>37</v>
      </c>
      <c r="K1866" s="36" t="s">
        <v>37</v>
      </c>
      <c r="L1866" s="36" t="s">
        <v>4419</v>
      </c>
      <c r="M1866" s="36" t="s">
        <v>37</v>
      </c>
      <c r="N1866" s="36" t="s">
        <v>37</v>
      </c>
      <c r="O1866" s="36" t="s">
        <v>38</v>
      </c>
      <c r="P1866" s="36" t="s">
        <v>39</v>
      </c>
      <c r="Q1866" s="102">
        <v>46066</v>
      </c>
      <c r="R1866" s="36"/>
      <c r="S1866" s="36"/>
      <c r="T1866" s="36"/>
      <c r="U1866" s="36"/>
      <c r="V1866" s="36"/>
    </row>
    <row r="1867" spans="1:22">
      <c r="A1867" s="102">
        <v>46064</v>
      </c>
      <c r="B1867" s="36" t="s">
        <v>5228</v>
      </c>
      <c r="C1867" s="36" t="s">
        <v>690</v>
      </c>
      <c r="D1867" s="36" t="s">
        <v>63</v>
      </c>
      <c r="E1867" s="36">
        <v>85050</v>
      </c>
      <c r="F1867" s="36" t="s">
        <v>5229</v>
      </c>
      <c r="G1867" s="36" t="s">
        <v>5225</v>
      </c>
      <c r="H1867" s="36">
        <v>5972711000</v>
      </c>
      <c r="I1867" s="36" t="s">
        <v>46</v>
      </c>
      <c r="J1867" s="36" t="s">
        <v>37</v>
      </c>
      <c r="K1867" s="36" t="s">
        <v>37</v>
      </c>
      <c r="L1867" s="36" t="s">
        <v>38</v>
      </c>
      <c r="M1867" s="36" t="s">
        <v>37</v>
      </c>
      <c r="N1867" s="36" t="s">
        <v>37</v>
      </c>
      <c r="O1867" s="36" t="s">
        <v>38</v>
      </c>
      <c r="P1867" s="36" t="s">
        <v>39</v>
      </c>
      <c r="Q1867" s="102">
        <v>46066</v>
      </c>
      <c r="R1867" s="36"/>
      <c r="S1867" s="36"/>
      <c r="T1867" s="36"/>
      <c r="U1867" s="36"/>
      <c r="V1867" s="36"/>
    </row>
    <row r="1868" spans="1:22">
      <c r="A1868" s="102">
        <v>46064</v>
      </c>
      <c r="B1868" s="36" t="s">
        <v>5230</v>
      </c>
      <c r="C1868" s="36" t="s">
        <v>135</v>
      </c>
      <c r="D1868" s="36" t="s">
        <v>2542</v>
      </c>
      <c r="E1868" s="36">
        <v>86325</v>
      </c>
      <c r="F1868" s="36" t="s">
        <v>5231</v>
      </c>
      <c r="G1868" s="36" t="s">
        <v>5225</v>
      </c>
      <c r="H1868" s="36" t="s">
        <v>90</v>
      </c>
      <c r="I1868" s="36"/>
      <c r="J1868" s="36"/>
      <c r="K1868" s="36"/>
      <c r="L1868" s="36"/>
      <c r="M1868" s="36"/>
      <c r="N1868" s="36"/>
      <c r="O1868" s="36"/>
      <c r="P1868" s="36"/>
      <c r="Q1868" s="36"/>
      <c r="R1868" s="36"/>
      <c r="S1868" s="36"/>
      <c r="T1868" s="36"/>
      <c r="U1868" s="36"/>
      <c r="V1868" s="36"/>
    </row>
    <row r="1869" spans="1:22">
      <c r="A1869" s="102">
        <v>46064</v>
      </c>
      <c r="B1869" s="36" t="s">
        <v>5232</v>
      </c>
      <c r="C1869" s="36" t="s">
        <v>75</v>
      </c>
      <c r="D1869" s="36" t="s">
        <v>619</v>
      </c>
      <c r="E1869" s="36">
        <v>85364</v>
      </c>
      <c r="F1869" s="36" t="s">
        <v>5233</v>
      </c>
      <c r="G1869" s="36" t="s">
        <v>5234</v>
      </c>
      <c r="H1869" s="36">
        <v>9057041000</v>
      </c>
      <c r="I1869" s="36" t="s">
        <v>36</v>
      </c>
      <c r="J1869" s="36" t="s">
        <v>37</v>
      </c>
      <c r="K1869" s="36" t="s">
        <v>37</v>
      </c>
      <c r="L1869" s="36" t="s">
        <v>38</v>
      </c>
      <c r="M1869" s="36" t="s">
        <v>37</v>
      </c>
      <c r="N1869" s="36" t="s">
        <v>37</v>
      </c>
      <c r="O1869" s="36" t="s">
        <v>38</v>
      </c>
      <c r="P1869" s="36" t="s">
        <v>39</v>
      </c>
      <c r="Q1869" s="102">
        <v>46066</v>
      </c>
      <c r="R1869" s="36" t="s">
        <v>4239</v>
      </c>
      <c r="S1869" s="36"/>
      <c r="T1869" s="36"/>
      <c r="U1869" s="36"/>
      <c r="V1869" s="36"/>
    </row>
    <row r="1870" spans="1:22">
      <c r="A1870" s="102">
        <v>46064</v>
      </c>
      <c r="B1870" s="36" t="s">
        <v>5235</v>
      </c>
      <c r="C1870" s="36" t="s">
        <v>230</v>
      </c>
      <c r="D1870" s="36" t="s">
        <v>174</v>
      </c>
      <c r="E1870" s="36">
        <v>85396</v>
      </c>
      <c r="F1870" s="36" t="s">
        <v>5236</v>
      </c>
      <c r="G1870" s="36" t="s">
        <v>5237</v>
      </c>
      <c r="H1870" s="36">
        <v>3003812929</v>
      </c>
      <c r="I1870" s="36" t="s">
        <v>46</v>
      </c>
      <c r="J1870" s="36" t="s">
        <v>37</v>
      </c>
      <c r="K1870" s="36" t="s">
        <v>37</v>
      </c>
      <c r="L1870" s="36" t="s">
        <v>38</v>
      </c>
      <c r="M1870" s="36" t="s">
        <v>37</v>
      </c>
      <c r="N1870" s="36" t="s">
        <v>37</v>
      </c>
      <c r="O1870" s="36" t="s">
        <v>38</v>
      </c>
      <c r="P1870" s="36" t="s">
        <v>39</v>
      </c>
      <c r="Q1870" s="102">
        <v>46066</v>
      </c>
      <c r="R1870" s="36"/>
      <c r="S1870" s="36"/>
      <c r="T1870" s="36"/>
      <c r="U1870" s="36"/>
      <c r="V1870" s="36"/>
    </row>
    <row r="1871" spans="1:22">
      <c r="A1871" s="114">
        <v>46064</v>
      </c>
      <c r="B1871" s="107" t="s">
        <v>5238</v>
      </c>
      <c r="C1871" s="107" t="s">
        <v>79</v>
      </c>
      <c r="D1871" s="107" t="s">
        <v>448</v>
      </c>
      <c r="E1871" s="107">
        <v>85361</v>
      </c>
      <c r="F1871" s="107" t="s">
        <v>5239</v>
      </c>
      <c r="G1871" s="107" t="s">
        <v>5237</v>
      </c>
      <c r="H1871" s="107">
        <v>310740000</v>
      </c>
      <c r="I1871" s="107" t="s">
        <v>196</v>
      </c>
      <c r="J1871" s="107" t="s">
        <v>37</v>
      </c>
      <c r="K1871" s="107" t="s">
        <v>37</v>
      </c>
      <c r="L1871" s="107" t="s">
        <v>5240</v>
      </c>
      <c r="M1871" s="107" t="s">
        <v>38</v>
      </c>
      <c r="N1871" s="118">
        <v>409.95</v>
      </c>
      <c r="O1871" s="107" t="s">
        <v>38</v>
      </c>
      <c r="P1871" s="107"/>
      <c r="Q1871" s="114">
        <v>46066</v>
      </c>
      <c r="R1871" s="107" t="s">
        <v>5241</v>
      </c>
      <c r="S1871" s="107"/>
      <c r="T1871" s="107"/>
      <c r="U1871" s="107"/>
      <c r="V1871" s="107"/>
    </row>
    <row r="1872" spans="1:22">
      <c r="A1872" s="102">
        <v>46064</v>
      </c>
      <c r="B1872" s="36"/>
      <c r="C1872" s="36" t="s">
        <v>1533</v>
      </c>
      <c r="D1872" s="36"/>
      <c r="E1872" s="36"/>
      <c r="F1872" s="36" t="s">
        <v>5242</v>
      </c>
      <c r="G1872" s="36" t="s">
        <v>5237</v>
      </c>
      <c r="H1872" s="36" t="s">
        <v>27</v>
      </c>
      <c r="I1872" s="36"/>
      <c r="J1872" s="36"/>
      <c r="K1872" s="36"/>
      <c r="L1872" s="36"/>
      <c r="M1872" s="36"/>
      <c r="N1872" s="36"/>
      <c r="O1872" s="36"/>
      <c r="P1872" s="36"/>
      <c r="Q1872" s="36"/>
      <c r="R1872" s="36"/>
      <c r="S1872" s="36"/>
      <c r="T1872" s="36"/>
      <c r="U1872" s="36"/>
      <c r="V1872" s="36"/>
    </row>
    <row r="1873" spans="1:22">
      <c r="A1873" s="102">
        <v>46065</v>
      </c>
      <c r="B1873" s="36" t="s">
        <v>1583</v>
      </c>
      <c r="C1873" s="36" t="s">
        <v>2169</v>
      </c>
      <c r="D1873" s="36" t="s">
        <v>63</v>
      </c>
      <c r="E1873" s="36"/>
      <c r="F1873" s="36" t="s">
        <v>5243</v>
      </c>
      <c r="G1873" s="36" t="s">
        <v>5244</v>
      </c>
      <c r="H1873" s="36">
        <v>6676790000</v>
      </c>
      <c r="I1873" s="36" t="s">
        <v>36</v>
      </c>
      <c r="J1873" s="36" t="s">
        <v>37</v>
      </c>
      <c r="K1873" s="36" t="s">
        <v>37</v>
      </c>
      <c r="L1873" s="36" t="s">
        <v>38</v>
      </c>
      <c r="M1873" s="36" t="s">
        <v>37</v>
      </c>
      <c r="N1873" s="36" t="s">
        <v>37</v>
      </c>
      <c r="O1873" s="36" t="s">
        <v>38</v>
      </c>
      <c r="P1873" s="36" t="s">
        <v>39</v>
      </c>
      <c r="Q1873" s="102">
        <v>46066</v>
      </c>
      <c r="R1873" s="36"/>
      <c r="S1873" s="36"/>
      <c r="T1873" s="36"/>
      <c r="U1873" s="36"/>
      <c r="V1873" s="36"/>
    </row>
    <row r="1874" spans="1:22">
      <c r="A1874" s="102">
        <v>46065</v>
      </c>
      <c r="B1874" s="36" t="s">
        <v>1300</v>
      </c>
      <c r="C1874" s="36" t="s">
        <v>291</v>
      </c>
      <c r="D1874" s="36" t="s">
        <v>816</v>
      </c>
      <c r="E1874" s="36">
        <v>86303</v>
      </c>
      <c r="F1874" s="36" t="s">
        <v>5245</v>
      </c>
      <c r="G1874" s="36" t="s">
        <v>5244</v>
      </c>
      <c r="H1874" s="36">
        <v>1728530000</v>
      </c>
      <c r="I1874" s="36" t="s">
        <v>73</v>
      </c>
      <c r="J1874" s="36" t="s">
        <v>37</v>
      </c>
      <c r="K1874" s="36" t="s">
        <v>37</v>
      </c>
      <c r="L1874" s="36" t="s">
        <v>38</v>
      </c>
      <c r="M1874" s="36" t="s">
        <v>37</v>
      </c>
      <c r="N1874" s="36" t="s">
        <v>37</v>
      </c>
      <c r="O1874" s="36" t="s">
        <v>38</v>
      </c>
      <c r="P1874" s="36" t="s">
        <v>39</v>
      </c>
      <c r="Q1874" s="102">
        <v>46066</v>
      </c>
      <c r="R1874" s="36"/>
      <c r="S1874" s="36"/>
      <c r="T1874" s="36"/>
      <c r="U1874" s="36"/>
      <c r="V1874" s="36"/>
    </row>
    <row r="1875" spans="1:22">
      <c r="A1875" s="102">
        <v>46065</v>
      </c>
      <c r="B1875" s="36" t="s">
        <v>5159</v>
      </c>
      <c r="C1875" s="36" t="s">
        <v>1707</v>
      </c>
      <c r="D1875" s="36" t="s">
        <v>125</v>
      </c>
      <c r="E1875" s="36">
        <v>85259</v>
      </c>
      <c r="F1875" s="36" t="s">
        <v>5246</v>
      </c>
      <c r="G1875" s="36" t="s">
        <v>5244</v>
      </c>
      <c r="H1875" s="36" t="s">
        <v>27</v>
      </c>
      <c r="I1875" s="36"/>
      <c r="J1875" s="36"/>
      <c r="K1875" s="36"/>
      <c r="L1875" s="36"/>
      <c r="M1875" s="36"/>
      <c r="N1875" s="36"/>
      <c r="O1875" s="36"/>
      <c r="P1875" s="36"/>
      <c r="Q1875" s="36"/>
      <c r="R1875" s="36"/>
      <c r="S1875" s="36"/>
      <c r="T1875" s="36"/>
      <c r="U1875" s="36"/>
      <c r="V1875" s="36"/>
    </row>
    <row r="1876" spans="1:22">
      <c r="A1876" s="102">
        <v>46065</v>
      </c>
      <c r="B1876" s="36" t="s">
        <v>5247</v>
      </c>
      <c r="C1876" s="36" t="s">
        <v>2693</v>
      </c>
      <c r="D1876" s="36" t="s">
        <v>89</v>
      </c>
      <c r="E1876" s="36">
        <v>86336</v>
      </c>
      <c r="F1876" s="36" t="s">
        <v>5248</v>
      </c>
      <c r="G1876" s="36" t="s">
        <v>5249</v>
      </c>
      <c r="H1876" s="36">
        <v>2055710000</v>
      </c>
      <c r="I1876" s="36" t="s">
        <v>46</v>
      </c>
      <c r="J1876" s="36" t="s">
        <v>37</v>
      </c>
      <c r="K1876" s="36" t="s">
        <v>37</v>
      </c>
      <c r="L1876" s="36" t="s">
        <v>38</v>
      </c>
      <c r="M1876" s="36" t="s">
        <v>37</v>
      </c>
      <c r="N1876" s="36" t="s">
        <v>37</v>
      </c>
      <c r="O1876" s="36" t="s">
        <v>38</v>
      </c>
      <c r="P1876" s="36" t="s">
        <v>39</v>
      </c>
      <c r="Q1876" s="102">
        <v>46066</v>
      </c>
      <c r="R1876" s="36"/>
      <c r="S1876" s="36"/>
      <c r="T1876" s="36"/>
      <c r="U1876" s="36"/>
      <c r="V1876" s="36"/>
    </row>
    <row r="1877" spans="1:22">
      <c r="A1877" s="102">
        <v>46065</v>
      </c>
      <c r="B1877" s="36" t="s">
        <v>5250</v>
      </c>
      <c r="C1877" s="36" t="s">
        <v>575</v>
      </c>
      <c r="D1877" s="36" t="s">
        <v>89</v>
      </c>
      <c r="E1877" s="36">
        <v>86336</v>
      </c>
      <c r="F1877" s="36" t="s">
        <v>5251</v>
      </c>
      <c r="G1877" s="36" t="s">
        <v>5249</v>
      </c>
      <c r="H1877" s="36">
        <v>8586855180</v>
      </c>
      <c r="I1877" s="36" t="s">
        <v>36</v>
      </c>
      <c r="J1877" s="36" t="s">
        <v>37</v>
      </c>
      <c r="K1877" s="36" t="s">
        <v>37</v>
      </c>
      <c r="L1877" s="36" t="s">
        <v>38</v>
      </c>
      <c r="M1877" s="36" t="s">
        <v>37</v>
      </c>
      <c r="N1877" s="36" t="s">
        <v>37</v>
      </c>
      <c r="O1877" s="36" t="s">
        <v>38</v>
      </c>
      <c r="P1877" s="36" t="s">
        <v>39</v>
      </c>
      <c r="Q1877" s="102">
        <v>46066</v>
      </c>
      <c r="R1877" s="36"/>
      <c r="S1877" s="36"/>
      <c r="T1877" s="36"/>
      <c r="U1877" s="36"/>
      <c r="V1877" s="36"/>
    </row>
    <row r="1878" spans="1:22">
      <c r="A1878" s="102">
        <v>46065</v>
      </c>
      <c r="B1878" s="36" t="s">
        <v>5252</v>
      </c>
      <c r="C1878" s="36" t="s">
        <v>768</v>
      </c>
      <c r="D1878" s="36" t="s">
        <v>504</v>
      </c>
      <c r="E1878" s="36">
        <v>86004</v>
      </c>
      <c r="F1878" s="36" t="s">
        <v>5253</v>
      </c>
      <c r="G1878" s="36" t="s">
        <v>5249</v>
      </c>
      <c r="H1878" s="36">
        <v>3536710738</v>
      </c>
      <c r="I1878" s="36" t="s">
        <v>73</v>
      </c>
      <c r="J1878" s="36" t="s">
        <v>37</v>
      </c>
      <c r="K1878" s="36" t="s">
        <v>37</v>
      </c>
      <c r="L1878" s="36" t="s">
        <v>38</v>
      </c>
      <c r="M1878" s="36" t="s">
        <v>37</v>
      </c>
      <c r="N1878" s="36" t="s">
        <v>37</v>
      </c>
      <c r="O1878" s="36" t="s">
        <v>38</v>
      </c>
      <c r="P1878" s="36" t="s">
        <v>39</v>
      </c>
      <c r="Q1878" s="102">
        <v>46066</v>
      </c>
      <c r="R1878" s="36"/>
      <c r="S1878" s="36"/>
      <c r="T1878" s="36"/>
      <c r="U1878" s="36"/>
      <c r="V1878" s="36"/>
    </row>
    <row r="1879" spans="1:22">
      <c r="A1879" s="102">
        <v>46065</v>
      </c>
      <c r="B1879" s="36" t="s">
        <v>5254</v>
      </c>
      <c r="C1879" s="36" t="s">
        <v>1707</v>
      </c>
      <c r="D1879" s="36" t="s">
        <v>129</v>
      </c>
      <c r="E1879" s="36">
        <v>85234</v>
      </c>
      <c r="F1879" s="36" t="s">
        <v>5255</v>
      </c>
      <c r="G1879" s="36" t="s">
        <v>5249</v>
      </c>
      <c r="H1879" s="36">
        <v>763016212</v>
      </c>
      <c r="I1879" s="36" t="s">
        <v>541</v>
      </c>
      <c r="J1879" s="36" t="s">
        <v>37</v>
      </c>
      <c r="K1879" s="36" t="s">
        <v>37</v>
      </c>
      <c r="L1879" s="36" t="s">
        <v>4079</v>
      </c>
      <c r="M1879" s="36" t="s">
        <v>37</v>
      </c>
      <c r="N1879" s="36" t="s">
        <v>37</v>
      </c>
      <c r="O1879" s="36" t="s">
        <v>38</v>
      </c>
      <c r="P1879" s="36" t="s">
        <v>39</v>
      </c>
      <c r="Q1879" s="102">
        <v>46066</v>
      </c>
      <c r="R1879" s="36"/>
      <c r="S1879" s="36"/>
      <c r="T1879" s="36"/>
      <c r="U1879" s="36"/>
      <c r="V1879" s="36"/>
    </row>
    <row r="1880" spans="1:22">
      <c r="A1880" s="102">
        <v>46065</v>
      </c>
      <c r="B1880" s="36" t="s">
        <v>5256</v>
      </c>
      <c r="C1880" s="36" t="s">
        <v>117</v>
      </c>
      <c r="D1880" s="36" t="s">
        <v>89</v>
      </c>
      <c r="E1880" s="36">
        <v>86336</v>
      </c>
      <c r="F1880" s="36" t="s">
        <v>5257</v>
      </c>
      <c r="G1880" s="36" t="s">
        <v>5249</v>
      </c>
      <c r="H1880" s="36">
        <v>3879241000</v>
      </c>
      <c r="I1880" s="36" t="s">
        <v>73</v>
      </c>
      <c r="J1880" s="36" t="s">
        <v>37</v>
      </c>
      <c r="K1880" s="36" t="s">
        <v>37</v>
      </c>
      <c r="L1880" s="36" t="s">
        <v>38</v>
      </c>
      <c r="M1880" s="36" t="s">
        <v>37</v>
      </c>
      <c r="N1880" s="36" t="s">
        <v>37</v>
      </c>
      <c r="O1880" s="36" t="s">
        <v>38</v>
      </c>
      <c r="P1880" s="36" t="s">
        <v>39</v>
      </c>
      <c r="Q1880" s="102">
        <v>46066</v>
      </c>
      <c r="R1880" s="36" t="s">
        <v>5258</v>
      </c>
      <c r="S1880" s="36"/>
      <c r="T1880" s="36"/>
      <c r="U1880" s="36"/>
      <c r="V1880" s="36"/>
    </row>
    <row r="1881" spans="1:22">
      <c r="A1881" s="102">
        <v>46065</v>
      </c>
      <c r="B1881" s="36" t="s">
        <v>5259</v>
      </c>
      <c r="C1881" s="36" t="s">
        <v>2931</v>
      </c>
      <c r="D1881" s="36" t="s">
        <v>89</v>
      </c>
      <c r="E1881" s="36">
        <v>86336</v>
      </c>
      <c r="F1881" s="36" t="s">
        <v>5260</v>
      </c>
      <c r="G1881" s="36" t="s">
        <v>5249</v>
      </c>
      <c r="H1881" s="36">
        <v>6221886781</v>
      </c>
      <c r="I1881" s="36" t="s">
        <v>4311</v>
      </c>
      <c r="J1881" s="36" t="s">
        <v>37</v>
      </c>
      <c r="K1881" s="36" t="s">
        <v>37</v>
      </c>
      <c r="L1881" s="36" t="s">
        <v>38</v>
      </c>
      <c r="M1881" s="36" t="s">
        <v>37</v>
      </c>
      <c r="N1881" s="36" t="s">
        <v>37</v>
      </c>
      <c r="O1881" s="36" t="s">
        <v>38</v>
      </c>
      <c r="P1881" s="36" t="s">
        <v>39</v>
      </c>
      <c r="Q1881" s="102">
        <v>46066</v>
      </c>
      <c r="R1881" s="36"/>
      <c r="S1881" s="36"/>
      <c r="T1881" s="36"/>
      <c r="U1881" s="36"/>
      <c r="V1881" s="36"/>
    </row>
    <row r="1882" spans="1:22">
      <c r="A1882" s="102">
        <v>46065</v>
      </c>
      <c r="B1882" s="36" t="s">
        <v>5261</v>
      </c>
      <c r="C1882" s="36"/>
      <c r="D1882" s="36"/>
      <c r="E1882" s="36"/>
      <c r="F1882" s="36" t="s">
        <v>5262</v>
      </c>
      <c r="G1882" s="36" t="s">
        <v>5263</v>
      </c>
      <c r="H1882" s="36" t="s">
        <v>5264</v>
      </c>
      <c r="I1882" s="36"/>
      <c r="J1882" s="36"/>
      <c r="K1882" s="36"/>
      <c r="L1882" s="36"/>
      <c r="M1882" s="36"/>
      <c r="N1882" s="36"/>
      <c r="O1882" s="36"/>
      <c r="P1882" s="36"/>
      <c r="Q1882" s="36"/>
      <c r="R1882" s="36"/>
      <c r="S1882" s="36"/>
      <c r="T1882" s="36"/>
      <c r="U1882" s="36"/>
      <c r="V1882" s="36"/>
    </row>
    <row r="1883" spans="1:22" s="46" customFormat="1">
      <c r="A1883" s="96">
        <v>46070</v>
      </c>
      <c r="B1883" s="97" t="s">
        <v>5030</v>
      </c>
      <c r="C1883" s="97" t="s">
        <v>217</v>
      </c>
      <c r="D1883" s="97" t="s">
        <v>30</v>
      </c>
      <c r="E1883" s="97" t="s">
        <v>30</v>
      </c>
      <c r="F1883" s="97" t="s">
        <v>5265</v>
      </c>
      <c r="G1883" s="97" t="s">
        <v>5266</v>
      </c>
      <c r="H1883" s="97">
        <v>6088988776</v>
      </c>
      <c r="I1883" s="97" t="s">
        <v>46</v>
      </c>
      <c r="J1883" s="97" t="s">
        <v>37</v>
      </c>
      <c r="K1883" s="97" t="s">
        <v>37</v>
      </c>
      <c r="L1883" s="97" t="s">
        <v>4419</v>
      </c>
      <c r="M1883" s="97" t="s">
        <v>37</v>
      </c>
      <c r="N1883" s="97" t="s">
        <v>37</v>
      </c>
      <c r="O1883" s="97" t="s">
        <v>38</v>
      </c>
      <c r="P1883" s="97" t="s">
        <v>39</v>
      </c>
      <c r="Q1883" s="96">
        <v>46077</v>
      </c>
      <c r="R1883" s="97"/>
      <c r="S1883" s="97"/>
      <c r="T1883" s="97"/>
      <c r="U1883" s="97"/>
      <c r="V1883" s="97"/>
    </row>
    <row r="1884" spans="1:22" s="46" customFormat="1">
      <c r="A1884" s="96">
        <v>46070</v>
      </c>
      <c r="B1884" s="97" t="s">
        <v>2963</v>
      </c>
      <c r="C1884" s="97" t="s">
        <v>4684</v>
      </c>
      <c r="D1884" s="97" t="s">
        <v>112</v>
      </c>
      <c r="E1884" s="97">
        <v>85374</v>
      </c>
      <c r="F1884" s="97" t="s">
        <v>5267</v>
      </c>
      <c r="G1884" s="97" t="s">
        <v>5266</v>
      </c>
      <c r="H1884" s="97">
        <v>2933051000</v>
      </c>
      <c r="I1884" s="97" t="s">
        <v>36</v>
      </c>
      <c r="J1884" s="97" t="s">
        <v>37</v>
      </c>
      <c r="K1884" s="97" t="s">
        <v>37</v>
      </c>
      <c r="L1884" s="97" t="s">
        <v>38</v>
      </c>
      <c r="M1884" s="97" t="s">
        <v>37</v>
      </c>
      <c r="N1884" s="97" t="s">
        <v>37</v>
      </c>
      <c r="O1884" s="97" t="s">
        <v>38</v>
      </c>
      <c r="P1884" s="97" t="s">
        <v>39</v>
      </c>
      <c r="Q1884" s="96">
        <v>46077</v>
      </c>
      <c r="R1884" s="97"/>
      <c r="S1884" s="97"/>
      <c r="T1884" s="97"/>
      <c r="U1884" s="97"/>
      <c r="V1884" s="97"/>
    </row>
    <row r="1885" spans="1:22" s="46" customFormat="1">
      <c r="A1885" s="96">
        <v>46070</v>
      </c>
      <c r="B1885" s="97" t="s">
        <v>4084</v>
      </c>
      <c r="C1885" s="97" t="s">
        <v>4321</v>
      </c>
      <c r="D1885" s="97" t="s">
        <v>63</v>
      </c>
      <c r="E1885" s="97">
        <v>85029</v>
      </c>
      <c r="F1885" s="97" t="s">
        <v>5268</v>
      </c>
      <c r="G1885" s="97" t="s">
        <v>5269</v>
      </c>
      <c r="H1885" s="97">
        <v>9989951000</v>
      </c>
      <c r="I1885" s="97" t="s">
        <v>46</v>
      </c>
      <c r="J1885" s="97" t="s">
        <v>37</v>
      </c>
      <c r="K1885" s="97" t="s">
        <v>37</v>
      </c>
      <c r="L1885" s="97" t="s">
        <v>5270</v>
      </c>
      <c r="M1885" s="97" t="s">
        <v>37</v>
      </c>
      <c r="N1885" s="97" t="s">
        <v>37</v>
      </c>
      <c r="O1885" s="97" t="s">
        <v>38</v>
      </c>
      <c r="P1885" s="97" t="s">
        <v>39</v>
      </c>
      <c r="Q1885" s="96">
        <v>46077</v>
      </c>
      <c r="R1885" s="97"/>
      <c r="S1885" s="97"/>
      <c r="T1885" s="97"/>
      <c r="U1885" s="97"/>
      <c r="V1885" s="97"/>
    </row>
    <row r="1886" spans="1:22" s="46" customFormat="1">
      <c r="A1886" s="96">
        <v>46070</v>
      </c>
      <c r="B1886" s="97" t="s">
        <v>5271</v>
      </c>
      <c r="C1886" s="97" t="s">
        <v>5272</v>
      </c>
      <c r="D1886" s="97" t="s">
        <v>24</v>
      </c>
      <c r="E1886" s="97">
        <v>85303</v>
      </c>
      <c r="F1886" s="97" t="s">
        <v>5273</v>
      </c>
      <c r="G1886" s="97" t="s">
        <v>5269</v>
      </c>
      <c r="H1886" s="97" t="s">
        <v>27</v>
      </c>
      <c r="I1886" s="97"/>
      <c r="J1886" s="97"/>
      <c r="K1886" s="97"/>
      <c r="L1886" s="97"/>
      <c r="M1886" s="97"/>
      <c r="N1886" s="97"/>
      <c r="O1886" s="97"/>
      <c r="P1886" s="97"/>
      <c r="Q1886" s="97"/>
      <c r="R1886" s="97"/>
      <c r="S1886" s="97"/>
      <c r="T1886" s="97"/>
      <c r="U1886" s="97"/>
      <c r="V1886" s="97"/>
    </row>
    <row r="1887" spans="1:22" s="46" customFormat="1">
      <c r="A1887" s="96">
        <v>46070</v>
      </c>
      <c r="B1887" s="97" t="s">
        <v>5274</v>
      </c>
      <c r="C1887" s="97" t="s">
        <v>777</v>
      </c>
      <c r="D1887" s="97" t="s">
        <v>3538</v>
      </c>
      <c r="E1887" s="97">
        <v>85742</v>
      </c>
      <c r="F1887" s="97" t="s">
        <v>5275</v>
      </c>
      <c r="G1887" s="97" t="s">
        <v>5269</v>
      </c>
      <c r="H1887" s="97" t="s">
        <v>27</v>
      </c>
      <c r="I1887" s="97"/>
      <c r="J1887" s="97"/>
      <c r="K1887" s="97"/>
      <c r="L1887" s="97"/>
      <c r="M1887" s="97"/>
      <c r="N1887" s="97"/>
      <c r="O1887" s="97"/>
      <c r="P1887" s="97"/>
      <c r="Q1887" s="97"/>
      <c r="R1887" s="97"/>
      <c r="S1887" s="97"/>
      <c r="T1887" s="97"/>
      <c r="U1887" s="97"/>
      <c r="V1887" s="97"/>
    </row>
    <row r="1888" spans="1:22" s="46" customFormat="1">
      <c r="A1888" s="96">
        <v>46070</v>
      </c>
      <c r="B1888" s="97" t="s">
        <v>5276</v>
      </c>
      <c r="C1888" s="97" t="s">
        <v>5277</v>
      </c>
      <c r="D1888" s="97" t="s">
        <v>112</v>
      </c>
      <c r="E1888" s="97">
        <v>85374</v>
      </c>
      <c r="F1888" s="97" t="s">
        <v>5278</v>
      </c>
      <c r="G1888" s="97" t="s">
        <v>5269</v>
      </c>
      <c r="H1888" s="97">
        <v>7244159793</v>
      </c>
      <c r="I1888" s="97" t="s">
        <v>46</v>
      </c>
      <c r="J1888" s="97" t="s">
        <v>37</v>
      </c>
      <c r="K1888" s="97" t="s">
        <v>38</v>
      </c>
      <c r="L1888" s="97" t="s">
        <v>38</v>
      </c>
      <c r="M1888" s="97" t="s">
        <v>37</v>
      </c>
      <c r="N1888" s="97" t="s">
        <v>37</v>
      </c>
      <c r="O1888" s="97" t="s">
        <v>38</v>
      </c>
      <c r="P1888" s="97" t="s">
        <v>39</v>
      </c>
      <c r="Q1888" s="96">
        <v>46077</v>
      </c>
      <c r="R1888" s="97"/>
      <c r="S1888" s="97"/>
      <c r="T1888" s="97"/>
      <c r="U1888" s="97"/>
      <c r="V1888" s="97"/>
    </row>
    <row r="1889" spans="1:22" s="46" customFormat="1">
      <c r="A1889" s="96">
        <v>46070</v>
      </c>
      <c r="B1889" s="97" t="s">
        <v>5279</v>
      </c>
      <c r="C1889" s="97" t="s">
        <v>481</v>
      </c>
      <c r="D1889" s="97" t="s">
        <v>504</v>
      </c>
      <c r="E1889" s="97">
        <v>86001</v>
      </c>
      <c r="F1889" s="97" t="s">
        <v>5280</v>
      </c>
      <c r="G1889" s="97" t="s">
        <v>5269</v>
      </c>
      <c r="H1889" s="97">
        <v>637500000</v>
      </c>
      <c r="I1889" s="97" t="s">
        <v>250</v>
      </c>
      <c r="J1889" s="97" t="s">
        <v>37</v>
      </c>
      <c r="K1889" s="97" t="s">
        <v>37</v>
      </c>
      <c r="L1889" s="97" t="s">
        <v>38</v>
      </c>
      <c r="M1889" s="97" t="s">
        <v>37</v>
      </c>
      <c r="N1889" s="97" t="s">
        <v>37</v>
      </c>
      <c r="O1889" s="97" t="s">
        <v>38</v>
      </c>
      <c r="P1889" s="97" t="s">
        <v>39</v>
      </c>
      <c r="Q1889" s="96">
        <v>46077</v>
      </c>
      <c r="R1889" s="97"/>
      <c r="S1889" s="97"/>
      <c r="T1889" s="97"/>
      <c r="U1889" s="97"/>
      <c r="V1889" s="97"/>
    </row>
    <row r="1890" spans="1:22" s="46" customFormat="1">
      <c r="A1890" s="96">
        <v>46070</v>
      </c>
      <c r="B1890" s="97" t="s">
        <v>5281</v>
      </c>
      <c r="C1890" s="97" t="s">
        <v>1806</v>
      </c>
      <c r="D1890" s="97" t="s">
        <v>63</v>
      </c>
      <c r="E1890" s="97">
        <v>85029</v>
      </c>
      <c r="F1890" s="97" t="s">
        <v>5282</v>
      </c>
      <c r="G1890" s="97" t="s">
        <v>5269</v>
      </c>
      <c r="H1890" s="97" t="s">
        <v>27</v>
      </c>
      <c r="I1890" s="97"/>
      <c r="J1890" s="97"/>
      <c r="K1890" s="97"/>
      <c r="L1890" s="97"/>
      <c r="M1890" s="97"/>
      <c r="N1890" s="97"/>
      <c r="O1890" s="97"/>
      <c r="P1890" s="97"/>
      <c r="Q1890" s="97"/>
      <c r="R1890" s="97"/>
      <c r="S1890" s="97"/>
      <c r="T1890" s="97"/>
      <c r="U1890" s="97"/>
      <c r="V1890" s="97"/>
    </row>
    <row r="1891" spans="1:22" s="46" customFormat="1">
      <c r="A1891" s="96">
        <v>46070</v>
      </c>
      <c r="B1891" s="97" t="s">
        <v>686</v>
      </c>
      <c r="C1891" s="97" t="s">
        <v>153</v>
      </c>
      <c r="D1891" s="97" t="s">
        <v>24</v>
      </c>
      <c r="E1891" s="97">
        <v>85308</v>
      </c>
      <c r="F1891" s="97" t="s">
        <v>5283</v>
      </c>
      <c r="G1891" s="97" t="s">
        <v>5269</v>
      </c>
      <c r="H1891" s="97">
        <v>2586710000</v>
      </c>
      <c r="I1891" s="97" t="s">
        <v>3887</v>
      </c>
      <c r="J1891" s="97" t="s">
        <v>37</v>
      </c>
      <c r="K1891" s="97" t="s">
        <v>37</v>
      </c>
      <c r="L1891" s="97" t="s">
        <v>4079</v>
      </c>
      <c r="M1891" s="97" t="s">
        <v>37</v>
      </c>
      <c r="N1891" s="97" t="s">
        <v>37</v>
      </c>
      <c r="O1891" s="97" t="s">
        <v>38</v>
      </c>
      <c r="P1891" s="97" t="s">
        <v>39</v>
      </c>
      <c r="Q1891" s="96">
        <v>46077</v>
      </c>
      <c r="R1891" s="97"/>
      <c r="S1891" s="97"/>
      <c r="T1891" s="97"/>
      <c r="U1891" s="97"/>
      <c r="V1891" s="97"/>
    </row>
    <row r="1892" spans="1:22" s="46" customFormat="1">
      <c r="A1892" s="96">
        <v>46070</v>
      </c>
      <c r="B1892" s="97" t="s">
        <v>5284</v>
      </c>
      <c r="C1892" s="97" t="s">
        <v>5285</v>
      </c>
      <c r="D1892" s="97" t="s">
        <v>539</v>
      </c>
      <c r="E1892" s="97">
        <v>85122</v>
      </c>
      <c r="F1892" s="97" t="s">
        <v>5286</v>
      </c>
      <c r="G1892" s="97" t="s">
        <v>5269</v>
      </c>
      <c r="H1892" s="97">
        <v>3369131000</v>
      </c>
      <c r="I1892" s="97" t="s">
        <v>4311</v>
      </c>
      <c r="J1892" s="97" t="s">
        <v>37</v>
      </c>
      <c r="K1892" s="97" t="s">
        <v>37</v>
      </c>
      <c r="L1892" s="97" t="s">
        <v>38</v>
      </c>
      <c r="M1892" s="97" t="s">
        <v>37</v>
      </c>
      <c r="N1892" s="97" t="s">
        <v>37</v>
      </c>
      <c r="O1892" s="97" t="s">
        <v>38</v>
      </c>
      <c r="P1892" s="97" t="s">
        <v>39</v>
      </c>
      <c r="Q1892" s="96">
        <v>46077</v>
      </c>
      <c r="R1892" s="97"/>
      <c r="S1892" s="97"/>
      <c r="T1892" s="97"/>
      <c r="U1892" s="97"/>
      <c r="V1892" s="97"/>
    </row>
    <row r="1893" spans="1:22" s="46" customFormat="1">
      <c r="A1893" s="96">
        <v>46070</v>
      </c>
      <c r="B1893" s="97" t="s">
        <v>4617</v>
      </c>
      <c r="C1893" s="97" t="s">
        <v>312</v>
      </c>
      <c r="D1893" s="97" t="s">
        <v>63</v>
      </c>
      <c r="E1893" s="97">
        <v>85021</v>
      </c>
      <c r="F1893" s="97" t="s">
        <v>5287</v>
      </c>
      <c r="G1893" s="97" t="s">
        <v>5269</v>
      </c>
      <c r="H1893" s="97">
        <v>7243260797</v>
      </c>
      <c r="I1893" s="97" t="s">
        <v>4311</v>
      </c>
      <c r="J1893" s="97" t="s">
        <v>37</v>
      </c>
      <c r="K1893" s="97" t="s">
        <v>37</v>
      </c>
      <c r="L1893" s="97" t="s">
        <v>38</v>
      </c>
      <c r="M1893" s="97" t="s">
        <v>37</v>
      </c>
      <c r="N1893" s="97" t="s">
        <v>37</v>
      </c>
      <c r="O1893" s="97" t="s">
        <v>38</v>
      </c>
      <c r="P1893" s="97" t="s">
        <v>39</v>
      </c>
      <c r="Q1893" s="96">
        <v>46077</v>
      </c>
      <c r="R1893" s="97"/>
      <c r="S1893" s="97"/>
      <c r="T1893" s="97"/>
      <c r="U1893" s="97"/>
      <c r="V1893" s="97"/>
    </row>
    <row r="1894" spans="1:22" s="46" customFormat="1">
      <c r="A1894" s="96">
        <v>46070</v>
      </c>
      <c r="B1894" s="97" t="s">
        <v>5288</v>
      </c>
      <c r="C1894" s="97" t="s">
        <v>177</v>
      </c>
      <c r="D1894" s="97" t="s">
        <v>63</v>
      </c>
      <c r="E1894" s="97">
        <v>85014</v>
      </c>
      <c r="F1894" s="97" t="s">
        <v>5289</v>
      </c>
      <c r="G1894" s="97" t="s">
        <v>5269</v>
      </c>
      <c r="H1894" s="97" t="s">
        <v>27</v>
      </c>
      <c r="I1894" s="97"/>
      <c r="J1894" s="97"/>
      <c r="K1894" s="97"/>
      <c r="L1894" s="97"/>
      <c r="M1894" s="97"/>
      <c r="N1894" s="97"/>
      <c r="O1894" s="97"/>
      <c r="P1894" s="97"/>
      <c r="Q1894" s="97"/>
      <c r="R1894" s="97"/>
      <c r="S1894" s="97"/>
      <c r="T1894" s="97"/>
      <c r="U1894" s="97"/>
      <c r="V1894" s="97"/>
    </row>
    <row r="1895" spans="1:22" s="46" customFormat="1">
      <c r="A1895" s="96">
        <v>46070</v>
      </c>
      <c r="B1895" s="97" t="s">
        <v>5290</v>
      </c>
      <c r="C1895" s="97" t="s">
        <v>5291</v>
      </c>
      <c r="D1895" s="97" t="s">
        <v>3838</v>
      </c>
      <c r="E1895" s="97">
        <v>85354</v>
      </c>
      <c r="F1895" s="97" t="s">
        <v>5292</v>
      </c>
      <c r="G1895" s="97" t="s">
        <v>5269</v>
      </c>
      <c r="H1895" s="97">
        <v>4086961885</v>
      </c>
      <c r="I1895" s="97" t="s">
        <v>46</v>
      </c>
      <c r="J1895" s="97" t="s">
        <v>37</v>
      </c>
      <c r="K1895" s="97" t="s">
        <v>37</v>
      </c>
      <c r="L1895" s="97" t="s">
        <v>38</v>
      </c>
      <c r="M1895" s="97" t="s">
        <v>37</v>
      </c>
      <c r="N1895" s="97" t="s">
        <v>37</v>
      </c>
      <c r="O1895" s="97" t="s">
        <v>38</v>
      </c>
      <c r="P1895" s="97" t="s">
        <v>39</v>
      </c>
      <c r="Q1895" s="96">
        <v>45712</v>
      </c>
      <c r="R1895" s="97"/>
      <c r="S1895" s="97"/>
      <c r="T1895" s="97"/>
      <c r="U1895" s="97"/>
      <c r="V1895" s="97"/>
    </row>
    <row r="1896" spans="1:22" s="46" customFormat="1">
      <c r="A1896" s="96">
        <v>46070</v>
      </c>
      <c r="B1896" s="97" t="s">
        <v>5293</v>
      </c>
      <c r="C1896" s="97" t="s">
        <v>481</v>
      </c>
      <c r="D1896" s="97" t="s">
        <v>63</v>
      </c>
      <c r="E1896" s="97">
        <v>85020</v>
      </c>
      <c r="F1896" s="97" t="s">
        <v>5294</v>
      </c>
      <c r="G1896" s="97" t="s">
        <v>5269</v>
      </c>
      <c r="H1896" s="97">
        <v>7553261000</v>
      </c>
      <c r="I1896" s="97" t="s">
        <v>46</v>
      </c>
      <c r="J1896" s="97" t="s">
        <v>37</v>
      </c>
      <c r="K1896" s="97" t="s">
        <v>37</v>
      </c>
      <c r="L1896" s="97" t="s">
        <v>5295</v>
      </c>
      <c r="M1896" s="97" t="s">
        <v>37</v>
      </c>
      <c r="N1896" s="97" t="s">
        <v>37</v>
      </c>
      <c r="O1896" s="97" t="s">
        <v>38</v>
      </c>
      <c r="P1896" s="97" t="s">
        <v>39</v>
      </c>
      <c r="Q1896" s="96">
        <v>45712</v>
      </c>
      <c r="R1896" s="97"/>
      <c r="S1896" s="97"/>
      <c r="T1896" s="97"/>
      <c r="U1896" s="97"/>
      <c r="V1896" s="97"/>
    </row>
    <row r="1897" spans="1:22" s="46" customFormat="1">
      <c r="A1897" s="96">
        <v>46070</v>
      </c>
      <c r="B1897" s="97" t="s">
        <v>5296</v>
      </c>
      <c r="C1897" s="97" t="s">
        <v>2380</v>
      </c>
      <c r="D1897" s="97" t="s">
        <v>5297</v>
      </c>
      <c r="E1897" s="97">
        <v>86001</v>
      </c>
      <c r="F1897" s="97" t="s">
        <v>5298</v>
      </c>
      <c r="G1897" s="97" t="s">
        <v>5269</v>
      </c>
      <c r="H1897" s="97" t="s">
        <v>27</v>
      </c>
      <c r="I1897" s="97"/>
      <c r="J1897" s="97"/>
      <c r="K1897" s="97"/>
      <c r="L1897" s="97"/>
      <c r="M1897" s="97"/>
      <c r="N1897" s="97"/>
      <c r="O1897" s="97"/>
      <c r="P1897" s="97"/>
      <c r="Q1897" s="97"/>
      <c r="R1897" s="97"/>
      <c r="S1897" s="97"/>
      <c r="T1897" s="97"/>
      <c r="U1897" s="97"/>
      <c r="V1897" s="97"/>
    </row>
    <row r="1898" spans="1:22" s="46" customFormat="1">
      <c r="A1898" s="98">
        <v>46070</v>
      </c>
      <c r="B1898" s="99" t="s">
        <v>5299</v>
      </c>
      <c r="C1898" s="99" t="s">
        <v>2706</v>
      </c>
      <c r="D1898" s="99" t="s">
        <v>504</v>
      </c>
      <c r="E1898" s="99">
        <v>86004</v>
      </c>
      <c r="F1898" s="99" t="s">
        <v>5300</v>
      </c>
      <c r="G1898" s="99" t="s">
        <v>5269</v>
      </c>
      <c r="H1898" s="99">
        <v>4408511000</v>
      </c>
      <c r="I1898" s="99" t="s">
        <v>73</v>
      </c>
      <c r="J1898" s="99" t="s">
        <v>37</v>
      </c>
      <c r="K1898" s="99" t="s">
        <v>37</v>
      </c>
      <c r="L1898" s="99" t="s">
        <v>5301</v>
      </c>
      <c r="M1898" s="99" t="s">
        <v>37</v>
      </c>
      <c r="N1898" s="99" t="s">
        <v>37</v>
      </c>
      <c r="O1898" s="99" t="s">
        <v>38</v>
      </c>
      <c r="P1898" s="99"/>
      <c r="Q1898" s="98">
        <v>46077</v>
      </c>
      <c r="R1898" s="99" t="s">
        <v>4004</v>
      </c>
      <c r="S1898" s="99"/>
      <c r="T1898" s="99"/>
      <c r="U1898" s="99"/>
      <c r="V1898" s="99"/>
    </row>
    <row r="1899" spans="1:22" s="46" customFormat="1">
      <c r="A1899" s="96">
        <v>46070</v>
      </c>
      <c r="B1899" s="97" t="s">
        <v>2096</v>
      </c>
      <c r="C1899" s="97" t="s">
        <v>2125</v>
      </c>
      <c r="D1899" s="97" t="s">
        <v>5302</v>
      </c>
      <c r="E1899" s="97">
        <v>86005</v>
      </c>
      <c r="F1899" s="97" t="s">
        <v>5303</v>
      </c>
      <c r="G1899" s="97" t="s">
        <v>5269</v>
      </c>
      <c r="H1899" s="97" t="s">
        <v>27</v>
      </c>
      <c r="I1899" s="97"/>
      <c r="J1899" s="97"/>
      <c r="K1899" s="97"/>
      <c r="L1899" s="97"/>
      <c r="M1899" s="97"/>
      <c r="N1899" s="97"/>
      <c r="O1899" s="97"/>
      <c r="P1899" s="97"/>
      <c r="Q1899" s="97"/>
      <c r="R1899" s="97"/>
      <c r="S1899" s="97"/>
      <c r="T1899" s="97"/>
      <c r="U1899" s="97"/>
      <c r="V1899" s="97"/>
    </row>
    <row r="1900" spans="1:22" s="46" customFormat="1">
      <c r="A1900" s="96">
        <v>46070</v>
      </c>
      <c r="B1900" s="97" t="s">
        <v>5304</v>
      </c>
      <c r="C1900" s="97" t="s">
        <v>291</v>
      </c>
      <c r="D1900" s="97" t="s">
        <v>504</v>
      </c>
      <c r="E1900" s="97">
        <v>86004</v>
      </c>
      <c r="F1900" s="97" t="s">
        <v>5305</v>
      </c>
      <c r="G1900" s="97" t="s">
        <v>5269</v>
      </c>
      <c r="H1900" s="97">
        <v>2127440000</v>
      </c>
      <c r="I1900" s="97" t="s">
        <v>73</v>
      </c>
      <c r="J1900" s="97" t="s">
        <v>37</v>
      </c>
      <c r="K1900" s="97" t="s">
        <v>37</v>
      </c>
      <c r="L1900" s="97" t="s">
        <v>38</v>
      </c>
      <c r="M1900" s="97" t="s">
        <v>37</v>
      </c>
      <c r="N1900" s="97" t="s">
        <v>37</v>
      </c>
      <c r="O1900" s="97" t="s">
        <v>38</v>
      </c>
      <c r="P1900" s="97" t="s">
        <v>39</v>
      </c>
      <c r="Q1900" s="96">
        <v>46077</v>
      </c>
      <c r="R1900" s="97"/>
      <c r="S1900" s="97"/>
      <c r="T1900" s="97"/>
      <c r="U1900" s="97"/>
      <c r="V1900" s="97"/>
    </row>
    <row r="1901" spans="1:22" s="46" customFormat="1">
      <c r="A1901" s="96">
        <v>46070</v>
      </c>
      <c r="B1901" s="97" t="s">
        <v>2594</v>
      </c>
      <c r="C1901" s="97" t="s">
        <v>3506</v>
      </c>
      <c r="D1901" s="97" t="s">
        <v>1583</v>
      </c>
      <c r="E1901" s="97">
        <v>86046</v>
      </c>
      <c r="F1901" s="97" t="s">
        <v>5306</v>
      </c>
      <c r="G1901" s="97" t="s">
        <v>5269</v>
      </c>
      <c r="H1901" s="97">
        <v>7215060777</v>
      </c>
      <c r="I1901" s="97" t="s">
        <v>36</v>
      </c>
      <c r="J1901" s="97" t="s">
        <v>37</v>
      </c>
      <c r="K1901" s="97" t="s">
        <v>37</v>
      </c>
      <c r="L1901" s="97" t="s">
        <v>38</v>
      </c>
      <c r="M1901" s="97" t="s">
        <v>37</v>
      </c>
      <c r="N1901" s="97" t="s">
        <v>37</v>
      </c>
      <c r="O1901" s="97" t="s">
        <v>38</v>
      </c>
      <c r="P1901" s="97" t="s">
        <v>39</v>
      </c>
      <c r="Q1901" s="96">
        <v>46077</v>
      </c>
      <c r="R1901" s="97"/>
      <c r="S1901" s="97"/>
      <c r="T1901" s="97"/>
      <c r="U1901" s="97"/>
      <c r="V1901" s="97"/>
    </row>
    <row r="1902" spans="1:22" s="46" customFormat="1">
      <c r="A1902" s="96">
        <v>46070</v>
      </c>
      <c r="B1902" s="97" t="s">
        <v>5307</v>
      </c>
      <c r="C1902" s="97" t="s">
        <v>4459</v>
      </c>
      <c r="D1902" s="97" t="s">
        <v>504</v>
      </c>
      <c r="E1902" s="97">
        <v>86004</v>
      </c>
      <c r="F1902" s="97" t="s">
        <v>5308</v>
      </c>
      <c r="G1902" s="97" t="s">
        <v>5269</v>
      </c>
      <c r="H1902" s="97" t="s">
        <v>90</v>
      </c>
      <c r="I1902" s="97"/>
      <c r="J1902" s="97"/>
      <c r="K1902" s="97"/>
      <c r="L1902" s="97"/>
      <c r="M1902" s="97"/>
      <c r="N1902" s="97"/>
      <c r="O1902" s="97"/>
      <c r="P1902" s="97"/>
      <c r="Q1902" s="97"/>
      <c r="R1902" s="97"/>
      <c r="S1902" s="97"/>
      <c r="T1902" s="97"/>
      <c r="U1902" s="97"/>
      <c r="V1902" s="97"/>
    </row>
    <row r="1903" spans="1:22" s="46" customFormat="1">
      <c r="A1903" s="96">
        <v>46070</v>
      </c>
      <c r="B1903" s="97" t="s">
        <v>5309</v>
      </c>
      <c r="C1903" s="97" t="s">
        <v>5310</v>
      </c>
      <c r="D1903" s="97" t="s">
        <v>504</v>
      </c>
      <c r="E1903" s="97">
        <v>86004</v>
      </c>
      <c r="F1903" s="97" t="s">
        <v>5311</v>
      </c>
      <c r="G1903" s="97" t="s">
        <v>5269</v>
      </c>
      <c r="H1903" s="97">
        <v>3924500000</v>
      </c>
      <c r="I1903" s="97" t="s">
        <v>3919</v>
      </c>
      <c r="J1903" s="97" t="s">
        <v>37</v>
      </c>
      <c r="K1903" s="97" t="s">
        <v>37</v>
      </c>
      <c r="L1903" s="97" t="s">
        <v>4079</v>
      </c>
      <c r="M1903" s="97" t="s">
        <v>37</v>
      </c>
      <c r="N1903" s="97" t="s">
        <v>37</v>
      </c>
      <c r="O1903" s="97" t="s">
        <v>38</v>
      </c>
      <c r="P1903" s="97" t="s">
        <v>39</v>
      </c>
      <c r="Q1903" s="96">
        <v>46077</v>
      </c>
      <c r="R1903" s="97"/>
      <c r="S1903" s="97"/>
      <c r="T1903" s="97"/>
      <c r="U1903" s="97"/>
      <c r="V1903" s="97"/>
    </row>
    <row r="1904" spans="1:22" s="46" customFormat="1">
      <c r="A1904" s="96">
        <v>46070</v>
      </c>
      <c r="B1904" s="97" t="s">
        <v>5312</v>
      </c>
      <c r="C1904" s="97" t="s">
        <v>4737</v>
      </c>
      <c r="D1904" s="97" t="s">
        <v>202</v>
      </c>
      <c r="E1904" s="97">
        <v>85383</v>
      </c>
      <c r="F1904" s="97" t="s">
        <v>5313</v>
      </c>
      <c r="G1904" s="97" t="s">
        <v>5269</v>
      </c>
      <c r="H1904" s="97">
        <v>9914120000</v>
      </c>
      <c r="I1904" s="97" t="s">
        <v>36</v>
      </c>
      <c r="J1904" s="97" t="s">
        <v>37</v>
      </c>
      <c r="K1904" s="97" t="s">
        <v>37</v>
      </c>
      <c r="L1904" s="97" t="s">
        <v>38</v>
      </c>
      <c r="M1904" s="97" t="s">
        <v>37</v>
      </c>
      <c r="N1904" s="97" t="s">
        <v>37</v>
      </c>
      <c r="O1904" s="97" t="s">
        <v>38</v>
      </c>
      <c r="P1904" s="97" t="s">
        <v>39</v>
      </c>
      <c r="Q1904" s="96">
        <v>46077</v>
      </c>
      <c r="R1904" s="97"/>
      <c r="S1904" s="97"/>
      <c r="T1904" s="97"/>
      <c r="U1904" s="97"/>
      <c r="V1904" s="97"/>
    </row>
    <row r="1905" spans="1:22" s="46" customFormat="1">
      <c r="A1905" s="96">
        <v>46070</v>
      </c>
      <c r="B1905" s="97" t="s">
        <v>5314</v>
      </c>
      <c r="C1905" s="97" t="s">
        <v>5315</v>
      </c>
      <c r="D1905" s="97" t="s">
        <v>89</v>
      </c>
      <c r="E1905" s="97">
        <v>86336</v>
      </c>
      <c r="F1905" s="97" t="s">
        <v>5316</v>
      </c>
      <c r="G1905" s="97" t="s">
        <v>5269</v>
      </c>
      <c r="H1905" s="97" t="s">
        <v>27</v>
      </c>
      <c r="I1905" s="97"/>
      <c r="J1905" s="97"/>
      <c r="K1905" s="97"/>
      <c r="L1905" s="97"/>
      <c r="M1905" s="97"/>
      <c r="N1905" s="97"/>
      <c r="O1905" s="97"/>
      <c r="P1905" s="97"/>
      <c r="Q1905" s="97"/>
      <c r="R1905" s="97"/>
      <c r="S1905" s="97"/>
      <c r="T1905" s="97"/>
      <c r="U1905" s="97"/>
      <c r="V1905" s="97"/>
    </row>
    <row r="1906" spans="1:22" s="46" customFormat="1">
      <c r="A1906" s="98">
        <v>46070</v>
      </c>
      <c r="B1906" s="99" t="s">
        <v>2046</v>
      </c>
      <c r="C1906" s="99" t="s">
        <v>3880</v>
      </c>
      <c r="D1906" s="99" t="s">
        <v>504</v>
      </c>
      <c r="E1906" s="99">
        <v>86004</v>
      </c>
      <c r="F1906" s="99" t="s">
        <v>5317</v>
      </c>
      <c r="G1906" s="99" t="s">
        <v>5269</v>
      </c>
      <c r="H1906" s="99">
        <v>4206800000</v>
      </c>
      <c r="I1906" s="99" t="s">
        <v>126</v>
      </c>
      <c r="J1906" s="99" t="s">
        <v>37</v>
      </c>
      <c r="K1906" s="99" t="s">
        <v>37</v>
      </c>
      <c r="L1906" s="99" t="s">
        <v>5318</v>
      </c>
      <c r="M1906" s="99" t="s">
        <v>37</v>
      </c>
      <c r="N1906" s="99" t="s">
        <v>37</v>
      </c>
      <c r="O1906" s="99" t="s">
        <v>38</v>
      </c>
      <c r="P1906" s="99"/>
      <c r="Q1906" s="99"/>
      <c r="R1906" s="99" t="s">
        <v>4004</v>
      </c>
      <c r="S1906" s="99"/>
      <c r="T1906" s="99"/>
      <c r="U1906" s="99"/>
      <c r="V1906" s="99"/>
    </row>
    <row r="1907" spans="1:22" s="46" customFormat="1">
      <c r="A1907" s="96">
        <v>46070</v>
      </c>
      <c r="B1907" s="97" t="s">
        <v>3002</v>
      </c>
      <c r="C1907" s="97" t="s">
        <v>1707</v>
      </c>
      <c r="D1907" s="97" t="s">
        <v>63</v>
      </c>
      <c r="E1907" s="97">
        <v>85012</v>
      </c>
      <c r="F1907" s="97" t="s">
        <v>5319</v>
      </c>
      <c r="G1907" s="97" t="s">
        <v>5269</v>
      </c>
      <c r="H1907" s="97">
        <v>1654610000</v>
      </c>
      <c r="I1907" s="97" t="s">
        <v>250</v>
      </c>
      <c r="J1907" s="97" t="s">
        <v>37</v>
      </c>
      <c r="K1907" s="97" t="s">
        <v>37</v>
      </c>
      <c r="L1907" s="97" t="s">
        <v>38</v>
      </c>
      <c r="M1907" s="97" t="s">
        <v>37</v>
      </c>
      <c r="N1907" s="97" t="s">
        <v>37</v>
      </c>
      <c r="O1907" s="97" t="s">
        <v>38</v>
      </c>
      <c r="P1907" s="97" t="s">
        <v>39</v>
      </c>
      <c r="Q1907" s="96">
        <v>46077</v>
      </c>
      <c r="R1907" s="97"/>
      <c r="S1907" s="97"/>
      <c r="T1907" s="97"/>
      <c r="U1907" s="97"/>
      <c r="V1907" s="97"/>
    </row>
    <row r="1908" spans="1:22" s="46" customFormat="1">
      <c r="A1908" s="96">
        <v>46070</v>
      </c>
      <c r="B1908" s="97" t="s">
        <v>1031</v>
      </c>
      <c r="C1908" s="97" t="s">
        <v>1310</v>
      </c>
      <c r="D1908" s="97" t="s">
        <v>89</v>
      </c>
      <c r="E1908" s="97">
        <v>86336</v>
      </c>
      <c r="F1908" s="97" t="s">
        <v>5320</v>
      </c>
      <c r="G1908" s="97" t="s">
        <v>5269</v>
      </c>
      <c r="H1908" s="97" t="s">
        <v>90</v>
      </c>
      <c r="I1908" s="97"/>
      <c r="J1908" s="97"/>
      <c r="K1908" s="97"/>
      <c r="L1908" s="97"/>
      <c r="M1908" s="97"/>
      <c r="N1908" s="97"/>
      <c r="O1908" s="97"/>
      <c r="P1908" s="97"/>
      <c r="Q1908" s="97"/>
      <c r="R1908" s="97"/>
      <c r="S1908" s="97"/>
      <c r="T1908" s="97"/>
      <c r="U1908" s="97"/>
      <c r="V1908" s="97"/>
    </row>
    <row r="1909" spans="1:22" s="46" customFormat="1">
      <c r="A1909" s="98">
        <v>46070</v>
      </c>
      <c r="B1909" s="99" t="s">
        <v>2046</v>
      </c>
      <c r="C1909" s="99" t="s">
        <v>2273</v>
      </c>
      <c r="D1909" s="99" t="s">
        <v>504</v>
      </c>
      <c r="E1909" s="99">
        <v>86004</v>
      </c>
      <c r="F1909" s="99" t="s">
        <v>5321</v>
      </c>
      <c r="G1909" s="99" t="s">
        <v>5269</v>
      </c>
      <c r="H1909" s="99">
        <v>8374031000</v>
      </c>
      <c r="I1909" s="99" t="s">
        <v>57</v>
      </c>
      <c r="J1909" s="99" t="s">
        <v>37</v>
      </c>
      <c r="K1909" s="99" t="s">
        <v>37</v>
      </c>
      <c r="L1909" s="99" t="s">
        <v>5322</v>
      </c>
      <c r="M1909" s="99" t="s">
        <v>37</v>
      </c>
      <c r="N1909" s="99" t="s">
        <v>37</v>
      </c>
      <c r="O1909" s="99" t="s">
        <v>38</v>
      </c>
      <c r="P1909" s="99"/>
      <c r="Q1909" s="98">
        <v>46077</v>
      </c>
      <c r="R1909" s="99" t="s">
        <v>4004</v>
      </c>
      <c r="S1909" s="99"/>
      <c r="T1909" s="99"/>
      <c r="U1909" s="99"/>
      <c r="V1909" s="99"/>
    </row>
    <row r="1910" spans="1:22" s="46" customFormat="1">
      <c r="A1910" s="96">
        <v>46070</v>
      </c>
      <c r="B1910" s="97" t="s">
        <v>5323</v>
      </c>
      <c r="C1910" s="97"/>
      <c r="D1910" s="97" t="s">
        <v>698</v>
      </c>
      <c r="E1910" s="97">
        <v>85375</v>
      </c>
      <c r="F1910" s="97" t="s">
        <v>5324</v>
      </c>
      <c r="G1910" s="97" t="s">
        <v>5325</v>
      </c>
      <c r="H1910" s="97"/>
      <c r="I1910" s="97"/>
      <c r="J1910" s="97"/>
      <c r="K1910" s="97"/>
      <c r="L1910" s="97"/>
      <c r="M1910" s="97"/>
      <c r="N1910" s="97"/>
      <c r="O1910" s="97"/>
      <c r="P1910" s="97"/>
      <c r="Q1910" s="97"/>
      <c r="R1910" s="97"/>
      <c r="S1910" s="97"/>
      <c r="T1910" s="97"/>
      <c r="U1910" s="97"/>
      <c r="V1910" s="97"/>
    </row>
    <row r="1911" spans="1:22" s="46" customFormat="1">
      <c r="A1911" s="96">
        <v>46071</v>
      </c>
      <c r="B1911" s="97" t="s">
        <v>5326</v>
      </c>
      <c r="C1911" s="97" t="s">
        <v>5327</v>
      </c>
      <c r="D1911" s="97" t="s">
        <v>24</v>
      </c>
      <c r="E1911" s="97">
        <v>85301</v>
      </c>
      <c r="F1911" s="97" t="s">
        <v>5328</v>
      </c>
      <c r="G1911" s="97" t="s">
        <v>5329</v>
      </c>
      <c r="H1911" s="97" t="s">
        <v>27</v>
      </c>
      <c r="I1911" s="97"/>
      <c r="J1911" s="97"/>
      <c r="K1911" s="97"/>
      <c r="L1911" s="97"/>
      <c r="M1911" s="97"/>
      <c r="N1911" s="97"/>
      <c r="O1911" s="97"/>
      <c r="P1911" s="97"/>
      <c r="Q1911" s="97"/>
      <c r="R1911" s="97"/>
      <c r="S1911" s="97"/>
      <c r="T1911" s="97"/>
      <c r="U1911" s="97"/>
      <c r="V1911" s="97"/>
    </row>
    <row r="1912" spans="1:22" s="46" customFormat="1">
      <c r="A1912" s="96">
        <v>46071</v>
      </c>
      <c r="B1912" s="97" t="s">
        <v>5330</v>
      </c>
      <c r="C1912" s="97" t="s">
        <v>225</v>
      </c>
      <c r="D1912" s="97" t="s">
        <v>3613</v>
      </c>
      <c r="E1912" s="97">
        <v>85553</v>
      </c>
      <c r="F1912" s="97" t="s">
        <v>5331</v>
      </c>
      <c r="G1912" s="97" t="s">
        <v>5329</v>
      </c>
      <c r="H1912" s="97">
        <v>5450260000</v>
      </c>
      <c r="I1912" s="97" t="s">
        <v>541</v>
      </c>
      <c r="J1912" s="97" t="s">
        <v>37</v>
      </c>
      <c r="K1912" s="97" t="s">
        <v>37</v>
      </c>
      <c r="L1912" s="97" t="s">
        <v>4079</v>
      </c>
      <c r="M1912" s="97" t="s">
        <v>37</v>
      </c>
      <c r="N1912" s="97" t="s">
        <v>37</v>
      </c>
      <c r="O1912" s="97" t="s">
        <v>38</v>
      </c>
      <c r="P1912" s="97" t="s">
        <v>39</v>
      </c>
      <c r="Q1912" s="96">
        <v>46077</v>
      </c>
      <c r="R1912" s="97"/>
      <c r="S1912" s="97"/>
      <c r="T1912" s="97"/>
      <c r="U1912" s="97"/>
      <c r="V1912" s="97"/>
    </row>
    <row r="1913" spans="1:22" s="46" customFormat="1">
      <c r="A1913" s="96">
        <v>46071</v>
      </c>
      <c r="B1913" s="97" t="s">
        <v>5332</v>
      </c>
      <c r="C1913" s="97" t="s">
        <v>4457</v>
      </c>
      <c r="D1913" s="97" t="s">
        <v>816</v>
      </c>
      <c r="E1913" s="97">
        <v>86303</v>
      </c>
      <c r="F1913" s="97" t="s">
        <v>5333</v>
      </c>
      <c r="G1913" s="97" t="s">
        <v>5329</v>
      </c>
      <c r="H1913" s="97">
        <v>6975921000</v>
      </c>
      <c r="I1913" s="97" t="s">
        <v>46</v>
      </c>
      <c r="J1913" s="97" t="s">
        <v>37</v>
      </c>
      <c r="K1913" s="97" t="s">
        <v>37</v>
      </c>
      <c r="L1913" s="97" t="s">
        <v>38</v>
      </c>
      <c r="M1913" s="97" t="s">
        <v>37</v>
      </c>
      <c r="N1913" s="97" t="s">
        <v>37</v>
      </c>
      <c r="O1913" s="97" t="s">
        <v>38</v>
      </c>
      <c r="P1913" s="97" t="s">
        <v>39</v>
      </c>
      <c r="Q1913" s="96">
        <v>46077</v>
      </c>
      <c r="R1913" s="97"/>
      <c r="S1913" s="97"/>
      <c r="T1913" s="97"/>
      <c r="U1913" s="97"/>
      <c r="V1913" s="97"/>
    </row>
    <row r="1914" spans="1:22" s="46" customFormat="1">
      <c r="A1914" s="96">
        <v>46071</v>
      </c>
      <c r="B1914" s="97" t="s">
        <v>5334</v>
      </c>
      <c r="C1914" s="97" t="s">
        <v>5335</v>
      </c>
      <c r="D1914" s="97" t="s">
        <v>63</v>
      </c>
      <c r="E1914" s="97">
        <v>85027</v>
      </c>
      <c r="F1914" s="97" t="s">
        <v>5336</v>
      </c>
      <c r="G1914" s="97" t="s">
        <v>5329</v>
      </c>
      <c r="H1914" s="97">
        <v>8004441000</v>
      </c>
      <c r="I1914" s="97" t="s">
        <v>3919</v>
      </c>
      <c r="J1914" s="97" t="s">
        <v>37</v>
      </c>
      <c r="K1914" s="97" t="s">
        <v>37</v>
      </c>
      <c r="L1914" s="97" t="s">
        <v>4079</v>
      </c>
      <c r="M1914" s="97" t="s">
        <v>37</v>
      </c>
      <c r="N1914" s="97" t="s">
        <v>37</v>
      </c>
      <c r="O1914" s="97" t="s">
        <v>38</v>
      </c>
      <c r="P1914" s="97" t="s">
        <v>39</v>
      </c>
      <c r="Q1914" s="96">
        <v>46077</v>
      </c>
      <c r="R1914" s="97" t="s">
        <v>4239</v>
      </c>
      <c r="S1914" s="97"/>
      <c r="T1914" s="97"/>
      <c r="U1914" s="97"/>
      <c r="V1914" s="97"/>
    </row>
    <row r="1915" spans="1:22" s="46" customFormat="1">
      <c r="A1915" s="96">
        <v>46071</v>
      </c>
      <c r="B1915" s="97" t="s">
        <v>3473</v>
      </c>
      <c r="C1915" s="97" t="s">
        <v>363</v>
      </c>
      <c r="D1915" s="97" t="s">
        <v>63</v>
      </c>
      <c r="E1915" s="97">
        <v>85022</v>
      </c>
      <c r="F1915" s="97" t="s">
        <v>5337</v>
      </c>
      <c r="G1915" s="97" t="s">
        <v>5329</v>
      </c>
      <c r="H1915" s="97">
        <v>4625460000</v>
      </c>
      <c r="I1915" s="97" t="s">
        <v>126</v>
      </c>
      <c r="J1915" s="97" t="s">
        <v>37</v>
      </c>
      <c r="K1915" s="97" t="s">
        <v>37</v>
      </c>
      <c r="L1915" s="97" t="s">
        <v>5338</v>
      </c>
      <c r="M1915" s="97" t="s">
        <v>37</v>
      </c>
      <c r="N1915" s="97" t="s">
        <v>37</v>
      </c>
      <c r="O1915" s="97" t="s">
        <v>38</v>
      </c>
      <c r="P1915" s="97" t="s">
        <v>39</v>
      </c>
      <c r="Q1915" s="96">
        <v>46077</v>
      </c>
      <c r="R1915" s="97" t="s">
        <v>5339</v>
      </c>
      <c r="S1915" s="97"/>
      <c r="T1915" s="97"/>
      <c r="U1915" s="97"/>
      <c r="V1915" s="97"/>
    </row>
    <row r="1916" spans="1:22" s="46" customFormat="1">
      <c r="A1916" s="96">
        <v>46071</v>
      </c>
      <c r="B1916" s="97" t="s">
        <v>5340</v>
      </c>
      <c r="C1916" s="97" t="s">
        <v>1707</v>
      </c>
      <c r="D1916" s="97" t="s">
        <v>3838</v>
      </c>
      <c r="E1916" s="97">
        <v>85354</v>
      </c>
      <c r="F1916" s="97" t="s">
        <v>5341</v>
      </c>
      <c r="G1916" s="97" t="s">
        <v>5329</v>
      </c>
      <c r="H1916" s="97" t="s">
        <v>90</v>
      </c>
      <c r="I1916" s="97"/>
      <c r="J1916" s="97"/>
      <c r="K1916" s="97"/>
      <c r="L1916" s="97"/>
      <c r="M1916" s="97"/>
      <c r="N1916" s="97"/>
      <c r="O1916" s="97"/>
      <c r="P1916" s="97"/>
      <c r="Q1916" s="97"/>
      <c r="R1916" s="97"/>
      <c r="S1916" s="97"/>
      <c r="T1916" s="97"/>
      <c r="U1916" s="97"/>
      <c r="V1916" s="97"/>
    </row>
    <row r="1917" spans="1:22" s="46" customFormat="1">
      <c r="A1917" s="96">
        <v>46071</v>
      </c>
      <c r="B1917" s="97" t="s">
        <v>5342</v>
      </c>
      <c r="C1917" s="97" t="s">
        <v>1268</v>
      </c>
      <c r="D1917" s="97" t="s">
        <v>24</v>
      </c>
      <c r="E1917" s="97">
        <v>85308</v>
      </c>
      <c r="F1917" s="97" t="s">
        <v>5343</v>
      </c>
      <c r="G1917" s="97" t="s">
        <v>5329</v>
      </c>
      <c r="H1917" s="97">
        <v>8540070000</v>
      </c>
      <c r="I1917" s="97" t="s">
        <v>250</v>
      </c>
      <c r="J1917" s="97" t="s">
        <v>37</v>
      </c>
      <c r="K1917" s="97" t="s">
        <v>37</v>
      </c>
      <c r="L1917" s="97" t="s">
        <v>38</v>
      </c>
      <c r="M1917" s="97" t="s">
        <v>37</v>
      </c>
      <c r="N1917" s="97" t="s">
        <v>37</v>
      </c>
      <c r="O1917" s="97" t="s">
        <v>38</v>
      </c>
      <c r="P1917" s="97" t="s">
        <v>39</v>
      </c>
      <c r="Q1917" s="96">
        <v>46077</v>
      </c>
      <c r="R1917" s="97"/>
      <c r="S1917" s="97"/>
      <c r="T1917" s="97"/>
      <c r="U1917" s="97"/>
      <c r="V1917" s="97"/>
    </row>
    <row r="1918" spans="1:22" s="46" customFormat="1">
      <c r="A1918" s="96">
        <v>46071</v>
      </c>
      <c r="B1918" s="97" t="s">
        <v>5344</v>
      </c>
      <c r="C1918" s="97" t="s">
        <v>355</v>
      </c>
      <c r="D1918" s="97" t="s">
        <v>2429</v>
      </c>
      <c r="E1918" s="97">
        <v>85132</v>
      </c>
      <c r="F1918" s="97" t="s">
        <v>5345</v>
      </c>
      <c r="G1918" s="97" t="s">
        <v>5329</v>
      </c>
      <c r="H1918" s="97">
        <v>7277849791</v>
      </c>
      <c r="I1918" s="97" t="s">
        <v>46</v>
      </c>
      <c r="J1918" s="97" t="s">
        <v>37</v>
      </c>
      <c r="K1918" s="97" t="s">
        <v>37</v>
      </c>
      <c r="L1918" s="97" t="s">
        <v>38</v>
      </c>
      <c r="M1918" s="97" t="s">
        <v>37</v>
      </c>
      <c r="N1918" s="97" t="s">
        <v>37</v>
      </c>
      <c r="O1918" s="97" t="s">
        <v>38</v>
      </c>
      <c r="P1918" s="97" t="s">
        <v>39</v>
      </c>
      <c r="Q1918" s="96">
        <v>46077</v>
      </c>
      <c r="R1918" s="97"/>
      <c r="S1918" s="97"/>
      <c r="T1918" s="97"/>
      <c r="U1918" s="97"/>
      <c r="V1918" s="97"/>
    </row>
    <row r="1919" spans="1:22" s="46" customFormat="1">
      <c r="A1919" s="96">
        <v>46071</v>
      </c>
      <c r="B1919" s="97" t="s">
        <v>4614</v>
      </c>
      <c r="C1919" s="97" t="s">
        <v>4760</v>
      </c>
      <c r="D1919" s="97" t="s">
        <v>169</v>
      </c>
      <c r="E1919" s="97">
        <v>85338</v>
      </c>
      <c r="F1919" s="97" t="s">
        <v>5346</v>
      </c>
      <c r="G1919" s="97" t="s">
        <v>5329</v>
      </c>
      <c r="H1919" s="97">
        <v>223345291</v>
      </c>
      <c r="I1919" s="97" t="s">
        <v>4214</v>
      </c>
      <c r="J1919" s="97" t="s">
        <v>37</v>
      </c>
      <c r="K1919" s="97" t="s">
        <v>37</v>
      </c>
      <c r="L1919" s="97" t="s">
        <v>4079</v>
      </c>
      <c r="M1919" s="97" t="s">
        <v>38</v>
      </c>
      <c r="N1919" s="119">
        <v>5.37</v>
      </c>
      <c r="O1919" s="97" t="s">
        <v>38</v>
      </c>
      <c r="P1919" s="97" t="s">
        <v>39</v>
      </c>
      <c r="Q1919" s="96">
        <v>46077</v>
      </c>
      <c r="R1919" s="97"/>
      <c r="S1919" s="97"/>
      <c r="T1919" s="97"/>
      <c r="U1919" s="97"/>
      <c r="V1919" s="97"/>
    </row>
    <row r="1920" spans="1:22" s="46" customFormat="1">
      <c r="A1920" s="96">
        <v>46071</v>
      </c>
      <c r="B1920" s="97" t="s">
        <v>5347</v>
      </c>
      <c r="C1920" s="97" t="s">
        <v>5348</v>
      </c>
      <c r="D1920" s="97" t="s">
        <v>3192</v>
      </c>
      <c r="E1920" s="97">
        <v>85253</v>
      </c>
      <c r="F1920" s="97" t="s">
        <v>5349</v>
      </c>
      <c r="G1920" s="97" t="s">
        <v>5329</v>
      </c>
      <c r="H1920" s="97">
        <v>6316480000</v>
      </c>
      <c r="I1920" s="97" t="s">
        <v>5350</v>
      </c>
      <c r="J1920" s="97" t="s">
        <v>37</v>
      </c>
      <c r="K1920" s="97" t="s">
        <v>37</v>
      </c>
      <c r="L1920" s="97" t="s">
        <v>38</v>
      </c>
      <c r="M1920" s="97" t="s">
        <v>37</v>
      </c>
      <c r="N1920" s="97" t="s">
        <v>37</v>
      </c>
      <c r="O1920" s="97" t="s">
        <v>38</v>
      </c>
      <c r="P1920" s="97" t="s">
        <v>39</v>
      </c>
      <c r="Q1920" s="96">
        <v>46077</v>
      </c>
      <c r="R1920" s="97"/>
      <c r="S1920" s="97"/>
      <c r="T1920" s="97"/>
      <c r="U1920" s="97"/>
      <c r="V1920" s="97"/>
    </row>
    <row r="1921" spans="1:22" s="46" customFormat="1">
      <c r="A1921" s="96">
        <v>46071</v>
      </c>
      <c r="B1921" s="97" t="s">
        <v>5351</v>
      </c>
      <c r="C1921" s="97" t="s">
        <v>312</v>
      </c>
      <c r="D1921" s="97" t="s">
        <v>816</v>
      </c>
      <c r="E1921" s="97">
        <v>86301</v>
      </c>
      <c r="F1921" s="97" t="s">
        <v>5352</v>
      </c>
      <c r="G1921" s="97" t="s">
        <v>5329</v>
      </c>
      <c r="H1921" s="97">
        <v>1490131000</v>
      </c>
      <c r="I1921" s="97" t="s">
        <v>250</v>
      </c>
      <c r="J1921" s="97" t="s">
        <v>37</v>
      </c>
      <c r="K1921" s="97" t="s">
        <v>37</v>
      </c>
      <c r="L1921" s="97" t="s">
        <v>5353</v>
      </c>
      <c r="M1921" s="97" t="s">
        <v>37</v>
      </c>
      <c r="N1921" s="97" t="s">
        <v>37</v>
      </c>
      <c r="O1921" s="97" t="s">
        <v>38</v>
      </c>
      <c r="P1921" s="97" t="s">
        <v>39</v>
      </c>
      <c r="Q1921" s="96">
        <v>46077</v>
      </c>
      <c r="R1921" s="97"/>
      <c r="S1921" s="97"/>
      <c r="T1921" s="97"/>
      <c r="U1921" s="97"/>
      <c r="V1921" s="97"/>
    </row>
    <row r="1922" spans="1:22" s="46" customFormat="1">
      <c r="A1922" s="96">
        <v>46071</v>
      </c>
      <c r="B1922" s="97" t="s">
        <v>5354</v>
      </c>
      <c r="C1922" s="97" t="s">
        <v>4248</v>
      </c>
      <c r="D1922" s="97" t="s">
        <v>63</v>
      </c>
      <c r="E1922" s="97">
        <v>85028</v>
      </c>
      <c r="F1922" s="97" t="s">
        <v>5355</v>
      </c>
      <c r="G1922" s="97" t="s">
        <v>5329</v>
      </c>
      <c r="H1922" s="97">
        <v>9899890000</v>
      </c>
      <c r="I1922" s="97" t="s">
        <v>3919</v>
      </c>
      <c r="J1922" s="97" t="s">
        <v>37</v>
      </c>
      <c r="K1922" s="97" t="s">
        <v>37</v>
      </c>
      <c r="L1922" s="97" t="s">
        <v>4079</v>
      </c>
      <c r="M1922" s="97" t="s">
        <v>37</v>
      </c>
      <c r="N1922" s="97" t="s">
        <v>37</v>
      </c>
      <c r="O1922" s="97" t="s">
        <v>38</v>
      </c>
      <c r="P1922" s="97" t="s">
        <v>39</v>
      </c>
      <c r="Q1922" s="96">
        <v>46077</v>
      </c>
      <c r="R1922" s="97"/>
      <c r="S1922" s="97"/>
      <c r="T1922" s="97"/>
      <c r="U1922" s="97"/>
      <c r="V1922" s="97"/>
    </row>
    <row r="1923" spans="1:22" s="46" customFormat="1">
      <c r="A1923" s="96">
        <v>46071</v>
      </c>
      <c r="B1923" s="97" t="s">
        <v>419</v>
      </c>
      <c r="C1923" s="97" t="s">
        <v>376</v>
      </c>
      <c r="D1923" s="97" t="s">
        <v>63</v>
      </c>
      <c r="E1923" s="97">
        <v>85016</v>
      </c>
      <c r="F1923" s="97" t="s">
        <v>5356</v>
      </c>
      <c r="G1923" s="97" t="s">
        <v>5357</v>
      </c>
      <c r="H1923" s="97" t="s">
        <v>27</v>
      </c>
      <c r="I1923" s="97"/>
      <c r="J1923" s="97"/>
      <c r="K1923" s="97"/>
      <c r="L1923" s="97"/>
      <c r="M1923" s="97"/>
      <c r="N1923" s="97"/>
      <c r="O1923" s="97"/>
      <c r="P1923" s="97"/>
      <c r="Q1923" s="97"/>
      <c r="R1923" s="97" t="s">
        <v>5358</v>
      </c>
      <c r="S1923" s="97"/>
      <c r="T1923" s="97"/>
      <c r="U1923" s="97"/>
      <c r="V1923" s="97"/>
    </row>
    <row r="1924" spans="1:22" s="46" customFormat="1">
      <c r="A1924" s="96">
        <v>46071</v>
      </c>
      <c r="B1924" s="97" t="s">
        <v>5359</v>
      </c>
      <c r="C1924" s="97" t="s">
        <v>991</v>
      </c>
      <c r="D1924" s="97" t="s">
        <v>261</v>
      </c>
      <c r="E1924" s="97">
        <v>86314</v>
      </c>
      <c r="F1924" s="97" t="s">
        <v>5360</v>
      </c>
      <c r="G1924" s="97" t="s">
        <v>5357</v>
      </c>
      <c r="H1924" s="97">
        <v>1675649579</v>
      </c>
      <c r="I1924" s="97" t="s">
        <v>73</v>
      </c>
      <c r="J1924" s="97" t="s">
        <v>38</v>
      </c>
      <c r="K1924" s="97" t="s">
        <v>37</v>
      </c>
      <c r="L1924" s="97" t="s">
        <v>38</v>
      </c>
      <c r="M1924" s="97" t="s">
        <v>37</v>
      </c>
      <c r="N1924" s="97" t="s">
        <v>37</v>
      </c>
      <c r="O1924" s="97" t="s">
        <v>38</v>
      </c>
      <c r="P1924" s="97" t="s">
        <v>39</v>
      </c>
      <c r="Q1924" s="96">
        <v>46077</v>
      </c>
      <c r="R1924" s="97"/>
      <c r="S1924" s="97"/>
      <c r="T1924" s="97"/>
      <c r="U1924" s="97"/>
      <c r="V1924" s="97"/>
    </row>
    <row r="1925" spans="1:22" s="46" customFormat="1">
      <c r="A1925" s="98">
        <v>46071</v>
      </c>
      <c r="B1925" s="99" t="s">
        <v>5361</v>
      </c>
      <c r="C1925" s="99" t="s">
        <v>1423</v>
      </c>
      <c r="D1925" s="99" t="s">
        <v>129</v>
      </c>
      <c r="E1925" s="99">
        <v>85234</v>
      </c>
      <c r="F1925" s="99" t="s">
        <v>5362</v>
      </c>
      <c r="G1925" s="99" t="s">
        <v>5357</v>
      </c>
      <c r="H1925" s="99">
        <v>1985520000</v>
      </c>
      <c r="I1925" s="99" t="s">
        <v>5350</v>
      </c>
      <c r="J1925" s="99" t="s">
        <v>37</v>
      </c>
      <c r="K1925" s="99" t="s">
        <v>37</v>
      </c>
      <c r="L1925" s="99" t="s">
        <v>5363</v>
      </c>
      <c r="M1925" s="99" t="s">
        <v>37</v>
      </c>
      <c r="N1925" s="99" t="s">
        <v>37</v>
      </c>
      <c r="O1925" s="99" t="s">
        <v>38</v>
      </c>
      <c r="P1925" s="99"/>
      <c r="Q1925" s="98">
        <v>46077</v>
      </c>
      <c r="R1925" s="99" t="s">
        <v>4004</v>
      </c>
      <c r="S1925" s="99"/>
      <c r="T1925" s="99"/>
      <c r="U1925" s="99"/>
      <c r="V1925" s="99"/>
    </row>
    <row r="1926" spans="1:22" s="46" customFormat="1">
      <c r="A1926" s="96">
        <v>46071</v>
      </c>
      <c r="B1926" s="97" t="s">
        <v>5364</v>
      </c>
      <c r="C1926" s="97" t="s">
        <v>5365</v>
      </c>
      <c r="D1926" s="97" t="s">
        <v>816</v>
      </c>
      <c r="E1926" s="97">
        <v>86303</v>
      </c>
      <c r="F1926" s="97" t="s">
        <v>5366</v>
      </c>
      <c r="G1926" s="97" t="s">
        <v>5357</v>
      </c>
      <c r="H1926" s="97">
        <v>3421360000</v>
      </c>
      <c r="I1926" s="97" t="s">
        <v>46</v>
      </c>
      <c r="J1926" s="97" t="s">
        <v>37</v>
      </c>
      <c r="K1926" s="97" t="s">
        <v>37</v>
      </c>
      <c r="L1926" s="97" t="s">
        <v>38</v>
      </c>
      <c r="M1926" s="97" t="s">
        <v>37</v>
      </c>
      <c r="N1926" s="97" t="s">
        <v>37</v>
      </c>
      <c r="O1926" s="97" t="s">
        <v>38</v>
      </c>
      <c r="P1926" s="97" t="s">
        <v>39</v>
      </c>
      <c r="Q1926" s="96">
        <v>46077</v>
      </c>
      <c r="R1926" s="97"/>
      <c r="S1926" s="97"/>
      <c r="T1926" s="97"/>
      <c r="U1926" s="97"/>
      <c r="V1926" s="97"/>
    </row>
    <row r="1927" spans="1:22" s="46" customFormat="1">
      <c r="A1927" s="96">
        <v>46071</v>
      </c>
      <c r="B1927" s="97" t="s">
        <v>5367</v>
      </c>
      <c r="C1927" s="97" t="s">
        <v>5368</v>
      </c>
      <c r="D1927" s="97" t="s">
        <v>63</v>
      </c>
      <c r="E1927" s="97">
        <v>85037</v>
      </c>
      <c r="F1927" s="97" t="s">
        <v>3756</v>
      </c>
      <c r="G1927" s="97" t="s">
        <v>5357</v>
      </c>
      <c r="H1927" s="97" t="s">
        <v>27</v>
      </c>
      <c r="I1927" s="97"/>
      <c r="J1927" s="97"/>
      <c r="K1927" s="97"/>
      <c r="L1927" s="97"/>
      <c r="M1927" s="97"/>
      <c r="N1927" s="97"/>
      <c r="O1927" s="97"/>
      <c r="P1927" s="97"/>
      <c r="Q1927" s="97"/>
      <c r="R1927" s="97"/>
      <c r="S1927" s="97"/>
      <c r="T1927" s="97"/>
      <c r="U1927" s="97"/>
      <c r="V1927" s="97"/>
    </row>
    <row r="1928" spans="1:22" s="46" customFormat="1">
      <c r="A1928" s="96">
        <v>46071</v>
      </c>
      <c r="B1928" s="97" t="s">
        <v>5369</v>
      </c>
      <c r="C1928" s="97" t="s">
        <v>208</v>
      </c>
      <c r="D1928" s="97" t="s">
        <v>504</v>
      </c>
      <c r="E1928" s="97">
        <v>86001</v>
      </c>
      <c r="F1928" s="97" t="s">
        <v>5370</v>
      </c>
      <c r="G1928" s="97" t="s">
        <v>5357</v>
      </c>
      <c r="H1928" s="97" t="s">
        <v>27</v>
      </c>
      <c r="I1928" s="97"/>
      <c r="J1928" s="97"/>
      <c r="K1928" s="97"/>
      <c r="L1928" s="97"/>
      <c r="M1928" s="97"/>
      <c r="N1928" s="97"/>
      <c r="O1928" s="97"/>
      <c r="P1928" s="97"/>
      <c r="Q1928" s="97"/>
      <c r="R1928" s="97"/>
      <c r="S1928" s="97"/>
      <c r="T1928" s="97"/>
      <c r="U1928" s="97"/>
      <c r="V1928" s="97"/>
    </row>
    <row r="1929" spans="1:22" s="46" customFormat="1">
      <c r="A1929" s="96">
        <v>46071</v>
      </c>
      <c r="B1929" s="97" t="s">
        <v>5371</v>
      </c>
      <c r="C1929" s="97" t="s">
        <v>575</v>
      </c>
      <c r="D1929" s="97" t="s">
        <v>3361</v>
      </c>
      <c r="E1929" s="97">
        <v>86322</v>
      </c>
      <c r="F1929" s="97" t="s">
        <v>5372</v>
      </c>
      <c r="G1929" s="97" t="s">
        <v>5357</v>
      </c>
      <c r="H1929" s="97">
        <v>3493863264</v>
      </c>
      <c r="I1929" s="97" t="s">
        <v>73</v>
      </c>
      <c r="J1929" s="97" t="s">
        <v>38</v>
      </c>
      <c r="K1929" s="97" t="s">
        <v>37</v>
      </c>
      <c r="L1929" s="97" t="s">
        <v>38</v>
      </c>
      <c r="M1929" s="97" t="s">
        <v>37</v>
      </c>
      <c r="N1929" s="97" t="s">
        <v>37</v>
      </c>
      <c r="O1929" s="97" t="s">
        <v>38</v>
      </c>
      <c r="P1929" s="97" t="s">
        <v>39</v>
      </c>
      <c r="Q1929" s="96">
        <v>46077</v>
      </c>
      <c r="R1929" s="97"/>
      <c r="S1929" s="97"/>
      <c r="T1929" s="97"/>
      <c r="U1929" s="97"/>
      <c r="V1929" s="97"/>
    </row>
    <row r="1930" spans="1:22" s="46" customFormat="1">
      <c r="A1930" s="96">
        <v>46071</v>
      </c>
      <c r="B1930" s="97" t="s">
        <v>5373</v>
      </c>
      <c r="C1930" s="97" t="s">
        <v>5374</v>
      </c>
      <c r="D1930" s="97" t="s">
        <v>169</v>
      </c>
      <c r="E1930" s="97">
        <v>85395</v>
      </c>
      <c r="F1930" s="97" t="s">
        <v>5375</v>
      </c>
      <c r="G1930" s="97" t="s">
        <v>5357</v>
      </c>
      <c r="H1930" s="97">
        <v>7082251000</v>
      </c>
      <c r="I1930" s="97" t="s">
        <v>36</v>
      </c>
      <c r="J1930" s="97" t="s">
        <v>37</v>
      </c>
      <c r="K1930" s="97" t="s">
        <v>37</v>
      </c>
      <c r="L1930" s="97" t="s">
        <v>38</v>
      </c>
      <c r="M1930" s="97" t="s">
        <v>37</v>
      </c>
      <c r="N1930" s="97" t="s">
        <v>37</v>
      </c>
      <c r="O1930" s="97" t="s">
        <v>38</v>
      </c>
      <c r="P1930" s="97" t="s">
        <v>39</v>
      </c>
      <c r="Q1930" s="96">
        <v>46077</v>
      </c>
      <c r="R1930" s="97"/>
      <c r="S1930" s="97"/>
      <c r="T1930" s="97"/>
      <c r="U1930" s="97"/>
      <c r="V1930" s="97"/>
    </row>
    <row r="1931" spans="1:22" s="46" customFormat="1">
      <c r="A1931" s="96">
        <v>46071</v>
      </c>
      <c r="B1931" s="97" t="s">
        <v>363</v>
      </c>
      <c r="C1931" s="97" t="s">
        <v>177</v>
      </c>
      <c r="D1931" s="97" t="s">
        <v>63</v>
      </c>
      <c r="E1931" s="97">
        <v>85050</v>
      </c>
      <c r="F1931" s="97" t="s">
        <v>5376</v>
      </c>
      <c r="G1931" s="97" t="s">
        <v>5357</v>
      </c>
      <c r="H1931" s="97">
        <v>3235933656</v>
      </c>
      <c r="I1931" s="97" t="s">
        <v>3887</v>
      </c>
      <c r="J1931" s="97" t="s">
        <v>37</v>
      </c>
      <c r="K1931" s="97" t="s">
        <v>37</v>
      </c>
      <c r="L1931" s="97" t="s">
        <v>4079</v>
      </c>
      <c r="M1931" s="97" t="s">
        <v>37</v>
      </c>
      <c r="N1931" s="97" t="s">
        <v>37</v>
      </c>
      <c r="O1931" s="97" t="s">
        <v>38</v>
      </c>
      <c r="P1931" s="97" t="s">
        <v>39</v>
      </c>
      <c r="Q1931" s="96">
        <v>46077</v>
      </c>
      <c r="R1931" s="97"/>
      <c r="S1931" s="97"/>
      <c r="T1931" s="97"/>
      <c r="U1931" s="97"/>
      <c r="V1931" s="97"/>
    </row>
    <row r="1932" spans="1:22" s="46" customFormat="1">
      <c r="A1932" s="96">
        <v>46071</v>
      </c>
      <c r="B1932" s="97" t="s">
        <v>5377</v>
      </c>
      <c r="C1932" s="97" t="s">
        <v>1876</v>
      </c>
      <c r="D1932" s="97" t="s">
        <v>63</v>
      </c>
      <c r="E1932" s="97">
        <v>85024</v>
      </c>
      <c r="F1932" s="97" t="s">
        <v>5378</v>
      </c>
      <c r="G1932" s="97" t="s">
        <v>5357</v>
      </c>
      <c r="H1932" s="97">
        <v>1486220000</v>
      </c>
      <c r="I1932" s="97" t="s">
        <v>36</v>
      </c>
      <c r="J1932" s="97" t="s">
        <v>37</v>
      </c>
      <c r="K1932" s="97" t="s">
        <v>37</v>
      </c>
      <c r="L1932" s="97" t="s">
        <v>38</v>
      </c>
      <c r="M1932" s="97" t="s">
        <v>37</v>
      </c>
      <c r="N1932" s="97" t="s">
        <v>37</v>
      </c>
      <c r="O1932" s="97" t="s">
        <v>38</v>
      </c>
      <c r="P1932" s="97" t="s">
        <v>39</v>
      </c>
      <c r="Q1932" s="96">
        <v>46077</v>
      </c>
      <c r="R1932" s="97"/>
      <c r="S1932" s="97"/>
      <c r="T1932" s="97"/>
      <c r="U1932" s="97"/>
      <c r="V1932" s="97"/>
    </row>
    <row r="1933" spans="1:22" s="46" customFormat="1">
      <c r="A1933" s="96">
        <v>46071</v>
      </c>
      <c r="B1933" s="97" t="s">
        <v>5379</v>
      </c>
      <c r="C1933" s="97" t="s">
        <v>5380</v>
      </c>
      <c r="D1933" s="97" t="s">
        <v>504</v>
      </c>
      <c r="E1933" s="97">
        <v>86005</v>
      </c>
      <c r="F1933" s="97" t="s">
        <v>5381</v>
      </c>
      <c r="G1933" s="97" t="s">
        <v>5357</v>
      </c>
      <c r="H1933" s="97">
        <v>3841761035</v>
      </c>
      <c r="I1933" s="97" t="s">
        <v>46</v>
      </c>
      <c r="J1933" s="97" t="s">
        <v>37</v>
      </c>
      <c r="K1933" s="97" t="s">
        <v>37</v>
      </c>
      <c r="L1933" s="97" t="s">
        <v>5382</v>
      </c>
      <c r="M1933" s="97" t="s">
        <v>37</v>
      </c>
      <c r="N1933" s="97" t="s">
        <v>37</v>
      </c>
      <c r="O1933" s="97" t="s">
        <v>38</v>
      </c>
      <c r="P1933" s="97" t="s">
        <v>39</v>
      </c>
      <c r="Q1933" s="96">
        <v>46077</v>
      </c>
      <c r="R1933" s="97"/>
      <c r="S1933" s="97"/>
      <c r="T1933" s="97"/>
      <c r="U1933" s="97"/>
      <c r="V1933" s="97"/>
    </row>
    <row r="1934" spans="1:22" s="46" customFormat="1">
      <c r="A1934" s="96">
        <v>46071</v>
      </c>
      <c r="B1934" s="97" t="s">
        <v>5383</v>
      </c>
      <c r="C1934" s="97" t="s">
        <v>5384</v>
      </c>
      <c r="D1934" s="97" t="s">
        <v>504</v>
      </c>
      <c r="E1934" s="97">
        <v>86005</v>
      </c>
      <c r="F1934" s="97" t="s">
        <v>5385</v>
      </c>
      <c r="G1934" s="97" t="s">
        <v>5357</v>
      </c>
      <c r="H1934" s="97">
        <v>3107890000</v>
      </c>
      <c r="I1934" s="97" t="s">
        <v>126</v>
      </c>
      <c r="J1934" s="97" t="s">
        <v>37</v>
      </c>
      <c r="K1934" s="97" t="s">
        <v>37</v>
      </c>
      <c r="L1934" s="97" t="s">
        <v>5386</v>
      </c>
      <c r="M1934" s="97" t="s">
        <v>37</v>
      </c>
      <c r="N1934" s="97" t="s">
        <v>37</v>
      </c>
      <c r="O1934" s="97" t="s">
        <v>38</v>
      </c>
      <c r="P1934" s="97" t="s">
        <v>39</v>
      </c>
      <c r="Q1934" s="96">
        <v>46077</v>
      </c>
      <c r="R1934" s="97"/>
      <c r="S1934" s="97"/>
      <c r="T1934" s="97"/>
      <c r="U1934" s="97"/>
      <c r="V1934" s="97"/>
    </row>
    <row r="1935" spans="1:22" s="46" customFormat="1">
      <c r="A1935" s="96">
        <v>46071</v>
      </c>
      <c r="B1935" s="97" t="s">
        <v>747</v>
      </c>
      <c r="C1935" s="97" t="s">
        <v>2961</v>
      </c>
      <c r="D1935" s="97" t="s">
        <v>698</v>
      </c>
      <c r="E1935" s="97">
        <v>85375</v>
      </c>
      <c r="F1935" s="97" t="s">
        <v>5387</v>
      </c>
      <c r="G1935" s="97" t="s">
        <v>5388</v>
      </c>
      <c r="H1935" s="97">
        <v>1235903059</v>
      </c>
      <c r="I1935" s="97" t="s">
        <v>46</v>
      </c>
      <c r="J1935" s="97" t="s">
        <v>37</v>
      </c>
      <c r="K1935" s="97" t="s">
        <v>37</v>
      </c>
      <c r="L1935" s="97" t="s">
        <v>5389</v>
      </c>
      <c r="M1935" s="97" t="s">
        <v>37</v>
      </c>
      <c r="N1935" s="97" t="s">
        <v>37</v>
      </c>
      <c r="O1935" s="97" t="s">
        <v>38</v>
      </c>
      <c r="P1935" s="97" t="s">
        <v>39</v>
      </c>
      <c r="Q1935" s="96">
        <v>46077</v>
      </c>
      <c r="R1935" s="97"/>
      <c r="S1935" s="97"/>
      <c r="T1935" s="97"/>
      <c r="U1935" s="97"/>
      <c r="V1935" s="97"/>
    </row>
    <row r="1936" spans="1:22" s="46" customFormat="1">
      <c r="A1936" s="96">
        <v>46071</v>
      </c>
      <c r="B1936" s="97" t="s">
        <v>4369</v>
      </c>
      <c r="C1936" s="97" t="s">
        <v>1533</v>
      </c>
      <c r="D1936" s="97" t="s">
        <v>30</v>
      </c>
      <c r="E1936" s="97" t="s">
        <v>30</v>
      </c>
      <c r="F1936" s="97" t="s">
        <v>5390</v>
      </c>
      <c r="G1936" s="97" t="s">
        <v>5391</v>
      </c>
      <c r="H1936" s="97" t="s">
        <v>27</v>
      </c>
      <c r="I1936" s="97"/>
      <c r="J1936" s="97"/>
      <c r="K1936" s="97"/>
      <c r="L1936" s="97"/>
      <c r="M1936" s="97"/>
      <c r="N1936" s="97"/>
      <c r="O1936" s="97"/>
      <c r="P1936" s="97"/>
      <c r="Q1936" s="97"/>
      <c r="R1936" s="97" t="s">
        <v>5358</v>
      </c>
      <c r="S1936" s="97"/>
      <c r="T1936" s="97"/>
      <c r="U1936" s="97"/>
      <c r="V1936" s="97"/>
    </row>
    <row r="1937" spans="1:22" s="46" customFormat="1">
      <c r="A1937" s="96">
        <v>46072</v>
      </c>
      <c r="B1937" s="97" t="s">
        <v>5392</v>
      </c>
      <c r="C1937" s="97" t="s">
        <v>5393</v>
      </c>
      <c r="D1937" s="97" t="s">
        <v>93</v>
      </c>
      <c r="E1937" s="97">
        <v>85373</v>
      </c>
      <c r="F1937" s="97" t="s">
        <v>5394</v>
      </c>
      <c r="G1937" s="97" t="s">
        <v>5395</v>
      </c>
      <c r="H1937" s="97">
        <v>6579001000</v>
      </c>
      <c r="I1937" s="97" t="s">
        <v>126</v>
      </c>
      <c r="J1937" s="97" t="s">
        <v>37</v>
      </c>
      <c r="K1937" s="97" t="s">
        <v>37</v>
      </c>
      <c r="L1937" s="97" t="s">
        <v>38</v>
      </c>
      <c r="M1937" s="97" t="s">
        <v>37</v>
      </c>
      <c r="N1937" s="97" t="s">
        <v>37</v>
      </c>
      <c r="O1937" s="97" t="s">
        <v>38</v>
      </c>
      <c r="P1937" s="97" t="s">
        <v>39</v>
      </c>
      <c r="Q1937" s="96">
        <v>46077</v>
      </c>
      <c r="R1937" s="97"/>
      <c r="S1937" s="97"/>
      <c r="T1937" s="97"/>
      <c r="U1937" s="97"/>
      <c r="V1937" s="97"/>
    </row>
    <row r="1938" spans="1:22" s="46" customFormat="1">
      <c r="A1938" s="96">
        <v>46072</v>
      </c>
      <c r="B1938" s="97" t="s">
        <v>5396</v>
      </c>
      <c r="C1938" s="97" t="s">
        <v>5397</v>
      </c>
      <c r="D1938" s="97" t="s">
        <v>3538</v>
      </c>
      <c r="E1938" s="97">
        <v>85746</v>
      </c>
      <c r="F1938" s="97" t="s">
        <v>5398</v>
      </c>
      <c r="G1938" s="97" t="s">
        <v>5395</v>
      </c>
      <c r="H1938" s="97" t="s">
        <v>27</v>
      </c>
      <c r="I1938" s="97"/>
      <c r="J1938" s="97"/>
      <c r="K1938" s="97"/>
      <c r="L1938" s="97"/>
      <c r="M1938" s="97"/>
      <c r="N1938" s="97"/>
      <c r="O1938" s="97"/>
      <c r="P1938" s="97"/>
      <c r="Q1938" s="97"/>
      <c r="R1938" s="97"/>
      <c r="S1938" s="97"/>
      <c r="T1938" s="97"/>
      <c r="U1938" s="97"/>
      <c r="V1938" s="97"/>
    </row>
    <row r="1939" spans="1:22" s="46" customFormat="1">
      <c r="A1939" s="96">
        <v>46072</v>
      </c>
      <c r="B1939" s="97" t="s">
        <v>4347</v>
      </c>
      <c r="C1939" s="97" t="s">
        <v>284</v>
      </c>
      <c r="D1939" s="97" t="s">
        <v>63</v>
      </c>
      <c r="E1939" s="97">
        <v>85020</v>
      </c>
      <c r="F1939" s="97" t="s">
        <v>5399</v>
      </c>
      <c r="G1939" s="97" t="s">
        <v>5395</v>
      </c>
      <c r="H1939" s="97">
        <v>8135001000</v>
      </c>
      <c r="I1939" s="97" t="s">
        <v>4787</v>
      </c>
      <c r="J1939" s="97" t="s">
        <v>37</v>
      </c>
      <c r="K1939" s="97" t="s">
        <v>37</v>
      </c>
      <c r="L1939" s="97" t="s">
        <v>38</v>
      </c>
      <c r="M1939" s="97" t="s">
        <v>37</v>
      </c>
      <c r="N1939" s="97" t="s">
        <v>37</v>
      </c>
      <c r="O1939" s="97" t="s">
        <v>38</v>
      </c>
      <c r="P1939" s="97" t="s">
        <v>39</v>
      </c>
      <c r="Q1939" s="96">
        <v>45712</v>
      </c>
      <c r="R1939" s="97"/>
      <c r="S1939" s="97"/>
      <c r="T1939" s="97"/>
      <c r="U1939" s="97"/>
      <c r="V1939" s="97"/>
    </row>
    <row r="1940" spans="1:22" s="46" customFormat="1">
      <c r="A1940" s="96">
        <v>46072</v>
      </c>
      <c r="B1940" s="97" t="s">
        <v>5400</v>
      </c>
      <c r="C1940" s="97" t="s">
        <v>965</v>
      </c>
      <c r="D1940" s="97" t="s">
        <v>63</v>
      </c>
      <c r="E1940" s="97">
        <v>85020</v>
      </c>
      <c r="F1940" s="97" t="s">
        <v>5401</v>
      </c>
      <c r="G1940" s="97" t="s">
        <v>5395</v>
      </c>
      <c r="H1940" s="97">
        <v>8135001000</v>
      </c>
      <c r="I1940" s="97" t="s">
        <v>4787</v>
      </c>
      <c r="J1940" s="97" t="s">
        <v>37</v>
      </c>
      <c r="K1940" s="97" t="s">
        <v>37</v>
      </c>
      <c r="L1940" s="97" t="s">
        <v>38</v>
      </c>
      <c r="M1940" s="97" t="s">
        <v>37</v>
      </c>
      <c r="N1940" s="97" t="s">
        <v>37</v>
      </c>
      <c r="O1940" s="97" t="s">
        <v>38</v>
      </c>
      <c r="P1940" s="97" t="s">
        <v>39</v>
      </c>
      <c r="Q1940" s="96">
        <v>45712</v>
      </c>
      <c r="R1940" s="97"/>
      <c r="S1940" s="97"/>
      <c r="T1940" s="97"/>
      <c r="U1940" s="97"/>
      <c r="V1940" s="97"/>
    </row>
    <row r="1941" spans="1:22" s="46" customFormat="1">
      <c r="A1941" s="96">
        <v>46072</v>
      </c>
      <c r="B1941" s="97" t="s">
        <v>5402</v>
      </c>
      <c r="C1941" s="97" t="s">
        <v>965</v>
      </c>
      <c r="D1941" s="97" t="s">
        <v>89</v>
      </c>
      <c r="E1941" s="97">
        <v>86351</v>
      </c>
      <c r="F1941" s="97" t="s">
        <v>5403</v>
      </c>
      <c r="G1941" s="97" t="s">
        <v>5404</v>
      </c>
      <c r="H1941" s="97">
        <v>2790433981</v>
      </c>
      <c r="I1941" s="97" t="s">
        <v>73</v>
      </c>
      <c r="J1941" s="97" t="s">
        <v>37</v>
      </c>
      <c r="K1941" s="97" t="s">
        <v>5405</v>
      </c>
      <c r="L1941" s="97" t="s">
        <v>38</v>
      </c>
      <c r="M1941" s="97" t="s">
        <v>37</v>
      </c>
      <c r="N1941" s="97" t="s">
        <v>37</v>
      </c>
      <c r="O1941" s="97" t="s">
        <v>38</v>
      </c>
      <c r="P1941" s="97" t="s">
        <v>39</v>
      </c>
      <c r="Q1941" s="96">
        <v>46077</v>
      </c>
      <c r="R1941" s="97"/>
      <c r="S1941" s="97"/>
      <c r="T1941" s="97"/>
      <c r="U1941" s="97"/>
      <c r="V1941" s="97"/>
    </row>
    <row r="1942" spans="1:22" s="46" customFormat="1">
      <c r="A1942" s="96">
        <v>46072</v>
      </c>
      <c r="B1942" s="97" t="s">
        <v>5406</v>
      </c>
      <c r="C1942" s="97" t="s">
        <v>5156</v>
      </c>
      <c r="D1942" s="97" t="s">
        <v>504</v>
      </c>
      <c r="E1942" s="97">
        <v>86004</v>
      </c>
      <c r="F1942" s="97" t="s">
        <v>5407</v>
      </c>
      <c r="G1942" s="97" t="s">
        <v>5404</v>
      </c>
      <c r="H1942" s="97">
        <v>5799850000</v>
      </c>
      <c r="I1942" s="97" t="s">
        <v>73</v>
      </c>
      <c r="J1942" s="97" t="s">
        <v>37</v>
      </c>
      <c r="K1942" s="97" t="s">
        <v>37</v>
      </c>
      <c r="L1942" s="97" t="s">
        <v>38</v>
      </c>
      <c r="M1942" s="97" t="s">
        <v>37</v>
      </c>
      <c r="N1942" s="97" t="s">
        <v>37</v>
      </c>
      <c r="O1942" s="97" t="s">
        <v>38</v>
      </c>
      <c r="P1942" s="97" t="s">
        <v>39</v>
      </c>
      <c r="Q1942" s="96">
        <v>46077</v>
      </c>
      <c r="R1942" s="97"/>
      <c r="S1942" s="97"/>
      <c r="T1942" s="97"/>
      <c r="U1942" s="97"/>
      <c r="V1942" s="97"/>
    </row>
    <row r="1943" spans="1:22" s="46" customFormat="1">
      <c r="A1943" s="96">
        <v>46072</v>
      </c>
      <c r="B1943" s="97" t="s">
        <v>5135</v>
      </c>
      <c r="C1943" s="97" t="s">
        <v>4611</v>
      </c>
      <c r="D1943" s="97" t="s">
        <v>174</v>
      </c>
      <c r="E1943" s="97" t="s">
        <v>4536</v>
      </c>
      <c r="F1943" s="97" t="s">
        <v>5408</v>
      </c>
      <c r="G1943" s="97" t="s">
        <v>5404</v>
      </c>
      <c r="H1943" s="97" t="s">
        <v>27</v>
      </c>
      <c r="I1943" s="97"/>
      <c r="J1943" s="97"/>
      <c r="K1943" s="97"/>
      <c r="L1943" s="97"/>
      <c r="M1943" s="97"/>
      <c r="N1943" s="97"/>
      <c r="O1943" s="97"/>
      <c r="P1943" s="97"/>
      <c r="Q1943" s="97"/>
      <c r="R1943" s="97"/>
      <c r="S1943" s="97"/>
      <c r="T1943" s="97"/>
      <c r="U1943" s="97"/>
      <c r="V1943" s="97"/>
    </row>
    <row r="1944" spans="1:22" s="46" customFormat="1">
      <c r="A1944" s="96">
        <v>46072</v>
      </c>
      <c r="B1944" s="97" t="s">
        <v>1136</v>
      </c>
      <c r="C1944" s="97" t="s">
        <v>5409</v>
      </c>
      <c r="D1944" s="97" t="s">
        <v>63</v>
      </c>
      <c r="E1944" s="97">
        <v>85016</v>
      </c>
      <c r="F1944" s="97" t="s">
        <v>5410</v>
      </c>
      <c r="G1944" s="97" t="s">
        <v>5404</v>
      </c>
      <c r="H1944" s="97" t="s">
        <v>90</v>
      </c>
      <c r="I1944" s="97"/>
      <c r="J1944" s="97"/>
      <c r="K1944" s="97"/>
      <c r="L1944" s="97"/>
      <c r="M1944" s="97"/>
      <c r="N1944" s="97"/>
      <c r="O1944" s="97"/>
      <c r="P1944" s="97"/>
      <c r="Q1944" s="97"/>
      <c r="R1944" s="97"/>
      <c r="S1944" s="97"/>
      <c r="T1944" s="97"/>
      <c r="U1944" s="97"/>
      <c r="V1944" s="97"/>
    </row>
    <row r="1945" spans="1:22" s="46" customFormat="1">
      <c r="A1945" s="96">
        <v>46073</v>
      </c>
      <c r="B1945" s="97" t="s">
        <v>5411</v>
      </c>
      <c r="C1945" s="97" t="s">
        <v>230</v>
      </c>
      <c r="D1945" s="97" t="s">
        <v>202</v>
      </c>
      <c r="E1945" s="97">
        <v>85383</v>
      </c>
      <c r="F1945" s="97" t="s">
        <v>5412</v>
      </c>
      <c r="G1945" s="97" t="s">
        <v>5413</v>
      </c>
      <c r="H1945" s="97">
        <v>6626220000</v>
      </c>
      <c r="I1945" s="97" t="s">
        <v>4787</v>
      </c>
      <c r="J1945" s="97" t="s">
        <v>37</v>
      </c>
      <c r="K1945" s="97" t="s">
        <v>37</v>
      </c>
      <c r="L1945" s="97" t="s">
        <v>38</v>
      </c>
      <c r="M1945" s="97" t="s">
        <v>37</v>
      </c>
      <c r="N1945" s="97" t="s">
        <v>37</v>
      </c>
      <c r="O1945" s="97" t="s">
        <v>38</v>
      </c>
      <c r="P1945" s="97" t="s">
        <v>39</v>
      </c>
      <c r="Q1945" s="96">
        <v>46077</v>
      </c>
      <c r="R1945" s="97"/>
      <c r="S1945" s="97"/>
      <c r="T1945" s="97"/>
      <c r="U1945" s="97"/>
      <c r="V1945" s="97"/>
    </row>
    <row r="1946" spans="1:22" s="46" customFormat="1">
      <c r="A1946" s="96">
        <v>46073</v>
      </c>
      <c r="B1946" s="97" t="s">
        <v>5414</v>
      </c>
      <c r="C1946" s="97" t="s">
        <v>1007</v>
      </c>
      <c r="D1946" s="97" t="s">
        <v>1919</v>
      </c>
      <c r="E1946" s="97">
        <v>85201</v>
      </c>
      <c r="F1946" s="97" t="s">
        <v>5415</v>
      </c>
      <c r="G1946" s="97" t="s">
        <v>5413</v>
      </c>
      <c r="H1946" s="97" t="s">
        <v>27</v>
      </c>
      <c r="I1946" s="97"/>
      <c r="J1946" s="97"/>
      <c r="K1946" s="97"/>
      <c r="L1946" s="97"/>
      <c r="M1946" s="97"/>
      <c r="N1946" s="97"/>
      <c r="O1946" s="97"/>
      <c r="P1946" s="97"/>
      <c r="Q1946" s="97"/>
      <c r="R1946" s="97"/>
      <c r="S1946" s="97"/>
      <c r="T1946" s="97"/>
      <c r="U1946" s="97"/>
      <c r="V1946" s="97"/>
    </row>
    <row r="1947" spans="1:22" s="46" customFormat="1">
      <c r="A1947" s="98">
        <v>46073</v>
      </c>
      <c r="B1947" s="99" t="s">
        <v>5416</v>
      </c>
      <c r="C1947" s="99" t="s">
        <v>650</v>
      </c>
      <c r="D1947" s="99" t="s">
        <v>63</v>
      </c>
      <c r="E1947" s="99">
        <v>85020</v>
      </c>
      <c r="F1947" s="99" t="s">
        <v>5417</v>
      </c>
      <c r="G1947" s="99" t="s">
        <v>5418</v>
      </c>
      <c r="H1947" s="99">
        <v>5875521000</v>
      </c>
      <c r="I1947" s="99" t="s">
        <v>5350</v>
      </c>
      <c r="J1947" s="99" t="s">
        <v>37</v>
      </c>
      <c r="K1947" s="99" t="s">
        <v>37</v>
      </c>
      <c r="L1947" s="99" t="s">
        <v>5419</v>
      </c>
      <c r="M1947" s="99" t="s">
        <v>37</v>
      </c>
      <c r="N1947" s="99" t="s">
        <v>37</v>
      </c>
      <c r="O1947" s="99" t="s">
        <v>38</v>
      </c>
      <c r="P1947" s="99"/>
      <c r="Q1947" s="98">
        <v>45712</v>
      </c>
      <c r="R1947" s="99" t="s">
        <v>4004</v>
      </c>
      <c r="S1947" s="99"/>
      <c r="T1947" s="99"/>
      <c r="U1947" s="99"/>
      <c r="V1947" s="99"/>
    </row>
    <row r="1948" spans="1:22" s="46" customFormat="1">
      <c r="A1948" s="96">
        <v>46076</v>
      </c>
      <c r="B1948" s="97" t="s">
        <v>91</v>
      </c>
      <c r="C1948" s="97" t="s">
        <v>92</v>
      </c>
      <c r="D1948" s="97" t="s">
        <v>93</v>
      </c>
      <c r="E1948" s="97">
        <v>85351</v>
      </c>
      <c r="F1948" s="97" t="s">
        <v>5420</v>
      </c>
      <c r="G1948" s="97" t="s">
        <v>5421</v>
      </c>
      <c r="H1948" s="97">
        <v>1163301000</v>
      </c>
      <c r="I1948" s="97" t="s">
        <v>73</v>
      </c>
      <c r="J1948" s="97" t="s">
        <v>37</v>
      </c>
      <c r="K1948" s="97" t="s">
        <v>37</v>
      </c>
      <c r="L1948" s="97" t="s">
        <v>38</v>
      </c>
      <c r="M1948" s="97" t="s">
        <v>37</v>
      </c>
      <c r="N1948" s="97" t="s">
        <v>37</v>
      </c>
      <c r="O1948" s="97" t="s">
        <v>38</v>
      </c>
      <c r="P1948" s="97" t="s">
        <v>39</v>
      </c>
      <c r="Q1948" s="96">
        <v>46077</v>
      </c>
      <c r="R1948" s="97"/>
      <c r="S1948" s="97"/>
      <c r="T1948" s="97"/>
      <c r="U1948" s="97"/>
      <c r="V1948" s="97"/>
    </row>
    <row r="1949" spans="1:22" s="46" customFormat="1">
      <c r="A1949" s="96">
        <v>46076</v>
      </c>
      <c r="B1949" s="97" t="s">
        <v>5422</v>
      </c>
      <c r="C1949" s="97" t="s">
        <v>5423</v>
      </c>
      <c r="D1949" s="97" t="s">
        <v>125</v>
      </c>
      <c r="E1949" s="97">
        <v>85251</v>
      </c>
      <c r="F1949" s="97" t="s">
        <v>5424</v>
      </c>
      <c r="G1949" s="97" t="s">
        <v>5421</v>
      </c>
      <c r="H1949" s="97" t="s">
        <v>27</v>
      </c>
      <c r="I1949" s="97"/>
      <c r="J1949" s="97"/>
      <c r="K1949" s="97"/>
      <c r="L1949" s="97"/>
      <c r="M1949" s="97"/>
      <c r="N1949" s="97"/>
      <c r="O1949" s="97"/>
      <c r="P1949" s="97"/>
      <c r="Q1949" s="97"/>
      <c r="R1949" s="97"/>
      <c r="S1949" s="97"/>
      <c r="T1949" s="97"/>
      <c r="U1949" s="97"/>
      <c r="V1949" s="97"/>
    </row>
  </sheetData>
  <hyperlinks>
    <hyperlink ref="G1384" r:id="rId1" xr:uid="{DA231809-9E44-4D83-AC35-430A0FF16C89}"/>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645A3-E86C-4B5A-96EC-348CD1904A54}">
  <dimension ref="A1:V995"/>
  <sheetViews>
    <sheetView workbookViewId="0">
      <selection sqref="A1:V1437"/>
    </sheetView>
  </sheetViews>
  <sheetFormatPr defaultRowHeight="15"/>
  <cols>
    <col min="1" max="1" width="14.5703125" bestFit="1" customWidth="1"/>
    <col min="2" max="2" width="17.7109375" bestFit="1" customWidth="1"/>
    <col min="3" max="3" width="21" bestFit="1" customWidth="1"/>
    <col min="4" max="4" width="14.7109375" bestFit="1" customWidth="1"/>
    <col min="5" max="5" width="10.85546875" bestFit="1" customWidth="1"/>
    <col min="6" max="6" width="81.140625" bestFit="1" customWidth="1"/>
    <col min="7" max="7" width="64.28515625" bestFit="1" customWidth="1"/>
    <col min="8" max="8" width="13.42578125" bestFit="1" customWidth="1"/>
    <col min="9" max="9" width="19.7109375" bestFit="1" customWidth="1"/>
    <col min="10" max="10" width="6.42578125" bestFit="1" customWidth="1"/>
    <col min="11" max="11" width="8.42578125" bestFit="1" customWidth="1"/>
    <col min="12" max="12" width="30.28515625" bestFit="1" customWidth="1"/>
    <col min="13" max="13" width="6.5703125" bestFit="1" customWidth="1"/>
    <col min="14" max="14" width="16.5703125" bestFit="1" customWidth="1"/>
    <col min="15" max="15" width="17.5703125" bestFit="1" customWidth="1"/>
    <col min="16" max="16" width="21.7109375" bestFit="1" customWidth="1"/>
    <col min="17" max="17" width="28.42578125" bestFit="1" customWidth="1"/>
    <col min="18" max="18" width="81.140625" bestFit="1" customWidth="1"/>
    <col min="19" max="19" width="24.28515625" bestFit="1" customWidth="1"/>
    <col min="20" max="20" width="17.5703125" bestFit="1" customWidth="1"/>
    <col min="21" max="21" width="65.7109375" bestFit="1" customWidth="1"/>
    <col min="22" max="22" width="14.7109375" bestFit="1" customWidth="1"/>
  </cols>
  <sheetData>
    <row r="1" spans="1:2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c r="A2" s="55">
        <v>45797</v>
      </c>
      <c r="B2" t="s">
        <v>33</v>
      </c>
      <c r="C2" t="s">
        <v>34</v>
      </c>
      <c r="D2" t="s">
        <v>24</v>
      </c>
      <c r="E2" t="s">
        <v>30</v>
      </c>
      <c r="F2" t="s">
        <v>31</v>
      </c>
      <c r="G2" t="s">
        <v>35</v>
      </c>
      <c r="H2">
        <v>5494061000</v>
      </c>
      <c r="I2" t="s">
        <v>36</v>
      </c>
      <c r="J2" t="s">
        <v>37</v>
      </c>
      <c r="K2" t="s">
        <v>37</v>
      </c>
      <c r="L2" t="s">
        <v>38</v>
      </c>
      <c r="M2" t="s">
        <v>37</v>
      </c>
      <c r="N2" t="s">
        <v>37</v>
      </c>
      <c r="O2" t="s">
        <v>38</v>
      </c>
      <c r="P2" t="s">
        <v>39</v>
      </c>
      <c r="Q2" s="55">
        <v>45589</v>
      </c>
      <c r="U2" t="s">
        <v>40</v>
      </c>
      <c r="V2">
        <v>1</v>
      </c>
    </row>
    <row r="3" spans="1:22">
      <c r="A3" s="55">
        <v>45798</v>
      </c>
      <c r="B3" t="s">
        <v>41</v>
      </c>
      <c r="C3" t="s">
        <v>42</v>
      </c>
      <c r="D3" t="s">
        <v>43</v>
      </c>
      <c r="E3">
        <v>85363</v>
      </c>
      <c r="F3" t="s">
        <v>31</v>
      </c>
      <c r="G3" t="s">
        <v>44</v>
      </c>
      <c r="H3" t="s">
        <v>45</v>
      </c>
      <c r="I3" t="s">
        <v>46</v>
      </c>
      <c r="J3" t="s">
        <v>37</v>
      </c>
      <c r="K3" t="s">
        <v>37</v>
      </c>
      <c r="L3" t="s">
        <v>47</v>
      </c>
      <c r="M3" t="s">
        <v>37</v>
      </c>
      <c r="N3" t="s">
        <v>37</v>
      </c>
      <c r="O3" t="s">
        <v>38</v>
      </c>
      <c r="P3" t="s">
        <v>39</v>
      </c>
      <c r="Q3" s="55">
        <v>45589</v>
      </c>
      <c r="R3" t="s">
        <v>48</v>
      </c>
      <c r="V3">
        <v>1</v>
      </c>
    </row>
    <row r="4" spans="1:22">
      <c r="A4" s="55">
        <v>45798</v>
      </c>
      <c r="B4" t="s">
        <v>49</v>
      </c>
      <c r="C4" t="s">
        <v>50</v>
      </c>
      <c r="D4" t="s">
        <v>51</v>
      </c>
      <c r="E4">
        <v>85554</v>
      </c>
      <c r="F4" t="s">
        <v>31</v>
      </c>
      <c r="G4" t="s">
        <v>44</v>
      </c>
      <c r="H4">
        <v>4823746138</v>
      </c>
      <c r="I4" t="s">
        <v>36</v>
      </c>
      <c r="J4" t="s">
        <v>37</v>
      </c>
      <c r="K4" t="s">
        <v>37</v>
      </c>
      <c r="L4" t="s">
        <v>38</v>
      </c>
      <c r="M4" t="s">
        <v>37</v>
      </c>
      <c r="N4" t="s">
        <v>37</v>
      </c>
      <c r="O4" t="s">
        <v>38</v>
      </c>
      <c r="P4" t="s">
        <v>39</v>
      </c>
      <c r="Q4" s="55">
        <v>45589</v>
      </c>
      <c r="V4">
        <v>1</v>
      </c>
    </row>
    <row r="5" spans="1:22">
      <c r="A5" s="55">
        <v>45799</v>
      </c>
      <c r="B5" t="s">
        <v>52</v>
      </c>
      <c r="C5" t="s">
        <v>53</v>
      </c>
      <c r="D5" t="s">
        <v>30</v>
      </c>
      <c r="E5" t="s">
        <v>30</v>
      </c>
      <c r="F5" t="s">
        <v>54</v>
      </c>
      <c r="G5" t="s">
        <v>55</v>
      </c>
      <c r="H5" t="s">
        <v>56</v>
      </c>
      <c r="I5" t="s">
        <v>57</v>
      </c>
      <c r="J5" t="s">
        <v>37</v>
      </c>
      <c r="K5" t="s">
        <v>37</v>
      </c>
      <c r="L5" t="s">
        <v>58</v>
      </c>
      <c r="M5" t="s">
        <v>37</v>
      </c>
      <c r="N5" t="s">
        <v>37</v>
      </c>
      <c r="O5" t="s">
        <v>38</v>
      </c>
      <c r="P5">
        <v>45964</v>
      </c>
      <c r="Q5" s="55">
        <v>45954</v>
      </c>
      <c r="R5" t="s">
        <v>59</v>
      </c>
      <c r="U5" t="s">
        <v>60</v>
      </c>
      <c r="V5">
        <v>1</v>
      </c>
    </row>
    <row r="6" spans="1:22">
      <c r="A6" s="55">
        <v>45804</v>
      </c>
      <c r="B6" t="s">
        <v>66</v>
      </c>
      <c r="C6" t="s">
        <v>67</v>
      </c>
      <c r="D6" t="s">
        <v>68</v>
      </c>
      <c r="E6">
        <v>85331</v>
      </c>
      <c r="F6" t="s">
        <v>31</v>
      </c>
      <c r="G6" t="s">
        <v>69</v>
      </c>
      <c r="H6">
        <v>5900820000</v>
      </c>
      <c r="I6" t="s">
        <v>36</v>
      </c>
      <c r="J6" t="s">
        <v>37</v>
      </c>
      <c r="K6" t="s">
        <v>37</v>
      </c>
      <c r="L6" t="s">
        <v>38</v>
      </c>
      <c r="M6" t="s">
        <v>37</v>
      </c>
      <c r="N6" t="s">
        <v>37</v>
      </c>
      <c r="O6" t="s">
        <v>38</v>
      </c>
      <c r="P6" t="s">
        <v>39</v>
      </c>
      <c r="Q6" s="55">
        <v>45954</v>
      </c>
      <c r="V6">
        <v>1</v>
      </c>
    </row>
    <row r="7" spans="1:22">
      <c r="A7" s="55">
        <v>45805</v>
      </c>
      <c r="B7" t="s">
        <v>70</v>
      </c>
      <c r="C7" t="s">
        <v>71</v>
      </c>
      <c r="D7" t="s">
        <v>30</v>
      </c>
      <c r="E7" t="s">
        <v>30</v>
      </c>
      <c r="F7" t="s">
        <v>31</v>
      </c>
      <c r="G7" t="s">
        <v>72</v>
      </c>
      <c r="H7">
        <v>1569851000</v>
      </c>
      <c r="I7" t="s">
        <v>73</v>
      </c>
      <c r="J7" t="s">
        <v>37</v>
      </c>
      <c r="K7" t="s">
        <v>37</v>
      </c>
      <c r="L7" t="s">
        <v>38</v>
      </c>
      <c r="M7" t="s">
        <v>37</v>
      </c>
      <c r="N7" t="s">
        <v>37</v>
      </c>
      <c r="O7" t="s">
        <v>38</v>
      </c>
      <c r="P7" t="s">
        <v>39</v>
      </c>
      <c r="Q7" s="55">
        <v>45954</v>
      </c>
      <c r="V7">
        <v>1</v>
      </c>
    </row>
    <row r="8" spans="1:22">
      <c r="A8" s="55">
        <v>45812</v>
      </c>
      <c r="B8" t="s">
        <v>78</v>
      </c>
      <c r="C8" t="s">
        <v>79</v>
      </c>
      <c r="D8" t="s">
        <v>30</v>
      </c>
      <c r="E8" t="s">
        <v>30</v>
      </c>
      <c r="F8" t="s">
        <v>31</v>
      </c>
      <c r="G8" t="s">
        <v>76</v>
      </c>
      <c r="H8" t="s">
        <v>80</v>
      </c>
      <c r="I8" t="s">
        <v>81</v>
      </c>
      <c r="J8" t="s">
        <v>37</v>
      </c>
      <c r="K8" t="s">
        <v>37</v>
      </c>
      <c r="L8" t="s">
        <v>82</v>
      </c>
      <c r="M8" t="s">
        <v>37</v>
      </c>
      <c r="N8" t="s">
        <v>37</v>
      </c>
      <c r="O8" t="s">
        <v>38</v>
      </c>
      <c r="P8" t="s">
        <v>39</v>
      </c>
      <c r="Q8" s="55">
        <v>45957</v>
      </c>
      <c r="V8">
        <v>1</v>
      </c>
    </row>
    <row r="9" spans="1:22">
      <c r="A9" s="55">
        <v>45813</v>
      </c>
      <c r="B9" t="s">
        <v>83</v>
      </c>
      <c r="C9" t="s">
        <v>84</v>
      </c>
      <c r="D9" t="s">
        <v>85</v>
      </c>
      <c r="E9" t="s">
        <v>30</v>
      </c>
      <c r="F9" t="s">
        <v>31</v>
      </c>
      <c r="G9" t="s">
        <v>86</v>
      </c>
      <c r="H9">
        <v>2009184288</v>
      </c>
      <c r="I9" t="s">
        <v>46</v>
      </c>
      <c r="J9" t="s">
        <v>37</v>
      </c>
      <c r="K9" t="s">
        <v>37</v>
      </c>
      <c r="L9" t="s">
        <v>38</v>
      </c>
      <c r="M9" t="s">
        <v>37</v>
      </c>
      <c r="N9" t="s">
        <v>37</v>
      </c>
      <c r="O9" t="s">
        <v>38</v>
      </c>
      <c r="P9" t="s">
        <v>39</v>
      </c>
      <c r="Q9" s="55">
        <v>45957</v>
      </c>
      <c r="V9">
        <v>1</v>
      </c>
    </row>
    <row r="10" spans="1:22">
      <c r="A10" s="55">
        <v>45814</v>
      </c>
      <c r="B10" t="s">
        <v>91</v>
      </c>
      <c r="C10" t="s">
        <v>92</v>
      </c>
      <c r="D10" t="s">
        <v>93</v>
      </c>
      <c r="E10">
        <v>85351</v>
      </c>
      <c r="F10" t="s">
        <v>31</v>
      </c>
      <c r="G10" t="s">
        <v>94</v>
      </c>
      <c r="H10">
        <v>1163301000</v>
      </c>
      <c r="I10" t="s">
        <v>73</v>
      </c>
      <c r="J10" t="s">
        <v>37</v>
      </c>
      <c r="K10" t="s">
        <v>37</v>
      </c>
      <c r="L10" t="s">
        <v>38</v>
      </c>
      <c r="M10" t="s">
        <v>37</v>
      </c>
      <c r="N10" t="s">
        <v>37</v>
      </c>
      <c r="O10" t="s">
        <v>38</v>
      </c>
      <c r="P10" t="s">
        <v>39</v>
      </c>
      <c r="Q10" s="55">
        <v>45957</v>
      </c>
      <c r="V10">
        <v>1</v>
      </c>
    </row>
    <row r="11" spans="1:22">
      <c r="A11" s="55">
        <v>45821</v>
      </c>
      <c r="B11" t="s">
        <v>95</v>
      </c>
      <c r="C11" t="s">
        <v>96</v>
      </c>
      <c r="D11" t="s">
        <v>30</v>
      </c>
      <c r="E11" t="s">
        <v>30</v>
      </c>
      <c r="F11" t="s">
        <v>31</v>
      </c>
      <c r="G11" t="s">
        <v>97</v>
      </c>
      <c r="H11" t="s">
        <v>98</v>
      </c>
      <c r="I11" t="s">
        <v>46</v>
      </c>
      <c r="J11" t="s">
        <v>37</v>
      </c>
      <c r="K11" t="s">
        <v>37</v>
      </c>
      <c r="L11" t="s">
        <v>99</v>
      </c>
      <c r="M11" t="s">
        <v>37</v>
      </c>
      <c r="N11" t="s">
        <v>37</v>
      </c>
      <c r="O11" t="s">
        <v>38</v>
      </c>
      <c r="P11" t="s">
        <v>39</v>
      </c>
      <c r="Q11" s="55">
        <v>45957</v>
      </c>
      <c r="R11" t="s">
        <v>100</v>
      </c>
      <c r="V11">
        <v>1</v>
      </c>
    </row>
    <row r="12" spans="1:22">
      <c r="A12" s="55">
        <v>45825</v>
      </c>
      <c r="B12" t="s">
        <v>116</v>
      </c>
      <c r="C12" t="s">
        <v>117</v>
      </c>
      <c r="D12" t="s">
        <v>24</v>
      </c>
      <c r="E12">
        <v>85308</v>
      </c>
      <c r="F12" t="s">
        <v>31</v>
      </c>
      <c r="G12" t="s">
        <v>113</v>
      </c>
      <c r="H12" t="s">
        <v>118</v>
      </c>
      <c r="I12" t="s">
        <v>36</v>
      </c>
      <c r="J12" t="s">
        <v>37</v>
      </c>
      <c r="K12" t="s">
        <v>37</v>
      </c>
      <c r="L12" t="s">
        <v>38</v>
      </c>
      <c r="M12" t="s">
        <v>37</v>
      </c>
      <c r="N12" t="s">
        <v>37</v>
      </c>
      <c r="O12" t="s">
        <v>38</v>
      </c>
      <c r="P12" t="s">
        <v>39</v>
      </c>
      <c r="Q12" s="55">
        <v>45957</v>
      </c>
      <c r="V12">
        <v>1</v>
      </c>
    </row>
    <row r="13" spans="1:22">
      <c r="A13" s="55">
        <v>45826</v>
      </c>
      <c r="B13" t="s">
        <v>123</v>
      </c>
      <c r="C13" t="s">
        <v>124</v>
      </c>
      <c r="D13" t="s">
        <v>125</v>
      </c>
      <c r="E13">
        <v>85254</v>
      </c>
      <c r="F13" t="s">
        <v>31</v>
      </c>
      <c r="G13" t="s">
        <v>121</v>
      </c>
      <c r="H13">
        <v>7413433376</v>
      </c>
      <c r="I13" t="s">
        <v>126</v>
      </c>
      <c r="J13" t="s">
        <v>37</v>
      </c>
      <c r="K13" t="s">
        <v>37</v>
      </c>
      <c r="L13" t="s">
        <v>38</v>
      </c>
      <c r="M13" t="s">
        <v>37</v>
      </c>
      <c r="N13" t="s">
        <v>37</v>
      </c>
      <c r="O13" t="s">
        <v>38</v>
      </c>
      <c r="P13" t="s">
        <v>39</v>
      </c>
      <c r="Q13" s="55">
        <v>45957</v>
      </c>
      <c r="V13">
        <v>1</v>
      </c>
    </row>
    <row r="14" spans="1:22">
      <c r="A14" s="55">
        <v>45826</v>
      </c>
      <c r="B14" t="s">
        <v>127</v>
      </c>
      <c r="C14" t="s">
        <v>128</v>
      </c>
      <c r="D14" t="s">
        <v>129</v>
      </c>
      <c r="E14">
        <v>85233</v>
      </c>
      <c r="F14" t="s">
        <v>31</v>
      </c>
      <c r="G14" t="s">
        <v>121</v>
      </c>
      <c r="H14">
        <v>6601188228</v>
      </c>
      <c r="I14" t="s">
        <v>36</v>
      </c>
      <c r="J14" t="s">
        <v>37</v>
      </c>
      <c r="K14" t="s">
        <v>37</v>
      </c>
      <c r="L14" t="s">
        <v>38</v>
      </c>
      <c r="M14" t="s">
        <v>37</v>
      </c>
      <c r="N14" t="s">
        <v>37</v>
      </c>
      <c r="O14" t="s">
        <v>38</v>
      </c>
      <c r="P14" t="s">
        <v>39</v>
      </c>
      <c r="Q14" s="55">
        <v>45957</v>
      </c>
      <c r="V14">
        <v>1</v>
      </c>
    </row>
    <row r="15" spans="1:22">
      <c r="A15" s="55">
        <v>45826</v>
      </c>
      <c r="B15" t="s">
        <v>130</v>
      </c>
      <c r="C15" t="s">
        <v>131</v>
      </c>
      <c r="D15" t="s">
        <v>112</v>
      </c>
      <c r="E15">
        <v>85388</v>
      </c>
      <c r="F15" t="s">
        <v>31</v>
      </c>
      <c r="G15" t="s">
        <v>121</v>
      </c>
      <c r="H15">
        <v>7397110970</v>
      </c>
      <c r="I15" t="s">
        <v>36</v>
      </c>
      <c r="J15" t="s">
        <v>37</v>
      </c>
      <c r="K15" t="s">
        <v>37</v>
      </c>
      <c r="L15" t="s">
        <v>38</v>
      </c>
      <c r="M15" t="s">
        <v>37</v>
      </c>
      <c r="N15" t="s">
        <v>37</v>
      </c>
      <c r="O15" t="s">
        <v>38</v>
      </c>
      <c r="P15" t="s">
        <v>39</v>
      </c>
      <c r="Q15" s="55">
        <v>45957</v>
      </c>
      <c r="V15">
        <v>1</v>
      </c>
    </row>
    <row r="16" spans="1:22">
      <c r="A16" s="55">
        <v>45826</v>
      </c>
      <c r="B16" t="s">
        <v>132</v>
      </c>
      <c r="C16" t="s">
        <v>133</v>
      </c>
      <c r="D16" t="s">
        <v>125</v>
      </c>
      <c r="E16">
        <v>85266</v>
      </c>
      <c r="F16" t="s">
        <v>31</v>
      </c>
      <c r="G16" t="s">
        <v>121</v>
      </c>
      <c r="H16">
        <v>5288831000</v>
      </c>
      <c r="I16" t="s">
        <v>36</v>
      </c>
      <c r="J16" t="s">
        <v>37</v>
      </c>
      <c r="K16" t="s">
        <v>37</v>
      </c>
      <c r="L16" t="s">
        <v>38</v>
      </c>
      <c r="M16" t="s">
        <v>37</v>
      </c>
      <c r="N16" t="s">
        <v>37</v>
      </c>
      <c r="O16" t="s">
        <v>38</v>
      </c>
      <c r="P16" t="s">
        <v>39</v>
      </c>
      <c r="Q16" s="55">
        <v>45957</v>
      </c>
      <c r="V16">
        <v>1</v>
      </c>
    </row>
    <row r="17" spans="1:22">
      <c r="A17" s="55">
        <v>45826</v>
      </c>
      <c r="B17" t="s">
        <v>138</v>
      </c>
      <c r="C17" t="s">
        <v>139</v>
      </c>
      <c r="D17" t="s">
        <v>125</v>
      </c>
      <c r="E17">
        <v>85254</v>
      </c>
      <c r="F17" t="s">
        <v>31</v>
      </c>
      <c r="G17" t="s">
        <v>137</v>
      </c>
      <c r="H17" t="s">
        <v>140</v>
      </c>
      <c r="I17" t="s">
        <v>57</v>
      </c>
      <c r="J17" t="s">
        <v>141</v>
      </c>
      <c r="K17" t="s">
        <v>37</v>
      </c>
      <c r="L17" t="s">
        <v>142</v>
      </c>
      <c r="M17" t="s">
        <v>37</v>
      </c>
      <c r="N17" t="s">
        <v>37</v>
      </c>
      <c r="O17" t="s">
        <v>38</v>
      </c>
      <c r="P17" t="s">
        <v>39</v>
      </c>
      <c r="Q17" s="55">
        <v>45957</v>
      </c>
      <c r="U17" t="s">
        <v>143</v>
      </c>
      <c r="V17">
        <v>1</v>
      </c>
    </row>
    <row r="18" spans="1:22">
      <c r="A18" s="55">
        <v>45826</v>
      </c>
      <c r="B18" t="s">
        <v>144</v>
      </c>
      <c r="C18" t="s">
        <v>145</v>
      </c>
      <c r="D18" t="s">
        <v>63</v>
      </c>
      <c r="E18">
        <v>85029</v>
      </c>
      <c r="F18" t="s">
        <v>31</v>
      </c>
      <c r="G18" t="s">
        <v>137</v>
      </c>
      <c r="H18" t="s">
        <v>146</v>
      </c>
      <c r="I18" t="s">
        <v>36</v>
      </c>
      <c r="J18" t="s">
        <v>37</v>
      </c>
      <c r="K18" t="s">
        <v>37</v>
      </c>
      <c r="L18" t="s">
        <v>147</v>
      </c>
      <c r="M18" t="s">
        <v>37</v>
      </c>
      <c r="N18" t="s">
        <v>37</v>
      </c>
      <c r="O18" t="s">
        <v>38</v>
      </c>
      <c r="P18">
        <v>45964</v>
      </c>
      <c r="Q18" s="55">
        <v>45957</v>
      </c>
      <c r="R18" t="s">
        <v>148</v>
      </c>
      <c r="U18" t="s">
        <v>149</v>
      </c>
      <c r="V18">
        <v>1</v>
      </c>
    </row>
    <row r="19" spans="1:22">
      <c r="A19" s="55">
        <v>45826</v>
      </c>
      <c r="B19" t="s">
        <v>152</v>
      </c>
      <c r="C19" t="s">
        <v>153</v>
      </c>
      <c r="D19" t="s">
        <v>30</v>
      </c>
      <c r="E19" t="s">
        <v>30</v>
      </c>
      <c r="F19" t="s">
        <v>31</v>
      </c>
      <c r="G19" t="s">
        <v>151</v>
      </c>
      <c r="H19" t="s">
        <v>154</v>
      </c>
      <c r="I19" t="s">
        <v>73</v>
      </c>
      <c r="J19" t="s">
        <v>37</v>
      </c>
      <c r="K19" t="s">
        <v>37</v>
      </c>
      <c r="L19" t="s">
        <v>38</v>
      </c>
      <c r="M19" t="s">
        <v>37</v>
      </c>
      <c r="N19" t="s">
        <v>37</v>
      </c>
      <c r="O19" t="s">
        <v>38</v>
      </c>
      <c r="P19" t="s">
        <v>39</v>
      </c>
      <c r="Q19" s="55">
        <v>45957</v>
      </c>
      <c r="V19">
        <v>1</v>
      </c>
    </row>
    <row r="20" spans="1:22">
      <c r="A20" s="55">
        <v>45826</v>
      </c>
      <c r="B20" t="s">
        <v>155</v>
      </c>
      <c r="C20" t="s">
        <v>156</v>
      </c>
      <c r="D20" t="s">
        <v>30</v>
      </c>
      <c r="E20" t="s">
        <v>30</v>
      </c>
      <c r="F20" t="s">
        <v>31</v>
      </c>
      <c r="G20" t="s">
        <v>151</v>
      </c>
      <c r="H20" t="s">
        <v>157</v>
      </c>
      <c r="I20" t="s">
        <v>36</v>
      </c>
      <c r="J20" t="s">
        <v>37</v>
      </c>
      <c r="K20" t="s">
        <v>37</v>
      </c>
      <c r="L20" t="s">
        <v>38</v>
      </c>
      <c r="M20" t="s">
        <v>37</v>
      </c>
      <c r="N20" t="s">
        <v>37</v>
      </c>
      <c r="O20" t="s">
        <v>38</v>
      </c>
      <c r="P20" t="s">
        <v>39</v>
      </c>
      <c r="Q20" s="55">
        <v>45957</v>
      </c>
      <c r="R20" t="s">
        <v>158</v>
      </c>
      <c r="U20" t="s">
        <v>159</v>
      </c>
      <c r="V20">
        <v>1</v>
      </c>
    </row>
    <row r="21" spans="1:22">
      <c r="A21" s="55">
        <v>45826</v>
      </c>
      <c r="B21" t="s">
        <v>161</v>
      </c>
      <c r="C21" t="s">
        <v>162</v>
      </c>
      <c r="D21" t="s">
        <v>68</v>
      </c>
      <c r="E21">
        <v>85331</v>
      </c>
      <c r="F21" t="s">
        <v>31</v>
      </c>
      <c r="G21" t="s">
        <v>151</v>
      </c>
      <c r="H21" t="s">
        <v>163</v>
      </c>
      <c r="I21" t="s">
        <v>164</v>
      </c>
      <c r="J21" t="s">
        <v>37</v>
      </c>
      <c r="K21" t="s">
        <v>37</v>
      </c>
      <c r="L21" t="s">
        <v>165</v>
      </c>
      <c r="M21" t="s">
        <v>37</v>
      </c>
      <c r="N21" t="s">
        <v>37</v>
      </c>
      <c r="O21" t="s">
        <v>38</v>
      </c>
      <c r="P21">
        <v>45964</v>
      </c>
      <c r="Q21" s="55">
        <v>45957</v>
      </c>
      <c r="R21" t="s">
        <v>148</v>
      </c>
      <c r="U21" t="s">
        <v>166</v>
      </c>
      <c r="V21">
        <v>1</v>
      </c>
    </row>
    <row r="22" spans="1:22">
      <c r="A22" s="55">
        <v>45827</v>
      </c>
      <c r="B22" t="s">
        <v>178</v>
      </c>
      <c r="C22" t="s">
        <v>179</v>
      </c>
      <c r="D22" t="s">
        <v>30</v>
      </c>
      <c r="E22" t="s">
        <v>30</v>
      </c>
      <c r="F22" t="s">
        <v>31</v>
      </c>
      <c r="G22" t="s">
        <v>175</v>
      </c>
      <c r="H22">
        <v>3007031000</v>
      </c>
      <c r="I22" t="s">
        <v>36</v>
      </c>
      <c r="J22" t="s">
        <v>37</v>
      </c>
      <c r="K22" t="s">
        <v>37</v>
      </c>
      <c r="L22" t="s">
        <v>38</v>
      </c>
      <c r="M22" t="s">
        <v>37</v>
      </c>
      <c r="N22" t="s">
        <v>37</v>
      </c>
      <c r="O22" t="s">
        <v>38</v>
      </c>
      <c r="P22" t="s">
        <v>39</v>
      </c>
      <c r="Q22" s="55">
        <v>45957</v>
      </c>
      <c r="V22">
        <v>1</v>
      </c>
    </row>
    <row r="23" spans="1:22">
      <c r="A23" s="55">
        <v>45827</v>
      </c>
      <c r="B23" t="s">
        <v>183</v>
      </c>
      <c r="C23" t="s">
        <v>184</v>
      </c>
      <c r="D23" t="s">
        <v>112</v>
      </c>
      <c r="E23">
        <v>85374</v>
      </c>
      <c r="F23" t="s">
        <v>31</v>
      </c>
      <c r="G23" t="s">
        <v>182</v>
      </c>
      <c r="H23" t="s">
        <v>185</v>
      </c>
      <c r="I23" t="s">
        <v>126</v>
      </c>
      <c r="J23" t="s">
        <v>37</v>
      </c>
      <c r="K23" t="s">
        <v>37</v>
      </c>
      <c r="L23" t="s">
        <v>38</v>
      </c>
      <c r="M23" t="s">
        <v>37</v>
      </c>
      <c r="N23" t="s">
        <v>37</v>
      </c>
      <c r="O23" t="s">
        <v>38</v>
      </c>
      <c r="P23" t="s">
        <v>39</v>
      </c>
      <c r="Q23" s="55">
        <v>45957</v>
      </c>
      <c r="V23">
        <v>1</v>
      </c>
    </row>
    <row r="24" spans="1:22">
      <c r="A24" s="55">
        <v>45831</v>
      </c>
      <c r="B24" t="s">
        <v>189</v>
      </c>
      <c r="C24" t="s">
        <v>190</v>
      </c>
      <c r="D24" t="s">
        <v>174</v>
      </c>
      <c r="E24" t="s">
        <v>30</v>
      </c>
      <c r="F24" t="s">
        <v>25</v>
      </c>
      <c r="H24" t="s">
        <v>191</v>
      </c>
      <c r="I24" t="s">
        <v>126</v>
      </c>
      <c r="J24" t="s">
        <v>37</v>
      </c>
      <c r="K24" t="s">
        <v>37</v>
      </c>
      <c r="L24" t="s">
        <v>192</v>
      </c>
      <c r="M24" t="s">
        <v>37</v>
      </c>
      <c r="N24" t="s">
        <v>37</v>
      </c>
      <c r="O24" t="s">
        <v>38</v>
      </c>
      <c r="P24" t="s">
        <v>39</v>
      </c>
      <c r="Q24" s="55">
        <v>45957</v>
      </c>
      <c r="V24">
        <v>1</v>
      </c>
    </row>
    <row r="25" spans="1:22">
      <c r="A25" s="55">
        <v>45831</v>
      </c>
      <c r="B25" t="s">
        <v>193</v>
      </c>
      <c r="C25" t="s">
        <v>194</v>
      </c>
      <c r="D25" t="s">
        <v>63</v>
      </c>
      <c r="E25">
        <v>85006</v>
      </c>
      <c r="F25" t="s">
        <v>25</v>
      </c>
      <c r="H25" t="s">
        <v>195</v>
      </c>
      <c r="I25" t="s">
        <v>196</v>
      </c>
      <c r="J25" t="s">
        <v>37</v>
      </c>
      <c r="K25" t="s">
        <v>37</v>
      </c>
      <c r="L25" t="s">
        <v>197</v>
      </c>
      <c r="M25" t="s">
        <v>37</v>
      </c>
      <c r="N25" t="s">
        <v>37</v>
      </c>
      <c r="O25" t="s">
        <v>38</v>
      </c>
      <c r="P25" t="s">
        <v>39</v>
      </c>
      <c r="Q25" s="55">
        <v>45957</v>
      </c>
      <c r="V25">
        <v>1</v>
      </c>
    </row>
    <row r="26" spans="1:22">
      <c r="A26" s="55">
        <v>45831</v>
      </c>
      <c r="B26" t="s">
        <v>200</v>
      </c>
      <c r="C26" t="s">
        <v>201</v>
      </c>
      <c r="D26" t="s">
        <v>202</v>
      </c>
      <c r="E26">
        <v>85383</v>
      </c>
      <c r="F26" t="s">
        <v>25</v>
      </c>
      <c r="H26" t="s">
        <v>203</v>
      </c>
      <c r="I26" t="s">
        <v>36</v>
      </c>
      <c r="J26" t="s">
        <v>37</v>
      </c>
      <c r="K26" t="s">
        <v>37</v>
      </c>
      <c r="L26" t="s">
        <v>204</v>
      </c>
      <c r="M26" t="s">
        <v>37</v>
      </c>
      <c r="N26" t="s">
        <v>37</v>
      </c>
      <c r="O26" t="s">
        <v>38</v>
      </c>
      <c r="P26" t="s">
        <v>39</v>
      </c>
      <c r="Q26" s="55">
        <v>45957</v>
      </c>
      <c r="V26">
        <v>1</v>
      </c>
    </row>
    <row r="27" spans="1:22">
      <c r="A27" s="55">
        <v>45831</v>
      </c>
      <c r="B27" t="s">
        <v>210</v>
      </c>
      <c r="C27" t="s">
        <v>211</v>
      </c>
      <c r="D27" t="s">
        <v>85</v>
      </c>
      <c r="E27">
        <v>86323</v>
      </c>
      <c r="F27" t="s">
        <v>31</v>
      </c>
      <c r="G27" t="s">
        <v>212</v>
      </c>
      <c r="H27" t="s">
        <v>213</v>
      </c>
      <c r="I27" t="s">
        <v>73</v>
      </c>
      <c r="J27" t="s">
        <v>37</v>
      </c>
      <c r="K27" t="s">
        <v>37</v>
      </c>
      <c r="L27" t="s">
        <v>38</v>
      </c>
      <c r="M27" t="s">
        <v>37</v>
      </c>
      <c r="N27" t="s">
        <v>37</v>
      </c>
      <c r="O27" t="s">
        <v>38</v>
      </c>
      <c r="P27" t="s">
        <v>39</v>
      </c>
      <c r="Q27" s="55">
        <v>45958</v>
      </c>
      <c r="V27">
        <v>1</v>
      </c>
    </row>
    <row r="28" spans="1:22">
      <c r="A28" s="55">
        <v>45839</v>
      </c>
      <c r="B28" t="s">
        <v>219</v>
      </c>
      <c r="C28" t="s">
        <v>220</v>
      </c>
      <c r="D28" t="s">
        <v>63</v>
      </c>
      <c r="E28">
        <v>85032</v>
      </c>
      <c r="F28" t="s">
        <v>31</v>
      </c>
      <c r="G28" t="s">
        <v>221</v>
      </c>
      <c r="H28" t="s">
        <v>222</v>
      </c>
      <c r="I28" t="s">
        <v>126</v>
      </c>
      <c r="J28" t="s">
        <v>37</v>
      </c>
      <c r="K28" t="s">
        <v>37</v>
      </c>
      <c r="L28" t="s">
        <v>38</v>
      </c>
      <c r="M28" t="s">
        <v>37</v>
      </c>
      <c r="N28" t="s">
        <v>37</v>
      </c>
      <c r="O28" t="s">
        <v>38</v>
      </c>
      <c r="P28" t="s">
        <v>39</v>
      </c>
      <c r="Q28" s="55">
        <v>45958</v>
      </c>
      <c r="U28" t="s">
        <v>223</v>
      </c>
      <c r="V28">
        <v>1</v>
      </c>
    </row>
    <row r="29" spans="1:22">
      <c r="A29" s="55">
        <v>45846</v>
      </c>
      <c r="B29" t="s">
        <v>232</v>
      </c>
      <c r="C29" t="s">
        <v>233</v>
      </c>
      <c r="D29" t="s">
        <v>89</v>
      </c>
      <c r="E29">
        <v>86351</v>
      </c>
      <c r="F29" t="s">
        <v>31</v>
      </c>
      <c r="G29" t="s">
        <v>234</v>
      </c>
      <c r="H29" t="s">
        <v>235</v>
      </c>
      <c r="I29" t="s">
        <v>57</v>
      </c>
      <c r="J29" t="s">
        <v>37</v>
      </c>
      <c r="K29" t="s">
        <v>37</v>
      </c>
      <c r="L29" t="s">
        <v>236</v>
      </c>
      <c r="M29" t="s">
        <v>37</v>
      </c>
      <c r="N29" t="s">
        <v>37</v>
      </c>
      <c r="O29" t="s">
        <v>38</v>
      </c>
      <c r="P29">
        <v>45964</v>
      </c>
      <c r="Q29" s="55">
        <v>45958</v>
      </c>
      <c r="R29" t="s">
        <v>237</v>
      </c>
      <c r="V29">
        <v>1</v>
      </c>
    </row>
    <row r="30" spans="1:22">
      <c r="A30" s="55">
        <v>45847</v>
      </c>
      <c r="B30" t="s">
        <v>238</v>
      </c>
      <c r="C30" t="s">
        <v>239</v>
      </c>
      <c r="D30" t="s">
        <v>240</v>
      </c>
      <c r="E30">
        <v>85340</v>
      </c>
      <c r="F30" t="s">
        <v>31</v>
      </c>
      <c r="G30" t="s">
        <v>241</v>
      </c>
      <c r="H30" t="s">
        <v>242</v>
      </c>
      <c r="I30" t="s">
        <v>243</v>
      </c>
      <c r="J30" t="s">
        <v>37</v>
      </c>
      <c r="K30" t="s">
        <v>37</v>
      </c>
      <c r="L30" t="s">
        <v>244</v>
      </c>
      <c r="M30" t="s">
        <v>37</v>
      </c>
      <c r="N30" t="s">
        <v>37</v>
      </c>
      <c r="O30" t="s">
        <v>38</v>
      </c>
      <c r="P30" t="s">
        <v>39</v>
      </c>
      <c r="Q30" s="55">
        <v>45958</v>
      </c>
      <c r="V30">
        <v>1</v>
      </c>
    </row>
    <row r="31" spans="1:22">
      <c r="A31" s="55">
        <v>45847</v>
      </c>
      <c r="B31" t="s">
        <v>245</v>
      </c>
      <c r="C31" t="s">
        <v>246</v>
      </c>
      <c r="D31" t="s">
        <v>63</v>
      </c>
      <c r="E31">
        <v>85029</v>
      </c>
      <c r="F31" t="s">
        <v>247</v>
      </c>
      <c r="G31" t="s">
        <v>248</v>
      </c>
      <c r="H31" t="s">
        <v>249</v>
      </c>
      <c r="I31" t="s">
        <v>250</v>
      </c>
      <c r="J31" t="s">
        <v>37</v>
      </c>
      <c r="K31" t="s">
        <v>37</v>
      </c>
      <c r="L31" t="s">
        <v>38</v>
      </c>
      <c r="M31" t="s">
        <v>37</v>
      </c>
      <c r="N31" t="s">
        <v>37</v>
      </c>
      <c r="O31" t="s">
        <v>38</v>
      </c>
      <c r="P31" t="s">
        <v>39</v>
      </c>
      <c r="Q31" s="55">
        <v>45958</v>
      </c>
      <c r="V31">
        <v>1</v>
      </c>
    </row>
    <row r="32" spans="1:22">
      <c r="A32" s="55">
        <v>45852</v>
      </c>
      <c r="B32" t="s">
        <v>258</v>
      </c>
      <c r="C32" t="s">
        <v>230</v>
      </c>
      <c r="D32" t="s">
        <v>30</v>
      </c>
      <c r="E32" t="s">
        <v>30</v>
      </c>
      <c r="F32" t="s">
        <v>31</v>
      </c>
      <c r="G32" t="s">
        <v>259</v>
      </c>
      <c r="H32">
        <v>3049940000</v>
      </c>
      <c r="I32" t="s">
        <v>73</v>
      </c>
      <c r="J32" t="s">
        <v>37</v>
      </c>
      <c r="K32" t="s">
        <v>37</v>
      </c>
      <c r="L32" t="s">
        <v>260</v>
      </c>
      <c r="M32" t="s">
        <v>37</v>
      </c>
      <c r="N32" t="s">
        <v>37</v>
      </c>
      <c r="O32" t="s">
        <v>38</v>
      </c>
      <c r="P32" t="s">
        <v>39</v>
      </c>
      <c r="Q32" s="55">
        <v>45958</v>
      </c>
      <c r="V32">
        <v>1</v>
      </c>
    </row>
    <row r="33" spans="1:22">
      <c r="A33" s="55">
        <v>45852</v>
      </c>
      <c r="B33" t="s">
        <v>144</v>
      </c>
      <c r="C33" t="s">
        <v>145</v>
      </c>
      <c r="D33" t="s">
        <v>261</v>
      </c>
      <c r="E33">
        <v>86314</v>
      </c>
      <c r="F33" t="s">
        <v>31</v>
      </c>
      <c r="G33" t="s">
        <v>259</v>
      </c>
      <c r="H33">
        <v>3736855436</v>
      </c>
      <c r="I33" t="s">
        <v>250</v>
      </c>
      <c r="J33" t="s">
        <v>37</v>
      </c>
      <c r="K33" t="s">
        <v>37</v>
      </c>
      <c r="L33" t="s">
        <v>38</v>
      </c>
      <c r="M33" t="s">
        <v>37</v>
      </c>
      <c r="N33" t="s">
        <v>37</v>
      </c>
      <c r="O33" t="s">
        <v>38</v>
      </c>
      <c r="P33" t="s">
        <v>39</v>
      </c>
      <c r="Q33" s="55">
        <v>45958</v>
      </c>
      <c r="V33">
        <v>1</v>
      </c>
    </row>
    <row r="34" spans="1:22">
      <c r="A34" s="55">
        <v>45854</v>
      </c>
      <c r="B34" t="s">
        <v>262</v>
      </c>
      <c r="C34" t="s">
        <v>263</v>
      </c>
      <c r="D34" t="s">
        <v>264</v>
      </c>
      <c r="E34">
        <v>85541</v>
      </c>
      <c r="F34" t="s">
        <v>257</v>
      </c>
      <c r="G34" t="s">
        <v>265</v>
      </c>
      <c r="H34" t="s">
        <v>266</v>
      </c>
      <c r="I34" t="s">
        <v>57</v>
      </c>
      <c r="J34" t="s">
        <v>37</v>
      </c>
      <c r="K34" t="s">
        <v>37</v>
      </c>
      <c r="L34" t="s">
        <v>267</v>
      </c>
      <c r="M34" t="s">
        <v>37</v>
      </c>
      <c r="N34" t="s">
        <v>37</v>
      </c>
      <c r="O34" t="s">
        <v>38</v>
      </c>
      <c r="P34">
        <v>45964</v>
      </c>
      <c r="Q34" s="55">
        <v>45958</v>
      </c>
      <c r="R34" t="s">
        <v>148</v>
      </c>
      <c r="U34" t="s">
        <v>268</v>
      </c>
      <c r="V34">
        <v>1</v>
      </c>
    </row>
    <row r="35" spans="1:22">
      <c r="A35" s="55">
        <v>45859</v>
      </c>
      <c r="B35" t="s">
        <v>269</v>
      </c>
      <c r="C35" t="s">
        <v>270</v>
      </c>
      <c r="D35" t="s">
        <v>63</v>
      </c>
      <c r="E35">
        <v>85029</v>
      </c>
      <c r="F35" t="s">
        <v>271</v>
      </c>
      <c r="G35" t="s">
        <v>272</v>
      </c>
      <c r="H35" t="s">
        <v>273</v>
      </c>
      <c r="I35" t="s">
        <v>36</v>
      </c>
      <c r="J35" t="s">
        <v>37</v>
      </c>
      <c r="K35" t="s">
        <v>37</v>
      </c>
      <c r="L35" t="s">
        <v>274</v>
      </c>
      <c r="M35" t="s">
        <v>37</v>
      </c>
      <c r="N35" t="s">
        <v>37</v>
      </c>
      <c r="O35" t="s">
        <v>38</v>
      </c>
      <c r="P35">
        <v>45964</v>
      </c>
      <c r="Q35" s="55">
        <v>45958</v>
      </c>
      <c r="R35" t="s">
        <v>275</v>
      </c>
      <c r="V35">
        <v>1</v>
      </c>
    </row>
    <row r="36" spans="1:22">
      <c r="A36" s="55">
        <v>45861</v>
      </c>
      <c r="B36" t="s">
        <v>276</v>
      </c>
      <c r="C36" t="s">
        <v>117</v>
      </c>
      <c r="D36" t="s">
        <v>63</v>
      </c>
      <c r="E36">
        <v>85054</v>
      </c>
      <c r="F36" t="s">
        <v>31</v>
      </c>
      <c r="G36" t="s">
        <v>277</v>
      </c>
      <c r="H36" t="s">
        <v>278</v>
      </c>
      <c r="I36" t="s">
        <v>57</v>
      </c>
      <c r="J36" t="s">
        <v>37</v>
      </c>
      <c r="K36" t="s">
        <v>37</v>
      </c>
      <c r="L36" t="s">
        <v>279</v>
      </c>
      <c r="M36" t="s">
        <v>37</v>
      </c>
      <c r="N36" t="s">
        <v>37</v>
      </c>
      <c r="O36" t="s">
        <v>38</v>
      </c>
      <c r="P36" t="s">
        <v>39</v>
      </c>
      <c r="Q36" s="55">
        <v>45958</v>
      </c>
      <c r="R36" t="s">
        <v>280</v>
      </c>
      <c r="V36">
        <v>1</v>
      </c>
    </row>
    <row r="37" spans="1:22">
      <c r="A37" s="55">
        <v>45883</v>
      </c>
      <c r="B37" t="s">
        <v>283</v>
      </c>
      <c r="C37" t="s">
        <v>284</v>
      </c>
      <c r="D37" t="s">
        <v>89</v>
      </c>
      <c r="E37">
        <v>85336</v>
      </c>
      <c r="F37" t="s">
        <v>285</v>
      </c>
      <c r="G37" t="s">
        <v>286</v>
      </c>
      <c r="H37" t="s">
        <v>287</v>
      </c>
      <c r="I37" t="s">
        <v>288</v>
      </c>
      <c r="J37" t="s">
        <v>37</v>
      </c>
      <c r="K37" t="s">
        <v>37</v>
      </c>
      <c r="L37" t="s">
        <v>38</v>
      </c>
      <c r="M37" t="s">
        <v>37</v>
      </c>
      <c r="N37" t="s">
        <v>37</v>
      </c>
      <c r="O37" t="s">
        <v>38</v>
      </c>
      <c r="P37" t="s">
        <v>39</v>
      </c>
      <c r="Q37" s="55">
        <v>45958</v>
      </c>
      <c r="U37" t="s">
        <v>289</v>
      </c>
      <c r="V37">
        <v>1</v>
      </c>
    </row>
    <row r="38" spans="1:22">
      <c r="A38" s="55">
        <v>45898</v>
      </c>
      <c r="B38" t="s">
        <v>296</v>
      </c>
      <c r="C38" t="s">
        <v>297</v>
      </c>
      <c r="D38" t="s">
        <v>30</v>
      </c>
      <c r="E38" t="s">
        <v>30</v>
      </c>
      <c r="F38" t="s">
        <v>25</v>
      </c>
      <c r="G38" t="s">
        <v>298</v>
      </c>
      <c r="H38" t="s">
        <v>299</v>
      </c>
      <c r="I38" t="s">
        <v>196</v>
      </c>
      <c r="J38" t="s">
        <v>38</v>
      </c>
      <c r="K38" t="s">
        <v>37</v>
      </c>
      <c r="L38" t="s">
        <v>300</v>
      </c>
      <c r="M38" t="s">
        <v>37</v>
      </c>
      <c r="N38" t="s">
        <v>37</v>
      </c>
      <c r="O38" t="s">
        <v>38</v>
      </c>
      <c r="P38" t="s">
        <v>39</v>
      </c>
      <c r="Q38" s="55">
        <v>45958</v>
      </c>
      <c r="V38">
        <v>1</v>
      </c>
    </row>
    <row r="39" spans="1:22">
      <c r="A39" s="55">
        <v>45902</v>
      </c>
      <c r="B39" t="s">
        <v>301</v>
      </c>
      <c r="C39" t="s">
        <v>302</v>
      </c>
      <c r="D39" t="s">
        <v>112</v>
      </c>
      <c r="E39">
        <v>85374</v>
      </c>
      <c r="F39" t="s">
        <v>31</v>
      </c>
      <c r="G39" t="s">
        <v>303</v>
      </c>
      <c r="H39">
        <v>2721067262</v>
      </c>
      <c r="I39" t="s">
        <v>126</v>
      </c>
      <c r="J39" t="s">
        <v>39</v>
      </c>
      <c r="K39" t="s">
        <v>37</v>
      </c>
      <c r="L39" t="s">
        <v>204</v>
      </c>
      <c r="M39" t="s">
        <v>37</v>
      </c>
      <c r="N39" t="s">
        <v>37</v>
      </c>
      <c r="O39" t="s">
        <v>38</v>
      </c>
      <c r="P39" t="s">
        <v>39</v>
      </c>
      <c r="Q39" s="55">
        <v>45967</v>
      </c>
      <c r="V39">
        <v>1</v>
      </c>
    </row>
    <row r="40" spans="1:22">
      <c r="A40" s="55">
        <v>45902</v>
      </c>
      <c r="B40" t="s">
        <v>311</v>
      </c>
      <c r="C40" t="s">
        <v>312</v>
      </c>
      <c r="D40" t="s">
        <v>313</v>
      </c>
      <c r="E40">
        <v>85381</v>
      </c>
      <c r="F40" t="s">
        <v>31</v>
      </c>
      <c r="G40" t="s">
        <v>303</v>
      </c>
      <c r="H40">
        <v>5237011424</v>
      </c>
      <c r="I40" t="s">
        <v>196</v>
      </c>
      <c r="J40" t="s">
        <v>37</v>
      </c>
      <c r="K40" t="s">
        <v>37</v>
      </c>
      <c r="L40" t="s">
        <v>38</v>
      </c>
      <c r="M40" t="s">
        <v>37</v>
      </c>
      <c r="N40" t="s">
        <v>37</v>
      </c>
      <c r="O40" t="s">
        <v>38</v>
      </c>
      <c r="P40" t="s">
        <v>39</v>
      </c>
      <c r="Q40" s="55">
        <v>45958</v>
      </c>
      <c r="V40">
        <v>1</v>
      </c>
    </row>
    <row r="41" spans="1:22">
      <c r="A41" s="55">
        <v>45902</v>
      </c>
      <c r="B41" t="s">
        <v>316</v>
      </c>
      <c r="C41" t="s">
        <v>317</v>
      </c>
      <c r="D41" t="s">
        <v>174</v>
      </c>
      <c r="E41">
        <v>85326</v>
      </c>
      <c r="F41" t="s">
        <v>31</v>
      </c>
      <c r="G41" t="s">
        <v>303</v>
      </c>
      <c r="H41">
        <v>6062541000</v>
      </c>
      <c r="I41" t="s">
        <v>36</v>
      </c>
      <c r="J41" t="s">
        <v>37</v>
      </c>
      <c r="K41" t="s">
        <v>37</v>
      </c>
      <c r="L41" t="s">
        <v>38</v>
      </c>
      <c r="M41" t="s">
        <v>37</v>
      </c>
      <c r="N41" t="s">
        <v>37</v>
      </c>
      <c r="O41" t="s">
        <v>38</v>
      </c>
      <c r="P41" t="s">
        <v>39</v>
      </c>
      <c r="Q41" s="55">
        <v>45958</v>
      </c>
      <c r="V41">
        <v>1</v>
      </c>
    </row>
    <row r="42" spans="1:22">
      <c r="A42" s="55">
        <v>45902</v>
      </c>
      <c r="B42" t="s">
        <v>319</v>
      </c>
      <c r="C42" t="s">
        <v>320</v>
      </c>
      <c r="D42" t="s">
        <v>125</v>
      </c>
      <c r="E42">
        <v>85260</v>
      </c>
      <c r="F42" t="s">
        <v>31</v>
      </c>
      <c r="G42" t="s">
        <v>303</v>
      </c>
      <c r="H42" t="s">
        <v>321</v>
      </c>
      <c r="I42" t="s">
        <v>196</v>
      </c>
      <c r="J42" t="s">
        <v>37</v>
      </c>
      <c r="K42" t="s">
        <v>37</v>
      </c>
      <c r="L42" t="s">
        <v>322</v>
      </c>
      <c r="M42" t="s">
        <v>37</v>
      </c>
      <c r="N42" t="s">
        <v>37</v>
      </c>
      <c r="O42" t="s">
        <v>38</v>
      </c>
      <c r="P42" t="s">
        <v>39</v>
      </c>
      <c r="Q42" s="55">
        <v>45957</v>
      </c>
      <c r="V42">
        <v>1</v>
      </c>
    </row>
    <row r="43" spans="1:22">
      <c r="A43" s="55">
        <v>45902</v>
      </c>
      <c r="B43" t="s">
        <v>323</v>
      </c>
      <c r="C43" t="s">
        <v>324</v>
      </c>
      <c r="D43" t="s">
        <v>63</v>
      </c>
      <c r="E43">
        <v>85085</v>
      </c>
      <c r="F43" t="s">
        <v>310</v>
      </c>
      <c r="G43" t="s">
        <v>303</v>
      </c>
      <c r="H43">
        <v>7846277073</v>
      </c>
      <c r="I43" t="s">
        <v>36</v>
      </c>
      <c r="J43" t="s">
        <v>37</v>
      </c>
      <c r="K43" t="s">
        <v>37</v>
      </c>
      <c r="L43" t="s">
        <v>38</v>
      </c>
      <c r="M43" t="s">
        <v>37</v>
      </c>
      <c r="N43" t="s">
        <v>37</v>
      </c>
      <c r="O43" t="s">
        <v>38</v>
      </c>
      <c r="P43" t="s">
        <v>39</v>
      </c>
      <c r="Q43" s="55">
        <v>45958</v>
      </c>
      <c r="V43">
        <v>1</v>
      </c>
    </row>
    <row r="44" spans="1:22">
      <c r="A44" s="55">
        <v>45902</v>
      </c>
      <c r="B44" t="s">
        <v>325</v>
      </c>
      <c r="C44" t="s">
        <v>135</v>
      </c>
      <c r="D44" t="s">
        <v>63</v>
      </c>
      <c r="E44">
        <v>85027</v>
      </c>
      <c r="F44" t="s">
        <v>31</v>
      </c>
      <c r="G44" t="s">
        <v>303</v>
      </c>
      <c r="H44" t="s">
        <v>326</v>
      </c>
      <c r="I44" t="s">
        <v>36</v>
      </c>
      <c r="J44" t="s">
        <v>37</v>
      </c>
      <c r="K44" t="s">
        <v>37</v>
      </c>
      <c r="L44" t="s">
        <v>38</v>
      </c>
      <c r="M44" t="s">
        <v>37</v>
      </c>
      <c r="N44" t="s">
        <v>37</v>
      </c>
      <c r="O44" t="s">
        <v>38</v>
      </c>
      <c r="P44" t="s">
        <v>39</v>
      </c>
      <c r="Q44" s="55">
        <v>45958</v>
      </c>
      <c r="V44">
        <v>1</v>
      </c>
    </row>
    <row r="45" spans="1:22">
      <c r="A45" s="55">
        <v>45902</v>
      </c>
      <c r="B45" t="s">
        <v>327</v>
      </c>
      <c r="C45" t="s">
        <v>328</v>
      </c>
      <c r="D45" t="s">
        <v>63</v>
      </c>
      <c r="E45">
        <v>85027</v>
      </c>
      <c r="F45" t="s">
        <v>310</v>
      </c>
      <c r="G45" t="s">
        <v>303</v>
      </c>
      <c r="H45">
        <v>1113187095</v>
      </c>
      <c r="I45" t="s">
        <v>126</v>
      </c>
      <c r="J45" t="s">
        <v>37</v>
      </c>
      <c r="K45" t="s">
        <v>37</v>
      </c>
      <c r="L45" t="s">
        <v>38</v>
      </c>
      <c r="M45" t="s">
        <v>37</v>
      </c>
      <c r="N45" t="s">
        <v>37</v>
      </c>
      <c r="O45" t="s">
        <v>38</v>
      </c>
      <c r="P45" t="s">
        <v>39</v>
      </c>
      <c r="Q45" s="55">
        <v>45958</v>
      </c>
      <c r="V45">
        <v>1</v>
      </c>
    </row>
    <row r="46" spans="1:22">
      <c r="A46" s="55">
        <v>45902</v>
      </c>
      <c r="B46" t="s">
        <v>144</v>
      </c>
      <c r="C46" t="s">
        <v>329</v>
      </c>
      <c r="D46" t="s">
        <v>63</v>
      </c>
      <c r="E46">
        <v>85008</v>
      </c>
      <c r="F46" t="s">
        <v>310</v>
      </c>
      <c r="G46" t="s">
        <v>303</v>
      </c>
      <c r="H46" t="s">
        <v>330</v>
      </c>
      <c r="I46" t="s">
        <v>57</v>
      </c>
      <c r="J46" t="s">
        <v>37</v>
      </c>
      <c r="K46" t="s">
        <v>37</v>
      </c>
      <c r="L46" t="s">
        <v>331</v>
      </c>
      <c r="M46" t="s">
        <v>37</v>
      </c>
      <c r="N46" t="s">
        <v>37</v>
      </c>
      <c r="O46" t="s">
        <v>38</v>
      </c>
      <c r="P46">
        <v>45932</v>
      </c>
      <c r="Q46" s="55">
        <v>45685</v>
      </c>
      <c r="R46" t="s">
        <v>332</v>
      </c>
      <c r="V46">
        <v>1</v>
      </c>
    </row>
    <row r="47" spans="1:22">
      <c r="A47" s="55">
        <v>45902</v>
      </c>
      <c r="B47" t="s">
        <v>333</v>
      </c>
      <c r="C47" t="s">
        <v>334</v>
      </c>
      <c r="D47" t="s">
        <v>202</v>
      </c>
      <c r="E47">
        <v>85345</v>
      </c>
      <c r="F47" t="s">
        <v>310</v>
      </c>
      <c r="G47" t="s">
        <v>303</v>
      </c>
      <c r="H47">
        <v>6178141000</v>
      </c>
      <c r="I47" t="s">
        <v>36</v>
      </c>
      <c r="J47" t="s">
        <v>37</v>
      </c>
      <c r="K47" t="s">
        <v>37</v>
      </c>
      <c r="L47" t="s">
        <v>38</v>
      </c>
      <c r="M47" t="s">
        <v>38</v>
      </c>
      <c r="N47">
        <v>175.19</v>
      </c>
      <c r="O47" t="s">
        <v>38</v>
      </c>
      <c r="P47" t="s">
        <v>39</v>
      </c>
      <c r="Q47" s="55">
        <v>45958</v>
      </c>
      <c r="V47">
        <v>1</v>
      </c>
    </row>
    <row r="48" spans="1:22">
      <c r="A48" s="55">
        <v>45902</v>
      </c>
      <c r="B48" t="s">
        <v>335</v>
      </c>
      <c r="C48" t="s">
        <v>336</v>
      </c>
      <c r="D48" t="s">
        <v>63</v>
      </c>
      <c r="E48">
        <v>85004</v>
      </c>
      <c r="F48" t="s">
        <v>310</v>
      </c>
      <c r="G48" t="s">
        <v>303</v>
      </c>
      <c r="H48" t="s">
        <v>337</v>
      </c>
      <c r="I48" t="s">
        <v>126</v>
      </c>
      <c r="J48" t="s">
        <v>37</v>
      </c>
      <c r="K48" t="s">
        <v>37</v>
      </c>
      <c r="L48" t="s">
        <v>338</v>
      </c>
      <c r="M48" t="s">
        <v>37</v>
      </c>
      <c r="N48" t="s">
        <v>37</v>
      </c>
      <c r="O48" t="s">
        <v>38</v>
      </c>
      <c r="P48" t="s">
        <v>39</v>
      </c>
      <c r="Q48" s="55">
        <v>45958</v>
      </c>
      <c r="V48">
        <v>1</v>
      </c>
    </row>
    <row r="49" spans="1:22">
      <c r="A49" s="55">
        <v>45902</v>
      </c>
      <c r="B49" t="s">
        <v>339</v>
      </c>
      <c r="C49" t="s">
        <v>340</v>
      </c>
      <c r="D49" t="s">
        <v>63</v>
      </c>
      <c r="E49">
        <v>85027</v>
      </c>
      <c r="F49" t="s">
        <v>31</v>
      </c>
      <c r="G49" t="s">
        <v>303</v>
      </c>
      <c r="H49">
        <v>2779220471</v>
      </c>
      <c r="I49" t="s">
        <v>196</v>
      </c>
      <c r="J49" t="s">
        <v>37</v>
      </c>
      <c r="K49" t="s">
        <v>37</v>
      </c>
      <c r="L49" t="s">
        <v>341</v>
      </c>
      <c r="M49" t="s">
        <v>37</v>
      </c>
      <c r="N49" t="s">
        <v>37</v>
      </c>
      <c r="O49" t="s">
        <v>38</v>
      </c>
      <c r="P49" t="s">
        <v>39</v>
      </c>
      <c r="Q49" s="55">
        <v>45958</v>
      </c>
      <c r="V49">
        <v>1</v>
      </c>
    </row>
    <row r="50" spans="1:22">
      <c r="A50" s="55">
        <v>45902</v>
      </c>
      <c r="B50" t="s">
        <v>342</v>
      </c>
      <c r="C50" t="s">
        <v>343</v>
      </c>
      <c r="D50" t="s">
        <v>174</v>
      </c>
      <c r="E50">
        <v>85326</v>
      </c>
      <c r="F50" t="s">
        <v>31</v>
      </c>
      <c r="G50" t="s">
        <v>303</v>
      </c>
      <c r="H50" t="s">
        <v>344</v>
      </c>
      <c r="I50" t="s">
        <v>196</v>
      </c>
      <c r="J50" t="s">
        <v>37</v>
      </c>
      <c r="K50" t="s">
        <v>37</v>
      </c>
      <c r="L50" t="s">
        <v>38</v>
      </c>
      <c r="M50" t="s">
        <v>37</v>
      </c>
      <c r="N50" t="s">
        <v>37</v>
      </c>
      <c r="O50" t="s">
        <v>38</v>
      </c>
      <c r="P50" t="s">
        <v>39</v>
      </c>
      <c r="Q50" s="55">
        <v>45958</v>
      </c>
      <c r="V50">
        <v>1</v>
      </c>
    </row>
    <row r="51" spans="1:22">
      <c r="A51" s="55">
        <v>45902</v>
      </c>
      <c r="B51" t="s">
        <v>345</v>
      </c>
      <c r="C51" t="s">
        <v>346</v>
      </c>
      <c r="D51" t="s">
        <v>261</v>
      </c>
      <c r="E51">
        <v>86314</v>
      </c>
      <c r="F51" t="s">
        <v>31</v>
      </c>
      <c r="G51" t="s">
        <v>303</v>
      </c>
      <c r="H51" t="s">
        <v>347</v>
      </c>
      <c r="I51" t="s">
        <v>126</v>
      </c>
      <c r="J51" t="s">
        <v>37</v>
      </c>
      <c r="K51" t="s">
        <v>37</v>
      </c>
      <c r="L51" t="s">
        <v>348</v>
      </c>
      <c r="M51" t="s">
        <v>38</v>
      </c>
      <c r="N51">
        <v>605.92999999999995</v>
      </c>
      <c r="O51" t="s">
        <v>38</v>
      </c>
      <c r="P51">
        <v>45932</v>
      </c>
      <c r="Q51" s="55"/>
      <c r="R51" t="s">
        <v>332</v>
      </c>
      <c r="V51">
        <v>1</v>
      </c>
    </row>
    <row r="52" spans="1:22">
      <c r="A52" s="55">
        <v>45902</v>
      </c>
      <c r="B52" t="s">
        <v>349</v>
      </c>
      <c r="C52" t="s">
        <v>350</v>
      </c>
      <c r="D52" t="s">
        <v>24</v>
      </c>
      <c r="E52">
        <v>85306</v>
      </c>
      <c r="F52" t="s">
        <v>310</v>
      </c>
      <c r="G52" t="s">
        <v>303</v>
      </c>
      <c r="H52" t="s">
        <v>351</v>
      </c>
      <c r="I52" t="s">
        <v>57</v>
      </c>
      <c r="J52" t="s">
        <v>37</v>
      </c>
      <c r="K52" t="s">
        <v>37</v>
      </c>
      <c r="L52" t="s">
        <v>352</v>
      </c>
      <c r="M52" t="s">
        <v>38</v>
      </c>
      <c r="N52">
        <v>591.48</v>
      </c>
      <c r="O52" t="s">
        <v>38</v>
      </c>
      <c r="P52">
        <v>45932</v>
      </c>
      <c r="Q52" s="55">
        <v>45968</v>
      </c>
      <c r="R52" t="s">
        <v>353</v>
      </c>
      <c r="V52">
        <v>1</v>
      </c>
    </row>
    <row r="53" spans="1:22">
      <c r="A53" s="55">
        <v>45902</v>
      </c>
      <c r="B53" t="s">
        <v>354</v>
      </c>
      <c r="C53" t="s">
        <v>355</v>
      </c>
      <c r="D53" t="s">
        <v>112</v>
      </c>
      <c r="E53">
        <v>85387</v>
      </c>
      <c r="F53" t="s">
        <v>310</v>
      </c>
      <c r="G53" t="s">
        <v>303</v>
      </c>
      <c r="H53" t="s">
        <v>356</v>
      </c>
      <c r="I53" t="s">
        <v>196</v>
      </c>
      <c r="J53" t="s">
        <v>37</v>
      </c>
      <c r="K53" t="s">
        <v>37</v>
      </c>
      <c r="L53" t="s">
        <v>357</v>
      </c>
      <c r="M53" t="s">
        <v>37</v>
      </c>
      <c r="N53" t="s">
        <v>37</v>
      </c>
      <c r="O53" t="s">
        <v>38</v>
      </c>
      <c r="P53" t="s">
        <v>39</v>
      </c>
      <c r="Q53" s="55">
        <v>45968</v>
      </c>
      <c r="V53">
        <v>1</v>
      </c>
    </row>
    <row r="54" spans="1:22">
      <c r="A54" s="55">
        <v>45902</v>
      </c>
      <c r="B54" t="s">
        <v>358</v>
      </c>
      <c r="C54" t="s">
        <v>359</v>
      </c>
      <c r="D54" t="s">
        <v>63</v>
      </c>
      <c r="E54">
        <v>85020</v>
      </c>
      <c r="F54" t="s">
        <v>310</v>
      </c>
      <c r="G54" t="s">
        <v>303</v>
      </c>
      <c r="H54" t="s">
        <v>360</v>
      </c>
      <c r="I54" t="s">
        <v>126</v>
      </c>
      <c r="J54" t="s">
        <v>37</v>
      </c>
      <c r="K54" t="s">
        <v>37</v>
      </c>
      <c r="L54" t="s">
        <v>361</v>
      </c>
      <c r="M54" t="s">
        <v>37</v>
      </c>
      <c r="N54" t="s">
        <v>37</v>
      </c>
      <c r="O54" t="s">
        <v>38</v>
      </c>
      <c r="P54" t="s">
        <v>39</v>
      </c>
      <c r="Q54" s="55">
        <v>45968</v>
      </c>
      <c r="V54">
        <v>1</v>
      </c>
    </row>
    <row r="55" spans="1:22">
      <c r="A55" s="55">
        <v>45902</v>
      </c>
      <c r="B55" t="s">
        <v>362</v>
      </c>
      <c r="C55" t="s">
        <v>363</v>
      </c>
      <c r="D55" t="s">
        <v>240</v>
      </c>
      <c r="E55">
        <v>85340</v>
      </c>
      <c r="F55" t="s">
        <v>31</v>
      </c>
      <c r="G55" t="s">
        <v>303</v>
      </c>
      <c r="H55" t="s">
        <v>364</v>
      </c>
      <c r="I55" t="s">
        <v>36</v>
      </c>
      <c r="J55" t="s">
        <v>37</v>
      </c>
      <c r="K55" t="s">
        <v>37</v>
      </c>
      <c r="L55" t="s">
        <v>38</v>
      </c>
      <c r="M55" t="s">
        <v>37</v>
      </c>
      <c r="N55" t="s">
        <v>37</v>
      </c>
      <c r="O55" t="s">
        <v>38</v>
      </c>
      <c r="P55" t="s">
        <v>39</v>
      </c>
      <c r="Q55" s="55">
        <v>45968</v>
      </c>
      <c r="V55">
        <v>1</v>
      </c>
    </row>
    <row r="56" spans="1:22">
      <c r="A56" s="55">
        <v>45902</v>
      </c>
      <c r="B56" t="s">
        <v>365</v>
      </c>
      <c r="C56" t="s">
        <v>284</v>
      </c>
      <c r="D56" t="s">
        <v>112</v>
      </c>
      <c r="E56">
        <v>85387</v>
      </c>
      <c r="F56" t="s">
        <v>31</v>
      </c>
      <c r="G56" t="s">
        <v>303</v>
      </c>
      <c r="H56" t="s">
        <v>366</v>
      </c>
      <c r="I56" t="s">
        <v>288</v>
      </c>
      <c r="J56" t="s">
        <v>38</v>
      </c>
      <c r="K56" t="s">
        <v>37</v>
      </c>
      <c r="L56" t="s">
        <v>38</v>
      </c>
      <c r="M56" t="s">
        <v>37</v>
      </c>
      <c r="N56" t="s">
        <v>37</v>
      </c>
      <c r="O56" t="s">
        <v>38</v>
      </c>
      <c r="P56" t="s">
        <v>39</v>
      </c>
      <c r="Q56" s="55">
        <v>45968</v>
      </c>
      <c r="V56">
        <v>1</v>
      </c>
    </row>
    <row r="57" spans="1:22">
      <c r="A57" s="55">
        <v>45902</v>
      </c>
      <c r="B57" t="s">
        <v>368</v>
      </c>
      <c r="C57" t="s">
        <v>369</v>
      </c>
      <c r="D57" t="s">
        <v>370</v>
      </c>
      <c r="E57">
        <v>85225</v>
      </c>
      <c r="F57" t="s">
        <v>31</v>
      </c>
      <c r="G57" t="s">
        <v>303</v>
      </c>
      <c r="H57" t="s">
        <v>371</v>
      </c>
      <c r="I57" t="s">
        <v>36</v>
      </c>
      <c r="J57" t="s">
        <v>37</v>
      </c>
      <c r="K57" t="s">
        <v>37</v>
      </c>
      <c r="L57" t="s">
        <v>38</v>
      </c>
      <c r="M57" t="s">
        <v>37</v>
      </c>
      <c r="N57" t="s">
        <v>37</v>
      </c>
      <c r="O57" t="s">
        <v>38</v>
      </c>
      <c r="P57" t="s">
        <v>39</v>
      </c>
      <c r="Q57" s="55">
        <v>45968</v>
      </c>
      <c r="V57">
        <v>1</v>
      </c>
    </row>
    <row r="58" spans="1:22">
      <c r="A58" s="55">
        <v>45902</v>
      </c>
      <c r="B58" t="s">
        <v>372</v>
      </c>
      <c r="C58" t="s">
        <v>373</v>
      </c>
      <c r="D58" t="s">
        <v>63</v>
      </c>
      <c r="E58">
        <v>85006</v>
      </c>
      <c r="F58" t="s">
        <v>31</v>
      </c>
      <c r="G58" t="s">
        <v>303</v>
      </c>
      <c r="H58" t="s">
        <v>374</v>
      </c>
      <c r="I58" t="s">
        <v>196</v>
      </c>
      <c r="J58" t="s">
        <v>37</v>
      </c>
      <c r="K58" t="s">
        <v>37</v>
      </c>
      <c r="L58" t="s">
        <v>38</v>
      </c>
      <c r="M58" t="s">
        <v>37</v>
      </c>
      <c r="N58" t="s">
        <v>37</v>
      </c>
      <c r="O58" t="s">
        <v>38</v>
      </c>
      <c r="P58" t="s">
        <v>39</v>
      </c>
      <c r="Q58" s="55">
        <v>45968</v>
      </c>
      <c r="V58">
        <v>1</v>
      </c>
    </row>
    <row r="59" spans="1:22">
      <c r="A59" s="55">
        <v>45902</v>
      </c>
      <c r="B59" t="s">
        <v>375</v>
      </c>
      <c r="C59" t="s">
        <v>376</v>
      </c>
      <c r="D59" t="s">
        <v>112</v>
      </c>
      <c r="E59">
        <v>85388</v>
      </c>
      <c r="F59" t="s">
        <v>31</v>
      </c>
      <c r="G59" t="s">
        <v>303</v>
      </c>
      <c r="H59" t="s">
        <v>377</v>
      </c>
      <c r="I59" t="s">
        <v>196</v>
      </c>
      <c r="J59" t="s">
        <v>37</v>
      </c>
      <c r="K59" t="s">
        <v>37</v>
      </c>
      <c r="L59" t="s">
        <v>378</v>
      </c>
      <c r="M59" t="s">
        <v>37</v>
      </c>
      <c r="N59" t="s">
        <v>37</v>
      </c>
      <c r="O59" t="s">
        <v>38</v>
      </c>
      <c r="P59">
        <v>45932</v>
      </c>
      <c r="Q59" s="55">
        <v>45968</v>
      </c>
      <c r="R59" t="s">
        <v>332</v>
      </c>
      <c r="V59">
        <v>1</v>
      </c>
    </row>
    <row r="60" spans="1:22">
      <c r="A60" s="55">
        <v>45902</v>
      </c>
      <c r="B60" t="s">
        <v>379</v>
      </c>
      <c r="C60" t="s">
        <v>312</v>
      </c>
      <c r="D60" t="s">
        <v>169</v>
      </c>
      <c r="E60">
        <v>85338</v>
      </c>
      <c r="F60" t="s">
        <v>31</v>
      </c>
      <c r="G60" t="s">
        <v>303</v>
      </c>
      <c r="H60" t="s">
        <v>380</v>
      </c>
      <c r="I60" t="s">
        <v>196</v>
      </c>
      <c r="J60" t="s">
        <v>37</v>
      </c>
      <c r="K60" t="s">
        <v>37</v>
      </c>
      <c r="L60" t="s">
        <v>38</v>
      </c>
      <c r="M60" t="s">
        <v>37</v>
      </c>
      <c r="N60" t="s">
        <v>37</v>
      </c>
      <c r="O60" t="s">
        <v>38</v>
      </c>
      <c r="P60" t="s">
        <v>39</v>
      </c>
      <c r="Q60" s="55">
        <v>45968</v>
      </c>
      <c r="V60">
        <v>1</v>
      </c>
    </row>
    <row r="61" spans="1:22">
      <c r="A61" s="55">
        <v>45902</v>
      </c>
      <c r="B61" t="s">
        <v>383</v>
      </c>
      <c r="C61" t="s">
        <v>384</v>
      </c>
      <c r="D61" t="s">
        <v>63</v>
      </c>
      <c r="E61">
        <v>85023</v>
      </c>
      <c r="F61" t="s">
        <v>31</v>
      </c>
      <c r="G61" t="s">
        <v>303</v>
      </c>
      <c r="H61" t="s">
        <v>385</v>
      </c>
      <c r="I61" t="s">
        <v>126</v>
      </c>
      <c r="J61" t="s">
        <v>37</v>
      </c>
      <c r="K61" t="s">
        <v>37</v>
      </c>
      <c r="L61" t="s">
        <v>38</v>
      </c>
      <c r="M61" t="s">
        <v>37</v>
      </c>
      <c r="N61" t="s">
        <v>37</v>
      </c>
      <c r="O61" t="s">
        <v>38</v>
      </c>
      <c r="P61" t="s">
        <v>39</v>
      </c>
      <c r="Q61" s="55">
        <v>45968</v>
      </c>
      <c r="V61">
        <v>1</v>
      </c>
    </row>
    <row r="62" spans="1:22">
      <c r="A62" s="55">
        <v>45902</v>
      </c>
      <c r="B62" t="s">
        <v>386</v>
      </c>
      <c r="C62" t="s">
        <v>387</v>
      </c>
      <c r="D62" t="s">
        <v>169</v>
      </c>
      <c r="E62">
        <v>85338</v>
      </c>
      <c r="F62" t="s">
        <v>31</v>
      </c>
      <c r="G62" t="s">
        <v>303</v>
      </c>
      <c r="H62" t="s">
        <v>388</v>
      </c>
      <c r="I62" t="s">
        <v>243</v>
      </c>
      <c r="J62" t="s">
        <v>38</v>
      </c>
      <c r="K62" t="s">
        <v>37</v>
      </c>
      <c r="L62" t="s">
        <v>389</v>
      </c>
      <c r="M62" t="s">
        <v>38</v>
      </c>
      <c r="N62">
        <v>326.87</v>
      </c>
      <c r="O62" t="s">
        <v>38</v>
      </c>
      <c r="P62" t="s">
        <v>39</v>
      </c>
      <c r="Q62" s="55">
        <v>45968</v>
      </c>
      <c r="R62" t="s">
        <v>390</v>
      </c>
      <c r="V62">
        <v>1</v>
      </c>
    </row>
    <row r="63" spans="1:22">
      <c r="A63" s="55">
        <v>45902</v>
      </c>
      <c r="B63" t="s">
        <v>391</v>
      </c>
      <c r="C63" t="s">
        <v>392</v>
      </c>
      <c r="D63" t="s">
        <v>169</v>
      </c>
      <c r="E63">
        <v>85338</v>
      </c>
      <c r="F63" t="s">
        <v>31</v>
      </c>
      <c r="G63" t="s">
        <v>303</v>
      </c>
      <c r="H63" t="s">
        <v>393</v>
      </c>
      <c r="I63" t="s">
        <v>36</v>
      </c>
      <c r="J63" t="s">
        <v>37</v>
      </c>
      <c r="K63" t="s">
        <v>37</v>
      </c>
      <c r="L63" t="s">
        <v>38</v>
      </c>
      <c r="M63" t="s">
        <v>37</v>
      </c>
      <c r="N63" t="s">
        <v>37</v>
      </c>
      <c r="O63" t="s">
        <v>38</v>
      </c>
      <c r="P63" t="s">
        <v>39</v>
      </c>
      <c r="Q63" s="55">
        <v>45968</v>
      </c>
      <c r="V63">
        <v>1</v>
      </c>
    </row>
    <row r="64" spans="1:22">
      <c r="A64" s="55">
        <v>45902</v>
      </c>
      <c r="B64" t="s">
        <v>394</v>
      </c>
      <c r="C64" t="s">
        <v>395</v>
      </c>
      <c r="D64" t="s">
        <v>396</v>
      </c>
      <c r="E64">
        <v>85303</v>
      </c>
      <c r="F64" t="s">
        <v>31</v>
      </c>
      <c r="G64" t="s">
        <v>303</v>
      </c>
      <c r="H64" t="s">
        <v>397</v>
      </c>
      <c r="I64" t="s">
        <v>126</v>
      </c>
      <c r="J64" t="s">
        <v>37</v>
      </c>
      <c r="K64" t="s">
        <v>37</v>
      </c>
      <c r="L64" t="s">
        <v>38</v>
      </c>
      <c r="M64" t="s">
        <v>37</v>
      </c>
      <c r="N64" t="s">
        <v>37</v>
      </c>
      <c r="O64" t="s">
        <v>38</v>
      </c>
      <c r="P64" t="s">
        <v>39</v>
      </c>
      <c r="Q64" s="55">
        <v>45968</v>
      </c>
      <c r="V64">
        <v>1</v>
      </c>
    </row>
    <row r="65" spans="1:22">
      <c r="A65" s="55">
        <v>45902</v>
      </c>
      <c r="B65" t="s">
        <v>398</v>
      </c>
      <c r="C65" t="s">
        <v>399</v>
      </c>
      <c r="D65" t="s">
        <v>63</v>
      </c>
      <c r="E65">
        <v>85006</v>
      </c>
      <c r="F65" t="s">
        <v>31</v>
      </c>
      <c r="G65" t="s">
        <v>303</v>
      </c>
      <c r="H65" t="s">
        <v>400</v>
      </c>
      <c r="I65" t="s">
        <v>36</v>
      </c>
      <c r="J65" t="s">
        <v>37</v>
      </c>
      <c r="K65" t="s">
        <v>37</v>
      </c>
      <c r="L65" t="s">
        <v>401</v>
      </c>
      <c r="M65" t="s">
        <v>37</v>
      </c>
      <c r="N65" t="s">
        <v>37</v>
      </c>
      <c r="O65" t="s">
        <v>38</v>
      </c>
      <c r="P65" t="s">
        <v>39</v>
      </c>
      <c r="Q65" s="55">
        <v>45968</v>
      </c>
      <c r="V65">
        <v>1</v>
      </c>
    </row>
    <row r="66" spans="1:22">
      <c r="A66" s="55">
        <v>45902</v>
      </c>
      <c r="B66" t="s">
        <v>402</v>
      </c>
      <c r="C66" t="s">
        <v>403</v>
      </c>
      <c r="D66" t="s">
        <v>24</v>
      </c>
      <c r="E66">
        <v>85307</v>
      </c>
      <c r="F66" t="s">
        <v>310</v>
      </c>
      <c r="G66" t="s">
        <v>303</v>
      </c>
      <c r="H66" t="s">
        <v>404</v>
      </c>
      <c r="I66" t="s">
        <v>126</v>
      </c>
      <c r="J66" t="s">
        <v>37</v>
      </c>
      <c r="K66" t="s">
        <v>37</v>
      </c>
      <c r="L66" t="s">
        <v>405</v>
      </c>
      <c r="M66" t="s">
        <v>37</v>
      </c>
      <c r="N66" t="s">
        <v>37</v>
      </c>
      <c r="O66" t="s">
        <v>38</v>
      </c>
      <c r="P66" t="s">
        <v>39</v>
      </c>
      <c r="Q66" s="55">
        <v>45968</v>
      </c>
      <c r="V66">
        <v>1</v>
      </c>
    </row>
    <row r="67" spans="1:22">
      <c r="A67" s="55">
        <v>45902</v>
      </c>
      <c r="B67" t="s">
        <v>406</v>
      </c>
      <c r="C67" t="s">
        <v>407</v>
      </c>
      <c r="D67" t="s">
        <v>63</v>
      </c>
      <c r="E67">
        <v>85006</v>
      </c>
      <c r="F67" t="s">
        <v>31</v>
      </c>
      <c r="G67" t="s">
        <v>303</v>
      </c>
      <c r="H67" t="s">
        <v>408</v>
      </c>
      <c r="I67" t="s">
        <v>57</v>
      </c>
      <c r="J67" t="s">
        <v>37</v>
      </c>
      <c r="K67" t="s">
        <v>37</v>
      </c>
      <c r="L67" t="s">
        <v>409</v>
      </c>
      <c r="M67" t="s">
        <v>37</v>
      </c>
      <c r="N67" t="s">
        <v>37</v>
      </c>
      <c r="O67" t="s">
        <v>38</v>
      </c>
      <c r="P67">
        <v>45932</v>
      </c>
      <c r="Q67" s="55">
        <v>45968</v>
      </c>
      <c r="R67" t="s">
        <v>332</v>
      </c>
      <c r="V67">
        <v>1</v>
      </c>
    </row>
    <row r="68" spans="1:22">
      <c r="A68" s="55">
        <v>45902</v>
      </c>
      <c r="B68" t="s">
        <v>410</v>
      </c>
      <c r="C68" t="s">
        <v>411</v>
      </c>
      <c r="D68" t="s">
        <v>412</v>
      </c>
      <c r="E68">
        <v>85123</v>
      </c>
      <c r="F68" t="s">
        <v>310</v>
      </c>
      <c r="G68" t="s">
        <v>303</v>
      </c>
      <c r="H68" t="s">
        <v>413</v>
      </c>
      <c r="I68" t="s">
        <v>196</v>
      </c>
      <c r="J68" t="s">
        <v>37</v>
      </c>
      <c r="K68" t="s">
        <v>37</v>
      </c>
      <c r="L68" t="s">
        <v>414</v>
      </c>
      <c r="M68" t="s">
        <v>37</v>
      </c>
      <c r="N68" t="s">
        <v>37</v>
      </c>
      <c r="O68" t="s">
        <v>38</v>
      </c>
      <c r="P68" t="s">
        <v>39</v>
      </c>
      <c r="Q68" s="55">
        <v>45968</v>
      </c>
      <c r="V68">
        <v>1</v>
      </c>
    </row>
    <row r="69" spans="1:22">
      <c r="A69" s="55">
        <v>45902</v>
      </c>
      <c r="B69" t="s">
        <v>415</v>
      </c>
      <c r="C69" t="s">
        <v>416</v>
      </c>
      <c r="D69" t="s">
        <v>112</v>
      </c>
      <c r="E69">
        <v>85379</v>
      </c>
      <c r="F69" t="s">
        <v>31</v>
      </c>
      <c r="G69" t="s">
        <v>303</v>
      </c>
      <c r="H69" t="s">
        <v>417</v>
      </c>
      <c r="I69" t="s">
        <v>418</v>
      </c>
      <c r="J69" t="s">
        <v>37</v>
      </c>
      <c r="K69" t="s">
        <v>37</v>
      </c>
      <c r="L69" t="s">
        <v>389</v>
      </c>
      <c r="M69" t="s">
        <v>37</v>
      </c>
      <c r="N69" t="s">
        <v>37</v>
      </c>
      <c r="O69" t="s">
        <v>38</v>
      </c>
      <c r="P69" t="s">
        <v>39</v>
      </c>
      <c r="Q69" s="55">
        <v>45968</v>
      </c>
      <c r="V69">
        <v>1</v>
      </c>
    </row>
    <row r="70" spans="1:22">
      <c r="A70" s="55">
        <v>45902</v>
      </c>
      <c r="B70" t="s">
        <v>421</v>
      </c>
      <c r="C70" t="s">
        <v>422</v>
      </c>
      <c r="D70" t="s">
        <v>63</v>
      </c>
      <c r="E70">
        <v>85054</v>
      </c>
      <c r="F70" t="s">
        <v>310</v>
      </c>
      <c r="G70" t="s">
        <v>303</v>
      </c>
      <c r="H70">
        <v>7035930772</v>
      </c>
      <c r="I70" t="s">
        <v>196</v>
      </c>
      <c r="J70" t="s">
        <v>37</v>
      </c>
      <c r="K70" t="s">
        <v>37</v>
      </c>
      <c r="L70" t="s">
        <v>423</v>
      </c>
      <c r="M70" t="s">
        <v>37</v>
      </c>
      <c r="N70" t="s">
        <v>37</v>
      </c>
      <c r="O70" t="s">
        <v>38</v>
      </c>
      <c r="P70">
        <v>45932</v>
      </c>
      <c r="Q70" s="55">
        <v>45958</v>
      </c>
      <c r="R70" t="s">
        <v>332</v>
      </c>
      <c r="V70">
        <v>1</v>
      </c>
    </row>
    <row r="71" spans="1:22">
      <c r="A71" s="55">
        <v>45902</v>
      </c>
      <c r="B71" t="s">
        <v>429</v>
      </c>
      <c r="C71" t="s">
        <v>135</v>
      </c>
      <c r="D71" t="s">
        <v>63</v>
      </c>
      <c r="E71">
        <v>85029</v>
      </c>
      <c r="F71" t="s">
        <v>310</v>
      </c>
      <c r="G71" t="s">
        <v>303</v>
      </c>
      <c r="H71">
        <v>7115261000</v>
      </c>
      <c r="I71" t="s">
        <v>36</v>
      </c>
      <c r="J71" t="s">
        <v>38</v>
      </c>
      <c r="K71" t="s">
        <v>37</v>
      </c>
      <c r="L71" t="s">
        <v>38</v>
      </c>
      <c r="M71" t="s">
        <v>37</v>
      </c>
      <c r="N71" t="s">
        <v>37</v>
      </c>
      <c r="O71" t="s">
        <v>38</v>
      </c>
      <c r="P71" t="s">
        <v>430</v>
      </c>
      <c r="Q71" s="55">
        <v>45958</v>
      </c>
      <c r="V71">
        <v>1</v>
      </c>
    </row>
    <row r="72" spans="1:22">
      <c r="A72" s="55">
        <v>45902</v>
      </c>
      <c r="B72" t="s">
        <v>432</v>
      </c>
      <c r="C72" t="s">
        <v>433</v>
      </c>
      <c r="D72" t="s">
        <v>85</v>
      </c>
      <c r="E72">
        <v>86323</v>
      </c>
      <c r="F72" t="s">
        <v>31</v>
      </c>
      <c r="G72" t="s">
        <v>303</v>
      </c>
      <c r="H72">
        <v>2773271262</v>
      </c>
      <c r="I72" t="s">
        <v>288</v>
      </c>
      <c r="J72" t="s">
        <v>37</v>
      </c>
      <c r="K72" t="s">
        <v>37</v>
      </c>
      <c r="L72" t="s">
        <v>38</v>
      </c>
      <c r="M72" t="s">
        <v>37</v>
      </c>
      <c r="N72" t="s">
        <v>37</v>
      </c>
      <c r="O72" t="s">
        <v>38</v>
      </c>
      <c r="P72" t="s">
        <v>39</v>
      </c>
      <c r="Q72" s="55">
        <v>45958</v>
      </c>
      <c r="V72">
        <v>1</v>
      </c>
    </row>
    <row r="73" spans="1:22">
      <c r="A73" s="55">
        <v>45902</v>
      </c>
      <c r="B73" t="s">
        <v>434</v>
      </c>
      <c r="C73" t="s">
        <v>145</v>
      </c>
      <c r="D73" t="s">
        <v>112</v>
      </c>
      <c r="E73">
        <v>85379</v>
      </c>
      <c r="F73" t="s">
        <v>310</v>
      </c>
      <c r="G73" t="s">
        <v>303</v>
      </c>
      <c r="H73" t="s">
        <v>435</v>
      </c>
      <c r="I73" t="s">
        <v>126</v>
      </c>
      <c r="J73" t="s">
        <v>37</v>
      </c>
      <c r="K73" t="s">
        <v>37</v>
      </c>
      <c r="L73" t="s">
        <v>38</v>
      </c>
      <c r="M73" t="s">
        <v>37</v>
      </c>
      <c r="N73" t="s">
        <v>37</v>
      </c>
      <c r="O73" t="s">
        <v>38</v>
      </c>
      <c r="P73" t="s">
        <v>39</v>
      </c>
      <c r="Q73" s="55">
        <v>45958</v>
      </c>
      <c r="V73">
        <v>1</v>
      </c>
    </row>
    <row r="74" spans="1:22">
      <c r="A74" s="55">
        <v>45902</v>
      </c>
      <c r="B74" t="s">
        <v>436</v>
      </c>
      <c r="C74" t="s">
        <v>437</v>
      </c>
      <c r="D74" t="s">
        <v>169</v>
      </c>
      <c r="E74">
        <v>85338</v>
      </c>
      <c r="F74" t="s">
        <v>31</v>
      </c>
      <c r="G74" t="s">
        <v>303</v>
      </c>
      <c r="H74" t="s">
        <v>438</v>
      </c>
      <c r="I74" t="s">
        <v>418</v>
      </c>
      <c r="J74" t="s">
        <v>38</v>
      </c>
      <c r="K74" t="s">
        <v>37</v>
      </c>
      <c r="L74" t="s">
        <v>389</v>
      </c>
      <c r="M74" t="s">
        <v>38</v>
      </c>
      <c r="N74">
        <v>179.9</v>
      </c>
      <c r="O74" t="s">
        <v>38</v>
      </c>
      <c r="P74" t="s">
        <v>39</v>
      </c>
      <c r="Q74" s="55">
        <v>45968</v>
      </c>
      <c r="V74">
        <v>1</v>
      </c>
    </row>
    <row r="75" spans="1:22">
      <c r="A75" s="55">
        <v>45902</v>
      </c>
      <c r="B75" t="s">
        <v>439</v>
      </c>
      <c r="C75" t="s">
        <v>440</v>
      </c>
      <c r="D75" t="s">
        <v>125</v>
      </c>
      <c r="E75">
        <v>85254</v>
      </c>
      <c r="F75" t="s">
        <v>310</v>
      </c>
      <c r="G75" t="s">
        <v>303</v>
      </c>
      <c r="H75" t="s">
        <v>441</v>
      </c>
      <c r="I75" t="s">
        <v>36</v>
      </c>
      <c r="J75" t="s">
        <v>37</v>
      </c>
      <c r="K75" t="s">
        <v>37</v>
      </c>
      <c r="L75" t="s">
        <v>38</v>
      </c>
      <c r="M75" t="s">
        <v>37</v>
      </c>
      <c r="N75" t="s">
        <v>37</v>
      </c>
      <c r="O75" t="s">
        <v>38</v>
      </c>
      <c r="P75" t="s">
        <v>39</v>
      </c>
      <c r="Q75" s="55">
        <v>45968</v>
      </c>
      <c r="V75">
        <v>1</v>
      </c>
    </row>
    <row r="76" spans="1:22">
      <c r="A76" s="55">
        <v>45902</v>
      </c>
      <c r="B76" t="s">
        <v>442</v>
      </c>
      <c r="C76" t="s">
        <v>443</v>
      </c>
      <c r="D76" t="s">
        <v>63</v>
      </c>
      <c r="E76">
        <v>85032</v>
      </c>
      <c r="F76" t="s">
        <v>310</v>
      </c>
      <c r="G76" t="s">
        <v>303</v>
      </c>
      <c r="H76" t="s">
        <v>444</v>
      </c>
      <c r="I76" t="s">
        <v>196</v>
      </c>
      <c r="J76" t="s">
        <v>37</v>
      </c>
      <c r="K76" t="s">
        <v>37</v>
      </c>
      <c r="L76" t="s">
        <v>445</v>
      </c>
      <c r="M76" t="s">
        <v>37</v>
      </c>
      <c r="N76" t="s">
        <v>37</v>
      </c>
      <c r="O76" t="s">
        <v>38</v>
      </c>
      <c r="P76">
        <v>45932</v>
      </c>
      <c r="Q76" s="55">
        <v>45968</v>
      </c>
      <c r="R76" t="s">
        <v>446</v>
      </c>
      <c r="V76">
        <v>1</v>
      </c>
    </row>
    <row r="77" spans="1:22">
      <c r="A77" s="55">
        <v>45902</v>
      </c>
      <c r="B77" t="s">
        <v>449</v>
      </c>
      <c r="C77" t="s">
        <v>333</v>
      </c>
      <c r="D77" t="s">
        <v>125</v>
      </c>
      <c r="E77">
        <v>85260</v>
      </c>
      <c r="F77" t="s">
        <v>310</v>
      </c>
      <c r="G77" t="s">
        <v>303</v>
      </c>
      <c r="H77" t="s">
        <v>450</v>
      </c>
      <c r="I77" t="s">
        <v>126</v>
      </c>
      <c r="J77" t="s">
        <v>37</v>
      </c>
      <c r="K77" t="s">
        <v>37</v>
      </c>
      <c r="L77" t="s">
        <v>38</v>
      </c>
      <c r="M77" t="s">
        <v>37</v>
      </c>
      <c r="N77" t="s">
        <v>37</v>
      </c>
      <c r="O77" t="s">
        <v>38</v>
      </c>
      <c r="P77" t="s">
        <v>39</v>
      </c>
      <c r="Q77" s="55">
        <v>45968</v>
      </c>
      <c r="V77">
        <v>1</v>
      </c>
    </row>
    <row r="78" spans="1:22">
      <c r="A78" s="55">
        <v>45902</v>
      </c>
      <c r="B78" t="s">
        <v>453</v>
      </c>
      <c r="C78" t="s">
        <v>454</v>
      </c>
      <c r="D78" t="s">
        <v>125</v>
      </c>
      <c r="E78">
        <v>85255</v>
      </c>
      <c r="F78" t="s">
        <v>310</v>
      </c>
      <c r="G78" t="s">
        <v>303</v>
      </c>
      <c r="H78" t="s">
        <v>455</v>
      </c>
      <c r="I78" t="s">
        <v>288</v>
      </c>
      <c r="J78" t="s">
        <v>37</v>
      </c>
      <c r="K78" t="s">
        <v>37</v>
      </c>
      <c r="L78" t="s">
        <v>38</v>
      </c>
      <c r="M78" t="s">
        <v>37</v>
      </c>
      <c r="N78" t="s">
        <v>37</v>
      </c>
      <c r="O78" t="s">
        <v>38</v>
      </c>
      <c r="P78" t="s">
        <v>39</v>
      </c>
      <c r="Q78" s="55">
        <v>45968</v>
      </c>
      <c r="V78">
        <v>1</v>
      </c>
    </row>
    <row r="79" spans="1:22">
      <c r="A79" s="55">
        <v>45902</v>
      </c>
      <c r="B79" t="s">
        <v>432</v>
      </c>
      <c r="C79" t="s">
        <v>456</v>
      </c>
      <c r="D79" t="s">
        <v>85</v>
      </c>
      <c r="E79">
        <v>86323</v>
      </c>
      <c r="F79" t="s">
        <v>310</v>
      </c>
      <c r="G79" t="s">
        <v>303</v>
      </c>
      <c r="H79" t="s">
        <v>457</v>
      </c>
      <c r="I79" t="s">
        <v>288</v>
      </c>
      <c r="J79" t="s">
        <v>37</v>
      </c>
      <c r="K79" t="s">
        <v>37</v>
      </c>
      <c r="L79" t="s">
        <v>38</v>
      </c>
      <c r="M79" t="s">
        <v>37</v>
      </c>
      <c r="N79" t="s">
        <v>37</v>
      </c>
      <c r="O79" t="s">
        <v>38</v>
      </c>
      <c r="P79" t="s">
        <v>39</v>
      </c>
      <c r="Q79" s="55">
        <v>45968</v>
      </c>
      <c r="V79">
        <v>1</v>
      </c>
    </row>
    <row r="80" spans="1:22">
      <c r="A80" s="55">
        <v>45902</v>
      </c>
      <c r="B80" t="s">
        <v>458</v>
      </c>
      <c r="C80" t="s">
        <v>459</v>
      </c>
      <c r="D80" t="s">
        <v>125</v>
      </c>
      <c r="E80">
        <v>85255</v>
      </c>
      <c r="F80" t="s">
        <v>310</v>
      </c>
      <c r="G80" t="s">
        <v>303</v>
      </c>
      <c r="H80" t="s">
        <v>460</v>
      </c>
      <c r="I80" t="s">
        <v>288</v>
      </c>
      <c r="J80" t="s">
        <v>37</v>
      </c>
      <c r="K80" t="s">
        <v>37</v>
      </c>
      <c r="L80" t="s">
        <v>38</v>
      </c>
      <c r="M80" t="s">
        <v>37</v>
      </c>
      <c r="N80" t="s">
        <v>37</v>
      </c>
      <c r="O80" t="s">
        <v>38</v>
      </c>
      <c r="P80" t="s">
        <v>39</v>
      </c>
      <c r="Q80" s="55">
        <v>45968</v>
      </c>
      <c r="V80">
        <v>1</v>
      </c>
    </row>
    <row r="81" spans="1:22">
      <c r="A81" s="55">
        <v>45902</v>
      </c>
      <c r="B81" t="s">
        <v>461</v>
      </c>
      <c r="C81" t="s">
        <v>443</v>
      </c>
      <c r="D81" t="s">
        <v>125</v>
      </c>
      <c r="E81">
        <v>85254</v>
      </c>
      <c r="F81" t="s">
        <v>310</v>
      </c>
      <c r="G81" t="s">
        <v>303</v>
      </c>
      <c r="H81" t="s">
        <v>462</v>
      </c>
      <c r="I81" t="s">
        <v>36</v>
      </c>
      <c r="J81" t="s">
        <v>37</v>
      </c>
      <c r="K81" t="s">
        <v>37</v>
      </c>
      <c r="L81" t="s">
        <v>38</v>
      </c>
      <c r="M81" t="s">
        <v>37</v>
      </c>
      <c r="N81" t="s">
        <v>37</v>
      </c>
      <c r="O81" t="s">
        <v>38</v>
      </c>
      <c r="P81" t="s">
        <v>39</v>
      </c>
      <c r="Q81" s="55">
        <v>45968</v>
      </c>
      <c r="V81">
        <v>1</v>
      </c>
    </row>
    <row r="82" spans="1:22">
      <c r="A82" s="55">
        <v>45902</v>
      </c>
      <c r="B82" t="s">
        <v>463</v>
      </c>
      <c r="C82" t="s">
        <v>464</v>
      </c>
      <c r="D82" t="s">
        <v>63</v>
      </c>
      <c r="E82">
        <v>85024</v>
      </c>
      <c r="F82" t="s">
        <v>310</v>
      </c>
      <c r="G82" t="s">
        <v>303</v>
      </c>
      <c r="H82" t="s">
        <v>465</v>
      </c>
      <c r="I82" t="s">
        <v>418</v>
      </c>
      <c r="J82" t="s">
        <v>37</v>
      </c>
      <c r="K82" t="s">
        <v>37</v>
      </c>
      <c r="L82" t="s">
        <v>389</v>
      </c>
      <c r="M82" t="s">
        <v>37</v>
      </c>
      <c r="N82" t="s">
        <v>37</v>
      </c>
      <c r="O82" t="s">
        <v>38</v>
      </c>
      <c r="P82" t="s">
        <v>39</v>
      </c>
      <c r="Q82" s="55">
        <v>45968</v>
      </c>
      <c r="V82">
        <v>1</v>
      </c>
    </row>
    <row r="83" spans="1:22">
      <c r="A83" s="55">
        <v>45902</v>
      </c>
      <c r="B83" t="s">
        <v>467</v>
      </c>
      <c r="C83" t="s">
        <v>468</v>
      </c>
      <c r="D83" t="s">
        <v>63</v>
      </c>
      <c r="E83">
        <v>85008</v>
      </c>
      <c r="F83" t="s">
        <v>310</v>
      </c>
      <c r="G83" t="s">
        <v>303</v>
      </c>
      <c r="H83" t="s">
        <v>469</v>
      </c>
      <c r="I83" t="s">
        <v>36</v>
      </c>
      <c r="J83" t="s">
        <v>37</v>
      </c>
      <c r="K83" t="s">
        <v>37</v>
      </c>
      <c r="L83" t="s">
        <v>38</v>
      </c>
      <c r="M83" t="s">
        <v>37</v>
      </c>
      <c r="N83" t="s">
        <v>37</v>
      </c>
      <c r="O83" t="s">
        <v>38</v>
      </c>
      <c r="P83" t="s">
        <v>39</v>
      </c>
      <c r="Q83" s="55">
        <v>45968</v>
      </c>
      <c r="V83">
        <v>1</v>
      </c>
    </row>
    <row r="84" spans="1:22">
      <c r="A84" s="55">
        <v>45902</v>
      </c>
      <c r="B84" t="s">
        <v>470</v>
      </c>
      <c r="C84" t="s">
        <v>471</v>
      </c>
      <c r="D84" t="s">
        <v>63</v>
      </c>
      <c r="E84">
        <v>85004</v>
      </c>
      <c r="F84" t="s">
        <v>310</v>
      </c>
      <c r="G84" t="s">
        <v>303</v>
      </c>
      <c r="H84" t="s">
        <v>472</v>
      </c>
      <c r="I84" t="s">
        <v>288</v>
      </c>
      <c r="J84" t="s">
        <v>37</v>
      </c>
      <c r="K84" t="s">
        <v>37</v>
      </c>
      <c r="L84" t="s">
        <v>38</v>
      </c>
      <c r="M84" t="s">
        <v>37</v>
      </c>
      <c r="N84" t="s">
        <v>37</v>
      </c>
      <c r="O84" t="s">
        <v>38</v>
      </c>
      <c r="P84" t="s">
        <v>39</v>
      </c>
      <c r="Q84" s="55">
        <v>45968</v>
      </c>
      <c r="V84">
        <v>1</v>
      </c>
    </row>
    <row r="85" spans="1:22">
      <c r="A85" s="55">
        <v>45902</v>
      </c>
      <c r="B85" t="s">
        <v>475</v>
      </c>
      <c r="C85" t="s">
        <v>476</v>
      </c>
      <c r="D85" t="s">
        <v>63</v>
      </c>
      <c r="E85">
        <v>85050</v>
      </c>
      <c r="F85" t="s">
        <v>31</v>
      </c>
      <c r="G85" t="s">
        <v>303</v>
      </c>
      <c r="H85" t="s">
        <v>477</v>
      </c>
      <c r="I85" t="s">
        <v>36</v>
      </c>
      <c r="J85" t="s">
        <v>37</v>
      </c>
      <c r="K85" t="s">
        <v>37</v>
      </c>
      <c r="L85" t="s">
        <v>38</v>
      </c>
      <c r="M85" t="s">
        <v>37</v>
      </c>
      <c r="N85" t="s">
        <v>37</v>
      </c>
      <c r="O85" t="s">
        <v>38</v>
      </c>
      <c r="P85" t="s">
        <v>39</v>
      </c>
      <c r="Q85" s="55">
        <v>45968</v>
      </c>
      <c r="V85">
        <v>1</v>
      </c>
    </row>
    <row r="86" spans="1:22">
      <c r="A86" s="55">
        <v>45902</v>
      </c>
      <c r="B86" t="s">
        <v>480</v>
      </c>
      <c r="C86" t="s">
        <v>481</v>
      </c>
      <c r="D86" t="s">
        <v>63</v>
      </c>
      <c r="E86">
        <v>85083</v>
      </c>
      <c r="F86" t="s">
        <v>310</v>
      </c>
      <c r="G86" t="s">
        <v>303</v>
      </c>
      <c r="H86" t="s">
        <v>482</v>
      </c>
      <c r="I86" t="s">
        <v>46</v>
      </c>
      <c r="J86" t="s">
        <v>37</v>
      </c>
      <c r="K86" t="s">
        <v>37</v>
      </c>
      <c r="L86" t="s">
        <v>483</v>
      </c>
      <c r="M86" t="s">
        <v>37</v>
      </c>
      <c r="N86" t="s">
        <v>37</v>
      </c>
      <c r="O86" t="s">
        <v>38</v>
      </c>
      <c r="P86">
        <v>45939</v>
      </c>
      <c r="Q86" s="55">
        <v>45968</v>
      </c>
      <c r="R86" t="s">
        <v>484</v>
      </c>
      <c r="V86">
        <v>1</v>
      </c>
    </row>
    <row r="87" spans="1:22">
      <c r="A87" s="55">
        <v>45902</v>
      </c>
      <c r="B87" t="s">
        <v>487</v>
      </c>
      <c r="C87" t="s">
        <v>488</v>
      </c>
      <c r="D87" t="s">
        <v>63</v>
      </c>
      <c r="E87">
        <v>85013</v>
      </c>
      <c r="F87" t="s">
        <v>310</v>
      </c>
      <c r="G87" t="s">
        <v>303</v>
      </c>
      <c r="H87" t="s">
        <v>489</v>
      </c>
      <c r="I87" t="s">
        <v>126</v>
      </c>
      <c r="J87" t="s">
        <v>37</v>
      </c>
      <c r="K87" t="s">
        <v>37</v>
      </c>
      <c r="L87" t="s">
        <v>38</v>
      </c>
      <c r="M87" t="s">
        <v>37</v>
      </c>
      <c r="N87" t="s">
        <v>37</v>
      </c>
      <c r="O87" t="s">
        <v>38</v>
      </c>
      <c r="P87" t="s">
        <v>39</v>
      </c>
      <c r="Q87" s="55">
        <v>45968</v>
      </c>
      <c r="V87">
        <v>1</v>
      </c>
    </row>
    <row r="88" spans="1:22">
      <c r="A88" s="55">
        <v>45902</v>
      </c>
      <c r="B88" t="s">
        <v>490</v>
      </c>
      <c r="C88" t="s">
        <v>491</v>
      </c>
      <c r="D88" t="s">
        <v>30</v>
      </c>
      <c r="E88" t="s">
        <v>30</v>
      </c>
      <c r="F88" t="s">
        <v>31</v>
      </c>
      <c r="G88" t="s">
        <v>303</v>
      </c>
      <c r="H88" t="s">
        <v>492</v>
      </c>
      <c r="I88" t="s">
        <v>126</v>
      </c>
      <c r="J88" t="s">
        <v>38</v>
      </c>
      <c r="K88" t="s">
        <v>37</v>
      </c>
      <c r="L88" t="s">
        <v>38</v>
      </c>
      <c r="M88" t="s">
        <v>37</v>
      </c>
      <c r="N88" t="s">
        <v>37</v>
      </c>
      <c r="O88" t="s">
        <v>38</v>
      </c>
      <c r="P88" t="s">
        <v>39</v>
      </c>
      <c r="Q88" s="55">
        <v>45968</v>
      </c>
      <c r="V88">
        <v>1</v>
      </c>
    </row>
    <row r="89" spans="1:22">
      <c r="A89" s="55">
        <v>45902</v>
      </c>
      <c r="B89" t="s">
        <v>493</v>
      </c>
      <c r="C89" t="s">
        <v>333</v>
      </c>
      <c r="D89" t="s">
        <v>63</v>
      </c>
      <c r="E89">
        <v>85009</v>
      </c>
      <c r="F89" t="s">
        <v>31</v>
      </c>
      <c r="G89" t="s">
        <v>303</v>
      </c>
      <c r="H89" t="s">
        <v>494</v>
      </c>
      <c r="I89" t="s">
        <v>36</v>
      </c>
      <c r="J89" t="s">
        <v>37</v>
      </c>
      <c r="K89" t="s">
        <v>37</v>
      </c>
      <c r="L89" t="s">
        <v>38</v>
      </c>
      <c r="M89" t="s">
        <v>38</v>
      </c>
      <c r="N89">
        <v>942.59</v>
      </c>
      <c r="O89" t="s">
        <v>38</v>
      </c>
      <c r="Q89" s="55">
        <v>45968</v>
      </c>
      <c r="R89" t="s">
        <v>495</v>
      </c>
      <c r="V89">
        <v>1</v>
      </c>
    </row>
    <row r="90" spans="1:22">
      <c r="A90" s="55">
        <v>45903</v>
      </c>
      <c r="B90" t="s">
        <v>499</v>
      </c>
      <c r="C90" t="s">
        <v>334</v>
      </c>
      <c r="D90" t="s">
        <v>30</v>
      </c>
      <c r="E90" t="s">
        <v>30</v>
      </c>
      <c r="F90" t="s">
        <v>31</v>
      </c>
      <c r="G90" t="s">
        <v>500</v>
      </c>
      <c r="H90" t="s">
        <v>501</v>
      </c>
      <c r="I90" t="s">
        <v>36</v>
      </c>
      <c r="J90" t="s">
        <v>37</v>
      </c>
      <c r="K90" t="s">
        <v>37</v>
      </c>
      <c r="L90" t="s">
        <v>38</v>
      </c>
      <c r="M90" t="s">
        <v>37</v>
      </c>
      <c r="N90" t="s">
        <v>37</v>
      </c>
      <c r="O90" t="s">
        <v>38</v>
      </c>
      <c r="P90" t="s">
        <v>39</v>
      </c>
      <c r="Q90" s="55">
        <v>45968</v>
      </c>
      <c r="V90">
        <v>1</v>
      </c>
    </row>
    <row r="91" spans="1:22">
      <c r="A91" s="55">
        <v>45903</v>
      </c>
      <c r="B91" t="s">
        <v>502</v>
      </c>
      <c r="C91" t="s">
        <v>503</v>
      </c>
      <c r="D91" t="s">
        <v>504</v>
      </c>
      <c r="E91">
        <v>86001</v>
      </c>
      <c r="F91" t="s">
        <v>505</v>
      </c>
      <c r="G91" t="s">
        <v>506</v>
      </c>
      <c r="H91" t="s">
        <v>507</v>
      </c>
      <c r="I91" t="s">
        <v>73</v>
      </c>
      <c r="J91" t="s">
        <v>37</v>
      </c>
      <c r="K91" t="s">
        <v>37</v>
      </c>
      <c r="L91" t="s">
        <v>38</v>
      </c>
      <c r="M91" t="s">
        <v>37</v>
      </c>
      <c r="N91" t="s">
        <v>37</v>
      </c>
      <c r="O91" t="s">
        <v>38</v>
      </c>
      <c r="P91" t="s">
        <v>39</v>
      </c>
      <c r="Q91" s="55">
        <v>45968</v>
      </c>
      <c r="V91">
        <v>1</v>
      </c>
    </row>
    <row r="92" spans="1:22">
      <c r="A92" s="55">
        <v>45903</v>
      </c>
      <c r="B92" t="s">
        <v>508</v>
      </c>
      <c r="C92" t="s">
        <v>509</v>
      </c>
      <c r="D92" t="s">
        <v>24</v>
      </c>
      <c r="E92">
        <v>85308</v>
      </c>
      <c r="F92" t="s">
        <v>31</v>
      </c>
      <c r="G92" t="s">
        <v>506</v>
      </c>
      <c r="H92" t="s">
        <v>510</v>
      </c>
      <c r="I92" t="s">
        <v>196</v>
      </c>
      <c r="J92" t="s">
        <v>37</v>
      </c>
      <c r="K92" t="s">
        <v>37</v>
      </c>
      <c r="L92" t="s">
        <v>511</v>
      </c>
      <c r="M92" t="s">
        <v>37</v>
      </c>
      <c r="N92" t="s">
        <v>37</v>
      </c>
      <c r="O92" t="s">
        <v>38</v>
      </c>
      <c r="P92">
        <v>45932</v>
      </c>
      <c r="Q92" s="55">
        <v>45968</v>
      </c>
      <c r="R92" t="s">
        <v>512</v>
      </c>
      <c r="V92">
        <v>1</v>
      </c>
    </row>
    <row r="93" spans="1:22">
      <c r="A93" s="55">
        <v>45903</v>
      </c>
      <c r="B93" t="s">
        <v>513</v>
      </c>
      <c r="C93" t="s">
        <v>369</v>
      </c>
      <c r="D93" t="s">
        <v>63</v>
      </c>
      <c r="E93">
        <v>85024</v>
      </c>
      <c r="F93" t="s">
        <v>310</v>
      </c>
      <c r="G93" t="s">
        <v>506</v>
      </c>
      <c r="H93" t="s">
        <v>514</v>
      </c>
      <c r="I93" t="s">
        <v>126</v>
      </c>
      <c r="J93" t="s">
        <v>37</v>
      </c>
      <c r="K93" t="s">
        <v>37</v>
      </c>
      <c r="L93" t="s">
        <v>38</v>
      </c>
      <c r="M93" t="s">
        <v>37</v>
      </c>
      <c r="N93" t="s">
        <v>37</v>
      </c>
      <c r="O93" t="s">
        <v>38</v>
      </c>
      <c r="P93" t="s">
        <v>39</v>
      </c>
      <c r="Q93" s="55">
        <v>45968</v>
      </c>
      <c r="V93">
        <v>1</v>
      </c>
    </row>
    <row r="94" spans="1:22">
      <c r="A94" s="55">
        <v>45903</v>
      </c>
      <c r="B94" t="s">
        <v>515</v>
      </c>
      <c r="C94" t="s">
        <v>516</v>
      </c>
      <c r="D94" t="s">
        <v>202</v>
      </c>
      <c r="E94">
        <v>85383</v>
      </c>
      <c r="F94" t="s">
        <v>517</v>
      </c>
      <c r="G94" t="s">
        <v>506</v>
      </c>
      <c r="H94" t="s">
        <v>518</v>
      </c>
      <c r="I94" t="s">
        <v>196</v>
      </c>
      <c r="J94" t="s">
        <v>37</v>
      </c>
      <c r="K94" t="s">
        <v>37</v>
      </c>
      <c r="L94" t="s">
        <v>519</v>
      </c>
      <c r="M94" t="s">
        <v>37</v>
      </c>
      <c r="N94" t="s">
        <v>37</v>
      </c>
      <c r="O94" t="s">
        <v>38</v>
      </c>
      <c r="P94">
        <v>45932</v>
      </c>
      <c r="Q94" s="55">
        <v>45968</v>
      </c>
      <c r="R94" t="s">
        <v>520</v>
      </c>
      <c r="V94">
        <v>1</v>
      </c>
    </row>
    <row r="95" spans="1:22">
      <c r="A95" s="55">
        <v>45903</v>
      </c>
      <c r="B95" t="s">
        <v>521</v>
      </c>
      <c r="C95" t="s">
        <v>522</v>
      </c>
      <c r="D95" t="s">
        <v>523</v>
      </c>
      <c r="E95">
        <v>85392</v>
      </c>
      <c r="F95" t="s">
        <v>31</v>
      </c>
      <c r="G95" t="s">
        <v>506</v>
      </c>
      <c r="H95" t="s">
        <v>524</v>
      </c>
      <c r="I95" t="s">
        <v>36</v>
      </c>
      <c r="J95" t="s">
        <v>37</v>
      </c>
      <c r="K95" t="s">
        <v>37</v>
      </c>
      <c r="L95" t="s">
        <v>38</v>
      </c>
      <c r="M95" t="s">
        <v>37</v>
      </c>
      <c r="N95" t="s">
        <v>37</v>
      </c>
      <c r="O95" t="s">
        <v>38</v>
      </c>
      <c r="P95" t="s">
        <v>39</v>
      </c>
      <c r="Q95" s="55">
        <v>45968</v>
      </c>
      <c r="R95" t="s">
        <v>525</v>
      </c>
      <c r="V95">
        <v>1</v>
      </c>
    </row>
    <row r="96" spans="1:22">
      <c r="A96" s="55">
        <v>45903</v>
      </c>
      <c r="B96" t="s">
        <v>528</v>
      </c>
      <c r="C96" t="s">
        <v>529</v>
      </c>
      <c r="D96" t="s">
        <v>24</v>
      </c>
      <c r="E96">
        <v>85310</v>
      </c>
      <c r="F96" t="s">
        <v>310</v>
      </c>
      <c r="G96" t="s">
        <v>506</v>
      </c>
      <c r="H96" t="s">
        <v>530</v>
      </c>
      <c r="I96" t="s">
        <v>196</v>
      </c>
      <c r="J96" t="s">
        <v>37</v>
      </c>
      <c r="K96" t="s">
        <v>37</v>
      </c>
      <c r="L96" t="s">
        <v>38</v>
      </c>
      <c r="M96" t="s">
        <v>37</v>
      </c>
      <c r="N96" t="s">
        <v>37</v>
      </c>
      <c r="O96" t="s">
        <v>38</v>
      </c>
      <c r="P96" t="s">
        <v>39</v>
      </c>
      <c r="Q96" s="55">
        <v>45968</v>
      </c>
      <c r="V96">
        <v>1</v>
      </c>
    </row>
    <row r="97" spans="1:22">
      <c r="A97" s="55">
        <v>45903</v>
      </c>
      <c r="B97" t="s">
        <v>531</v>
      </c>
      <c r="C97" t="s">
        <v>532</v>
      </c>
      <c r="D97" t="s">
        <v>169</v>
      </c>
      <c r="E97">
        <v>85395</v>
      </c>
      <c r="F97" t="s">
        <v>31</v>
      </c>
      <c r="G97" t="s">
        <v>506</v>
      </c>
      <c r="H97" t="s">
        <v>533</v>
      </c>
      <c r="I97" t="s">
        <v>36</v>
      </c>
      <c r="J97" t="s">
        <v>37</v>
      </c>
      <c r="K97" t="s">
        <v>37</v>
      </c>
      <c r="L97" t="s">
        <v>38</v>
      </c>
      <c r="M97" t="s">
        <v>37</v>
      </c>
      <c r="N97" t="s">
        <v>37</v>
      </c>
      <c r="O97" t="s">
        <v>38</v>
      </c>
      <c r="P97" t="s">
        <v>39</v>
      </c>
      <c r="Q97" s="55">
        <v>45968</v>
      </c>
      <c r="V97">
        <v>1</v>
      </c>
    </row>
    <row r="98" spans="1:22">
      <c r="A98" s="55">
        <v>45903</v>
      </c>
      <c r="B98" t="s">
        <v>534</v>
      </c>
      <c r="C98" t="s">
        <v>535</v>
      </c>
      <c r="D98" t="s">
        <v>523</v>
      </c>
      <c r="E98">
        <v>85392</v>
      </c>
      <c r="F98" t="s">
        <v>31</v>
      </c>
      <c r="G98" t="s">
        <v>506</v>
      </c>
      <c r="H98" t="s">
        <v>536</v>
      </c>
      <c r="I98" t="s">
        <v>418</v>
      </c>
      <c r="J98" t="s">
        <v>37</v>
      </c>
      <c r="K98" t="s">
        <v>37</v>
      </c>
      <c r="L98" t="s">
        <v>389</v>
      </c>
      <c r="M98" t="s">
        <v>37</v>
      </c>
      <c r="N98" t="s">
        <v>37</v>
      </c>
      <c r="O98" t="s">
        <v>38</v>
      </c>
      <c r="P98" t="s">
        <v>39</v>
      </c>
      <c r="Q98" s="55">
        <v>45968</v>
      </c>
      <c r="V98">
        <v>1</v>
      </c>
    </row>
    <row r="99" spans="1:22">
      <c r="A99" s="55">
        <v>45903</v>
      </c>
      <c r="B99" t="s">
        <v>537</v>
      </c>
      <c r="C99" t="s">
        <v>538</v>
      </c>
      <c r="D99" t="s">
        <v>539</v>
      </c>
      <c r="E99">
        <v>85194</v>
      </c>
      <c r="F99" t="s">
        <v>310</v>
      </c>
      <c r="G99" t="s">
        <v>506</v>
      </c>
      <c r="H99" t="s">
        <v>540</v>
      </c>
      <c r="I99" t="s">
        <v>541</v>
      </c>
      <c r="J99" t="s">
        <v>37</v>
      </c>
      <c r="K99" t="s">
        <v>37</v>
      </c>
      <c r="L99" t="s">
        <v>389</v>
      </c>
      <c r="M99" t="s">
        <v>37</v>
      </c>
      <c r="N99" t="s">
        <v>37</v>
      </c>
      <c r="O99" t="s">
        <v>38</v>
      </c>
      <c r="P99" t="s">
        <v>39</v>
      </c>
      <c r="Q99" s="55">
        <v>45968</v>
      </c>
      <c r="V99">
        <v>1</v>
      </c>
    </row>
    <row r="100" spans="1:22">
      <c r="A100" s="55">
        <v>45903</v>
      </c>
      <c r="B100" t="s">
        <v>542</v>
      </c>
      <c r="C100" t="s">
        <v>543</v>
      </c>
      <c r="D100" t="s">
        <v>63</v>
      </c>
      <c r="E100">
        <v>85050</v>
      </c>
      <c r="F100" t="s">
        <v>310</v>
      </c>
      <c r="G100" t="s">
        <v>506</v>
      </c>
      <c r="H100" t="s">
        <v>544</v>
      </c>
      <c r="I100" t="s">
        <v>36</v>
      </c>
      <c r="J100" t="s">
        <v>37</v>
      </c>
      <c r="K100" t="s">
        <v>37</v>
      </c>
      <c r="L100" t="s">
        <v>38</v>
      </c>
      <c r="M100" t="s">
        <v>37</v>
      </c>
      <c r="N100" t="s">
        <v>37</v>
      </c>
      <c r="O100" t="s">
        <v>38</v>
      </c>
      <c r="P100" t="s">
        <v>39</v>
      </c>
      <c r="Q100" s="55">
        <v>45968</v>
      </c>
      <c r="V100">
        <v>1</v>
      </c>
    </row>
    <row r="101" spans="1:22">
      <c r="A101" s="55">
        <v>45903</v>
      </c>
      <c r="B101" t="s">
        <v>549</v>
      </c>
      <c r="C101" t="s">
        <v>550</v>
      </c>
      <c r="D101" t="s">
        <v>169</v>
      </c>
      <c r="E101">
        <v>85338</v>
      </c>
      <c r="F101" t="s">
        <v>31</v>
      </c>
      <c r="G101" t="s">
        <v>506</v>
      </c>
      <c r="H101" t="s">
        <v>551</v>
      </c>
      <c r="I101" t="s">
        <v>36</v>
      </c>
      <c r="J101" t="s">
        <v>37</v>
      </c>
      <c r="K101" t="s">
        <v>37</v>
      </c>
      <c r="L101" t="s">
        <v>38</v>
      </c>
      <c r="M101" t="s">
        <v>37</v>
      </c>
      <c r="N101" t="s">
        <v>37</v>
      </c>
      <c r="O101" t="s">
        <v>38</v>
      </c>
      <c r="P101" t="s">
        <v>39</v>
      </c>
      <c r="Q101" s="55">
        <v>45968</v>
      </c>
      <c r="V101">
        <v>1</v>
      </c>
    </row>
    <row r="102" spans="1:22">
      <c r="A102" s="55">
        <v>45903</v>
      </c>
      <c r="B102" t="s">
        <v>552</v>
      </c>
      <c r="C102" t="s">
        <v>553</v>
      </c>
      <c r="D102" t="s">
        <v>63</v>
      </c>
      <c r="E102">
        <v>85012</v>
      </c>
      <c r="F102" t="s">
        <v>310</v>
      </c>
      <c r="G102" t="s">
        <v>506</v>
      </c>
      <c r="H102" t="s">
        <v>554</v>
      </c>
      <c r="I102" t="s">
        <v>36</v>
      </c>
      <c r="J102" t="s">
        <v>37</v>
      </c>
      <c r="K102" t="s">
        <v>37</v>
      </c>
      <c r="L102" t="s">
        <v>38</v>
      </c>
      <c r="M102" t="s">
        <v>37</v>
      </c>
      <c r="N102" t="s">
        <v>37</v>
      </c>
      <c r="O102" t="s">
        <v>38</v>
      </c>
      <c r="P102" t="s">
        <v>39</v>
      </c>
      <c r="Q102" s="55">
        <v>45968</v>
      </c>
      <c r="V102">
        <v>1</v>
      </c>
    </row>
    <row r="103" spans="1:22">
      <c r="A103" s="55">
        <v>45903</v>
      </c>
      <c r="B103" t="s">
        <v>557</v>
      </c>
      <c r="C103" t="s">
        <v>558</v>
      </c>
      <c r="D103" t="s">
        <v>63</v>
      </c>
      <c r="E103">
        <v>85020</v>
      </c>
      <c r="F103" t="s">
        <v>310</v>
      </c>
      <c r="G103" t="s">
        <v>506</v>
      </c>
      <c r="H103" t="s">
        <v>559</v>
      </c>
      <c r="I103" t="s">
        <v>126</v>
      </c>
      <c r="J103" t="s">
        <v>37</v>
      </c>
      <c r="K103" t="s">
        <v>37</v>
      </c>
      <c r="L103" t="s">
        <v>560</v>
      </c>
      <c r="M103" t="s">
        <v>37</v>
      </c>
      <c r="N103" t="s">
        <v>37</v>
      </c>
      <c r="O103" t="s">
        <v>38</v>
      </c>
      <c r="P103">
        <v>45933</v>
      </c>
      <c r="Q103" s="55">
        <v>45968</v>
      </c>
      <c r="R103" t="s">
        <v>561</v>
      </c>
      <c r="V103">
        <v>1</v>
      </c>
    </row>
    <row r="104" spans="1:22">
      <c r="A104" s="55">
        <v>45903</v>
      </c>
      <c r="B104" t="s">
        <v>562</v>
      </c>
      <c r="C104" t="s">
        <v>363</v>
      </c>
      <c r="D104" t="s">
        <v>63</v>
      </c>
      <c r="E104">
        <v>85023</v>
      </c>
      <c r="F104" t="s">
        <v>563</v>
      </c>
      <c r="G104" t="s">
        <v>506</v>
      </c>
      <c r="H104" t="s">
        <v>564</v>
      </c>
      <c r="I104" t="s">
        <v>36</v>
      </c>
      <c r="J104" t="s">
        <v>37</v>
      </c>
      <c r="K104" t="s">
        <v>37</v>
      </c>
      <c r="L104" t="s">
        <v>38</v>
      </c>
      <c r="M104" t="s">
        <v>37</v>
      </c>
      <c r="N104" t="s">
        <v>37</v>
      </c>
      <c r="O104" t="s">
        <v>38</v>
      </c>
      <c r="P104" t="s">
        <v>39</v>
      </c>
      <c r="Q104" s="55">
        <v>45968</v>
      </c>
      <c r="V104">
        <v>1</v>
      </c>
    </row>
    <row r="105" spans="1:22">
      <c r="A105" s="55">
        <v>45903</v>
      </c>
      <c r="B105" t="s">
        <v>565</v>
      </c>
      <c r="C105" t="s">
        <v>256</v>
      </c>
      <c r="D105" t="s">
        <v>63</v>
      </c>
      <c r="E105">
        <v>85020</v>
      </c>
      <c r="F105" t="s">
        <v>310</v>
      </c>
      <c r="G105" t="s">
        <v>506</v>
      </c>
      <c r="H105" t="s">
        <v>566</v>
      </c>
      <c r="I105" t="s">
        <v>196</v>
      </c>
      <c r="J105" t="s">
        <v>37</v>
      </c>
      <c r="K105" t="s">
        <v>37</v>
      </c>
      <c r="L105" t="s">
        <v>38</v>
      </c>
      <c r="M105" t="s">
        <v>37</v>
      </c>
      <c r="N105" t="s">
        <v>37</v>
      </c>
      <c r="O105" t="s">
        <v>38</v>
      </c>
      <c r="P105" t="s">
        <v>39</v>
      </c>
      <c r="Q105" s="55">
        <v>45968</v>
      </c>
      <c r="V105">
        <v>1</v>
      </c>
    </row>
    <row r="106" spans="1:22">
      <c r="A106" s="55">
        <v>45903</v>
      </c>
      <c r="B106" t="s">
        <v>569</v>
      </c>
      <c r="C106" t="s">
        <v>570</v>
      </c>
      <c r="D106" t="s">
        <v>202</v>
      </c>
      <c r="E106">
        <v>85383</v>
      </c>
      <c r="F106" t="s">
        <v>310</v>
      </c>
      <c r="G106" t="s">
        <v>506</v>
      </c>
      <c r="H106" t="s">
        <v>571</v>
      </c>
      <c r="I106" t="s">
        <v>36</v>
      </c>
      <c r="J106" t="s">
        <v>37</v>
      </c>
      <c r="K106" t="s">
        <v>37</v>
      </c>
      <c r="L106" t="s">
        <v>38</v>
      </c>
      <c r="M106" t="s">
        <v>37</v>
      </c>
      <c r="N106" t="s">
        <v>37</v>
      </c>
      <c r="O106" t="s">
        <v>38</v>
      </c>
      <c r="P106" t="s">
        <v>39</v>
      </c>
      <c r="Q106" s="55">
        <v>45968</v>
      </c>
      <c r="V106">
        <v>1</v>
      </c>
    </row>
    <row r="107" spans="1:22">
      <c r="A107" s="55">
        <v>45903</v>
      </c>
      <c r="B107" t="s">
        <v>572</v>
      </c>
      <c r="C107" t="s">
        <v>573</v>
      </c>
      <c r="D107" t="s">
        <v>63</v>
      </c>
      <c r="E107">
        <v>85024</v>
      </c>
      <c r="F107" t="s">
        <v>310</v>
      </c>
      <c r="G107" t="s">
        <v>506</v>
      </c>
      <c r="H107" t="s">
        <v>574</v>
      </c>
      <c r="I107" t="s">
        <v>196</v>
      </c>
      <c r="J107" t="s">
        <v>37</v>
      </c>
      <c r="K107" t="s">
        <v>37</v>
      </c>
      <c r="L107" t="s">
        <v>38</v>
      </c>
      <c r="M107" t="s">
        <v>37</v>
      </c>
      <c r="N107" t="s">
        <v>37</v>
      </c>
      <c r="O107" t="s">
        <v>38</v>
      </c>
      <c r="P107" t="s">
        <v>39</v>
      </c>
      <c r="Q107" s="55">
        <v>45968</v>
      </c>
      <c r="V107">
        <v>1</v>
      </c>
    </row>
    <row r="108" spans="1:22">
      <c r="A108" s="55">
        <v>45903</v>
      </c>
      <c r="B108" t="s">
        <v>575</v>
      </c>
      <c r="C108" t="s">
        <v>134</v>
      </c>
      <c r="D108" t="s">
        <v>63</v>
      </c>
      <c r="E108">
        <v>85004</v>
      </c>
      <c r="F108" t="s">
        <v>310</v>
      </c>
      <c r="G108" t="s">
        <v>506</v>
      </c>
      <c r="H108" t="s">
        <v>576</v>
      </c>
      <c r="I108" t="s">
        <v>73</v>
      </c>
      <c r="J108" t="s">
        <v>37</v>
      </c>
      <c r="K108" t="s">
        <v>37</v>
      </c>
      <c r="L108" t="s">
        <v>38</v>
      </c>
      <c r="M108" t="s">
        <v>37</v>
      </c>
      <c r="N108" t="s">
        <v>37</v>
      </c>
      <c r="O108" t="s">
        <v>38</v>
      </c>
      <c r="P108" t="s">
        <v>39</v>
      </c>
      <c r="Q108" s="55">
        <v>45968</v>
      </c>
      <c r="V108">
        <v>1</v>
      </c>
    </row>
    <row r="109" spans="1:22">
      <c r="A109" s="55">
        <v>45903</v>
      </c>
      <c r="B109" t="s">
        <v>577</v>
      </c>
      <c r="C109" t="s">
        <v>578</v>
      </c>
      <c r="D109" t="s">
        <v>125</v>
      </c>
      <c r="E109">
        <v>85260</v>
      </c>
      <c r="F109" t="s">
        <v>579</v>
      </c>
      <c r="G109" t="s">
        <v>506</v>
      </c>
      <c r="H109" t="s">
        <v>580</v>
      </c>
      <c r="I109" t="s">
        <v>196</v>
      </c>
      <c r="J109" t="s">
        <v>37</v>
      </c>
      <c r="K109" t="s">
        <v>37</v>
      </c>
      <c r="L109" t="s">
        <v>38</v>
      </c>
      <c r="M109" t="s">
        <v>37</v>
      </c>
      <c r="N109" t="s">
        <v>37</v>
      </c>
      <c r="O109" t="s">
        <v>38</v>
      </c>
      <c r="P109" t="s">
        <v>39</v>
      </c>
      <c r="Q109" s="55">
        <v>45968</v>
      </c>
      <c r="V109">
        <v>1</v>
      </c>
    </row>
    <row r="110" spans="1:22">
      <c r="A110" s="55">
        <v>45903</v>
      </c>
      <c r="B110" t="s">
        <v>581</v>
      </c>
      <c r="C110" t="s">
        <v>550</v>
      </c>
      <c r="D110" t="s">
        <v>63</v>
      </c>
      <c r="E110">
        <v>85015</v>
      </c>
      <c r="F110" t="s">
        <v>310</v>
      </c>
      <c r="G110" t="s">
        <v>506</v>
      </c>
      <c r="H110" t="s">
        <v>582</v>
      </c>
      <c r="I110" t="s">
        <v>57</v>
      </c>
      <c r="J110" t="s">
        <v>37</v>
      </c>
      <c r="K110" t="s">
        <v>37</v>
      </c>
      <c r="L110" t="s">
        <v>583</v>
      </c>
      <c r="M110" t="s">
        <v>37</v>
      </c>
      <c r="N110" t="s">
        <v>37</v>
      </c>
      <c r="O110" t="s">
        <v>38</v>
      </c>
      <c r="P110" t="s">
        <v>39</v>
      </c>
      <c r="Q110" s="55">
        <v>45968</v>
      </c>
      <c r="V110">
        <v>1</v>
      </c>
    </row>
    <row r="111" spans="1:22">
      <c r="A111" s="55">
        <v>45903</v>
      </c>
      <c r="B111" t="s">
        <v>586</v>
      </c>
      <c r="C111" t="s">
        <v>587</v>
      </c>
      <c r="D111" t="s">
        <v>63</v>
      </c>
      <c r="E111">
        <v>85028</v>
      </c>
      <c r="F111" t="s">
        <v>588</v>
      </c>
      <c r="G111" t="s">
        <v>506</v>
      </c>
      <c r="H111" t="s">
        <v>589</v>
      </c>
      <c r="I111" t="s">
        <v>36</v>
      </c>
      <c r="J111" t="s">
        <v>37</v>
      </c>
      <c r="K111" t="s">
        <v>37</v>
      </c>
      <c r="L111" t="s">
        <v>38</v>
      </c>
      <c r="M111" t="s">
        <v>37</v>
      </c>
      <c r="N111" t="s">
        <v>37</v>
      </c>
      <c r="O111" t="s">
        <v>38</v>
      </c>
      <c r="P111" t="s">
        <v>39</v>
      </c>
      <c r="Q111" s="55">
        <v>45968</v>
      </c>
      <c r="V111">
        <v>1</v>
      </c>
    </row>
    <row r="112" spans="1:22">
      <c r="A112" s="55">
        <v>45903</v>
      </c>
      <c r="B112" t="s">
        <v>590</v>
      </c>
      <c r="C112" t="s">
        <v>591</v>
      </c>
      <c r="D112" t="s">
        <v>240</v>
      </c>
      <c r="E112">
        <v>85340</v>
      </c>
      <c r="F112" t="s">
        <v>31</v>
      </c>
      <c r="G112" t="s">
        <v>506</v>
      </c>
      <c r="H112" t="s">
        <v>592</v>
      </c>
      <c r="I112" t="s">
        <v>36</v>
      </c>
      <c r="J112" t="s">
        <v>37</v>
      </c>
      <c r="K112" t="s">
        <v>37</v>
      </c>
      <c r="L112" t="s">
        <v>38</v>
      </c>
      <c r="M112" t="s">
        <v>37</v>
      </c>
      <c r="N112" t="s">
        <v>37</v>
      </c>
      <c r="O112" t="s">
        <v>38</v>
      </c>
      <c r="P112" t="s">
        <v>39</v>
      </c>
      <c r="Q112" s="55">
        <v>45968</v>
      </c>
      <c r="V112">
        <v>1</v>
      </c>
    </row>
    <row r="113" spans="1:22">
      <c r="A113" s="55">
        <v>45903</v>
      </c>
      <c r="B113" t="s">
        <v>593</v>
      </c>
      <c r="C113" t="s">
        <v>594</v>
      </c>
      <c r="D113" t="s">
        <v>63</v>
      </c>
      <c r="E113">
        <v>85024</v>
      </c>
      <c r="F113" t="s">
        <v>310</v>
      </c>
      <c r="G113" t="s">
        <v>506</v>
      </c>
      <c r="H113" t="s">
        <v>595</v>
      </c>
      <c r="I113" t="s">
        <v>36</v>
      </c>
      <c r="J113" t="s">
        <v>37</v>
      </c>
      <c r="K113" t="s">
        <v>37</v>
      </c>
      <c r="L113" t="s">
        <v>38</v>
      </c>
      <c r="M113" t="s">
        <v>37</v>
      </c>
      <c r="N113" t="s">
        <v>37</v>
      </c>
      <c r="O113" t="s">
        <v>38</v>
      </c>
      <c r="P113" t="s">
        <v>39</v>
      </c>
      <c r="Q113" s="55">
        <v>45968</v>
      </c>
      <c r="V113">
        <v>1</v>
      </c>
    </row>
    <row r="114" spans="1:22">
      <c r="A114" s="55">
        <v>45903</v>
      </c>
      <c r="B114" t="s">
        <v>596</v>
      </c>
      <c r="C114" t="s">
        <v>597</v>
      </c>
      <c r="D114" t="s">
        <v>240</v>
      </c>
      <c r="E114">
        <v>85340</v>
      </c>
      <c r="F114" t="s">
        <v>598</v>
      </c>
      <c r="G114" t="s">
        <v>506</v>
      </c>
      <c r="H114" t="s">
        <v>599</v>
      </c>
      <c r="I114" t="s">
        <v>126</v>
      </c>
      <c r="J114" t="s">
        <v>37</v>
      </c>
      <c r="K114" t="s">
        <v>37</v>
      </c>
      <c r="L114" t="s">
        <v>38</v>
      </c>
      <c r="M114" t="s">
        <v>37</v>
      </c>
      <c r="N114" t="s">
        <v>37</v>
      </c>
      <c r="O114" t="s">
        <v>38</v>
      </c>
      <c r="P114" t="s">
        <v>39</v>
      </c>
      <c r="Q114" s="55">
        <v>45968</v>
      </c>
      <c r="V114">
        <v>1</v>
      </c>
    </row>
    <row r="115" spans="1:22">
      <c r="A115" s="55">
        <v>45903</v>
      </c>
      <c r="B115" t="s">
        <v>600</v>
      </c>
      <c r="C115" t="s">
        <v>601</v>
      </c>
      <c r="D115" t="s">
        <v>63</v>
      </c>
      <c r="E115">
        <v>85022</v>
      </c>
      <c r="F115" t="s">
        <v>310</v>
      </c>
      <c r="G115" t="s">
        <v>506</v>
      </c>
      <c r="H115" t="s">
        <v>602</v>
      </c>
      <c r="I115" t="s">
        <v>196</v>
      </c>
      <c r="J115" t="s">
        <v>37</v>
      </c>
      <c r="K115" t="s">
        <v>37</v>
      </c>
      <c r="L115" t="s">
        <v>603</v>
      </c>
      <c r="M115" t="s">
        <v>37</v>
      </c>
      <c r="N115" t="s">
        <v>37</v>
      </c>
      <c r="O115" t="s">
        <v>38</v>
      </c>
      <c r="P115">
        <v>45933</v>
      </c>
      <c r="Q115" s="55">
        <v>45968</v>
      </c>
      <c r="R115" t="s">
        <v>561</v>
      </c>
      <c r="V115">
        <v>1</v>
      </c>
    </row>
    <row r="116" spans="1:22">
      <c r="A116" s="55">
        <v>45903</v>
      </c>
      <c r="B116" t="s">
        <v>604</v>
      </c>
      <c r="C116" t="s">
        <v>420</v>
      </c>
      <c r="D116" t="s">
        <v>24</v>
      </c>
      <c r="E116">
        <v>85308</v>
      </c>
      <c r="F116" t="s">
        <v>310</v>
      </c>
      <c r="G116" t="s">
        <v>506</v>
      </c>
      <c r="H116">
        <v>8043001000</v>
      </c>
      <c r="I116" t="s">
        <v>73</v>
      </c>
      <c r="J116" t="s">
        <v>37</v>
      </c>
      <c r="L116" t="s">
        <v>38</v>
      </c>
      <c r="O116" t="s">
        <v>38</v>
      </c>
      <c r="P116" t="s">
        <v>39</v>
      </c>
      <c r="Q116" s="55"/>
      <c r="V116">
        <v>1</v>
      </c>
    </row>
    <row r="117" spans="1:22">
      <c r="A117" s="55">
        <v>45903</v>
      </c>
      <c r="B117" t="s">
        <v>605</v>
      </c>
      <c r="C117" t="s">
        <v>606</v>
      </c>
      <c r="D117" t="s">
        <v>63</v>
      </c>
      <c r="E117">
        <v>85022</v>
      </c>
      <c r="F117" t="s">
        <v>607</v>
      </c>
      <c r="G117" t="s">
        <v>506</v>
      </c>
      <c r="H117" t="s">
        <v>608</v>
      </c>
      <c r="I117" t="s">
        <v>57</v>
      </c>
      <c r="J117" t="s">
        <v>37</v>
      </c>
      <c r="K117" t="s">
        <v>37</v>
      </c>
      <c r="L117" t="s">
        <v>609</v>
      </c>
      <c r="M117" t="s">
        <v>37</v>
      </c>
      <c r="N117" t="s">
        <v>37</v>
      </c>
      <c r="O117" t="s">
        <v>38</v>
      </c>
      <c r="P117">
        <v>45933</v>
      </c>
      <c r="Q117" s="55">
        <v>45968</v>
      </c>
      <c r="R117" t="s">
        <v>610</v>
      </c>
      <c r="V117">
        <v>1</v>
      </c>
    </row>
    <row r="118" spans="1:22">
      <c r="A118" s="55">
        <v>45903</v>
      </c>
      <c r="B118" t="s">
        <v>447</v>
      </c>
      <c r="C118" t="s">
        <v>611</v>
      </c>
      <c r="D118" t="s">
        <v>504</v>
      </c>
      <c r="E118">
        <v>86001</v>
      </c>
      <c r="F118" t="s">
        <v>31</v>
      </c>
      <c r="G118" t="s">
        <v>506</v>
      </c>
      <c r="H118" t="s">
        <v>612</v>
      </c>
      <c r="I118" t="s">
        <v>126</v>
      </c>
      <c r="J118" t="s">
        <v>37</v>
      </c>
      <c r="K118" t="s">
        <v>37</v>
      </c>
      <c r="L118" t="s">
        <v>613</v>
      </c>
      <c r="M118" t="s">
        <v>37</v>
      </c>
      <c r="N118" t="s">
        <v>37</v>
      </c>
      <c r="O118" t="s">
        <v>38</v>
      </c>
      <c r="P118">
        <v>45933</v>
      </c>
      <c r="Q118" s="55">
        <v>45968</v>
      </c>
      <c r="R118" t="s">
        <v>561</v>
      </c>
      <c r="V118">
        <v>1</v>
      </c>
    </row>
    <row r="119" spans="1:22">
      <c r="A119" s="55">
        <v>45903</v>
      </c>
      <c r="B119" t="s">
        <v>614</v>
      </c>
      <c r="C119" t="s">
        <v>553</v>
      </c>
      <c r="D119" t="s">
        <v>63</v>
      </c>
      <c r="E119">
        <v>85014</v>
      </c>
      <c r="F119" t="s">
        <v>615</v>
      </c>
      <c r="G119" t="s">
        <v>506</v>
      </c>
      <c r="H119" t="s">
        <v>616</v>
      </c>
      <c r="I119" t="s">
        <v>73</v>
      </c>
      <c r="J119" t="s">
        <v>37</v>
      </c>
      <c r="K119" t="s">
        <v>37</v>
      </c>
      <c r="L119" t="s">
        <v>38</v>
      </c>
      <c r="M119" t="s">
        <v>37</v>
      </c>
      <c r="N119" t="s">
        <v>37</v>
      </c>
      <c r="O119" t="s">
        <v>38</v>
      </c>
      <c r="P119" t="s">
        <v>39</v>
      </c>
      <c r="Q119" s="55">
        <v>45968</v>
      </c>
      <c r="V119">
        <v>1</v>
      </c>
    </row>
    <row r="120" spans="1:22">
      <c r="A120" s="55">
        <v>45903</v>
      </c>
      <c r="B120" t="s">
        <v>617</v>
      </c>
      <c r="C120" t="s">
        <v>618</v>
      </c>
      <c r="D120" t="s">
        <v>619</v>
      </c>
      <c r="E120">
        <v>85365</v>
      </c>
      <c r="F120" t="s">
        <v>310</v>
      </c>
      <c r="G120" t="s">
        <v>506</v>
      </c>
      <c r="H120" t="s">
        <v>620</v>
      </c>
      <c r="I120" t="s">
        <v>196</v>
      </c>
      <c r="J120" t="s">
        <v>37</v>
      </c>
      <c r="K120" t="s">
        <v>37</v>
      </c>
      <c r="L120" t="s">
        <v>621</v>
      </c>
      <c r="M120" t="s">
        <v>37</v>
      </c>
      <c r="N120" t="s">
        <v>37</v>
      </c>
      <c r="O120" t="s">
        <v>38</v>
      </c>
      <c r="P120" t="s">
        <v>39</v>
      </c>
      <c r="Q120" s="55">
        <v>45968</v>
      </c>
      <c r="R120" t="s">
        <v>622</v>
      </c>
      <c r="V120">
        <v>1</v>
      </c>
    </row>
    <row r="121" spans="1:22">
      <c r="A121" s="55">
        <v>45903</v>
      </c>
      <c r="B121" t="s">
        <v>625</v>
      </c>
      <c r="C121" t="s">
        <v>626</v>
      </c>
      <c r="D121" t="s">
        <v>63</v>
      </c>
      <c r="E121">
        <v>85085</v>
      </c>
      <c r="F121" t="s">
        <v>627</v>
      </c>
      <c r="G121" t="s">
        <v>506</v>
      </c>
      <c r="H121" t="s">
        <v>628</v>
      </c>
      <c r="I121" t="s">
        <v>36</v>
      </c>
      <c r="J121" t="s">
        <v>37</v>
      </c>
      <c r="K121" t="s">
        <v>37</v>
      </c>
      <c r="L121" t="s">
        <v>38</v>
      </c>
      <c r="M121" t="s">
        <v>37</v>
      </c>
      <c r="N121" t="s">
        <v>37</v>
      </c>
      <c r="O121" t="s">
        <v>38</v>
      </c>
      <c r="P121" t="s">
        <v>39</v>
      </c>
      <c r="Q121" s="55">
        <v>45968</v>
      </c>
      <c r="V121">
        <v>1</v>
      </c>
    </row>
    <row r="122" spans="1:22">
      <c r="A122" s="55">
        <v>45903</v>
      </c>
      <c r="B122" t="s">
        <v>629</v>
      </c>
      <c r="C122" t="s">
        <v>630</v>
      </c>
      <c r="D122" t="s">
        <v>523</v>
      </c>
      <c r="E122">
        <v>85392</v>
      </c>
      <c r="F122" t="s">
        <v>631</v>
      </c>
      <c r="G122" t="s">
        <v>506</v>
      </c>
      <c r="H122" t="s">
        <v>632</v>
      </c>
      <c r="I122" t="s">
        <v>126</v>
      </c>
      <c r="J122" t="s">
        <v>37</v>
      </c>
      <c r="K122" t="s">
        <v>37</v>
      </c>
      <c r="L122" t="s">
        <v>38</v>
      </c>
      <c r="M122" t="s">
        <v>37</v>
      </c>
      <c r="N122" t="s">
        <v>37</v>
      </c>
      <c r="O122" t="s">
        <v>38</v>
      </c>
      <c r="P122" t="s">
        <v>39</v>
      </c>
      <c r="Q122" s="55">
        <v>45968</v>
      </c>
      <c r="V122">
        <v>1</v>
      </c>
    </row>
    <row r="123" spans="1:22">
      <c r="A123" s="55">
        <v>45903</v>
      </c>
      <c r="B123" t="s">
        <v>636</v>
      </c>
      <c r="C123" t="s">
        <v>529</v>
      </c>
      <c r="D123" t="s">
        <v>504</v>
      </c>
      <c r="E123">
        <v>86001</v>
      </c>
      <c r="F123" t="s">
        <v>310</v>
      </c>
      <c r="G123" t="s">
        <v>506</v>
      </c>
      <c r="H123" t="s">
        <v>637</v>
      </c>
      <c r="I123" t="s">
        <v>73</v>
      </c>
      <c r="J123" t="s">
        <v>37</v>
      </c>
      <c r="K123" t="s">
        <v>37</v>
      </c>
      <c r="L123" t="s">
        <v>38</v>
      </c>
      <c r="M123" t="s">
        <v>37</v>
      </c>
      <c r="N123" t="s">
        <v>37</v>
      </c>
      <c r="O123" t="s">
        <v>38</v>
      </c>
      <c r="P123" t="s">
        <v>39</v>
      </c>
      <c r="Q123" s="55">
        <v>45968</v>
      </c>
      <c r="V123">
        <v>1</v>
      </c>
    </row>
    <row r="124" spans="1:22">
      <c r="A124" s="55">
        <v>45903</v>
      </c>
      <c r="B124" t="s">
        <v>638</v>
      </c>
      <c r="C124" t="s">
        <v>639</v>
      </c>
      <c r="D124" t="s">
        <v>202</v>
      </c>
      <c r="E124">
        <v>85383</v>
      </c>
      <c r="F124" t="s">
        <v>310</v>
      </c>
      <c r="G124" t="s">
        <v>506</v>
      </c>
      <c r="H124" t="s">
        <v>640</v>
      </c>
      <c r="I124" t="s">
        <v>196</v>
      </c>
      <c r="J124" t="s">
        <v>37</v>
      </c>
      <c r="K124" t="s">
        <v>37</v>
      </c>
      <c r="L124" t="s">
        <v>641</v>
      </c>
      <c r="M124" t="s">
        <v>37</v>
      </c>
      <c r="N124" t="s">
        <v>37</v>
      </c>
      <c r="O124" t="s">
        <v>38</v>
      </c>
      <c r="P124">
        <v>45933</v>
      </c>
      <c r="Q124" s="55">
        <v>45968</v>
      </c>
      <c r="R124" t="s">
        <v>561</v>
      </c>
      <c r="V124">
        <v>1</v>
      </c>
    </row>
    <row r="125" spans="1:22">
      <c r="A125" s="55">
        <v>45903</v>
      </c>
      <c r="B125" t="s">
        <v>642</v>
      </c>
      <c r="C125" t="s">
        <v>643</v>
      </c>
      <c r="D125" t="s">
        <v>125</v>
      </c>
      <c r="E125">
        <v>85255</v>
      </c>
      <c r="F125" t="s">
        <v>310</v>
      </c>
      <c r="G125" t="s">
        <v>506</v>
      </c>
      <c r="H125" t="s">
        <v>644</v>
      </c>
      <c r="I125" t="s">
        <v>36</v>
      </c>
      <c r="J125" t="s">
        <v>37</v>
      </c>
      <c r="K125" t="s">
        <v>37</v>
      </c>
      <c r="L125" t="s">
        <v>38</v>
      </c>
      <c r="M125" t="s">
        <v>37</v>
      </c>
      <c r="N125" t="s">
        <v>37</v>
      </c>
      <c r="O125" t="s">
        <v>38</v>
      </c>
      <c r="P125" t="s">
        <v>39</v>
      </c>
      <c r="Q125" s="55">
        <v>45968</v>
      </c>
      <c r="V125">
        <v>1</v>
      </c>
    </row>
    <row r="126" spans="1:22">
      <c r="A126" s="55">
        <v>45903</v>
      </c>
      <c r="B126" t="s">
        <v>647</v>
      </c>
      <c r="C126" t="s">
        <v>648</v>
      </c>
      <c r="D126" t="s">
        <v>63</v>
      </c>
      <c r="E126">
        <v>85022</v>
      </c>
      <c r="F126" t="s">
        <v>310</v>
      </c>
      <c r="G126" t="s">
        <v>506</v>
      </c>
      <c r="H126" t="s">
        <v>649</v>
      </c>
      <c r="I126" t="s">
        <v>73</v>
      </c>
      <c r="J126" t="s">
        <v>37</v>
      </c>
      <c r="K126" t="s">
        <v>37</v>
      </c>
      <c r="L126" t="s">
        <v>38</v>
      </c>
      <c r="M126" t="s">
        <v>37</v>
      </c>
      <c r="N126" t="s">
        <v>37</v>
      </c>
      <c r="O126" t="s">
        <v>38</v>
      </c>
      <c r="P126" t="s">
        <v>39</v>
      </c>
      <c r="Q126" s="55">
        <v>45968</v>
      </c>
      <c r="V126">
        <v>1</v>
      </c>
    </row>
    <row r="127" spans="1:22">
      <c r="A127" s="55">
        <v>45903</v>
      </c>
      <c r="B127" t="s">
        <v>654</v>
      </c>
      <c r="C127" t="s">
        <v>655</v>
      </c>
      <c r="D127" t="s">
        <v>30</v>
      </c>
      <c r="E127">
        <v>85254</v>
      </c>
      <c r="F127" t="s">
        <v>310</v>
      </c>
      <c r="G127" t="s">
        <v>506</v>
      </c>
      <c r="H127" t="s">
        <v>656</v>
      </c>
      <c r="I127" t="s">
        <v>126</v>
      </c>
      <c r="J127" t="s">
        <v>37</v>
      </c>
      <c r="K127" t="s">
        <v>37</v>
      </c>
      <c r="L127" t="s">
        <v>38</v>
      </c>
      <c r="M127" t="s">
        <v>38</v>
      </c>
      <c r="N127">
        <v>664.06</v>
      </c>
      <c r="O127" t="s">
        <v>38</v>
      </c>
      <c r="Q127" s="55">
        <v>45968</v>
      </c>
      <c r="V127">
        <v>1</v>
      </c>
    </row>
    <row r="128" spans="1:22">
      <c r="A128" s="55">
        <v>45903</v>
      </c>
      <c r="B128" t="s">
        <v>665</v>
      </c>
      <c r="C128" t="s">
        <v>666</v>
      </c>
      <c r="D128" t="s">
        <v>169</v>
      </c>
      <c r="E128">
        <v>85338</v>
      </c>
      <c r="F128" t="s">
        <v>667</v>
      </c>
      <c r="G128" t="s">
        <v>506</v>
      </c>
      <c r="H128" t="s">
        <v>668</v>
      </c>
      <c r="I128" t="s">
        <v>57</v>
      </c>
      <c r="J128" t="s">
        <v>38</v>
      </c>
      <c r="K128" t="s">
        <v>37</v>
      </c>
      <c r="L128" t="s">
        <v>669</v>
      </c>
      <c r="M128" t="s">
        <v>38</v>
      </c>
      <c r="N128">
        <v>3681.83</v>
      </c>
      <c r="O128" t="s">
        <v>38</v>
      </c>
      <c r="P128">
        <v>45933</v>
      </c>
      <c r="Q128" s="55">
        <v>45968</v>
      </c>
      <c r="R128" t="s">
        <v>5425</v>
      </c>
      <c r="V128">
        <v>1</v>
      </c>
    </row>
    <row r="129" spans="1:22">
      <c r="A129" s="55">
        <v>45903</v>
      </c>
      <c r="B129" t="s">
        <v>672</v>
      </c>
      <c r="C129" t="s">
        <v>673</v>
      </c>
      <c r="D129" t="s">
        <v>202</v>
      </c>
      <c r="E129">
        <v>85382</v>
      </c>
      <c r="F129" t="s">
        <v>31</v>
      </c>
      <c r="G129" t="s">
        <v>506</v>
      </c>
      <c r="H129" t="s">
        <v>674</v>
      </c>
      <c r="I129" t="s">
        <v>73</v>
      </c>
      <c r="J129" t="s">
        <v>37</v>
      </c>
      <c r="K129" t="s">
        <v>37</v>
      </c>
      <c r="L129" t="s">
        <v>38</v>
      </c>
      <c r="M129" t="s">
        <v>37</v>
      </c>
      <c r="N129" t="s">
        <v>37</v>
      </c>
      <c r="O129" t="s">
        <v>38</v>
      </c>
      <c r="P129" t="s">
        <v>39</v>
      </c>
      <c r="Q129" s="55">
        <v>45968</v>
      </c>
      <c r="V129">
        <v>1</v>
      </c>
    </row>
    <row r="130" spans="1:22">
      <c r="A130" s="55">
        <v>45903</v>
      </c>
      <c r="B130" t="s">
        <v>675</v>
      </c>
      <c r="C130" t="s">
        <v>676</v>
      </c>
      <c r="D130" t="s">
        <v>523</v>
      </c>
      <c r="E130">
        <v>85392</v>
      </c>
      <c r="F130" t="s">
        <v>677</v>
      </c>
      <c r="G130" t="s">
        <v>506</v>
      </c>
      <c r="H130" t="s">
        <v>678</v>
      </c>
      <c r="I130" t="s">
        <v>36</v>
      </c>
      <c r="J130" t="s">
        <v>37</v>
      </c>
      <c r="K130" t="s">
        <v>37</v>
      </c>
      <c r="L130" t="s">
        <v>38</v>
      </c>
      <c r="M130" t="s">
        <v>37</v>
      </c>
      <c r="N130" t="s">
        <v>37</v>
      </c>
      <c r="O130" t="s">
        <v>38</v>
      </c>
      <c r="P130" t="s">
        <v>39</v>
      </c>
      <c r="Q130" s="55">
        <v>45968</v>
      </c>
      <c r="V130">
        <v>1</v>
      </c>
    </row>
    <row r="131" spans="1:22">
      <c r="A131" s="55">
        <v>45903</v>
      </c>
      <c r="B131" t="s">
        <v>679</v>
      </c>
      <c r="C131" t="s">
        <v>680</v>
      </c>
      <c r="D131" t="s">
        <v>202</v>
      </c>
      <c r="E131">
        <v>85383</v>
      </c>
      <c r="F131" t="s">
        <v>310</v>
      </c>
      <c r="G131" t="s">
        <v>506</v>
      </c>
      <c r="H131" t="s">
        <v>681</v>
      </c>
      <c r="I131" t="s">
        <v>36</v>
      </c>
      <c r="J131" t="s">
        <v>37</v>
      </c>
      <c r="K131" t="s">
        <v>37</v>
      </c>
      <c r="L131" t="s">
        <v>38</v>
      </c>
      <c r="M131" t="s">
        <v>37</v>
      </c>
      <c r="N131" t="s">
        <v>37</v>
      </c>
      <c r="O131" t="s">
        <v>38</v>
      </c>
      <c r="P131" t="s">
        <v>39</v>
      </c>
      <c r="Q131" s="55">
        <v>45968</v>
      </c>
      <c r="V131">
        <v>1</v>
      </c>
    </row>
    <row r="132" spans="1:22">
      <c r="A132" s="55">
        <v>45903</v>
      </c>
      <c r="B132" t="s">
        <v>692</v>
      </c>
      <c r="C132" t="s">
        <v>693</v>
      </c>
      <c r="D132" t="s">
        <v>202</v>
      </c>
      <c r="E132">
        <v>85383</v>
      </c>
      <c r="F132" t="s">
        <v>310</v>
      </c>
      <c r="G132" t="s">
        <v>506</v>
      </c>
      <c r="H132" t="s">
        <v>694</v>
      </c>
      <c r="I132" t="s">
        <v>196</v>
      </c>
      <c r="J132" t="s">
        <v>37</v>
      </c>
      <c r="K132" t="s">
        <v>37</v>
      </c>
      <c r="L132" t="s">
        <v>695</v>
      </c>
      <c r="M132" t="s">
        <v>37</v>
      </c>
      <c r="N132" t="s">
        <v>37</v>
      </c>
      <c r="O132" t="s">
        <v>38</v>
      </c>
      <c r="P132">
        <v>45933</v>
      </c>
      <c r="Q132" s="55">
        <v>45968</v>
      </c>
      <c r="R132" t="s">
        <v>561</v>
      </c>
      <c r="V132">
        <v>1</v>
      </c>
    </row>
    <row r="133" spans="1:22">
      <c r="A133" s="55">
        <v>45903</v>
      </c>
      <c r="B133" t="s">
        <v>696</v>
      </c>
      <c r="C133" t="s">
        <v>697</v>
      </c>
      <c r="D133" t="s">
        <v>698</v>
      </c>
      <c r="E133">
        <v>85375</v>
      </c>
      <c r="F133" t="s">
        <v>699</v>
      </c>
      <c r="G133" t="s">
        <v>506</v>
      </c>
      <c r="H133" t="s">
        <v>700</v>
      </c>
      <c r="I133" t="s">
        <v>73</v>
      </c>
      <c r="J133" t="s">
        <v>37</v>
      </c>
      <c r="K133" t="s">
        <v>37</v>
      </c>
      <c r="L133" t="s">
        <v>38</v>
      </c>
      <c r="M133" t="s">
        <v>37</v>
      </c>
      <c r="N133" t="s">
        <v>37</v>
      </c>
      <c r="O133" t="s">
        <v>38</v>
      </c>
      <c r="P133" t="s">
        <v>39</v>
      </c>
      <c r="Q133" s="55">
        <v>45968</v>
      </c>
      <c r="V133">
        <v>1</v>
      </c>
    </row>
    <row r="134" spans="1:22">
      <c r="A134" s="55">
        <v>45903</v>
      </c>
      <c r="B134" t="s">
        <v>706</v>
      </c>
      <c r="C134" t="s">
        <v>707</v>
      </c>
      <c r="D134" t="s">
        <v>112</v>
      </c>
      <c r="E134">
        <v>85388</v>
      </c>
      <c r="F134" t="s">
        <v>708</v>
      </c>
      <c r="G134" t="s">
        <v>506</v>
      </c>
      <c r="H134" t="s">
        <v>709</v>
      </c>
      <c r="I134" t="s">
        <v>36</v>
      </c>
      <c r="J134" t="s">
        <v>37</v>
      </c>
      <c r="K134" t="s">
        <v>37</v>
      </c>
      <c r="L134" t="s">
        <v>38</v>
      </c>
      <c r="M134" t="s">
        <v>37</v>
      </c>
      <c r="N134" t="s">
        <v>37</v>
      </c>
      <c r="O134" t="s">
        <v>38</v>
      </c>
      <c r="P134" t="s">
        <v>39</v>
      </c>
      <c r="Q134" s="55">
        <v>45968</v>
      </c>
      <c r="V134">
        <v>1</v>
      </c>
    </row>
    <row r="135" spans="1:22">
      <c r="A135" s="55">
        <v>45903</v>
      </c>
      <c r="B135" t="s">
        <v>713</v>
      </c>
      <c r="C135" t="s">
        <v>714</v>
      </c>
      <c r="D135" t="s">
        <v>63</v>
      </c>
      <c r="E135">
        <v>85085</v>
      </c>
      <c r="F135" t="s">
        <v>310</v>
      </c>
      <c r="G135" t="s">
        <v>506</v>
      </c>
      <c r="H135" t="s">
        <v>715</v>
      </c>
      <c r="I135" t="s">
        <v>36</v>
      </c>
      <c r="J135" t="s">
        <v>37</v>
      </c>
      <c r="K135" t="s">
        <v>37</v>
      </c>
      <c r="L135" t="s">
        <v>38</v>
      </c>
      <c r="M135" t="s">
        <v>37</v>
      </c>
      <c r="N135" t="s">
        <v>37</v>
      </c>
      <c r="O135" t="s">
        <v>38</v>
      </c>
      <c r="P135" t="s">
        <v>39</v>
      </c>
      <c r="Q135" s="55">
        <v>45968</v>
      </c>
      <c r="V135">
        <v>1</v>
      </c>
    </row>
    <row r="136" spans="1:22">
      <c r="A136" s="55">
        <v>45903</v>
      </c>
      <c r="B136" t="s">
        <v>686</v>
      </c>
      <c r="C136" t="s">
        <v>722</v>
      </c>
      <c r="D136" t="s">
        <v>370</v>
      </c>
      <c r="E136">
        <v>85225</v>
      </c>
      <c r="F136" t="s">
        <v>310</v>
      </c>
      <c r="G136" t="s">
        <v>506</v>
      </c>
      <c r="H136" t="s">
        <v>723</v>
      </c>
      <c r="I136" t="s">
        <v>36</v>
      </c>
      <c r="J136" t="s">
        <v>37</v>
      </c>
      <c r="K136" t="s">
        <v>37</v>
      </c>
      <c r="L136" t="s">
        <v>38</v>
      </c>
      <c r="M136" t="s">
        <v>37</v>
      </c>
      <c r="N136" t="s">
        <v>37</v>
      </c>
      <c r="O136" t="s">
        <v>38</v>
      </c>
      <c r="P136" t="s">
        <v>39</v>
      </c>
      <c r="Q136" s="55">
        <v>45968</v>
      </c>
      <c r="U136" t="s">
        <v>724</v>
      </c>
      <c r="V136">
        <v>1</v>
      </c>
    </row>
    <row r="137" spans="1:22">
      <c r="A137" s="55">
        <v>45903</v>
      </c>
      <c r="B137" t="s">
        <v>725</v>
      </c>
      <c r="C137" t="s">
        <v>153</v>
      </c>
      <c r="D137" t="s">
        <v>63</v>
      </c>
      <c r="E137">
        <v>85051</v>
      </c>
      <c r="F137" t="s">
        <v>310</v>
      </c>
      <c r="G137" t="s">
        <v>506</v>
      </c>
      <c r="H137" t="s">
        <v>726</v>
      </c>
      <c r="I137" t="s">
        <v>73</v>
      </c>
      <c r="J137" t="s">
        <v>37</v>
      </c>
      <c r="K137" t="s">
        <v>37</v>
      </c>
      <c r="L137" t="s">
        <v>38</v>
      </c>
      <c r="M137" t="s">
        <v>37</v>
      </c>
      <c r="N137" t="s">
        <v>37</v>
      </c>
      <c r="O137" t="s">
        <v>38</v>
      </c>
      <c r="P137" t="s">
        <v>39</v>
      </c>
      <c r="Q137" s="55">
        <v>45968</v>
      </c>
      <c r="V137">
        <v>1</v>
      </c>
    </row>
    <row r="138" spans="1:22">
      <c r="A138" s="55">
        <v>45903</v>
      </c>
      <c r="B138" t="s">
        <v>729</v>
      </c>
      <c r="C138" t="s">
        <v>690</v>
      </c>
      <c r="D138" t="s">
        <v>112</v>
      </c>
      <c r="E138">
        <v>85388</v>
      </c>
      <c r="F138" t="s">
        <v>730</v>
      </c>
      <c r="G138" t="s">
        <v>506</v>
      </c>
      <c r="H138" t="s">
        <v>731</v>
      </c>
      <c r="I138" t="s">
        <v>46</v>
      </c>
      <c r="J138" t="s">
        <v>37</v>
      </c>
      <c r="K138" t="s">
        <v>37</v>
      </c>
      <c r="L138" t="s">
        <v>38</v>
      </c>
      <c r="M138" t="s">
        <v>37</v>
      </c>
      <c r="N138" t="s">
        <v>37</v>
      </c>
      <c r="O138" t="s">
        <v>38</v>
      </c>
      <c r="P138" t="s">
        <v>39</v>
      </c>
      <c r="Q138" s="55">
        <v>45968</v>
      </c>
      <c r="V138">
        <v>1</v>
      </c>
    </row>
    <row r="139" spans="1:22">
      <c r="A139" s="55">
        <v>45903</v>
      </c>
      <c r="B139" t="s">
        <v>732</v>
      </c>
      <c r="C139" t="s">
        <v>733</v>
      </c>
      <c r="D139" t="s">
        <v>169</v>
      </c>
      <c r="E139">
        <v>85338</v>
      </c>
      <c r="F139" t="s">
        <v>734</v>
      </c>
      <c r="G139" t="s">
        <v>506</v>
      </c>
      <c r="H139" t="s">
        <v>735</v>
      </c>
      <c r="I139" t="s">
        <v>73</v>
      </c>
      <c r="J139" t="s">
        <v>37</v>
      </c>
      <c r="K139" t="s">
        <v>37</v>
      </c>
      <c r="L139" t="s">
        <v>38</v>
      </c>
      <c r="M139" t="s">
        <v>37</v>
      </c>
      <c r="N139" t="s">
        <v>37</v>
      </c>
      <c r="O139" t="s">
        <v>38</v>
      </c>
      <c r="P139" t="s">
        <v>39</v>
      </c>
      <c r="Q139" s="55">
        <v>45968</v>
      </c>
      <c r="V139">
        <v>1</v>
      </c>
    </row>
    <row r="140" spans="1:22">
      <c r="A140" s="55">
        <v>45903</v>
      </c>
      <c r="B140" t="s">
        <v>736</v>
      </c>
      <c r="C140" t="s">
        <v>411</v>
      </c>
      <c r="D140" t="s">
        <v>737</v>
      </c>
      <c r="E140">
        <v>86326</v>
      </c>
      <c r="F140" t="s">
        <v>738</v>
      </c>
      <c r="G140" t="s">
        <v>506</v>
      </c>
      <c r="H140" t="s">
        <v>739</v>
      </c>
      <c r="I140" t="s">
        <v>541</v>
      </c>
      <c r="J140" t="s">
        <v>37</v>
      </c>
      <c r="K140" t="s">
        <v>37</v>
      </c>
      <c r="L140" t="s">
        <v>389</v>
      </c>
      <c r="M140" t="s">
        <v>37</v>
      </c>
      <c r="N140" t="s">
        <v>37</v>
      </c>
      <c r="O140" t="s">
        <v>38</v>
      </c>
      <c r="P140" t="s">
        <v>39</v>
      </c>
      <c r="Q140" s="55">
        <v>45968</v>
      </c>
      <c r="V140">
        <v>1</v>
      </c>
    </row>
    <row r="141" spans="1:22">
      <c r="A141" s="55">
        <v>45903</v>
      </c>
      <c r="B141" t="s">
        <v>740</v>
      </c>
      <c r="C141" t="s">
        <v>597</v>
      </c>
      <c r="D141" t="s">
        <v>169</v>
      </c>
      <c r="E141">
        <v>85338</v>
      </c>
      <c r="F141" t="s">
        <v>741</v>
      </c>
      <c r="G141" t="s">
        <v>506</v>
      </c>
      <c r="H141" t="s">
        <v>742</v>
      </c>
      <c r="I141" t="s">
        <v>541</v>
      </c>
      <c r="J141" t="s">
        <v>37</v>
      </c>
      <c r="K141" t="s">
        <v>37</v>
      </c>
      <c r="L141" t="s">
        <v>389</v>
      </c>
      <c r="M141" t="s">
        <v>37</v>
      </c>
      <c r="N141" t="s">
        <v>37</v>
      </c>
      <c r="O141" t="s">
        <v>38</v>
      </c>
      <c r="P141" t="s">
        <v>39</v>
      </c>
      <c r="Q141" s="55">
        <v>45968</v>
      </c>
      <c r="V141">
        <v>1</v>
      </c>
    </row>
    <row r="142" spans="1:22">
      <c r="A142" s="55">
        <v>45903</v>
      </c>
      <c r="B142" t="s">
        <v>743</v>
      </c>
      <c r="C142" t="s">
        <v>744</v>
      </c>
      <c r="D142" t="s">
        <v>63</v>
      </c>
      <c r="E142">
        <v>85023</v>
      </c>
      <c r="F142" t="s">
        <v>310</v>
      </c>
      <c r="G142" t="s">
        <v>506</v>
      </c>
      <c r="H142" t="s">
        <v>745</v>
      </c>
      <c r="I142" t="s">
        <v>36</v>
      </c>
      <c r="J142" t="s">
        <v>37</v>
      </c>
      <c r="K142" t="s">
        <v>37</v>
      </c>
      <c r="L142" t="s">
        <v>38</v>
      </c>
      <c r="M142" t="s">
        <v>37</v>
      </c>
      <c r="N142" t="s">
        <v>37</v>
      </c>
      <c r="O142" t="s">
        <v>38</v>
      </c>
      <c r="P142" t="s">
        <v>39</v>
      </c>
      <c r="Q142" s="55">
        <v>45968</v>
      </c>
      <c r="V142">
        <v>1</v>
      </c>
    </row>
    <row r="143" spans="1:22">
      <c r="A143" s="55">
        <v>45903</v>
      </c>
      <c r="B143" t="s">
        <v>746</v>
      </c>
      <c r="C143" t="s">
        <v>747</v>
      </c>
      <c r="D143" t="s">
        <v>202</v>
      </c>
      <c r="E143">
        <v>85383</v>
      </c>
      <c r="F143" t="s">
        <v>748</v>
      </c>
      <c r="G143" t="s">
        <v>506</v>
      </c>
      <c r="H143" t="s">
        <v>749</v>
      </c>
      <c r="I143" t="s">
        <v>126</v>
      </c>
      <c r="J143" t="s">
        <v>37</v>
      </c>
      <c r="K143" t="s">
        <v>37</v>
      </c>
      <c r="L143" t="s">
        <v>38</v>
      </c>
      <c r="M143" t="s">
        <v>37</v>
      </c>
      <c r="N143" t="s">
        <v>37</v>
      </c>
      <c r="O143" t="s">
        <v>38</v>
      </c>
      <c r="P143" t="s">
        <v>39</v>
      </c>
      <c r="Q143" s="55">
        <v>45968</v>
      </c>
      <c r="V143">
        <v>1</v>
      </c>
    </row>
    <row r="144" spans="1:22">
      <c r="A144" s="55">
        <v>45903</v>
      </c>
      <c r="B144" t="s">
        <v>752</v>
      </c>
      <c r="C144" t="s">
        <v>411</v>
      </c>
      <c r="D144" t="s">
        <v>63</v>
      </c>
      <c r="E144">
        <v>85085</v>
      </c>
      <c r="F144" t="s">
        <v>310</v>
      </c>
      <c r="G144" t="s">
        <v>506</v>
      </c>
      <c r="H144" t="s">
        <v>753</v>
      </c>
      <c r="I144" t="s">
        <v>73</v>
      </c>
      <c r="J144" t="s">
        <v>37</v>
      </c>
      <c r="K144" t="s">
        <v>37</v>
      </c>
      <c r="L144" t="s">
        <v>38</v>
      </c>
      <c r="M144" t="s">
        <v>37</v>
      </c>
      <c r="N144" t="s">
        <v>37</v>
      </c>
      <c r="O144" t="s">
        <v>38</v>
      </c>
      <c r="P144" t="s">
        <v>39</v>
      </c>
      <c r="Q144" s="55">
        <v>45968</v>
      </c>
      <c r="V144">
        <v>1</v>
      </c>
    </row>
    <row r="145" spans="1:22">
      <c r="A145" s="55">
        <v>45903</v>
      </c>
      <c r="B145" t="s">
        <v>756</v>
      </c>
      <c r="C145" t="s">
        <v>757</v>
      </c>
      <c r="D145" t="s">
        <v>24</v>
      </c>
      <c r="E145">
        <v>85310</v>
      </c>
      <c r="F145" t="s">
        <v>758</v>
      </c>
      <c r="G145" t="s">
        <v>506</v>
      </c>
      <c r="H145" t="s">
        <v>759</v>
      </c>
      <c r="I145" t="s">
        <v>36</v>
      </c>
      <c r="J145" t="s">
        <v>37</v>
      </c>
      <c r="K145" t="s">
        <v>37</v>
      </c>
      <c r="L145" t="s">
        <v>38</v>
      </c>
      <c r="M145" t="s">
        <v>37</v>
      </c>
      <c r="N145" t="s">
        <v>37</v>
      </c>
      <c r="O145" t="s">
        <v>38</v>
      </c>
      <c r="P145" t="s">
        <v>39</v>
      </c>
      <c r="Q145" s="55">
        <v>45968</v>
      </c>
      <c r="V145">
        <v>1</v>
      </c>
    </row>
    <row r="146" spans="1:22">
      <c r="A146" s="55">
        <v>45903</v>
      </c>
      <c r="B146" t="s">
        <v>762</v>
      </c>
      <c r="C146" t="s">
        <v>763</v>
      </c>
      <c r="D146" t="s">
        <v>63</v>
      </c>
      <c r="E146">
        <v>85006</v>
      </c>
      <c r="F146" t="s">
        <v>310</v>
      </c>
      <c r="G146" t="s">
        <v>506</v>
      </c>
      <c r="H146" t="s">
        <v>764</v>
      </c>
      <c r="I146" t="s">
        <v>196</v>
      </c>
      <c r="J146" t="s">
        <v>37</v>
      </c>
      <c r="K146" t="s">
        <v>37</v>
      </c>
      <c r="L146" t="s">
        <v>765</v>
      </c>
      <c r="M146" t="s">
        <v>37</v>
      </c>
      <c r="N146" t="s">
        <v>37</v>
      </c>
      <c r="O146" t="s">
        <v>38</v>
      </c>
      <c r="P146">
        <v>45933</v>
      </c>
      <c r="Q146" s="55">
        <v>45968</v>
      </c>
      <c r="R146" t="s">
        <v>766</v>
      </c>
      <c r="V146">
        <v>1</v>
      </c>
    </row>
    <row r="147" spans="1:22">
      <c r="A147" s="55">
        <v>45903</v>
      </c>
      <c r="B147" t="s">
        <v>767</v>
      </c>
      <c r="C147" t="s">
        <v>768</v>
      </c>
      <c r="D147" t="s">
        <v>125</v>
      </c>
      <c r="E147">
        <v>85254</v>
      </c>
      <c r="F147" t="s">
        <v>310</v>
      </c>
      <c r="G147" t="s">
        <v>506</v>
      </c>
      <c r="H147" t="s">
        <v>769</v>
      </c>
      <c r="I147" t="s">
        <v>196</v>
      </c>
      <c r="J147" t="s">
        <v>37</v>
      </c>
      <c r="K147" t="s">
        <v>37</v>
      </c>
      <c r="L147" t="s">
        <v>38</v>
      </c>
      <c r="M147" t="s">
        <v>37</v>
      </c>
      <c r="N147" t="s">
        <v>37</v>
      </c>
      <c r="O147" t="s">
        <v>38</v>
      </c>
      <c r="P147" t="s">
        <v>39</v>
      </c>
      <c r="Q147" s="55">
        <v>45968</v>
      </c>
      <c r="V147">
        <v>1</v>
      </c>
    </row>
    <row r="148" spans="1:22">
      <c r="A148" s="55">
        <v>45903</v>
      </c>
      <c r="B148" t="s">
        <v>770</v>
      </c>
      <c r="C148" t="s">
        <v>771</v>
      </c>
      <c r="D148" t="s">
        <v>202</v>
      </c>
      <c r="E148">
        <v>85383</v>
      </c>
      <c r="F148" t="s">
        <v>772</v>
      </c>
      <c r="G148" t="s">
        <v>506</v>
      </c>
      <c r="H148" t="s">
        <v>773</v>
      </c>
      <c r="I148" t="s">
        <v>196</v>
      </c>
      <c r="J148" t="s">
        <v>38</v>
      </c>
      <c r="K148" t="s">
        <v>37</v>
      </c>
      <c r="L148" t="s">
        <v>38</v>
      </c>
      <c r="M148" t="s">
        <v>37</v>
      </c>
      <c r="N148" t="s">
        <v>37</v>
      </c>
      <c r="O148" t="s">
        <v>38</v>
      </c>
      <c r="P148" t="s">
        <v>39</v>
      </c>
      <c r="Q148" s="55">
        <v>45968</v>
      </c>
      <c r="V148">
        <v>1</v>
      </c>
    </row>
    <row r="149" spans="1:22">
      <c r="A149" s="55">
        <v>45903</v>
      </c>
      <c r="B149" t="s">
        <v>774</v>
      </c>
      <c r="C149" t="s">
        <v>320</v>
      </c>
      <c r="D149" t="s">
        <v>428</v>
      </c>
      <c r="E149">
        <v>85335</v>
      </c>
      <c r="F149" t="s">
        <v>310</v>
      </c>
      <c r="G149" t="s">
        <v>506</v>
      </c>
      <c r="H149" t="s">
        <v>775</v>
      </c>
      <c r="I149" t="s">
        <v>36</v>
      </c>
      <c r="J149" t="s">
        <v>37</v>
      </c>
      <c r="K149" t="s">
        <v>37</v>
      </c>
      <c r="L149" t="s">
        <v>38</v>
      </c>
      <c r="M149" t="s">
        <v>37</v>
      </c>
      <c r="N149" t="s">
        <v>37</v>
      </c>
      <c r="O149" t="s">
        <v>38</v>
      </c>
      <c r="P149" t="s">
        <v>39</v>
      </c>
      <c r="Q149" s="55">
        <v>45968</v>
      </c>
      <c r="V149">
        <v>1</v>
      </c>
    </row>
    <row r="150" spans="1:22">
      <c r="A150" s="55">
        <v>45903</v>
      </c>
      <c r="B150" t="s">
        <v>776</v>
      </c>
      <c r="C150" t="s">
        <v>777</v>
      </c>
      <c r="D150" t="s">
        <v>174</v>
      </c>
      <c r="E150">
        <v>85326</v>
      </c>
      <c r="F150" t="s">
        <v>310</v>
      </c>
      <c r="G150" t="s">
        <v>506</v>
      </c>
      <c r="H150" t="s">
        <v>778</v>
      </c>
      <c r="I150" t="s">
        <v>36</v>
      </c>
      <c r="J150" t="s">
        <v>37</v>
      </c>
      <c r="K150" t="s">
        <v>37</v>
      </c>
      <c r="L150" t="s">
        <v>38</v>
      </c>
      <c r="M150" t="s">
        <v>37</v>
      </c>
      <c r="N150" t="s">
        <v>37</v>
      </c>
      <c r="O150" t="s">
        <v>38</v>
      </c>
      <c r="P150" t="s">
        <v>39</v>
      </c>
      <c r="Q150" s="55">
        <v>45968</v>
      </c>
      <c r="V150">
        <v>1</v>
      </c>
    </row>
    <row r="151" spans="1:22">
      <c r="A151" s="55">
        <v>45903</v>
      </c>
      <c r="B151" t="s">
        <v>786</v>
      </c>
      <c r="C151" t="s">
        <v>787</v>
      </c>
      <c r="D151" t="s">
        <v>313</v>
      </c>
      <c r="E151">
        <v>85383</v>
      </c>
      <c r="F151" t="s">
        <v>310</v>
      </c>
      <c r="G151" t="s">
        <v>506</v>
      </c>
      <c r="H151" t="s">
        <v>788</v>
      </c>
      <c r="I151" t="s">
        <v>36</v>
      </c>
      <c r="J151" t="s">
        <v>37</v>
      </c>
      <c r="K151" t="s">
        <v>37</v>
      </c>
      <c r="L151" t="s">
        <v>38</v>
      </c>
      <c r="M151" t="s">
        <v>37</v>
      </c>
      <c r="N151" t="s">
        <v>37</v>
      </c>
      <c r="O151" t="s">
        <v>38</v>
      </c>
      <c r="P151" t="s">
        <v>39</v>
      </c>
      <c r="Q151" s="55">
        <v>45968</v>
      </c>
      <c r="V151">
        <v>1</v>
      </c>
    </row>
    <row r="152" spans="1:22">
      <c r="A152" s="55">
        <v>45903</v>
      </c>
      <c r="B152" t="s">
        <v>792</v>
      </c>
      <c r="C152" t="s">
        <v>793</v>
      </c>
      <c r="D152" t="s">
        <v>63</v>
      </c>
      <c r="E152">
        <v>85028</v>
      </c>
      <c r="F152" t="s">
        <v>310</v>
      </c>
      <c r="G152" t="s">
        <v>506</v>
      </c>
      <c r="H152" t="s">
        <v>794</v>
      </c>
      <c r="I152" t="s">
        <v>36</v>
      </c>
      <c r="J152" t="s">
        <v>37</v>
      </c>
      <c r="K152" t="s">
        <v>37</v>
      </c>
      <c r="L152" t="s">
        <v>38</v>
      </c>
      <c r="M152" t="s">
        <v>37</v>
      </c>
      <c r="N152" t="s">
        <v>37</v>
      </c>
      <c r="O152" t="s">
        <v>38</v>
      </c>
      <c r="P152" t="s">
        <v>39</v>
      </c>
      <c r="Q152" s="55">
        <v>45968</v>
      </c>
      <c r="V152">
        <v>1</v>
      </c>
    </row>
    <row r="153" spans="1:22">
      <c r="A153" s="55">
        <v>45903</v>
      </c>
      <c r="B153" t="s">
        <v>797</v>
      </c>
      <c r="C153" t="s">
        <v>363</v>
      </c>
      <c r="D153" t="s">
        <v>125</v>
      </c>
      <c r="E153">
        <v>85258</v>
      </c>
      <c r="F153" t="s">
        <v>798</v>
      </c>
      <c r="G153" t="s">
        <v>506</v>
      </c>
      <c r="H153" t="s">
        <v>799</v>
      </c>
      <c r="I153" t="s">
        <v>36</v>
      </c>
      <c r="J153" t="s">
        <v>37</v>
      </c>
      <c r="K153" t="s">
        <v>37</v>
      </c>
      <c r="L153" t="s">
        <v>38</v>
      </c>
      <c r="M153" t="s">
        <v>37</v>
      </c>
      <c r="N153" t="s">
        <v>37</v>
      </c>
      <c r="O153" t="s">
        <v>38</v>
      </c>
      <c r="P153" t="s">
        <v>39</v>
      </c>
      <c r="Q153" s="55">
        <v>45968</v>
      </c>
      <c r="V153">
        <v>1</v>
      </c>
    </row>
    <row r="154" spans="1:22">
      <c r="A154" s="55">
        <v>45903</v>
      </c>
      <c r="B154" t="s">
        <v>800</v>
      </c>
      <c r="C154" t="s">
        <v>801</v>
      </c>
      <c r="D154" t="s">
        <v>63</v>
      </c>
      <c r="E154">
        <v>85028</v>
      </c>
      <c r="F154" t="s">
        <v>310</v>
      </c>
      <c r="G154" t="s">
        <v>506</v>
      </c>
      <c r="H154" t="s">
        <v>802</v>
      </c>
      <c r="I154" t="s">
        <v>73</v>
      </c>
      <c r="J154" t="s">
        <v>37</v>
      </c>
      <c r="K154" t="s">
        <v>37</v>
      </c>
      <c r="L154" t="s">
        <v>38</v>
      </c>
      <c r="M154" t="s">
        <v>37</v>
      </c>
      <c r="N154" t="s">
        <v>37</v>
      </c>
      <c r="O154" t="s">
        <v>38</v>
      </c>
      <c r="P154" t="s">
        <v>39</v>
      </c>
      <c r="Q154" s="55">
        <v>45968</v>
      </c>
      <c r="V154">
        <v>1</v>
      </c>
    </row>
    <row r="155" spans="1:22">
      <c r="A155" s="55">
        <v>45903</v>
      </c>
      <c r="B155" t="s">
        <v>803</v>
      </c>
      <c r="C155" t="s">
        <v>804</v>
      </c>
      <c r="D155" t="s">
        <v>63</v>
      </c>
      <c r="E155">
        <v>85085</v>
      </c>
      <c r="F155" t="s">
        <v>805</v>
      </c>
      <c r="G155" t="s">
        <v>506</v>
      </c>
      <c r="H155" t="s">
        <v>806</v>
      </c>
      <c r="I155" t="s">
        <v>196</v>
      </c>
      <c r="J155" t="s">
        <v>37</v>
      </c>
      <c r="K155" t="s">
        <v>37</v>
      </c>
      <c r="L155" t="s">
        <v>38</v>
      </c>
      <c r="M155" t="s">
        <v>37</v>
      </c>
      <c r="N155" t="s">
        <v>37</v>
      </c>
      <c r="O155" t="s">
        <v>38</v>
      </c>
      <c r="P155" t="s">
        <v>39</v>
      </c>
      <c r="Q155" s="55">
        <v>45968</v>
      </c>
      <c r="V155">
        <v>1</v>
      </c>
    </row>
    <row r="156" spans="1:22">
      <c r="A156" s="55">
        <v>45903</v>
      </c>
      <c r="B156" t="s">
        <v>810</v>
      </c>
      <c r="C156" t="s">
        <v>811</v>
      </c>
      <c r="D156" t="s">
        <v>169</v>
      </c>
      <c r="E156">
        <v>85338</v>
      </c>
      <c r="F156" t="s">
        <v>812</v>
      </c>
      <c r="G156" t="s">
        <v>506</v>
      </c>
      <c r="H156" t="s">
        <v>813</v>
      </c>
      <c r="I156" t="s">
        <v>541</v>
      </c>
      <c r="J156" t="s">
        <v>37</v>
      </c>
      <c r="K156" t="s">
        <v>37</v>
      </c>
      <c r="L156" t="s">
        <v>389</v>
      </c>
      <c r="M156" t="s">
        <v>37</v>
      </c>
      <c r="N156" t="s">
        <v>37</v>
      </c>
      <c r="O156" t="s">
        <v>38</v>
      </c>
      <c r="P156" t="s">
        <v>39</v>
      </c>
      <c r="Q156" s="55">
        <v>45968</v>
      </c>
      <c r="V156">
        <v>1</v>
      </c>
    </row>
    <row r="157" spans="1:22">
      <c r="A157" s="55">
        <v>45903</v>
      </c>
      <c r="B157" t="s">
        <v>814</v>
      </c>
      <c r="C157" t="s">
        <v>815</v>
      </c>
      <c r="D157" t="s">
        <v>816</v>
      </c>
      <c r="E157">
        <v>86303</v>
      </c>
      <c r="F157" t="s">
        <v>310</v>
      </c>
      <c r="G157" t="s">
        <v>506</v>
      </c>
      <c r="H157" t="s">
        <v>817</v>
      </c>
      <c r="I157" t="s">
        <v>73</v>
      </c>
      <c r="J157" t="s">
        <v>37</v>
      </c>
      <c r="K157" t="s">
        <v>37</v>
      </c>
      <c r="L157" t="s">
        <v>38</v>
      </c>
      <c r="M157" t="s">
        <v>37</v>
      </c>
      <c r="N157" t="s">
        <v>37</v>
      </c>
      <c r="O157" t="s">
        <v>38</v>
      </c>
      <c r="P157" t="s">
        <v>39</v>
      </c>
      <c r="Q157" s="55">
        <v>45968</v>
      </c>
      <c r="V157">
        <v>1</v>
      </c>
    </row>
    <row r="158" spans="1:22">
      <c r="A158" s="55">
        <v>45903</v>
      </c>
      <c r="B158" t="s">
        <v>818</v>
      </c>
      <c r="C158" t="s">
        <v>199</v>
      </c>
      <c r="D158" t="s">
        <v>63</v>
      </c>
      <c r="E158">
        <v>85028</v>
      </c>
      <c r="F158" t="s">
        <v>310</v>
      </c>
      <c r="G158" t="s">
        <v>506</v>
      </c>
      <c r="H158" t="s">
        <v>819</v>
      </c>
      <c r="I158" t="s">
        <v>36</v>
      </c>
      <c r="J158" t="s">
        <v>37</v>
      </c>
      <c r="K158" t="s">
        <v>37</v>
      </c>
      <c r="L158" t="s">
        <v>38</v>
      </c>
      <c r="M158" t="s">
        <v>37</v>
      </c>
      <c r="N158" t="s">
        <v>37</v>
      </c>
      <c r="O158" t="s">
        <v>38</v>
      </c>
      <c r="P158" t="s">
        <v>39</v>
      </c>
      <c r="Q158" s="55">
        <v>45968</v>
      </c>
      <c r="V158">
        <v>1</v>
      </c>
    </row>
    <row r="159" spans="1:22">
      <c r="A159" s="55">
        <v>45903</v>
      </c>
      <c r="B159" t="s">
        <v>820</v>
      </c>
      <c r="C159" t="s">
        <v>821</v>
      </c>
      <c r="D159" t="s">
        <v>169</v>
      </c>
      <c r="E159">
        <v>85338</v>
      </c>
      <c r="F159" t="s">
        <v>822</v>
      </c>
      <c r="G159" t="s">
        <v>506</v>
      </c>
      <c r="H159" t="s">
        <v>823</v>
      </c>
      <c r="I159" t="s">
        <v>36</v>
      </c>
      <c r="J159" t="s">
        <v>37</v>
      </c>
      <c r="K159" t="s">
        <v>37</v>
      </c>
      <c r="L159" t="s">
        <v>38</v>
      </c>
      <c r="M159" t="s">
        <v>37</v>
      </c>
      <c r="N159" t="s">
        <v>37</v>
      </c>
      <c r="O159" t="s">
        <v>38</v>
      </c>
      <c r="P159" t="s">
        <v>39</v>
      </c>
      <c r="Q159" s="55">
        <v>45968</v>
      </c>
      <c r="V159">
        <v>1</v>
      </c>
    </row>
    <row r="160" spans="1:22">
      <c r="A160" s="55">
        <v>45903</v>
      </c>
      <c r="B160" t="s">
        <v>824</v>
      </c>
      <c r="C160" t="s">
        <v>825</v>
      </c>
      <c r="D160" t="s">
        <v>63</v>
      </c>
      <c r="E160">
        <v>85013</v>
      </c>
      <c r="F160" t="s">
        <v>310</v>
      </c>
      <c r="G160" t="s">
        <v>506</v>
      </c>
      <c r="H160" t="s">
        <v>826</v>
      </c>
      <c r="I160" t="s">
        <v>73</v>
      </c>
      <c r="J160" t="s">
        <v>37</v>
      </c>
      <c r="K160" t="s">
        <v>37</v>
      </c>
      <c r="L160" t="s">
        <v>38</v>
      </c>
      <c r="M160" t="s">
        <v>37</v>
      </c>
      <c r="N160" t="s">
        <v>37</v>
      </c>
      <c r="O160" t="s">
        <v>38</v>
      </c>
      <c r="P160" t="s">
        <v>39</v>
      </c>
      <c r="Q160" s="55">
        <v>45968</v>
      </c>
      <c r="V160">
        <v>1</v>
      </c>
    </row>
    <row r="161" spans="1:22">
      <c r="A161" s="55">
        <v>45903</v>
      </c>
      <c r="B161" t="s">
        <v>827</v>
      </c>
      <c r="C161" t="s">
        <v>256</v>
      </c>
      <c r="D161" t="s">
        <v>63</v>
      </c>
      <c r="E161">
        <v>85083</v>
      </c>
      <c r="F161" t="s">
        <v>310</v>
      </c>
      <c r="G161" t="s">
        <v>506</v>
      </c>
      <c r="H161" t="s">
        <v>828</v>
      </c>
      <c r="I161" t="s">
        <v>36</v>
      </c>
      <c r="J161" t="s">
        <v>37</v>
      </c>
      <c r="K161" t="s">
        <v>37</v>
      </c>
      <c r="L161" t="s">
        <v>829</v>
      </c>
      <c r="M161" t="s">
        <v>37</v>
      </c>
      <c r="N161" t="s">
        <v>37</v>
      </c>
      <c r="O161" t="s">
        <v>38</v>
      </c>
      <c r="P161" t="s">
        <v>39</v>
      </c>
      <c r="Q161" s="55">
        <v>45968</v>
      </c>
      <c r="V161">
        <v>1</v>
      </c>
    </row>
    <row r="162" spans="1:22">
      <c r="A162" s="55">
        <v>45903</v>
      </c>
      <c r="B162" t="s">
        <v>832</v>
      </c>
      <c r="C162" t="s">
        <v>601</v>
      </c>
      <c r="D162" t="s">
        <v>63</v>
      </c>
      <c r="E162">
        <v>85013</v>
      </c>
      <c r="F162" t="s">
        <v>310</v>
      </c>
      <c r="G162" t="s">
        <v>506</v>
      </c>
      <c r="H162" t="s">
        <v>833</v>
      </c>
      <c r="I162" t="s">
        <v>73</v>
      </c>
      <c r="J162" t="s">
        <v>37</v>
      </c>
      <c r="K162" t="s">
        <v>37</v>
      </c>
      <c r="L162" t="s">
        <v>38</v>
      </c>
      <c r="M162" t="s">
        <v>37</v>
      </c>
      <c r="N162" t="s">
        <v>37</v>
      </c>
      <c r="O162" t="s">
        <v>38</v>
      </c>
      <c r="P162" t="s">
        <v>39</v>
      </c>
      <c r="Q162" s="55">
        <v>45968</v>
      </c>
      <c r="V162">
        <v>1</v>
      </c>
    </row>
    <row r="163" spans="1:22">
      <c r="A163" s="55">
        <v>45903</v>
      </c>
      <c r="B163" t="s">
        <v>834</v>
      </c>
      <c r="C163" t="s">
        <v>835</v>
      </c>
      <c r="D163" t="s">
        <v>63</v>
      </c>
      <c r="E163">
        <v>85024</v>
      </c>
      <c r="F163" t="s">
        <v>310</v>
      </c>
      <c r="G163" t="s">
        <v>506</v>
      </c>
      <c r="H163" t="s">
        <v>836</v>
      </c>
      <c r="I163" t="s">
        <v>418</v>
      </c>
      <c r="J163" t="s">
        <v>37</v>
      </c>
      <c r="K163" t="s">
        <v>37</v>
      </c>
      <c r="L163" t="s">
        <v>389</v>
      </c>
      <c r="M163" t="s">
        <v>37</v>
      </c>
      <c r="N163" t="s">
        <v>37</v>
      </c>
      <c r="O163" t="s">
        <v>38</v>
      </c>
      <c r="P163" t="s">
        <v>39</v>
      </c>
      <c r="Q163" s="55">
        <v>45968</v>
      </c>
      <c r="V163">
        <v>1</v>
      </c>
    </row>
    <row r="164" spans="1:22">
      <c r="A164" s="55">
        <v>45903</v>
      </c>
      <c r="B164" t="s">
        <v>837</v>
      </c>
      <c r="C164" t="s">
        <v>838</v>
      </c>
      <c r="D164" t="s">
        <v>24</v>
      </c>
      <c r="E164">
        <v>85308</v>
      </c>
      <c r="F164" t="s">
        <v>310</v>
      </c>
      <c r="G164" t="s">
        <v>506</v>
      </c>
      <c r="H164" t="s">
        <v>839</v>
      </c>
      <c r="I164" t="s">
        <v>196</v>
      </c>
      <c r="J164" t="s">
        <v>37</v>
      </c>
      <c r="K164" t="s">
        <v>37</v>
      </c>
      <c r="L164" t="s">
        <v>840</v>
      </c>
      <c r="M164" t="s">
        <v>37</v>
      </c>
      <c r="N164" t="s">
        <v>37</v>
      </c>
      <c r="O164" t="s">
        <v>38</v>
      </c>
      <c r="P164">
        <v>45933</v>
      </c>
      <c r="Q164" s="55">
        <v>45968</v>
      </c>
      <c r="R164" t="s">
        <v>561</v>
      </c>
      <c r="V164">
        <v>1</v>
      </c>
    </row>
    <row r="165" spans="1:22">
      <c r="A165" s="55">
        <v>45903</v>
      </c>
      <c r="B165" t="s">
        <v>841</v>
      </c>
      <c r="C165" t="s">
        <v>842</v>
      </c>
      <c r="D165" t="s">
        <v>63</v>
      </c>
      <c r="E165">
        <v>85050</v>
      </c>
      <c r="F165" t="s">
        <v>31</v>
      </c>
      <c r="G165" t="s">
        <v>506</v>
      </c>
      <c r="H165" t="s">
        <v>843</v>
      </c>
      <c r="I165" t="s">
        <v>73</v>
      </c>
      <c r="J165" t="s">
        <v>37</v>
      </c>
      <c r="K165" t="s">
        <v>37</v>
      </c>
      <c r="L165" t="s">
        <v>38</v>
      </c>
      <c r="M165" t="s">
        <v>37</v>
      </c>
      <c r="N165" t="s">
        <v>37</v>
      </c>
      <c r="O165" t="s">
        <v>38</v>
      </c>
      <c r="P165" t="s">
        <v>39</v>
      </c>
      <c r="Q165" s="55">
        <v>45968</v>
      </c>
      <c r="V165">
        <v>1</v>
      </c>
    </row>
    <row r="166" spans="1:22">
      <c r="A166" s="55">
        <v>45903</v>
      </c>
      <c r="B166" t="s">
        <v>650</v>
      </c>
      <c r="C166" t="s">
        <v>844</v>
      </c>
      <c r="D166" t="s">
        <v>63</v>
      </c>
      <c r="E166">
        <v>85029</v>
      </c>
      <c r="F166" t="s">
        <v>31</v>
      </c>
      <c r="G166" t="s">
        <v>506</v>
      </c>
      <c r="H166" t="s">
        <v>845</v>
      </c>
      <c r="I166" t="s">
        <v>36</v>
      </c>
      <c r="J166" t="s">
        <v>37</v>
      </c>
      <c r="K166" t="s">
        <v>37</v>
      </c>
      <c r="L166" t="s">
        <v>38</v>
      </c>
      <c r="M166" t="s">
        <v>37</v>
      </c>
      <c r="N166" t="s">
        <v>37</v>
      </c>
      <c r="O166" t="s">
        <v>38</v>
      </c>
      <c r="P166" t="s">
        <v>39</v>
      </c>
      <c r="Q166" s="55">
        <v>45968</v>
      </c>
      <c r="V166">
        <v>1</v>
      </c>
    </row>
    <row r="167" spans="1:22">
      <c r="A167" s="55">
        <v>45903</v>
      </c>
      <c r="B167" t="s">
        <v>846</v>
      </c>
      <c r="C167" t="s">
        <v>847</v>
      </c>
      <c r="D167" t="s">
        <v>63</v>
      </c>
      <c r="E167">
        <v>85028</v>
      </c>
      <c r="F167" t="s">
        <v>31</v>
      </c>
      <c r="G167" t="s">
        <v>506</v>
      </c>
      <c r="H167" t="s">
        <v>848</v>
      </c>
      <c r="I167" t="s">
        <v>36</v>
      </c>
      <c r="J167" t="s">
        <v>38</v>
      </c>
      <c r="K167" t="s">
        <v>37</v>
      </c>
      <c r="L167" t="s">
        <v>38</v>
      </c>
      <c r="M167" t="s">
        <v>37</v>
      </c>
      <c r="N167" t="s">
        <v>37</v>
      </c>
      <c r="O167" t="s">
        <v>38</v>
      </c>
      <c r="P167" t="s">
        <v>39</v>
      </c>
      <c r="Q167" s="55">
        <v>45968</v>
      </c>
      <c r="V167">
        <v>1</v>
      </c>
    </row>
    <row r="168" spans="1:22">
      <c r="A168" s="55">
        <v>45903</v>
      </c>
      <c r="B168" t="s">
        <v>851</v>
      </c>
      <c r="C168" t="s">
        <v>852</v>
      </c>
      <c r="D168" t="s">
        <v>635</v>
      </c>
      <c r="E168">
        <v>85281</v>
      </c>
      <c r="F168" t="s">
        <v>853</v>
      </c>
      <c r="G168" t="s">
        <v>506</v>
      </c>
      <c r="H168" t="s">
        <v>854</v>
      </c>
      <c r="I168" t="s">
        <v>541</v>
      </c>
      <c r="J168" t="s">
        <v>37</v>
      </c>
      <c r="K168" t="s">
        <v>37</v>
      </c>
      <c r="L168" t="s">
        <v>389</v>
      </c>
      <c r="M168" t="s">
        <v>37</v>
      </c>
      <c r="N168" t="s">
        <v>37</v>
      </c>
      <c r="O168" t="s">
        <v>38</v>
      </c>
      <c r="P168" t="s">
        <v>39</v>
      </c>
      <c r="Q168" s="55">
        <v>45968</v>
      </c>
      <c r="V168">
        <v>1</v>
      </c>
    </row>
    <row r="169" spans="1:22">
      <c r="A169" s="55">
        <v>45903</v>
      </c>
      <c r="B169" t="s">
        <v>855</v>
      </c>
      <c r="C169" t="s">
        <v>135</v>
      </c>
      <c r="D169" t="s">
        <v>169</v>
      </c>
      <c r="E169">
        <v>85338</v>
      </c>
      <c r="F169" t="s">
        <v>856</v>
      </c>
      <c r="G169" t="s">
        <v>506</v>
      </c>
      <c r="H169" t="s">
        <v>857</v>
      </c>
      <c r="I169" t="s">
        <v>196</v>
      </c>
      <c r="J169" t="s">
        <v>37</v>
      </c>
      <c r="K169" t="s">
        <v>37</v>
      </c>
      <c r="L169" t="s">
        <v>858</v>
      </c>
      <c r="M169" t="s">
        <v>37</v>
      </c>
      <c r="N169" t="s">
        <v>37</v>
      </c>
      <c r="O169" t="s">
        <v>38</v>
      </c>
      <c r="P169" t="s">
        <v>39</v>
      </c>
      <c r="Q169" s="55">
        <v>45968</v>
      </c>
      <c r="R169" t="s">
        <v>859</v>
      </c>
      <c r="V169">
        <v>1</v>
      </c>
    </row>
    <row r="170" spans="1:22">
      <c r="A170" s="55">
        <v>45903</v>
      </c>
      <c r="B170" t="s">
        <v>860</v>
      </c>
      <c r="C170" t="s">
        <v>861</v>
      </c>
      <c r="D170" t="s">
        <v>63</v>
      </c>
      <c r="E170">
        <v>85016</v>
      </c>
      <c r="F170" t="s">
        <v>31</v>
      </c>
      <c r="G170" t="s">
        <v>506</v>
      </c>
      <c r="H170" t="s">
        <v>862</v>
      </c>
      <c r="I170" t="s">
        <v>57</v>
      </c>
      <c r="J170" t="s">
        <v>37</v>
      </c>
      <c r="K170" t="s">
        <v>37</v>
      </c>
      <c r="L170" t="s">
        <v>863</v>
      </c>
      <c r="M170" t="s">
        <v>37</v>
      </c>
      <c r="N170" t="s">
        <v>37</v>
      </c>
      <c r="O170" t="s">
        <v>38</v>
      </c>
      <c r="P170" t="s">
        <v>39</v>
      </c>
      <c r="Q170" s="55">
        <v>45968</v>
      </c>
      <c r="V170">
        <v>1</v>
      </c>
    </row>
    <row r="171" spans="1:22">
      <c r="A171" s="55">
        <v>45903</v>
      </c>
      <c r="B171" t="s">
        <v>864</v>
      </c>
      <c r="C171" t="s">
        <v>865</v>
      </c>
      <c r="D171" t="s">
        <v>63</v>
      </c>
      <c r="E171">
        <v>85028</v>
      </c>
      <c r="F171" t="s">
        <v>310</v>
      </c>
      <c r="G171" t="s">
        <v>506</v>
      </c>
      <c r="H171" t="s">
        <v>866</v>
      </c>
      <c r="I171" t="s">
        <v>36</v>
      </c>
      <c r="J171" t="s">
        <v>37</v>
      </c>
      <c r="K171" t="s">
        <v>37</v>
      </c>
      <c r="L171" t="s">
        <v>38</v>
      </c>
      <c r="M171" t="s">
        <v>37</v>
      </c>
      <c r="N171" t="s">
        <v>37</v>
      </c>
      <c r="O171" t="s">
        <v>38</v>
      </c>
      <c r="P171" t="s">
        <v>39</v>
      </c>
      <c r="Q171" s="55">
        <v>45968</v>
      </c>
      <c r="V171">
        <v>1</v>
      </c>
    </row>
    <row r="172" spans="1:22">
      <c r="A172" s="55">
        <v>45903</v>
      </c>
      <c r="B172" t="s">
        <v>219</v>
      </c>
      <c r="C172" t="s">
        <v>867</v>
      </c>
      <c r="D172" t="s">
        <v>523</v>
      </c>
      <c r="E172">
        <v>85392</v>
      </c>
      <c r="F172" t="s">
        <v>868</v>
      </c>
      <c r="G172" t="s">
        <v>506</v>
      </c>
      <c r="H172" t="s">
        <v>869</v>
      </c>
      <c r="I172" t="s">
        <v>196</v>
      </c>
      <c r="J172" t="s">
        <v>38</v>
      </c>
      <c r="K172" t="s">
        <v>37</v>
      </c>
      <c r="L172" t="s">
        <v>38</v>
      </c>
      <c r="M172" t="s">
        <v>37</v>
      </c>
      <c r="N172" t="s">
        <v>37</v>
      </c>
      <c r="O172" t="s">
        <v>38</v>
      </c>
      <c r="P172" t="s">
        <v>39</v>
      </c>
      <c r="Q172" s="55">
        <v>45968</v>
      </c>
      <c r="V172">
        <v>1</v>
      </c>
    </row>
    <row r="173" spans="1:22">
      <c r="A173" s="55">
        <v>45903</v>
      </c>
      <c r="B173" t="s">
        <v>870</v>
      </c>
      <c r="C173" t="s">
        <v>440</v>
      </c>
      <c r="D173" t="s">
        <v>169</v>
      </c>
      <c r="E173">
        <v>85338</v>
      </c>
      <c r="F173" t="s">
        <v>871</v>
      </c>
      <c r="G173" t="s">
        <v>506</v>
      </c>
      <c r="H173" t="s">
        <v>872</v>
      </c>
      <c r="I173" t="s">
        <v>196</v>
      </c>
      <c r="J173" t="s">
        <v>37</v>
      </c>
      <c r="K173" t="s">
        <v>37</v>
      </c>
      <c r="L173" t="s">
        <v>873</v>
      </c>
      <c r="M173" t="s">
        <v>37</v>
      </c>
      <c r="N173" t="s">
        <v>37</v>
      </c>
      <c r="O173" t="s">
        <v>38</v>
      </c>
      <c r="P173" t="s">
        <v>39</v>
      </c>
      <c r="Q173" s="55">
        <v>45968</v>
      </c>
      <c r="V173">
        <v>1</v>
      </c>
    </row>
    <row r="174" spans="1:22">
      <c r="A174" s="55">
        <v>45903</v>
      </c>
      <c r="B174" t="s">
        <v>874</v>
      </c>
      <c r="C174" t="s">
        <v>875</v>
      </c>
      <c r="D174" t="s">
        <v>169</v>
      </c>
      <c r="E174">
        <v>85395</v>
      </c>
      <c r="F174" t="s">
        <v>876</v>
      </c>
      <c r="G174" t="s">
        <v>506</v>
      </c>
      <c r="H174" t="s">
        <v>877</v>
      </c>
      <c r="I174" t="s">
        <v>36</v>
      </c>
      <c r="J174" t="s">
        <v>37</v>
      </c>
      <c r="K174" t="s">
        <v>37</v>
      </c>
      <c r="L174" t="s">
        <v>38</v>
      </c>
      <c r="M174" t="s">
        <v>37</v>
      </c>
      <c r="N174" t="s">
        <v>37</v>
      </c>
      <c r="O174" t="s">
        <v>38</v>
      </c>
      <c r="P174" t="s">
        <v>39</v>
      </c>
      <c r="Q174" s="55">
        <v>45968</v>
      </c>
      <c r="V174">
        <v>1</v>
      </c>
    </row>
    <row r="175" spans="1:22">
      <c r="A175" s="55">
        <v>45903</v>
      </c>
      <c r="B175" t="s">
        <v>878</v>
      </c>
      <c r="C175" t="s">
        <v>879</v>
      </c>
      <c r="D175" t="s">
        <v>880</v>
      </c>
      <c r="E175">
        <v>85086</v>
      </c>
      <c r="F175" t="s">
        <v>798</v>
      </c>
      <c r="G175" t="s">
        <v>506</v>
      </c>
      <c r="H175" t="s">
        <v>881</v>
      </c>
      <c r="I175" t="s">
        <v>36</v>
      </c>
      <c r="J175" t="s">
        <v>37</v>
      </c>
      <c r="K175" t="s">
        <v>37</v>
      </c>
      <c r="L175" t="s">
        <v>882</v>
      </c>
      <c r="M175" t="s">
        <v>37</v>
      </c>
      <c r="N175" t="s">
        <v>37</v>
      </c>
      <c r="O175" t="s">
        <v>38</v>
      </c>
      <c r="P175" t="s">
        <v>39</v>
      </c>
      <c r="Q175" s="55">
        <v>45968</v>
      </c>
      <c r="V175">
        <v>1</v>
      </c>
    </row>
    <row r="176" spans="1:22">
      <c r="A176" s="55">
        <v>45903</v>
      </c>
      <c r="B176" t="s">
        <v>883</v>
      </c>
      <c r="C176" t="s">
        <v>459</v>
      </c>
      <c r="D176" t="s">
        <v>63</v>
      </c>
      <c r="E176">
        <v>85024</v>
      </c>
      <c r="F176" t="s">
        <v>310</v>
      </c>
      <c r="G176" t="s">
        <v>506</v>
      </c>
      <c r="H176" t="s">
        <v>884</v>
      </c>
      <c r="I176" t="s">
        <v>196</v>
      </c>
      <c r="J176" t="s">
        <v>37</v>
      </c>
      <c r="K176" t="s">
        <v>37</v>
      </c>
      <c r="L176" t="s">
        <v>885</v>
      </c>
      <c r="M176" t="s">
        <v>37</v>
      </c>
      <c r="N176" t="s">
        <v>37</v>
      </c>
      <c r="O176" t="s">
        <v>38</v>
      </c>
      <c r="P176">
        <v>45933</v>
      </c>
      <c r="Q176" s="55">
        <v>45968</v>
      </c>
      <c r="R176" t="s">
        <v>561</v>
      </c>
      <c r="V176">
        <v>1</v>
      </c>
    </row>
    <row r="177" spans="1:22">
      <c r="A177" s="55">
        <v>45903</v>
      </c>
      <c r="B177" t="s">
        <v>886</v>
      </c>
      <c r="C177" t="s">
        <v>887</v>
      </c>
      <c r="D177" t="s">
        <v>169</v>
      </c>
      <c r="E177">
        <v>85338</v>
      </c>
      <c r="F177" t="s">
        <v>888</v>
      </c>
      <c r="G177" t="s">
        <v>506</v>
      </c>
      <c r="H177">
        <v>6626729560</v>
      </c>
      <c r="I177" t="s">
        <v>73</v>
      </c>
      <c r="J177" t="s">
        <v>37</v>
      </c>
      <c r="K177" t="s">
        <v>37</v>
      </c>
      <c r="L177" t="s">
        <v>38</v>
      </c>
      <c r="M177" t="s">
        <v>37</v>
      </c>
      <c r="N177" t="s">
        <v>37</v>
      </c>
      <c r="O177" t="s">
        <v>38</v>
      </c>
      <c r="P177" t="s">
        <v>39</v>
      </c>
      <c r="Q177" s="55">
        <v>45968</v>
      </c>
      <c r="V177">
        <v>1</v>
      </c>
    </row>
    <row r="178" spans="1:22">
      <c r="A178" s="55">
        <v>45903</v>
      </c>
      <c r="B178" t="s">
        <v>889</v>
      </c>
      <c r="C178" t="s">
        <v>890</v>
      </c>
      <c r="D178" t="s">
        <v>202</v>
      </c>
      <c r="E178">
        <v>85383</v>
      </c>
      <c r="F178" t="s">
        <v>31</v>
      </c>
      <c r="G178" t="s">
        <v>506</v>
      </c>
      <c r="H178" t="s">
        <v>891</v>
      </c>
      <c r="I178" t="s">
        <v>196</v>
      </c>
      <c r="J178" t="s">
        <v>37</v>
      </c>
      <c r="K178" t="s">
        <v>37</v>
      </c>
      <c r="L178" t="s">
        <v>892</v>
      </c>
      <c r="M178" t="s">
        <v>37</v>
      </c>
      <c r="N178" t="s">
        <v>37</v>
      </c>
      <c r="O178" t="s">
        <v>38</v>
      </c>
      <c r="P178" t="s">
        <v>39</v>
      </c>
      <c r="Q178" s="55">
        <v>45968</v>
      </c>
      <c r="V178">
        <v>1</v>
      </c>
    </row>
    <row r="179" spans="1:22">
      <c r="A179" s="55">
        <v>45903</v>
      </c>
      <c r="B179" t="s">
        <v>893</v>
      </c>
      <c r="C179" t="s">
        <v>777</v>
      </c>
      <c r="D179" t="s">
        <v>24</v>
      </c>
      <c r="E179">
        <v>85308</v>
      </c>
      <c r="F179" t="s">
        <v>894</v>
      </c>
      <c r="G179" t="s">
        <v>506</v>
      </c>
      <c r="H179" t="s">
        <v>895</v>
      </c>
      <c r="I179" t="s">
        <v>73</v>
      </c>
      <c r="J179" t="s">
        <v>37</v>
      </c>
      <c r="K179" t="s">
        <v>37</v>
      </c>
      <c r="L179" t="s">
        <v>38</v>
      </c>
      <c r="M179" t="s">
        <v>37</v>
      </c>
      <c r="N179" t="s">
        <v>37</v>
      </c>
      <c r="O179" t="s">
        <v>38</v>
      </c>
      <c r="P179" t="s">
        <v>39</v>
      </c>
      <c r="Q179" s="55">
        <v>45968</v>
      </c>
      <c r="V179">
        <v>1</v>
      </c>
    </row>
    <row r="180" spans="1:22">
      <c r="A180" s="55">
        <v>45903</v>
      </c>
      <c r="B180" t="s">
        <v>896</v>
      </c>
      <c r="C180" t="s">
        <v>897</v>
      </c>
      <c r="D180" t="s">
        <v>240</v>
      </c>
      <c r="E180">
        <v>85340</v>
      </c>
      <c r="F180" t="s">
        <v>31</v>
      </c>
      <c r="G180" t="s">
        <v>506</v>
      </c>
      <c r="H180" t="s">
        <v>898</v>
      </c>
      <c r="I180" t="s">
        <v>73</v>
      </c>
      <c r="J180" t="s">
        <v>37</v>
      </c>
      <c r="K180" t="s">
        <v>37</v>
      </c>
      <c r="L180" t="s">
        <v>38</v>
      </c>
      <c r="M180" t="s">
        <v>37</v>
      </c>
      <c r="N180" t="s">
        <v>37</v>
      </c>
      <c r="O180" t="s">
        <v>38</v>
      </c>
      <c r="P180" t="s">
        <v>39</v>
      </c>
      <c r="Q180" s="55">
        <v>45968</v>
      </c>
      <c r="V180">
        <v>1</v>
      </c>
    </row>
    <row r="181" spans="1:22">
      <c r="A181" s="55">
        <v>45903</v>
      </c>
      <c r="B181" t="s">
        <v>900</v>
      </c>
      <c r="C181" t="s">
        <v>901</v>
      </c>
      <c r="D181" t="s">
        <v>125</v>
      </c>
      <c r="E181">
        <v>85255</v>
      </c>
      <c r="F181" t="s">
        <v>310</v>
      </c>
      <c r="G181" t="s">
        <v>506</v>
      </c>
      <c r="H181" t="s">
        <v>902</v>
      </c>
      <c r="I181" t="s">
        <v>36</v>
      </c>
      <c r="J181" t="s">
        <v>37</v>
      </c>
      <c r="K181" t="s">
        <v>37</v>
      </c>
      <c r="L181" t="s">
        <v>38</v>
      </c>
      <c r="M181" t="s">
        <v>37</v>
      </c>
      <c r="N181" t="s">
        <v>37</v>
      </c>
      <c r="O181" t="s">
        <v>38</v>
      </c>
      <c r="P181" t="s">
        <v>39</v>
      </c>
      <c r="Q181" s="55">
        <v>45968</v>
      </c>
      <c r="V181">
        <v>1</v>
      </c>
    </row>
    <row r="182" spans="1:22">
      <c r="A182" s="55">
        <v>45903</v>
      </c>
      <c r="B182" t="s">
        <v>903</v>
      </c>
      <c r="C182" t="s">
        <v>904</v>
      </c>
      <c r="D182" t="s">
        <v>240</v>
      </c>
      <c r="E182">
        <v>85340</v>
      </c>
      <c r="F182" t="s">
        <v>905</v>
      </c>
      <c r="G182" t="s">
        <v>506</v>
      </c>
      <c r="H182" t="s">
        <v>906</v>
      </c>
      <c r="I182" t="s">
        <v>36</v>
      </c>
      <c r="J182" t="s">
        <v>37</v>
      </c>
      <c r="K182" t="s">
        <v>37</v>
      </c>
      <c r="L182" t="s">
        <v>38</v>
      </c>
      <c r="M182" t="s">
        <v>37</v>
      </c>
      <c r="N182" t="s">
        <v>37</v>
      </c>
      <c r="O182" t="s">
        <v>38</v>
      </c>
      <c r="P182" t="s">
        <v>39</v>
      </c>
      <c r="Q182" s="55">
        <v>45968</v>
      </c>
      <c r="V182">
        <v>1</v>
      </c>
    </row>
    <row r="183" spans="1:22">
      <c r="A183" s="55">
        <v>45903</v>
      </c>
      <c r="B183" t="s">
        <v>910</v>
      </c>
      <c r="C183" t="s">
        <v>911</v>
      </c>
      <c r="D183" t="s">
        <v>24</v>
      </c>
      <c r="E183">
        <v>85301</v>
      </c>
      <c r="F183" t="s">
        <v>310</v>
      </c>
      <c r="G183" t="s">
        <v>506</v>
      </c>
      <c r="H183" t="s">
        <v>912</v>
      </c>
      <c r="I183" t="s">
        <v>196</v>
      </c>
      <c r="J183" t="s">
        <v>37</v>
      </c>
      <c r="K183" t="s">
        <v>37</v>
      </c>
      <c r="L183" t="s">
        <v>38</v>
      </c>
      <c r="M183" t="s">
        <v>37</v>
      </c>
      <c r="N183" t="s">
        <v>37</v>
      </c>
      <c r="O183" t="s">
        <v>38</v>
      </c>
      <c r="P183" t="s">
        <v>39</v>
      </c>
      <c r="Q183" s="55">
        <v>45968</v>
      </c>
      <c r="V183">
        <v>1</v>
      </c>
    </row>
    <row r="184" spans="1:22">
      <c r="A184" s="55">
        <v>45903</v>
      </c>
      <c r="B184" t="s">
        <v>913</v>
      </c>
      <c r="C184" t="s">
        <v>914</v>
      </c>
      <c r="D184" t="s">
        <v>112</v>
      </c>
      <c r="E184">
        <v>85388</v>
      </c>
      <c r="F184" t="s">
        <v>310</v>
      </c>
      <c r="G184" t="s">
        <v>506</v>
      </c>
      <c r="H184" t="s">
        <v>915</v>
      </c>
      <c r="I184" t="s">
        <v>36</v>
      </c>
      <c r="J184" t="s">
        <v>37</v>
      </c>
      <c r="K184" t="s">
        <v>37</v>
      </c>
      <c r="L184" t="s">
        <v>38</v>
      </c>
      <c r="M184" t="s">
        <v>37</v>
      </c>
      <c r="N184" t="s">
        <v>37</v>
      </c>
      <c r="O184" t="s">
        <v>38</v>
      </c>
      <c r="P184" t="s">
        <v>39</v>
      </c>
      <c r="Q184" s="55">
        <v>45968</v>
      </c>
      <c r="V184">
        <v>1</v>
      </c>
    </row>
    <row r="185" spans="1:22">
      <c r="A185" s="55">
        <v>45903</v>
      </c>
      <c r="B185" t="s">
        <v>916</v>
      </c>
      <c r="C185" t="s">
        <v>917</v>
      </c>
      <c r="D185" t="s">
        <v>24</v>
      </c>
      <c r="E185">
        <v>85301</v>
      </c>
      <c r="F185" t="s">
        <v>31</v>
      </c>
      <c r="G185" t="s">
        <v>506</v>
      </c>
      <c r="H185" t="s">
        <v>918</v>
      </c>
      <c r="I185" t="s">
        <v>73</v>
      </c>
      <c r="J185" t="s">
        <v>37</v>
      </c>
      <c r="K185" t="s">
        <v>37</v>
      </c>
      <c r="L185" t="s">
        <v>38</v>
      </c>
      <c r="M185" t="s">
        <v>37</v>
      </c>
      <c r="N185" t="s">
        <v>37</v>
      </c>
      <c r="O185" t="s">
        <v>38</v>
      </c>
      <c r="P185" t="s">
        <v>39</v>
      </c>
      <c r="Q185" s="55">
        <v>45968</v>
      </c>
      <c r="V185">
        <v>1</v>
      </c>
    </row>
    <row r="186" spans="1:22">
      <c r="A186" s="55">
        <v>45903</v>
      </c>
      <c r="B186" t="s">
        <v>921</v>
      </c>
      <c r="C186" t="s">
        <v>922</v>
      </c>
      <c r="D186" t="s">
        <v>923</v>
      </c>
      <c r="E186">
        <v>85501</v>
      </c>
      <c r="F186" t="s">
        <v>31</v>
      </c>
      <c r="G186" t="s">
        <v>506</v>
      </c>
      <c r="H186" t="s">
        <v>924</v>
      </c>
      <c r="I186" t="s">
        <v>196</v>
      </c>
      <c r="J186" t="s">
        <v>37</v>
      </c>
      <c r="K186" t="s">
        <v>37</v>
      </c>
      <c r="L186" t="s">
        <v>925</v>
      </c>
      <c r="M186" t="s">
        <v>37</v>
      </c>
      <c r="N186" t="s">
        <v>37</v>
      </c>
      <c r="O186" t="s">
        <v>38</v>
      </c>
      <c r="P186" t="s">
        <v>39</v>
      </c>
      <c r="Q186" s="55">
        <v>45968</v>
      </c>
      <c r="V186">
        <v>1</v>
      </c>
    </row>
    <row r="187" spans="1:22">
      <c r="A187" s="55">
        <v>45903</v>
      </c>
      <c r="B187" t="s">
        <v>926</v>
      </c>
      <c r="C187" t="s">
        <v>927</v>
      </c>
      <c r="D187" t="s">
        <v>63</v>
      </c>
      <c r="E187">
        <v>85013</v>
      </c>
      <c r="F187" t="s">
        <v>310</v>
      </c>
      <c r="G187" t="s">
        <v>506</v>
      </c>
      <c r="H187" t="s">
        <v>928</v>
      </c>
      <c r="I187" t="s">
        <v>126</v>
      </c>
      <c r="J187" t="s">
        <v>37</v>
      </c>
      <c r="K187" t="s">
        <v>37</v>
      </c>
      <c r="L187" t="s">
        <v>929</v>
      </c>
      <c r="M187" t="s">
        <v>37</v>
      </c>
      <c r="N187" t="s">
        <v>37</v>
      </c>
      <c r="O187" t="s">
        <v>38</v>
      </c>
      <c r="P187" t="s">
        <v>39</v>
      </c>
      <c r="Q187" s="55">
        <v>45968</v>
      </c>
      <c r="V187">
        <v>1</v>
      </c>
    </row>
    <row r="188" spans="1:22">
      <c r="A188" s="55">
        <v>45903</v>
      </c>
      <c r="B188" t="s">
        <v>930</v>
      </c>
      <c r="C188" t="s">
        <v>931</v>
      </c>
      <c r="D188" t="s">
        <v>169</v>
      </c>
      <c r="E188">
        <v>85395</v>
      </c>
      <c r="F188" t="s">
        <v>31</v>
      </c>
      <c r="G188" t="s">
        <v>506</v>
      </c>
      <c r="H188" t="s">
        <v>932</v>
      </c>
      <c r="I188" t="s">
        <v>36</v>
      </c>
      <c r="J188" t="s">
        <v>37</v>
      </c>
      <c r="K188" t="s">
        <v>37</v>
      </c>
      <c r="L188" t="s">
        <v>933</v>
      </c>
      <c r="M188" t="s">
        <v>37</v>
      </c>
      <c r="N188" t="s">
        <v>37</v>
      </c>
      <c r="O188" t="s">
        <v>38</v>
      </c>
      <c r="P188" t="s">
        <v>39</v>
      </c>
      <c r="Q188" s="55">
        <v>45968</v>
      </c>
      <c r="V188">
        <v>1</v>
      </c>
    </row>
    <row r="189" spans="1:22">
      <c r="A189" s="55">
        <v>45903</v>
      </c>
      <c r="B189" t="s">
        <v>934</v>
      </c>
      <c r="C189" t="s">
        <v>935</v>
      </c>
      <c r="D189" t="s">
        <v>202</v>
      </c>
      <c r="E189">
        <v>85383</v>
      </c>
      <c r="F189" t="s">
        <v>310</v>
      </c>
      <c r="G189" t="s">
        <v>506</v>
      </c>
      <c r="H189" t="s">
        <v>936</v>
      </c>
      <c r="I189" t="s">
        <v>541</v>
      </c>
      <c r="J189" t="s">
        <v>37</v>
      </c>
      <c r="K189" t="s">
        <v>37</v>
      </c>
      <c r="L189" t="s">
        <v>389</v>
      </c>
      <c r="M189" t="s">
        <v>37</v>
      </c>
      <c r="N189" t="s">
        <v>37</v>
      </c>
      <c r="O189" t="s">
        <v>38</v>
      </c>
      <c r="P189" t="s">
        <v>39</v>
      </c>
      <c r="Q189" s="55">
        <v>45968</v>
      </c>
      <c r="V189">
        <v>1</v>
      </c>
    </row>
    <row r="190" spans="1:22">
      <c r="A190" s="55">
        <v>45903</v>
      </c>
      <c r="B190" t="s">
        <v>937</v>
      </c>
      <c r="C190" t="s">
        <v>938</v>
      </c>
      <c r="D190" t="s">
        <v>63</v>
      </c>
      <c r="E190">
        <v>85083</v>
      </c>
      <c r="F190" t="s">
        <v>31</v>
      </c>
      <c r="G190" t="s">
        <v>506</v>
      </c>
      <c r="H190" t="s">
        <v>939</v>
      </c>
      <c r="I190" t="s">
        <v>73</v>
      </c>
      <c r="J190" t="s">
        <v>37</v>
      </c>
      <c r="K190" t="s">
        <v>37</v>
      </c>
      <c r="L190" t="s">
        <v>401</v>
      </c>
      <c r="M190" t="s">
        <v>37</v>
      </c>
      <c r="N190" t="s">
        <v>37</v>
      </c>
      <c r="O190" t="s">
        <v>38</v>
      </c>
      <c r="P190" t="s">
        <v>39</v>
      </c>
      <c r="Q190" s="55">
        <v>45968</v>
      </c>
      <c r="V190">
        <v>1</v>
      </c>
    </row>
    <row r="191" spans="1:22">
      <c r="A191" s="55">
        <v>45903</v>
      </c>
      <c r="B191" t="s">
        <v>940</v>
      </c>
      <c r="C191" t="s">
        <v>941</v>
      </c>
      <c r="D191" t="s">
        <v>63</v>
      </c>
      <c r="E191">
        <v>85014</v>
      </c>
      <c r="F191" t="s">
        <v>310</v>
      </c>
      <c r="G191" t="s">
        <v>506</v>
      </c>
      <c r="H191" t="s">
        <v>942</v>
      </c>
      <c r="I191" t="s">
        <v>73</v>
      </c>
      <c r="J191" t="s">
        <v>37</v>
      </c>
      <c r="K191" t="s">
        <v>37</v>
      </c>
      <c r="L191" t="s">
        <v>38</v>
      </c>
      <c r="M191" t="s">
        <v>37</v>
      </c>
      <c r="N191" t="s">
        <v>37</v>
      </c>
      <c r="O191" t="s">
        <v>38</v>
      </c>
      <c r="P191" t="s">
        <v>39</v>
      </c>
      <c r="Q191" s="55">
        <v>45968</v>
      </c>
      <c r="V191">
        <v>1</v>
      </c>
    </row>
    <row r="192" spans="1:22">
      <c r="A192" s="55">
        <v>45903</v>
      </c>
      <c r="B192" t="s">
        <v>943</v>
      </c>
      <c r="C192" t="s">
        <v>944</v>
      </c>
      <c r="D192" t="s">
        <v>202</v>
      </c>
      <c r="E192">
        <v>85382</v>
      </c>
      <c r="F192" t="s">
        <v>310</v>
      </c>
      <c r="G192" t="s">
        <v>506</v>
      </c>
      <c r="H192" t="s">
        <v>945</v>
      </c>
      <c r="I192" t="s">
        <v>36</v>
      </c>
      <c r="J192" t="s">
        <v>37</v>
      </c>
      <c r="K192" t="s">
        <v>37</v>
      </c>
      <c r="L192" t="s">
        <v>946</v>
      </c>
      <c r="M192" t="s">
        <v>37</v>
      </c>
      <c r="N192" t="s">
        <v>37</v>
      </c>
      <c r="O192" t="s">
        <v>38</v>
      </c>
      <c r="P192" t="s">
        <v>39</v>
      </c>
      <c r="Q192" s="55">
        <v>45968</v>
      </c>
      <c r="V192">
        <v>1</v>
      </c>
    </row>
    <row r="193" spans="1:22">
      <c r="A193" s="55">
        <v>45903</v>
      </c>
      <c r="B193" t="s">
        <v>947</v>
      </c>
      <c r="C193" t="s">
        <v>948</v>
      </c>
      <c r="D193" t="s">
        <v>125</v>
      </c>
      <c r="E193">
        <v>85251</v>
      </c>
      <c r="F193" t="s">
        <v>310</v>
      </c>
      <c r="G193" t="s">
        <v>506</v>
      </c>
      <c r="H193" t="s">
        <v>949</v>
      </c>
      <c r="I193" t="s">
        <v>73</v>
      </c>
      <c r="J193" t="s">
        <v>37</v>
      </c>
      <c r="K193" t="s">
        <v>37</v>
      </c>
      <c r="L193" t="s">
        <v>38</v>
      </c>
      <c r="M193" t="s">
        <v>37</v>
      </c>
      <c r="N193" t="s">
        <v>37</v>
      </c>
      <c r="O193" t="s">
        <v>38</v>
      </c>
      <c r="P193" t="s">
        <v>39</v>
      </c>
      <c r="Q193" s="55">
        <v>45968</v>
      </c>
      <c r="V193">
        <v>1</v>
      </c>
    </row>
    <row r="194" spans="1:22">
      <c r="A194" s="55">
        <v>45903</v>
      </c>
      <c r="B194" t="s">
        <v>950</v>
      </c>
      <c r="C194" t="s">
        <v>835</v>
      </c>
      <c r="D194" t="s">
        <v>63</v>
      </c>
      <c r="E194">
        <v>85016</v>
      </c>
      <c r="F194" t="s">
        <v>310</v>
      </c>
      <c r="G194" t="s">
        <v>506</v>
      </c>
      <c r="H194" t="s">
        <v>951</v>
      </c>
      <c r="I194" t="s">
        <v>126</v>
      </c>
      <c r="J194" t="s">
        <v>37</v>
      </c>
      <c r="K194" t="s">
        <v>37</v>
      </c>
      <c r="L194" t="s">
        <v>952</v>
      </c>
      <c r="M194" t="s">
        <v>37</v>
      </c>
      <c r="N194" t="s">
        <v>37</v>
      </c>
      <c r="O194" t="s">
        <v>38</v>
      </c>
      <c r="P194" t="s">
        <v>39</v>
      </c>
      <c r="Q194" s="55">
        <v>45968</v>
      </c>
      <c r="V194">
        <v>1</v>
      </c>
    </row>
    <row r="195" spans="1:22">
      <c r="A195" s="55">
        <v>45903</v>
      </c>
      <c r="B195" t="s">
        <v>290</v>
      </c>
      <c r="C195" t="s">
        <v>953</v>
      </c>
      <c r="D195" t="s">
        <v>63</v>
      </c>
      <c r="E195">
        <v>85013</v>
      </c>
      <c r="F195" t="s">
        <v>310</v>
      </c>
      <c r="G195" t="s">
        <v>506</v>
      </c>
      <c r="H195" t="s">
        <v>954</v>
      </c>
      <c r="I195" t="s">
        <v>73</v>
      </c>
      <c r="J195" t="s">
        <v>37</v>
      </c>
      <c r="K195" t="s">
        <v>37</v>
      </c>
      <c r="L195" t="s">
        <v>38</v>
      </c>
      <c r="M195" t="s">
        <v>37</v>
      </c>
      <c r="N195" t="s">
        <v>37</v>
      </c>
      <c r="O195" t="s">
        <v>38</v>
      </c>
      <c r="P195" t="s">
        <v>39</v>
      </c>
      <c r="Q195" s="55">
        <v>45968</v>
      </c>
      <c r="V195">
        <v>1</v>
      </c>
    </row>
    <row r="196" spans="1:22">
      <c r="A196" s="55">
        <v>45903</v>
      </c>
      <c r="B196" t="s">
        <v>955</v>
      </c>
      <c r="C196" t="s">
        <v>956</v>
      </c>
      <c r="D196" t="s">
        <v>63</v>
      </c>
      <c r="E196">
        <v>85028</v>
      </c>
      <c r="F196" t="s">
        <v>310</v>
      </c>
      <c r="G196" t="s">
        <v>506</v>
      </c>
      <c r="H196" t="s">
        <v>957</v>
      </c>
      <c r="I196" t="s">
        <v>196</v>
      </c>
      <c r="J196" t="s">
        <v>37</v>
      </c>
      <c r="K196" t="s">
        <v>37</v>
      </c>
      <c r="L196" t="s">
        <v>958</v>
      </c>
      <c r="M196" t="s">
        <v>37</v>
      </c>
      <c r="N196" t="s">
        <v>37</v>
      </c>
      <c r="O196" t="s">
        <v>38</v>
      </c>
      <c r="P196" t="s">
        <v>39</v>
      </c>
      <c r="Q196" s="55">
        <v>45968</v>
      </c>
      <c r="V196">
        <v>1</v>
      </c>
    </row>
    <row r="197" spans="1:22">
      <c r="A197" s="55">
        <v>45903</v>
      </c>
      <c r="B197" t="s">
        <v>959</v>
      </c>
      <c r="C197" t="s">
        <v>228</v>
      </c>
      <c r="D197" t="s">
        <v>202</v>
      </c>
      <c r="E197">
        <v>85381</v>
      </c>
      <c r="F197" t="s">
        <v>31</v>
      </c>
      <c r="G197" t="s">
        <v>506</v>
      </c>
      <c r="H197" t="s">
        <v>960</v>
      </c>
      <c r="I197" t="s">
        <v>36</v>
      </c>
      <c r="J197" t="s">
        <v>37</v>
      </c>
      <c r="K197" t="s">
        <v>37</v>
      </c>
      <c r="L197" t="s">
        <v>38</v>
      </c>
      <c r="M197" t="s">
        <v>37</v>
      </c>
      <c r="N197" t="s">
        <v>37</v>
      </c>
      <c r="O197" t="s">
        <v>38</v>
      </c>
      <c r="P197" t="s">
        <v>39</v>
      </c>
      <c r="Q197" s="55">
        <v>45968</v>
      </c>
      <c r="V197">
        <v>1</v>
      </c>
    </row>
    <row r="198" spans="1:22">
      <c r="A198" s="55">
        <v>45903</v>
      </c>
      <c r="B198" t="s">
        <v>961</v>
      </c>
      <c r="C198" t="s">
        <v>962</v>
      </c>
      <c r="D198" t="s">
        <v>112</v>
      </c>
      <c r="E198">
        <v>85388</v>
      </c>
      <c r="F198" t="s">
        <v>310</v>
      </c>
      <c r="G198" t="s">
        <v>506</v>
      </c>
      <c r="H198" t="s">
        <v>963</v>
      </c>
      <c r="I198" t="s">
        <v>418</v>
      </c>
      <c r="J198" t="s">
        <v>37</v>
      </c>
      <c r="K198" t="s">
        <v>37</v>
      </c>
      <c r="L198" t="s">
        <v>389</v>
      </c>
      <c r="M198" t="s">
        <v>37</v>
      </c>
      <c r="N198" t="s">
        <v>37</v>
      </c>
      <c r="O198" t="s">
        <v>38</v>
      </c>
      <c r="P198" t="s">
        <v>39</v>
      </c>
      <c r="Q198" s="55">
        <v>45968</v>
      </c>
      <c r="V198">
        <v>1</v>
      </c>
    </row>
    <row r="199" spans="1:22">
      <c r="A199" s="55">
        <v>45903</v>
      </c>
      <c r="B199" t="s">
        <v>964</v>
      </c>
      <c r="C199" t="s">
        <v>965</v>
      </c>
      <c r="D199" t="s">
        <v>125</v>
      </c>
      <c r="E199">
        <v>85254</v>
      </c>
      <c r="F199" t="s">
        <v>31</v>
      </c>
      <c r="G199" t="s">
        <v>506</v>
      </c>
      <c r="H199" t="s">
        <v>966</v>
      </c>
      <c r="I199" t="s">
        <v>196</v>
      </c>
      <c r="J199" t="s">
        <v>37</v>
      </c>
      <c r="K199" t="s">
        <v>37</v>
      </c>
      <c r="L199" t="s">
        <v>38</v>
      </c>
      <c r="M199" t="s">
        <v>37</v>
      </c>
      <c r="N199" t="s">
        <v>37</v>
      </c>
      <c r="O199" t="s">
        <v>38</v>
      </c>
      <c r="P199" t="s">
        <v>39</v>
      </c>
      <c r="Q199" s="55">
        <v>45968</v>
      </c>
      <c r="V199">
        <v>1</v>
      </c>
    </row>
    <row r="200" spans="1:22">
      <c r="A200" s="55">
        <v>45903</v>
      </c>
      <c r="B200" t="s">
        <v>970</v>
      </c>
      <c r="C200" t="s">
        <v>355</v>
      </c>
      <c r="D200" t="s">
        <v>202</v>
      </c>
      <c r="E200">
        <v>85382</v>
      </c>
      <c r="F200" t="s">
        <v>971</v>
      </c>
      <c r="G200" t="s">
        <v>506</v>
      </c>
      <c r="H200" t="s">
        <v>972</v>
      </c>
      <c r="I200" t="s">
        <v>541</v>
      </c>
      <c r="J200" t="s">
        <v>37</v>
      </c>
      <c r="K200" t="s">
        <v>37</v>
      </c>
      <c r="L200" t="s">
        <v>389</v>
      </c>
      <c r="M200" t="s">
        <v>37</v>
      </c>
      <c r="N200" t="s">
        <v>37</v>
      </c>
      <c r="O200" t="s">
        <v>38</v>
      </c>
      <c r="P200" t="s">
        <v>39</v>
      </c>
      <c r="Q200" s="55">
        <v>45968</v>
      </c>
      <c r="V200">
        <v>1</v>
      </c>
    </row>
    <row r="201" spans="1:22">
      <c r="A201" s="55">
        <v>45903</v>
      </c>
      <c r="B201" t="s">
        <v>134</v>
      </c>
      <c r="C201" t="s">
        <v>789</v>
      </c>
      <c r="D201" t="s">
        <v>240</v>
      </c>
      <c r="E201">
        <v>85340</v>
      </c>
      <c r="F201" t="s">
        <v>31</v>
      </c>
      <c r="G201" t="s">
        <v>506</v>
      </c>
      <c r="H201" t="s">
        <v>973</v>
      </c>
      <c r="I201" t="s">
        <v>418</v>
      </c>
      <c r="J201" t="s">
        <v>37</v>
      </c>
      <c r="K201" t="s">
        <v>37</v>
      </c>
      <c r="L201" t="s">
        <v>389</v>
      </c>
      <c r="M201" t="s">
        <v>37</v>
      </c>
      <c r="N201" t="s">
        <v>37</v>
      </c>
      <c r="O201" t="s">
        <v>38</v>
      </c>
      <c r="P201" t="s">
        <v>39</v>
      </c>
      <c r="Q201" s="55">
        <v>45968</v>
      </c>
      <c r="V201">
        <v>1</v>
      </c>
    </row>
    <row r="202" spans="1:22">
      <c r="A202" s="55">
        <v>45903</v>
      </c>
      <c r="B202" t="s">
        <v>974</v>
      </c>
      <c r="C202" t="s">
        <v>975</v>
      </c>
      <c r="D202" t="s">
        <v>125</v>
      </c>
      <c r="E202">
        <v>85251</v>
      </c>
      <c r="F202" t="s">
        <v>310</v>
      </c>
      <c r="G202" t="s">
        <v>506</v>
      </c>
      <c r="H202" t="s">
        <v>976</v>
      </c>
      <c r="I202" t="s">
        <v>126</v>
      </c>
      <c r="J202" t="s">
        <v>37</v>
      </c>
      <c r="K202" t="s">
        <v>37</v>
      </c>
      <c r="L202" t="s">
        <v>977</v>
      </c>
      <c r="M202" t="s">
        <v>37</v>
      </c>
      <c r="N202" t="s">
        <v>37</v>
      </c>
      <c r="O202" t="s">
        <v>38</v>
      </c>
      <c r="P202">
        <v>45933</v>
      </c>
      <c r="Q202" s="55">
        <v>45967</v>
      </c>
      <c r="R202" t="s">
        <v>978</v>
      </c>
      <c r="V202">
        <v>1</v>
      </c>
    </row>
    <row r="203" spans="1:22">
      <c r="A203" s="55">
        <v>45903</v>
      </c>
      <c r="B203" t="s">
        <v>979</v>
      </c>
      <c r="C203" t="s">
        <v>673</v>
      </c>
      <c r="D203" t="s">
        <v>202</v>
      </c>
      <c r="E203">
        <v>85383</v>
      </c>
      <c r="F203" t="s">
        <v>310</v>
      </c>
      <c r="G203" t="s">
        <v>506</v>
      </c>
      <c r="H203" t="s">
        <v>980</v>
      </c>
      <c r="I203" t="s">
        <v>36</v>
      </c>
      <c r="J203" t="s">
        <v>37</v>
      </c>
      <c r="K203" t="s">
        <v>37</v>
      </c>
      <c r="L203" t="s">
        <v>38</v>
      </c>
      <c r="M203" t="s">
        <v>37</v>
      </c>
      <c r="N203" t="s">
        <v>37</v>
      </c>
      <c r="O203" t="s">
        <v>38</v>
      </c>
      <c r="P203" t="s">
        <v>39</v>
      </c>
      <c r="Q203" s="55">
        <v>45967</v>
      </c>
      <c r="V203">
        <v>1</v>
      </c>
    </row>
    <row r="204" spans="1:22">
      <c r="A204" s="55">
        <v>45903</v>
      </c>
      <c r="B204" t="s">
        <v>981</v>
      </c>
      <c r="C204" t="s">
        <v>208</v>
      </c>
      <c r="D204" t="s">
        <v>261</v>
      </c>
      <c r="E204">
        <v>86314</v>
      </c>
      <c r="F204" t="s">
        <v>31</v>
      </c>
      <c r="G204" t="s">
        <v>506</v>
      </c>
      <c r="H204" t="s">
        <v>982</v>
      </c>
      <c r="I204" t="s">
        <v>126</v>
      </c>
      <c r="J204" t="s">
        <v>37</v>
      </c>
      <c r="K204" t="s">
        <v>37</v>
      </c>
      <c r="L204" t="s">
        <v>983</v>
      </c>
      <c r="M204" t="s">
        <v>37</v>
      </c>
      <c r="N204" t="s">
        <v>37</v>
      </c>
      <c r="O204" t="s">
        <v>38</v>
      </c>
      <c r="P204" t="s">
        <v>39</v>
      </c>
      <c r="Q204" s="55">
        <v>45967</v>
      </c>
      <c r="R204" t="s">
        <v>984</v>
      </c>
      <c r="V204">
        <v>1</v>
      </c>
    </row>
    <row r="205" spans="1:22">
      <c r="A205" s="55">
        <v>45903</v>
      </c>
      <c r="B205" t="s">
        <v>985</v>
      </c>
      <c r="C205" t="s">
        <v>263</v>
      </c>
      <c r="D205" t="s">
        <v>169</v>
      </c>
      <c r="E205">
        <v>85395</v>
      </c>
      <c r="F205" t="s">
        <v>986</v>
      </c>
      <c r="G205" t="s">
        <v>506</v>
      </c>
      <c r="H205" t="s">
        <v>987</v>
      </c>
      <c r="I205" t="s">
        <v>196</v>
      </c>
      <c r="J205" t="s">
        <v>37</v>
      </c>
      <c r="K205" t="s">
        <v>37</v>
      </c>
      <c r="L205" t="s">
        <v>38</v>
      </c>
      <c r="M205" t="s">
        <v>37</v>
      </c>
      <c r="N205" t="s">
        <v>37</v>
      </c>
      <c r="O205" t="s">
        <v>38</v>
      </c>
      <c r="P205" t="s">
        <v>39</v>
      </c>
      <c r="Q205" s="55">
        <v>45967</v>
      </c>
      <c r="V205">
        <v>1</v>
      </c>
    </row>
    <row r="206" spans="1:22">
      <c r="A206" s="55">
        <v>45903</v>
      </c>
      <c r="B206" t="s">
        <v>134</v>
      </c>
      <c r="C206" t="s">
        <v>777</v>
      </c>
      <c r="D206" t="s">
        <v>240</v>
      </c>
      <c r="E206">
        <v>85340</v>
      </c>
      <c r="F206" t="s">
        <v>31</v>
      </c>
      <c r="G206" t="s">
        <v>506</v>
      </c>
      <c r="H206" t="s">
        <v>988</v>
      </c>
      <c r="I206" t="s">
        <v>243</v>
      </c>
      <c r="J206" t="s">
        <v>37</v>
      </c>
      <c r="K206" t="s">
        <v>37</v>
      </c>
      <c r="L206" t="s">
        <v>389</v>
      </c>
      <c r="M206" t="s">
        <v>37</v>
      </c>
      <c r="N206" t="s">
        <v>37</v>
      </c>
      <c r="O206" t="s">
        <v>38</v>
      </c>
      <c r="P206" t="s">
        <v>39</v>
      </c>
      <c r="Q206" s="55">
        <v>45967</v>
      </c>
      <c r="V206">
        <v>1</v>
      </c>
    </row>
    <row r="207" spans="1:22">
      <c r="A207" s="55">
        <v>45903</v>
      </c>
      <c r="B207" t="s">
        <v>990</v>
      </c>
      <c r="C207" t="s">
        <v>991</v>
      </c>
      <c r="D207" t="s">
        <v>169</v>
      </c>
      <c r="E207">
        <v>85338</v>
      </c>
      <c r="F207" t="s">
        <v>992</v>
      </c>
      <c r="G207" t="s">
        <v>506</v>
      </c>
      <c r="H207" t="s">
        <v>993</v>
      </c>
      <c r="I207" t="s">
        <v>418</v>
      </c>
      <c r="J207" t="s">
        <v>37</v>
      </c>
      <c r="K207" t="s">
        <v>37</v>
      </c>
      <c r="L207" t="s">
        <v>389</v>
      </c>
      <c r="M207" t="s">
        <v>37</v>
      </c>
      <c r="N207" t="s">
        <v>37</v>
      </c>
      <c r="O207" t="s">
        <v>38</v>
      </c>
      <c r="P207" t="s">
        <v>39</v>
      </c>
      <c r="Q207" s="55">
        <v>45967</v>
      </c>
      <c r="V207">
        <v>1</v>
      </c>
    </row>
    <row r="208" spans="1:22">
      <c r="A208" s="55">
        <v>45903</v>
      </c>
      <c r="B208" t="s">
        <v>657</v>
      </c>
      <c r="C208" t="s">
        <v>42</v>
      </c>
      <c r="D208" t="s">
        <v>169</v>
      </c>
      <c r="E208">
        <v>85395</v>
      </c>
      <c r="F208" t="s">
        <v>31</v>
      </c>
      <c r="G208" t="s">
        <v>506</v>
      </c>
      <c r="H208" t="s">
        <v>995</v>
      </c>
      <c r="I208" t="s">
        <v>541</v>
      </c>
      <c r="J208" t="s">
        <v>37</v>
      </c>
      <c r="K208" t="s">
        <v>37</v>
      </c>
      <c r="L208" t="s">
        <v>389</v>
      </c>
      <c r="M208" t="s">
        <v>37</v>
      </c>
      <c r="N208" t="s">
        <v>37</v>
      </c>
      <c r="O208" t="s">
        <v>38</v>
      </c>
      <c r="P208" t="s">
        <v>39</v>
      </c>
      <c r="Q208" s="55">
        <v>45967</v>
      </c>
      <c r="V208">
        <v>1</v>
      </c>
    </row>
    <row r="209" spans="1:22">
      <c r="A209" s="55">
        <v>45903</v>
      </c>
      <c r="B209" t="s">
        <v>998</v>
      </c>
      <c r="C209" t="s">
        <v>920</v>
      </c>
      <c r="D209" t="s">
        <v>63</v>
      </c>
      <c r="E209">
        <v>85004</v>
      </c>
      <c r="F209" t="s">
        <v>310</v>
      </c>
      <c r="G209" t="s">
        <v>506</v>
      </c>
      <c r="H209" t="s">
        <v>999</v>
      </c>
      <c r="I209" t="s">
        <v>126</v>
      </c>
      <c r="J209" t="s">
        <v>38</v>
      </c>
      <c r="K209" t="s">
        <v>37</v>
      </c>
      <c r="L209" t="s">
        <v>38</v>
      </c>
      <c r="M209" t="s">
        <v>37</v>
      </c>
      <c r="N209" t="s">
        <v>37</v>
      </c>
      <c r="O209" t="s">
        <v>38</v>
      </c>
      <c r="P209" t="s">
        <v>39</v>
      </c>
      <c r="Q209" s="55">
        <v>45967</v>
      </c>
      <c r="V209">
        <v>1</v>
      </c>
    </row>
    <row r="210" spans="1:22">
      <c r="A210" s="55">
        <v>45903</v>
      </c>
      <c r="B210" t="s">
        <v>1000</v>
      </c>
      <c r="C210" t="s">
        <v>1001</v>
      </c>
      <c r="D210" t="s">
        <v>63</v>
      </c>
      <c r="E210">
        <v>85012</v>
      </c>
      <c r="F210" t="s">
        <v>1002</v>
      </c>
      <c r="G210" t="s">
        <v>506</v>
      </c>
      <c r="H210" t="s">
        <v>1003</v>
      </c>
      <c r="I210" t="s">
        <v>36</v>
      </c>
      <c r="J210" t="s">
        <v>37</v>
      </c>
      <c r="K210" t="s">
        <v>37</v>
      </c>
      <c r="L210" t="s">
        <v>1004</v>
      </c>
      <c r="M210" t="s">
        <v>37</v>
      </c>
      <c r="N210" t="s">
        <v>37</v>
      </c>
      <c r="O210" t="s">
        <v>38</v>
      </c>
      <c r="P210" t="s">
        <v>39</v>
      </c>
      <c r="Q210" s="55">
        <v>45967</v>
      </c>
      <c r="V210">
        <v>1</v>
      </c>
    </row>
    <row r="211" spans="1:22">
      <c r="A211" s="55">
        <v>45903</v>
      </c>
      <c r="B211" t="s">
        <v>1006</v>
      </c>
      <c r="C211" t="s">
        <v>1007</v>
      </c>
      <c r="D211" t="s">
        <v>63</v>
      </c>
      <c r="E211">
        <v>85085</v>
      </c>
      <c r="F211" t="s">
        <v>31</v>
      </c>
      <c r="G211" t="s">
        <v>506</v>
      </c>
      <c r="H211" t="s">
        <v>1008</v>
      </c>
      <c r="I211" t="s">
        <v>36</v>
      </c>
      <c r="J211" t="s">
        <v>37</v>
      </c>
      <c r="K211" t="s">
        <v>37</v>
      </c>
      <c r="L211" t="s">
        <v>38</v>
      </c>
      <c r="M211" t="s">
        <v>37</v>
      </c>
      <c r="N211" t="s">
        <v>37</v>
      </c>
      <c r="O211" t="s">
        <v>38</v>
      </c>
      <c r="P211" t="s">
        <v>39</v>
      </c>
      <c r="Q211" s="55">
        <v>45967</v>
      </c>
      <c r="U211" t="s">
        <v>1009</v>
      </c>
      <c r="V211">
        <v>1</v>
      </c>
    </row>
    <row r="212" spans="1:22">
      <c r="A212" s="55">
        <v>45903</v>
      </c>
      <c r="B212" t="s">
        <v>1010</v>
      </c>
      <c r="C212" t="s">
        <v>1011</v>
      </c>
      <c r="D212" t="s">
        <v>63</v>
      </c>
      <c r="E212">
        <v>85024</v>
      </c>
      <c r="F212" t="s">
        <v>310</v>
      </c>
      <c r="G212" t="s">
        <v>506</v>
      </c>
      <c r="H212" t="s">
        <v>1012</v>
      </c>
      <c r="I212" t="s">
        <v>196</v>
      </c>
      <c r="J212" t="s">
        <v>37</v>
      </c>
      <c r="K212" t="s">
        <v>37</v>
      </c>
      <c r="L212" t="s">
        <v>38</v>
      </c>
      <c r="M212" t="s">
        <v>37</v>
      </c>
      <c r="N212" t="s">
        <v>37</v>
      </c>
      <c r="O212" t="s">
        <v>38</v>
      </c>
      <c r="P212" t="s">
        <v>39</v>
      </c>
      <c r="Q212" s="55">
        <v>45967</v>
      </c>
      <c r="V212">
        <v>1</v>
      </c>
    </row>
    <row r="213" spans="1:22">
      <c r="A213" s="55">
        <v>45903</v>
      </c>
      <c r="B213" t="s">
        <v>779</v>
      </c>
      <c r="C213" t="s">
        <v>479</v>
      </c>
      <c r="D213" t="s">
        <v>63</v>
      </c>
      <c r="E213">
        <v>85023</v>
      </c>
      <c r="F213" t="s">
        <v>31</v>
      </c>
      <c r="G213" t="s">
        <v>506</v>
      </c>
      <c r="H213" t="s">
        <v>1015</v>
      </c>
      <c r="I213" t="s">
        <v>541</v>
      </c>
      <c r="J213" t="s">
        <v>38</v>
      </c>
      <c r="K213" t="s">
        <v>37</v>
      </c>
      <c r="L213" t="s">
        <v>389</v>
      </c>
      <c r="M213" t="s">
        <v>37</v>
      </c>
      <c r="N213" t="s">
        <v>37</v>
      </c>
      <c r="O213" t="s">
        <v>38</v>
      </c>
      <c r="P213" t="s">
        <v>39</v>
      </c>
      <c r="Q213" s="55">
        <v>45967</v>
      </c>
      <c r="V213">
        <v>1</v>
      </c>
    </row>
    <row r="214" spans="1:22">
      <c r="A214" s="55">
        <v>45903</v>
      </c>
      <c r="B214" t="s">
        <v>1016</v>
      </c>
      <c r="C214" t="s">
        <v>1017</v>
      </c>
      <c r="D214" t="s">
        <v>112</v>
      </c>
      <c r="E214">
        <v>85387</v>
      </c>
      <c r="F214" t="s">
        <v>310</v>
      </c>
      <c r="G214" t="s">
        <v>506</v>
      </c>
      <c r="H214" t="s">
        <v>1018</v>
      </c>
      <c r="I214" t="s">
        <v>126</v>
      </c>
      <c r="J214" t="s">
        <v>37</v>
      </c>
      <c r="K214" t="s">
        <v>37</v>
      </c>
      <c r="L214" t="s">
        <v>38</v>
      </c>
      <c r="M214" t="s">
        <v>37</v>
      </c>
      <c r="N214" t="s">
        <v>37</v>
      </c>
      <c r="O214" t="s">
        <v>38</v>
      </c>
      <c r="P214" t="s">
        <v>39</v>
      </c>
      <c r="Q214" s="55">
        <v>45967</v>
      </c>
      <c r="V214">
        <v>1</v>
      </c>
    </row>
    <row r="215" spans="1:22">
      <c r="A215" s="55">
        <v>45903</v>
      </c>
      <c r="B215" t="s">
        <v>1021</v>
      </c>
      <c r="C215" t="s">
        <v>771</v>
      </c>
      <c r="D215" t="s">
        <v>125</v>
      </c>
      <c r="E215">
        <v>85258</v>
      </c>
      <c r="F215" t="s">
        <v>310</v>
      </c>
      <c r="G215" t="s">
        <v>506</v>
      </c>
      <c r="H215" t="s">
        <v>1022</v>
      </c>
      <c r="I215" t="s">
        <v>36</v>
      </c>
      <c r="J215" t="s">
        <v>37</v>
      </c>
      <c r="K215" t="s">
        <v>37</v>
      </c>
      <c r="L215" t="s">
        <v>1023</v>
      </c>
      <c r="M215" t="s">
        <v>37</v>
      </c>
      <c r="N215" t="s">
        <v>37</v>
      </c>
      <c r="O215" t="s">
        <v>38</v>
      </c>
      <c r="P215" t="s">
        <v>39</v>
      </c>
      <c r="Q215" s="55">
        <v>45967</v>
      </c>
      <c r="R215" t="s">
        <v>1024</v>
      </c>
      <c r="V215">
        <v>1</v>
      </c>
    </row>
    <row r="216" spans="1:22">
      <c r="A216" s="55">
        <v>45903</v>
      </c>
      <c r="B216" t="s">
        <v>1025</v>
      </c>
      <c r="C216" t="s">
        <v>1026</v>
      </c>
      <c r="D216" t="s">
        <v>202</v>
      </c>
      <c r="E216">
        <v>85383</v>
      </c>
      <c r="F216" t="s">
        <v>31</v>
      </c>
      <c r="G216" t="s">
        <v>506</v>
      </c>
      <c r="H216" t="s">
        <v>1027</v>
      </c>
      <c r="I216" t="s">
        <v>126</v>
      </c>
      <c r="J216" t="s">
        <v>37</v>
      </c>
      <c r="K216" t="s">
        <v>37</v>
      </c>
      <c r="L216" t="s">
        <v>1028</v>
      </c>
      <c r="M216" t="s">
        <v>37</v>
      </c>
      <c r="N216" t="s">
        <v>37</v>
      </c>
      <c r="O216" t="s">
        <v>38</v>
      </c>
      <c r="P216" t="s">
        <v>39</v>
      </c>
      <c r="Q216" s="55">
        <v>45967</v>
      </c>
      <c r="R216" t="s">
        <v>1029</v>
      </c>
      <c r="V216">
        <v>1</v>
      </c>
    </row>
    <row r="217" spans="1:22">
      <c r="A217" s="55">
        <v>45903</v>
      </c>
      <c r="B217" t="s">
        <v>818</v>
      </c>
      <c r="C217" t="s">
        <v>135</v>
      </c>
      <c r="D217" t="s">
        <v>63</v>
      </c>
      <c r="E217">
        <v>85028</v>
      </c>
      <c r="F217" t="s">
        <v>31</v>
      </c>
      <c r="G217" t="s">
        <v>506</v>
      </c>
      <c r="H217" t="s">
        <v>1030</v>
      </c>
      <c r="I217" t="s">
        <v>36</v>
      </c>
      <c r="J217" t="s">
        <v>37</v>
      </c>
      <c r="K217" t="s">
        <v>37</v>
      </c>
      <c r="L217" t="s">
        <v>38</v>
      </c>
      <c r="M217" t="s">
        <v>37</v>
      </c>
      <c r="N217" t="s">
        <v>37</v>
      </c>
      <c r="O217" t="s">
        <v>38</v>
      </c>
      <c r="P217" t="s">
        <v>39</v>
      </c>
      <c r="Q217" s="55">
        <v>45967</v>
      </c>
      <c r="U217" t="s">
        <v>724</v>
      </c>
      <c r="V217">
        <v>1</v>
      </c>
    </row>
    <row r="218" spans="1:22">
      <c r="A218" s="55">
        <v>45903</v>
      </c>
      <c r="B218" t="s">
        <v>1031</v>
      </c>
      <c r="C218" t="s">
        <v>652</v>
      </c>
      <c r="D218" t="s">
        <v>63</v>
      </c>
      <c r="E218">
        <v>85016</v>
      </c>
      <c r="F218" t="s">
        <v>310</v>
      </c>
      <c r="G218" t="s">
        <v>506</v>
      </c>
      <c r="H218" t="s">
        <v>1032</v>
      </c>
      <c r="I218" t="s">
        <v>36</v>
      </c>
      <c r="J218" t="s">
        <v>37</v>
      </c>
      <c r="K218" t="s">
        <v>37</v>
      </c>
      <c r="L218" t="s">
        <v>38</v>
      </c>
      <c r="M218" t="s">
        <v>37</v>
      </c>
      <c r="N218" t="s">
        <v>37</v>
      </c>
      <c r="O218" t="s">
        <v>38</v>
      </c>
      <c r="P218" t="s">
        <v>39</v>
      </c>
      <c r="Q218" s="55">
        <v>45967</v>
      </c>
      <c r="V218">
        <v>1</v>
      </c>
    </row>
    <row r="219" spans="1:22">
      <c r="A219" s="55">
        <v>45903</v>
      </c>
      <c r="B219" t="s">
        <v>1033</v>
      </c>
      <c r="C219" t="s">
        <v>784</v>
      </c>
      <c r="D219" t="s">
        <v>169</v>
      </c>
      <c r="E219">
        <v>85395</v>
      </c>
      <c r="F219" t="s">
        <v>1034</v>
      </c>
      <c r="G219" t="s">
        <v>506</v>
      </c>
      <c r="H219" t="s">
        <v>1035</v>
      </c>
      <c r="I219" t="s">
        <v>36</v>
      </c>
      <c r="J219" t="s">
        <v>37</v>
      </c>
      <c r="K219" t="s">
        <v>37</v>
      </c>
      <c r="L219" t="s">
        <v>38</v>
      </c>
      <c r="M219" t="s">
        <v>37</v>
      </c>
      <c r="N219" t="s">
        <v>37</v>
      </c>
      <c r="O219" t="s">
        <v>38</v>
      </c>
      <c r="P219" t="s">
        <v>39</v>
      </c>
      <c r="Q219" s="55">
        <v>45967</v>
      </c>
      <c r="V219">
        <v>1</v>
      </c>
    </row>
    <row r="220" spans="1:22">
      <c r="A220" s="55">
        <v>45903</v>
      </c>
      <c r="B220" t="s">
        <v>1037</v>
      </c>
      <c r="C220" t="s">
        <v>1038</v>
      </c>
      <c r="D220" t="s">
        <v>202</v>
      </c>
      <c r="E220">
        <v>85383</v>
      </c>
      <c r="F220" t="s">
        <v>31</v>
      </c>
      <c r="G220" t="s">
        <v>506</v>
      </c>
      <c r="H220" t="s">
        <v>1039</v>
      </c>
      <c r="I220" t="s">
        <v>1040</v>
      </c>
      <c r="J220" t="s">
        <v>37</v>
      </c>
      <c r="K220" t="s">
        <v>37</v>
      </c>
      <c r="L220" t="s">
        <v>401</v>
      </c>
      <c r="M220" t="s">
        <v>37</v>
      </c>
      <c r="N220" t="s">
        <v>37</v>
      </c>
      <c r="O220" t="s">
        <v>38</v>
      </c>
      <c r="P220" t="s">
        <v>39</v>
      </c>
      <c r="Q220" s="55">
        <v>45967</v>
      </c>
      <c r="V220">
        <v>1</v>
      </c>
    </row>
    <row r="221" spans="1:22">
      <c r="A221" s="55">
        <v>45903</v>
      </c>
      <c r="B221" t="s">
        <v>1041</v>
      </c>
      <c r="C221" t="s">
        <v>1042</v>
      </c>
      <c r="D221" t="s">
        <v>202</v>
      </c>
      <c r="E221">
        <v>85483</v>
      </c>
      <c r="F221" t="s">
        <v>310</v>
      </c>
      <c r="G221" t="s">
        <v>506</v>
      </c>
      <c r="H221" t="s">
        <v>1043</v>
      </c>
      <c r="I221" t="s">
        <v>36</v>
      </c>
      <c r="J221" t="s">
        <v>37</v>
      </c>
      <c r="K221" t="s">
        <v>37</v>
      </c>
      <c r="L221" t="s">
        <v>38</v>
      </c>
      <c r="M221" t="s">
        <v>37</v>
      </c>
      <c r="N221" t="s">
        <v>37</v>
      </c>
      <c r="O221" t="s">
        <v>38</v>
      </c>
      <c r="P221" t="s">
        <v>39</v>
      </c>
      <c r="Q221" s="55">
        <v>45967</v>
      </c>
      <c r="V221">
        <v>1</v>
      </c>
    </row>
    <row r="222" spans="1:22">
      <c r="A222" s="55">
        <v>45903</v>
      </c>
      <c r="B222" t="s">
        <v>1044</v>
      </c>
      <c r="C222" t="s">
        <v>597</v>
      </c>
      <c r="D222" t="s">
        <v>63</v>
      </c>
      <c r="E222">
        <v>85015</v>
      </c>
      <c r="F222" t="s">
        <v>310</v>
      </c>
      <c r="G222" t="s">
        <v>506</v>
      </c>
      <c r="H222" t="s">
        <v>1045</v>
      </c>
      <c r="I222" t="s">
        <v>196</v>
      </c>
      <c r="J222" t="s">
        <v>37</v>
      </c>
      <c r="K222" t="s">
        <v>37</v>
      </c>
      <c r="L222" t="s">
        <v>38</v>
      </c>
      <c r="M222" t="s">
        <v>37</v>
      </c>
      <c r="N222" t="s">
        <v>37</v>
      </c>
      <c r="O222" t="s">
        <v>38</v>
      </c>
      <c r="P222" t="s">
        <v>39</v>
      </c>
      <c r="Q222" s="55">
        <v>45967</v>
      </c>
      <c r="V222">
        <v>1</v>
      </c>
    </row>
    <row r="223" spans="1:22">
      <c r="A223" s="55">
        <v>45903</v>
      </c>
      <c r="B223" t="s">
        <v>1046</v>
      </c>
      <c r="C223" t="s">
        <v>1047</v>
      </c>
      <c r="D223" t="s">
        <v>125</v>
      </c>
      <c r="E223">
        <v>85260</v>
      </c>
      <c r="F223" t="s">
        <v>310</v>
      </c>
      <c r="G223" t="s">
        <v>506</v>
      </c>
      <c r="H223" t="s">
        <v>1048</v>
      </c>
      <c r="I223" t="s">
        <v>36</v>
      </c>
      <c r="J223" t="s">
        <v>37</v>
      </c>
      <c r="K223" t="s">
        <v>37</v>
      </c>
      <c r="L223" t="s">
        <v>38</v>
      </c>
      <c r="M223" t="s">
        <v>37</v>
      </c>
      <c r="N223" t="s">
        <v>37</v>
      </c>
      <c r="O223" t="s">
        <v>38</v>
      </c>
      <c r="P223" t="s">
        <v>39</v>
      </c>
      <c r="Q223" s="55">
        <v>45967</v>
      </c>
      <c r="V223">
        <v>1</v>
      </c>
    </row>
    <row r="224" spans="1:22">
      <c r="A224" s="55">
        <v>45903</v>
      </c>
      <c r="B224" t="s">
        <v>1049</v>
      </c>
      <c r="C224" t="s">
        <v>1050</v>
      </c>
      <c r="D224" t="s">
        <v>63</v>
      </c>
      <c r="E224">
        <v>85085</v>
      </c>
      <c r="F224" t="s">
        <v>310</v>
      </c>
      <c r="G224" t="s">
        <v>506</v>
      </c>
      <c r="H224" t="s">
        <v>1051</v>
      </c>
      <c r="I224" t="s">
        <v>36</v>
      </c>
      <c r="J224" t="s">
        <v>37</v>
      </c>
      <c r="K224" t="s">
        <v>37</v>
      </c>
      <c r="L224" t="s">
        <v>38</v>
      </c>
      <c r="M224" t="s">
        <v>37</v>
      </c>
      <c r="N224" t="s">
        <v>37</v>
      </c>
      <c r="O224" t="s">
        <v>38</v>
      </c>
      <c r="P224" t="s">
        <v>39</v>
      </c>
      <c r="Q224" s="55">
        <v>45967</v>
      </c>
      <c r="V224">
        <v>1</v>
      </c>
    </row>
    <row r="225" spans="1:22">
      <c r="A225" s="55">
        <v>45903</v>
      </c>
      <c r="B225" t="s">
        <v>1056</v>
      </c>
      <c r="C225" t="s">
        <v>757</v>
      </c>
      <c r="D225" t="s">
        <v>63</v>
      </c>
      <c r="E225">
        <v>85024</v>
      </c>
      <c r="F225" t="s">
        <v>31</v>
      </c>
      <c r="G225" t="s">
        <v>506</v>
      </c>
      <c r="H225" t="s">
        <v>1057</v>
      </c>
      <c r="I225" t="s">
        <v>196</v>
      </c>
      <c r="J225" t="s">
        <v>37</v>
      </c>
      <c r="K225" t="s">
        <v>37</v>
      </c>
      <c r="L225" t="s">
        <v>1058</v>
      </c>
      <c r="M225" t="s">
        <v>37</v>
      </c>
      <c r="N225" t="s">
        <v>37</v>
      </c>
      <c r="O225" t="s">
        <v>38</v>
      </c>
      <c r="P225">
        <v>45936</v>
      </c>
      <c r="Q225" s="55">
        <v>45967</v>
      </c>
      <c r="R225" t="s">
        <v>1059</v>
      </c>
      <c r="V225">
        <v>1</v>
      </c>
    </row>
    <row r="226" spans="1:22">
      <c r="A226" s="55">
        <v>45903</v>
      </c>
      <c r="B226" t="s">
        <v>1060</v>
      </c>
      <c r="C226" t="s">
        <v>135</v>
      </c>
      <c r="D226" t="s">
        <v>169</v>
      </c>
      <c r="E226">
        <v>85338</v>
      </c>
      <c r="F226" t="s">
        <v>1061</v>
      </c>
      <c r="G226" t="s">
        <v>506</v>
      </c>
      <c r="H226" t="s">
        <v>1062</v>
      </c>
      <c r="I226" t="s">
        <v>36</v>
      </c>
      <c r="J226" t="s">
        <v>37</v>
      </c>
      <c r="K226" t="s">
        <v>37</v>
      </c>
      <c r="L226" t="s">
        <v>38</v>
      </c>
      <c r="M226" t="s">
        <v>37</v>
      </c>
      <c r="N226" t="s">
        <v>37</v>
      </c>
      <c r="O226" t="s">
        <v>38</v>
      </c>
      <c r="P226" t="s">
        <v>39</v>
      </c>
      <c r="Q226" s="55">
        <v>45967</v>
      </c>
      <c r="V226">
        <v>1</v>
      </c>
    </row>
    <row r="227" spans="1:22">
      <c r="A227" s="55">
        <v>45903</v>
      </c>
      <c r="B227" t="s">
        <v>1063</v>
      </c>
      <c r="C227" t="s">
        <v>1064</v>
      </c>
      <c r="D227" t="s">
        <v>202</v>
      </c>
      <c r="E227">
        <v>85345</v>
      </c>
      <c r="F227" t="s">
        <v>310</v>
      </c>
      <c r="G227" t="s">
        <v>506</v>
      </c>
      <c r="H227" t="s">
        <v>1065</v>
      </c>
      <c r="I227" t="s">
        <v>36</v>
      </c>
      <c r="J227" t="s">
        <v>37</v>
      </c>
      <c r="K227" t="s">
        <v>37</v>
      </c>
      <c r="L227" t="s">
        <v>38</v>
      </c>
      <c r="M227" t="s">
        <v>37</v>
      </c>
      <c r="N227" t="s">
        <v>37</v>
      </c>
      <c r="O227" t="s">
        <v>38</v>
      </c>
      <c r="P227" t="s">
        <v>39</v>
      </c>
      <c r="Q227" s="55">
        <v>45967</v>
      </c>
      <c r="V227">
        <v>1</v>
      </c>
    </row>
    <row r="228" spans="1:22">
      <c r="A228" s="55">
        <v>45903</v>
      </c>
      <c r="B228" t="s">
        <v>1066</v>
      </c>
      <c r="C228" t="s">
        <v>1067</v>
      </c>
      <c r="D228" t="s">
        <v>202</v>
      </c>
      <c r="E228">
        <v>85383</v>
      </c>
      <c r="F228" t="s">
        <v>310</v>
      </c>
      <c r="G228" t="s">
        <v>506</v>
      </c>
      <c r="H228" t="s">
        <v>1068</v>
      </c>
      <c r="I228" t="s">
        <v>196</v>
      </c>
      <c r="J228" t="s">
        <v>37</v>
      </c>
      <c r="K228" t="s">
        <v>37</v>
      </c>
      <c r="L228" t="s">
        <v>38</v>
      </c>
      <c r="M228" t="s">
        <v>37</v>
      </c>
      <c r="N228" t="s">
        <v>37</v>
      </c>
      <c r="O228" t="s">
        <v>38</v>
      </c>
      <c r="P228" t="s">
        <v>39</v>
      </c>
      <c r="Q228" s="55">
        <v>45967</v>
      </c>
      <c r="V228">
        <v>1</v>
      </c>
    </row>
    <row r="229" spans="1:22">
      <c r="A229" s="55">
        <v>45903</v>
      </c>
      <c r="B229" t="s">
        <v>1069</v>
      </c>
      <c r="C229" t="s">
        <v>1070</v>
      </c>
      <c r="D229" t="s">
        <v>202</v>
      </c>
      <c r="E229">
        <v>85383</v>
      </c>
      <c r="F229" t="s">
        <v>310</v>
      </c>
      <c r="G229" t="s">
        <v>506</v>
      </c>
      <c r="H229" t="s">
        <v>1071</v>
      </c>
      <c r="I229" t="s">
        <v>196</v>
      </c>
      <c r="J229" t="s">
        <v>37</v>
      </c>
      <c r="K229" t="s">
        <v>37</v>
      </c>
      <c r="L229" t="s">
        <v>1072</v>
      </c>
      <c r="M229" t="s">
        <v>37</v>
      </c>
      <c r="N229" t="s">
        <v>37</v>
      </c>
      <c r="O229" t="s">
        <v>38</v>
      </c>
      <c r="P229">
        <v>45936</v>
      </c>
      <c r="Q229" s="55">
        <v>45967</v>
      </c>
      <c r="R229" t="s">
        <v>1073</v>
      </c>
      <c r="V229">
        <v>1</v>
      </c>
    </row>
    <row r="230" spans="1:22">
      <c r="A230" s="55">
        <v>45903</v>
      </c>
      <c r="B230" t="s">
        <v>1074</v>
      </c>
      <c r="C230" t="s">
        <v>1075</v>
      </c>
      <c r="D230" t="s">
        <v>202</v>
      </c>
      <c r="E230">
        <v>85383</v>
      </c>
      <c r="F230" t="s">
        <v>310</v>
      </c>
      <c r="G230" t="s">
        <v>506</v>
      </c>
      <c r="H230" t="s">
        <v>1076</v>
      </c>
      <c r="I230" t="s">
        <v>36</v>
      </c>
      <c r="J230" t="s">
        <v>37</v>
      </c>
      <c r="K230" t="s">
        <v>37</v>
      </c>
      <c r="L230" t="s">
        <v>38</v>
      </c>
      <c r="M230" t="s">
        <v>37</v>
      </c>
      <c r="N230" t="s">
        <v>37</v>
      </c>
      <c r="O230" t="s">
        <v>38</v>
      </c>
      <c r="P230" t="s">
        <v>39</v>
      </c>
      <c r="Q230" s="55">
        <v>45967</v>
      </c>
      <c r="R230" t="s">
        <v>1077</v>
      </c>
      <c r="V230">
        <v>1</v>
      </c>
    </row>
    <row r="231" spans="1:22">
      <c r="A231" s="55">
        <v>45903</v>
      </c>
      <c r="B231" t="s">
        <v>1078</v>
      </c>
      <c r="C231" t="s">
        <v>1079</v>
      </c>
      <c r="D231" t="s">
        <v>169</v>
      </c>
      <c r="E231">
        <v>85338</v>
      </c>
      <c r="F231" t="s">
        <v>31</v>
      </c>
      <c r="G231" t="s">
        <v>506</v>
      </c>
      <c r="H231" t="s">
        <v>1080</v>
      </c>
      <c r="I231" t="s">
        <v>418</v>
      </c>
      <c r="J231" t="s">
        <v>37</v>
      </c>
      <c r="K231" t="s">
        <v>37</v>
      </c>
      <c r="L231" t="s">
        <v>389</v>
      </c>
      <c r="M231" t="s">
        <v>37</v>
      </c>
      <c r="N231" t="s">
        <v>37</v>
      </c>
      <c r="O231" t="s">
        <v>38</v>
      </c>
      <c r="P231" t="s">
        <v>39</v>
      </c>
      <c r="Q231" s="55">
        <v>45967</v>
      </c>
      <c r="V231">
        <v>1</v>
      </c>
    </row>
    <row r="232" spans="1:22">
      <c r="A232" s="55">
        <v>45903</v>
      </c>
      <c r="B232" t="s">
        <v>1081</v>
      </c>
      <c r="C232" t="s">
        <v>1082</v>
      </c>
      <c r="D232" t="s">
        <v>523</v>
      </c>
      <c r="E232">
        <v>85392</v>
      </c>
      <c r="F232" t="s">
        <v>310</v>
      </c>
      <c r="G232" t="s">
        <v>506</v>
      </c>
      <c r="H232" t="s">
        <v>1083</v>
      </c>
      <c r="I232" t="s">
        <v>36</v>
      </c>
      <c r="J232" t="s">
        <v>37</v>
      </c>
      <c r="K232" t="s">
        <v>37</v>
      </c>
      <c r="L232" t="s">
        <v>38</v>
      </c>
      <c r="M232" t="s">
        <v>37</v>
      </c>
      <c r="N232" t="s">
        <v>37</v>
      </c>
      <c r="O232" t="s">
        <v>38</v>
      </c>
      <c r="P232" t="s">
        <v>39</v>
      </c>
      <c r="Q232" s="55">
        <v>45967</v>
      </c>
      <c r="V232">
        <v>1</v>
      </c>
    </row>
    <row r="233" spans="1:22">
      <c r="A233" s="55">
        <v>45903</v>
      </c>
      <c r="B233" t="s">
        <v>1084</v>
      </c>
      <c r="C233" t="s">
        <v>1085</v>
      </c>
      <c r="D233" t="s">
        <v>169</v>
      </c>
      <c r="E233">
        <v>85395</v>
      </c>
      <c r="F233" t="s">
        <v>1086</v>
      </c>
      <c r="G233" t="s">
        <v>506</v>
      </c>
      <c r="H233" t="s">
        <v>1087</v>
      </c>
      <c r="I233" t="s">
        <v>36</v>
      </c>
      <c r="J233" t="s">
        <v>37</v>
      </c>
      <c r="K233" t="s">
        <v>37</v>
      </c>
      <c r="L233" t="s">
        <v>38</v>
      </c>
      <c r="M233" t="s">
        <v>37</v>
      </c>
      <c r="N233" t="s">
        <v>37</v>
      </c>
      <c r="O233" t="s">
        <v>38</v>
      </c>
      <c r="P233" t="s">
        <v>39</v>
      </c>
      <c r="Q233" s="55">
        <v>45967</v>
      </c>
      <c r="V233">
        <v>1</v>
      </c>
    </row>
    <row r="234" spans="1:22">
      <c r="A234" s="55">
        <v>45903</v>
      </c>
      <c r="B234" t="s">
        <v>1088</v>
      </c>
      <c r="C234" t="s">
        <v>1089</v>
      </c>
      <c r="D234" t="s">
        <v>169</v>
      </c>
      <c r="E234">
        <v>85338</v>
      </c>
      <c r="F234" t="s">
        <v>761</v>
      </c>
      <c r="G234" t="s">
        <v>506</v>
      </c>
      <c r="H234" t="s">
        <v>1090</v>
      </c>
      <c r="I234" t="s">
        <v>36</v>
      </c>
      <c r="J234" t="s">
        <v>37</v>
      </c>
      <c r="K234" t="s">
        <v>37</v>
      </c>
      <c r="L234" t="s">
        <v>38</v>
      </c>
      <c r="M234" t="s">
        <v>38</v>
      </c>
      <c r="N234">
        <v>2144.27</v>
      </c>
      <c r="O234" t="s">
        <v>38</v>
      </c>
      <c r="Q234" s="55">
        <v>45967</v>
      </c>
      <c r="R234" t="s">
        <v>495</v>
      </c>
      <c r="V234">
        <v>1</v>
      </c>
    </row>
    <row r="235" spans="1:22">
      <c r="A235" s="55">
        <v>45903</v>
      </c>
      <c r="B235" t="s">
        <v>1092</v>
      </c>
      <c r="C235" t="s">
        <v>1093</v>
      </c>
      <c r="D235" t="s">
        <v>202</v>
      </c>
      <c r="E235">
        <v>85383</v>
      </c>
      <c r="F235" t="s">
        <v>310</v>
      </c>
      <c r="G235" t="s">
        <v>506</v>
      </c>
      <c r="H235" t="s">
        <v>1094</v>
      </c>
      <c r="I235" t="s">
        <v>36</v>
      </c>
      <c r="J235" t="s">
        <v>37</v>
      </c>
      <c r="K235" t="s">
        <v>37</v>
      </c>
      <c r="L235" t="s">
        <v>38</v>
      </c>
      <c r="M235" t="s">
        <v>37</v>
      </c>
      <c r="N235" t="s">
        <v>37</v>
      </c>
      <c r="O235" t="s">
        <v>38</v>
      </c>
      <c r="P235" t="s">
        <v>39</v>
      </c>
      <c r="Q235" s="55">
        <v>45967</v>
      </c>
      <c r="V235">
        <v>1</v>
      </c>
    </row>
    <row r="236" spans="1:22">
      <c r="A236" s="55">
        <v>45903</v>
      </c>
      <c r="B236" t="s">
        <v>1095</v>
      </c>
      <c r="C236" t="s">
        <v>156</v>
      </c>
      <c r="D236" t="s">
        <v>24</v>
      </c>
      <c r="E236">
        <v>85308</v>
      </c>
      <c r="F236" t="s">
        <v>310</v>
      </c>
      <c r="G236" t="s">
        <v>506</v>
      </c>
      <c r="H236" t="s">
        <v>1096</v>
      </c>
      <c r="I236" t="s">
        <v>196</v>
      </c>
      <c r="J236" t="s">
        <v>37</v>
      </c>
      <c r="K236" t="s">
        <v>37</v>
      </c>
      <c r="L236" t="s">
        <v>1097</v>
      </c>
      <c r="M236" t="s">
        <v>37</v>
      </c>
      <c r="N236" t="s">
        <v>37</v>
      </c>
      <c r="O236" t="s">
        <v>38</v>
      </c>
      <c r="P236" t="s">
        <v>39</v>
      </c>
      <c r="Q236" s="55">
        <v>45967</v>
      </c>
      <c r="V236">
        <v>1</v>
      </c>
    </row>
    <row r="237" spans="1:22">
      <c r="A237" s="55">
        <v>45903</v>
      </c>
      <c r="B237" t="s">
        <v>1098</v>
      </c>
      <c r="C237" t="s">
        <v>1099</v>
      </c>
      <c r="D237" t="s">
        <v>125</v>
      </c>
      <c r="E237">
        <v>85251</v>
      </c>
      <c r="F237" t="s">
        <v>310</v>
      </c>
      <c r="G237" t="s">
        <v>506</v>
      </c>
      <c r="H237" t="s">
        <v>1100</v>
      </c>
      <c r="I237" t="s">
        <v>126</v>
      </c>
      <c r="J237" t="s">
        <v>37</v>
      </c>
      <c r="K237" t="s">
        <v>37</v>
      </c>
      <c r="L237" t="s">
        <v>1101</v>
      </c>
      <c r="M237" t="s">
        <v>37</v>
      </c>
      <c r="N237" t="s">
        <v>37</v>
      </c>
      <c r="O237" t="s">
        <v>38</v>
      </c>
      <c r="P237" t="s">
        <v>39</v>
      </c>
      <c r="Q237" s="55">
        <v>45967</v>
      </c>
      <c r="V237">
        <v>1</v>
      </c>
    </row>
    <row r="238" spans="1:22">
      <c r="A238" s="55">
        <v>45903</v>
      </c>
      <c r="B238" t="s">
        <v>1102</v>
      </c>
      <c r="C238" t="s">
        <v>1103</v>
      </c>
      <c r="D238" t="s">
        <v>125</v>
      </c>
      <c r="E238">
        <v>85266</v>
      </c>
      <c r="F238" t="s">
        <v>31</v>
      </c>
      <c r="G238" t="s">
        <v>506</v>
      </c>
      <c r="H238">
        <v>6177370000</v>
      </c>
      <c r="I238" t="s">
        <v>36</v>
      </c>
      <c r="J238" t="s">
        <v>37</v>
      </c>
      <c r="K238" t="s">
        <v>37</v>
      </c>
      <c r="L238" t="s">
        <v>38</v>
      </c>
      <c r="M238" t="s">
        <v>37</v>
      </c>
      <c r="N238" t="s">
        <v>37</v>
      </c>
      <c r="O238" t="s">
        <v>38</v>
      </c>
      <c r="P238" t="s">
        <v>39</v>
      </c>
      <c r="Q238" s="55">
        <v>45967</v>
      </c>
      <c r="V238">
        <v>1</v>
      </c>
    </row>
    <row r="239" spans="1:22">
      <c r="A239" s="55">
        <v>45903</v>
      </c>
      <c r="B239" t="s">
        <v>1107</v>
      </c>
      <c r="C239" t="s">
        <v>1108</v>
      </c>
      <c r="D239" t="s">
        <v>63</v>
      </c>
      <c r="E239">
        <v>85085</v>
      </c>
      <c r="F239" t="s">
        <v>310</v>
      </c>
      <c r="G239" t="s">
        <v>506</v>
      </c>
      <c r="H239" t="s">
        <v>1109</v>
      </c>
      <c r="I239" t="s">
        <v>73</v>
      </c>
      <c r="J239" t="s">
        <v>37</v>
      </c>
      <c r="K239" t="s">
        <v>37</v>
      </c>
      <c r="L239" t="s">
        <v>38</v>
      </c>
      <c r="M239" t="s">
        <v>37</v>
      </c>
      <c r="N239" t="s">
        <v>37</v>
      </c>
      <c r="O239" t="s">
        <v>38</v>
      </c>
      <c r="P239" t="s">
        <v>39</v>
      </c>
      <c r="Q239" s="55">
        <v>45967</v>
      </c>
      <c r="V239">
        <v>1</v>
      </c>
    </row>
    <row r="240" spans="1:22">
      <c r="A240" s="55">
        <v>45903</v>
      </c>
      <c r="B240" t="s">
        <v>1112</v>
      </c>
      <c r="C240" t="s">
        <v>1113</v>
      </c>
      <c r="D240" t="s">
        <v>523</v>
      </c>
      <c r="E240">
        <v>85392</v>
      </c>
      <c r="F240" t="s">
        <v>31</v>
      </c>
      <c r="G240" t="s">
        <v>506</v>
      </c>
      <c r="H240">
        <v>3066335881</v>
      </c>
      <c r="I240" t="s">
        <v>196</v>
      </c>
      <c r="J240" t="s">
        <v>37</v>
      </c>
      <c r="K240" t="s">
        <v>37</v>
      </c>
      <c r="L240" t="s">
        <v>38</v>
      </c>
      <c r="M240" t="s">
        <v>37</v>
      </c>
      <c r="N240" t="s">
        <v>37</v>
      </c>
      <c r="O240" t="s">
        <v>38</v>
      </c>
      <c r="P240" t="s">
        <v>39</v>
      </c>
      <c r="Q240" s="55">
        <v>45967</v>
      </c>
      <c r="V240">
        <v>1</v>
      </c>
    </row>
    <row r="241" spans="1:22">
      <c r="A241" s="55">
        <v>45903</v>
      </c>
      <c r="B241" t="s">
        <v>1116</v>
      </c>
      <c r="C241" t="s">
        <v>1117</v>
      </c>
      <c r="D241" t="s">
        <v>63</v>
      </c>
      <c r="E241">
        <v>85020</v>
      </c>
      <c r="F241" t="s">
        <v>310</v>
      </c>
      <c r="G241" t="s">
        <v>506</v>
      </c>
      <c r="H241" t="s">
        <v>1118</v>
      </c>
      <c r="I241" t="s">
        <v>36</v>
      </c>
      <c r="J241" t="s">
        <v>37</v>
      </c>
      <c r="K241" t="s">
        <v>37</v>
      </c>
      <c r="L241" t="s">
        <v>38</v>
      </c>
      <c r="M241" t="s">
        <v>37</v>
      </c>
      <c r="N241" t="s">
        <v>37</v>
      </c>
      <c r="O241" t="s">
        <v>38</v>
      </c>
      <c r="P241" t="s">
        <v>39</v>
      </c>
      <c r="Q241" s="55">
        <v>45967</v>
      </c>
      <c r="V241">
        <v>1</v>
      </c>
    </row>
    <row r="242" spans="1:22">
      <c r="A242" s="55">
        <v>45903</v>
      </c>
      <c r="B242" t="s">
        <v>1119</v>
      </c>
      <c r="C242" t="s">
        <v>1120</v>
      </c>
      <c r="D242" t="s">
        <v>63</v>
      </c>
      <c r="E242">
        <v>85050</v>
      </c>
      <c r="F242" t="s">
        <v>1121</v>
      </c>
      <c r="G242" t="s">
        <v>506</v>
      </c>
      <c r="H242" t="s">
        <v>1122</v>
      </c>
      <c r="I242" t="s">
        <v>36</v>
      </c>
      <c r="J242" t="s">
        <v>37</v>
      </c>
      <c r="K242" t="s">
        <v>37</v>
      </c>
      <c r="L242" t="s">
        <v>38</v>
      </c>
      <c r="M242" t="s">
        <v>37</v>
      </c>
      <c r="N242" t="s">
        <v>37</v>
      </c>
      <c r="O242" t="s">
        <v>38</v>
      </c>
      <c r="P242" t="s">
        <v>39</v>
      </c>
      <c r="Q242" s="55">
        <v>45967</v>
      </c>
      <c r="V242">
        <v>1</v>
      </c>
    </row>
    <row r="243" spans="1:22">
      <c r="A243" s="55">
        <v>45903</v>
      </c>
      <c r="B243" t="s">
        <v>1123</v>
      </c>
      <c r="C243" t="s">
        <v>1124</v>
      </c>
      <c r="D243" t="s">
        <v>24</v>
      </c>
      <c r="E243">
        <v>85307</v>
      </c>
      <c r="F243" t="s">
        <v>31</v>
      </c>
      <c r="G243" t="s">
        <v>506</v>
      </c>
      <c r="H243" t="s">
        <v>1125</v>
      </c>
      <c r="I243" t="s">
        <v>36</v>
      </c>
      <c r="J243" t="s">
        <v>37</v>
      </c>
      <c r="K243" t="s">
        <v>37</v>
      </c>
      <c r="L243" t="s">
        <v>38</v>
      </c>
      <c r="M243" t="s">
        <v>37</v>
      </c>
      <c r="N243" t="s">
        <v>37</v>
      </c>
      <c r="O243" t="s">
        <v>38</v>
      </c>
      <c r="P243" t="s">
        <v>39</v>
      </c>
      <c r="Q243" s="55">
        <v>45967</v>
      </c>
      <c r="V243">
        <v>1</v>
      </c>
    </row>
    <row r="244" spans="1:22">
      <c r="A244" s="55">
        <v>45903</v>
      </c>
      <c r="B244" t="s">
        <v>1126</v>
      </c>
      <c r="C244" t="s">
        <v>1127</v>
      </c>
      <c r="D244" t="s">
        <v>24</v>
      </c>
      <c r="E244">
        <v>85308</v>
      </c>
      <c r="F244" t="s">
        <v>310</v>
      </c>
      <c r="G244" t="s">
        <v>506</v>
      </c>
      <c r="H244" t="s">
        <v>1128</v>
      </c>
      <c r="I244" t="s">
        <v>36</v>
      </c>
      <c r="J244" t="s">
        <v>37</v>
      </c>
      <c r="K244" t="s">
        <v>37</v>
      </c>
      <c r="L244" t="s">
        <v>38</v>
      </c>
      <c r="M244" t="s">
        <v>37</v>
      </c>
      <c r="N244" t="s">
        <v>37</v>
      </c>
      <c r="O244" t="s">
        <v>38</v>
      </c>
      <c r="P244" t="s">
        <v>39</v>
      </c>
      <c r="Q244" s="55">
        <v>45967</v>
      </c>
      <c r="V244">
        <v>1</v>
      </c>
    </row>
    <row r="245" spans="1:22">
      <c r="A245" s="55">
        <v>45903</v>
      </c>
      <c r="B245" t="s">
        <v>1129</v>
      </c>
      <c r="C245" t="s">
        <v>1130</v>
      </c>
      <c r="D245" t="s">
        <v>63</v>
      </c>
      <c r="E245">
        <v>85050</v>
      </c>
      <c r="F245" t="s">
        <v>31</v>
      </c>
      <c r="G245" t="s">
        <v>506</v>
      </c>
      <c r="H245" t="s">
        <v>1131</v>
      </c>
      <c r="I245" t="s">
        <v>196</v>
      </c>
      <c r="J245" t="s">
        <v>37</v>
      </c>
      <c r="K245" t="s">
        <v>37</v>
      </c>
      <c r="L245" t="s">
        <v>38</v>
      </c>
      <c r="M245" t="s">
        <v>37</v>
      </c>
      <c r="N245" t="s">
        <v>37</v>
      </c>
      <c r="O245" t="s">
        <v>38</v>
      </c>
      <c r="P245" t="s">
        <v>39</v>
      </c>
      <c r="Q245" s="55">
        <v>45967</v>
      </c>
      <c r="V245">
        <v>1</v>
      </c>
    </row>
    <row r="246" spans="1:22">
      <c r="A246" s="55">
        <v>45903</v>
      </c>
      <c r="B246" t="s">
        <v>1132</v>
      </c>
      <c r="C246" t="s">
        <v>1133</v>
      </c>
      <c r="D246" t="s">
        <v>63</v>
      </c>
      <c r="E246">
        <v>85024</v>
      </c>
      <c r="F246" t="s">
        <v>310</v>
      </c>
      <c r="G246" t="s">
        <v>506</v>
      </c>
      <c r="H246">
        <v>6430651000</v>
      </c>
      <c r="I246" t="s">
        <v>196</v>
      </c>
      <c r="J246" t="s">
        <v>37</v>
      </c>
      <c r="K246" t="s">
        <v>37</v>
      </c>
      <c r="L246" t="s">
        <v>38</v>
      </c>
      <c r="M246" t="s">
        <v>37</v>
      </c>
      <c r="N246" t="s">
        <v>37</v>
      </c>
      <c r="O246" t="s">
        <v>38</v>
      </c>
      <c r="P246" t="s">
        <v>39</v>
      </c>
      <c r="Q246" s="55">
        <v>45967</v>
      </c>
      <c r="V246">
        <v>1</v>
      </c>
    </row>
    <row r="247" spans="1:22">
      <c r="A247" s="55">
        <v>45903</v>
      </c>
      <c r="B247" t="s">
        <v>1136</v>
      </c>
      <c r="C247" t="s">
        <v>177</v>
      </c>
      <c r="D247" t="s">
        <v>169</v>
      </c>
      <c r="E247">
        <v>85338</v>
      </c>
      <c r="F247" t="s">
        <v>1137</v>
      </c>
      <c r="G247" t="s">
        <v>506</v>
      </c>
      <c r="H247" t="s">
        <v>1138</v>
      </c>
      <c r="I247" t="s">
        <v>36</v>
      </c>
      <c r="J247" t="s">
        <v>38</v>
      </c>
      <c r="K247" t="s">
        <v>37</v>
      </c>
      <c r="L247" t="s">
        <v>38</v>
      </c>
      <c r="M247" t="s">
        <v>37</v>
      </c>
      <c r="N247" t="s">
        <v>37</v>
      </c>
      <c r="O247" t="s">
        <v>38</v>
      </c>
      <c r="P247" t="s">
        <v>39</v>
      </c>
      <c r="Q247" s="55">
        <v>45967</v>
      </c>
      <c r="V247">
        <v>1</v>
      </c>
    </row>
    <row r="248" spans="1:22">
      <c r="A248" s="55">
        <v>45903</v>
      </c>
      <c r="B248" t="s">
        <v>1139</v>
      </c>
      <c r="C248" t="s">
        <v>1140</v>
      </c>
      <c r="D248" t="s">
        <v>169</v>
      </c>
      <c r="E248">
        <v>85395</v>
      </c>
      <c r="F248" t="s">
        <v>1141</v>
      </c>
      <c r="G248" t="s">
        <v>506</v>
      </c>
      <c r="H248">
        <v>1370139140</v>
      </c>
      <c r="I248" t="s">
        <v>36</v>
      </c>
      <c r="J248" t="s">
        <v>37</v>
      </c>
      <c r="K248" t="s">
        <v>37</v>
      </c>
      <c r="L248" t="s">
        <v>38</v>
      </c>
      <c r="M248" t="s">
        <v>37</v>
      </c>
      <c r="N248" t="s">
        <v>37</v>
      </c>
      <c r="O248" t="s">
        <v>38</v>
      </c>
      <c r="P248" t="s">
        <v>39</v>
      </c>
      <c r="Q248" s="55">
        <v>45967</v>
      </c>
      <c r="V248">
        <v>1</v>
      </c>
    </row>
    <row r="249" spans="1:22">
      <c r="A249" s="55">
        <v>45903</v>
      </c>
      <c r="B249" t="s">
        <v>1142</v>
      </c>
      <c r="C249" t="s">
        <v>1143</v>
      </c>
      <c r="D249" t="s">
        <v>125</v>
      </c>
      <c r="E249">
        <v>85266</v>
      </c>
      <c r="F249" t="s">
        <v>310</v>
      </c>
      <c r="G249" t="s">
        <v>506</v>
      </c>
      <c r="H249" t="s">
        <v>1144</v>
      </c>
      <c r="I249" t="s">
        <v>36</v>
      </c>
      <c r="J249" t="s">
        <v>37</v>
      </c>
      <c r="K249" t="s">
        <v>37</v>
      </c>
      <c r="L249" t="s">
        <v>38</v>
      </c>
      <c r="M249" t="s">
        <v>37</v>
      </c>
      <c r="N249" t="s">
        <v>37</v>
      </c>
      <c r="O249" t="s">
        <v>38</v>
      </c>
      <c r="P249" t="s">
        <v>39</v>
      </c>
      <c r="Q249" s="55">
        <v>45967</v>
      </c>
      <c r="V249">
        <v>1</v>
      </c>
    </row>
    <row r="250" spans="1:22">
      <c r="A250" s="55">
        <v>45903</v>
      </c>
      <c r="B250" t="s">
        <v>1151</v>
      </c>
      <c r="C250" t="s">
        <v>1152</v>
      </c>
      <c r="D250" t="s">
        <v>202</v>
      </c>
      <c r="E250">
        <v>85383</v>
      </c>
      <c r="F250" t="s">
        <v>310</v>
      </c>
      <c r="G250" t="s">
        <v>506</v>
      </c>
      <c r="H250">
        <v>3401570000</v>
      </c>
      <c r="I250" t="s">
        <v>541</v>
      </c>
      <c r="J250" t="s">
        <v>37</v>
      </c>
      <c r="K250" t="s">
        <v>37</v>
      </c>
      <c r="L250" t="s">
        <v>389</v>
      </c>
      <c r="M250" t="s">
        <v>37</v>
      </c>
      <c r="N250" t="s">
        <v>37</v>
      </c>
      <c r="O250" t="s">
        <v>38</v>
      </c>
      <c r="P250" t="s">
        <v>39</v>
      </c>
      <c r="Q250" s="55">
        <v>45967</v>
      </c>
      <c r="V250">
        <v>1</v>
      </c>
    </row>
    <row r="251" spans="1:22">
      <c r="A251" s="55">
        <v>45903</v>
      </c>
      <c r="B251" t="s">
        <v>1153</v>
      </c>
      <c r="C251" t="s">
        <v>1154</v>
      </c>
      <c r="D251" t="s">
        <v>63</v>
      </c>
      <c r="E251">
        <v>85024</v>
      </c>
      <c r="F251" t="s">
        <v>1155</v>
      </c>
      <c r="G251" t="s">
        <v>506</v>
      </c>
      <c r="H251" t="s">
        <v>1156</v>
      </c>
      <c r="I251" t="s">
        <v>196</v>
      </c>
      <c r="J251" t="s">
        <v>37</v>
      </c>
      <c r="K251" t="s">
        <v>37</v>
      </c>
      <c r="L251" t="s">
        <v>1157</v>
      </c>
      <c r="M251" t="s">
        <v>37</v>
      </c>
      <c r="N251" t="s">
        <v>37</v>
      </c>
      <c r="O251" t="s">
        <v>38</v>
      </c>
      <c r="P251">
        <v>45936</v>
      </c>
      <c r="Q251" s="55">
        <v>45967</v>
      </c>
      <c r="R251" t="s">
        <v>1158</v>
      </c>
      <c r="V251">
        <v>1</v>
      </c>
    </row>
    <row r="252" spans="1:22">
      <c r="A252" s="55">
        <v>45903</v>
      </c>
      <c r="B252" t="s">
        <v>1159</v>
      </c>
      <c r="C252" t="s">
        <v>1160</v>
      </c>
      <c r="D252" t="s">
        <v>202</v>
      </c>
      <c r="E252">
        <v>85383</v>
      </c>
      <c r="F252" t="s">
        <v>310</v>
      </c>
      <c r="G252" t="s">
        <v>506</v>
      </c>
      <c r="H252" t="s">
        <v>1161</v>
      </c>
      <c r="I252" t="s">
        <v>36</v>
      </c>
      <c r="J252" t="s">
        <v>37</v>
      </c>
      <c r="K252" t="s">
        <v>37</v>
      </c>
      <c r="L252" t="s">
        <v>38</v>
      </c>
      <c r="M252" t="s">
        <v>37</v>
      </c>
      <c r="N252" t="s">
        <v>37</v>
      </c>
      <c r="O252" t="s">
        <v>38</v>
      </c>
      <c r="P252" t="s">
        <v>39</v>
      </c>
      <c r="Q252" s="55">
        <v>45967</v>
      </c>
      <c r="V252">
        <v>1</v>
      </c>
    </row>
    <row r="253" spans="1:22">
      <c r="A253" s="55">
        <v>45903</v>
      </c>
      <c r="B253" t="s">
        <v>1162</v>
      </c>
      <c r="C253" t="s">
        <v>1163</v>
      </c>
      <c r="D253" t="s">
        <v>63</v>
      </c>
      <c r="E253">
        <v>85085</v>
      </c>
      <c r="F253" t="s">
        <v>310</v>
      </c>
      <c r="G253" t="s">
        <v>506</v>
      </c>
      <c r="H253" t="s">
        <v>1164</v>
      </c>
      <c r="I253" t="s">
        <v>36</v>
      </c>
      <c r="J253" t="s">
        <v>37</v>
      </c>
      <c r="K253" t="s">
        <v>37</v>
      </c>
      <c r="L253" t="s">
        <v>38</v>
      </c>
      <c r="M253" t="s">
        <v>37</v>
      </c>
      <c r="N253" t="s">
        <v>37</v>
      </c>
      <c r="O253" t="s">
        <v>38</v>
      </c>
      <c r="P253" t="s">
        <v>39</v>
      </c>
      <c r="Q253" s="55">
        <v>45967</v>
      </c>
      <c r="V253">
        <v>1</v>
      </c>
    </row>
    <row r="254" spans="1:22">
      <c r="A254" s="55">
        <v>45903</v>
      </c>
      <c r="B254" t="s">
        <v>1165</v>
      </c>
      <c r="C254" t="s">
        <v>1166</v>
      </c>
      <c r="D254" t="s">
        <v>240</v>
      </c>
      <c r="E254">
        <v>85340</v>
      </c>
      <c r="F254" t="s">
        <v>1167</v>
      </c>
      <c r="G254" t="s">
        <v>506</v>
      </c>
      <c r="H254" t="s">
        <v>1168</v>
      </c>
      <c r="I254" t="s">
        <v>126</v>
      </c>
      <c r="J254" t="s">
        <v>38</v>
      </c>
      <c r="K254" t="s">
        <v>37</v>
      </c>
      <c r="L254" t="s">
        <v>1169</v>
      </c>
      <c r="M254" t="s">
        <v>37</v>
      </c>
      <c r="N254" t="s">
        <v>37</v>
      </c>
      <c r="O254" t="s">
        <v>38</v>
      </c>
      <c r="P254" t="s">
        <v>39</v>
      </c>
      <c r="Q254" s="55">
        <v>45967</v>
      </c>
      <c r="V254">
        <v>1</v>
      </c>
    </row>
    <row r="255" spans="1:22">
      <c r="A255" s="55">
        <v>45903</v>
      </c>
      <c r="B255" t="s">
        <v>1170</v>
      </c>
      <c r="C255" t="s">
        <v>1171</v>
      </c>
      <c r="D255" t="s">
        <v>63</v>
      </c>
      <c r="E255">
        <v>85050</v>
      </c>
      <c r="F255" t="s">
        <v>1172</v>
      </c>
      <c r="G255" t="s">
        <v>506</v>
      </c>
      <c r="H255" t="s">
        <v>1173</v>
      </c>
      <c r="I255" t="s">
        <v>1040</v>
      </c>
      <c r="J255" t="s">
        <v>37</v>
      </c>
      <c r="K255" t="s">
        <v>37</v>
      </c>
      <c r="L255" t="s">
        <v>1174</v>
      </c>
      <c r="M255" t="s">
        <v>37</v>
      </c>
      <c r="N255" t="s">
        <v>37</v>
      </c>
      <c r="O255" t="s">
        <v>38</v>
      </c>
      <c r="P255">
        <v>45936</v>
      </c>
      <c r="Q255" s="55">
        <v>45967</v>
      </c>
      <c r="R255" t="s">
        <v>1175</v>
      </c>
      <c r="V255">
        <v>1</v>
      </c>
    </row>
    <row r="256" spans="1:22">
      <c r="A256" s="55">
        <v>45903</v>
      </c>
      <c r="B256" t="s">
        <v>1178</v>
      </c>
      <c r="C256" t="s">
        <v>1179</v>
      </c>
      <c r="D256" t="s">
        <v>30</v>
      </c>
      <c r="E256">
        <v>85085</v>
      </c>
      <c r="F256" t="s">
        <v>310</v>
      </c>
      <c r="G256" t="s">
        <v>506</v>
      </c>
      <c r="H256" t="s">
        <v>1180</v>
      </c>
      <c r="I256" t="s">
        <v>196</v>
      </c>
      <c r="J256" t="s">
        <v>37</v>
      </c>
      <c r="K256" t="s">
        <v>37</v>
      </c>
      <c r="L256" t="s">
        <v>1181</v>
      </c>
      <c r="M256" t="s">
        <v>37</v>
      </c>
      <c r="N256" t="s">
        <v>37</v>
      </c>
      <c r="O256" t="s">
        <v>38</v>
      </c>
      <c r="P256" t="s">
        <v>39</v>
      </c>
      <c r="Q256" s="55">
        <v>45967</v>
      </c>
      <c r="V256">
        <v>1</v>
      </c>
    </row>
    <row r="257" spans="1:22">
      <c r="A257" s="55">
        <v>45903</v>
      </c>
      <c r="B257" t="s">
        <v>1185</v>
      </c>
      <c r="C257" t="s">
        <v>312</v>
      </c>
      <c r="D257" t="s">
        <v>523</v>
      </c>
      <c r="E257">
        <v>85323</v>
      </c>
      <c r="F257" t="s">
        <v>1186</v>
      </c>
      <c r="G257" t="s">
        <v>506</v>
      </c>
      <c r="H257" t="s">
        <v>1187</v>
      </c>
      <c r="I257" t="s">
        <v>73</v>
      </c>
      <c r="J257" t="s">
        <v>37</v>
      </c>
      <c r="K257" t="s">
        <v>37</v>
      </c>
      <c r="L257" t="s">
        <v>38</v>
      </c>
      <c r="M257" t="s">
        <v>37</v>
      </c>
      <c r="N257" t="s">
        <v>37</v>
      </c>
      <c r="O257" t="s">
        <v>38</v>
      </c>
      <c r="P257" t="s">
        <v>39</v>
      </c>
      <c r="Q257" s="55">
        <v>45967</v>
      </c>
      <c r="V257">
        <v>1</v>
      </c>
    </row>
    <row r="258" spans="1:22">
      <c r="A258" s="55">
        <v>45903</v>
      </c>
      <c r="B258" t="s">
        <v>1190</v>
      </c>
      <c r="C258" t="s">
        <v>1191</v>
      </c>
      <c r="D258" t="s">
        <v>523</v>
      </c>
      <c r="E258">
        <v>85392</v>
      </c>
      <c r="F258" t="s">
        <v>1186</v>
      </c>
      <c r="G258" t="s">
        <v>506</v>
      </c>
      <c r="H258" t="s">
        <v>1192</v>
      </c>
      <c r="I258" t="s">
        <v>196</v>
      </c>
      <c r="J258" t="s">
        <v>37</v>
      </c>
      <c r="K258" t="s">
        <v>37</v>
      </c>
      <c r="L258" t="s">
        <v>38</v>
      </c>
      <c r="M258" t="s">
        <v>37</v>
      </c>
      <c r="N258" t="s">
        <v>37</v>
      </c>
      <c r="O258" t="s">
        <v>38</v>
      </c>
      <c r="P258" t="s">
        <v>39</v>
      </c>
      <c r="Q258" s="55">
        <v>45967</v>
      </c>
      <c r="V258">
        <v>1</v>
      </c>
    </row>
    <row r="259" spans="1:22">
      <c r="A259" s="55">
        <v>45903</v>
      </c>
      <c r="B259" t="s">
        <v>1195</v>
      </c>
      <c r="C259" t="s">
        <v>558</v>
      </c>
      <c r="D259" t="s">
        <v>63</v>
      </c>
      <c r="E259">
        <v>85050</v>
      </c>
      <c r="F259" t="s">
        <v>310</v>
      </c>
      <c r="G259" t="s">
        <v>506</v>
      </c>
      <c r="H259" t="s">
        <v>1196</v>
      </c>
      <c r="I259" t="s">
        <v>36</v>
      </c>
      <c r="J259" t="s">
        <v>37</v>
      </c>
      <c r="K259" t="s">
        <v>37</v>
      </c>
      <c r="L259" t="s">
        <v>38</v>
      </c>
      <c r="M259" t="s">
        <v>37</v>
      </c>
      <c r="N259" t="s">
        <v>37</v>
      </c>
      <c r="O259" t="s">
        <v>38</v>
      </c>
      <c r="P259" t="s">
        <v>39</v>
      </c>
      <c r="Q259" s="55">
        <v>45967</v>
      </c>
      <c r="V259">
        <v>1</v>
      </c>
    </row>
    <row r="260" spans="1:22">
      <c r="A260" s="55">
        <v>45903</v>
      </c>
      <c r="B260" t="s">
        <v>1197</v>
      </c>
      <c r="C260" t="s">
        <v>1198</v>
      </c>
      <c r="D260" t="s">
        <v>63</v>
      </c>
      <c r="E260">
        <v>85050</v>
      </c>
      <c r="F260" t="s">
        <v>1199</v>
      </c>
      <c r="G260" t="s">
        <v>506</v>
      </c>
      <c r="H260" t="s">
        <v>1200</v>
      </c>
      <c r="I260" t="s">
        <v>196</v>
      </c>
      <c r="J260" t="s">
        <v>37</v>
      </c>
      <c r="K260" t="s">
        <v>37</v>
      </c>
      <c r="L260" t="s">
        <v>38</v>
      </c>
      <c r="M260" t="s">
        <v>37</v>
      </c>
      <c r="N260" t="s">
        <v>37</v>
      </c>
      <c r="O260" t="s">
        <v>38</v>
      </c>
      <c r="P260" t="s">
        <v>39</v>
      </c>
      <c r="Q260" s="55">
        <v>45967</v>
      </c>
      <c r="V260">
        <v>1</v>
      </c>
    </row>
    <row r="261" spans="1:22">
      <c r="A261" s="55">
        <v>45903</v>
      </c>
      <c r="B261" t="s">
        <v>1202</v>
      </c>
      <c r="C261" t="s">
        <v>1203</v>
      </c>
      <c r="D261" t="s">
        <v>1204</v>
      </c>
      <c r="E261">
        <v>85355</v>
      </c>
      <c r="F261" t="s">
        <v>1205</v>
      </c>
      <c r="G261" t="s">
        <v>506</v>
      </c>
      <c r="H261" t="s">
        <v>1206</v>
      </c>
      <c r="I261" t="s">
        <v>36</v>
      </c>
      <c r="J261" t="s">
        <v>37</v>
      </c>
      <c r="K261" t="s">
        <v>37</v>
      </c>
      <c r="L261" t="s">
        <v>38</v>
      </c>
      <c r="M261" t="s">
        <v>37</v>
      </c>
      <c r="N261" t="s">
        <v>37</v>
      </c>
      <c r="O261" t="s">
        <v>38</v>
      </c>
      <c r="P261" t="s">
        <v>39</v>
      </c>
      <c r="Q261" s="55">
        <v>45967</v>
      </c>
      <c r="V261">
        <v>1</v>
      </c>
    </row>
    <row r="262" spans="1:22">
      <c r="A262" s="55">
        <v>45903</v>
      </c>
      <c r="B262" t="s">
        <v>824</v>
      </c>
      <c r="C262" t="s">
        <v>328</v>
      </c>
      <c r="D262" t="s">
        <v>112</v>
      </c>
      <c r="E262">
        <v>85379</v>
      </c>
      <c r="F262" t="s">
        <v>310</v>
      </c>
      <c r="G262" t="s">
        <v>506</v>
      </c>
      <c r="H262" t="s">
        <v>1207</v>
      </c>
      <c r="I262" t="s">
        <v>36</v>
      </c>
      <c r="J262" t="s">
        <v>37</v>
      </c>
      <c r="K262" t="s">
        <v>37</v>
      </c>
      <c r="L262" t="s">
        <v>38</v>
      </c>
      <c r="M262" t="s">
        <v>37</v>
      </c>
      <c r="N262" t="s">
        <v>37</v>
      </c>
      <c r="O262" t="s">
        <v>38</v>
      </c>
      <c r="P262" t="s">
        <v>39</v>
      </c>
      <c r="Q262" s="55">
        <v>45967</v>
      </c>
      <c r="V262">
        <v>1</v>
      </c>
    </row>
    <row r="263" spans="1:22">
      <c r="A263" s="55">
        <v>45903</v>
      </c>
      <c r="B263" t="s">
        <v>1210</v>
      </c>
      <c r="C263" t="s">
        <v>115</v>
      </c>
      <c r="D263" t="s">
        <v>169</v>
      </c>
      <c r="E263">
        <v>85338</v>
      </c>
      <c r="F263" t="s">
        <v>1211</v>
      </c>
      <c r="G263" t="s">
        <v>506</v>
      </c>
      <c r="H263" t="s">
        <v>1212</v>
      </c>
      <c r="I263" t="s">
        <v>36</v>
      </c>
      <c r="J263" t="s">
        <v>37</v>
      </c>
      <c r="K263" t="s">
        <v>37</v>
      </c>
      <c r="L263" t="s">
        <v>38</v>
      </c>
      <c r="M263" t="s">
        <v>37</v>
      </c>
      <c r="N263" t="s">
        <v>37</v>
      </c>
      <c r="O263" t="s">
        <v>38</v>
      </c>
      <c r="P263" t="s">
        <v>39</v>
      </c>
      <c r="Q263" s="55">
        <v>45967</v>
      </c>
      <c r="V263">
        <v>1</v>
      </c>
    </row>
    <row r="264" spans="1:22">
      <c r="A264" s="55">
        <v>45903</v>
      </c>
      <c r="B264" t="s">
        <v>1213</v>
      </c>
      <c r="C264" t="s">
        <v>1214</v>
      </c>
      <c r="D264" t="s">
        <v>169</v>
      </c>
      <c r="E264">
        <v>85338</v>
      </c>
      <c r="F264" t="s">
        <v>1215</v>
      </c>
      <c r="G264" t="s">
        <v>506</v>
      </c>
      <c r="H264" t="s">
        <v>1216</v>
      </c>
      <c r="I264" t="s">
        <v>46</v>
      </c>
      <c r="J264" t="s">
        <v>37</v>
      </c>
      <c r="K264" t="s">
        <v>37</v>
      </c>
      <c r="L264" t="s">
        <v>1217</v>
      </c>
      <c r="M264" t="s">
        <v>37</v>
      </c>
      <c r="N264" t="s">
        <v>37</v>
      </c>
      <c r="O264" t="s">
        <v>38</v>
      </c>
      <c r="P264">
        <v>46301</v>
      </c>
      <c r="Q264" s="55">
        <v>45967</v>
      </c>
      <c r="R264" t="s">
        <v>1218</v>
      </c>
      <c r="V264">
        <v>1</v>
      </c>
    </row>
    <row r="265" spans="1:22">
      <c r="A265" s="55">
        <v>45903</v>
      </c>
      <c r="B265" t="s">
        <v>1219</v>
      </c>
      <c r="C265" t="s">
        <v>1220</v>
      </c>
      <c r="D265" t="s">
        <v>240</v>
      </c>
      <c r="E265">
        <v>85340</v>
      </c>
      <c r="F265" t="s">
        <v>31</v>
      </c>
      <c r="G265" t="s">
        <v>506</v>
      </c>
      <c r="H265" t="s">
        <v>1221</v>
      </c>
      <c r="I265" t="s">
        <v>36</v>
      </c>
      <c r="J265" t="s">
        <v>37</v>
      </c>
      <c r="K265" t="s">
        <v>37</v>
      </c>
      <c r="L265" t="s">
        <v>38</v>
      </c>
      <c r="M265" t="s">
        <v>37</v>
      </c>
      <c r="N265" t="s">
        <v>37</v>
      </c>
      <c r="O265" t="s">
        <v>38</v>
      </c>
      <c r="P265" t="s">
        <v>39</v>
      </c>
      <c r="Q265" s="55">
        <v>45967</v>
      </c>
      <c r="V265">
        <v>1</v>
      </c>
    </row>
    <row r="266" spans="1:22">
      <c r="A266" s="55">
        <v>45903</v>
      </c>
      <c r="B266" t="s">
        <v>1222</v>
      </c>
      <c r="C266" t="s">
        <v>1223</v>
      </c>
      <c r="D266" t="s">
        <v>169</v>
      </c>
      <c r="E266">
        <v>85395</v>
      </c>
      <c r="F266" t="s">
        <v>1224</v>
      </c>
      <c r="G266" t="s">
        <v>506</v>
      </c>
      <c r="H266" t="s">
        <v>1225</v>
      </c>
      <c r="I266" t="s">
        <v>46</v>
      </c>
      <c r="J266" t="s">
        <v>37</v>
      </c>
      <c r="K266" t="s">
        <v>37</v>
      </c>
      <c r="L266" t="s">
        <v>38</v>
      </c>
      <c r="M266" t="s">
        <v>37</v>
      </c>
      <c r="N266" t="s">
        <v>37</v>
      </c>
      <c r="O266" t="s">
        <v>38</v>
      </c>
      <c r="P266" t="s">
        <v>39</v>
      </c>
      <c r="Q266" s="55">
        <v>45967</v>
      </c>
      <c r="V266">
        <v>1</v>
      </c>
    </row>
    <row r="267" spans="1:22">
      <c r="A267" s="55">
        <v>45903</v>
      </c>
      <c r="B267" t="s">
        <v>1226</v>
      </c>
      <c r="C267" t="s">
        <v>1227</v>
      </c>
      <c r="D267" t="s">
        <v>112</v>
      </c>
      <c r="E267">
        <v>85387</v>
      </c>
      <c r="F267" t="s">
        <v>31</v>
      </c>
      <c r="G267" t="s">
        <v>506</v>
      </c>
      <c r="H267" t="s">
        <v>1228</v>
      </c>
      <c r="I267" t="s">
        <v>196</v>
      </c>
      <c r="J267" t="s">
        <v>37</v>
      </c>
      <c r="K267" t="s">
        <v>37</v>
      </c>
      <c r="L267" t="s">
        <v>1229</v>
      </c>
      <c r="M267" t="s">
        <v>37</v>
      </c>
      <c r="N267" t="s">
        <v>37</v>
      </c>
      <c r="O267" t="s">
        <v>38</v>
      </c>
      <c r="P267" t="s">
        <v>39</v>
      </c>
      <c r="Q267" s="55">
        <v>45967</v>
      </c>
      <c r="R267" t="s">
        <v>1230</v>
      </c>
      <c r="V267">
        <v>1</v>
      </c>
    </row>
    <row r="268" spans="1:22">
      <c r="A268" s="55">
        <v>45903</v>
      </c>
      <c r="B268" t="s">
        <v>1233</v>
      </c>
      <c r="C268" t="s">
        <v>359</v>
      </c>
      <c r="D268" t="s">
        <v>169</v>
      </c>
      <c r="E268">
        <v>85338</v>
      </c>
      <c r="F268" t="s">
        <v>310</v>
      </c>
      <c r="G268" t="s">
        <v>506</v>
      </c>
      <c r="H268" t="s">
        <v>1234</v>
      </c>
      <c r="I268" t="s">
        <v>196</v>
      </c>
      <c r="J268" t="s">
        <v>37</v>
      </c>
      <c r="K268" t="s">
        <v>37</v>
      </c>
      <c r="L268" t="s">
        <v>1235</v>
      </c>
      <c r="M268" t="s">
        <v>37</v>
      </c>
      <c r="N268" t="s">
        <v>37</v>
      </c>
      <c r="O268" t="s">
        <v>38</v>
      </c>
      <c r="P268">
        <v>45936</v>
      </c>
      <c r="Q268" s="55">
        <v>45967</v>
      </c>
      <c r="R268" t="s">
        <v>1236</v>
      </c>
      <c r="V268">
        <v>1</v>
      </c>
    </row>
    <row r="269" spans="1:22">
      <c r="A269" s="55">
        <v>45903</v>
      </c>
      <c r="B269" t="s">
        <v>1237</v>
      </c>
      <c r="C269" t="s">
        <v>1238</v>
      </c>
      <c r="D269" t="s">
        <v>169</v>
      </c>
      <c r="E269">
        <v>85338</v>
      </c>
      <c r="F269" t="s">
        <v>1239</v>
      </c>
      <c r="G269" t="s">
        <v>506</v>
      </c>
      <c r="H269" t="s">
        <v>1240</v>
      </c>
      <c r="I269" t="s">
        <v>243</v>
      </c>
      <c r="J269" t="s">
        <v>38</v>
      </c>
      <c r="K269" t="s">
        <v>37</v>
      </c>
      <c r="L269" t="s">
        <v>389</v>
      </c>
      <c r="M269" t="s">
        <v>38</v>
      </c>
      <c r="N269">
        <v>520.65</v>
      </c>
      <c r="O269" t="s">
        <v>38</v>
      </c>
      <c r="Q269" s="55">
        <v>45967</v>
      </c>
      <c r="R269" t="s">
        <v>495</v>
      </c>
      <c r="V269">
        <v>1</v>
      </c>
    </row>
    <row r="270" spans="1:22">
      <c r="A270" s="55">
        <v>45903</v>
      </c>
      <c r="B270" t="s">
        <v>1241</v>
      </c>
      <c r="C270" t="s">
        <v>1242</v>
      </c>
      <c r="D270" t="s">
        <v>169</v>
      </c>
      <c r="E270">
        <v>85338</v>
      </c>
      <c r="F270" t="s">
        <v>31</v>
      </c>
      <c r="G270" t="s">
        <v>506</v>
      </c>
      <c r="H270" t="s">
        <v>1243</v>
      </c>
      <c r="I270" t="s">
        <v>196</v>
      </c>
      <c r="J270" t="s">
        <v>37</v>
      </c>
      <c r="K270" t="s">
        <v>37</v>
      </c>
      <c r="L270" t="s">
        <v>1244</v>
      </c>
      <c r="M270" t="s">
        <v>37</v>
      </c>
      <c r="N270" t="s">
        <v>37</v>
      </c>
      <c r="O270" t="s">
        <v>38</v>
      </c>
      <c r="P270">
        <v>45936</v>
      </c>
      <c r="Q270" s="55">
        <v>45967</v>
      </c>
      <c r="R270" t="s">
        <v>1245</v>
      </c>
      <c r="V270">
        <v>1</v>
      </c>
    </row>
    <row r="271" spans="1:22">
      <c r="A271" s="55">
        <v>45903</v>
      </c>
      <c r="B271" t="s">
        <v>1247</v>
      </c>
      <c r="C271" t="s">
        <v>1248</v>
      </c>
      <c r="D271" t="s">
        <v>370</v>
      </c>
      <c r="E271">
        <v>85225</v>
      </c>
      <c r="F271" t="s">
        <v>310</v>
      </c>
      <c r="G271" t="s">
        <v>506</v>
      </c>
      <c r="H271" t="s">
        <v>1249</v>
      </c>
      <c r="I271" t="s">
        <v>36</v>
      </c>
      <c r="J271" t="s">
        <v>37</v>
      </c>
      <c r="K271" t="s">
        <v>37</v>
      </c>
      <c r="L271" t="s">
        <v>38</v>
      </c>
      <c r="M271" t="s">
        <v>37</v>
      </c>
      <c r="N271" t="s">
        <v>37</v>
      </c>
      <c r="O271" t="s">
        <v>38</v>
      </c>
      <c r="P271" t="s">
        <v>39</v>
      </c>
      <c r="Q271" s="55">
        <v>45967</v>
      </c>
      <c r="V271">
        <v>1</v>
      </c>
    </row>
    <row r="272" spans="1:22">
      <c r="A272" s="55">
        <v>45903</v>
      </c>
      <c r="B272" t="s">
        <v>1250</v>
      </c>
      <c r="C272" t="s">
        <v>156</v>
      </c>
      <c r="D272" t="s">
        <v>63</v>
      </c>
      <c r="E272">
        <v>85032</v>
      </c>
      <c r="F272" t="s">
        <v>310</v>
      </c>
      <c r="G272" t="s">
        <v>506</v>
      </c>
      <c r="H272" t="s">
        <v>1251</v>
      </c>
      <c r="I272" t="s">
        <v>196</v>
      </c>
      <c r="J272" t="s">
        <v>37</v>
      </c>
      <c r="K272" t="s">
        <v>37</v>
      </c>
      <c r="L272" t="s">
        <v>1252</v>
      </c>
      <c r="M272" t="s">
        <v>37</v>
      </c>
      <c r="N272" t="s">
        <v>37</v>
      </c>
      <c r="O272" t="s">
        <v>38</v>
      </c>
      <c r="P272">
        <v>45936</v>
      </c>
      <c r="Q272" s="55">
        <v>45967</v>
      </c>
      <c r="R272" t="s">
        <v>1245</v>
      </c>
      <c r="V272">
        <v>1</v>
      </c>
    </row>
    <row r="273" spans="1:22">
      <c r="A273" s="55">
        <v>45903</v>
      </c>
      <c r="B273" t="s">
        <v>134</v>
      </c>
      <c r="C273" t="s">
        <v>456</v>
      </c>
      <c r="D273" t="s">
        <v>24</v>
      </c>
      <c r="E273">
        <v>85306</v>
      </c>
      <c r="F273" t="s">
        <v>310</v>
      </c>
      <c r="G273" t="s">
        <v>506</v>
      </c>
      <c r="H273" t="s">
        <v>1253</v>
      </c>
      <c r="I273" t="s">
        <v>196</v>
      </c>
      <c r="J273" t="s">
        <v>37</v>
      </c>
      <c r="K273" t="s">
        <v>37</v>
      </c>
      <c r="L273" t="s">
        <v>1254</v>
      </c>
      <c r="M273" t="s">
        <v>37</v>
      </c>
      <c r="N273" t="s">
        <v>37</v>
      </c>
      <c r="O273" t="s">
        <v>38</v>
      </c>
      <c r="P273" t="s">
        <v>39</v>
      </c>
      <c r="Q273" s="55">
        <v>45967</v>
      </c>
      <c r="V273">
        <v>1</v>
      </c>
    </row>
    <row r="274" spans="1:22">
      <c r="A274" s="55">
        <v>45903</v>
      </c>
      <c r="B274" t="s">
        <v>1255</v>
      </c>
      <c r="C274" t="s">
        <v>1092</v>
      </c>
      <c r="D274" t="s">
        <v>169</v>
      </c>
      <c r="E274">
        <v>85338</v>
      </c>
      <c r="F274" t="s">
        <v>761</v>
      </c>
      <c r="G274" t="s">
        <v>506</v>
      </c>
      <c r="H274" t="s">
        <v>1256</v>
      </c>
      <c r="I274" t="s">
        <v>196</v>
      </c>
      <c r="J274" t="s">
        <v>37</v>
      </c>
      <c r="K274" t="s">
        <v>37</v>
      </c>
      <c r="L274" t="s">
        <v>1257</v>
      </c>
      <c r="M274" t="s">
        <v>37</v>
      </c>
      <c r="N274" t="s">
        <v>37</v>
      </c>
      <c r="O274" t="s">
        <v>38</v>
      </c>
      <c r="P274" t="s">
        <v>39</v>
      </c>
      <c r="Q274" s="55">
        <v>45967</v>
      </c>
      <c r="V274">
        <v>1</v>
      </c>
    </row>
    <row r="275" spans="1:22">
      <c r="A275" s="55">
        <v>45903</v>
      </c>
      <c r="B275" t="s">
        <v>1258</v>
      </c>
      <c r="C275" t="s">
        <v>1259</v>
      </c>
      <c r="D275" t="s">
        <v>136</v>
      </c>
      <c r="E275">
        <v>85377</v>
      </c>
      <c r="F275" t="s">
        <v>1260</v>
      </c>
      <c r="G275" t="s">
        <v>506</v>
      </c>
      <c r="H275" t="s">
        <v>1261</v>
      </c>
      <c r="I275" t="s">
        <v>36</v>
      </c>
      <c r="J275" t="s">
        <v>37</v>
      </c>
      <c r="K275" t="s">
        <v>37</v>
      </c>
      <c r="L275" t="s">
        <v>38</v>
      </c>
      <c r="M275" t="s">
        <v>37</v>
      </c>
      <c r="N275" t="s">
        <v>37</v>
      </c>
      <c r="O275" t="s">
        <v>38</v>
      </c>
      <c r="P275" t="s">
        <v>39</v>
      </c>
      <c r="Q275" s="55">
        <v>45967</v>
      </c>
      <c r="R275" t="s">
        <v>1262</v>
      </c>
      <c r="V275">
        <v>1</v>
      </c>
    </row>
    <row r="276" spans="1:22">
      <c r="A276" s="55">
        <v>45903</v>
      </c>
      <c r="B276" t="s">
        <v>1185</v>
      </c>
      <c r="C276" t="s">
        <v>1268</v>
      </c>
      <c r="D276" t="s">
        <v>169</v>
      </c>
      <c r="E276">
        <v>85338</v>
      </c>
      <c r="F276" t="s">
        <v>1269</v>
      </c>
      <c r="G276" t="s">
        <v>506</v>
      </c>
      <c r="H276" t="s">
        <v>1270</v>
      </c>
      <c r="I276" t="s">
        <v>418</v>
      </c>
      <c r="J276" t="s">
        <v>37</v>
      </c>
      <c r="K276" t="s">
        <v>37</v>
      </c>
      <c r="L276" t="s">
        <v>389</v>
      </c>
      <c r="M276" t="s">
        <v>37</v>
      </c>
      <c r="N276" t="s">
        <v>37</v>
      </c>
      <c r="O276" t="s">
        <v>38</v>
      </c>
      <c r="P276" t="s">
        <v>39</v>
      </c>
      <c r="Q276" s="55">
        <v>45967</v>
      </c>
      <c r="V276">
        <v>1</v>
      </c>
    </row>
    <row r="277" spans="1:22">
      <c r="A277" s="55">
        <v>45903</v>
      </c>
      <c r="B277" t="s">
        <v>1271</v>
      </c>
      <c r="C277" t="s">
        <v>75</v>
      </c>
      <c r="D277" t="s">
        <v>169</v>
      </c>
      <c r="E277">
        <v>85338</v>
      </c>
      <c r="F277" t="s">
        <v>1272</v>
      </c>
      <c r="G277" t="s">
        <v>506</v>
      </c>
      <c r="H277" t="s">
        <v>1273</v>
      </c>
      <c r="I277" t="s">
        <v>36</v>
      </c>
      <c r="J277" t="s">
        <v>37</v>
      </c>
      <c r="K277" t="s">
        <v>37</v>
      </c>
      <c r="L277" t="s">
        <v>38</v>
      </c>
      <c r="M277" t="s">
        <v>37</v>
      </c>
      <c r="N277" t="s">
        <v>37</v>
      </c>
      <c r="O277" t="s">
        <v>38</v>
      </c>
      <c r="P277" t="s">
        <v>39</v>
      </c>
      <c r="Q277" s="55">
        <v>45967</v>
      </c>
      <c r="V277">
        <v>1</v>
      </c>
    </row>
    <row r="278" spans="1:22">
      <c r="A278" s="55">
        <v>45903</v>
      </c>
      <c r="B278" t="s">
        <v>1274</v>
      </c>
      <c r="C278" t="s">
        <v>1275</v>
      </c>
      <c r="D278" t="s">
        <v>125</v>
      </c>
      <c r="E278">
        <v>85260</v>
      </c>
      <c r="F278" t="s">
        <v>310</v>
      </c>
      <c r="G278" t="s">
        <v>506</v>
      </c>
      <c r="H278" t="s">
        <v>1276</v>
      </c>
      <c r="I278" t="s">
        <v>36</v>
      </c>
      <c r="J278" t="s">
        <v>37</v>
      </c>
      <c r="K278" t="s">
        <v>37</v>
      </c>
      <c r="L278" t="s">
        <v>38</v>
      </c>
      <c r="M278" t="s">
        <v>37</v>
      </c>
      <c r="N278" t="s">
        <v>37</v>
      </c>
      <c r="O278" t="s">
        <v>38</v>
      </c>
      <c r="P278" t="s">
        <v>39</v>
      </c>
      <c r="Q278" s="55">
        <v>45967</v>
      </c>
      <c r="V278">
        <v>1</v>
      </c>
    </row>
    <row r="279" spans="1:22">
      <c r="A279" s="55">
        <v>45903</v>
      </c>
      <c r="B279" t="s">
        <v>1280</v>
      </c>
      <c r="C279" t="s">
        <v>911</v>
      </c>
      <c r="D279" t="s">
        <v>112</v>
      </c>
      <c r="E279">
        <v>85374</v>
      </c>
      <c r="F279" t="s">
        <v>31</v>
      </c>
      <c r="G279" t="s">
        <v>506</v>
      </c>
      <c r="H279" t="s">
        <v>1281</v>
      </c>
      <c r="I279" t="s">
        <v>36</v>
      </c>
      <c r="J279" t="s">
        <v>37</v>
      </c>
      <c r="K279" t="s">
        <v>37</v>
      </c>
      <c r="L279" t="s">
        <v>38</v>
      </c>
      <c r="M279" t="s">
        <v>37</v>
      </c>
      <c r="N279" t="s">
        <v>37</v>
      </c>
      <c r="O279" t="s">
        <v>38</v>
      </c>
      <c r="P279" t="s">
        <v>39</v>
      </c>
      <c r="Q279" s="55">
        <v>45967</v>
      </c>
      <c r="V279">
        <v>1</v>
      </c>
    </row>
    <row r="280" spans="1:22">
      <c r="A280" s="55">
        <v>45903</v>
      </c>
      <c r="B280" t="s">
        <v>1282</v>
      </c>
      <c r="C280" t="s">
        <v>471</v>
      </c>
      <c r="D280" t="s">
        <v>619</v>
      </c>
      <c r="E280">
        <v>85365</v>
      </c>
      <c r="F280" t="s">
        <v>1283</v>
      </c>
      <c r="G280" t="s">
        <v>506</v>
      </c>
      <c r="H280" t="s">
        <v>1284</v>
      </c>
      <c r="I280" t="s">
        <v>36</v>
      </c>
      <c r="J280" t="s">
        <v>37</v>
      </c>
      <c r="K280" t="s">
        <v>37</v>
      </c>
      <c r="L280" t="s">
        <v>38</v>
      </c>
      <c r="M280" t="s">
        <v>37</v>
      </c>
      <c r="N280" t="s">
        <v>37</v>
      </c>
      <c r="O280" t="s">
        <v>38</v>
      </c>
      <c r="P280" t="s">
        <v>39</v>
      </c>
      <c r="Q280" s="55">
        <v>45967</v>
      </c>
      <c r="V280">
        <v>1</v>
      </c>
    </row>
    <row r="281" spans="1:22">
      <c r="A281" s="55">
        <v>45903</v>
      </c>
      <c r="B281" t="s">
        <v>1285</v>
      </c>
      <c r="C281" t="s">
        <v>597</v>
      </c>
      <c r="D281" t="s">
        <v>523</v>
      </c>
      <c r="E281">
        <v>85323</v>
      </c>
      <c r="F281" t="s">
        <v>1286</v>
      </c>
      <c r="G281" t="s">
        <v>506</v>
      </c>
      <c r="H281" t="s">
        <v>1287</v>
      </c>
      <c r="I281" t="s">
        <v>196</v>
      </c>
      <c r="J281" t="s">
        <v>37</v>
      </c>
      <c r="K281" t="s">
        <v>37</v>
      </c>
      <c r="L281" t="s">
        <v>38</v>
      </c>
      <c r="M281" t="s">
        <v>37</v>
      </c>
      <c r="N281" t="s">
        <v>37</v>
      </c>
      <c r="O281" t="s">
        <v>38</v>
      </c>
      <c r="P281" t="s">
        <v>39</v>
      </c>
      <c r="Q281" s="55">
        <v>45967</v>
      </c>
      <c r="V281">
        <v>1</v>
      </c>
    </row>
    <row r="282" spans="1:22">
      <c r="A282" s="55">
        <v>45903</v>
      </c>
      <c r="B282" t="s">
        <v>1290</v>
      </c>
      <c r="C282" t="s">
        <v>312</v>
      </c>
      <c r="D282" t="s">
        <v>169</v>
      </c>
      <c r="E282">
        <v>85338</v>
      </c>
      <c r="F282" t="s">
        <v>31</v>
      </c>
      <c r="G282" t="s">
        <v>506</v>
      </c>
      <c r="H282" t="s">
        <v>1291</v>
      </c>
      <c r="I282" t="s">
        <v>250</v>
      </c>
      <c r="J282" t="s">
        <v>37</v>
      </c>
      <c r="K282" t="s">
        <v>37</v>
      </c>
      <c r="L282" t="s">
        <v>38</v>
      </c>
      <c r="M282" t="s">
        <v>37</v>
      </c>
      <c r="N282" t="s">
        <v>37</v>
      </c>
      <c r="O282" t="s">
        <v>38</v>
      </c>
      <c r="P282" t="s">
        <v>39</v>
      </c>
      <c r="Q282" s="55">
        <v>45967</v>
      </c>
      <c r="V282">
        <v>1</v>
      </c>
    </row>
    <row r="283" spans="1:22">
      <c r="A283" s="55">
        <v>45903</v>
      </c>
      <c r="B283" t="s">
        <v>1292</v>
      </c>
      <c r="C283" t="s">
        <v>1293</v>
      </c>
      <c r="D283" t="s">
        <v>63</v>
      </c>
      <c r="E283">
        <v>85085</v>
      </c>
      <c r="F283" t="s">
        <v>310</v>
      </c>
      <c r="G283" t="s">
        <v>506</v>
      </c>
      <c r="H283" t="s">
        <v>1294</v>
      </c>
      <c r="I283" t="s">
        <v>196</v>
      </c>
      <c r="J283" t="s">
        <v>37</v>
      </c>
      <c r="K283" t="s">
        <v>37</v>
      </c>
      <c r="L283" t="s">
        <v>1295</v>
      </c>
      <c r="M283" t="s">
        <v>37</v>
      </c>
      <c r="N283" t="s">
        <v>37</v>
      </c>
      <c r="O283" t="s">
        <v>38</v>
      </c>
      <c r="P283">
        <v>45936</v>
      </c>
      <c r="Q283" s="55">
        <v>45967</v>
      </c>
      <c r="R283" t="s">
        <v>1296</v>
      </c>
      <c r="V283">
        <v>1</v>
      </c>
    </row>
    <row r="284" spans="1:22">
      <c r="A284" s="55">
        <v>45903</v>
      </c>
      <c r="B284" t="s">
        <v>1300</v>
      </c>
      <c r="C284" t="s">
        <v>1301</v>
      </c>
      <c r="D284" t="s">
        <v>1302</v>
      </c>
      <c r="E284">
        <v>85390</v>
      </c>
      <c r="F284" t="s">
        <v>31</v>
      </c>
      <c r="G284" t="s">
        <v>506</v>
      </c>
      <c r="H284" t="s">
        <v>1303</v>
      </c>
      <c r="I284" t="s">
        <v>196</v>
      </c>
      <c r="J284" t="s">
        <v>37</v>
      </c>
      <c r="K284" t="s">
        <v>37</v>
      </c>
      <c r="L284" t="s">
        <v>38</v>
      </c>
      <c r="M284" t="s">
        <v>37</v>
      </c>
      <c r="N284" t="s">
        <v>37</v>
      </c>
      <c r="O284" t="s">
        <v>38</v>
      </c>
      <c r="P284" t="s">
        <v>39</v>
      </c>
      <c r="Q284" s="55">
        <v>45967</v>
      </c>
      <c r="R284" t="s">
        <v>495</v>
      </c>
      <c r="V284">
        <v>1</v>
      </c>
    </row>
    <row r="285" spans="1:22">
      <c r="A285" s="55">
        <v>45903</v>
      </c>
      <c r="B285" t="s">
        <v>1305</v>
      </c>
      <c r="C285" t="s">
        <v>1306</v>
      </c>
      <c r="D285" t="s">
        <v>428</v>
      </c>
      <c r="E285">
        <v>85335</v>
      </c>
      <c r="F285" t="s">
        <v>31</v>
      </c>
      <c r="G285" t="s">
        <v>506</v>
      </c>
      <c r="H285" t="s">
        <v>1307</v>
      </c>
      <c r="I285" t="s">
        <v>36</v>
      </c>
      <c r="J285" t="s">
        <v>37</v>
      </c>
      <c r="K285" t="s">
        <v>37</v>
      </c>
      <c r="L285" t="s">
        <v>38</v>
      </c>
      <c r="M285" t="s">
        <v>38</v>
      </c>
      <c r="N285">
        <v>1191.03</v>
      </c>
      <c r="O285" t="s">
        <v>38</v>
      </c>
      <c r="Q285" s="55">
        <v>45967</v>
      </c>
      <c r="R285" t="s">
        <v>495</v>
      </c>
      <c r="U285" t="s">
        <v>1308</v>
      </c>
      <c r="V285">
        <v>1</v>
      </c>
    </row>
    <row r="286" spans="1:22">
      <c r="A286" s="55">
        <v>45903</v>
      </c>
      <c r="B286" t="s">
        <v>528</v>
      </c>
      <c r="C286" t="s">
        <v>1311</v>
      </c>
      <c r="D286" t="s">
        <v>63</v>
      </c>
      <c r="E286">
        <v>85014</v>
      </c>
      <c r="F286" t="s">
        <v>310</v>
      </c>
      <c r="G286" t="s">
        <v>506</v>
      </c>
      <c r="H286" t="s">
        <v>1312</v>
      </c>
      <c r="I286" t="s">
        <v>57</v>
      </c>
      <c r="J286" t="s">
        <v>37</v>
      </c>
      <c r="K286" t="s">
        <v>37</v>
      </c>
      <c r="L286" t="s">
        <v>1313</v>
      </c>
      <c r="M286" t="s">
        <v>37</v>
      </c>
      <c r="N286" t="s">
        <v>37</v>
      </c>
      <c r="O286" t="s">
        <v>38</v>
      </c>
      <c r="P286" t="s">
        <v>39</v>
      </c>
      <c r="Q286" s="55">
        <v>45967</v>
      </c>
      <c r="V286">
        <v>1</v>
      </c>
    </row>
    <row r="287" spans="1:22">
      <c r="A287" s="55">
        <v>45903</v>
      </c>
      <c r="B287" t="s">
        <v>1314</v>
      </c>
      <c r="C287" t="s">
        <v>225</v>
      </c>
      <c r="D287" t="s">
        <v>169</v>
      </c>
      <c r="E287">
        <v>85395</v>
      </c>
      <c r="F287" t="s">
        <v>1315</v>
      </c>
      <c r="G287" t="s">
        <v>506</v>
      </c>
      <c r="H287" t="s">
        <v>1316</v>
      </c>
      <c r="I287" t="s">
        <v>73</v>
      </c>
      <c r="J287" t="s">
        <v>37</v>
      </c>
      <c r="K287" t="s">
        <v>37</v>
      </c>
      <c r="L287" t="s">
        <v>38</v>
      </c>
      <c r="M287" t="s">
        <v>37</v>
      </c>
      <c r="N287" t="s">
        <v>37</v>
      </c>
      <c r="O287" t="s">
        <v>38</v>
      </c>
      <c r="P287" t="s">
        <v>39</v>
      </c>
      <c r="Q287" s="55">
        <v>45967</v>
      </c>
      <c r="V287">
        <v>1</v>
      </c>
    </row>
    <row r="288" spans="1:22">
      <c r="A288" s="55">
        <v>45903</v>
      </c>
      <c r="B288" t="s">
        <v>1317</v>
      </c>
      <c r="C288" t="s">
        <v>548</v>
      </c>
      <c r="D288" t="s">
        <v>112</v>
      </c>
      <c r="E288">
        <v>85388</v>
      </c>
      <c r="F288" t="s">
        <v>310</v>
      </c>
      <c r="G288" t="s">
        <v>506</v>
      </c>
      <c r="H288" t="s">
        <v>1318</v>
      </c>
      <c r="I288" t="s">
        <v>46</v>
      </c>
      <c r="J288" t="s">
        <v>37</v>
      </c>
      <c r="K288" t="s">
        <v>37</v>
      </c>
      <c r="L288" t="s">
        <v>38</v>
      </c>
      <c r="M288" t="s">
        <v>37</v>
      </c>
      <c r="N288" t="s">
        <v>37</v>
      </c>
      <c r="O288" t="s">
        <v>38</v>
      </c>
      <c r="P288" t="s">
        <v>39</v>
      </c>
      <c r="Q288" s="55">
        <v>45967</v>
      </c>
      <c r="R288" t="s">
        <v>1319</v>
      </c>
      <c r="V288">
        <v>1</v>
      </c>
    </row>
    <row r="289" spans="1:22">
      <c r="A289" s="55">
        <v>45903</v>
      </c>
      <c r="B289" t="s">
        <v>1322</v>
      </c>
      <c r="C289" t="s">
        <v>1323</v>
      </c>
      <c r="D289" t="s">
        <v>63</v>
      </c>
      <c r="E289">
        <v>85013</v>
      </c>
      <c r="F289" t="s">
        <v>1324</v>
      </c>
      <c r="G289" t="s">
        <v>506</v>
      </c>
      <c r="H289" t="s">
        <v>1325</v>
      </c>
      <c r="I289" t="s">
        <v>541</v>
      </c>
      <c r="J289" t="s">
        <v>38</v>
      </c>
      <c r="K289" t="s">
        <v>37</v>
      </c>
      <c r="L289" t="s">
        <v>389</v>
      </c>
      <c r="M289" t="s">
        <v>37</v>
      </c>
      <c r="N289" t="s">
        <v>37</v>
      </c>
      <c r="O289" t="s">
        <v>38</v>
      </c>
      <c r="P289" t="s">
        <v>39</v>
      </c>
      <c r="Q289" s="55">
        <v>45967</v>
      </c>
      <c r="V289">
        <v>1</v>
      </c>
    </row>
    <row r="290" spans="1:22">
      <c r="A290" s="55">
        <v>45903</v>
      </c>
      <c r="B290" t="s">
        <v>1326</v>
      </c>
      <c r="C290" t="s">
        <v>1327</v>
      </c>
      <c r="D290" t="s">
        <v>880</v>
      </c>
      <c r="E290">
        <v>85086</v>
      </c>
      <c r="F290" t="s">
        <v>31</v>
      </c>
      <c r="G290" t="s">
        <v>506</v>
      </c>
      <c r="H290" t="s">
        <v>1328</v>
      </c>
      <c r="I290" t="s">
        <v>541</v>
      </c>
      <c r="J290" t="s">
        <v>37</v>
      </c>
      <c r="K290" t="s">
        <v>37</v>
      </c>
      <c r="L290" t="s">
        <v>389</v>
      </c>
      <c r="M290" t="s">
        <v>37</v>
      </c>
      <c r="N290" t="s">
        <v>37</v>
      </c>
      <c r="O290" t="s">
        <v>38</v>
      </c>
      <c r="P290" t="s">
        <v>39</v>
      </c>
      <c r="Q290" s="55">
        <v>45967</v>
      </c>
      <c r="V290">
        <v>1</v>
      </c>
    </row>
    <row r="291" spans="1:22">
      <c r="A291" s="55">
        <v>45903</v>
      </c>
      <c r="B291" t="s">
        <v>985</v>
      </c>
      <c r="C291" t="s">
        <v>263</v>
      </c>
      <c r="D291" t="s">
        <v>169</v>
      </c>
      <c r="E291">
        <v>85395</v>
      </c>
      <c r="F291" t="s">
        <v>986</v>
      </c>
      <c r="G291" t="s">
        <v>1329</v>
      </c>
      <c r="H291" t="s">
        <v>1330</v>
      </c>
      <c r="I291" t="s">
        <v>46</v>
      </c>
      <c r="J291" t="s">
        <v>37</v>
      </c>
      <c r="K291" t="s">
        <v>37</v>
      </c>
      <c r="L291" t="s">
        <v>38</v>
      </c>
      <c r="M291" t="s">
        <v>37</v>
      </c>
      <c r="N291" t="s">
        <v>37</v>
      </c>
      <c r="O291" t="s">
        <v>38</v>
      </c>
      <c r="P291" t="s">
        <v>39</v>
      </c>
      <c r="Q291" s="55">
        <v>45967</v>
      </c>
      <c r="V291">
        <v>1</v>
      </c>
    </row>
    <row r="292" spans="1:22">
      <c r="A292" s="55">
        <v>45903</v>
      </c>
      <c r="B292" t="s">
        <v>1333</v>
      </c>
      <c r="C292" t="s">
        <v>1334</v>
      </c>
      <c r="D292" t="s">
        <v>523</v>
      </c>
      <c r="E292">
        <v>85392</v>
      </c>
      <c r="F292" t="s">
        <v>1335</v>
      </c>
      <c r="G292" t="s">
        <v>1329</v>
      </c>
      <c r="H292" t="s">
        <v>1336</v>
      </c>
      <c r="I292" t="s">
        <v>418</v>
      </c>
      <c r="J292" t="s">
        <v>37</v>
      </c>
      <c r="K292" t="s">
        <v>37</v>
      </c>
      <c r="L292" t="s">
        <v>389</v>
      </c>
      <c r="M292" t="s">
        <v>37</v>
      </c>
      <c r="N292" t="s">
        <v>37</v>
      </c>
      <c r="O292" t="s">
        <v>38</v>
      </c>
      <c r="P292" t="s">
        <v>39</v>
      </c>
      <c r="Q292" s="55">
        <v>45967</v>
      </c>
      <c r="V292">
        <v>1</v>
      </c>
    </row>
    <row r="293" spans="1:22">
      <c r="A293" s="55">
        <v>45903</v>
      </c>
      <c r="B293" t="s">
        <v>1337</v>
      </c>
      <c r="C293" t="s">
        <v>359</v>
      </c>
      <c r="D293" t="s">
        <v>112</v>
      </c>
      <c r="E293">
        <v>85379</v>
      </c>
      <c r="F293" t="s">
        <v>31</v>
      </c>
      <c r="G293" t="s">
        <v>1329</v>
      </c>
      <c r="H293" t="s">
        <v>1338</v>
      </c>
      <c r="I293" t="s">
        <v>541</v>
      </c>
      <c r="J293" t="s">
        <v>37</v>
      </c>
      <c r="K293" t="s">
        <v>37</v>
      </c>
      <c r="L293" t="s">
        <v>389</v>
      </c>
      <c r="M293" t="s">
        <v>38</v>
      </c>
      <c r="N293">
        <v>1773.15</v>
      </c>
      <c r="O293" t="s">
        <v>38</v>
      </c>
      <c r="Q293" s="55">
        <v>45967</v>
      </c>
      <c r="R293" t="s">
        <v>495</v>
      </c>
      <c r="V293">
        <v>1</v>
      </c>
    </row>
    <row r="294" spans="1:22">
      <c r="A294" s="55">
        <v>45903</v>
      </c>
      <c r="B294" t="s">
        <v>1339</v>
      </c>
      <c r="C294" t="s">
        <v>777</v>
      </c>
      <c r="D294" t="s">
        <v>169</v>
      </c>
      <c r="E294">
        <v>85338</v>
      </c>
      <c r="F294" t="s">
        <v>31</v>
      </c>
      <c r="G294" t="s">
        <v>1329</v>
      </c>
      <c r="H294" t="s">
        <v>1340</v>
      </c>
      <c r="I294" t="s">
        <v>541</v>
      </c>
      <c r="J294" t="s">
        <v>38</v>
      </c>
      <c r="K294" t="s">
        <v>37</v>
      </c>
      <c r="L294" t="s">
        <v>389</v>
      </c>
      <c r="M294" t="s">
        <v>38</v>
      </c>
      <c r="N294">
        <v>3130.07</v>
      </c>
      <c r="O294" t="s">
        <v>38</v>
      </c>
      <c r="Q294" s="55">
        <v>45967</v>
      </c>
      <c r="R294" t="s">
        <v>495</v>
      </c>
      <c r="V294">
        <v>1</v>
      </c>
    </row>
    <row r="295" spans="1:22">
      <c r="A295" s="55">
        <v>45903</v>
      </c>
      <c r="B295" t="s">
        <v>1341</v>
      </c>
      <c r="C295" t="s">
        <v>1342</v>
      </c>
      <c r="D295" t="s">
        <v>24</v>
      </c>
      <c r="E295">
        <v>85310</v>
      </c>
      <c r="F295" t="s">
        <v>31</v>
      </c>
      <c r="G295" t="s">
        <v>1329</v>
      </c>
      <c r="H295" t="s">
        <v>1343</v>
      </c>
      <c r="I295" t="s">
        <v>36</v>
      </c>
      <c r="J295" t="s">
        <v>38</v>
      </c>
      <c r="K295" t="s">
        <v>37</v>
      </c>
      <c r="L295" t="s">
        <v>38</v>
      </c>
      <c r="M295" t="s">
        <v>37</v>
      </c>
      <c r="N295" t="s">
        <v>37</v>
      </c>
      <c r="O295" t="s">
        <v>38</v>
      </c>
      <c r="P295" t="s">
        <v>39</v>
      </c>
      <c r="Q295" s="55">
        <v>45967</v>
      </c>
      <c r="V295">
        <v>1</v>
      </c>
    </row>
    <row r="296" spans="1:22">
      <c r="A296" s="55">
        <v>45903</v>
      </c>
      <c r="B296" t="s">
        <v>1344</v>
      </c>
      <c r="C296" t="s">
        <v>1345</v>
      </c>
      <c r="D296" t="s">
        <v>63</v>
      </c>
      <c r="E296">
        <v>85053</v>
      </c>
      <c r="F296" t="s">
        <v>1346</v>
      </c>
      <c r="G296" t="s">
        <v>1329</v>
      </c>
      <c r="H296" t="s">
        <v>1347</v>
      </c>
      <c r="I296" t="s">
        <v>36</v>
      </c>
      <c r="J296" t="s">
        <v>37</v>
      </c>
      <c r="K296" t="s">
        <v>37</v>
      </c>
      <c r="L296" t="s">
        <v>38</v>
      </c>
      <c r="M296" t="s">
        <v>37</v>
      </c>
      <c r="N296" t="s">
        <v>37</v>
      </c>
      <c r="O296" t="s">
        <v>38</v>
      </c>
      <c r="P296" t="s">
        <v>39</v>
      </c>
      <c r="Q296" s="55">
        <v>45967</v>
      </c>
      <c r="V296">
        <v>1</v>
      </c>
    </row>
    <row r="297" spans="1:22">
      <c r="A297" s="55">
        <v>45903</v>
      </c>
      <c r="B297" t="s">
        <v>1348</v>
      </c>
      <c r="C297" t="s">
        <v>1198</v>
      </c>
      <c r="D297" t="s">
        <v>89</v>
      </c>
      <c r="E297">
        <v>86336</v>
      </c>
      <c r="F297" t="s">
        <v>31</v>
      </c>
      <c r="G297" t="s">
        <v>1329</v>
      </c>
      <c r="H297" t="s">
        <v>1349</v>
      </c>
      <c r="I297" t="s">
        <v>73</v>
      </c>
      <c r="J297" t="s">
        <v>37</v>
      </c>
      <c r="K297" t="s">
        <v>37</v>
      </c>
      <c r="L297" t="s">
        <v>38</v>
      </c>
      <c r="M297" t="s">
        <v>37</v>
      </c>
      <c r="N297" t="s">
        <v>37</v>
      </c>
      <c r="O297" t="s">
        <v>38</v>
      </c>
      <c r="P297" t="s">
        <v>39</v>
      </c>
      <c r="Q297" s="55">
        <v>45967</v>
      </c>
      <c r="V297">
        <v>1</v>
      </c>
    </row>
    <row r="298" spans="1:22">
      <c r="A298" s="55">
        <v>45903</v>
      </c>
      <c r="B298" t="s">
        <v>1352</v>
      </c>
      <c r="C298" t="s">
        <v>392</v>
      </c>
      <c r="D298" t="s">
        <v>125</v>
      </c>
      <c r="E298">
        <v>85255</v>
      </c>
      <c r="F298" t="s">
        <v>31</v>
      </c>
      <c r="G298" t="s">
        <v>1329</v>
      </c>
      <c r="H298" t="s">
        <v>1353</v>
      </c>
      <c r="I298" t="s">
        <v>418</v>
      </c>
      <c r="J298" t="s">
        <v>37</v>
      </c>
      <c r="K298" t="s">
        <v>37</v>
      </c>
      <c r="L298" t="s">
        <v>389</v>
      </c>
      <c r="M298" t="s">
        <v>37</v>
      </c>
      <c r="N298" t="s">
        <v>37</v>
      </c>
      <c r="O298" t="s">
        <v>38</v>
      </c>
      <c r="P298" t="s">
        <v>39</v>
      </c>
      <c r="Q298" s="55">
        <v>45967</v>
      </c>
      <c r="V298">
        <v>1</v>
      </c>
    </row>
    <row r="299" spans="1:22">
      <c r="A299" s="55">
        <v>45903</v>
      </c>
      <c r="B299" t="s">
        <v>558</v>
      </c>
      <c r="C299" t="s">
        <v>1354</v>
      </c>
      <c r="D299" t="s">
        <v>523</v>
      </c>
      <c r="E299">
        <v>85392</v>
      </c>
      <c r="F299" t="s">
        <v>31</v>
      </c>
      <c r="G299" t="s">
        <v>1329</v>
      </c>
      <c r="H299" t="s">
        <v>1355</v>
      </c>
      <c r="I299" t="s">
        <v>36</v>
      </c>
      <c r="J299" t="s">
        <v>37</v>
      </c>
      <c r="K299" t="s">
        <v>37</v>
      </c>
      <c r="L299" t="s">
        <v>38</v>
      </c>
      <c r="M299" t="s">
        <v>38</v>
      </c>
      <c r="N299">
        <v>870.88</v>
      </c>
      <c r="O299" t="s">
        <v>38</v>
      </c>
      <c r="Q299" s="55">
        <v>45967</v>
      </c>
      <c r="R299" t="s">
        <v>495</v>
      </c>
      <c r="V299">
        <v>1</v>
      </c>
    </row>
    <row r="300" spans="1:22">
      <c r="A300" s="55">
        <v>45903</v>
      </c>
      <c r="B300" t="s">
        <v>1357</v>
      </c>
      <c r="C300" t="s">
        <v>199</v>
      </c>
      <c r="D300" t="s">
        <v>169</v>
      </c>
      <c r="E300">
        <v>85395</v>
      </c>
      <c r="F300" t="s">
        <v>31</v>
      </c>
      <c r="G300" t="s">
        <v>1329</v>
      </c>
      <c r="H300" t="s">
        <v>1358</v>
      </c>
      <c r="I300" t="s">
        <v>418</v>
      </c>
      <c r="J300" t="s">
        <v>37</v>
      </c>
      <c r="K300" t="s">
        <v>37</v>
      </c>
      <c r="L300" t="s">
        <v>389</v>
      </c>
      <c r="M300" t="s">
        <v>37</v>
      </c>
      <c r="N300" t="s">
        <v>37</v>
      </c>
      <c r="O300" t="s">
        <v>38</v>
      </c>
      <c r="P300" t="s">
        <v>39</v>
      </c>
      <c r="Q300" s="55">
        <v>45967</v>
      </c>
      <c r="V300">
        <v>1</v>
      </c>
    </row>
    <row r="301" spans="1:22">
      <c r="A301" s="55">
        <v>45903</v>
      </c>
      <c r="B301" t="s">
        <v>1359</v>
      </c>
      <c r="C301" t="s">
        <v>1050</v>
      </c>
      <c r="D301" t="s">
        <v>125</v>
      </c>
      <c r="E301">
        <v>85254</v>
      </c>
      <c r="F301" t="s">
        <v>31</v>
      </c>
      <c r="G301" t="s">
        <v>1329</v>
      </c>
      <c r="H301" t="s">
        <v>1360</v>
      </c>
      <c r="I301" t="s">
        <v>36</v>
      </c>
      <c r="J301" t="s">
        <v>37</v>
      </c>
      <c r="K301" t="s">
        <v>37</v>
      </c>
      <c r="L301" t="s">
        <v>38</v>
      </c>
      <c r="M301" t="s">
        <v>37</v>
      </c>
      <c r="N301" t="s">
        <v>37</v>
      </c>
      <c r="O301" t="s">
        <v>38</v>
      </c>
      <c r="P301" t="s">
        <v>39</v>
      </c>
      <c r="Q301" s="55">
        <v>45967</v>
      </c>
      <c r="V301">
        <v>1</v>
      </c>
    </row>
    <row r="302" spans="1:22">
      <c r="A302" s="55">
        <v>45903</v>
      </c>
      <c r="B302" t="s">
        <v>1361</v>
      </c>
      <c r="C302" t="s">
        <v>1362</v>
      </c>
      <c r="D302" t="s">
        <v>63</v>
      </c>
      <c r="E302">
        <v>85032</v>
      </c>
      <c r="F302" t="s">
        <v>310</v>
      </c>
      <c r="G302" t="s">
        <v>1329</v>
      </c>
      <c r="H302" t="s">
        <v>1363</v>
      </c>
      <c r="I302" t="s">
        <v>73</v>
      </c>
      <c r="J302" t="s">
        <v>37</v>
      </c>
      <c r="K302" t="s">
        <v>37</v>
      </c>
      <c r="L302" t="s">
        <v>38</v>
      </c>
      <c r="M302" t="s">
        <v>37</v>
      </c>
      <c r="N302" t="s">
        <v>37</v>
      </c>
      <c r="O302" t="s">
        <v>38</v>
      </c>
      <c r="P302" t="s">
        <v>39</v>
      </c>
      <c r="Q302" s="55">
        <v>45967</v>
      </c>
      <c r="V302">
        <v>1</v>
      </c>
    </row>
    <row r="303" spans="1:22">
      <c r="A303" s="55">
        <v>45903</v>
      </c>
      <c r="B303" t="s">
        <v>1364</v>
      </c>
      <c r="C303" t="s">
        <v>821</v>
      </c>
      <c r="D303" t="s">
        <v>169</v>
      </c>
      <c r="E303">
        <v>85395</v>
      </c>
      <c r="F303" t="s">
        <v>31</v>
      </c>
      <c r="G303" t="s">
        <v>1329</v>
      </c>
      <c r="H303" t="s">
        <v>1365</v>
      </c>
      <c r="I303" t="s">
        <v>541</v>
      </c>
      <c r="J303" t="s">
        <v>37</v>
      </c>
      <c r="K303" t="s">
        <v>37</v>
      </c>
      <c r="L303" t="s">
        <v>389</v>
      </c>
      <c r="M303" t="s">
        <v>37</v>
      </c>
      <c r="N303" t="s">
        <v>37</v>
      </c>
      <c r="O303" t="s">
        <v>38</v>
      </c>
      <c r="P303" t="s">
        <v>39</v>
      </c>
      <c r="Q303" s="55">
        <v>45967</v>
      </c>
      <c r="V303">
        <v>1</v>
      </c>
    </row>
    <row r="304" spans="1:22">
      <c r="A304" s="55">
        <v>45903</v>
      </c>
      <c r="B304" t="s">
        <v>1366</v>
      </c>
      <c r="C304" t="s">
        <v>597</v>
      </c>
      <c r="D304" t="s">
        <v>169</v>
      </c>
      <c r="E304">
        <v>85395</v>
      </c>
      <c r="F304" t="s">
        <v>1367</v>
      </c>
      <c r="G304" t="s">
        <v>1329</v>
      </c>
      <c r="H304" t="s">
        <v>1368</v>
      </c>
      <c r="I304" t="s">
        <v>36</v>
      </c>
      <c r="J304" t="s">
        <v>37</v>
      </c>
      <c r="K304" t="s">
        <v>37</v>
      </c>
      <c r="L304" t="s">
        <v>38</v>
      </c>
      <c r="M304" t="s">
        <v>37</v>
      </c>
      <c r="N304" t="s">
        <v>37</v>
      </c>
      <c r="O304" t="s">
        <v>38</v>
      </c>
      <c r="P304" t="s">
        <v>39</v>
      </c>
      <c r="Q304" s="55">
        <v>45967</v>
      </c>
      <c r="V304">
        <v>1</v>
      </c>
    </row>
    <row r="305" spans="1:22">
      <c r="A305" s="55">
        <v>45903</v>
      </c>
      <c r="B305" t="s">
        <v>1371</v>
      </c>
      <c r="C305" t="s">
        <v>1372</v>
      </c>
      <c r="D305" t="s">
        <v>619</v>
      </c>
      <c r="E305">
        <v>85365</v>
      </c>
      <c r="F305" t="s">
        <v>31</v>
      </c>
      <c r="G305" t="s">
        <v>1329</v>
      </c>
      <c r="H305" t="s">
        <v>1373</v>
      </c>
      <c r="I305" t="s">
        <v>541</v>
      </c>
      <c r="J305" t="s">
        <v>37</v>
      </c>
      <c r="K305" t="s">
        <v>37</v>
      </c>
      <c r="L305" t="s">
        <v>389</v>
      </c>
      <c r="M305" t="s">
        <v>37</v>
      </c>
      <c r="N305" t="s">
        <v>37</v>
      </c>
      <c r="O305" t="s">
        <v>38</v>
      </c>
      <c r="P305" t="s">
        <v>39</v>
      </c>
      <c r="Q305" s="55">
        <v>45967</v>
      </c>
      <c r="V305">
        <v>1</v>
      </c>
    </row>
    <row r="306" spans="1:22">
      <c r="A306" s="55">
        <v>45903</v>
      </c>
      <c r="B306" t="s">
        <v>1383</v>
      </c>
      <c r="C306" t="s">
        <v>1384</v>
      </c>
      <c r="D306" t="s">
        <v>63</v>
      </c>
      <c r="E306">
        <v>85024</v>
      </c>
      <c r="F306" t="s">
        <v>31</v>
      </c>
      <c r="G306" t="s">
        <v>1329</v>
      </c>
      <c r="H306" t="s">
        <v>1385</v>
      </c>
      <c r="I306" t="s">
        <v>250</v>
      </c>
      <c r="J306" t="s">
        <v>37</v>
      </c>
      <c r="K306" t="s">
        <v>37</v>
      </c>
      <c r="L306" t="s">
        <v>1386</v>
      </c>
      <c r="M306" t="s">
        <v>37</v>
      </c>
      <c r="N306" t="s">
        <v>37</v>
      </c>
      <c r="O306" t="s">
        <v>38</v>
      </c>
      <c r="P306">
        <v>45936</v>
      </c>
      <c r="Q306" s="55">
        <v>45967</v>
      </c>
      <c r="R306" t="s">
        <v>1387</v>
      </c>
      <c r="V306">
        <v>1</v>
      </c>
    </row>
    <row r="307" spans="1:22">
      <c r="A307" s="55">
        <v>45903</v>
      </c>
      <c r="B307" t="s">
        <v>1170</v>
      </c>
      <c r="C307" t="s">
        <v>1388</v>
      </c>
      <c r="D307" t="s">
        <v>24</v>
      </c>
      <c r="E307">
        <v>85306</v>
      </c>
      <c r="F307" t="s">
        <v>310</v>
      </c>
      <c r="G307" t="s">
        <v>1329</v>
      </c>
      <c r="H307" t="s">
        <v>1389</v>
      </c>
      <c r="I307" t="s">
        <v>36</v>
      </c>
      <c r="J307" t="s">
        <v>37</v>
      </c>
      <c r="K307" t="s">
        <v>37</v>
      </c>
      <c r="L307" t="s">
        <v>38</v>
      </c>
      <c r="M307" t="s">
        <v>37</v>
      </c>
      <c r="N307" t="s">
        <v>37</v>
      </c>
      <c r="O307" t="s">
        <v>38</v>
      </c>
      <c r="P307" t="s">
        <v>39</v>
      </c>
      <c r="Q307" s="55">
        <v>45967</v>
      </c>
      <c r="V307">
        <v>1</v>
      </c>
    </row>
    <row r="308" spans="1:22">
      <c r="A308" s="55">
        <v>45903</v>
      </c>
      <c r="B308" t="s">
        <v>1392</v>
      </c>
      <c r="C308" t="s">
        <v>1393</v>
      </c>
      <c r="D308" t="s">
        <v>202</v>
      </c>
      <c r="E308">
        <v>85382</v>
      </c>
      <c r="F308" t="s">
        <v>31</v>
      </c>
      <c r="G308" t="s">
        <v>1329</v>
      </c>
      <c r="H308" t="s">
        <v>1394</v>
      </c>
      <c r="I308" t="s">
        <v>1040</v>
      </c>
      <c r="J308" t="s">
        <v>37</v>
      </c>
      <c r="K308" t="s">
        <v>37</v>
      </c>
      <c r="L308" t="s">
        <v>1395</v>
      </c>
      <c r="M308" t="s">
        <v>37</v>
      </c>
      <c r="N308" t="s">
        <v>37</v>
      </c>
      <c r="O308" t="s">
        <v>38</v>
      </c>
      <c r="Q308" s="55">
        <v>45967</v>
      </c>
      <c r="V308">
        <v>1</v>
      </c>
    </row>
    <row r="309" spans="1:22">
      <c r="A309" s="55">
        <v>45903</v>
      </c>
      <c r="B309" t="s">
        <v>1396</v>
      </c>
      <c r="C309" t="s">
        <v>1397</v>
      </c>
      <c r="D309" t="s">
        <v>63</v>
      </c>
      <c r="E309">
        <v>85085</v>
      </c>
      <c r="F309" t="s">
        <v>310</v>
      </c>
      <c r="G309" t="s">
        <v>1329</v>
      </c>
      <c r="H309" t="s">
        <v>1398</v>
      </c>
      <c r="I309" t="s">
        <v>541</v>
      </c>
      <c r="J309" t="s">
        <v>37</v>
      </c>
      <c r="K309" t="s">
        <v>37</v>
      </c>
      <c r="L309" t="s">
        <v>389</v>
      </c>
      <c r="M309" t="s">
        <v>37</v>
      </c>
      <c r="N309" t="s">
        <v>37</v>
      </c>
      <c r="O309" t="s">
        <v>38</v>
      </c>
      <c r="P309" t="s">
        <v>39</v>
      </c>
      <c r="Q309" s="55">
        <v>45967</v>
      </c>
      <c r="V309">
        <v>1</v>
      </c>
    </row>
    <row r="310" spans="1:22">
      <c r="A310" s="55">
        <v>45903</v>
      </c>
      <c r="B310" t="s">
        <v>1403</v>
      </c>
      <c r="C310" t="s">
        <v>1404</v>
      </c>
      <c r="D310" t="s">
        <v>112</v>
      </c>
      <c r="E310">
        <v>85387</v>
      </c>
      <c r="F310" t="s">
        <v>310</v>
      </c>
      <c r="G310" t="s">
        <v>1329</v>
      </c>
      <c r="H310" t="s">
        <v>1405</v>
      </c>
      <c r="I310" t="s">
        <v>36</v>
      </c>
      <c r="J310" t="s">
        <v>37</v>
      </c>
      <c r="K310" t="s">
        <v>37</v>
      </c>
      <c r="L310" t="s">
        <v>38</v>
      </c>
      <c r="M310" t="s">
        <v>37</v>
      </c>
      <c r="N310" t="s">
        <v>37</v>
      </c>
      <c r="O310" t="s">
        <v>38</v>
      </c>
      <c r="P310" t="s">
        <v>39</v>
      </c>
      <c r="Q310" s="55">
        <v>45967</v>
      </c>
      <c r="V310">
        <v>1</v>
      </c>
    </row>
    <row r="311" spans="1:22">
      <c r="A311" s="55">
        <v>45903</v>
      </c>
      <c r="B311" t="s">
        <v>1406</v>
      </c>
      <c r="C311" t="s">
        <v>1407</v>
      </c>
      <c r="D311" t="s">
        <v>202</v>
      </c>
      <c r="E311">
        <v>85383</v>
      </c>
      <c r="F311" t="s">
        <v>310</v>
      </c>
      <c r="G311" t="s">
        <v>1329</v>
      </c>
      <c r="H311" t="s">
        <v>1408</v>
      </c>
      <c r="I311" t="s">
        <v>1040</v>
      </c>
      <c r="J311" t="s">
        <v>37</v>
      </c>
      <c r="K311" t="s">
        <v>37</v>
      </c>
      <c r="L311" t="s">
        <v>1409</v>
      </c>
      <c r="M311" t="s">
        <v>37</v>
      </c>
      <c r="N311" t="s">
        <v>37</v>
      </c>
      <c r="O311" t="s">
        <v>38</v>
      </c>
      <c r="P311" t="s">
        <v>39</v>
      </c>
      <c r="Q311" s="55">
        <v>45967</v>
      </c>
      <c r="R311" t="s">
        <v>1410</v>
      </c>
      <c r="V311">
        <v>1</v>
      </c>
    </row>
    <row r="312" spans="1:22">
      <c r="A312" s="55">
        <v>45903</v>
      </c>
      <c r="B312" t="s">
        <v>1413</v>
      </c>
      <c r="C312" t="s">
        <v>355</v>
      </c>
      <c r="D312" t="s">
        <v>63</v>
      </c>
      <c r="E312">
        <v>85027</v>
      </c>
      <c r="F312" t="s">
        <v>310</v>
      </c>
      <c r="G312" t="s">
        <v>1329</v>
      </c>
      <c r="H312" t="s">
        <v>1414</v>
      </c>
      <c r="I312" t="s">
        <v>196</v>
      </c>
      <c r="J312" t="s">
        <v>37</v>
      </c>
      <c r="K312" t="s">
        <v>37</v>
      </c>
      <c r="L312" t="s">
        <v>1415</v>
      </c>
      <c r="M312" t="s">
        <v>37</v>
      </c>
      <c r="N312" t="s">
        <v>37</v>
      </c>
      <c r="O312" t="s">
        <v>38</v>
      </c>
      <c r="P312" t="s">
        <v>39</v>
      </c>
      <c r="Q312" s="55">
        <v>45967</v>
      </c>
      <c r="V312">
        <v>1</v>
      </c>
    </row>
    <row r="313" spans="1:22">
      <c r="A313" s="55">
        <v>45903</v>
      </c>
      <c r="B313" t="s">
        <v>1418</v>
      </c>
      <c r="C313" t="s">
        <v>1265</v>
      </c>
      <c r="D313" t="s">
        <v>63</v>
      </c>
      <c r="E313">
        <v>85086</v>
      </c>
      <c r="F313" t="s">
        <v>310</v>
      </c>
      <c r="G313" t="s">
        <v>1329</v>
      </c>
      <c r="H313" t="s">
        <v>1419</v>
      </c>
      <c r="I313" t="s">
        <v>46</v>
      </c>
      <c r="J313" t="s">
        <v>37</v>
      </c>
      <c r="K313" t="s">
        <v>37</v>
      </c>
      <c r="L313" t="s">
        <v>1420</v>
      </c>
      <c r="M313" t="s">
        <v>37</v>
      </c>
      <c r="N313" t="s">
        <v>37</v>
      </c>
      <c r="O313" t="s">
        <v>38</v>
      </c>
      <c r="P313" t="s">
        <v>39</v>
      </c>
      <c r="Q313" s="55">
        <v>45967</v>
      </c>
      <c r="R313" t="s">
        <v>1421</v>
      </c>
      <c r="V313">
        <v>1</v>
      </c>
    </row>
    <row r="314" spans="1:22">
      <c r="A314" s="55">
        <v>45903</v>
      </c>
      <c r="B314" t="s">
        <v>1422</v>
      </c>
      <c r="C314" t="s">
        <v>1423</v>
      </c>
      <c r="D314" t="s">
        <v>523</v>
      </c>
      <c r="E314">
        <v>85392</v>
      </c>
      <c r="F314" t="s">
        <v>31</v>
      </c>
      <c r="G314" t="s">
        <v>1329</v>
      </c>
      <c r="H314" t="s">
        <v>1424</v>
      </c>
      <c r="I314" t="s">
        <v>418</v>
      </c>
      <c r="J314" t="s">
        <v>37</v>
      </c>
      <c r="K314" t="s">
        <v>37</v>
      </c>
      <c r="L314" t="s">
        <v>389</v>
      </c>
      <c r="M314" t="s">
        <v>37</v>
      </c>
      <c r="N314" t="s">
        <v>37</v>
      </c>
      <c r="O314" t="s">
        <v>38</v>
      </c>
      <c r="P314" t="s">
        <v>39</v>
      </c>
      <c r="Q314" s="55">
        <v>45967</v>
      </c>
      <c r="V314">
        <v>1</v>
      </c>
    </row>
    <row r="315" spans="1:22">
      <c r="A315" s="55">
        <v>45903</v>
      </c>
      <c r="B315" t="s">
        <v>1425</v>
      </c>
      <c r="C315" t="s">
        <v>1426</v>
      </c>
      <c r="D315" t="s">
        <v>63</v>
      </c>
      <c r="E315">
        <v>85021</v>
      </c>
      <c r="F315" t="s">
        <v>310</v>
      </c>
      <c r="G315" t="s">
        <v>1329</v>
      </c>
      <c r="H315" t="s">
        <v>1427</v>
      </c>
      <c r="I315" t="s">
        <v>196</v>
      </c>
      <c r="J315" t="s">
        <v>37</v>
      </c>
      <c r="K315" t="s">
        <v>37</v>
      </c>
      <c r="L315" t="s">
        <v>1428</v>
      </c>
      <c r="M315" t="s">
        <v>37</v>
      </c>
      <c r="N315" t="s">
        <v>37</v>
      </c>
      <c r="O315" t="s">
        <v>38</v>
      </c>
      <c r="P315">
        <v>45936</v>
      </c>
      <c r="Q315" s="55">
        <v>45967</v>
      </c>
      <c r="R315" t="s">
        <v>1429</v>
      </c>
      <c r="V315">
        <v>1</v>
      </c>
    </row>
    <row r="316" spans="1:22">
      <c r="A316" s="55">
        <v>45903</v>
      </c>
      <c r="B316" t="s">
        <v>1431</v>
      </c>
      <c r="C316" t="s">
        <v>1432</v>
      </c>
      <c r="D316" t="s">
        <v>63</v>
      </c>
      <c r="E316">
        <v>85024</v>
      </c>
      <c r="F316" t="s">
        <v>310</v>
      </c>
      <c r="G316" t="s">
        <v>1329</v>
      </c>
      <c r="H316" t="s">
        <v>1433</v>
      </c>
      <c r="I316" t="s">
        <v>36</v>
      </c>
      <c r="J316" t="s">
        <v>37</v>
      </c>
      <c r="K316" t="s">
        <v>37</v>
      </c>
      <c r="L316" t="s">
        <v>38</v>
      </c>
      <c r="M316" t="s">
        <v>37</v>
      </c>
      <c r="N316" t="s">
        <v>37</v>
      </c>
      <c r="O316" t="s">
        <v>38</v>
      </c>
      <c r="P316" t="s">
        <v>39</v>
      </c>
      <c r="Q316" s="55">
        <v>45967</v>
      </c>
      <c r="V316">
        <v>1</v>
      </c>
    </row>
    <row r="317" spans="1:22">
      <c r="A317" s="55">
        <v>45903</v>
      </c>
      <c r="B317" t="s">
        <v>1434</v>
      </c>
      <c r="C317" t="s">
        <v>1435</v>
      </c>
      <c r="D317" t="s">
        <v>169</v>
      </c>
      <c r="E317">
        <v>85338</v>
      </c>
      <c r="F317" t="s">
        <v>31</v>
      </c>
      <c r="G317" t="s">
        <v>1329</v>
      </c>
      <c r="H317" t="s">
        <v>1436</v>
      </c>
      <c r="I317" t="s">
        <v>126</v>
      </c>
      <c r="J317" t="s">
        <v>38</v>
      </c>
      <c r="K317" t="s">
        <v>37</v>
      </c>
      <c r="L317" t="s">
        <v>1437</v>
      </c>
      <c r="M317" t="s">
        <v>37</v>
      </c>
      <c r="N317" t="s">
        <v>37</v>
      </c>
      <c r="O317" t="s">
        <v>38</v>
      </c>
      <c r="P317">
        <v>45936</v>
      </c>
      <c r="Q317" s="55">
        <v>45967</v>
      </c>
      <c r="R317" t="s">
        <v>1429</v>
      </c>
      <c r="V317">
        <v>1</v>
      </c>
    </row>
    <row r="318" spans="1:22">
      <c r="A318" s="55">
        <v>45903</v>
      </c>
      <c r="B318" t="s">
        <v>1438</v>
      </c>
      <c r="C318" t="s">
        <v>1439</v>
      </c>
      <c r="D318" t="s">
        <v>112</v>
      </c>
      <c r="E318">
        <v>85379</v>
      </c>
      <c r="F318" t="s">
        <v>31</v>
      </c>
      <c r="G318" t="s">
        <v>1329</v>
      </c>
      <c r="H318" t="s">
        <v>1440</v>
      </c>
      <c r="I318" t="s">
        <v>36</v>
      </c>
      <c r="J318" t="s">
        <v>37</v>
      </c>
      <c r="K318" t="s">
        <v>37</v>
      </c>
      <c r="L318" t="s">
        <v>38</v>
      </c>
      <c r="M318" t="s">
        <v>37</v>
      </c>
      <c r="N318" t="s">
        <v>37</v>
      </c>
      <c r="O318" t="s">
        <v>38</v>
      </c>
      <c r="P318" t="s">
        <v>39</v>
      </c>
      <c r="Q318" s="55">
        <v>45967</v>
      </c>
      <c r="V318">
        <v>1</v>
      </c>
    </row>
    <row r="319" spans="1:22">
      <c r="A319" s="55">
        <v>45903</v>
      </c>
      <c r="B319" t="s">
        <v>1441</v>
      </c>
      <c r="C319" t="s">
        <v>1372</v>
      </c>
      <c r="D319" t="s">
        <v>169</v>
      </c>
      <c r="E319">
        <v>85338</v>
      </c>
      <c r="F319" t="s">
        <v>310</v>
      </c>
      <c r="G319" t="s">
        <v>1329</v>
      </c>
      <c r="H319" t="s">
        <v>1442</v>
      </c>
      <c r="I319" t="s">
        <v>57</v>
      </c>
      <c r="J319" t="s">
        <v>37</v>
      </c>
      <c r="K319" t="s">
        <v>37</v>
      </c>
      <c r="L319" t="s">
        <v>1443</v>
      </c>
      <c r="M319" t="s">
        <v>37</v>
      </c>
      <c r="N319" t="s">
        <v>37</v>
      </c>
      <c r="O319" t="s">
        <v>38</v>
      </c>
      <c r="P319" t="s">
        <v>39</v>
      </c>
      <c r="Q319" s="55">
        <v>45967</v>
      </c>
      <c r="V319">
        <v>1</v>
      </c>
    </row>
    <row r="320" spans="1:22">
      <c r="A320" s="55">
        <v>45903</v>
      </c>
      <c r="B320" t="s">
        <v>363</v>
      </c>
      <c r="C320" t="s">
        <v>1444</v>
      </c>
      <c r="D320" t="s">
        <v>63</v>
      </c>
      <c r="E320">
        <v>85085</v>
      </c>
      <c r="F320" t="s">
        <v>31</v>
      </c>
      <c r="G320" t="s">
        <v>1329</v>
      </c>
      <c r="H320" t="s">
        <v>1445</v>
      </c>
      <c r="I320" t="s">
        <v>250</v>
      </c>
      <c r="J320" t="s">
        <v>37</v>
      </c>
      <c r="K320" t="s">
        <v>37</v>
      </c>
      <c r="L320" t="s">
        <v>38</v>
      </c>
      <c r="M320" t="s">
        <v>37</v>
      </c>
      <c r="N320" t="s">
        <v>37</v>
      </c>
      <c r="O320" t="s">
        <v>38</v>
      </c>
      <c r="P320" t="s">
        <v>39</v>
      </c>
      <c r="Q320" s="55">
        <v>45967</v>
      </c>
      <c r="V320">
        <v>1</v>
      </c>
    </row>
    <row r="321" spans="1:22">
      <c r="A321" s="55">
        <v>45903</v>
      </c>
      <c r="B321" t="s">
        <v>1446</v>
      </c>
      <c r="C321" t="s">
        <v>1447</v>
      </c>
      <c r="D321" t="s">
        <v>63</v>
      </c>
      <c r="E321">
        <v>85053</v>
      </c>
      <c r="F321" t="s">
        <v>31</v>
      </c>
      <c r="G321" t="s">
        <v>1329</v>
      </c>
      <c r="H321" t="s">
        <v>1448</v>
      </c>
      <c r="I321" t="s">
        <v>250</v>
      </c>
      <c r="J321" t="s">
        <v>37</v>
      </c>
      <c r="K321" t="s">
        <v>37</v>
      </c>
      <c r="L321" t="s">
        <v>38</v>
      </c>
      <c r="M321" t="s">
        <v>37</v>
      </c>
      <c r="N321" t="s">
        <v>37</v>
      </c>
      <c r="O321" t="s">
        <v>38</v>
      </c>
      <c r="P321" t="s">
        <v>39</v>
      </c>
      <c r="Q321" s="55">
        <v>45967</v>
      </c>
      <c r="V321">
        <v>1</v>
      </c>
    </row>
    <row r="322" spans="1:22">
      <c r="A322" s="55">
        <v>45903</v>
      </c>
      <c r="B322" t="s">
        <v>1449</v>
      </c>
      <c r="C322" t="s">
        <v>1450</v>
      </c>
      <c r="D322" t="s">
        <v>169</v>
      </c>
      <c r="E322">
        <v>85395</v>
      </c>
      <c r="F322" t="s">
        <v>31</v>
      </c>
      <c r="G322" t="s">
        <v>1329</v>
      </c>
      <c r="H322" t="s">
        <v>1451</v>
      </c>
      <c r="I322" t="s">
        <v>243</v>
      </c>
      <c r="J322" t="s">
        <v>37</v>
      </c>
      <c r="K322" t="s">
        <v>37</v>
      </c>
      <c r="L322" t="s">
        <v>389</v>
      </c>
      <c r="M322" t="s">
        <v>37</v>
      </c>
      <c r="N322" t="s">
        <v>37</v>
      </c>
      <c r="O322" t="s">
        <v>38</v>
      </c>
      <c r="P322" t="s">
        <v>39</v>
      </c>
      <c r="Q322" s="55">
        <v>45967</v>
      </c>
      <c r="V322">
        <v>1</v>
      </c>
    </row>
    <row r="323" spans="1:22">
      <c r="A323" s="55">
        <v>45903</v>
      </c>
      <c r="B323" t="s">
        <v>1452</v>
      </c>
      <c r="C323" t="s">
        <v>206</v>
      </c>
      <c r="D323" t="s">
        <v>539</v>
      </c>
      <c r="E323">
        <v>85123</v>
      </c>
      <c r="F323" t="s">
        <v>31</v>
      </c>
      <c r="G323" t="s">
        <v>1329</v>
      </c>
      <c r="H323" t="s">
        <v>1453</v>
      </c>
      <c r="I323" t="s">
        <v>126</v>
      </c>
      <c r="J323" t="s">
        <v>37</v>
      </c>
      <c r="K323" t="s">
        <v>37</v>
      </c>
      <c r="L323" t="s">
        <v>38</v>
      </c>
      <c r="M323" t="s">
        <v>37</v>
      </c>
      <c r="N323" t="s">
        <v>37</v>
      </c>
      <c r="O323" t="s">
        <v>38</v>
      </c>
      <c r="P323" t="s">
        <v>39</v>
      </c>
      <c r="Q323" s="55">
        <v>45967</v>
      </c>
      <c r="V323">
        <v>1</v>
      </c>
    </row>
    <row r="324" spans="1:22">
      <c r="A324" s="55">
        <v>45903</v>
      </c>
      <c r="B324" t="s">
        <v>1458</v>
      </c>
      <c r="C324" t="s">
        <v>1459</v>
      </c>
      <c r="D324" t="s">
        <v>63</v>
      </c>
      <c r="E324">
        <v>85085</v>
      </c>
      <c r="F324" t="s">
        <v>31</v>
      </c>
      <c r="G324" t="s">
        <v>1329</v>
      </c>
      <c r="H324" t="s">
        <v>1460</v>
      </c>
      <c r="I324" t="s">
        <v>73</v>
      </c>
      <c r="J324" t="s">
        <v>37</v>
      </c>
      <c r="K324" t="s">
        <v>37</v>
      </c>
      <c r="L324" t="s">
        <v>38</v>
      </c>
      <c r="M324" t="s">
        <v>37</v>
      </c>
      <c r="N324" t="s">
        <v>37</v>
      </c>
      <c r="O324" t="s">
        <v>38</v>
      </c>
      <c r="P324" t="s">
        <v>39</v>
      </c>
      <c r="Q324" s="55">
        <v>45967</v>
      </c>
      <c r="V324">
        <v>1</v>
      </c>
    </row>
    <row r="325" spans="1:22">
      <c r="A325" s="55">
        <v>45903</v>
      </c>
      <c r="B325" t="s">
        <v>1462</v>
      </c>
      <c r="C325" t="s">
        <v>1463</v>
      </c>
      <c r="D325" t="s">
        <v>169</v>
      </c>
      <c r="E325">
        <v>85338</v>
      </c>
      <c r="F325" t="s">
        <v>31</v>
      </c>
      <c r="G325" t="s">
        <v>1329</v>
      </c>
      <c r="H325" t="s">
        <v>1464</v>
      </c>
      <c r="I325" t="s">
        <v>73</v>
      </c>
      <c r="J325" t="s">
        <v>37</v>
      </c>
      <c r="K325" t="s">
        <v>37</v>
      </c>
      <c r="L325" t="s">
        <v>38</v>
      </c>
      <c r="M325" t="s">
        <v>37</v>
      </c>
      <c r="N325" t="s">
        <v>37</v>
      </c>
      <c r="O325" t="s">
        <v>38</v>
      </c>
      <c r="P325" t="s">
        <v>39</v>
      </c>
      <c r="Q325" s="55">
        <v>45967</v>
      </c>
      <c r="V325">
        <v>1</v>
      </c>
    </row>
    <row r="326" spans="1:22">
      <c r="A326" s="55">
        <v>45903</v>
      </c>
      <c r="B326" t="s">
        <v>1467</v>
      </c>
      <c r="C326" t="s">
        <v>133</v>
      </c>
      <c r="D326" t="s">
        <v>169</v>
      </c>
      <c r="E326">
        <v>85338</v>
      </c>
      <c r="F326" t="s">
        <v>31</v>
      </c>
      <c r="G326" t="s">
        <v>1329</v>
      </c>
      <c r="H326" t="s">
        <v>1468</v>
      </c>
      <c r="I326" t="s">
        <v>46</v>
      </c>
      <c r="J326" t="s">
        <v>37</v>
      </c>
      <c r="K326" t="s">
        <v>37</v>
      </c>
      <c r="L326" t="s">
        <v>38</v>
      </c>
      <c r="M326" t="s">
        <v>37</v>
      </c>
      <c r="N326" t="s">
        <v>37</v>
      </c>
      <c r="O326" t="s">
        <v>38</v>
      </c>
      <c r="P326" t="s">
        <v>39</v>
      </c>
      <c r="Q326" s="55">
        <v>45967</v>
      </c>
      <c r="V326">
        <v>1</v>
      </c>
    </row>
    <row r="327" spans="1:22">
      <c r="A327" s="55">
        <v>45903</v>
      </c>
      <c r="B327" t="s">
        <v>1471</v>
      </c>
      <c r="C327" t="s">
        <v>1472</v>
      </c>
      <c r="D327" t="s">
        <v>169</v>
      </c>
      <c r="E327">
        <v>85395</v>
      </c>
      <c r="F327" t="s">
        <v>31</v>
      </c>
      <c r="G327" t="s">
        <v>1329</v>
      </c>
      <c r="H327" t="s">
        <v>1473</v>
      </c>
      <c r="I327" t="s">
        <v>250</v>
      </c>
      <c r="J327" t="s">
        <v>37</v>
      </c>
      <c r="K327" t="s">
        <v>37</v>
      </c>
      <c r="L327" t="s">
        <v>38</v>
      </c>
      <c r="M327" t="s">
        <v>37</v>
      </c>
      <c r="N327" t="s">
        <v>37</v>
      </c>
      <c r="O327" t="s">
        <v>38</v>
      </c>
      <c r="P327" t="s">
        <v>39</v>
      </c>
      <c r="Q327" s="55">
        <v>45967</v>
      </c>
      <c r="V327">
        <v>1</v>
      </c>
    </row>
    <row r="328" spans="1:22">
      <c r="A328" s="55">
        <v>45903</v>
      </c>
      <c r="B328" t="s">
        <v>1474</v>
      </c>
      <c r="C328" t="s">
        <v>1475</v>
      </c>
      <c r="D328" t="s">
        <v>523</v>
      </c>
      <c r="E328">
        <v>85392</v>
      </c>
      <c r="F328" t="s">
        <v>31</v>
      </c>
      <c r="G328" t="s">
        <v>1329</v>
      </c>
      <c r="H328" t="s">
        <v>1476</v>
      </c>
      <c r="I328" t="s">
        <v>126</v>
      </c>
      <c r="J328" t="s">
        <v>37</v>
      </c>
      <c r="K328" t="s">
        <v>37</v>
      </c>
      <c r="L328" t="s">
        <v>1477</v>
      </c>
      <c r="M328" t="s">
        <v>37</v>
      </c>
      <c r="N328" t="s">
        <v>37</v>
      </c>
      <c r="O328" t="s">
        <v>38</v>
      </c>
      <c r="P328">
        <v>45936</v>
      </c>
      <c r="Q328" s="55">
        <v>45967</v>
      </c>
      <c r="R328" t="s">
        <v>1429</v>
      </c>
      <c r="V328">
        <v>1</v>
      </c>
    </row>
    <row r="329" spans="1:22">
      <c r="A329" s="55">
        <v>45903</v>
      </c>
      <c r="B329" t="s">
        <v>1478</v>
      </c>
      <c r="C329" t="s">
        <v>1479</v>
      </c>
      <c r="D329" t="s">
        <v>202</v>
      </c>
      <c r="E329">
        <v>85383</v>
      </c>
      <c r="F329" t="s">
        <v>310</v>
      </c>
      <c r="G329" t="s">
        <v>1329</v>
      </c>
      <c r="H329" t="s">
        <v>1480</v>
      </c>
      <c r="I329" t="s">
        <v>36</v>
      </c>
      <c r="J329" t="s">
        <v>37</v>
      </c>
      <c r="K329" t="s">
        <v>37</v>
      </c>
      <c r="L329" t="s">
        <v>38</v>
      </c>
      <c r="M329" t="s">
        <v>37</v>
      </c>
      <c r="N329" t="s">
        <v>37</v>
      </c>
      <c r="O329" t="s">
        <v>38</v>
      </c>
      <c r="P329" t="s">
        <v>39</v>
      </c>
      <c r="Q329" s="55">
        <v>45967</v>
      </c>
      <c r="V329">
        <v>1</v>
      </c>
    </row>
    <row r="330" spans="1:22">
      <c r="A330" s="55">
        <v>45903</v>
      </c>
      <c r="B330" t="s">
        <v>1481</v>
      </c>
      <c r="C330" t="s">
        <v>1482</v>
      </c>
      <c r="D330" t="s">
        <v>202</v>
      </c>
      <c r="E330">
        <v>85383</v>
      </c>
      <c r="F330" t="s">
        <v>310</v>
      </c>
      <c r="G330" t="s">
        <v>1329</v>
      </c>
      <c r="H330" t="s">
        <v>1483</v>
      </c>
      <c r="I330" t="s">
        <v>196</v>
      </c>
      <c r="J330" t="s">
        <v>37</v>
      </c>
      <c r="K330" t="s">
        <v>37</v>
      </c>
      <c r="L330" t="s">
        <v>1484</v>
      </c>
      <c r="M330" t="s">
        <v>37</v>
      </c>
      <c r="N330" t="s">
        <v>37</v>
      </c>
      <c r="O330" t="s">
        <v>38</v>
      </c>
      <c r="P330" t="s">
        <v>39</v>
      </c>
      <c r="Q330" s="55">
        <v>45967</v>
      </c>
      <c r="V330">
        <v>1</v>
      </c>
    </row>
    <row r="331" spans="1:22">
      <c r="A331" s="55">
        <v>45903</v>
      </c>
      <c r="B331" t="s">
        <v>1485</v>
      </c>
      <c r="C331" t="s">
        <v>1486</v>
      </c>
      <c r="D331" t="s">
        <v>202</v>
      </c>
      <c r="E331">
        <v>85383</v>
      </c>
      <c r="F331" t="s">
        <v>31</v>
      </c>
      <c r="G331" t="s">
        <v>1329</v>
      </c>
      <c r="H331" t="s">
        <v>1487</v>
      </c>
      <c r="I331" t="s">
        <v>1488</v>
      </c>
      <c r="J331" t="s">
        <v>37</v>
      </c>
      <c r="K331" t="s">
        <v>37</v>
      </c>
      <c r="L331" t="s">
        <v>389</v>
      </c>
      <c r="M331" t="s">
        <v>37</v>
      </c>
      <c r="N331" t="s">
        <v>37</v>
      </c>
      <c r="O331" t="s">
        <v>38</v>
      </c>
      <c r="P331" t="s">
        <v>39</v>
      </c>
      <c r="Q331" s="55">
        <v>45967</v>
      </c>
      <c r="V331">
        <v>1</v>
      </c>
    </row>
    <row r="332" spans="1:22">
      <c r="A332" s="55">
        <v>45903</v>
      </c>
      <c r="B332" t="s">
        <v>238</v>
      </c>
      <c r="C332" t="s">
        <v>256</v>
      </c>
      <c r="D332" t="s">
        <v>240</v>
      </c>
      <c r="E332">
        <v>85340</v>
      </c>
      <c r="F332" t="s">
        <v>31</v>
      </c>
      <c r="G332" t="s">
        <v>1329</v>
      </c>
      <c r="H332" t="s">
        <v>1491</v>
      </c>
      <c r="I332" t="s">
        <v>57</v>
      </c>
      <c r="J332" t="s">
        <v>37</v>
      </c>
      <c r="K332" t="s">
        <v>37</v>
      </c>
      <c r="L332" t="s">
        <v>1492</v>
      </c>
      <c r="M332" t="s">
        <v>37</v>
      </c>
      <c r="N332" t="s">
        <v>37</v>
      </c>
      <c r="O332" t="s">
        <v>38</v>
      </c>
      <c r="P332">
        <v>45936</v>
      </c>
      <c r="Q332" s="55">
        <v>45967</v>
      </c>
      <c r="R332" t="s">
        <v>1429</v>
      </c>
      <c r="V332">
        <v>1</v>
      </c>
    </row>
    <row r="333" spans="1:22">
      <c r="A333" s="55">
        <v>45903</v>
      </c>
      <c r="B333" t="s">
        <v>1493</v>
      </c>
      <c r="C333" t="s">
        <v>597</v>
      </c>
      <c r="D333" t="s">
        <v>1204</v>
      </c>
      <c r="E333">
        <v>85355</v>
      </c>
      <c r="F333" t="s">
        <v>31</v>
      </c>
      <c r="G333" t="s">
        <v>1329</v>
      </c>
      <c r="H333" t="s">
        <v>1494</v>
      </c>
      <c r="I333" t="s">
        <v>46</v>
      </c>
      <c r="J333" t="s">
        <v>37</v>
      </c>
      <c r="K333" t="s">
        <v>37</v>
      </c>
      <c r="L333" t="s">
        <v>38</v>
      </c>
      <c r="M333" t="s">
        <v>37</v>
      </c>
      <c r="N333" t="s">
        <v>37</v>
      </c>
      <c r="O333" t="s">
        <v>38</v>
      </c>
      <c r="P333" t="s">
        <v>39</v>
      </c>
      <c r="Q333" s="55">
        <v>45967</v>
      </c>
      <c r="V333">
        <v>1</v>
      </c>
    </row>
    <row r="334" spans="1:22">
      <c r="A334" s="55">
        <v>45903</v>
      </c>
      <c r="B334" t="s">
        <v>1497</v>
      </c>
      <c r="C334" t="s">
        <v>1498</v>
      </c>
      <c r="D334" t="s">
        <v>63</v>
      </c>
      <c r="E334">
        <v>85024</v>
      </c>
      <c r="F334" t="s">
        <v>31</v>
      </c>
      <c r="G334" t="s">
        <v>1329</v>
      </c>
      <c r="H334" t="s">
        <v>1499</v>
      </c>
      <c r="I334" t="s">
        <v>1040</v>
      </c>
      <c r="J334" t="s">
        <v>37</v>
      </c>
      <c r="K334" t="s">
        <v>37</v>
      </c>
      <c r="L334" t="s">
        <v>38</v>
      </c>
      <c r="M334" t="s">
        <v>37</v>
      </c>
      <c r="N334" t="s">
        <v>37</v>
      </c>
      <c r="O334" t="s">
        <v>38</v>
      </c>
      <c r="P334" t="s">
        <v>39</v>
      </c>
      <c r="Q334" s="55">
        <v>45967</v>
      </c>
      <c r="V334">
        <v>1</v>
      </c>
    </row>
    <row r="335" spans="1:22">
      <c r="A335" s="55">
        <v>45903</v>
      </c>
      <c r="B335" t="s">
        <v>1500</v>
      </c>
      <c r="C335" t="s">
        <v>1501</v>
      </c>
      <c r="D335" t="s">
        <v>63</v>
      </c>
      <c r="E335">
        <v>85085</v>
      </c>
      <c r="F335" t="s">
        <v>310</v>
      </c>
      <c r="G335" t="s">
        <v>1329</v>
      </c>
      <c r="H335" t="s">
        <v>1502</v>
      </c>
      <c r="I335" t="s">
        <v>36</v>
      </c>
      <c r="J335" t="s">
        <v>37</v>
      </c>
      <c r="K335" t="s">
        <v>37</v>
      </c>
      <c r="L335" t="s">
        <v>38</v>
      </c>
      <c r="M335" t="s">
        <v>37</v>
      </c>
      <c r="N335" t="s">
        <v>37</v>
      </c>
      <c r="O335" t="s">
        <v>38</v>
      </c>
      <c r="P335" t="s">
        <v>39</v>
      </c>
      <c r="Q335" s="55">
        <v>45967</v>
      </c>
      <c r="V335">
        <v>1</v>
      </c>
    </row>
    <row r="336" spans="1:22">
      <c r="A336" s="55">
        <v>45903</v>
      </c>
      <c r="B336" t="s">
        <v>1503</v>
      </c>
      <c r="C336" t="s">
        <v>1504</v>
      </c>
      <c r="D336" t="s">
        <v>63</v>
      </c>
      <c r="E336">
        <v>85003</v>
      </c>
      <c r="F336" t="s">
        <v>310</v>
      </c>
      <c r="G336" t="s">
        <v>1329</v>
      </c>
      <c r="H336" t="s">
        <v>1505</v>
      </c>
      <c r="I336" t="s">
        <v>196</v>
      </c>
      <c r="J336" t="s">
        <v>37</v>
      </c>
      <c r="K336" t="s">
        <v>37</v>
      </c>
      <c r="L336" t="s">
        <v>1506</v>
      </c>
      <c r="M336" t="s">
        <v>37</v>
      </c>
      <c r="N336" t="s">
        <v>37</v>
      </c>
      <c r="O336" t="s">
        <v>38</v>
      </c>
      <c r="P336">
        <v>45936</v>
      </c>
      <c r="Q336" s="55">
        <v>45967</v>
      </c>
      <c r="R336" t="s">
        <v>1507</v>
      </c>
      <c r="V336">
        <v>1</v>
      </c>
    </row>
    <row r="337" spans="1:22">
      <c r="A337" s="55">
        <v>45903</v>
      </c>
      <c r="B337" t="s">
        <v>1508</v>
      </c>
      <c r="C337" t="s">
        <v>291</v>
      </c>
      <c r="D337" t="s">
        <v>169</v>
      </c>
      <c r="E337">
        <v>85338</v>
      </c>
      <c r="F337" t="s">
        <v>1509</v>
      </c>
      <c r="G337" t="s">
        <v>1329</v>
      </c>
      <c r="H337" t="s">
        <v>1510</v>
      </c>
      <c r="I337" t="s">
        <v>196</v>
      </c>
      <c r="J337" t="s">
        <v>37</v>
      </c>
      <c r="K337" t="s">
        <v>37</v>
      </c>
      <c r="L337" t="s">
        <v>1511</v>
      </c>
      <c r="M337" t="s">
        <v>37</v>
      </c>
      <c r="N337" t="s">
        <v>37</v>
      </c>
      <c r="O337" t="s">
        <v>38</v>
      </c>
      <c r="P337">
        <v>45936</v>
      </c>
      <c r="Q337" s="55">
        <v>45967</v>
      </c>
      <c r="R337" t="s">
        <v>1429</v>
      </c>
      <c r="V337">
        <v>1</v>
      </c>
    </row>
    <row r="338" spans="1:22">
      <c r="A338" s="55">
        <v>45903</v>
      </c>
      <c r="B338" t="s">
        <v>1515</v>
      </c>
      <c r="C338" t="s">
        <v>1516</v>
      </c>
      <c r="D338" t="s">
        <v>202</v>
      </c>
      <c r="E338">
        <v>85383</v>
      </c>
      <c r="F338" t="s">
        <v>310</v>
      </c>
      <c r="G338" t="s">
        <v>1329</v>
      </c>
      <c r="H338" t="s">
        <v>1517</v>
      </c>
      <c r="I338" t="s">
        <v>196</v>
      </c>
      <c r="J338" t="s">
        <v>37</v>
      </c>
      <c r="K338" t="s">
        <v>37</v>
      </c>
      <c r="L338" t="s">
        <v>1518</v>
      </c>
      <c r="M338" t="s">
        <v>37</v>
      </c>
      <c r="N338" t="s">
        <v>37</v>
      </c>
      <c r="O338" t="s">
        <v>38</v>
      </c>
      <c r="P338">
        <v>45936</v>
      </c>
      <c r="Q338" s="55">
        <v>45967</v>
      </c>
      <c r="R338" t="s">
        <v>1429</v>
      </c>
      <c r="V338">
        <v>1</v>
      </c>
    </row>
    <row r="339" spans="1:22">
      <c r="A339" s="55">
        <v>45903</v>
      </c>
      <c r="B339" t="s">
        <v>1519</v>
      </c>
      <c r="C339" t="s">
        <v>1520</v>
      </c>
      <c r="D339" t="s">
        <v>202</v>
      </c>
      <c r="E339">
        <v>85383</v>
      </c>
      <c r="F339" t="s">
        <v>310</v>
      </c>
      <c r="G339" t="s">
        <v>1329</v>
      </c>
      <c r="H339" t="s">
        <v>1521</v>
      </c>
      <c r="I339" t="s">
        <v>73</v>
      </c>
      <c r="J339" t="s">
        <v>37</v>
      </c>
      <c r="K339" t="s">
        <v>37</v>
      </c>
      <c r="L339" t="s">
        <v>38</v>
      </c>
      <c r="M339" t="s">
        <v>37</v>
      </c>
      <c r="N339" t="s">
        <v>37</v>
      </c>
      <c r="O339" t="s">
        <v>38</v>
      </c>
      <c r="P339" t="s">
        <v>39</v>
      </c>
      <c r="Q339" s="55">
        <v>45967</v>
      </c>
      <c r="V339">
        <v>1</v>
      </c>
    </row>
    <row r="340" spans="1:22">
      <c r="A340" s="55">
        <v>45903</v>
      </c>
      <c r="B340" t="s">
        <v>1522</v>
      </c>
      <c r="C340" t="s">
        <v>611</v>
      </c>
      <c r="D340" t="s">
        <v>169</v>
      </c>
      <c r="E340">
        <v>85338</v>
      </c>
      <c r="F340" t="s">
        <v>31</v>
      </c>
      <c r="G340" t="s">
        <v>1329</v>
      </c>
      <c r="H340" t="s">
        <v>1523</v>
      </c>
      <c r="I340" t="s">
        <v>196</v>
      </c>
      <c r="J340" t="s">
        <v>37</v>
      </c>
      <c r="K340" t="s">
        <v>37</v>
      </c>
      <c r="L340" t="s">
        <v>1524</v>
      </c>
      <c r="M340" t="s">
        <v>37</v>
      </c>
      <c r="N340" t="s">
        <v>37</v>
      </c>
      <c r="O340" t="s">
        <v>38</v>
      </c>
      <c r="P340" t="s">
        <v>39</v>
      </c>
      <c r="Q340" s="55">
        <v>45967</v>
      </c>
      <c r="R340" t="s">
        <v>1525</v>
      </c>
      <c r="V340">
        <v>1</v>
      </c>
    </row>
    <row r="341" spans="1:22">
      <c r="A341" s="55">
        <v>45903</v>
      </c>
      <c r="B341" t="s">
        <v>1526</v>
      </c>
      <c r="C341" t="s">
        <v>570</v>
      </c>
      <c r="D341" t="s">
        <v>63</v>
      </c>
      <c r="E341">
        <v>85024</v>
      </c>
      <c r="F341" t="s">
        <v>310</v>
      </c>
      <c r="G341" t="s">
        <v>1329</v>
      </c>
      <c r="H341" t="s">
        <v>1527</v>
      </c>
      <c r="I341" t="s">
        <v>1528</v>
      </c>
      <c r="J341" t="s">
        <v>37</v>
      </c>
      <c r="K341" t="s">
        <v>37</v>
      </c>
      <c r="L341" t="s">
        <v>38</v>
      </c>
      <c r="M341" t="s">
        <v>37</v>
      </c>
      <c r="N341" t="s">
        <v>37</v>
      </c>
      <c r="O341" t="s">
        <v>38</v>
      </c>
      <c r="P341" t="s">
        <v>39</v>
      </c>
      <c r="Q341" s="55">
        <v>45967</v>
      </c>
      <c r="V341">
        <v>1</v>
      </c>
    </row>
    <row r="342" spans="1:22">
      <c r="A342" s="55">
        <v>45903</v>
      </c>
      <c r="B342" t="s">
        <v>1529</v>
      </c>
      <c r="C342" t="s">
        <v>1530</v>
      </c>
      <c r="D342" t="s">
        <v>63</v>
      </c>
      <c r="E342">
        <v>85050</v>
      </c>
      <c r="F342" t="s">
        <v>31</v>
      </c>
      <c r="G342" t="s">
        <v>1329</v>
      </c>
      <c r="H342" t="s">
        <v>1531</v>
      </c>
      <c r="I342" t="s">
        <v>36</v>
      </c>
      <c r="J342" t="s">
        <v>37</v>
      </c>
      <c r="K342" t="s">
        <v>37</v>
      </c>
      <c r="L342" t="s">
        <v>38</v>
      </c>
      <c r="M342" t="s">
        <v>37</v>
      </c>
      <c r="N342" t="s">
        <v>37</v>
      </c>
      <c r="O342" t="s">
        <v>38</v>
      </c>
      <c r="P342" t="s">
        <v>39</v>
      </c>
      <c r="Q342" s="55">
        <v>45966</v>
      </c>
      <c r="V342">
        <v>1</v>
      </c>
    </row>
    <row r="343" spans="1:22">
      <c r="A343" s="55">
        <v>45903</v>
      </c>
      <c r="B343" t="s">
        <v>1532</v>
      </c>
      <c r="C343" t="s">
        <v>1533</v>
      </c>
      <c r="D343" t="s">
        <v>169</v>
      </c>
      <c r="E343">
        <v>85338</v>
      </c>
      <c r="F343" t="s">
        <v>1534</v>
      </c>
      <c r="G343" t="s">
        <v>1329</v>
      </c>
      <c r="H343" t="s">
        <v>1535</v>
      </c>
      <c r="I343" t="s">
        <v>36</v>
      </c>
      <c r="J343" t="s">
        <v>37</v>
      </c>
      <c r="K343" t="s">
        <v>37</v>
      </c>
      <c r="L343" t="s">
        <v>38</v>
      </c>
      <c r="M343" t="s">
        <v>37</v>
      </c>
      <c r="N343" t="s">
        <v>37</v>
      </c>
      <c r="O343" t="s">
        <v>38</v>
      </c>
      <c r="P343" t="s">
        <v>39</v>
      </c>
      <c r="Q343" s="55">
        <v>45966</v>
      </c>
      <c r="V343">
        <v>1</v>
      </c>
    </row>
    <row r="344" spans="1:22">
      <c r="A344" s="55">
        <v>45903</v>
      </c>
      <c r="B344" t="s">
        <v>1536</v>
      </c>
      <c r="C344" t="s">
        <v>1537</v>
      </c>
      <c r="D344" t="s">
        <v>63</v>
      </c>
      <c r="E344">
        <v>85013</v>
      </c>
      <c r="F344" t="s">
        <v>1538</v>
      </c>
      <c r="G344" t="s">
        <v>1329</v>
      </c>
      <c r="H344" t="s">
        <v>1539</v>
      </c>
      <c r="I344" t="s">
        <v>73</v>
      </c>
      <c r="J344" t="s">
        <v>37</v>
      </c>
      <c r="K344" t="s">
        <v>37</v>
      </c>
      <c r="L344" t="s">
        <v>38</v>
      </c>
      <c r="M344" t="s">
        <v>37</v>
      </c>
      <c r="N344" t="s">
        <v>37</v>
      </c>
      <c r="O344" t="s">
        <v>38</v>
      </c>
      <c r="P344" t="s">
        <v>39</v>
      </c>
      <c r="Q344" s="55">
        <v>45966</v>
      </c>
      <c r="V344">
        <v>1</v>
      </c>
    </row>
    <row r="345" spans="1:22">
      <c r="A345" s="55">
        <v>45903</v>
      </c>
      <c r="B345" t="s">
        <v>1540</v>
      </c>
      <c r="C345" t="s">
        <v>624</v>
      </c>
      <c r="D345" t="s">
        <v>202</v>
      </c>
      <c r="E345">
        <v>85381</v>
      </c>
      <c r="F345" t="s">
        <v>310</v>
      </c>
      <c r="G345" t="s">
        <v>1329</v>
      </c>
      <c r="H345" t="s">
        <v>1541</v>
      </c>
      <c r="I345" t="s">
        <v>36</v>
      </c>
      <c r="J345" t="s">
        <v>37</v>
      </c>
      <c r="K345" t="s">
        <v>37</v>
      </c>
      <c r="L345" t="s">
        <v>38</v>
      </c>
      <c r="M345" t="s">
        <v>37</v>
      </c>
      <c r="N345" t="s">
        <v>37</v>
      </c>
      <c r="O345" t="s">
        <v>38</v>
      </c>
      <c r="P345" t="s">
        <v>39</v>
      </c>
      <c r="Q345" s="55">
        <v>45966</v>
      </c>
      <c r="V345">
        <v>1</v>
      </c>
    </row>
    <row r="346" spans="1:22">
      <c r="A346" s="55">
        <v>45903</v>
      </c>
      <c r="B346" t="s">
        <v>1542</v>
      </c>
      <c r="C346" t="s">
        <v>1543</v>
      </c>
      <c r="D346" t="s">
        <v>1544</v>
      </c>
      <c r="E346">
        <v>86332</v>
      </c>
      <c r="F346" t="s">
        <v>31</v>
      </c>
      <c r="G346" t="s">
        <v>1329</v>
      </c>
      <c r="H346" t="s">
        <v>1545</v>
      </c>
      <c r="I346" t="s">
        <v>243</v>
      </c>
      <c r="J346" t="s">
        <v>37</v>
      </c>
      <c r="K346" t="s">
        <v>37</v>
      </c>
      <c r="L346" t="s">
        <v>389</v>
      </c>
      <c r="M346" t="s">
        <v>37</v>
      </c>
      <c r="N346" t="s">
        <v>37</v>
      </c>
      <c r="O346" t="s">
        <v>38</v>
      </c>
      <c r="P346" t="s">
        <v>39</v>
      </c>
      <c r="Q346" s="55">
        <v>45966</v>
      </c>
      <c r="V346">
        <v>1</v>
      </c>
    </row>
    <row r="347" spans="1:22">
      <c r="A347" s="55">
        <v>45903</v>
      </c>
      <c r="B347" t="s">
        <v>1546</v>
      </c>
      <c r="C347" t="s">
        <v>1547</v>
      </c>
      <c r="D347" t="s">
        <v>169</v>
      </c>
      <c r="E347">
        <v>85395</v>
      </c>
      <c r="F347" t="s">
        <v>31</v>
      </c>
      <c r="G347" t="s">
        <v>1329</v>
      </c>
      <c r="H347" t="s">
        <v>1548</v>
      </c>
      <c r="I347" t="s">
        <v>46</v>
      </c>
      <c r="J347" t="s">
        <v>37</v>
      </c>
      <c r="K347" t="s">
        <v>37</v>
      </c>
      <c r="L347" t="s">
        <v>38</v>
      </c>
      <c r="M347" t="s">
        <v>37</v>
      </c>
      <c r="N347" t="s">
        <v>37</v>
      </c>
      <c r="O347" t="s">
        <v>38</v>
      </c>
      <c r="P347" t="s">
        <v>39</v>
      </c>
      <c r="Q347" s="55">
        <v>45966</v>
      </c>
      <c r="V347">
        <v>1</v>
      </c>
    </row>
    <row r="348" spans="1:22">
      <c r="A348" s="55">
        <v>45903</v>
      </c>
      <c r="B348" t="s">
        <v>1554</v>
      </c>
      <c r="C348" t="s">
        <v>1555</v>
      </c>
      <c r="D348" t="s">
        <v>169</v>
      </c>
      <c r="E348">
        <v>85395</v>
      </c>
      <c r="F348" t="s">
        <v>1556</v>
      </c>
      <c r="G348" t="s">
        <v>1329</v>
      </c>
      <c r="H348" t="s">
        <v>1557</v>
      </c>
      <c r="I348" t="s">
        <v>196</v>
      </c>
      <c r="J348" t="s">
        <v>37</v>
      </c>
      <c r="K348" t="s">
        <v>37</v>
      </c>
      <c r="L348" t="s">
        <v>1558</v>
      </c>
      <c r="M348" t="s">
        <v>37</v>
      </c>
      <c r="N348" t="s">
        <v>37</v>
      </c>
      <c r="O348" t="s">
        <v>38</v>
      </c>
      <c r="P348">
        <v>45936</v>
      </c>
      <c r="Q348" s="55">
        <v>45966</v>
      </c>
      <c r="R348" t="s">
        <v>1429</v>
      </c>
      <c r="V348">
        <v>1</v>
      </c>
    </row>
    <row r="349" spans="1:22">
      <c r="A349" s="55">
        <v>45903</v>
      </c>
      <c r="B349" t="s">
        <v>1559</v>
      </c>
      <c r="C349" t="s">
        <v>309</v>
      </c>
      <c r="D349" t="s">
        <v>129</v>
      </c>
      <c r="E349">
        <v>85234</v>
      </c>
      <c r="F349" t="s">
        <v>310</v>
      </c>
      <c r="G349" t="s">
        <v>1329</v>
      </c>
      <c r="H349" t="s">
        <v>1560</v>
      </c>
      <c r="I349" t="s">
        <v>196</v>
      </c>
      <c r="J349" t="s">
        <v>37</v>
      </c>
      <c r="K349" t="s">
        <v>37</v>
      </c>
      <c r="L349" t="s">
        <v>1561</v>
      </c>
      <c r="M349" t="s">
        <v>37</v>
      </c>
      <c r="N349" t="s">
        <v>37</v>
      </c>
      <c r="O349" t="s">
        <v>38</v>
      </c>
      <c r="P349">
        <v>45936</v>
      </c>
      <c r="Q349" s="55">
        <v>45966</v>
      </c>
      <c r="R349" t="s">
        <v>1429</v>
      </c>
      <c r="V349">
        <v>1</v>
      </c>
    </row>
    <row r="350" spans="1:22">
      <c r="A350" s="55">
        <v>45903</v>
      </c>
      <c r="B350" t="s">
        <v>1562</v>
      </c>
      <c r="C350" t="s">
        <v>1563</v>
      </c>
      <c r="D350" t="s">
        <v>816</v>
      </c>
      <c r="E350">
        <v>86304</v>
      </c>
      <c r="F350" t="s">
        <v>31</v>
      </c>
      <c r="G350" t="s">
        <v>1329</v>
      </c>
      <c r="H350" t="s">
        <v>1564</v>
      </c>
      <c r="I350" t="s">
        <v>73</v>
      </c>
      <c r="J350" t="s">
        <v>37</v>
      </c>
      <c r="K350" t="s">
        <v>37</v>
      </c>
      <c r="L350" t="s">
        <v>38</v>
      </c>
      <c r="M350" t="s">
        <v>37</v>
      </c>
      <c r="N350" t="s">
        <v>37</v>
      </c>
      <c r="O350" t="s">
        <v>38</v>
      </c>
      <c r="P350" t="s">
        <v>39</v>
      </c>
      <c r="Q350" s="55">
        <v>45966</v>
      </c>
      <c r="V350">
        <v>1</v>
      </c>
    </row>
    <row r="351" spans="1:22">
      <c r="A351" s="55">
        <v>45903</v>
      </c>
      <c r="B351" t="s">
        <v>1565</v>
      </c>
      <c r="C351" t="s">
        <v>1566</v>
      </c>
      <c r="D351" t="s">
        <v>169</v>
      </c>
      <c r="E351">
        <v>85395</v>
      </c>
      <c r="F351" t="s">
        <v>31</v>
      </c>
      <c r="G351" t="s">
        <v>1329</v>
      </c>
      <c r="H351" t="s">
        <v>1567</v>
      </c>
      <c r="I351" t="s">
        <v>73</v>
      </c>
      <c r="J351" t="s">
        <v>37</v>
      </c>
      <c r="K351" t="s">
        <v>37</v>
      </c>
      <c r="L351" t="s">
        <v>38</v>
      </c>
      <c r="M351" t="s">
        <v>37</v>
      </c>
      <c r="N351" t="s">
        <v>37</v>
      </c>
      <c r="O351" t="s">
        <v>38</v>
      </c>
      <c r="P351" t="s">
        <v>39</v>
      </c>
      <c r="Q351" s="55">
        <v>45966</v>
      </c>
      <c r="V351">
        <v>1</v>
      </c>
    </row>
    <row r="352" spans="1:22">
      <c r="A352" s="55">
        <v>45903</v>
      </c>
      <c r="B352" t="s">
        <v>1568</v>
      </c>
      <c r="C352" t="s">
        <v>1463</v>
      </c>
      <c r="D352" t="s">
        <v>659</v>
      </c>
      <c r="E352">
        <v>85350</v>
      </c>
      <c r="F352" t="s">
        <v>31</v>
      </c>
      <c r="G352" t="s">
        <v>1329</v>
      </c>
      <c r="H352" t="s">
        <v>1569</v>
      </c>
      <c r="I352" t="s">
        <v>46</v>
      </c>
      <c r="J352" t="s">
        <v>38</v>
      </c>
      <c r="K352" t="s">
        <v>37</v>
      </c>
      <c r="L352" t="s">
        <v>38</v>
      </c>
      <c r="M352" t="s">
        <v>37</v>
      </c>
      <c r="N352" t="s">
        <v>37</v>
      </c>
      <c r="O352" t="s">
        <v>38</v>
      </c>
      <c r="P352" t="s">
        <v>39</v>
      </c>
      <c r="Q352" s="55">
        <v>45966</v>
      </c>
      <c r="V352">
        <v>1</v>
      </c>
    </row>
    <row r="353" spans="1:22">
      <c r="A353" s="55">
        <v>45903</v>
      </c>
      <c r="B353" t="s">
        <v>1570</v>
      </c>
      <c r="C353" t="s">
        <v>1571</v>
      </c>
      <c r="D353" t="s">
        <v>24</v>
      </c>
      <c r="E353">
        <v>85308</v>
      </c>
      <c r="F353" t="s">
        <v>310</v>
      </c>
      <c r="G353" t="s">
        <v>1329</v>
      </c>
      <c r="H353" t="s">
        <v>1572</v>
      </c>
      <c r="I353" t="s">
        <v>36</v>
      </c>
      <c r="J353" t="s">
        <v>37</v>
      </c>
      <c r="K353" t="s">
        <v>37</v>
      </c>
      <c r="L353" t="s">
        <v>1573</v>
      </c>
      <c r="M353" t="s">
        <v>37</v>
      </c>
      <c r="N353" t="s">
        <v>37</v>
      </c>
      <c r="O353" t="s">
        <v>38</v>
      </c>
      <c r="Q353" s="55">
        <v>45966</v>
      </c>
      <c r="V353">
        <v>1</v>
      </c>
    </row>
    <row r="354" spans="1:22">
      <c r="A354" s="55">
        <v>45903</v>
      </c>
      <c r="B354" t="s">
        <v>367</v>
      </c>
      <c r="C354" t="s">
        <v>1574</v>
      </c>
      <c r="D354" t="s">
        <v>169</v>
      </c>
      <c r="E354">
        <v>85395</v>
      </c>
      <c r="F354" t="s">
        <v>31</v>
      </c>
      <c r="G354" t="s">
        <v>1329</v>
      </c>
      <c r="H354" t="s">
        <v>1575</v>
      </c>
      <c r="I354" t="s">
        <v>1576</v>
      </c>
      <c r="J354" t="s">
        <v>37</v>
      </c>
      <c r="K354" t="s">
        <v>37</v>
      </c>
      <c r="L354" t="s">
        <v>389</v>
      </c>
      <c r="M354" t="s">
        <v>37</v>
      </c>
      <c r="N354" t="s">
        <v>37</v>
      </c>
      <c r="O354" t="s">
        <v>38</v>
      </c>
      <c r="P354" t="s">
        <v>39</v>
      </c>
      <c r="Q354" s="55">
        <v>45966</v>
      </c>
      <c r="V354">
        <v>1</v>
      </c>
    </row>
    <row r="355" spans="1:22">
      <c r="A355" s="55">
        <v>45903</v>
      </c>
      <c r="B355" t="s">
        <v>1577</v>
      </c>
      <c r="C355" t="s">
        <v>1578</v>
      </c>
      <c r="D355" t="s">
        <v>264</v>
      </c>
      <c r="E355">
        <v>85541</v>
      </c>
      <c r="F355" t="s">
        <v>310</v>
      </c>
      <c r="G355" t="s">
        <v>1329</v>
      </c>
      <c r="H355" t="s">
        <v>1579</v>
      </c>
      <c r="I355" t="s">
        <v>36</v>
      </c>
      <c r="J355" t="s">
        <v>37</v>
      </c>
      <c r="K355" t="s">
        <v>37</v>
      </c>
      <c r="L355" t="s">
        <v>38</v>
      </c>
      <c r="M355" t="s">
        <v>37</v>
      </c>
      <c r="N355" t="s">
        <v>37</v>
      </c>
      <c r="O355" t="s">
        <v>38</v>
      </c>
      <c r="P355" t="s">
        <v>39</v>
      </c>
      <c r="Q355" s="55">
        <v>45966</v>
      </c>
      <c r="V355">
        <v>1</v>
      </c>
    </row>
    <row r="356" spans="1:22">
      <c r="A356" s="55">
        <v>45903</v>
      </c>
      <c r="B356" t="s">
        <v>1580</v>
      </c>
      <c r="C356" t="s">
        <v>1581</v>
      </c>
      <c r="D356" t="s">
        <v>169</v>
      </c>
      <c r="E356">
        <v>85395</v>
      </c>
      <c r="F356" t="s">
        <v>1211</v>
      </c>
      <c r="G356" t="s">
        <v>1329</v>
      </c>
      <c r="H356" t="s">
        <v>1582</v>
      </c>
      <c r="I356" t="s">
        <v>243</v>
      </c>
      <c r="J356" t="s">
        <v>37</v>
      </c>
      <c r="K356" t="s">
        <v>37</v>
      </c>
      <c r="L356" t="s">
        <v>389</v>
      </c>
      <c r="M356" t="s">
        <v>37</v>
      </c>
      <c r="N356" t="s">
        <v>37</v>
      </c>
      <c r="O356" t="s">
        <v>38</v>
      </c>
      <c r="P356" t="s">
        <v>39</v>
      </c>
      <c r="Q356" s="55">
        <v>45966</v>
      </c>
      <c r="V356">
        <v>1</v>
      </c>
    </row>
    <row r="357" spans="1:22">
      <c r="A357" s="55">
        <v>45903</v>
      </c>
      <c r="B357" t="s">
        <v>1583</v>
      </c>
      <c r="C357" t="s">
        <v>1584</v>
      </c>
      <c r="D357" t="s">
        <v>523</v>
      </c>
      <c r="E357">
        <v>85392</v>
      </c>
      <c r="F357" t="s">
        <v>31</v>
      </c>
      <c r="G357" t="s">
        <v>1329</v>
      </c>
      <c r="H357" t="s">
        <v>1585</v>
      </c>
      <c r="I357" t="s">
        <v>46</v>
      </c>
      <c r="J357" t="s">
        <v>37</v>
      </c>
      <c r="K357" t="s">
        <v>37</v>
      </c>
      <c r="L357" t="s">
        <v>1586</v>
      </c>
      <c r="M357" t="s">
        <v>37</v>
      </c>
      <c r="N357" t="s">
        <v>37</v>
      </c>
      <c r="O357" t="s">
        <v>38</v>
      </c>
      <c r="P357" t="s">
        <v>39</v>
      </c>
      <c r="Q357" s="55">
        <v>45966</v>
      </c>
      <c r="V357">
        <v>1</v>
      </c>
    </row>
    <row r="358" spans="1:22">
      <c r="A358" s="55">
        <v>45903</v>
      </c>
      <c r="B358" t="s">
        <v>1587</v>
      </c>
      <c r="C358" t="s">
        <v>1588</v>
      </c>
      <c r="D358" t="s">
        <v>63</v>
      </c>
      <c r="E358">
        <v>85032</v>
      </c>
      <c r="F358" t="s">
        <v>310</v>
      </c>
      <c r="G358" t="s">
        <v>1329</v>
      </c>
      <c r="H358" t="s">
        <v>1589</v>
      </c>
      <c r="I358" t="s">
        <v>250</v>
      </c>
      <c r="J358" t="s">
        <v>37</v>
      </c>
      <c r="K358" t="s">
        <v>37</v>
      </c>
      <c r="L358" t="s">
        <v>1586</v>
      </c>
      <c r="M358" t="s">
        <v>37</v>
      </c>
      <c r="N358" t="s">
        <v>37</v>
      </c>
      <c r="O358" t="s">
        <v>38</v>
      </c>
      <c r="P358" t="s">
        <v>39</v>
      </c>
      <c r="Q358" s="55">
        <v>45966</v>
      </c>
      <c r="V358">
        <v>1</v>
      </c>
    </row>
    <row r="359" spans="1:22">
      <c r="A359" s="55">
        <v>45903</v>
      </c>
      <c r="B359" t="s">
        <v>1592</v>
      </c>
      <c r="C359" t="s">
        <v>333</v>
      </c>
      <c r="D359" t="s">
        <v>112</v>
      </c>
      <c r="E359">
        <v>85379</v>
      </c>
      <c r="F359" t="s">
        <v>310</v>
      </c>
      <c r="G359" t="s">
        <v>1593</v>
      </c>
      <c r="H359" t="s">
        <v>1594</v>
      </c>
      <c r="I359" t="s">
        <v>126</v>
      </c>
      <c r="J359" t="s">
        <v>37</v>
      </c>
      <c r="K359" t="s">
        <v>37</v>
      </c>
      <c r="L359" t="s">
        <v>38</v>
      </c>
      <c r="M359" t="s">
        <v>37</v>
      </c>
      <c r="N359" t="s">
        <v>37</v>
      </c>
      <c r="O359" t="s">
        <v>38</v>
      </c>
      <c r="P359" t="s">
        <v>39</v>
      </c>
      <c r="Q359" s="55">
        <v>45966</v>
      </c>
      <c r="V359">
        <v>1</v>
      </c>
    </row>
    <row r="360" spans="1:22">
      <c r="A360" s="55">
        <v>45903</v>
      </c>
      <c r="B360" t="s">
        <v>1595</v>
      </c>
      <c r="C360" t="s">
        <v>1596</v>
      </c>
      <c r="D360" t="s">
        <v>523</v>
      </c>
      <c r="E360">
        <v>85392</v>
      </c>
      <c r="F360" t="s">
        <v>31</v>
      </c>
      <c r="G360" t="s">
        <v>1593</v>
      </c>
      <c r="H360" t="s">
        <v>1597</v>
      </c>
      <c r="I360" t="s">
        <v>36</v>
      </c>
      <c r="J360" t="s">
        <v>37</v>
      </c>
      <c r="K360" t="s">
        <v>37</v>
      </c>
      <c r="L360" t="s">
        <v>38</v>
      </c>
      <c r="M360" t="s">
        <v>37</v>
      </c>
      <c r="N360" t="s">
        <v>37</v>
      </c>
      <c r="O360" t="s">
        <v>38</v>
      </c>
      <c r="P360" t="s">
        <v>39</v>
      </c>
      <c r="Q360" s="55">
        <v>45966</v>
      </c>
      <c r="V360">
        <v>1</v>
      </c>
    </row>
    <row r="361" spans="1:22">
      <c r="A361" s="55">
        <v>45903</v>
      </c>
      <c r="B361" t="s">
        <v>604</v>
      </c>
      <c r="C361" t="s">
        <v>420</v>
      </c>
      <c r="D361" t="s">
        <v>24</v>
      </c>
      <c r="E361">
        <v>85308</v>
      </c>
      <c r="F361" t="s">
        <v>310</v>
      </c>
      <c r="G361" t="s">
        <v>1593</v>
      </c>
      <c r="H361" t="s">
        <v>1598</v>
      </c>
      <c r="I361" t="s">
        <v>73</v>
      </c>
      <c r="J361" t="s">
        <v>37</v>
      </c>
      <c r="K361" t="s">
        <v>37</v>
      </c>
      <c r="L361" t="s">
        <v>38</v>
      </c>
      <c r="M361" t="s">
        <v>37</v>
      </c>
      <c r="N361" t="s">
        <v>37</v>
      </c>
      <c r="O361" t="s">
        <v>38</v>
      </c>
      <c r="P361" t="s">
        <v>39</v>
      </c>
      <c r="Q361" s="55">
        <v>45966</v>
      </c>
      <c r="V361">
        <v>1</v>
      </c>
    </row>
    <row r="362" spans="1:22">
      <c r="A362" s="55">
        <v>45903</v>
      </c>
      <c r="B362" t="s">
        <v>1599</v>
      </c>
      <c r="C362" t="s">
        <v>1600</v>
      </c>
      <c r="D362" t="s">
        <v>63</v>
      </c>
      <c r="E362">
        <v>85345</v>
      </c>
      <c r="F362" t="s">
        <v>31</v>
      </c>
      <c r="G362" t="s">
        <v>1593</v>
      </c>
      <c r="H362" t="s">
        <v>1601</v>
      </c>
      <c r="I362" t="s">
        <v>73</v>
      </c>
      <c r="J362" t="s">
        <v>37</v>
      </c>
      <c r="K362" t="s">
        <v>37</v>
      </c>
      <c r="L362" t="s">
        <v>1602</v>
      </c>
      <c r="M362" t="s">
        <v>37</v>
      </c>
      <c r="N362" t="s">
        <v>37</v>
      </c>
      <c r="O362" t="s">
        <v>38</v>
      </c>
      <c r="P362" t="s">
        <v>39</v>
      </c>
      <c r="Q362" s="55">
        <v>45966</v>
      </c>
      <c r="V362">
        <v>1</v>
      </c>
    </row>
    <row r="363" spans="1:22">
      <c r="A363" s="55">
        <v>45903</v>
      </c>
      <c r="B363" t="s">
        <v>1603</v>
      </c>
      <c r="C363" t="s">
        <v>117</v>
      </c>
      <c r="D363" t="s">
        <v>169</v>
      </c>
      <c r="E363">
        <v>85338</v>
      </c>
      <c r="F363" t="s">
        <v>1604</v>
      </c>
      <c r="G363" t="s">
        <v>1593</v>
      </c>
      <c r="H363" t="s">
        <v>1605</v>
      </c>
      <c r="I363" t="s">
        <v>36</v>
      </c>
      <c r="J363" t="s">
        <v>37</v>
      </c>
      <c r="K363" t="s">
        <v>37</v>
      </c>
      <c r="L363" t="s">
        <v>38</v>
      </c>
      <c r="M363" t="s">
        <v>37</v>
      </c>
      <c r="N363" t="s">
        <v>37</v>
      </c>
      <c r="O363" t="s">
        <v>38</v>
      </c>
      <c r="P363" t="s">
        <v>39</v>
      </c>
      <c r="Q363" s="55">
        <v>45966</v>
      </c>
      <c r="V363">
        <v>1</v>
      </c>
    </row>
    <row r="364" spans="1:22">
      <c r="A364" s="55">
        <v>45903</v>
      </c>
      <c r="B364" t="s">
        <v>1607</v>
      </c>
      <c r="C364" t="s">
        <v>1501</v>
      </c>
      <c r="D364" t="s">
        <v>125</v>
      </c>
      <c r="E364">
        <v>85254</v>
      </c>
      <c r="F364" t="s">
        <v>1608</v>
      </c>
      <c r="G364" t="s">
        <v>1593</v>
      </c>
      <c r="H364" t="s">
        <v>1609</v>
      </c>
      <c r="I364" t="s">
        <v>46</v>
      </c>
      <c r="J364" t="s">
        <v>37</v>
      </c>
      <c r="K364" t="s">
        <v>37</v>
      </c>
      <c r="L364" t="s">
        <v>38</v>
      </c>
      <c r="M364" t="s">
        <v>37</v>
      </c>
      <c r="N364" t="s">
        <v>37</v>
      </c>
      <c r="O364" t="s">
        <v>38</v>
      </c>
      <c r="P364" t="s">
        <v>39</v>
      </c>
      <c r="Q364" s="55">
        <v>45966</v>
      </c>
      <c r="V364">
        <v>1</v>
      </c>
    </row>
    <row r="365" spans="1:22">
      <c r="A365" s="55">
        <v>45903</v>
      </c>
      <c r="B365" t="s">
        <v>1610</v>
      </c>
      <c r="C365" t="s">
        <v>1127</v>
      </c>
      <c r="D365" t="s">
        <v>816</v>
      </c>
      <c r="E365">
        <v>86305</v>
      </c>
      <c r="F365" t="s">
        <v>31</v>
      </c>
      <c r="G365" t="s">
        <v>1593</v>
      </c>
      <c r="H365" t="s">
        <v>1611</v>
      </c>
      <c r="I365" t="s">
        <v>196</v>
      </c>
      <c r="J365" t="s">
        <v>37</v>
      </c>
      <c r="K365" t="s">
        <v>37</v>
      </c>
      <c r="L365" t="s">
        <v>1612</v>
      </c>
      <c r="M365" t="s">
        <v>37</v>
      </c>
      <c r="N365" t="s">
        <v>37</v>
      </c>
      <c r="O365" t="s">
        <v>38</v>
      </c>
      <c r="P365" t="s">
        <v>39</v>
      </c>
      <c r="Q365" s="55">
        <v>45966</v>
      </c>
      <c r="V365">
        <v>1</v>
      </c>
    </row>
    <row r="366" spans="1:22">
      <c r="A366" s="55">
        <v>45903</v>
      </c>
      <c r="B366" t="s">
        <v>1616</v>
      </c>
      <c r="C366" t="s">
        <v>1617</v>
      </c>
      <c r="D366" t="s">
        <v>816</v>
      </c>
      <c r="E366">
        <v>86303</v>
      </c>
      <c r="F366" t="s">
        <v>310</v>
      </c>
      <c r="G366" t="s">
        <v>1593</v>
      </c>
      <c r="H366" t="s">
        <v>1618</v>
      </c>
      <c r="I366" t="s">
        <v>73</v>
      </c>
      <c r="J366" t="s">
        <v>37</v>
      </c>
      <c r="K366" t="s">
        <v>37</v>
      </c>
      <c r="L366" t="s">
        <v>38</v>
      </c>
      <c r="M366" t="s">
        <v>37</v>
      </c>
      <c r="N366" t="s">
        <v>37</v>
      </c>
      <c r="O366" t="s">
        <v>38</v>
      </c>
      <c r="P366" t="s">
        <v>39</v>
      </c>
      <c r="Q366" s="55">
        <v>45966</v>
      </c>
      <c r="V366">
        <v>1</v>
      </c>
    </row>
    <row r="367" spans="1:22">
      <c r="A367" s="55">
        <v>45903</v>
      </c>
      <c r="B367" t="s">
        <v>1619</v>
      </c>
      <c r="C367" t="s">
        <v>117</v>
      </c>
      <c r="D367" t="s">
        <v>63</v>
      </c>
      <c r="E367">
        <v>85020</v>
      </c>
      <c r="F367" t="s">
        <v>31</v>
      </c>
      <c r="G367" t="s">
        <v>1593</v>
      </c>
      <c r="H367">
        <v>7835950000</v>
      </c>
      <c r="I367" t="s">
        <v>196</v>
      </c>
      <c r="J367" t="s">
        <v>37</v>
      </c>
      <c r="K367" t="s">
        <v>37</v>
      </c>
      <c r="L367" t="s">
        <v>1620</v>
      </c>
      <c r="M367" t="s">
        <v>37</v>
      </c>
      <c r="N367" t="s">
        <v>37</v>
      </c>
      <c r="O367" t="s">
        <v>38</v>
      </c>
      <c r="P367">
        <v>45940</v>
      </c>
      <c r="Q367" s="55">
        <v>45966</v>
      </c>
      <c r="R367" t="s">
        <v>1621</v>
      </c>
      <c r="V367">
        <v>1</v>
      </c>
    </row>
    <row r="368" spans="1:22">
      <c r="A368" s="55">
        <v>45903</v>
      </c>
      <c r="B368" t="s">
        <v>1622</v>
      </c>
      <c r="C368" t="s">
        <v>1623</v>
      </c>
      <c r="D368" t="s">
        <v>63</v>
      </c>
      <c r="E368">
        <v>85029</v>
      </c>
      <c r="F368" t="s">
        <v>1624</v>
      </c>
      <c r="G368" t="s">
        <v>1593</v>
      </c>
      <c r="H368" t="s">
        <v>1625</v>
      </c>
      <c r="I368" t="s">
        <v>418</v>
      </c>
      <c r="J368" t="s">
        <v>37</v>
      </c>
      <c r="K368" t="s">
        <v>37</v>
      </c>
      <c r="L368" t="s">
        <v>389</v>
      </c>
      <c r="M368" t="s">
        <v>37</v>
      </c>
      <c r="N368" t="s">
        <v>37</v>
      </c>
      <c r="O368" t="s">
        <v>38</v>
      </c>
      <c r="P368" t="s">
        <v>39</v>
      </c>
      <c r="Q368" s="55">
        <v>45966</v>
      </c>
      <c r="V368">
        <v>1</v>
      </c>
    </row>
    <row r="369" spans="1:22">
      <c r="A369" s="55">
        <v>45903</v>
      </c>
      <c r="B369" t="s">
        <v>1627</v>
      </c>
      <c r="C369" t="s">
        <v>1628</v>
      </c>
      <c r="D369" t="s">
        <v>63</v>
      </c>
      <c r="E369">
        <v>85014</v>
      </c>
      <c r="F369" t="s">
        <v>31</v>
      </c>
      <c r="G369" t="s">
        <v>1593</v>
      </c>
      <c r="H369">
        <v>6594526342</v>
      </c>
      <c r="I369" t="s">
        <v>541</v>
      </c>
      <c r="J369" t="s">
        <v>37</v>
      </c>
      <c r="K369" t="s">
        <v>37</v>
      </c>
      <c r="L369" t="s">
        <v>389</v>
      </c>
      <c r="M369" t="s">
        <v>37</v>
      </c>
      <c r="N369" t="s">
        <v>37</v>
      </c>
      <c r="O369" t="s">
        <v>38</v>
      </c>
      <c r="P369" t="s">
        <v>39</v>
      </c>
      <c r="Q369" s="55">
        <v>45966</v>
      </c>
      <c r="V369">
        <v>1</v>
      </c>
    </row>
    <row r="370" spans="1:22">
      <c r="A370" s="55">
        <v>45903</v>
      </c>
      <c r="B370" t="s">
        <v>1629</v>
      </c>
      <c r="C370" t="s">
        <v>1140</v>
      </c>
      <c r="D370" t="s">
        <v>63</v>
      </c>
      <c r="E370">
        <v>85053</v>
      </c>
      <c r="F370" t="s">
        <v>1630</v>
      </c>
      <c r="G370" t="s">
        <v>1593</v>
      </c>
      <c r="H370" t="s">
        <v>1631</v>
      </c>
      <c r="I370" t="s">
        <v>36</v>
      </c>
      <c r="J370" t="s">
        <v>37</v>
      </c>
      <c r="K370" t="s">
        <v>37</v>
      </c>
      <c r="L370" t="s">
        <v>1632</v>
      </c>
      <c r="M370" t="s">
        <v>37</v>
      </c>
      <c r="N370" t="s">
        <v>37</v>
      </c>
      <c r="O370" t="s">
        <v>38</v>
      </c>
      <c r="P370" t="s">
        <v>39</v>
      </c>
      <c r="Q370" s="55">
        <v>45966</v>
      </c>
      <c r="V370">
        <v>1</v>
      </c>
    </row>
    <row r="371" spans="1:22">
      <c r="A371" s="55">
        <v>45903</v>
      </c>
      <c r="B371" t="s">
        <v>1638</v>
      </c>
      <c r="C371" t="s">
        <v>1639</v>
      </c>
      <c r="D371" t="s">
        <v>63</v>
      </c>
      <c r="E371">
        <v>85085</v>
      </c>
      <c r="F371" t="s">
        <v>31</v>
      </c>
      <c r="G371" t="s">
        <v>1593</v>
      </c>
      <c r="H371" t="s">
        <v>1640</v>
      </c>
      <c r="I371" t="s">
        <v>418</v>
      </c>
      <c r="J371" t="s">
        <v>37</v>
      </c>
      <c r="K371" t="s">
        <v>37</v>
      </c>
      <c r="L371" t="s">
        <v>389</v>
      </c>
      <c r="M371" t="s">
        <v>37</v>
      </c>
      <c r="N371" t="s">
        <v>37</v>
      </c>
      <c r="O371" t="s">
        <v>38</v>
      </c>
      <c r="P371" t="s">
        <v>39</v>
      </c>
      <c r="Q371" s="55">
        <v>45966</v>
      </c>
      <c r="V371">
        <v>1</v>
      </c>
    </row>
    <row r="372" spans="1:22">
      <c r="A372" s="55">
        <v>45903</v>
      </c>
      <c r="B372" t="s">
        <v>480</v>
      </c>
      <c r="C372" t="s">
        <v>481</v>
      </c>
      <c r="D372" t="s">
        <v>63</v>
      </c>
      <c r="E372">
        <v>85083</v>
      </c>
      <c r="F372" t="s">
        <v>31</v>
      </c>
      <c r="G372" t="s">
        <v>1593</v>
      </c>
      <c r="H372" t="s">
        <v>1641</v>
      </c>
      <c r="I372" t="s">
        <v>46</v>
      </c>
      <c r="J372" t="s">
        <v>37</v>
      </c>
      <c r="K372" t="s">
        <v>37</v>
      </c>
      <c r="L372" t="s">
        <v>483</v>
      </c>
      <c r="M372" t="s">
        <v>37</v>
      </c>
      <c r="N372" t="s">
        <v>37</v>
      </c>
      <c r="O372" t="s">
        <v>38</v>
      </c>
      <c r="P372" t="s">
        <v>39</v>
      </c>
      <c r="Q372" s="55">
        <v>45966</v>
      </c>
      <c r="V372">
        <v>1</v>
      </c>
    </row>
    <row r="373" spans="1:22">
      <c r="A373" s="55">
        <v>45903</v>
      </c>
      <c r="B373" t="s">
        <v>1134</v>
      </c>
      <c r="C373" t="s">
        <v>1642</v>
      </c>
      <c r="D373" t="s">
        <v>240</v>
      </c>
      <c r="E373">
        <v>85340</v>
      </c>
      <c r="F373" t="s">
        <v>741</v>
      </c>
      <c r="G373" t="s">
        <v>1593</v>
      </c>
      <c r="H373" t="s">
        <v>1643</v>
      </c>
      <c r="I373" t="s">
        <v>36</v>
      </c>
      <c r="J373" t="s">
        <v>37</v>
      </c>
      <c r="K373" t="s">
        <v>37</v>
      </c>
      <c r="L373" t="s">
        <v>38</v>
      </c>
      <c r="M373" t="s">
        <v>37</v>
      </c>
      <c r="N373" t="s">
        <v>37</v>
      </c>
      <c r="O373" t="s">
        <v>38</v>
      </c>
      <c r="P373" t="s">
        <v>39</v>
      </c>
      <c r="Q373" s="55">
        <v>45966</v>
      </c>
      <c r="V373">
        <v>1</v>
      </c>
    </row>
    <row r="374" spans="1:22">
      <c r="A374" s="55">
        <v>45903</v>
      </c>
      <c r="B374" t="s">
        <v>1644</v>
      </c>
      <c r="C374" t="s">
        <v>135</v>
      </c>
      <c r="D374" t="s">
        <v>169</v>
      </c>
      <c r="E374">
        <v>85338</v>
      </c>
      <c r="F374" t="s">
        <v>31</v>
      </c>
      <c r="G374" t="s">
        <v>1593</v>
      </c>
      <c r="H374" t="s">
        <v>1645</v>
      </c>
      <c r="I374" t="s">
        <v>418</v>
      </c>
      <c r="J374" t="s">
        <v>37</v>
      </c>
      <c r="K374" t="s">
        <v>37</v>
      </c>
      <c r="L374" t="s">
        <v>389</v>
      </c>
      <c r="M374" t="s">
        <v>38</v>
      </c>
      <c r="N374">
        <v>102.79</v>
      </c>
      <c r="O374" t="s">
        <v>38</v>
      </c>
      <c r="P374" t="s">
        <v>39</v>
      </c>
      <c r="Q374" s="55">
        <v>45966</v>
      </c>
      <c r="V374">
        <v>1</v>
      </c>
    </row>
    <row r="375" spans="1:22">
      <c r="A375" s="55">
        <v>45903</v>
      </c>
      <c r="B375" t="s">
        <v>1646</v>
      </c>
      <c r="C375" t="s">
        <v>1647</v>
      </c>
      <c r="D375" t="s">
        <v>63</v>
      </c>
      <c r="E375">
        <v>85028</v>
      </c>
      <c r="F375" t="s">
        <v>310</v>
      </c>
      <c r="G375" t="s">
        <v>1593</v>
      </c>
      <c r="H375" t="s">
        <v>1648</v>
      </c>
      <c r="I375" t="s">
        <v>418</v>
      </c>
      <c r="J375" t="s">
        <v>37</v>
      </c>
      <c r="K375" t="s">
        <v>37</v>
      </c>
      <c r="L375" t="s">
        <v>389</v>
      </c>
      <c r="M375" t="s">
        <v>37</v>
      </c>
      <c r="N375" t="s">
        <v>37</v>
      </c>
      <c r="O375" t="s">
        <v>38</v>
      </c>
      <c r="P375" t="s">
        <v>39</v>
      </c>
      <c r="Q375" s="55">
        <v>45966</v>
      </c>
      <c r="V375">
        <v>1</v>
      </c>
    </row>
    <row r="376" spans="1:22">
      <c r="A376" s="55">
        <v>45903</v>
      </c>
      <c r="B376" t="s">
        <v>135</v>
      </c>
      <c r="C376" t="s">
        <v>1649</v>
      </c>
      <c r="D376" t="s">
        <v>125</v>
      </c>
      <c r="E376">
        <v>85260</v>
      </c>
      <c r="F376" t="s">
        <v>31</v>
      </c>
      <c r="G376" t="s">
        <v>1593</v>
      </c>
      <c r="H376" t="s">
        <v>1650</v>
      </c>
      <c r="I376" t="s">
        <v>36</v>
      </c>
      <c r="J376" t="s">
        <v>37</v>
      </c>
      <c r="K376" t="s">
        <v>37</v>
      </c>
      <c r="L376" t="s">
        <v>38</v>
      </c>
      <c r="M376" t="s">
        <v>37</v>
      </c>
      <c r="N376" t="s">
        <v>37</v>
      </c>
      <c r="O376" t="s">
        <v>38</v>
      </c>
      <c r="P376" t="s">
        <v>39</v>
      </c>
      <c r="Q376" s="55">
        <v>45966</v>
      </c>
      <c r="V376">
        <v>1</v>
      </c>
    </row>
    <row r="377" spans="1:22">
      <c r="A377" s="55">
        <v>45903</v>
      </c>
      <c r="B377" t="s">
        <v>1651</v>
      </c>
      <c r="C377" t="s">
        <v>1652</v>
      </c>
      <c r="D377" t="s">
        <v>202</v>
      </c>
      <c r="E377">
        <v>85383</v>
      </c>
      <c r="F377" t="s">
        <v>310</v>
      </c>
      <c r="G377" t="s">
        <v>1593</v>
      </c>
      <c r="H377" t="s">
        <v>1653</v>
      </c>
      <c r="I377" t="s">
        <v>57</v>
      </c>
      <c r="J377" t="s">
        <v>37</v>
      </c>
      <c r="K377" t="s">
        <v>37</v>
      </c>
      <c r="L377" t="s">
        <v>1654</v>
      </c>
      <c r="M377" t="s">
        <v>37</v>
      </c>
      <c r="N377" t="s">
        <v>37</v>
      </c>
      <c r="O377" t="s">
        <v>38</v>
      </c>
      <c r="P377" t="s">
        <v>39</v>
      </c>
      <c r="Q377" s="55">
        <v>45966</v>
      </c>
      <c r="R377" t="s">
        <v>1655</v>
      </c>
      <c r="V377">
        <v>1</v>
      </c>
    </row>
    <row r="378" spans="1:22">
      <c r="A378" s="55">
        <v>45903</v>
      </c>
      <c r="B378" t="s">
        <v>1657</v>
      </c>
      <c r="C378" t="s">
        <v>1658</v>
      </c>
      <c r="D378" t="s">
        <v>202</v>
      </c>
      <c r="E378">
        <v>85382</v>
      </c>
      <c r="F378" t="s">
        <v>310</v>
      </c>
      <c r="G378" t="s">
        <v>1593</v>
      </c>
      <c r="H378" t="s">
        <v>1659</v>
      </c>
      <c r="I378" t="s">
        <v>73</v>
      </c>
      <c r="J378" t="s">
        <v>37</v>
      </c>
      <c r="K378" t="s">
        <v>37</v>
      </c>
      <c r="L378" t="s">
        <v>38</v>
      </c>
      <c r="M378" t="s">
        <v>37</v>
      </c>
      <c r="N378" t="s">
        <v>37</v>
      </c>
      <c r="O378" t="s">
        <v>38</v>
      </c>
      <c r="P378" t="s">
        <v>39</v>
      </c>
      <c r="Q378" s="55">
        <v>45966</v>
      </c>
      <c r="V378">
        <v>1</v>
      </c>
    </row>
    <row r="379" spans="1:22">
      <c r="A379" s="55">
        <v>45903</v>
      </c>
      <c r="B379" t="s">
        <v>1660</v>
      </c>
      <c r="C379" t="s">
        <v>1661</v>
      </c>
      <c r="D379" t="s">
        <v>202</v>
      </c>
      <c r="E379">
        <v>85345</v>
      </c>
      <c r="F379" t="s">
        <v>31</v>
      </c>
      <c r="G379" t="s">
        <v>1593</v>
      </c>
      <c r="H379" t="s">
        <v>1662</v>
      </c>
      <c r="I379" t="s">
        <v>36</v>
      </c>
      <c r="J379" t="s">
        <v>37</v>
      </c>
      <c r="K379" t="s">
        <v>37</v>
      </c>
      <c r="L379" t="s">
        <v>38</v>
      </c>
      <c r="M379" t="s">
        <v>37</v>
      </c>
      <c r="N379" t="s">
        <v>37</v>
      </c>
      <c r="O379" t="s">
        <v>38</v>
      </c>
      <c r="P379" t="s">
        <v>39</v>
      </c>
      <c r="Q379" s="55">
        <v>45966</v>
      </c>
      <c r="V379">
        <v>1</v>
      </c>
    </row>
    <row r="380" spans="1:22">
      <c r="A380" s="55">
        <v>45903</v>
      </c>
      <c r="B380" t="s">
        <v>1663</v>
      </c>
      <c r="C380" t="s">
        <v>135</v>
      </c>
      <c r="D380" t="s">
        <v>261</v>
      </c>
      <c r="E380">
        <v>86315</v>
      </c>
      <c r="F380" t="s">
        <v>31</v>
      </c>
      <c r="G380" t="s">
        <v>1593</v>
      </c>
      <c r="H380" t="s">
        <v>1664</v>
      </c>
      <c r="I380" t="s">
        <v>46</v>
      </c>
      <c r="J380" t="s">
        <v>37</v>
      </c>
      <c r="K380" t="s">
        <v>37</v>
      </c>
      <c r="L380" t="s">
        <v>38</v>
      </c>
      <c r="M380" t="s">
        <v>38</v>
      </c>
      <c r="N380">
        <v>105.18</v>
      </c>
      <c r="O380" t="s">
        <v>38</v>
      </c>
      <c r="P380" t="s">
        <v>39</v>
      </c>
      <c r="Q380" s="55">
        <v>45966</v>
      </c>
      <c r="V380">
        <v>1</v>
      </c>
    </row>
    <row r="381" spans="1:22">
      <c r="A381" s="55">
        <v>45904</v>
      </c>
      <c r="B381" t="s">
        <v>1665</v>
      </c>
      <c r="C381" t="s">
        <v>1666</v>
      </c>
      <c r="D381" t="s">
        <v>125</v>
      </c>
      <c r="E381">
        <v>85251</v>
      </c>
      <c r="F381" t="s">
        <v>1604</v>
      </c>
      <c r="G381" t="s">
        <v>1593</v>
      </c>
      <c r="H381" t="s">
        <v>1667</v>
      </c>
      <c r="I381" t="s">
        <v>73</v>
      </c>
      <c r="J381" t="s">
        <v>37</v>
      </c>
      <c r="K381" t="s">
        <v>37</v>
      </c>
      <c r="L381" t="s">
        <v>38</v>
      </c>
      <c r="M381" t="s">
        <v>37</v>
      </c>
      <c r="N381" t="s">
        <v>37</v>
      </c>
      <c r="O381" t="s">
        <v>38</v>
      </c>
      <c r="P381" t="s">
        <v>39</v>
      </c>
      <c r="Q381" s="55">
        <v>45966</v>
      </c>
      <c r="V381">
        <v>1</v>
      </c>
    </row>
    <row r="382" spans="1:22">
      <c r="A382" s="55">
        <v>45904</v>
      </c>
      <c r="B382" t="s">
        <v>1668</v>
      </c>
      <c r="C382" t="s">
        <v>1232</v>
      </c>
      <c r="D382" t="s">
        <v>112</v>
      </c>
      <c r="E382">
        <v>85387</v>
      </c>
      <c r="F382" t="s">
        <v>31</v>
      </c>
      <c r="G382" t="s">
        <v>1593</v>
      </c>
      <c r="H382" t="s">
        <v>1669</v>
      </c>
      <c r="I382" t="s">
        <v>541</v>
      </c>
      <c r="J382" t="s">
        <v>37</v>
      </c>
      <c r="K382" t="s">
        <v>37</v>
      </c>
      <c r="L382" t="s">
        <v>389</v>
      </c>
      <c r="M382" t="s">
        <v>37</v>
      </c>
      <c r="N382" t="s">
        <v>37</v>
      </c>
      <c r="O382" t="s">
        <v>38</v>
      </c>
      <c r="P382" t="s">
        <v>39</v>
      </c>
      <c r="Q382" s="55">
        <v>45966</v>
      </c>
      <c r="V382">
        <v>1</v>
      </c>
    </row>
    <row r="383" spans="1:22">
      <c r="A383" s="55">
        <v>45904</v>
      </c>
      <c r="B383" t="s">
        <v>1670</v>
      </c>
      <c r="C383" t="s">
        <v>1671</v>
      </c>
      <c r="D383" t="s">
        <v>261</v>
      </c>
      <c r="E383">
        <v>86314</v>
      </c>
      <c r="F383" t="s">
        <v>310</v>
      </c>
      <c r="G383" t="s">
        <v>1593</v>
      </c>
      <c r="H383" t="s">
        <v>1672</v>
      </c>
      <c r="I383" t="s">
        <v>73</v>
      </c>
      <c r="J383" t="s">
        <v>37</v>
      </c>
      <c r="K383" t="s">
        <v>37</v>
      </c>
      <c r="L383" t="s">
        <v>38</v>
      </c>
      <c r="M383" t="s">
        <v>37</v>
      </c>
      <c r="N383" t="s">
        <v>37</v>
      </c>
      <c r="O383" t="s">
        <v>38</v>
      </c>
      <c r="P383" t="s">
        <v>39</v>
      </c>
      <c r="Q383" s="55">
        <v>45966</v>
      </c>
      <c r="V383">
        <v>1</v>
      </c>
    </row>
    <row r="384" spans="1:22">
      <c r="A384" s="55">
        <v>45904</v>
      </c>
      <c r="B384" t="s">
        <v>1675</v>
      </c>
      <c r="C384" t="s">
        <v>1007</v>
      </c>
      <c r="D384" t="s">
        <v>240</v>
      </c>
      <c r="E384">
        <v>85340</v>
      </c>
      <c r="F384" t="s">
        <v>31</v>
      </c>
      <c r="G384" t="s">
        <v>1593</v>
      </c>
      <c r="H384" t="s">
        <v>1676</v>
      </c>
      <c r="I384" t="s">
        <v>541</v>
      </c>
      <c r="J384" t="s">
        <v>38</v>
      </c>
      <c r="K384" t="s">
        <v>37</v>
      </c>
      <c r="L384" t="s">
        <v>389</v>
      </c>
      <c r="M384" t="s">
        <v>38</v>
      </c>
      <c r="N384">
        <v>1106.1300000000001</v>
      </c>
      <c r="O384" t="s">
        <v>38</v>
      </c>
      <c r="Q384" s="55">
        <v>45966</v>
      </c>
      <c r="R384" t="s">
        <v>1677</v>
      </c>
      <c r="V384">
        <v>1</v>
      </c>
    </row>
    <row r="385" spans="1:22">
      <c r="A385" s="55">
        <v>45904</v>
      </c>
      <c r="B385" t="s">
        <v>1679</v>
      </c>
      <c r="C385" t="s">
        <v>194</v>
      </c>
      <c r="D385" t="s">
        <v>370</v>
      </c>
      <c r="E385">
        <v>85225</v>
      </c>
      <c r="F385" t="s">
        <v>310</v>
      </c>
      <c r="G385" t="s">
        <v>1593</v>
      </c>
      <c r="H385" t="s">
        <v>1680</v>
      </c>
      <c r="I385" t="s">
        <v>36</v>
      </c>
      <c r="J385" t="s">
        <v>37</v>
      </c>
      <c r="K385" t="s">
        <v>37</v>
      </c>
      <c r="L385" t="s">
        <v>1681</v>
      </c>
      <c r="M385" t="s">
        <v>37</v>
      </c>
      <c r="N385" t="s">
        <v>37</v>
      </c>
      <c r="O385" t="s">
        <v>38</v>
      </c>
      <c r="P385">
        <v>45936</v>
      </c>
      <c r="Q385" s="55">
        <v>45966</v>
      </c>
      <c r="R385" t="s">
        <v>1429</v>
      </c>
      <c r="V385">
        <v>1</v>
      </c>
    </row>
    <row r="386" spans="1:22">
      <c r="A386" s="55">
        <v>45904</v>
      </c>
      <c r="B386" t="s">
        <v>1682</v>
      </c>
      <c r="C386" t="s">
        <v>503</v>
      </c>
      <c r="D386" t="s">
        <v>125</v>
      </c>
      <c r="E386">
        <v>85260</v>
      </c>
      <c r="F386" t="s">
        <v>31</v>
      </c>
      <c r="G386" t="s">
        <v>1593</v>
      </c>
      <c r="H386" t="s">
        <v>1683</v>
      </c>
      <c r="I386" t="s">
        <v>1684</v>
      </c>
      <c r="J386" t="s">
        <v>37</v>
      </c>
      <c r="K386" t="s">
        <v>37</v>
      </c>
      <c r="L386" t="s">
        <v>38</v>
      </c>
      <c r="M386" t="s">
        <v>37</v>
      </c>
      <c r="N386" t="s">
        <v>37</v>
      </c>
      <c r="O386" t="s">
        <v>38</v>
      </c>
      <c r="P386" t="s">
        <v>39</v>
      </c>
      <c r="Q386" s="55">
        <v>45966</v>
      </c>
      <c r="V386">
        <v>1</v>
      </c>
    </row>
    <row r="387" spans="1:22">
      <c r="A387" s="55">
        <v>45904</v>
      </c>
      <c r="B387" t="s">
        <v>1685</v>
      </c>
      <c r="C387" t="s">
        <v>1686</v>
      </c>
      <c r="D387" t="s">
        <v>169</v>
      </c>
      <c r="E387">
        <v>85338</v>
      </c>
      <c r="F387" t="s">
        <v>31</v>
      </c>
      <c r="G387" t="s">
        <v>1593</v>
      </c>
      <c r="H387" t="s">
        <v>1687</v>
      </c>
      <c r="I387" t="s">
        <v>57</v>
      </c>
      <c r="J387" t="s">
        <v>37</v>
      </c>
      <c r="K387" t="s">
        <v>37</v>
      </c>
      <c r="L387" t="s">
        <v>1688</v>
      </c>
      <c r="M387" t="s">
        <v>37</v>
      </c>
      <c r="N387" t="s">
        <v>37</v>
      </c>
      <c r="O387" t="s">
        <v>38</v>
      </c>
      <c r="P387" t="s">
        <v>39</v>
      </c>
      <c r="Q387" s="55">
        <v>45966</v>
      </c>
      <c r="V387">
        <v>1</v>
      </c>
    </row>
    <row r="388" spans="1:22">
      <c r="A388" s="55">
        <v>45904</v>
      </c>
      <c r="B388" t="s">
        <v>1689</v>
      </c>
      <c r="C388" t="s">
        <v>1690</v>
      </c>
      <c r="D388" t="s">
        <v>63</v>
      </c>
      <c r="E388">
        <v>85016</v>
      </c>
      <c r="F388" t="s">
        <v>310</v>
      </c>
      <c r="G388" t="s">
        <v>1593</v>
      </c>
      <c r="H388" t="s">
        <v>1691</v>
      </c>
      <c r="I388" t="s">
        <v>46</v>
      </c>
      <c r="J388" t="s">
        <v>37</v>
      </c>
      <c r="K388" t="s">
        <v>38</v>
      </c>
      <c r="L388" t="s">
        <v>38</v>
      </c>
      <c r="M388" t="s">
        <v>37</v>
      </c>
      <c r="N388" t="s">
        <v>37</v>
      </c>
      <c r="O388" t="s">
        <v>38</v>
      </c>
      <c r="P388" t="s">
        <v>39</v>
      </c>
      <c r="Q388" s="55">
        <v>45966</v>
      </c>
      <c r="V388">
        <v>1</v>
      </c>
    </row>
    <row r="389" spans="1:22">
      <c r="A389" s="55">
        <v>45904</v>
      </c>
      <c r="B389" t="s">
        <v>1694</v>
      </c>
      <c r="C389" t="s">
        <v>1486</v>
      </c>
      <c r="D389" t="s">
        <v>63</v>
      </c>
      <c r="E389">
        <v>85020</v>
      </c>
      <c r="F389" t="s">
        <v>310</v>
      </c>
      <c r="G389" t="s">
        <v>1593</v>
      </c>
      <c r="H389" t="s">
        <v>1695</v>
      </c>
      <c r="I389" t="s">
        <v>73</v>
      </c>
      <c r="J389" t="s">
        <v>37</v>
      </c>
      <c r="K389" t="s">
        <v>37</v>
      </c>
      <c r="L389" t="s">
        <v>38</v>
      </c>
      <c r="M389" t="s">
        <v>37</v>
      </c>
      <c r="N389" t="s">
        <v>37</v>
      </c>
      <c r="O389" t="s">
        <v>38</v>
      </c>
      <c r="P389" t="s">
        <v>39</v>
      </c>
      <c r="Q389" s="55">
        <v>45966</v>
      </c>
      <c r="V389">
        <v>1</v>
      </c>
    </row>
    <row r="390" spans="1:22">
      <c r="A390" s="55">
        <v>45904</v>
      </c>
      <c r="B390" t="s">
        <v>1696</v>
      </c>
      <c r="C390" t="s">
        <v>1686</v>
      </c>
      <c r="D390" t="s">
        <v>1693</v>
      </c>
      <c r="E390">
        <v>85373</v>
      </c>
      <c r="F390" t="s">
        <v>310</v>
      </c>
      <c r="G390" t="s">
        <v>1593</v>
      </c>
      <c r="H390" t="s">
        <v>1697</v>
      </c>
      <c r="I390" t="s">
        <v>418</v>
      </c>
      <c r="J390" t="s">
        <v>37</v>
      </c>
      <c r="K390" t="s">
        <v>37</v>
      </c>
      <c r="L390" t="s">
        <v>389</v>
      </c>
      <c r="M390" t="s">
        <v>37</v>
      </c>
      <c r="N390" t="s">
        <v>37</v>
      </c>
      <c r="O390" t="s">
        <v>38</v>
      </c>
      <c r="P390" t="s">
        <v>39</v>
      </c>
      <c r="Q390" s="55">
        <v>45966</v>
      </c>
      <c r="V390">
        <v>1</v>
      </c>
    </row>
    <row r="391" spans="1:22">
      <c r="A391" s="55">
        <v>45904</v>
      </c>
      <c r="B391" t="s">
        <v>1195</v>
      </c>
      <c r="C391" t="s">
        <v>789</v>
      </c>
      <c r="D391" t="s">
        <v>24</v>
      </c>
      <c r="E391">
        <v>85306</v>
      </c>
      <c r="F391" t="s">
        <v>1698</v>
      </c>
      <c r="G391" t="s">
        <v>1593</v>
      </c>
      <c r="H391" t="s">
        <v>1699</v>
      </c>
      <c r="I391" t="s">
        <v>57</v>
      </c>
      <c r="J391" t="s">
        <v>37</v>
      </c>
      <c r="K391" t="s">
        <v>37</v>
      </c>
      <c r="L391" t="s">
        <v>1700</v>
      </c>
      <c r="M391" t="s">
        <v>37</v>
      </c>
      <c r="N391" t="s">
        <v>37</v>
      </c>
      <c r="O391" t="s">
        <v>38</v>
      </c>
      <c r="P391">
        <v>45936</v>
      </c>
      <c r="Q391" s="55">
        <v>45966</v>
      </c>
      <c r="R391" t="s">
        <v>1429</v>
      </c>
      <c r="V391">
        <v>1</v>
      </c>
    </row>
    <row r="392" spans="1:22">
      <c r="A392" s="55">
        <v>45904</v>
      </c>
      <c r="B392" t="s">
        <v>1701</v>
      </c>
      <c r="C392" t="s">
        <v>838</v>
      </c>
      <c r="D392" t="s">
        <v>125</v>
      </c>
      <c r="E392">
        <v>85258</v>
      </c>
      <c r="F392" t="s">
        <v>31</v>
      </c>
      <c r="G392" t="s">
        <v>1702</v>
      </c>
      <c r="H392">
        <v>3485675279</v>
      </c>
      <c r="I392" t="s">
        <v>126</v>
      </c>
      <c r="J392" t="s">
        <v>37</v>
      </c>
      <c r="K392" t="s">
        <v>37</v>
      </c>
      <c r="L392" t="s">
        <v>38</v>
      </c>
      <c r="M392" t="s">
        <v>37</v>
      </c>
      <c r="N392" t="s">
        <v>37</v>
      </c>
      <c r="O392" t="s">
        <v>38</v>
      </c>
      <c r="P392" t="s">
        <v>39</v>
      </c>
      <c r="Q392" s="55">
        <v>45966</v>
      </c>
      <c r="V392">
        <v>1</v>
      </c>
    </row>
    <row r="393" spans="1:22">
      <c r="A393" s="55">
        <v>45904</v>
      </c>
      <c r="B393" t="s">
        <v>1710</v>
      </c>
      <c r="C393" t="s">
        <v>1711</v>
      </c>
      <c r="D393" t="s">
        <v>125</v>
      </c>
      <c r="E393">
        <v>85258</v>
      </c>
      <c r="F393" t="s">
        <v>31</v>
      </c>
      <c r="G393" t="s">
        <v>1705</v>
      </c>
      <c r="H393">
        <v>6907731000</v>
      </c>
      <c r="I393" t="s">
        <v>196</v>
      </c>
      <c r="J393" t="s">
        <v>37</v>
      </c>
      <c r="K393" t="s">
        <v>37</v>
      </c>
      <c r="L393" t="s">
        <v>1712</v>
      </c>
      <c r="M393" t="s">
        <v>37</v>
      </c>
      <c r="N393" t="s">
        <v>37</v>
      </c>
      <c r="O393" t="s">
        <v>38</v>
      </c>
      <c r="P393">
        <v>45936</v>
      </c>
      <c r="Q393" s="55">
        <v>45966</v>
      </c>
      <c r="R393" t="s">
        <v>1429</v>
      </c>
      <c r="V393">
        <v>1</v>
      </c>
    </row>
    <row r="394" spans="1:22">
      <c r="A394" s="55">
        <v>45904</v>
      </c>
      <c r="B394" t="s">
        <v>1718</v>
      </c>
      <c r="C394" t="s">
        <v>650</v>
      </c>
      <c r="D394" t="s">
        <v>1719</v>
      </c>
      <c r="E394">
        <v>85615</v>
      </c>
      <c r="F394" t="s">
        <v>31</v>
      </c>
      <c r="G394" t="s">
        <v>1705</v>
      </c>
      <c r="H394">
        <v>1710517819</v>
      </c>
      <c r="I394" t="s">
        <v>541</v>
      </c>
      <c r="J394" t="s">
        <v>38</v>
      </c>
      <c r="K394" t="s">
        <v>37</v>
      </c>
      <c r="L394" t="s">
        <v>389</v>
      </c>
      <c r="M394" t="s">
        <v>37</v>
      </c>
      <c r="N394" t="s">
        <v>37</v>
      </c>
      <c r="O394" t="s">
        <v>38</v>
      </c>
      <c r="P394" t="s">
        <v>39</v>
      </c>
      <c r="Q394" s="55">
        <v>45966</v>
      </c>
      <c r="V394">
        <v>1</v>
      </c>
    </row>
    <row r="395" spans="1:22">
      <c r="A395" s="55">
        <v>45905</v>
      </c>
      <c r="B395" t="s">
        <v>1722</v>
      </c>
      <c r="C395" t="s">
        <v>194</v>
      </c>
      <c r="D395" t="s">
        <v>240</v>
      </c>
      <c r="E395">
        <v>85340</v>
      </c>
      <c r="F395" t="s">
        <v>31</v>
      </c>
      <c r="G395" t="s">
        <v>1723</v>
      </c>
      <c r="H395" t="s">
        <v>898</v>
      </c>
      <c r="I395" t="s">
        <v>73</v>
      </c>
      <c r="J395" t="s">
        <v>37</v>
      </c>
      <c r="K395" t="s">
        <v>37</v>
      </c>
      <c r="L395" t="s">
        <v>38</v>
      </c>
      <c r="M395" t="s">
        <v>37</v>
      </c>
      <c r="N395" t="s">
        <v>37</v>
      </c>
      <c r="O395" t="s">
        <v>38</v>
      </c>
      <c r="P395" t="s">
        <v>39</v>
      </c>
      <c r="Q395" s="55">
        <v>45966</v>
      </c>
      <c r="V395">
        <v>1</v>
      </c>
    </row>
    <row r="396" spans="1:22">
      <c r="A396" s="55">
        <v>45905</v>
      </c>
      <c r="B396" t="s">
        <v>1725</v>
      </c>
      <c r="C396" t="s">
        <v>1726</v>
      </c>
      <c r="D396" t="s">
        <v>169</v>
      </c>
      <c r="E396">
        <v>85395</v>
      </c>
      <c r="F396" t="s">
        <v>1727</v>
      </c>
      <c r="G396" t="s">
        <v>1723</v>
      </c>
      <c r="H396" t="s">
        <v>1728</v>
      </c>
      <c r="I396" t="s">
        <v>418</v>
      </c>
      <c r="J396" t="s">
        <v>37</v>
      </c>
      <c r="K396" t="s">
        <v>37</v>
      </c>
      <c r="L396" t="s">
        <v>389</v>
      </c>
      <c r="M396" t="s">
        <v>37</v>
      </c>
      <c r="N396" t="s">
        <v>37</v>
      </c>
      <c r="O396" t="s">
        <v>38</v>
      </c>
      <c r="P396" t="s">
        <v>39</v>
      </c>
      <c r="Q396" s="55">
        <v>45966</v>
      </c>
      <c r="V396">
        <v>1</v>
      </c>
    </row>
    <row r="397" spans="1:22">
      <c r="A397" s="55">
        <v>45905</v>
      </c>
      <c r="B397" t="s">
        <v>1729</v>
      </c>
      <c r="C397" t="s">
        <v>177</v>
      </c>
      <c r="D397" t="s">
        <v>63</v>
      </c>
      <c r="E397">
        <v>85028</v>
      </c>
      <c r="F397" t="s">
        <v>310</v>
      </c>
      <c r="G397" t="s">
        <v>1723</v>
      </c>
      <c r="H397" t="s">
        <v>1730</v>
      </c>
      <c r="I397" t="s">
        <v>196</v>
      </c>
      <c r="J397" t="s">
        <v>37</v>
      </c>
      <c r="K397" t="s">
        <v>37</v>
      </c>
      <c r="L397" t="s">
        <v>1731</v>
      </c>
      <c r="M397" t="s">
        <v>37</v>
      </c>
      <c r="N397" t="s">
        <v>37</v>
      </c>
      <c r="O397" t="s">
        <v>38</v>
      </c>
      <c r="P397">
        <v>45936</v>
      </c>
      <c r="Q397" s="55">
        <v>45966</v>
      </c>
      <c r="R397" t="s">
        <v>1732</v>
      </c>
      <c r="V397">
        <v>1</v>
      </c>
    </row>
    <row r="398" spans="1:22">
      <c r="A398" s="55">
        <v>45905</v>
      </c>
      <c r="B398" t="s">
        <v>1733</v>
      </c>
      <c r="C398" t="s">
        <v>328</v>
      </c>
      <c r="D398" t="s">
        <v>63</v>
      </c>
      <c r="E398">
        <v>85008</v>
      </c>
      <c r="F398" t="s">
        <v>310</v>
      </c>
      <c r="G398" t="s">
        <v>1723</v>
      </c>
      <c r="H398" t="s">
        <v>1734</v>
      </c>
      <c r="I398" t="s">
        <v>36</v>
      </c>
      <c r="J398" t="s">
        <v>38</v>
      </c>
      <c r="K398" t="s">
        <v>37</v>
      </c>
      <c r="L398" t="s">
        <v>1735</v>
      </c>
      <c r="M398" t="s">
        <v>38</v>
      </c>
      <c r="N398">
        <v>487.48</v>
      </c>
      <c r="O398" t="s">
        <v>38</v>
      </c>
      <c r="Q398" s="55">
        <v>45966</v>
      </c>
      <c r="R398" t="s">
        <v>495</v>
      </c>
      <c r="V398">
        <v>1</v>
      </c>
    </row>
    <row r="399" spans="1:22">
      <c r="A399" s="55">
        <v>45905</v>
      </c>
      <c r="B399" t="s">
        <v>1736</v>
      </c>
      <c r="C399" t="s">
        <v>1737</v>
      </c>
      <c r="D399" t="s">
        <v>125</v>
      </c>
      <c r="E399">
        <v>85260</v>
      </c>
      <c r="F399" t="s">
        <v>310</v>
      </c>
      <c r="G399" t="s">
        <v>1723</v>
      </c>
      <c r="H399" t="s">
        <v>1738</v>
      </c>
      <c r="I399" t="s">
        <v>196</v>
      </c>
      <c r="J399" t="s">
        <v>37</v>
      </c>
      <c r="K399" t="s">
        <v>37</v>
      </c>
      <c r="L399" t="s">
        <v>1739</v>
      </c>
      <c r="M399" t="s">
        <v>37</v>
      </c>
      <c r="N399" t="s">
        <v>37</v>
      </c>
      <c r="O399" t="s">
        <v>38</v>
      </c>
      <c r="P399" t="s">
        <v>39</v>
      </c>
      <c r="Q399" s="55">
        <v>45966</v>
      </c>
      <c r="V399">
        <v>1</v>
      </c>
    </row>
    <row r="400" spans="1:22">
      <c r="A400" s="55">
        <v>45905</v>
      </c>
      <c r="B400" t="s">
        <v>1740</v>
      </c>
      <c r="C400" t="s">
        <v>1741</v>
      </c>
      <c r="D400" t="s">
        <v>63</v>
      </c>
      <c r="E400">
        <v>85013</v>
      </c>
      <c r="F400" t="s">
        <v>1742</v>
      </c>
      <c r="G400" t="s">
        <v>1723</v>
      </c>
      <c r="H400" t="s">
        <v>1743</v>
      </c>
      <c r="I400" t="s">
        <v>36</v>
      </c>
      <c r="J400" t="s">
        <v>37</v>
      </c>
      <c r="K400" t="s">
        <v>37</v>
      </c>
      <c r="L400" t="s">
        <v>38</v>
      </c>
      <c r="M400" t="s">
        <v>37</v>
      </c>
      <c r="N400" t="s">
        <v>37</v>
      </c>
      <c r="O400" t="s">
        <v>38</v>
      </c>
      <c r="P400" t="s">
        <v>39</v>
      </c>
      <c r="Q400" s="55">
        <v>45966</v>
      </c>
      <c r="V400">
        <v>1</v>
      </c>
    </row>
    <row r="401" spans="1:22">
      <c r="A401" s="55">
        <v>45905</v>
      </c>
      <c r="B401" t="s">
        <v>1744</v>
      </c>
      <c r="C401" t="s">
        <v>1745</v>
      </c>
      <c r="D401" t="s">
        <v>635</v>
      </c>
      <c r="E401">
        <v>85281</v>
      </c>
      <c r="F401" t="s">
        <v>310</v>
      </c>
      <c r="G401" t="s">
        <v>1723</v>
      </c>
      <c r="H401" t="s">
        <v>1746</v>
      </c>
      <c r="I401" t="s">
        <v>196</v>
      </c>
      <c r="J401" t="s">
        <v>37</v>
      </c>
      <c r="K401" t="s">
        <v>37</v>
      </c>
      <c r="L401" t="s">
        <v>1747</v>
      </c>
      <c r="M401" t="s">
        <v>37</v>
      </c>
      <c r="N401" t="s">
        <v>37</v>
      </c>
      <c r="O401" t="s">
        <v>38</v>
      </c>
      <c r="P401" t="s">
        <v>39</v>
      </c>
      <c r="Q401" s="55">
        <v>45966</v>
      </c>
      <c r="V401">
        <v>1</v>
      </c>
    </row>
    <row r="402" spans="1:22">
      <c r="A402" s="55">
        <v>45905</v>
      </c>
      <c r="B402" t="s">
        <v>1748</v>
      </c>
      <c r="C402" t="s">
        <v>1749</v>
      </c>
      <c r="D402" t="s">
        <v>63</v>
      </c>
      <c r="E402">
        <v>85083</v>
      </c>
      <c r="F402" t="s">
        <v>31</v>
      </c>
      <c r="G402" t="s">
        <v>1723</v>
      </c>
      <c r="H402" t="s">
        <v>1750</v>
      </c>
      <c r="I402" t="s">
        <v>250</v>
      </c>
      <c r="J402" t="s">
        <v>37</v>
      </c>
      <c r="K402" t="s">
        <v>37</v>
      </c>
      <c r="L402" t="s">
        <v>38</v>
      </c>
      <c r="M402" t="s">
        <v>37</v>
      </c>
      <c r="N402" t="s">
        <v>37</v>
      </c>
      <c r="O402" t="s">
        <v>38</v>
      </c>
      <c r="P402" t="s">
        <v>39</v>
      </c>
      <c r="Q402" s="55">
        <v>45966</v>
      </c>
      <c r="V402">
        <v>1</v>
      </c>
    </row>
    <row r="403" spans="1:22">
      <c r="A403" s="55">
        <v>45905</v>
      </c>
      <c r="B403" t="s">
        <v>1703</v>
      </c>
      <c r="C403" t="s">
        <v>705</v>
      </c>
      <c r="D403" t="s">
        <v>63</v>
      </c>
      <c r="E403">
        <v>85032</v>
      </c>
      <c r="F403" t="s">
        <v>310</v>
      </c>
      <c r="G403" t="s">
        <v>1723</v>
      </c>
      <c r="H403" t="s">
        <v>1751</v>
      </c>
      <c r="I403" t="s">
        <v>196</v>
      </c>
      <c r="J403" t="s">
        <v>37</v>
      </c>
      <c r="K403" t="s">
        <v>37</v>
      </c>
      <c r="L403" t="s">
        <v>38</v>
      </c>
      <c r="M403" t="s">
        <v>37</v>
      </c>
      <c r="N403" t="s">
        <v>37</v>
      </c>
      <c r="O403" t="s">
        <v>38</v>
      </c>
      <c r="P403" t="s">
        <v>39</v>
      </c>
      <c r="Q403" s="55">
        <v>45966</v>
      </c>
      <c r="V403">
        <v>1</v>
      </c>
    </row>
    <row r="404" spans="1:22">
      <c r="A404" s="55">
        <v>45905</v>
      </c>
      <c r="B404" t="s">
        <v>1754</v>
      </c>
      <c r="C404" t="s">
        <v>1755</v>
      </c>
      <c r="D404" t="s">
        <v>112</v>
      </c>
      <c r="E404">
        <v>85388</v>
      </c>
      <c r="F404" t="s">
        <v>310</v>
      </c>
      <c r="G404" t="s">
        <v>1723</v>
      </c>
      <c r="H404" t="s">
        <v>1756</v>
      </c>
      <c r="I404" t="s">
        <v>36</v>
      </c>
      <c r="J404" t="s">
        <v>37</v>
      </c>
      <c r="K404" t="s">
        <v>37</v>
      </c>
      <c r="L404" t="s">
        <v>38</v>
      </c>
      <c r="M404" t="s">
        <v>37</v>
      </c>
      <c r="N404" t="s">
        <v>37</v>
      </c>
      <c r="O404" t="s">
        <v>38</v>
      </c>
      <c r="P404" t="s">
        <v>39</v>
      </c>
      <c r="Q404" s="55">
        <v>45966</v>
      </c>
      <c r="V404">
        <v>1</v>
      </c>
    </row>
    <row r="405" spans="1:22">
      <c r="A405" s="55">
        <v>45905</v>
      </c>
      <c r="B405" t="s">
        <v>1759</v>
      </c>
      <c r="C405" t="s">
        <v>1760</v>
      </c>
      <c r="D405" t="s">
        <v>129</v>
      </c>
      <c r="E405">
        <v>85233</v>
      </c>
      <c r="F405" t="s">
        <v>31</v>
      </c>
      <c r="G405" t="s">
        <v>1723</v>
      </c>
      <c r="H405" t="s">
        <v>1761</v>
      </c>
      <c r="I405" t="s">
        <v>36</v>
      </c>
      <c r="J405" t="s">
        <v>37</v>
      </c>
      <c r="K405" t="s">
        <v>37</v>
      </c>
      <c r="L405" t="s">
        <v>38</v>
      </c>
      <c r="M405" t="s">
        <v>37</v>
      </c>
      <c r="N405" t="s">
        <v>37</v>
      </c>
      <c r="O405" t="s">
        <v>38</v>
      </c>
      <c r="P405" t="s">
        <v>39</v>
      </c>
      <c r="Q405" s="55">
        <v>45966</v>
      </c>
      <c r="V405">
        <v>1</v>
      </c>
    </row>
    <row r="406" spans="1:22">
      <c r="A406" s="55">
        <v>45905</v>
      </c>
      <c r="B406" t="s">
        <v>1762</v>
      </c>
      <c r="C406" t="s">
        <v>771</v>
      </c>
      <c r="D406" t="s">
        <v>63</v>
      </c>
      <c r="E406">
        <v>85020</v>
      </c>
      <c r="F406" t="s">
        <v>310</v>
      </c>
      <c r="G406" t="s">
        <v>1723</v>
      </c>
      <c r="H406" t="s">
        <v>1763</v>
      </c>
      <c r="I406" t="s">
        <v>196</v>
      </c>
      <c r="J406" t="s">
        <v>37</v>
      </c>
      <c r="K406" t="s">
        <v>37</v>
      </c>
      <c r="L406" t="s">
        <v>1764</v>
      </c>
      <c r="M406" t="s">
        <v>37</v>
      </c>
      <c r="N406" t="s">
        <v>37</v>
      </c>
      <c r="O406" t="s">
        <v>38</v>
      </c>
      <c r="P406" t="s">
        <v>39</v>
      </c>
      <c r="Q406" s="55">
        <v>45966</v>
      </c>
      <c r="V406">
        <v>1</v>
      </c>
    </row>
    <row r="407" spans="1:22">
      <c r="A407" s="55">
        <v>45905</v>
      </c>
      <c r="B407" t="s">
        <v>1766</v>
      </c>
      <c r="C407" t="s">
        <v>550</v>
      </c>
      <c r="D407" t="s">
        <v>112</v>
      </c>
      <c r="E407">
        <v>85387</v>
      </c>
      <c r="F407" t="s">
        <v>310</v>
      </c>
      <c r="G407" t="s">
        <v>1723</v>
      </c>
      <c r="H407" t="s">
        <v>1767</v>
      </c>
      <c r="I407" t="s">
        <v>196</v>
      </c>
      <c r="J407" t="s">
        <v>37</v>
      </c>
      <c r="K407" t="s">
        <v>37</v>
      </c>
      <c r="L407" t="s">
        <v>1768</v>
      </c>
      <c r="M407" t="s">
        <v>37</v>
      </c>
      <c r="N407" t="s">
        <v>37</v>
      </c>
      <c r="O407" t="s">
        <v>38</v>
      </c>
      <c r="P407">
        <v>45936</v>
      </c>
      <c r="Q407" s="55">
        <v>45966</v>
      </c>
      <c r="R407" t="s">
        <v>1769</v>
      </c>
      <c r="V407">
        <v>1</v>
      </c>
    </row>
    <row r="408" spans="1:22">
      <c r="A408" s="55">
        <v>45905</v>
      </c>
      <c r="B408" t="s">
        <v>1770</v>
      </c>
      <c r="C408" t="s">
        <v>922</v>
      </c>
      <c r="D408" t="s">
        <v>63</v>
      </c>
      <c r="E408">
        <v>85024</v>
      </c>
      <c r="F408" t="s">
        <v>310</v>
      </c>
      <c r="G408" t="s">
        <v>1723</v>
      </c>
      <c r="H408" t="s">
        <v>1771</v>
      </c>
      <c r="I408" t="s">
        <v>36</v>
      </c>
      <c r="J408" t="s">
        <v>37</v>
      </c>
      <c r="K408" t="s">
        <v>37</v>
      </c>
      <c r="L408" t="s">
        <v>38</v>
      </c>
      <c r="M408" t="s">
        <v>37</v>
      </c>
      <c r="N408" t="s">
        <v>37</v>
      </c>
      <c r="O408" t="s">
        <v>38</v>
      </c>
      <c r="P408" t="s">
        <v>39</v>
      </c>
      <c r="Q408" s="55">
        <v>45966</v>
      </c>
      <c r="V408">
        <v>1</v>
      </c>
    </row>
    <row r="409" spans="1:22">
      <c r="A409" s="55">
        <v>45905</v>
      </c>
      <c r="B409" t="s">
        <v>1772</v>
      </c>
      <c r="C409" t="s">
        <v>597</v>
      </c>
      <c r="D409" t="s">
        <v>523</v>
      </c>
      <c r="E409">
        <v>85392</v>
      </c>
      <c r="F409" t="s">
        <v>31</v>
      </c>
      <c r="G409" t="s">
        <v>1723</v>
      </c>
      <c r="H409" t="s">
        <v>1773</v>
      </c>
      <c r="I409" t="s">
        <v>196</v>
      </c>
      <c r="J409" t="s">
        <v>37</v>
      </c>
      <c r="K409" t="s">
        <v>37</v>
      </c>
      <c r="L409" t="s">
        <v>1774</v>
      </c>
      <c r="M409" t="s">
        <v>37</v>
      </c>
      <c r="N409" t="s">
        <v>37</v>
      </c>
      <c r="O409" t="s">
        <v>38</v>
      </c>
      <c r="P409">
        <v>45936</v>
      </c>
      <c r="Q409" s="55">
        <v>45966</v>
      </c>
      <c r="R409" t="s">
        <v>1732</v>
      </c>
      <c r="V409">
        <v>1</v>
      </c>
    </row>
    <row r="410" spans="1:22">
      <c r="A410" s="55">
        <v>45905</v>
      </c>
      <c r="B410" t="s">
        <v>1776</v>
      </c>
      <c r="C410" t="s">
        <v>821</v>
      </c>
      <c r="D410" t="s">
        <v>169</v>
      </c>
      <c r="E410">
        <v>85338</v>
      </c>
      <c r="F410" t="s">
        <v>1777</v>
      </c>
      <c r="G410" t="s">
        <v>1723</v>
      </c>
      <c r="H410" t="s">
        <v>1778</v>
      </c>
      <c r="I410" t="s">
        <v>36</v>
      </c>
      <c r="J410" t="s">
        <v>37</v>
      </c>
      <c r="K410" t="s">
        <v>37</v>
      </c>
      <c r="L410" t="s">
        <v>38</v>
      </c>
      <c r="M410" t="s">
        <v>37</v>
      </c>
      <c r="N410" t="s">
        <v>37</v>
      </c>
      <c r="O410" t="s">
        <v>38</v>
      </c>
      <c r="P410" t="s">
        <v>39</v>
      </c>
      <c r="Q410" s="55">
        <v>45966</v>
      </c>
      <c r="V410">
        <v>1</v>
      </c>
    </row>
    <row r="411" spans="1:22">
      <c r="A411" s="55">
        <v>45905</v>
      </c>
      <c r="B411" t="s">
        <v>1779</v>
      </c>
      <c r="C411" t="s">
        <v>1780</v>
      </c>
      <c r="D411" t="s">
        <v>169</v>
      </c>
      <c r="E411">
        <v>85338</v>
      </c>
      <c r="F411" t="s">
        <v>1556</v>
      </c>
      <c r="G411" t="s">
        <v>1723</v>
      </c>
      <c r="H411" t="s">
        <v>1781</v>
      </c>
      <c r="I411" t="s">
        <v>418</v>
      </c>
      <c r="J411" t="s">
        <v>37</v>
      </c>
      <c r="K411" t="s">
        <v>37</v>
      </c>
      <c r="L411" t="s">
        <v>389</v>
      </c>
      <c r="M411" t="s">
        <v>37</v>
      </c>
      <c r="N411" t="s">
        <v>37</v>
      </c>
      <c r="O411" t="s">
        <v>38</v>
      </c>
      <c r="P411" t="s">
        <v>39</v>
      </c>
      <c r="Q411" s="55">
        <v>45966</v>
      </c>
      <c r="V411">
        <v>1</v>
      </c>
    </row>
    <row r="412" spans="1:22">
      <c r="A412" s="55">
        <v>45905</v>
      </c>
      <c r="B412" t="s">
        <v>1782</v>
      </c>
      <c r="C412" t="s">
        <v>1574</v>
      </c>
      <c r="D412" t="s">
        <v>370</v>
      </c>
      <c r="E412">
        <v>85225</v>
      </c>
      <c r="F412" t="s">
        <v>310</v>
      </c>
      <c r="G412" t="s">
        <v>1723</v>
      </c>
      <c r="H412" t="s">
        <v>1783</v>
      </c>
      <c r="I412" t="s">
        <v>36</v>
      </c>
      <c r="J412" t="s">
        <v>38</v>
      </c>
      <c r="K412" t="s">
        <v>37</v>
      </c>
      <c r="L412" t="s">
        <v>1784</v>
      </c>
      <c r="M412" t="s">
        <v>37</v>
      </c>
      <c r="N412" t="s">
        <v>37</v>
      </c>
      <c r="O412" t="s">
        <v>38</v>
      </c>
      <c r="P412" t="s">
        <v>39</v>
      </c>
      <c r="Q412" s="55">
        <v>45966</v>
      </c>
      <c r="V412">
        <v>1</v>
      </c>
    </row>
    <row r="413" spans="1:22">
      <c r="A413" s="55">
        <v>45905</v>
      </c>
      <c r="B413" t="s">
        <v>1703</v>
      </c>
      <c r="C413" t="s">
        <v>1444</v>
      </c>
      <c r="D413" t="s">
        <v>125</v>
      </c>
      <c r="E413">
        <v>85254</v>
      </c>
      <c r="F413" t="s">
        <v>310</v>
      </c>
      <c r="G413" t="s">
        <v>1723</v>
      </c>
      <c r="H413" t="s">
        <v>1786</v>
      </c>
      <c r="I413" t="s">
        <v>36</v>
      </c>
      <c r="J413" t="s">
        <v>37</v>
      </c>
      <c r="K413" t="s">
        <v>37</v>
      </c>
      <c r="L413" t="s">
        <v>38</v>
      </c>
      <c r="M413" t="s">
        <v>37</v>
      </c>
      <c r="N413" t="s">
        <v>37</v>
      </c>
      <c r="O413" t="s">
        <v>38</v>
      </c>
      <c r="P413" t="s">
        <v>39</v>
      </c>
      <c r="Q413" s="55">
        <v>45966</v>
      </c>
      <c r="V413">
        <v>1</v>
      </c>
    </row>
    <row r="414" spans="1:22">
      <c r="A414" s="55">
        <v>45905</v>
      </c>
      <c r="B414" t="s">
        <v>1787</v>
      </c>
      <c r="C414" t="s">
        <v>491</v>
      </c>
      <c r="D414" t="s">
        <v>169</v>
      </c>
      <c r="E414">
        <v>85395</v>
      </c>
      <c r="F414" t="s">
        <v>31</v>
      </c>
      <c r="G414" t="s">
        <v>1723</v>
      </c>
      <c r="H414" t="s">
        <v>1788</v>
      </c>
      <c r="I414" t="s">
        <v>73</v>
      </c>
      <c r="J414" t="s">
        <v>37</v>
      </c>
      <c r="K414" t="s">
        <v>37</v>
      </c>
      <c r="L414" t="s">
        <v>38</v>
      </c>
      <c r="M414" t="s">
        <v>37</v>
      </c>
      <c r="N414" t="s">
        <v>37</v>
      </c>
      <c r="O414" t="s">
        <v>38</v>
      </c>
      <c r="P414" t="s">
        <v>39</v>
      </c>
      <c r="Q414" s="55">
        <v>45966</v>
      </c>
      <c r="V414">
        <v>1</v>
      </c>
    </row>
    <row r="415" spans="1:22">
      <c r="A415" s="55">
        <v>45905</v>
      </c>
      <c r="B415" t="s">
        <v>1789</v>
      </c>
      <c r="C415" t="s">
        <v>962</v>
      </c>
      <c r="D415" t="s">
        <v>63</v>
      </c>
      <c r="E415">
        <v>85028</v>
      </c>
      <c r="F415" t="s">
        <v>1790</v>
      </c>
      <c r="G415" t="s">
        <v>1723</v>
      </c>
      <c r="H415" t="s">
        <v>1791</v>
      </c>
      <c r="I415" t="s">
        <v>36</v>
      </c>
      <c r="J415" t="s">
        <v>38</v>
      </c>
      <c r="K415" t="s">
        <v>37</v>
      </c>
      <c r="L415" t="s">
        <v>38</v>
      </c>
      <c r="M415" t="s">
        <v>38</v>
      </c>
      <c r="N415">
        <v>414.43</v>
      </c>
      <c r="O415" t="s">
        <v>38</v>
      </c>
      <c r="Q415" s="55">
        <v>45966</v>
      </c>
      <c r="R415" t="s">
        <v>495</v>
      </c>
      <c r="V415">
        <v>1</v>
      </c>
    </row>
    <row r="416" spans="1:22">
      <c r="A416" s="55">
        <v>45905</v>
      </c>
      <c r="B416" t="s">
        <v>1792</v>
      </c>
      <c r="C416" t="s">
        <v>1793</v>
      </c>
      <c r="D416" t="s">
        <v>169</v>
      </c>
      <c r="E416">
        <v>85395</v>
      </c>
      <c r="F416" t="s">
        <v>1794</v>
      </c>
      <c r="G416" t="s">
        <v>1723</v>
      </c>
      <c r="H416" t="s">
        <v>1795</v>
      </c>
      <c r="I416" t="s">
        <v>196</v>
      </c>
      <c r="J416" t="s">
        <v>37</v>
      </c>
      <c r="K416" t="s">
        <v>37</v>
      </c>
      <c r="L416" t="s">
        <v>38</v>
      </c>
      <c r="M416" t="s">
        <v>37</v>
      </c>
      <c r="N416" t="s">
        <v>37</v>
      </c>
      <c r="O416" t="s">
        <v>38</v>
      </c>
      <c r="P416" t="s">
        <v>39</v>
      </c>
      <c r="Q416" s="55">
        <v>45966</v>
      </c>
      <c r="V416">
        <v>1</v>
      </c>
    </row>
    <row r="417" spans="1:22">
      <c r="A417" s="55">
        <v>45905</v>
      </c>
      <c r="B417" t="s">
        <v>1796</v>
      </c>
      <c r="C417" t="s">
        <v>1797</v>
      </c>
      <c r="D417" t="s">
        <v>63</v>
      </c>
      <c r="E417">
        <v>85032</v>
      </c>
      <c r="F417" t="s">
        <v>310</v>
      </c>
      <c r="G417" t="s">
        <v>1723</v>
      </c>
      <c r="H417" t="s">
        <v>1798</v>
      </c>
      <c r="I417" t="s">
        <v>36</v>
      </c>
      <c r="J417" t="s">
        <v>37</v>
      </c>
      <c r="K417" t="s">
        <v>37</v>
      </c>
      <c r="L417" t="s">
        <v>38</v>
      </c>
      <c r="M417" t="s">
        <v>37</v>
      </c>
      <c r="N417" t="s">
        <v>37</v>
      </c>
      <c r="O417" t="s">
        <v>38</v>
      </c>
      <c r="P417" t="s">
        <v>39</v>
      </c>
      <c r="Q417" s="55">
        <v>45966</v>
      </c>
      <c r="V417">
        <v>1</v>
      </c>
    </row>
    <row r="418" spans="1:22">
      <c r="A418" s="55">
        <v>45905</v>
      </c>
      <c r="B418" t="s">
        <v>1799</v>
      </c>
      <c r="C418" t="s">
        <v>690</v>
      </c>
      <c r="D418" t="s">
        <v>169</v>
      </c>
      <c r="E418">
        <v>85395</v>
      </c>
      <c r="F418" t="s">
        <v>31</v>
      </c>
      <c r="G418" t="s">
        <v>1723</v>
      </c>
      <c r="H418" t="s">
        <v>1800</v>
      </c>
      <c r="I418" t="s">
        <v>36</v>
      </c>
      <c r="J418" t="s">
        <v>37</v>
      </c>
      <c r="K418" t="s">
        <v>37</v>
      </c>
      <c r="L418" t="s">
        <v>38</v>
      </c>
      <c r="M418" t="s">
        <v>37</v>
      </c>
      <c r="N418" t="s">
        <v>37</v>
      </c>
      <c r="O418" t="s">
        <v>38</v>
      </c>
      <c r="P418" t="s">
        <v>39</v>
      </c>
      <c r="Q418" s="55">
        <v>45966</v>
      </c>
      <c r="V418">
        <v>1</v>
      </c>
    </row>
    <row r="419" spans="1:22">
      <c r="A419" s="55">
        <v>45905</v>
      </c>
      <c r="B419" t="s">
        <v>1803</v>
      </c>
      <c r="C419" t="s">
        <v>1804</v>
      </c>
      <c r="D419" t="s">
        <v>125</v>
      </c>
      <c r="E419">
        <v>85254</v>
      </c>
      <c r="F419" t="s">
        <v>31</v>
      </c>
      <c r="G419" t="s">
        <v>1723</v>
      </c>
      <c r="H419" t="s">
        <v>1805</v>
      </c>
      <c r="I419" t="s">
        <v>36</v>
      </c>
      <c r="J419" t="s">
        <v>37</v>
      </c>
      <c r="K419" t="s">
        <v>37</v>
      </c>
      <c r="L419" t="s">
        <v>38</v>
      </c>
      <c r="M419" t="s">
        <v>37</v>
      </c>
      <c r="N419" t="s">
        <v>37</v>
      </c>
      <c r="O419" t="s">
        <v>38</v>
      </c>
      <c r="P419" t="s">
        <v>39</v>
      </c>
      <c r="Q419" s="55">
        <v>45966</v>
      </c>
      <c r="V419">
        <v>1</v>
      </c>
    </row>
    <row r="420" spans="1:22">
      <c r="A420" s="55">
        <v>45905</v>
      </c>
      <c r="B420" t="s">
        <v>604</v>
      </c>
      <c r="C420" t="s">
        <v>1806</v>
      </c>
      <c r="D420" t="s">
        <v>169</v>
      </c>
      <c r="E420">
        <v>85395</v>
      </c>
      <c r="F420" t="s">
        <v>31</v>
      </c>
      <c r="G420" t="s">
        <v>1723</v>
      </c>
      <c r="H420" t="s">
        <v>1807</v>
      </c>
      <c r="I420" t="s">
        <v>81</v>
      </c>
      <c r="J420" t="s">
        <v>37</v>
      </c>
      <c r="K420" t="s">
        <v>37</v>
      </c>
      <c r="L420" t="s">
        <v>389</v>
      </c>
      <c r="M420" t="s">
        <v>37</v>
      </c>
      <c r="N420" t="s">
        <v>37</v>
      </c>
      <c r="O420" t="s">
        <v>38</v>
      </c>
      <c r="P420" t="s">
        <v>39</v>
      </c>
      <c r="Q420" s="55">
        <v>45966</v>
      </c>
      <c r="V420">
        <v>1</v>
      </c>
    </row>
    <row r="421" spans="1:22">
      <c r="A421" s="55">
        <v>45905</v>
      </c>
      <c r="B421" t="s">
        <v>1808</v>
      </c>
      <c r="C421" t="s">
        <v>1809</v>
      </c>
      <c r="D421" t="s">
        <v>125</v>
      </c>
      <c r="E421">
        <v>85255</v>
      </c>
      <c r="F421" t="s">
        <v>31</v>
      </c>
      <c r="G421" t="s">
        <v>1723</v>
      </c>
      <c r="H421" t="s">
        <v>1810</v>
      </c>
      <c r="I421" t="s">
        <v>36</v>
      </c>
      <c r="J421" t="s">
        <v>37</v>
      </c>
      <c r="K421" t="s">
        <v>37</v>
      </c>
      <c r="L421" t="s">
        <v>38</v>
      </c>
      <c r="M421" t="s">
        <v>37</v>
      </c>
      <c r="N421" t="s">
        <v>37</v>
      </c>
      <c r="O421" t="s">
        <v>38</v>
      </c>
      <c r="P421" t="s">
        <v>39</v>
      </c>
      <c r="Q421" s="55">
        <v>45966</v>
      </c>
      <c r="V421">
        <v>1</v>
      </c>
    </row>
    <row r="422" spans="1:22">
      <c r="A422" s="55">
        <v>45905</v>
      </c>
      <c r="B422" t="s">
        <v>1812</v>
      </c>
      <c r="C422" t="s">
        <v>1813</v>
      </c>
      <c r="D422" t="s">
        <v>63</v>
      </c>
      <c r="E422">
        <v>85018</v>
      </c>
      <c r="F422" t="s">
        <v>310</v>
      </c>
      <c r="G422" t="s">
        <v>1723</v>
      </c>
      <c r="H422" t="s">
        <v>1814</v>
      </c>
      <c r="I422" t="s">
        <v>36</v>
      </c>
      <c r="J422" t="s">
        <v>37</v>
      </c>
      <c r="K422" t="s">
        <v>37</v>
      </c>
      <c r="L422" t="s">
        <v>38</v>
      </c>
      <c r="M422" t="s">
        <v>37</v>
      </c>
      <c r="N422" t="s">
        <v>37</v>
      </c>
      <c r="O422" t="s">
        <v>38</v>
      </c>
      <c r="P422" t="s">
        <v>39</v>
      </c>
      <c r="Q422" s="55">
        <v>45966</v>
      </c>
      <c r="V422">
        <v>1</v>
      </c>
    </row>
    <row r="423" spans="1:22">
      <c r="A423" s="55">
        <v>45905</v>
      </c>
      <c r="B423" t="s">
        <v>358</v>
      </c>
      <c r="C423" t="s">
        <v>1815</v>
      </c>
      <c r="D423" t="s">
        <v>63</v>
      </c>
      <c r="E423">
        <v>85007</v>
      </c>
      <c r="F423" t="s">
        <v>310</v>
      </c>
      <c r="G423" t="s">
        <v>1723</v>
      </c>
      <c r="H423" t="s">
        <v>1816</v>
      </c>
      <c r="I423" t="s">
        <v>196</v>
      </c>
      <c r="J423" t="s">
        <v>37</v>
      </c>
      <c r="K423" t="s">
        <v>37</v>
      </c>
      <c r="L423" t="s">
        <v>1817</v>
      </c>
      <c r="M423" t="s">
        <v>37</v>
      </c>
      <c r="N423" t="s">
        <v>37</v>
      </c>
      <c r="O423" t="s">
        <v>38</v>
      </c>
      <c r="P423" t="s">
        <v>39</v>
      </c>
      <c r="Q423" s="55">
        <v>45966</v>
      </c>
      <c r="V423">
        <v>1</v>
      </c>
    </row>
    <row r="424" spans="1:22">
      <c r="A424" s="55">
        <v>45905</v>
      </c>
      <c r="B424" t="s">
        <v>1818</v>
      </c>
      <c r="C424" t="s">
        <v>1819</v>
      </c>
      <c r="D424" t="s">
        <v>619</v>
      </c>
      <c r="E424">
        <v>85365</v>
      </c>
      <c r="F424" t="s">
        <v>310</v>
      </c>
      <c r="G424" t="s">
        <v>1723</v>
      </c>
      <c r="H424" t="s">
        <v>1820</v>
      </c>
      <c r="I424" t="s">
        <v>126</v>
      </c>
      <c r="J424" t="s">
        <v>37</v>
      </c>
      <c r="K424" t="s">
        <v>37</v>
      </c>
      <c r="L424" t="s">
        <v>38</v>
      </c>
      <c r="M424" t="s">
        <v>37</v>
      </c>
      <c r="N424" t="s">
        <v>37</v>
      </c>
      <c r="O424" t="s">
        <v>38</v>
      </c>
      <c r="P424" t="s">
        <v>39</v>
      </c>
      <c r="Q424" s="55">
        <v>45966</v>
      </c>
      <c r="V424">
        <v>1</v>
      </c>
    </row>
    <row r="425" spans="1:22">
      <c r="A425" s="55">
        <v>45905</v>
      </c>
      <c r="B425" t="s">
        <v>208</v>
      </c>
      <c r="C425" t="s">
        <v>1099</v>
      </c>
      <c r="D425" t="s">
        <v>264</v>
      </c>
      <c r="E425">
        <v>85541</v>
      </c>
      <c r="F425" t="s">
        <v>31</v>
      </c>
      <c r="G425" t="s">
        <v>1723</v>
      </c>
      <c r="H425" t="s">
        <v>1821</v>
      </c>
      <c r="I425" t="s">
        <v>196</v>
      </c>
      <c r="J425" t="s">
        <v>37</v>
      </c>
      <c r="K425" t="s">
        <v>37</v>
      </c>
      <c r="L425" t="s">
        <v>1822</v>
      </c>
      <c r="M425" t="s">
        <v>37</v>
      </c>
      <c r="N425" t="s">
        <v>37</v>
      </c>
      <c r="O425" t="s">
        <v>38</v>
      </c>
      <c r="P425" t="s">
        <v>39</v>
      </c>
      <c r="Q425" s="55">
        <v>45966</v>
      </c>
      <c r="V425">
        <v>1</v>
      </c>
    </row>
    <row r="426" spans="1:22">
      <c r="A426" s="55">
        <v>45905</v>
      </c>
      <c r="B426" t="s">
        <v>1823</v>
      </c>
      <c r="C426" t="s">
        <v>1824</v>
      </c>
      <c r="D426" t="s">
        <v>63</v>
      </c>
      <c r="E426">
        <v>85028</v>
      </c>
      <c r="F426" t="s">
        <v>310</v>
      </c>
      <c r="G426" t="s">
        <v>1723</v>
      </c>
      <c r="H426" t="s">
        <v>1825</v>
      </c>
      <c r="I426" t="s">
        <v>541</v>
      </c>
      <c r="J426" t="s">
        <v>37</v>
      </c>
      <c r="K426" t="s">
        <v>37</v>
      </c>
      <c r="L426" t="s">
        <v>389</v>
      </c>
      <c r="M426" t="s">
        <v>37</v>
      </c>
      <c r="N426" t="s">
        <v>37</v>
      </c>
      <c r="O426" t="s">
        <v>38</v>
      </c>
      <c r="P426" t="s">
        <v>39</v>
      </c>
      <c r="Q426" s="55">
        <v>45966</v>
      </c>
      <c r="V426">
        <v>1</v>
      </c>
    </row>
    <row r="427" spans="1:22">
      <c r="A427" s="55">
        <v>45905</v>
      </c>
      <c r="B427" t="s">
        <v>1826</v>
      </c>
      <c r="C427" t="s">
        <v>920</v>
      </c>
      <c r="D427" t="s">
        <v>63</v>
      </c>
      <c r="E427">
        <v>85083</v>
      </c>
      <c r="F427" t="s">
        <v>310</v>
      </c>
      <c r="G427" t="s">
        <v>1723</v>
      </c>
      <c r="H427" t="s">
        <v>1827</v>
      </c>
      <c r="I427" t="s">
        <v>57</v>
      </c>
      <c r="J427" t="s">
        <v>37</v>
      </c>
      <c r="K427" t="s">
        <v>37</v>
      </c>
      <c r="L427" t="s">
        <v>38</v>
      </c>
      <c r="M427" t="s">
        <v>37</v>
      </c>
      <c r="N427" t="s">
        <v>37</v>
      </c>
      <c r="O427" t="s">
        <v>38</v>
      </c>
      <c r="P427" t="s">
        <v>39</v>
      </c>
      <c r="Q427" s="55">
        <v>45966</v>
      </c>
      <c r="V427">
        <v>1</v>
      </c>
    </row>
    <row r="428" spans="1:22">
      <c r="A428" s="55">
        <v>45905</v>
      </c>
      <c r="B428" t="s">
        <v>1828</v>
      </c>
      <c r="C428" t="s">
        <v>1829</v>
      </c>
      <c r="D428" t="s">
        <v>63</v>
      </c>
      <c r="E428">
        <v>85032</v>
      </c>
      <c r="F428" t="s">
        <v>31</v>
      </c>
      <c r="G428" t="s">
        <v>1723</v>
      </c>
      <c r="H428" t="s">
        <v>1830</v>
      </c>
      <c r="I428" t="s">
        <v>126</v>
      </c>
      <c r="J428" t="s">
        <v>37</v>
      </c>
      <c r="K428" t="s">
        <v>37</v>
      </c>
      <c r="L428" t="s">
        <v>38</v>
      </c>
      <c r="M428" t="s">
        <v>37</v>
      </c>
      <c r="N428" t="s">
        <v>37</v>
      </c>
      <c r="O428" t="s">
        <v>38</v>
      </c>
      <c r="P428" t="s">
        <v>39</v>
      </c>
      <c r="Q428" s="55">
        <v>45966</v>
      </c>
      <c r="V428">
        <v>1</v>
      </c>
    </row>
    <row r="429" spans="1:22">
      <c r="A429" s="55">
        <v>45905</v>
      </c>
      <c r="B429" t="s">
        <v>1831</v>
      </c>
      <c r="C429" t="s">
        <v>1832</v>
      </c>
      <c r="D429" t="s">
        <v>169</v>
      </c>
      <c r="E429">
        <v>85395</v>
      </c>
      <c r="F429" t="s">
        <v>31</v>
      </c>
      <c r="G429" t="s">
        <v>1723</v>
      </c>
      <c r="H429" t="s">
        <v>1833</v>
      </c>
      <c r="I429" t="s">
        <v>418</v>
      </c>
      <c r="J429" t="s">
        <v>37</v>
      </c>
      <c r="K429" t="s">
        <v>37</v>
      </c>
      <c r="L429" t="s">
        <v>389</v>
      </c>
      <c r="M429" t="s">
        <v>37</v>
      </c>
      <c r="N429" t="s">
        <v>37</v>
      </c>
      <c r="O429" t="s">
        <v>38</v>
      </c>
      <c r="P429" t="s">
        <v>39</v>
      </c>
      <c r="Q429" s="55">
        <v>45966</v>
      </c>
      <c r="V429">
        <v>1</v>
      </c>
    </row>
    <row r="430" spans="1:22">
      <c r="A430" s="55">
        <v>45905</v>
      </c>
      <c r="B430" t="s">
        <v>1834</v>
      </c>
      <c r="C430" t="s">
        <v>780</v>
      </c>
      <c r="D430" t="s">
        <v>370</v>
      </c>
      <c r="E430">
        <v>85225</v>
      </c>
      <c r="F430" t="s">
        <v>310</v>
      </c>
      <c r="G430" t="s">
        <v>1723</v>
      </c>
      <c r="H430" t="s">
        <v>1835</v>
      </c>
      <c r="I430" t="s">
        <v>73</v>
      </c>
      <c r="J430" t="s">
        <v>37</v>
      </c>
      <c r="K430" t="s">
        <v>37</v>
      </c>
      <c r="L430" t="s">
        <v>38</v>
      </c>
      <c r="M430" t="s">
        <v>37</v>
      </c>
      <c r="N430" t="s">
        <v>37</v>
      </c>
      <c r="O430" t="s">
        <v>38</v>
      </c>
      <c r="P430" t="s">
        <v>39</v>
      </c>
      <c r="Q430" s="55">
        <v>45966</v>
      </c>
      <c r="V430">
        <v>1</v>
      </c>
    </row>
    <row r="431" spans="1:22">
      <c r="A431" s="55">
        <v>45905</v>
      </c>
      <c r="B431" t="s">
        <v>1836</v>
      </c>
      <c r="C431" t="s">
        <v>75</v>
      </c>
      <c r="D431" t="s">
        <v>539</v>
      </c>
      <c r="E431">
        <v>85194</v>
      </c>
      <c r="F431" t="s">
        <v>25</v>
      </c>
      <c r="G431" t="s">
        <v>1723</v>
      </c>
      <c r="H431" t="s">
        <v>1837</v>
      </c>
      <c r="I431" t="s">
        <v>36</v>
      </c>
      <c r="J431" t="s">
        <v>37</v>
      </c>
      <c r="K431" t="s">
        <v>37</v>
      </c>
      <c r="L431" t="s">
        <v>38</v>
      </c>
      <c r="M431" t="s">
        <v>37</v>
      </c>
      <c r="N431" t="s">
        <v>37</v>
      </c>
      <c r="O431" t="s">
        <v>38</v>
      </c>
      <c r="P431" t="s">
        <v>39</v>
      </c>
      <c r="Q431" s="55">
        <v>45966</v>
      </c>
      <c r="V431">
        <v>1</v>
      </c>
    </row>
    <row r="432" spans="1:22">
      <c r="A432" s="55">
        <v>45905</v>
      </c>
      <c r="B432" t="s">
        <v>1839</v>
      </c>
      <c r="C432" t="s">
        <v>1840</v>
      </c>
      <c r="D432" t="s">
        <v>63</v>
      </c>
      <c r="E432">
        <v>85024</v>
      </c>
      <c r="F432" t="s">
        <v>1841</v>
      </c>
      <c r="G432" t="s">
        <v>1723</v>
      </c>
      <c r="H432" t="s">
        <v>1842</v>
      </c>
      <c r="I432" t="s">
        <v>36</v>
      </c>
      <c r="J432" t="s">
        <v>37</v>
      </c>
      <c r="K432" t="s">
        <v>37</v>
      </c>
      <c r="L432" t="s">
        <v>38</v>
      </c>
      <c r="M432" t="s">
        <v>37</v>
      </c>
      <c r="N432" t="s">
        <v>37</v>
      </c>
      <c r="O432" t="s">
        <v>38</v>
      </c>
      <c r="P432" t="s">
        <v>39</v>
      </c>
      <c r="Q432" s="55">
        <v>45966</v>
      </c>
      <c r="V432">
        <v>1</v>
      </c>
    </row>
    <row r="433" spans="1:22">
      <c r="A433" s="55">
        <v>45905</v>
      </c>
      <c r="B433" t="s">
        <v>1846</v>
      </c>
      <c r="C433" t="s">
        <v>1847</v>
      </c>
      <c r="D433" t="s">
        <v>63</v>
      </c>
      <c r="E433">
        <v>85022</v>
      </c>
      <c r="F433" t="s">
        <v>310</v>
      </c>
      <c r="G433" t="s">
        <v>1723</v>
      </c>
      <c r="H433" t="s">
        <v>1848</v>
      </c>
      <c r="I433" t="s">
        <v>36</v>
      </c>
      <c r="J433" t="s">
        <v>37</v>
      </c>
      <c r="K433" t="s">
        <v>37</v>
      </c>
      <c r="L433" t="s">
        <v>38</v>
      </c>
      <c r="M433" t="s">
        <v>37</v>
      </c>
      <c r="N433" t="s">
        <v>37</v>
      </c>
      <c r="O433" t="s">
        <v>38</v>
      </c>
      <c r="P433" t="s">
        <v>39</v>
      </c>
      <c r="Q433" s="55">
        <v>45966</v>
      </c>
      <c r="V433">
        <v>1</v>
      </c>
    </row>
    <row r="434" spans="1:22">
      <c r="A434" s="55">
        <v>45905</v>
      </c>
      <c r="B434" t="s">
        <v>1849</v>
      </c>
      <c r="C434" t="s">
        <v>1850</v>
      </c>
      <c r="D434" t="s">
        <v>202</v>
      </c>
      <c r="E434">
        <v>85383</v>
      </c>
      <c r="F434" t="s">
        <v>310</v>
      </c>
      <c r="G434" t="s">
        <v>1723</v>
      </c>
      <c r="H434" t="s">
        <v>1851</v>
      </c>
      <c r="I434" t="s">
        <v>196</v>
      </c>
      <c r="J434" t="s">
        <v>37</v>
      </c>
      <c r="K434" t="s">
        <v>37</v>
      </c>
      <c r="L434" t="s">
        <v>38</v>
      </c>
      <c r="M434" t="s">
        <v>37</v>
      </c>
      <c r="N434" t="s">
        <v>37</v>
      </c>
      <c r="O434" t="s">
        <v>38</v>
      </c>
      <c r="P434" t="s">
        <v>39</v>
      </c>
      <c r="Q434" s="55">
        <v>45966</v>
      </c>
      <c r="V434">
        <v>1</v>
      </c>
    </row>
    <row r="435" spans="1:22">
      <c r="A435" s="55">
        <v>45905</v>
      </c>
      <c r="B435" t="s">
        <v>1136</v>
      </c>
      <c r="C435" t="s">
        <v>1852</v>
      </c>
      <c r="D435" t="s">
        <v>63</v>
      </c>
      <c r="E435">
        <v>85007</v>
      </c>
      <c r="F435" t="s">
        <v>310</v>
      </c>
      <c r="G435" t="s">
        <v>1723</v>
      </c>
      <c r="H435" t="s">
        <v>1853</v>
      </c>
      <c r="I435" t="s">
        <v>36</v>
      </c>
      <c r="J435" t="s">
        <v>37</v>
      </c>
      <c r="K435" t="s">
        <v>37</v>
      </c>
      <c r="L435" t="s">
        <v>38</v>
      </c>
      <c r="M435" t="s">
        <v>37</v>
      </c>
      <c r="N435" t="s">
        <v>37</v>
      </c>
      <c r="O435" t="s">
        <v>38</v>
      </c>
      <c r="P435" t="s">
        <v>39</v>
      </c>
      <c r="Q435" s="55">
        <v>45966</v>
      </c>
      <c r="V435">
        <v>1</v>
      </c>
    </row>
    <row r="436" spans="1:22">
      <c r="A436" s="55">
        <v>45905</v>
      </c>
      <c r="B436" t="s">
        <v>1854</v>
      </c>
      <c r="C436" t="s">
        <v>1855</v>
      </c>
      <c r="D436" t="s">
        <v>112</v>
      </c>
      <c r="E436">
        <v>85379</v>
      </c>
      <c r="F436" t="s">
        <v>310</v>
      </c>
      <c r="G436" t="s">
        <v>1723</v>
      </c>
      <c r="H436" t="s">
        <v>1856</v>
      </c>
      <c r="I436" t="s">
        <v>196</v>
      </c>
      <c r="J436" t="s">
        <v>37</v>
      </c>
      <c r="K436" t="s">
        <v>37</v>
      </c>
      <c r="L436" t="s">
        <v>38</v>
      </c>
      <c r="M436" t="s">
        <v>38</v>
      </c>
      <c r="N436">
        <v>436.03</v>
      </c>
      <c r="O436" t="s">
        <v>38</v>
      </c>
      <c r="P436" t="s">
        <v>39</v>
      </c>
      <c r="Q436" s="55">
        <v>45966</v>
      </c>
      <c r="V436">
        <v>1</v>
      </c>
    </row>
    <row r="437" spans="1:22">
      <c r="A437" s="55">
        <v>45905</v>
      </c>
      <c r="B437" t="s">
        <v>1857</v>
      </c>
      <c r="C437" t="s">
        <v>211</v>
      </c>
      <c r="D437" t="s">
        <v>169</v>
      </c>
      <c r="E437">
        <v>85395</v>
      </c>
      <c r="F437" t="s">
        <v>31</v>
      </c>
      <c r="G437" t="s">
        <v>1723</v>
      </c>
      <c r="H437" t="s">
        <v>1858</v>
      </c>
      <c r="I437" t="s">
        <v>36</v>
      </c>
      <c r="J437" t="s">
        <v>37</v>
      </c>
      <c r="K437" t="s">
        <v>37</v>
      </c>
      <c r="L437" t="s">
        <v>38</v>
      </c>
      <c r="M437" t="s">
        <v>37</v>
      </c>
      <c r="N437" t="s">
        <v>37</v>
      </c>
      <c r="O437" t="s">
        <v>38</v>
      </c>
      <c r="P437" t="s">
        <v>39</v>
      </c>
      <c r="Q437" s="55">
        <v>45966</v>
      </c>
      <c r="V437">
        <v>1</v>
      </c>
    </row>
    <row r="438" spans="1:22">
      <c r="A438" s="55">
        <v>45905</v>
      </c>
      <c r="B438" t="s">
        <v>1859</v>
      </c>
      <c r="C438" t="s">
        <v>550</v>
      </c>
      <c r="D438" t="s">
        <v>635</v>
      </c>
      <c r="E438">
        <v>85288</v>
      </c>
      <c r="F438" t="s">
        <v>310</v>
      </c>
      <c r="G438" t="s">
        <v>1723</v>
      </c>
      <c r="H438" t="s">
        <v>1860</v>
      </c>
      <c r="I438" t="s">
        <v>73</v>
      </c>
      <c r="J438" t="s">
        <v>37</v>
      </c>
      <c r="K438" t="s">
        <v>37</v>
      </c>
      <c r="L438" t="s">
        <v>38</v>
      </c>
      <c r="M438" t="s">
        <v>37</v>
      </c>
      <c r="N438" t="s">
        <v>37</v>
      </c>
      <c r="O438" t="s">
        <v>38</v>
      </c>
      <c r="P438" t="s">
        <v>39</v>
      </c>
      <c r="Q438" s="55">
        <v>45966</v>
      </c>
      <c r="V438">
        <v>1</v>
      </c>
    </row>
    <row r="439" spans="1:22">
      <c r="A439" s="55">
        <v>45905</v>
      </c>
      <c r="B439" t="s">
        <v>1861</v>
      </c>
      <c r="C439" t="s">
        <v>1862</v>
      </c>
      <c r="D439" t="s">
        <v>63</v>
      </c>
      <c r="E439">
        <v>85053</v>
      </c>
      <c r="F439" t="s">
        <v>310</v>
      </c>
      <c r="G439" t="s">
        <v>1723</v>
      </c>
      <c r="H439" t="s">
        <v>1863</v>
      </c>
      <c r="I439" t="s">
        <v>73</v>
      </c>
      <c r="J439" t="s">
        <v>37</v>
      </c>
      <c r="K439" t="s">
        <v>37</v>
      </c>
      <c r="L439" t="s">
        <v>38</v>
      </c>
      <c r="M439" t="s">
        <v>37</v>
      </c>
      <c r="N439" t="s">
        <v>37</v>
      </c>
      <c r="O439" t="s">
        <v>38</v>
      </c>
      <c r="P439" t="s">
        <v>39</v>
      </c>
      <c r="Q439" s="55">
        <v>45966</v>
      </c>
      <c r="V439">
        <v>1</v>
      </c>
    </row>
    <row r="440" spans="1:22">
      <c r="A440" s="55">
        <v>45905</v>
      </c>
      <c r="B440" t="s">
        <v>1864</v>
      </c>
      <c r="C440" t="s">
        <v>1865</v>
      </c>
      <c r="D440" t="s">
        <v>737</v>
      </c>
      <c r="E440">
        <v>86326</v>
      </c>
      <c r="F440" t="s">
        <v>1866</v>
      </c>
      <c r="G440" t="s">
        <v>1723</v>
      </c>
      <c r="H440" t="s">
        <v>1867</v>
      </c>
      <c r="I440" t="s">
        <v>73</v>
      </c>
      <c r="J440" t="s">
        <v>38</v>
      </c>
      <c r="K440" t="s">
        <v>37</v>
      </c>
      <c r="L440" t="s">
        <v>38</v>
      </c>
      <c r="M440" t="s">
        <v>37</v>
      </c>
      <c r="N440" t="s">
        <v>37</v>
      </c>
      <c r="O440" t="s">
        <v>38</v>
      </c>
      <c r="P440" t="s">
        <v>39</v>
      </c>
      <c r="Q440" s="55">
        <v>45966</v>
      </c>
      <c r="V440">
        <v>1</v>
      </c>
    </row>
    <row r="441" spans="1:22">
      <c r="A441" s="55">
        <v>45905</v>
      </c>
      <c r="B441" t="s">
        <v>1872</v>
      </c>
      <c r="C441" t="s">
        <v>1873</v>
      </c>
      <c r="D441" t="s">
        <v>63</v>
      </c>
      <c r="E441">
        <v>85083</v>
      </c>
      <c r="F441" t="s">
        <v>310</v>
      </c>
      <c r="G441" t="s">
        <v>1723</v>
      </c>
      <c r="H441">
        <v>6940323949</v>
      </c>
      <c r="I441" t="s">
        <v>196</v>
      </c>
      <c r="J441" t="s">
        <v>37</v>
      </c>
      <c r="K441" t="s">
        <v>37</v>
      </c>
      <c r="L441" t="s">
        <v>1874</v>
      </c>
      <c r="M441" t="s">
        <v>37</v>
      </c>
      <c r="N441" t="s">
        <v>37</v>
      </c>
      <c r="O441" t="s">
        <v>38</v>
      </c>
      <c r="P441" t="s">
        <v>39</v>
      </c>
      <c r="Q441" s="55">
        <v>45966</v>
      </c>
      <c r="V441">
        <v>1</v>
      </c>
    </row>
    <row r="442" spans="1:22">
      <c r="A442" s="55">
        <v>45905</v>
      </c>
      <c r="B442" t="s">
        <v>1875</v>
      </c>
      <c r="C442" t="s">
        <v>1876</v>
      </c>
      <c r="D442" t="s">
        <v>169</v>
      </c>
      <c r="E442">
        <v>85395</v>
      </c>
      <c r="F442" t="s">
        <v>1877</v>
      </c>
      <c r="G442" t="s">
        <v>1723</v>
      </c>
      <c r="H442" t="s">
        <v>1878</v>
      </c>
      <c r="I442" t="s">
        <v>1684</v>
      </c>
      <c r="J442" t="s">
        <v>37</v>
      </c>
      <c r="K442" t="s">
        <v>37</v>
      </c>
      <c r="L442" t="s">
        <v>38</v>
      </c>
      <c r="M442" t="s">
        <v>37</v>
      </c>
      <c r="N442" t="s">
        <v>37</v>
      </c>
      <c r="O442" t="s">
        <v>38</v>
      </c>
      <c r="P442" t="s">
        <v>39</v>
      </c>
      <c r="Q442" s="55">
        <v>45966</v>
      </c>
      <c r="V442">
        <v>1</v>
      </c>
    </row>
    <row r="443" spans="1:22">
      <c r="A443" s="55">
        <v>45905</v>
      </c>
      <c r="B443" t="s">
        <v>1879</v>
      </c>
      <c r="C443" t="s">
        <v>1310</v>
      </c>
      <c r="D443" t="s">
        <v>169</v>
      </c>
      <c r="E443">
        <v>85395</v>
      </c>
      <c r="F443" t="s">
        <v>31</v>
      </c>
      <c r="G443" t="s">
        <v>1723</v>
      </c>
      <c r="H443" t="s">
        <v>1880</v>
      </c>
      <c r="I443" t="s">
        <v>243</v>
      </c>
      <c r="J443" t="s">
        <v>37</v>
      </c>
      <c r="K443" t="s">
        <v>37</v>
      </c>
      <c r="L443" t="s">
        <v>389</v>
      </c>
      <c r="M443" t="s">
        <v>37</v>
      </c>
      <c r="N443" t="s">
        <v>37</v>
      </c>
      <c r="O443" t="s">
        <v>38</v>
      </c>
      <c r="P443" t="s">
        <v>39</v>
      </c>
      <c r="Q443" s="55">
        <v>45966</v>
      </c>
      <c r="V443">
        <v>1</v>
      </c>
    </row>
    <row r="444" spans="1:22">
      <c r="A444" s="55">
        <v>45905</v>
      </c>
      <c r="B444" t="s">
        <v>1881</v>
      </c>
      <c r="C444" t="s">
        <v>1755</v>
      </c>
      <c r="D444" t="s">
        <v>24</v>
      </c>
      <c r="E444">
        <v>85308</v>
      </c>
      <c r="F444" t="s">
        <v>310</v>
      </c>
      <c r="G444" t="s">
        <v>1723</v>
      </c>
      <c r="H444" t="s">
        <v>1882</v>
      </c>
      <c r="I444" t="s">
        <v>196</v>
      </c>
      <c r="J444" t="s">
        <v>37</v>
      </c>
      <c r="K444" t="s">
        <v>37</v>
      </c>
      <c r="L444" t="s">
        <v>1883</v>
      </c>
      <c r="M444" t="s">
        <v>37</v>
      </c>
      <c r="N444" t="s">
        <v>37</v>
      </c>
      <c r="O444" t="s">
        <v>38</v>
      </c>
      <c r="P444" t="s">
        <v>39</v>
      </c>
      <c r="Q444" s="55">
        <v>45966</v>
      </c>
      <c r="V444">
        <v>1</v>
      </c>
    </row>
    <row r="445" spans="1:22">
      <c r="A445" s="55">
        <v>45905</v>
      </c>
      <c r="B445" t="s">
        <v>1884</v>
      </c>
      <c r="C445" t="s">
        <v>1666</v>
      </c>
      <c r="D445" t="s">
        <v>619</v>
      </c>
      <c r="E445">
        <v>85365</v>
      </c>
      <c r="F445" t="s">
        <v>1556</v>
      </c>
      <c r="G445" t="s">
        <v>1723</v>
      </c>
      <c r="H445" t="s">
        <v>1885</v>
      </c>
      <c r="I445" t="s">
        <v>57</v>
      </c>
      <c r="J445" t="s">
        <v>37</v>
      </c>
      <c r="K445" t="s">
        <v>37</v>
      </c>
      <c r="L445" t="s">
        <v>1886</v>
      </c>
      <c r="M445" t="s">
        <v>37</v>
      </c>
      <c r="N445" t="s">
        <v>37</v>
      </c>
      <c r="O445" t="s">
        <v>38</v>
      </c>
      <c r="Q445" s="55">
        <v>45966</v>
      </c>
      <c r="R445" t="s">
        <v>1887</v>
      </c>
      <c r="V445">
        <v>1</v>
      </c>
    </row>
    <row r="446" spans="1:22">
      <c r="A446" s="55">
        <v>45905</v>
      </c>
      <c r="B446" t="s">
        <v>1890</v>
      </c>
      <c r="C446" t="s">
        <v>747</v>
      </c>
      <c r="D446" t="s">
        <v>202</v>
      </c>
      <c r="E446">
        <v>85383</v>
      </c>
      <c r="F446" t="s">
        <v>31</v>
      </c>
      <c r="G446" t="s">
        <v>1723</v>
      </c>
      <c r="H446" t="s">
        <v>1891</v>
      </c>
      <c r="I446" t="s">
        <v>1892</v>
      </c>
      <c r="J446" t="s">
        <v>37</v>
      </c>
      <c r="K446" t="s">
        <v>37</v>
      </c>
      <c r="L446" t="s">
        <v>38</v>
      </c>
      <c r="M446" t="s">
        <v>37</v>
      </c>
      <c r="N446" t="s">
        <v>37</v>
      </c>
      <c r="O446" t="s">
        <v>38</v>
      </c>
      <c r="P446" t="s">
        <v>39</v>
      </c>
      <c r="Q446" s="55">
        <v>45966</v>
      </c>
      <c r="V446">
        <v>1</v>
      </c>
    </row>
    <row r="447" spans="1:22">
      <c r="A447" s="55">
        <v>45905</v>
      </c>
      <c r="B447" t="s">
        <v>1893</v>
      </c>
      <c r="C447" t="s">
        <v>1894</v>
      </c>
      <c r="D447" t="s">
        <v>63</v>
      </c>
      <c r="E447">
        <v>85024</v>
      </c>
      <c r="F447" t="s">
        <v>1895</v>
      </c>
      <c r="G447" t="s">
        <v>1723</v>
      </c>
      <c r="H447" t="s">
        <v>1896</v>
      </c>
      <c r="I447" t="s">
        <v>46</v>
      </c>
      <c r="J447" t="s">
        <v>37</v>
      </c>
      <c r="K447" t="s">
        <v>37</v>
      </c>
      <c r="L447" t="s">
        <v>38</v>
      </c>
      <c r="M447" t="s">
        <v>37</v>
      </c>
      <c r="N447" t="s">
        <v>37</v>
      </c>
      <c r="O447" t="s">
        <v>38</v>
      </c>
      <c r="P447" t="s">
        <v>39</v>
      </c>
      <c r="Q447" s="55">
        <v>45966</v>
      </c>
      <c r="V447">
        <v>1</v>
      </c>
    </row>
    <row r="448" spans="1:22">
      <c r="A448" s="55">
        <v>45905</v>
      </c>
      <c r="B448" t="s">
        <v>1897</v>
      </c>
      <c r="C448" t="s">
        <v>1898</v>
      </c>
      <c r="D448" t="s">
        <v>169</v>
      </c>
      <c r="E448">
        <v>85395</v>
      </c>
      <c r="F448" t="s">
        <v>1899</v>
      </c>
      <c r="G448" t="s">
        <v>1723</v>
      </c>
      <c r="H448" t="s">
        <v>1900</v>
      </c>
      <c r="I448" t="s">
        <v>541</v>
      </c>
      <c r="J448" t="s">
        <v>37</v>
      </c>
      <c r="K448" t="s">
        <v>37</v>
      </c>
      <c r="L448" t="s">
        <v>389</v>
      </c>
      <c r="M448" t="s">
        <v>37</v>
      </c>
      <c r="N448" t="s">
        <v>37</v>
      </c>
      <c r="O448" t="s">
        <v>38</v>
      </c>
      <c r="P448" t="s">
        <v>39</v>
      </c>
      <c r="Q448" s="55">
        <v>45966</v>
      </c>
      <c r="V448">
        <v>1</v>
      </c>
    </row>
    <row r="449" spans="1:22">
      <c r="A449" s="55">
        <v>45905</v>
      </c>
      <c r="B449" t="s">
        <v>1901</v>
      </c>
      <c r="C449" t="s">
        <v>790</v>
      </c>
      <c r="D449" t="s">
        <v>635</v>
      </c>
      <c r="E449">
        <v>85281</v>
      </c>
      <c r="F449" t="s">
        <v>310</v>
      </c>
      <c r="G449" t="s">
        <v>1723</v>
      </c>
      <c r="H449" t="s">
        <v>1902</v>
      </c>
      <c r="I449" t="s">
        <v>126</v>
      </c>
      <c r="J449" t="s">
        <v>37</v>
      </c>
      <c r="K449" t="s">
        <v>37</v>
      </c>
      <c r="L449" t="s">
        <v>1903</v>
      </c>
      <c r="M449" t="s">
        <v>37</v>
      </c>
      <c r="N449" t="s">
        <v>37</v>
      </c>
      <c r="O449" t="s">
        <v>38</v>
      </c>
      <c r="P449" t="s">
        <v>39</v>
      </c>
      <c r="Q449" s="55">
        <v>45966</v>
      </c>
      <c r="V449">
        <v>1</v>
      </c>
    </row>
    <row r="450" spans="1:22">
      <c r="A450" s="55">
        <v>45905</v>
      </c>
      <c r="B450" t="s">
        <v>1904</v>
      </c>
      <c r="C450" t="s">
        <v>1905</v>
      </c>
      <c r="D450" t="s">
        <v>63</v>
      </c>
      <c r="E450">
        <v>85007</v>
      </c>
      <c r="F450" t="s">
        <v>31</v>
      </c>
      <c r="G450" t="s">
        <v>1723</v>
      </c>
      <c r="H450" t="s">
        <v>1906</v>
      </c>
      <c r="I450" t="s">
        <v>36</v>
      </c>
      <c r="J450" t="s">
        <v>37</v>
      </c>
      <c r="K450" t="s">
        <v>37</v>
      </c>
      <c r="L450" t="s">
        <v>38</v>
      </c>
      <c r="M450" t="s">
        <v>37</v>
      </c>
      <c r="N450" t="s">
        <v>37</v>
      </c>
      <c r="O450" t="s">
        <v>38</v>
      </c>
      <c r="P450" t="s">
        <v>39</v>
      </c>
      <c r="Q450" s="55">
        <v>45966</v>
      </c>
      <c r="V450">
        <v>1</v>
      </c>
    </row>
    <row r="451" spans="1:22">
      <c r="A451" s="55">
        <v>45905</v>
      </c>
      <c r="B451" t="s">
        <v>1907</v>
      </c>
      <c r="C451" t="s">
        <v>131</v>
      </c>
      <c r="D451" t="s">
        <v>635</v>
      </c>
      <c r="E451">
        <v>85288</v>
      </c>
      <c r="F451" t="s">
        <v>31</v>
      </c>
      <c r="G451" t="s">
        <v>1723</v>
      </c>
      <c r="H451" t="s">
        <v>1908</v>
      </c>
      <c r="I451" t="s">
        <v>196</v>
      </c>
      <c r="J451" t="s">
        <v>37</v>
      </c>
      <c r="K451" t="s">
        <v>37</v>
      </c>
      <c r="L451" t="s">
        <v>1909</v>
      </c>
      <c r="M451" t="s">
        <v>37</v>
      </c>
      <c r="N451" t="s">
        <v>37</v>
      </c>
      <c r="O451" t="s">
        <v>38</v>
      </c>
      <c r="P451">
        <v>45936</v>
      </c>
      <c r="Q451" s="55">
        <v>45966</v>
      </c>
      <c r="R451" t="s">
        <v>1732</v>
      </c>
      <c r="V451">
        <v>1</v>
      </c>
    </row>
    <row r="452" spans="1:22">
      <c r="A452" s="55">
        <v>45905</v>
      </c>
      <c r="B452" t="s">
        <v>1910</v>
      </c>
      <c r="C452" t="s">
        <v>139</v>
      </c>
      <c r="D452" t="s">
        <v>63</v>
      </c>
      <c r="E452">
        <v>85032</v>
      </c>
      <c r="F452" t="s">
        <v>1911</v>
      </c>
      <c r="G452" t="s">
        <v>1723</v>
      </c>
      <c r="H452" t="s">
        <v>1912</v>
      </c>
      <c r="I452" t="s">
        <v>73</v>
      </c>
      <c r="J452" t="s">
        <v>37</v>
      </c>
      <c r="K452" t="s">
        <v>37</v>
      </c>
      <c r="L452" t="s">
        <v>38</v>
      </c>
      <c r="M452" t="s">
        <v>37</v>
      </c>
      <c r="N452" t="s">
        <v>37</v>
      </c>
      <c r="O452" t="s">
        <v>38</v>
      </c>
      <c r="P452" t="s">
        <v>39</v>
      </c>
      <c r="Q452" s="55">
        <v>45966</v>
      </c>
      <c r="V452">
        <v>1</v>
      </c>
    </row>
    <row r="453" spans="1:22">
      <c r="A453" s="55">
        <v>45905</v>
      </c>
      <c r="B453" t="s">
        <v>391</v>
      </c>
      <c r="C453" t="s">
        <v>920</v>
      </c>
      <c r="D453" t="s">
        <v>85</v>
      </c>
      <c r="E453">
        <v>86323</v>
      </c>
      <c r="F453" t="s">
        <v>31</v>
      </c>
      <c r="G453" t="s">
        <v>1723</v>
      </c>
      <c r="H453" t="s">
        <v>1915</v>
      </c>
      <c r="I453" t="s">
        <v>36</v>
      </c>
      <c r="J453" t="s">
        <v>37</v>
      </c>
      <c r="K453" t="s">
        <v>37</v>
      </c>
      <c r="L453" t="s">
        <v>38</v>
      </c>
      <c r="M453" t="s">
        <v>37</v>
      </c>
      <c r="N453" t="s">
        <v>37</v>
      </c>
      <c r="O453" t="s">
        <v>38</v>
      </c>
      <c r="P453" t="s">
        <v>39</v>
      </c>
      <c r="Q453" s="55">
        <v>45966</v>
      </c>
      <c r="V453">
        <v>1</v>
      </c>
    </row>
    <row r="454" spans="1:22">
      <c r="A454" s="55">
        <v>45905</v>
      </c>
      <c r="B454" t="s">
        <v>431</v>
      </c>
      <c r="C454" t="s">
        <v>329</v>
      </c>
      <c r="D454" t="s">
        <v>63</v>
      </c>
      <c r="E454">
        <v>85032</v>
      </c>
      <c r="F454" t="s">
        <v>310</v>
      </c>
      <c r="G454" t="s">
        <v>1723</v>
      </c>
      <c r="H454" t="s">
        <v>1916</v>
      </c>
      <c r="I454" t="s">
        <v>73</v>
      </c>
      <c r="J454" t="s">
        <v>37</v>
      </c>
      <c r="K454" t="s">
        <v>37</v>
      </c>
      <c r="L454" t="s">
        <v>38</v>
      </c>
      <c r="M454" t="s">
        <v>37</v>
      </c>
      <c r="N454" t="s">
        <v>37</v>
      </c>
      <c r="O454" t="s">
        <v>38</v>
      </c>
      <c r="P454" t="s">
        <v>39</v>
      </c>
      <c r="Q454" s="55">
        <v>45966</v>
      </c>
      <c r="V454">
        <v>1</v>
      </c>
    </row>
    <row r="455" spans="1:22">
      <c r="A455" s="55">
        <v>45905</v>
      </c>
      <c r="B455" t="s">
        <v>1920</v>
      </c>
      <c r="C455" t="s">
        <v>1921</v>
      </c>
      <c r="D455" t="s">
        <v>63</v>
      </c>
      <c r="E455">
        <v>85012</v>
      </c>
      <c r="F455" t="s">
        <v>310</v>
      </c>
      <c r="G455" t="s">
        <v>1723</v>
      </c>
      <c r="H455" t="s">
        <v>1922</v>
      </c>
      <c r="I455" t="s">
        <v>73</v>
      </c>
      <c r="J455" t="s">
        <v>37</v>
      </c>
      <c r="K455" t="s">
        <v>37</v>
      </c>
      <c r="L455" t="s">
        <v>38</v>
      </c>
      <c r="M455" t="s">
        <v>37</v>
      </c>
      <c r="N455" t="s">
        <v>37</v>
      </c>
      <c r="O455" t="s">
        <v>38</v>
      </c>
      <c r="P455" t="s">
        <v>39</v>
      </c>
      <c r="Q455" s="55">
        <v>45966</v>
      </c>
      <c r="V455">
        <v>1</v>
      </c>
    </row>
    <row r="456" spans="1:22">
      <c r="A456" s="55">
        <v>45905</v>
      </c>
      <c r="B456" t="s">
        <v>1923</v>
      </c>
      <c r="C456" t="s">
        <v>1924</v>
      </c>
      <c r="D456" t="s">
        <v>63</v>
      </c>
      <c r="E456">
        <v>85086</v>
      </c>
      <c r="F456" t="s">
        <v>31</v>
      </c>
      <c r="G456" t="s">
        <v>1723</v>
      </c>
      <c r="H456" t="s">
        <v>1925</v>
      </c>
      <c r="I456" t="s">
        <v>36</v>
      </c>
      <c r="J456" t="s">
        <v>37</v>
      </c>
      <c r="K456" t="s">
        <v>37</v>
      </c>
      <c r="L456" t="s">
        <v>38</v>
      </c>
      <c r="M456" t="s">
        <v>37</v>
      </c>
      <c r="N456" t="s">
        <v>37</v>
      </c>
      <c r="O456" t="s">
        <v>38</v>
      </c>
      <c r="P456" t="s">
        <v>39</v>
      </c>
      <c r="Q456" s="55">
        <v>45966</v>
      </c>
      <c r="V456">
        <v>1</v>
      </c>
    </row>
    <row r="457" spans="1:22">
      <c r="A457" s="55">
        <v>45905</v>
      </c>
      <c r="B457" t="s">
        <v>1926</v>
      </c>
      <c r="C457" t="s">
        <v>399</v>
      </c>
      <c r="D457" t="s">
        <v>504</v>
      </c>
      <c r="E457">
        <v>86001</v>
      </c>
      <c r="F457" t="s">
        <v>31</v>
      </c>
      <c r="G457" t="s">
        <v>1723</v>
      </c>
      <c r="H457" t="s">
        <v>1927</v>
      </c>
      <c r="I457" t="s">
        <v>196</v>
      </c>
      <c r="J457" t="s">
        <v>37</v>
      </c>
      <c r="K457" t="s">
        <v>37</v>
      </c>
      <c r="L457" t="s">
        <v>1928</v>
      </c>
      <c r="M457" t="s">
        <v>37</v>
      </c>
      <c r="N457" t="s">
        <v>37</v>
      </c>
      <c r="O457" t="s">
        <v>38</v>
      </c>
      <c r="P457" t="s">
        <v>39</v>
      </c>
      <c r="Q457" s="55">
        <v>45966</v>
      </c>
      <c r="V457">
        <v>1</v>
      </c>
    </row>
    <row r="458" spans="1:22">
      <c r="A458" s="55">
        <v>45905</v>
      </c>
      <c r="B458" t="s">
        <v>1929</v>
      </c>
      <c r="C458" t="s">
        <v>1930</v>
      </c>
      <c r="D458" t="s">
        <v>63</v>
      </c>
      <c r="E458">
        <v>85020</v>
      </c>
      <c r="F458" t="s">
        <v>310</v>
      </c>
      <c r="G458" t="s">
        <v>1723</v>
      </c>
      <c r="H458" t="s">
        <v>1931</v>
      </c>
      <c r="I458" t="s">
        <v>73</v>
      </c>
      <c r="J458" t="s">
        <v>37</v>
      </c>
      <c r="K458" t="s">
        <v>37</v>
      </c>
      <c r="L458" t="s">
        <v>38</v>
      </c>
      <c r="M458" t="s">
        <v>37</v>
      </c>
      <c r="N458" t="s">
        <v>37</v>
      </c>
      <c r="O458" t="s">
        <v>38</v>
      </c>
      <c r="P458" t="s">
        <v>39</v>
      </c>
      <c r="Q458" s="55">
        <v>45966</v>
      </c>
      <c r="V458">
        <v>1</v>
      </c>
    </row>
    <row r="459" spans="1:22">
      <c r="A459" s="55">
        <v>45905</v>
      </c>
      <c r="B459" t="s">
        <v>1932</v>
      </c>
      <c r="C459" t="s">
        <v>1614</v>
      </c>
      <c r="D459" t="s">
        <v>63</v>
      </c>
      <c r="E459">
        <v>85020</v>
      </c>
      <c r="F459" t="s">
        <v>1933</v>
      </c>
      <c r="G459" t="s">
        <v>1723</v>
      </c>
      <c r="H459" t="s">
        <v>1934</v>
      </c>
      <c r="I459" t="s">
        <v>36</v>
      </c>
      <c r="J459" t="s">
        <v>37</v>
      </c>
      <c r="K459" t="s">
        <v>37</v>
      </c>
      <c r="L459" t="s">
        <v>1935</v>
      </c>
      <c r="M459" t="s">
        <v>37</v>
      </c>
      <c r="N459" t="s">
        <v>37</v>
      </c>
      <c r="O459" t="s">
        <v>38</v>
      </c>
      <c r="P459" t="s">
        <v>39</v>
      </c>
      <c r="Q459" s="55">
        <v>45966</v>
      </c>
      <c r="R459" t="s">
        <v>1936</v>
      </c>
      <c r="V459">
        <v>1</v>
      </c>
    </row>
    <row r="460" spans="1:22">
      <c r="A460" s="55">
        <v>45905</v>
      </c>
      <c r="B460" t="s">
        <v>1937</v>
      </c>
      <c r="C460" t="s">
        <v>194</v>
      </c>
      <c r="D460" t="s">
        <v>63</v>
      </c>
      <c r="E460">
        <v>85023</v>
      </c>
      <c r="F460" t="s">
        <v>1938</v>
      </c>
      <c r="G460" t="s">
        <v>1723</v>
      </c>
      <c r="H460" t="s">
        <v>1939</v>
      </c>
      <c r="I460" t="s">
        <v>243</v>
      </c>
      <c r="J460" t="s">
        <v>37</v>
      </c>
      <c r="K460" t="s">
        <v>37</v>
      </c>
      <c r="L460" t="s">
        <v>389</v>
      </c>
      <c r="M460" t="s">
        <v>37</v>
      </c>
      <c r="N460" t="s">
        <v>37</v>
      </c>
      <c r="O460" t="s">
        <v>38</v>
      </c>
      <c r="P460" t="s">
        <v>39</v>
      </c>
      <c r="Q460" s="55">
        <v>45966</v>
      </c>
      <c r="V460">
        <v>1</v>
      </c>
    </row>
    <row r="461" spans="1:22">
      <c r="A461" s="55">
        <v>45905</v>
      </c>
      <c r="B461" t="s">
        <v>1940</v>
      </c>
      <c r="C461" t="s">
        <v>1941</v>
      </c>
      <c r="D461" t="s">
        <v>63</v>
      </c>
      <c r="E461">
        <v>85020</v>
      </c>
      <c r="F461" t="s">
        <v>310</v>
      </c>
      <c r="G461" t="s">
        <v>1723</v>
      </c>
      <c r="H461" t="s">
        <v>1942</v>
      </c>
      <c r="I461" t="s">
        <v>196</v>
      </c>
      <c r="J461" t="s">
        <v>37</v>
      </c>
      <c r="K461" t="s">
        <v>37</v>
      </c>
      <c r="L461" t="s">
        <v>1943</v>
      </c>
      <c r="M461" t="s">
        <v>37</v>
      </c>
      <c r="N461" t="s">
        <v>37</v>
      </c>
      <c r="O461" t="s">
        <v>38</v>
      </c>
      <c r="P461" t="s">
        <v>39</v>
      </c>
      <c r="Q461" s="55">
        <v>45966</v>
      </c>
      <c r="R461" t="s">
        <v>1944</v>
      </c>
      <c r="V461">
        <v>1</v>
      </c>
    </row>
    <row r="462" spans="1:22">
      <c r="A462" s="55">
        <v>45905</v>
      </c>
      <c r="B462" t="s">
        <v>1945</v>
      </c>
      <c r="C462" t="s">
        <v>284</v>
      </c>
      <c r="D462" t="s">
        <v>169</v>
      </c>
      <c r="E462">
        <v>85395</v>
      </c>
      <c r="F462" t="s">
        <v>31</v>
      </c>
      <c r="G462" t="s">
        <v>1723</v>
      </c>
      <c r="H462" t="s">
        <v>1946</v>
      </c>
      <c r="I462" t="s">
        <v>126</v>
      </c>
      <c r="J462" t="s">
        <v>37</v>
      </c>
      <c r="K462" t="s">
        <v>37</v>
      </c>
      <c r="L462" t="s">
        <v>38</v>
      </c>
      <c r="M462" t="s">
        <v>37</v>
      </c>
      <c r="N462" t="s">
        <v>37</v>
      </c>
      <c r="O462" t="s">
        <v>38</v>
      </c>
      <c r="P462" t="s">
        <v>39</v>
      </c>
      <c r="Q462" s="55">
        <v>45966</v>
      </c>
      <c r="V462">
        <v>1</v>
      </c>
    </row>
    <row r="463" spans="1:22">
      <c r="A463" s="55">
        <v>45905</v>
      </c>
      <c r="B463" t="s">
        <v>1947</v>
      </c>
      <c r="C463" t="s">
        <v>145</v>
      </c>
      <c r="D463" t="s">
        <v>1615</v>
      </c>
      <c r="E463">
        <v>85131</v>
      </c>
      <c r="F463" t="s">
        <v>310</v>
      </c>
      <c r="G463" t="s">
        <v>1723</v>
      </c>
      <c r="H463" t="s">
        <v>1948</v>
      </c>
      <c r="I463" t="s">
        <v>541</v>
      </c>
      <c r="J463" t="s">
        <v>37</v>
      </c>
      <c r="K463" t="s">
        <v>37</v>
      </c>
      <c r="L463" t="s">
        <v>389</v>
      </c>
      <c r="M463" t="s">
        <v>37</v>
      </c>
      <c r="N463" t="s">
        <v>37</v>
      </c>
      <c r="O463" t="s">
        <v>38</v>
      </c>
      <c r="P463" t="s">
        <v>39</v>
      </c>
      <c r="Q463" s="55">
        <v>45966</v>
      </c>
      <c r="V463">
        <v>1</v>
      </c>
    </row>
    <row r="464" spans="1:22">
      <c r="A464" s="55">
        <v>45905</v>
      </c>
      <c r="B464" t="s">
        <v>1949</v>
      </c>
      <c r="C464" t="s">
        <v>1950</v>
      </c>
      <c r="D464" t="s">
        <v>125</v>
      </c>
      <c r="E464">
        <v>85254</v>
      </c>
      <c r="F464" t="s">
        <v>310</v>
      </c>
      <c r="G464" t="s">
        <v>1723</v>
      </c>
      <c r="H464" t="s">
        <v>1951</v>
      </c>
      <c r="I464" t="s">
        <v>36</v>
      </c>
      <c r="J464" t="s">
        <v>37</v>
      </c>
      <c r="K464" t="s">
        <v>37</v>
      </c>
      <c r="L464" t="s">
        <v>38</v>
      </c>
      <c r="M464" t="s">
        <v>37</v>
      </c>
      <c r="N464" t="s">
        <v>37</v>
      </c>
      <c r="O464" t="s">
        <v>38</v>
      </c>
      <c r="P464" t="s">
        <v>39</v>
      </c>
      <c r="Q464" s="55">
        <v>45966</v>
      </c>
      <c r="V464">
        <v>1</v>
      </c>
    </row>
    <row r="465" spans="1:22">
      <c r="A465" s="55">
        <v>45905</v>
      </c>
      <c r="B465" t="s">
        <v>1952</v>
      </c>
      <c r="C465" t="s">
        <v>1953</v>
      </c>
      <c r="D465" t="s">
        <v>63</v>
      </c>
      <c r="E465">
        <v>85022</v>
      </c>
      <c r="F465" t="s">
        <v>31</v>
      </c>
      <c r="G465" t="s">
        <v>1723</v>
      </c>
      <c r="H465" t="s">
        <v>1954</v>
      </c>
      <c r="I465" t="s">
        <v>36</v>
      </c>
      <c r="J465" t="s">
        <v>37</v>
      </c>
      <c r="K465" t="s">
        <v>37</v>
      </c>
      <c r="L465" t="s">
        <v>38</v>
      </c>
      <c r="M465" t="s">
        <v>37</v>
      </c>
      <c r="N465" t="s">
        <v>37</v>
      </c>
      <c r="O465" t="s">
        <v>38</v>
      </c>
      <c r="P465" t="s">
        <v>39</v>
      </c>
      <c r="Q465" s="55">
        <v>45966</v>
      </c>
      <c r="V465">
        <v>1</v>
      </c>
    </row>
    <row r="466" spans="1:22">
      <c r="A466" s="55">
        <v>45905</v>
      </c>
      <c r="B466" t="s">
        <v>1955</v>
      </c>
      <c r="C466" t="s">
        <v>1956</v>
      </c>
      <c r="D466" t="s">
        <v>169</v>
      </c>
      <c r="E466">
        <v>85338</v>
      </c>
      <c r="F466" t="s">
        <v>1957</v>
      </c>
      <c r="G466" t="s">
        <v>1723</v>
      </c>
      <c r="H466" t="s">
        <v>1958</v>
      </c>
      <c r="I466" t="s">
        <v>36</v>
      </c>
      <c r="J466" t="s">
        <v>37</v>
      </c>
      <c r="K466" t="s">
        <v>37</v>
      </c>
      <c r="L466" t="s">
        <v>38</v>
      </c>
      <c r="M466" t="s">
        <v>37</v>
      </c>
      <c r="N466" t="s">
        <v>37</v>
      </c>
      <c r="O466" t="s">
        <v>38</v>
      </c>
      <c r="P466" t="s">
        <v>39</v>
      </c>
      <c r="Q466" s="55">
        <v>45966</v>
      </c>
      <c r="V466">
        <v>1</v>
      </c>
    </row>
    <row r="467" spans="1:22">
      <c r="A467" s="55">
        <v>45905</v>
      </c>
      <c r="B467" t="s">
        <v>1959</v>
      </c>
      <c r="C467" t="s">
        <v>206</v>
      </c>
      <c r="D467" t="s">
        <v>169</v>
      </c>
      <c r="E467">
        <v>85395</v>
      </c>
      <c r="F467" t="s">
        <v>1960</v>
      </c>
      <c r="G467" t="s">
        <v>1723</v>
      </c>
      <c r="H467" t="s">
        <v>1961</v>
      </c>
      <c r="I467" t="s">
        <v>36</v>
      </c>
      <c r="J467" t="s">
        <v>37</v>
      </c>
      <c r="K467" t="s">
        <v>37</v>
      </c>
      <c r="L467" t="s">
        <v>38</v>
      </c>
      <c r="M467" t="s">
        <v>37</v>
      </c>
      <c r="N467" t="s">
        <v>37</v>
      </c>
      <c r="O467" t="s">
        <v>38</v>
      </c>
      <c r="P467" t="s">
        <v>39</v>
      </c>
      <c r="Q467" s="55">
        <v>45966</v>
      </c>
      <c r="V467">
        <v>1</v>
      </c>
    </row>
    <row r="468" spans="1:22">
      <c r="A468" s="55">
        <v>45905</v>
      </c>
      <c r="B468" t="s">
        <v>747</v>
      </c>
      <c r="C468" t="s">
        <v>1962</v>
      </c>
      <c r="D468" t="s">
        <v>63</v>
      </c>
      <c r="E468">
        <v>85027</v>
      </c>
      <c r="F468" t="s">
        <v>1957</v>
      </c>
      <c r="G468" t="s">
        <v>1723</v>
      </c>
      <c r="H468" t="s">
        <v>1963</v>
      </c>
      <c r="I468" t="s">
        <v>126</v>
      </c>
      <c r="J468" t="s">
        <v>38</v>
      </c>
      <c r="K468" t="s">
        <v>37</v>
      </c>
      <c r="L468" t="s">
        <v>38</v>
      </c>
      <c r="M468" t="s">
        <v>38</v>
      </c>
      <c r="N468">
        <v>349.29</v>
      </c>
      <c r="O468" t="s">
        <v>38</v>
      </c>
      <c r="P468" t="s">
        <v>39</v>
      </c>
      <c r="Q468" s="55">
        <v>45966</v>
      </c>
      <c r="R468" t="s">
        <v>495</v>
      </c>
      <c r="V468">
        <v>1</v>
      </c>
    </row>
    <row r="469" spans="1:22">
      <c r="A469" s="55">
        <v>45905</v>
      </c>
      <c r="B469" t="s">
        <v>49</v>
      </c>
      <c r="C469" t="s">
        <v>624</v>
      </c>
      <c r="D469" t="s">
        <v>63</v>
      </c>
      <c r="E469">
        <v>85027</v>
      </c>
      <c r="F469" t="s">
        <v>31</v>
      </c>
      <c r="G469" t="s">
        <v>1723</v>
      </c>
      <c r="H469" t="s">
        <v>1964</v>
      </c>
      <c r="I469" t="s">
        <v>73</v>
      </c>
      <c r="J469" t="s">
        <v>37</v>
      </c>
      <c r="K469" t="s">
        <v>37</v>
      </c>
      <c r="L469" t="s">
        <v>38</v>
      </c>
      <c r="M469" t="s">
        <v>37</v>
      </c>
      <c r="N469" t="s">
        <v>37</v>
      </c>
      <c r="O469" t="s">
        <v>38</v>
      </c>
      <c r="P469" t="s">
        <v>39</v>
      </c>
      <c r="Q469" s="55">
        <v>45966</v>
      </c>
      <c r="V469">
        <v>1</v>
      </c>
    </row>
    <row r="470" spans="1:22">
      <c r="A470" s="55">
        <v>45905</v>
      </c>
      <c r="B470" t="s">
        <v>1967</v>
      </c>
      <c r="C470" t="s">
        <v>1968</v>
      </c>
      <c r="D470" t="s">
        <v>174</v>
      </c>
      <c r="E470">
        <v>85396</v>
      </c>
      <c r="F470" t="s">
        <v>31</v>
      </c>
      <c r="G470" t="s">
        <v>1723</v>
      </c>
      <c r="H470" t="s">
        <v>1969</v>
      </c>
      <c r="I470" t="s">
        <v>196</v>
      </c>
      <c r="J470" t="s">
        <v>37</v>
      </c>
      <c r="K470" t="s">
        <v>37</v>
      </c>
      <c r="L470" t="s">
        <v>38</v>
      </c>
      <c r="M470" t="s">
        <v>37</v>
      </c>
      <c r="N470" t="s">
        <v>37</v>
      </c>
      <c r="O470" t="s">
        <v>38</v>
      </c>
      <c r="P470" t="s">
        <v>39</v>
      </c>
      <c r="Q470" s="55">
        <v>45966</v>
      </c>
      <c r="V470">
        <v>1</v>
      </c>
    </row>
    <row r="471" spans="1:22">
      <c r="A471" s="55">
        <v>45905</v>
      </c>
      <c r="B471" t="s">
        <v>1970</v>
      </c>
      <c r="C471" t="s">
        <v>1971</v>
      </c>
      <c r="D471" t="s">
        <v>63</v>
      </c>
      <c r="E471">
        <v>85083</v>
      </c>
      <c r="F471" t="s">
        <v>310</v>
      </c>
      <c r="G471" t="s">
        <v>1723</v>
      </c>
      <c r="H471" t="s">
        <v>1972</v>
      </c>
      <c r="I471" t="s">
        <v>46</v>
      </c>
      <c r="J471" t="s">
        <v>37</v>
      </c>
      <c r="K471" t="s">
        <v>37</v>
      </c>
      <c r="L471" t="s">
        <v>38</v>
      </c>
      <c r="M471" t="s">
        <v>37</v>
      </c>
      <c r="N471" t="s">
        <v>37</v>
      </c>
      <c r="O471" t="s">
        <v>38</v>
      </c>
      <c r="P471" t="s">
        <v>39</v>
      </c>
      <c r="Q471" s="55">
        <v>45966</v>
      </c>
      <c r="V471">
        <v>1</v>
      </c>
    </row>
    <row r="472" spans="1:22">
      <c r="A472" s="55">
        <v>45905</v>
      </c>
      <c r="B472" t="s">
        <v>1973</v>
      </c>
      <c r="C472" t="s">
        <v>597</v>
      </c>
      <c r="D472" t="s">
        <v>63</v>
      </c>
      <c r="E472">
        <v>85083</v>
      </c>
      <c r="F472" t="s">
        <v>31</v>
      </c>
      <c r="G472" t="s">
        <v>1723</v>
      </c>
      <c r="H472" t="s">
        <v>1974</v>
      </c>
      <c r="I472" t="s">
        <v>36</v>
      </c>
      <c r="J472" t="s">
        <v>37</v>
      </c>
      <c r="K472" t="s">
        <v>37</v>
      </c>
      <c r="L472" t="s">
        <v>1975</v>
      </c>
      <c r="M472" t="s">
        <v>37</v>
      </c>
      <c r="N472" t="s">
        <v>37</v>
      </c>
      <c r="O472" t="s">
        <v>38</v>
      </c>
      <c r="P472" t="s">
        <v>39</v>
      </c>
      <c r="Q472" s="55">
        <v>45966</v>
      </c>
      <c r="R472" t="s">
        <v>1976</v>
      </c>
      <c r="V472">
        <v>1</v>
      </c>
    </row>
    <row r="473" spans="1:22">
      <c r="A473" s="55">
        <v>45905</v>
      </c>
      <c r="B473" t="s">
        <v>1977</v>
      </c>
      <c r="C473" t="s">
        <v>1824</v>
      </c>
      <c r="D473" t="s">
        <v>63</v>
      </c>
      <c r="E473">
        <v>85028</v>
      </c>
      <c r="F473" t="s">
        <v>1978</v>
      </c>
      <c r="G473" t="s">
        <v>1723</v>
      </c>
      <c r="H473" t="s">
        <v>1979</v>
      </c>
      <c r="I473" t="s">
        <v>126</v>
      </c>
      <c r="J473" t="s">
        <v>37</v>
      </c>
      <c r="K473" t="s">
        <v>37</v>
      </c>
      <c r="L473" t="s">
        <v>38</v>
      </c>
      <c r="M473" t="s">
        <v>37</v>
      </c>
      <c r="N473" t="s">
        <v>37</v>
      </c>
      <c r="O473" t="s">
        <v>38</v>
      </c>
      <c r="P473" t="s">
        <v>39</v>
      </c>
      <c r="Q473" s="55">
        <v>45966</v>
      </c>
      <c r="V473">
        <v>1</v>
      </c>
    </row>
    <row r="474" spans="1:22">
      <c r="A474" s="55">
        <v>45905</v>
      </c>
      <c r="B474" t="s">
        <v>424</v>
      </c>
      <c r="C474" t="s">
        <v>497</v>
      </c>
      <c r="D474" t="s">
        <v>63</v>
      </c>
      <c r="E474">
        <v>85022</v>
      </c>
      <c r="F474" t="s">
        <v>1980</v>
      </c>
      <c r="G474" t="s">
        <v>1723</v>
      </c>
      <c r="H474" t="s">
        <v>1981</v>
      </c>
      <c r="I474" t="s">
        <v>196</v>
      </c>
      <c r="J474" t="s">
        <v>37</v>
      </c>
      <c r="K474" t="s">
        <v>37</v>
      </c>
      <c r="L474" t="s">
        <v>1982</v>
      </c>
      <c r="M474" t="s">
        <v>37</v>
      </c>
      <c r="N474" t="s">
        <v>37</v>
      </c>
      <c r="O474" t="s">
        <v>38</v>
      </c>
      <c r="P474">
        <v>45936</v>
      </c>
      <c r="Q474" s="55">
        <v>45966</v>
      </c>
      <c r="R474" t="s">
        <v>1983</v>
      </c>
      <c r="V474">
        <v>1</v>
      </c>
    </row>
    <row r="475" spans="1:22">
      <c r="A475" s="55">
        <v>45905</v>
      </c>
      <c r="B475" t="s">
        <v>1986</v>
      </c>
      <c r="C475" t="s">
        <v>1987</v>
      </c>
      <c r="D475" t="s">
        <v>202</v>
      </c>
      <c r="E475">
        <v>85383</v>
      </c>
      <c r="F475" t="s">
        <v>310</v>
      </c>
      <c r="G475" t="s">
        <v>1723</v>
      </c>
      <c r="H475" t="s">
        <v>1988</v>
      </c>
      <c r="I475" t="s">
        <v>418</v>
      </c>
      <c r="J475" t="s">
        <v>37</v>
      </c>
      <c r="K475" t="s">
        <v>37</v>
      </c>
      <c r="L475" t="s">
        <v>389</v>
      </c>
      <c r="M475" t="s">
        <v>37</v>
      </c>
      <c r="N475" t="s">
        <v>37</v>
      </c>
      <c r="O475" t="s">
        <v>38</v>
      </c>
      <c r="P475" t="s">
        <v>39</v>
      </c>
      <c r="Q475" s="55">
        <v>45966</v>
      </c>
      <c r="V475">
        <v>1</v>
      </c>
    </row>
    <row r="476" spans="1:22">
      <c r="A476" s="55">
        <v>45905</v>
      </c>
      <c r="B476" t="s">
        <v>1989</v>
      </c>
      <c r="C476" t="s">
        <v>1127</v>
      </c>
      <c r="D476" t="s">
        <v>112</v>
      </c>
      <c r="E476">
        <v>85388</v>
      </c>
      <c r="F476" t="s">
        <v>1990</v>
      </c>
      <c r="G476" t="s">
        <v>1723</v>
      </c>
      <c r="H476" t="s">
        <v>1991</v>
      </c>
      <c r="I476" t="s">
        <v>196</v>
      </c>
      <c r="J476" t="s">
        <v>37</v>
      </c>
      <c r="K476" t="s">
        <v>37</v>
      </c>
      <c r="L476" t="s">
        <v>1992</v>
      </c>
      <c r="M476" t="s">
        <v>37</v>
      </c>
      <c r="N476" t="s">
        <v>37</v>
      </c>
      <c r="O476" t="s">
        <v>38</v>
      </c>
      <c r="P476">
        <v>45936</v>
      </c>
      <c r="Q476" s="55">
        <v>45966</v>
      </c>
      <c r="R476" t="s">
        <v>1993</v>
      </c>
      <c r="V476">
        <v>1</v>
      </c>
    </row>
    <row r="477" spans="1:22">
      <c r="A477" s="55">
        <v>45905</v>
      </c>
      <c r="B477" t="s">
        <v>1994</v>
      </c>
      <c r="C477" t="s">
        <v>1995</v>
      </c>
      <c r="D477" t="s">
        <v>63</v>
      </c>
      <c r="E477">
        <v>85021</v>
      </c>
      <c r="F477" t="s">
        <v>1996</v>
      </c>
      <c r="G477" t="s">
        <v>1723</v>
      </c>
      <c r="H477" t="s">
        <v>1997</v>
      </c>
      <c r="I477" t="s">
        <v>46</v>
      </c>
      <c r="J477" t="s">
        <v>37</v>
      </c>
      <c r="K477" t="s">
        <v>37</v>
      </c>
      <c r="L477" t="s">
        <v>38</v>
      </c>
      <c r="M477" t="s">
        <v>37</v>
      </c>
      <c r="N477" t="s">
        <v>37</v>
      </c>
      <c r="O477" t="s">
        <v>38</v>
      </c>
      <c r="P477" t="s">
        <v>39</v>
      </c>
      <c r="Q477" s="55">
        <v>45966</v>
      </c>
      <c r="V477">
        <v>1</v>
      </c>
    </row>
    <row r="478" spans="1:22">
      <c r="A478" s="55">
        <v>45905</v>
      </c>
      <c r="B478" t="s">
        <v>1998</v>
      </c>
      <c r="C478" t="s">
        <v>312</v>
      </c>
      <c r="D478" t="s">
        <v>125</v>
      </c>
      <c r="E478">
        <v>85255</v>
      </c>
      <c r="F478" t="s">
        <v>310</v>
      </c>
      <c r="G478" t="s">
        <v>1723</v>
      </c>
      <c r="H478" t="s">
        <v>1999</v>
      </c>
      <c r="I478" t="s">
        <v>196</v>
      </c>
      <c r="J478" t="s">
        <v>37</v>
      </c>
      <c r="K478" t="s">
        <v>37</v>
      </c>
      <c r="L478" t="s">
        <v>2000</v>
      </c>
      <c r="M478" t="s">
        <v>37</v>
      </c>
      <c r="N478" t="s">
        <v>37</v>
      </c>
      <c r="O478" t="s">
        <v>38</v>
      </c>
      <c r="P478">
        <v>45936</v>
      </c>
      <c r="Q478" s="55">
        <v>45966</v>
      </c>
      <c r="R478" t="s">
        <v>2001</v>
      </c>
      <c r="V478">
        <v>1</v>
      </c>
    </row>
    <row r="479" spans="1:22">
      <c r="A479" s="55">
        <v>45905</v>
      </c>
      <c r="B479" t="s">
        <v>2002</v>
      </c>
      <c r="C479" t="s">
        <v>899</v>
      </c>
      <c r="D479" t="s">
        <v>63</v>
      </c>
      <c r="E479">
        <v>85016</v>
      </c>
      <c r="F479" t="s">
        <v>2003</v>
      </c>
      <c r="G479" t="s">
        <v>1723</v>
      </c>
      <c r="H479" t="s">
        <v>2004</v>
      </c>
      <c r="I479" t="s">
        <v>36</v>
      </c>
      <c r="J479" t="s">
        <v>37</v>
      </c>
      <c r="K479" t="s">
        <v>37</v>
      </c>
      <c r="L479" t="s">
        <v>38</v>
      </c>
      <c r="M479" t="s">
        <v>37</v>
      </c>
      <c r="N479" t="s">
        <v>37</v>
      </c>
      <c r="O479" t="s">
        <v>38</v>
      </c>
      <c r="P479" t="s">
        <v>39</v>
      </c>
      <c r="Q479" s="55">
        <v>45966</v>
      </c>
      <c r="V479">
        <v>1</v>
      </c>
    </row>
    <row r="480" spans="1:22">
      <c r="A480" s="55">
        <v>45905</v>
      </c>
      <c r="B480" t="s">
        <v>2005</v>
      </c>
      <c r="C480" t="s">
        <v>2006</v>
      </c>
      <c r="D480" t="s">
        <v>202</v>
      </c>
      <c r="E480">
        <v>85383</v>
      </c>
      <c r="F480" t="s">
        <v>31</v>
      </c>
      <c r="G480" t="s">
        <v>1723</v>
      </c>
      <c r="H480" t="s">
        <v>2007</v>
      </c>
      <c r="I480" t="s">
        <v>196</v>
      </c>
      <c r="J480" t="s">
        <v>37</v>
      </c>
      <c r="K480" t="s">
        <v>37</v>
      </c>
      <c r="L480" t="s">
        <v>2008</v>
      </c>
      <c r="M480" t="s">
        <v>37</v>
      </c>
      <c r="N480" t="s">
        <v>37</v>
      </c>
      <c r="O480" t="s">
        <v>38</v>
      </c>
      <c r="P480">
        <v>45936</v>
      </c>
      <c r="Q480" s="55">
        <v>45966</v>
      </c>
      <c r="R480" t="s">
        <v>2009</v>
      </c>
      <c r="V480">
        <v>1</v>
      </c>
    </row>
    <row r="481" spans="1:22">
      <c r="A481" s="55">
        <v>45905</v>
      </c>
      <c r="B481" t="s">
        <v>2010</v>
      </c>
      <c r="C481" t="s">
        <v>324</v>
      </c>
      <c r="D481" t="s">
        <v>63</v>
      </c>
      <c r="E481">
        <v>85003</v>
      </c>
      <c r="F481" t="s">
        <v>2011</v>
      </c>
      <c r="G481" t="s">
        <v>1723</v>
      </c>
      <c r="H481" t="s">
        <v>2012</v>
      </c>
      <c r="I481" t="s">
        <v>196</v>
      </c>
      <c r="J481" t="s">
        <v>38</v>
      </c>
      <c r="K481" t="s">
        <v>37</v>
      </c>
      <c r="L481" t="s">
        <v>2013</v>
      </c>
      <c r="M481" t="s">
        <v>37</v>
      </c>
      <c r="N481" t="s">
        <v>37</v>
      </c>
      <c r="O481" t="s">
        <v>38</v>
      </c>
      <c r="P481" t="s">
        <v>39</v>
      </c>
      <c r="Q481" s="55">
        <v>45966</v>
      </c>
      <c r="V481">
        <v>1</v>
      </c>
    </row>
    <row r="482" spans="1:22">
      <c r="A482" s="55">
        <v>45905</v>
      </c>
      <c r="B482" t="s">
        <v>2014</v>
      </c>
      <c r="C482" t="s">
        <v>747</v>
      </c>
      <c r="D482" t="s">
        <v>202</v>
      </c>
      <c r="E482">
        <v>85383</v>
      </c>
      <c r="F482" t="s">
        <v>310</v>
      </c>
      <c r="G482" t="s">
        <v>1723</v>
      </c>
      <c r="H482" t="s">
        <v>2015</v>
      </c>
      <c r="I482" t="s">
        <v>46</v>
      </c>
      <c r="J482" t="s">
        <v>37</v>
      </c>
      <c r="K482" t="s">
        <v>37</v>
      </c>
      <c r="L482" t="s">
        <v>38</v>
      </c>
      <c r="M482" t="s">
        <v>37</v>
      </c>
      <c r="N482" t="s">
        <v>37</v>
      </c>
      <c r="O482" t="s">
        <v>38</v>
      </c>
      <c r="P482" t="s">
        <v>39</v>
      </c>
      <c r="Q482" s="55">
        <v>45966</v>
      </c>
      <c r="V482">
        <v>1</v>
      </c>
    </row>
    <row r="483" spans="1:22">
      <c r="A483" s="55">
        <v>45905</v>
      </c>
      <c r="B483" t="s">
        <v>2016</v>
      </c>
      <c r="C483" t="s">
        <v>911</v>
      </c>
      <c r="D483" t="s">
        <v>125</v>
      </c>
      <c r="E483">
        <v>85255</v>
      </c>
      <c r="F483" t="s">
        <v>31</v>
      </c>
      <c r="G483" t="s">
        <v>1723</v>
      </c>
      <c r="H483" t="s">
        <v>2017</v>
      </c>
      <c r="I483" t="s">
        <v>250</v>
      </c>
      <c r="J483" t="s">
        <v>37</v>
      </c>
      <c r="K483" t="s">
        <v>37</v>
      </c>
      <c r="L483" t="s">
        <v>38</v>
      </c>
      <c r="M483" t="s">
        <v>37</v>
      </c>
      <c r="N483" t="s">
        <v>37</v>
      </c>
      <c r="O483" t="s">
        <v>38</v>
      </c>
      <c r="P483" t="s">
        <v>39</v>
      </c>
      <c r="Q483" s="55">
        <v>45966</v>
      </c>
      <c r="V483">
        <v>1</v>
      </c>
    </row>
    <row r="484" spans="1:22">
      <c r="A484" s="55">
        <v>45905</v>
      </c>
      <c r="B484" t="s">
        <v>2018</v>
      </c>
      <c r="C484" t="s">
        <v>2019</v>
      </c>
      <c r="D484" t="s">
        <v>635</v>
      </c>
      <c r="E484">
        <v>85288</v>
      </c>
      <c r="F484" t="s">
        <v>310</v>
      </c>
      <c r="G484" t="s">
        <v>1723</v>
      </c>
      <c r="H484" t="s">
        <v>2020</v>
      </c>
      <c r="I484" t="s">
        <v>196</v>
      </c>
      <c r="J484" t="s">
        <v>37</v>
      </c>
      <c r="K484" t="s">
        <v>37</v>
      </c>
      <c r="L484" t="s">
        <v>2021</v>
      </c>
      <c r="M484" t="s">
        <v>37</v>
      </c>
      <c r="N484" t="s">
        <v>37</v>
      </c>
      <c r="O484" t="s">
        <v>38</v>
      </c>
      <c r="P484">
        <v>45936</v>
      </c>
      <c r="Q484" s="55">
        <v>45966</v>
      </c>
      <c r="R484" t="s">
        <v>2022</v>
      </c>
      <c r="V484">
        <v>1</v>
      </c>
    </row>
    <row r="485" spans="1:22">
      <c r="A485" s="55">
        <v>45905</v>
      </c>
      <c r="B485" t="s">
        <v>2023</v>
      </c>
      <c r="C485" t="s">
        <v>333</v>
      </c>
      <c r="D485" t="s">
        <v>63</v>
      </c>
      <c r="E485">
        <v>85024</v>
      </c>
      <c r="F485" t="s">
        <v>310</v>
      </c>
      <c r="G485" t="s">
        <v>1723</v>
      </c>
      <c r="H485" t="s">
        <v>2024</v>
      </c>
      <c r="I485" t="s">
        <v>196</v>
      </c>
      <c r="J485" t="s">
        <v>37</v>
      </c>
      <c r="K485" t="s">
        <v>37</v>
      </c>
      <c r="L485" t="s">
        <v>38</v>
      </c>
      <c r="M485" t="s">
        <v>37</v>
      </c>
      <c r="N485" t="s">
        <v>37</v>
      </c>
      <c r="O485" t="s">
        <v>38</v>
      </c>
      <c r="P485" t="s">
        <v>39</v>
      </c>
      <c r="Q485" s="55">
        <v>45966</v>
      </c>
      <c r="V485">
        <v>1</v>
      </c>
    </row>
    <row r="486" spans="1:22">
      <c r="A486" s="55">
        <v>45905</v>
      </c>
      <c r="B486" t="s">
        <v>2025</v>
      </c>
      <c r="C486" t="s">
        <v>225</v>
      </c>
      <c r="D486" t="s">
        <v>428</v>
      </c>
      <c r="E486">
        <v>85335</v>
      </c>
      <c r="F486" t="s">
        <v>2026</v>
      </c>
      <c r="G486" t="s">
        <v>1723</v>
      </c>
      <c r="H486" t="s">
        <v>2027</v>
      </c>
      <c r="I486" t="s">
        <v>46</v>
      </c>
      <c r="J486" t="s">
        <v>37</v>
      </c>
      <c r="K486" t="s">
        <v>37</v>
      </c>
      <c r="L486" t="s">
        <v>38</v>
      </c>
      <c r="M486" t="s">
        <v>37</v>
      </c>
      <c r="N486" t="s">
        <v>37</v>
      </c>
      <c r="O486" t="s">
        <v>38</v>
      </c>
      <c r="P486" t="s">
        <v>39</v>
      </c>
      <c r="Q486" s="55">
        <v>45966</v>
      </c>
      <c r="V486">
        <v>1</v>
      </c>
    </row>
    <row r="487" spans="1:22">
      <c r="A487" s="55">
        <v>45905</v>
      </c>
      <c r="B487" t="s">
        <v>2028</v>
      </c>
      <c r="C487" t="s">
        <v>705</v>
      </c>
      <c r="D487" t="s">
        <v>169</v>
      </c>
      <c r="E487">
        <v>85338</v>
      </c>
      <c r="F487" t="s">
        <v>31</v>
      </c>
      <c r="G487" t="s">
        <v>1723</v>
      </c>
      <c r="H487" t="s">
        <v>2029</v>
      </c>
      <c r="I487" t="s">
        <v>36</v>
      </c>
      <c r="J487" t="s">
        <v>38</v>
      </c>
      <c r="K487" t="s">
        <v>37</v>
      </c>
      <c r="L487" t="s">
        <v>38</v>
      </c>
      <c r="M487" t="s">
        <v>37</v>
      </c>
      <c r="N487" t="s">
        <v>37</v>
      </c>
      <c r="O487" t="s">
        <v>38</v>
      </c>
      <c r="P487" t="s">
        <v>39</v>
      </c>
      <c r="Q487" s="55">
        <v>45966</v>
      </c>
      <c r="V487">
        <v>1</v>
      </c>
    </row>
    <row r="488" spans="1:22">
      <c r="A488" s="55">
        <v>45905</v>
      </c>
      <c r="B488" t="s">
        <v>2030</v>
      </c>
      <c r="C488" t="s">
        <v>548</v>
      </c>
      <c r="D488" t="s">
        <v>202</v>
      </c>
      <c r="E488">
        <v>85383</v>
      </c>
      <c r="F488" t="s">
        <v>310</v>
      </c>
      <c r="G488" t="s">
        <v>1723</v>
      </c>
      <c r="H488" t="s">
        <v>2031</v>
      </c>
      <c r="I488" t="s">
        <v>196</v>
      </c>
      <c r="J488" t="s">
        <v>37</v>
      </c>
      <c r="K488" t="s">
        <v>37</v>
      </c>
      <c r="L488" t="s">
        <v>2032</v>
      </c>
      <c r="M488" t="s">
        <v>37</v>
      </c>
      <c r="N488" t="s">
        <v>37</v>
      </c>
      <c r="O488" t="s">
        <v>38</v>
      </c>
      <c r="P488">
        <v>45936</v>
      </c>
      <c r="Q488" s="55">
        <v>45966</v>
      </c>
      <c r="R488" t="s">
        <v>1732</v>
      </c>
      <c r="V488">
        <v>1</v>
      </c>
    </row>
    <row r="489" spans="1:22">
      <c r="A489" s="55">
        <v>45905</v>
      </c>
      <c r="B489" t="s">
        <v>1202</v>
      </c>
      <c r="C489" t="s">
        <v>1711</v>
      </c>
      <c r="D489" t="s">
        <v>112</v>
      </c>
      <c r="E489">
        <v>85379</v>
      </c>
      <c r="F489" t="s">
        <v>310</v>
      </c>
      <c r="G489" t="s">
        <v>1723</v>
      </c>
      <c r="H489" t="s">
        <v>2035</v>
      </c>
      <c r="I489" t="s">
        <v>250</v>
      </c>
      <c r="J489" t="s">
        <v>37</v>
      </c>
      <c r="K489" t="s">
        <v>37</v>
      </c>
      <c r="L489" t="s">
        <v>38</v>
      </c>
      <c r="M489" t="s">
        <v>37</v>
      </c>
      <c r="N489" t="s">
        <v>37</v>
      </c>
      <c r="O489" t="s">
        <v>38</v>
      </c>
      <c r="P489" t="s">
        <v>39</v>
      </c>
      <c r="Q489" s="55">
        <v>45966</v>
      </c>
      <c r="V489">
        <v>1</v>
      </c>
    </row>
    <row r="490" spans="1:22">
      <c r="A490" s="55">
        <v>45905</v>
      </c>
      <c r="B490" t="s">
        <v>2030</v>
      </c>
      <c r="C490" t="s">
        <v>1894</v>
      </c>
      <c r="D490" t="s">
        <v>202</v>
      </c>
      <c r="E490">
        <v>85383</v>
      </c>
      <c r="F490" t="s">
        <v>310</v>
      </c>
      <c r="G490" t="s">
        <v>1723</v>
      </c>
      <c r="H490" t="s">
        <v>2031</v>
      </c>
      <c r="I490" t="s">
        <v>196</v>
      </c>
      <c r="J490" t="s">
        <v>37</v>
      </c>
      <c r="K490" t="s">
        <v>37</v>
      </c>
      <c r="L490" t="s">
        <v>2032</v>
      </c>
      <c r="M490" t="s">
        <v>37</v>
      </c>
      <c r="N490" t="s">
        <v>37</v>
      </c>
      <c r="O490" t="s">
        <v>38</v>
      </c>
      <c r="P490">
        <v>45936</v>
      </c>
      <c r="Q490" s="55">
        <v>45966</v>
      </c>
      <c r="R490" t="s">
        <v>1732</v>
      </c>
      <c r="V490">
        <v>1</v>
      </c>
    </row>
    <row r="491" spans="1:22">
      <c r="A491" s="55">
        <v>45905</v>
      </c>
      <c r="B491" t="s">
        <v>2036</v>
      </c>
      <c r="C491" t="s">
        <v>680</v>
      </c>
      <c r="D491" t="s">
        <v>63</v>
      </c>
      <c r="E491">
        <v>85020</v>
      </c>
      <c r="F491" t="s">
        <v>31</v>
      </c>
      <c r="G491" t="s">
        <v>1723</v>
      </c>
      <c r="H491" t="s">
        <v>1934</v>
      </c>
      <c r="I491" t="s">
        <v>36</v>
      </c>
      <c r="J491" t="s">
        <v>37</v>
      </c>
      <c r="K491" t="s">
        <v>37</v>
      </c>
      <c r="L491" t="s">
        <v>2037</v>
      </c>
      <c r="M491" t="s">
        <v>37</v>
      </c>
      <c r="N491" t="s">
        <v>37</v>
      </c>
      <c r="O491" t="s">
        <v>38</v>
      </c>
      <c r="P491">
        <v>45936</v>
      </c>
      <c r="Q491" s="55">
        <v>45966</v>
      </c>
      <c r="R491" t="s">
        <v>2038</v>
      </c>
      <c r="V491">
        <v>1</v>
      </c>
    </row>
    <row r="492" spans="1:22">
      <c r="A492" s="55">
        <v>45905</v>
      </c>
      <c r="B492" t="s">
        <v>2041</v>
      </c>
      <c r="C492" t="s">
        <v>821</v>
      </c>
      <c r="D492" t="s">
        <v>125</v>
      </c>
      <c r="E492">
        <v>85258</v>
      </c>
      <c r="F492" t="s">
        <v>31</v>
      </c>
      <c r="G492" t="s">
        <v>1723</v>
      </c>
      <c r="H492" t="s">
        <v>2042</v>
      </c>
      <c r="I492" t="s">
        <v>541</v>
      </c>
      <c r="J492" t="s">
        <v>37</v>
      </c>
      <c r="K492" t="s">
        <v>37</v>
      </c>
      <c r="L492" t="s">
        <v>389</v>
      </c>
      <c r="M492" t="s">
        <v>37</v>
      </c>
      <c r="N492" t="s">
        <v>37</v>
      </c>
      <c r="O492" t="s">
        <v>38</v>
      </c>
      <c r="P492" t="s">
        <v>39</v>
      </c>
      <c r="Q492" s="55">
        <v>45966</v>
      </c>
      <c r="V492">
        <v>1</v>
      </c>
    </row>
    <row r="493" spans="1:22">
      <c r="A493" s="55">
        <v>45905</v>
      </c>
      <c r="B493" t="s">
        <v>2043</v>
      </c>
      <c r="C493" t="s">
        <v>328</v>
      </c>
      <c r="D493" t="s">
        <v>112</v>
      </c>
      <c r="E493">
        <v>85388</v>
      </c>
      <c r="F493" t="s">
        <v>310</v>
      </c>
      <c r="G493" t="s">
        <v>1723</v>
      </c>
      <c r="H493" t="s">
        <v>2044</v>
      </c>
      <c r="I493" t="s">
        <v>36</v>
      </c>
      <c r="J493" t="s">
        <v>37</v>
      </c>
      <c r="K493" t="s">
        <v>37</v>
      </c>
      <c r="L493" t="s">
        <v>38</v>
      </c>
      <c r="M493" t="s">
        <v>37</v>
      </c>
      <c r="N493" t="s">
        <v>37</v>
      </c>
      <c r="O493" t="s">
        <v>38</v>
      </c>
      <c r="P493" t="s">
        <v>39</v>
      </c>
      <c r="Q493" s="55">
        <v>45966</v>
      </c>
      <c r="V493">
        <v>1</v>
      </c>
    </row>
    <row r="494" spans="1:22">
      <c r="A494" s="55">
        <v>45905</v>
      </c>
      <c r="B494" t="s">
        <v>2045</v>
      </c>
      <c r="C494" t="s">
        <v>2046</v>
      </c>
      <c r="D494" t="s">
        <v>63</v>
      </c>
      <c r="E494">
        <v>85014</v>
      </c>
      <c r="F494" t="s">
        <v>31</v>
      </c>
      <c r="G494" t="s">
        <v>1723</v>
      </c>
      <c r="H494" t="s">
        <v>2047</v>
      </c>
      <c r="I494" t="s">
        <v>36</v>
      </c>
      <c r="J494" t="s">
        <v>37</v>
      </c>
      <c r="K494" t="s">
        <v>37</v>
      </c>
      <c r="L494" t="s">
        <v>2048</v>
      </c>
      <c r="M494" t="s">
        <v>37</v>
      </c>
      <c r="N494" t="s">
        <v>37</v>
      </c>
      <c r="O494" t="s">
        <v>38</v>
      </c>
      <c r="P494">
        <v>45936</v>
      </c>
      <c r="Q494" s="55">
        <v>45966</v>
      </c>
      <c r="R494" t="s">
        <v>2022</v>
      </c>
      <c r="V494">
        <v>1</v>
      </c>
    </row>
    <row r="495" spans="1:22">
      <c r="A495" s="55">
        <v>45905</v>
      </c>
      <c r="B495" t="s">
        <v>2049</v>
      </c>
      <c r="C495" t="s">
        <v>2050</v>
      </c>
      <c r="D495" t="s">
        <v>2051</v>
      </c>
      <c r="E495">
        <v>86333</v>
      </c>
      <c r="F495" t="s">
        <v>31</v>
      </c>
      <c r="G495" t="s">
        <v>1723</v>
      </c>
      <c r="H495" t="s">
        <v>2052</v>
      </c>
      <c r="I495" t="s">
        <v>36</v>
      </c>
      <c r="J495" t="s">
        <v>37</v>
      </c>
      <c r="K495" t="s">
        <v>37</v>
      </c>
      <c r="L495" t="s">
        <v>38</v>
      </c>
      <c r="M495" t="s">
        <v>37</v>
      </c>
      <c r="N495" t="s">
        <v>37</v>
      </c>
      <c r="O495" t="s">
        <v>38</v>
      </c>
      <c r="P495" t="s">
        <v>39</v>
      </c>
      <c r="Q495" s="55">
        <v>45966</v>
      </c>
      <c r="U495" t="s">
        <v>724</v>
      </c>
      <c r="V495">
        <v>1</v>
      </c>
    </row>
    <row r="496" spans="1:22">
      <c r="A496" s="55">
        <v>45905</v>
      </c>
      <c r="B496" t="s">
        <v>2053</v>
      </c>
      <c r="C496" t="s">
        <v>117</v>
      </c>
      <c r="D496" t="s">
        <v>539</v>
      </c>
      <c r="E496">
        <v>85122</v>
      </c>
      <c r="F496" t="s">
        <v>2054</v>
      </c>
      <c r="G496" t="s">
        <v>1723</v>
      </c>
      <c r="H496" t="s">
        <v>2055</v>
      </c>
      <c r="I496" t="s">
        <v>196</v>
      </c>
      <c r="J496" t="s">
        <v>38</v>
      </c>
      <c r="K496" t="s">
        <v>37</v>
      </c>
      <c r="L496" t="s">
        <v>2056</v>
      </c>
      <c r="M496" t="s">
        <v>37</v>
      </c>
      <c r="N496" t="s">
        <v>37</v>
      </c>
      <c r="O496" t="s">
        <v>38</v>
      </c>
      <c r="P496" t="s">
        <v>39</v>
      </c>
      <c r="Q496" s="55">
        <v>45966</v>
      </c>
      <c r="V496">
        <v>1</v>
      </c>
    </row>
    <row r="497" spans="1:22">
      <c r="A497" s="55">
        <v>45905</v>
      </c>
      <c r="B497" t="s">
        <v>2058</v>
      </c>
      <c r="C497" t="s">
        <v>2059</v>
      </c>
      <c r="D497" t="s">
        <v>63</v>
      </c>
      <c r="E497">
        <v>85032</v>
      </c>
      <c r="F497" t="s">
        <v>310</v>
      </c>
      <c r="G497" t="s">
        <v>1723</v>
      </c>
      <c r="H497" t="s">
        <v>2060</v>
      </c>
      <c r="I497" t="s">
        <v>541</v>
      </c>
      <c r="J497" t="s">
        <v>37</v>
      </c>
      <c r="K497" t="s">
        <v>37</v>
      </c>
      <c r="L497" t="s">
        <v>389</v>
      </c>
      <c r="M497" t="s">
        <v>37</v>
      </c>
      <c r="N497" t="s">
        <v>37</v>
      </c>
      <c r="O497" t="s">
        <v>38</v>
      </c>
      <c r="P497" t="s">
        <v>39</v>
      </c>
      <c r="Q497" s="55">
        <v>45966</v>
      </c>
      <c r="V497">
        <v>1</v>
      </c>
    </row>
    <row r="498" spans="1:22">
      <c r="A498" s="55">
        <v>45905</v>
      </c>
      <c r="B498" t="s">
        <v>2064</v>
      </c>
      <c r="C498" t="s">
        <v>2065</v>
      </c>
      <c r="D498" t="s">
        <v>63</v>
      </c>
      <c r="E498">
        <v>85007</v>
      </c>
      <c r="F498" t="s">
        <v>2066</v>
      </c>
      <c r="G498" t="s">
        <v>1723</v>
      </c>
      <c r="H498" t="s">
        <v>2067</v>
      </c>
      <c r="I498" t="s">
        <v>196</v>
      </c>
      <c r="J498" t="s">
        <v>37</v>
      </c>
      <c r="K498" t="s">
        <v>37</v>
      </c>
      <c r="L498" t="s">
        <v>2068</v>
      </c>
      <c r="M498" t="s">
        <v>37</v>
      </c>
      <c r="N498" t="s">
        <v>37</v>
      </c>
      <c r="O498" t="s">
        <v>38</v>
      </c>
      <c r="P498">
        <v>45936</v>
      </c>
      <c r="Q498" s="55">
        <v>45966</v>
      </c>
      <c r="R498" t="s">
        <v>2069</v>
      </c>
      <c r="V498">
        <v>1</v>
      </c>
    </row>
    <row r="499" spans="1:22">
      <c r="A499" s="55">
        <v>45905</v>
      </c>
      <c r="B499" t="s">
        <v>2071</v>
      </c>
      <c r="C499" t="s">
        <v>597</v>
      </c>
      <c r="D499" t="s">
        <v>169</v>
      </c>
      <c r="E499">
        <v>85395</v>
      </c>
      <c r="F499" t="s">
        <v>2072</v>
      </c>
      <c r="G499" t="s">
        <v>1723</v>
      </c>
      <c r="H499" t="s">
        <v>2073</v>
      </c>
      <c r="I499" t="s">
        <v>36</v>
      </c>
      <c r="J499" t="s">
        <v>37</v>
      </c>
      <c r="K499" t="s">
        <v>37</v>
      </c>
      <c r="L499" t="s">
        <v>38</v>
      </c>
      <c r="M499" t="s">
        <v>37</v>
      </c>
      <c r="N499" t="s">
        <v>37</v>
      </c>
      <c r="O499" t="s">
        <v>38</v>
      </c>
      <c r="P499" t="s">
        <v>39</v>
      </c>
      <c r="Q499" s="55">
        <v>45966</v>
      </c>
      <c r="V499">
        <v>1</v>
      </c>
    </row>
    <row r="500" spans="1:22">
      <c r="A500" s="55">
        <v>45905</v>
      </c>
      <c r="B500" t="s">
        <v>2074</v>
      </c>
      <c r="C500" t="s">
        <v>2075</v>
      </c>
      <c r="D500" t="s">
        <v>202</v>
      </c>
      <c r="E500">
        <v>85383</v>
      </c>
      <c r="F500" t="s">
        <v>310</v>
      </c>
      <c r="G500" t="s">
        <v>1723</v>
      </c>
      <c r="H500" t="s">
        <v>2076</v>
      </c>
      <c r="I500" t="s">
        <v>243</v>
      </c>
      <c r="J500" t="s">
        <v>37</v>
      </c>
      <c r="K500" t="s">
        <v>37</v>
      </c>
      <c r="L500" t="s">
        <v>389</v>
      </c>
      <c r="M500" t="s">
        <v>37</v>
      </c>
      <c r="N500" t="s">
        <v>37</v>
      </c>
      <c r="O500" t="s">
        <v>38</v>
      </c>
      <c r="P500" t="s">
        <v>39</v>
      </c>
      <c r="Q500" s="55">
        <v>45966</v>
      </c>
      <c r="V500">
        <v>1</v>
      </c>
    </row>
    <row r="501" spans="1:22">
      <c r="A501" s="55">
        <v>45905</v>
      </c>
      <c r="B501" t="s">
        <v>2077</v>
      </c>
      <c r="C501" t="s">
        <v>2078</v>
      </c>
      <c r="D501" t="s">
        <v>63</v>
      </c>
      <c r="E501">
        <v>85012</v>
      </c>
      <c r="F501" t="s">
        <v>2079</v>
      </c>
      <c r="G501" t="s">
        <v>1723</v>
      </c>
      <c r="H501" t="s">
        <v>2080</v>
      </c>
      <c r="I501" t="s">
        <v>73</v>
      </c>
      <c r="J501" t="s">
        <v>37</v>
      </c>
      <c r="K501" t="s">
        <v>37</v>
      </c>
      <c r="L501" t="s">
        <v>38</v>
      </c>
      <c r="M501" t="s">
        <v>37</v>
      </c>
      <c r="N501" t="s">
        <v>37</v>
      </c>
      <c r="O501" t="s">
        <v>38</v>
      </c>
      <c r="P501" t="s">
        <v>39</v>
      </c>
      <c r="Q501" s="55">
        <v>45966</v>
      </c>
      <c r="V501">
        <v>1</v>
      </c>
    </row>
    <row r="502" spans="1:22">
      <c r="A502" s="55">
        <v>45905</v>
      </c>
      <c r="B502" t="s">
        <v>2081</v>
      </c>
      <c r="C502" t="s">
        <v>835</v>
      </c>
      <c r="D502" t="s">
        <v>125</v>
      </c>
      <c r="E502">
        <v>85259</v>
      </c>
      <c r="F502" t="s">
        <v>31</v>
      </c>
      <c r="G502" t="s">
        <v>1723</v>
      </c>
      <c r="H502" t="s">
        <v>2082</v>
      </c>
      <c r="I502" t="s">
        <v>36</v>
      </c>
      <c r="J502" t="s">
        <v>37</v>
      </c>
      <c r="K502" t="s">
        <v>37</v>
      </c>
      <c r="L502" t="s">
        <v>38</v>
      </c>
      <c r="M502" t="s">
        <v>37</v>
      </c>
      <c r="N502" t="s">
        <v>37</v>
      </c>
      <c r="O502" t="s">
        <v>38</v>
      </c>
      <c r="P502" t="s">
        <v>39</v>
      </c>
      <c r="Q502" s="55">
        <v>45966</v>
      </c>
      <c r="R502" t="s">
        <v>2083</v>
      </c>
      <c r="V502">
        <v>1</v>
      </c>
    </row>
    <row r="503" spans="1:22">
      <c r="A503" s="55">
        <v>45905</v>
      </c>
      <c r="B503" t="s">
        <v>1134</v>
      </c>
      <c r="C503" t="s">
        <v>2084</v>
      </c>
      <c r="D503" t="s">
        <v>63</v>
      </c>
      <c r="E503">
        <v>85028</v>
      </c>
      <c r="F503" t="s">
        <v>31</v>
      </c>
      <c r="G503" t="s">
        <v>1723</v>
      </c>
      <c r="H503" t="s">
        <v>2085</v>
      </c>
      <c r="I503" t="s">
        <v>57</v>
      </c>
      <c r="J503" t="s">
        <v>37</v>
      </c>
      <c r="K503" t="s">
        <v>37</v>
      </c>
      <c r="L503" t="s">
        <v>2086</v>
      </c>
      <c r="M503" t="s">
        <v>37</v>
      </c>
      <c r="N503" t="s">
        <v>37</v>
      </c>
      <c r="O503" t="s">
        <v>38</v>
      </c>
      <c r="P503">
        <v>45936</v>
      </c>
      <c r="Q503" s="55">
        <v>45966</v>
      </c>
      <c r="R503" t="s">
        <v>2022</v>
      </c>
      <c r="V503">
        <v>1</v>
      </c>
    </row>
    <row r="504" spans="1:22">
      <c r="A504" s="55">
        <v>45905</v>
      </c>
      <c r="B504" t="s">
        <v>2089</v>
      </c>
      <c r="C504" t="s">
        <v>2090</v>
      </c>
      <c r="D504" t="s">
        <v>63</v>
      </c>
      <c r="E504">
        <v>85027</v>
      </c>
      <c r="F504" t="s">
        <v>310</v>
      </c>
      <c r="G504" t="s">
        <v>1723</v>
      </c>
      <c r="H504" t="s">
        <v>2091</v>
      </c>
      <c r="I504" t="s">
        <v>126</v>
      </c>
      <c r="J504" t="s">
        <v>37</v>
      </c>
      <c r="K504" t="s">
        <v>37</v>
      </c>
      <c r="L504" t="s">
        <v>38</v>
      </c>
      <c r="M504" t="s">
        <v>37</v>
      </c>
      <c r="N504" t="s">
        <v>37</v>
      </c>
      <c r="O504" t="s">
        <v>38</v>
      </c>
      <c r="P504" t="s">
        <v>39</v>
      </c>
      <c r="Q504" s="55">
        <v>45966</v>
      </c>
      <c r="V504">
        <v>1</v>
      </c>
    </row>
    <row r="505" spans="1:22">
      <c r="A505" s="55">
        <v>45905</v>
      </c>
      <c r="B505" t="s">
        <v>316</v>
      </c>
      <c r="C505" t="s">
        <v>317</v>
      </c>
      <c r="D505" t="s">
        <v>174</v>
      </c>
      <c r="E505">
        <v>85326</v>
      </c>
      <c r="F505" t="s">
        <v>1957</v>
      </c>
      <c r="G505" t="s">
        <v>1723</v>
      </c>
      <c r="H505" t="s">
        <v>2092</v>
      </c>
      <c r="I505" t="s">
        <v>36</v>
      </c>
      <c r="J505" t="s">
        <v>37</v>
      </c>
      <c r="K505" t="s">
        <v>37</v>
      </c>
      <c r="L505" t="s">
        <v>38</v>
      </c>
      <c r="M505" t="s">
        <v>37</v>
      </c>
      <c r="N505" t="s">
        <v>37</v>
      </c>
      <c r="O505" t="s">
        <v>38</v>
      </c>
      <c r="P505" t="s">
        <v>39</v>
      </c>
      <c r="Q505" s="55">
        <v>45966</v>
      </c>
      <c r="V505">
        <v>1</v>
      </c>
    </row>
    <row r="506" spans="1:22">
      <c r="A506" s="55">
        <v>45905</v>
      </c>
      <c r="B506" t="s">
        <v>2093</v>
      </c>
      <c r="C506" t="s">
        <v>550</v>
      </c>
      <c r="D506" t="s">
        <v>63</v>
      </c>
      <c r="E506">
        <v>85029</v>
      </c>
      <c r="F506" t="s">
        <v>310</v>
      </c>
      <c r="G506" t="s">
        <v>1723</v>
      </c>
      <c r="H506" t="s">
        <v>2094</v>
      </c>
      <c r="I506" t="s">
        <v>196</v>
      </c>
      <c r="J506" t="s">
        <v>37</v>
      </c>
      <c r="K506" t="s">
        <v>37</v>
      </c>
      <c r="L506" t="s">
        <v>38</v>
      </c>
      <c r="M506" t="s">
        <v>37</v>
      </c>
      <c r="N506" t="s">
        <v>37</v>
      </c>
      <c r="O506" t="s">
        <v>38</v>
      </c>
      <c r="P506" t="s">
        <v>39</v>
      </c>
      <c r="Q506" s="55">
        <v>45966</v>
      </c>
      <c r="R506" t="s">
        <v>2095</v>
      </c>
      <c r="V506">
        <v>1</v>
      </c>
    </row>
    <row r="507" spans="1:22">
      <c r="A507" s="55">
        <v>45905</v>
      </c>
      <c r="B507" t="s">
        <v>2096</v>
      </c>
      <c r="C507" t="s">
        <v>2097</v>
      </c>
      <c r="D507" t="s">
        <v>125</v>
      </c>
      <c r="E507">
        <v>85251</v>
      </c>
      <c r="F507" t="s">
        <v>2098</v>
      </c>
      <c r="G507" t="s">
        <v>1723</v>
      </c>
      <c r="H507" t="s">
        <v>2099</v>
      </c>
      <c r="I507" t="s">
        <v>126</v>
      </c>
      <c r="J507" t="s">
        <v>37</v>
      </c>
      <c r="K507" t="s">
        <v>37</v>
      </c>
      <c r="L507" t="s">
        <v>2100</v>
      </c>
      <c r="M507" t="s">
        <v>37</v>
      </c>
      <c r="N507" t="s">
        <v>37</v>
      </c>
      <c r="O507" t="s">
        <v>38</v>
      </c>
      <c r="P507" t="s">
        <v>39</v>
      </c>
      <c r="Q507" s="55">
        <v>45966</v>
      </c>
      <c r="V507">
        <v>1</v>
      </c>
    </row>
    <row r="508" spans="1:22">
      <c r="A508" s="55">
        <v>45905</v>
      </c>
      <c r="B508" t="s">
        <v>323</v>
      </c>
      <c r="C508" t="s">
        <v>705</v>
      </c>
      <c r="D508" t="s">
        <v>63</v>
      </c>
      <c r="E508">
        <v>85085</v>
      </c>
      <c r="F508" t="s">
        <v>2101</v>
      </c>
      <c r="G508" t="s">
        <v>1723</v>
      </c>
      <c r="H508" t="s">
        <v>2102</v>
      </c>
      <c r="I508" t="s">
        <v>36</v>
      </c>
      <c r="J508" t="s">
        <v>37</v>
      </c>
      <c r="K508" t="s">
        <v>37</v>
      </c>
      <c r="L508" t="s">
        <v>38</v>
      </c>
      <c r="M508" t="s">
        <v>37</v>
      </c>
      <c r="N508" t="s">
        <v>37</v>
      </c>
      <c r="O508" t="s">
        <v>38</v>
      </c>
      <c r="P508" t="s">
        <v>39</v>
      </c>
      <c r="Q508" s="55">
        <v>45966</v>
      </c>
      <c r="V508">
        <v>1</v>
      </c>
    </row>
    <row r="509" spans="1:22">
      <c r="A509" s="55">
        <v>45905</v>
      </c>
      <c r="B509" t="s">
        <v>2103</v>
      </c>
      <c r="C509" t="s">
        <v>2104</v>
      </c>
      <c r="D509" t="s">
        <v>2105</v>
      </c>
      <c r="E509">
        <v>85128</v>
      </c>
      <c r="F509" t="s">
        <v>2106</v>
      </c>
      <c r="G509" t="s">
        <v>1723</v>
      </c>
      <c r="H509" t="s">
        <v>2107</v>
      </c>
      <c r="I509" t="s">
        <v>46</v>
      </c>
      <c r="J509" t="s">
        <v>37</v>
      </c>
      <c r="K509" t="s">
        <v>37</v>
      </c>
      <c r="L509" t="s">
        <v>38</v>
      </c>
      <c r="M509" t="s">
        <v>37</v>
      </c>
      <c r="N509" t="s">
        <v>37</v>
      </c>
      <c r="O509" t="s">
        <v>38</v>
      </c>
      <c r="P509" t="s">
        <v>39</v>
      </c>
      <c r="Q509" s="55">
        <v>45966</v>
      </c>
      <c r="V509">
        <v>1</v>
      </c>
    </row>
    <row r="510" spans="1:22">
      <c r="A510" s="55">
        <v>45905</v>
      </c>
      <c r="B510" t="s">
        <v>2108</v>
      </c>
      <c r="C510" t="s">
        <v>747</v>
      </c>
      <c r="D510" t="s">
        <v>2109</v>
      </c>
      <c r="E510">
        <v>86327</v>
      </c>
      <c r="F510" t="s">
        <v>31</v>
      </c>
      <c r="G510" t="s">
        <v>1723</v>
      </c>
      <c r="H510" t="s">
        <v>2110</v>
      </c>
      <c r="I510" t="s">
        <v>126</v>
      </c>
      <c r="J510" t="s">
        <v>37</v>
      </c>
      <c r="K510" t="s">
        <v>37</v>
      </c>
      <c r="L510" t="s">
        <v>38</v>
      </c>
      <c r="M510" t="s">
        <v>37</v>
      </c>
      <c r="N510" t="s">
        <v>37</v>
      </c>
      <c r="O510" t="s">
        <v>38</v>
      </c>
      <c r="P510" t="s">
        <v>39</v>
      </c>
      <c r="Q510" s="55">
        <v>45966</v>
      </c>
      <c r="V510">
        <v>1</v>
      </c>
    </row>
    <row r="511" spans="1:22">
      <c r="A511" s="55">
        <v>45905</v>
      </c>
      <c r="B511" t="s">
        <v>1952</v>
      </c>
      <c r="C511" t="s">
        <v>780</v>
      </c>
      <c r="D511" t="s">
        <v>112</v>
      </c>
      <c r="E511">
        <v>85388</v>
      </c>
      <c r="F511" t="s">
        <v>2111</v>
      </c>
      <c r="G511" t="s">
        <v>1723</v>
      </c>
      <c r="H511" t="s">
        <v>2112</v>
      </c>
      <c r="I511" t="s">
        <v>196</v>
      </c>
      <c r="J511" t="s">
        <v>37</v>
      </c>
      <c r="K511" t="s">
        <v>37</v>
      </c>
      <c r="L511" t="s">
        <v>2113</v>
      </c>
      <c r="M511" t="s">
        <v>37</v>
      </c>
      <c r="N511" t="s">
        <v>37</v>
      </c>
      <c r="O511" t="s">
        <v>38</v>
      </c>
      <c r="P511">
        <v>45936</v>
      </c>
      <c r="Q511" s="55">
        <v>45966</v>
      </c>
      <c r="R511" t="s">
        <v>2114</v>
      </c>
      <c r="V511">
        <v>1</v>
      </c>
    </row>
    <row r="512" spans="1:22">
      <c r="A512" s="55">
        <v>45905</v>
      </c>
      <c r="B512" t="s">
        <v>2118</v>
      </c>
      <c r="C512" t="s">
        <v>2019</v>
      </c>
      <c r="D512" t="s">
        <v>539</v>
      </c>
      <c r="E512">
        <v>85122</v>
      </c>
      <c r="F512" t="s">
        <v>31</v>
      </c>
      <c r="G512" t="s">
        <v>1723</v>
      </c>
      <c r="H512" t="s">
        <v>2119</v>
      </c>
      <c r="I512" t="s">
        <v>73</v>
      </c>
      <c r="J512" t="s">
        <v>37</v>
      </c>
      <c r="K512" t="s">
        <v>37</v>
      </c>
      <c r="L512" t="s">
        <v>38</v>
      </c>
      <c r="M512" t="s">
        <v>37</v>
      </c>
      <c r="N512" t="s">
        <v>37</v>
      </c>
      <c r="O512" t="s">
        <v>38</v>
      </c>
      <c r="P512" t="s">
        <v>39</v>
      </c>
      <c r="Q512" s="55">
        <v>45966</v>
      </c>
      <c r="V512">
        <v>1</v>
      </c>
    </row>
    <row r="513" spans="1:22">
      <c r="A513" s="55">
        <v>45905</v>
      </c>
      <c r="B513" t="s">
        <v>2120</v>
      </c>
      <c r="C513" t="s">
        <v>479</v>
      </c>
      <c r="D513" t="s">
        <v>202</v>
      </c>
      <c r="E513">
        <v>85383</v>
      </c>
      <c r="F513" t="s">
        <v>2121</v>
      </c>
      <c r="G513" t="s">
        <v>1723</v>
      </c>
      <c r="H513" t="s">
        <v>2122</v>
      </c>
      <c r="I513" t="s">
        <v>57</v>
      </c>
      <c r="J513" t="s">
        <v>38</v>
      </c>
      <c r="K513" t="s">
        <v>37</v>
      </c>
      <c r="L513" t="s">
        <v>2123</v>
      </c>
      <c r="M513" t="s">
        <v>37</v>
      </c>
      <c r="N513" t="s">
        <v>37</v>
      </c>
      <c r="O513" t="s">
        <v>38</v>
      </c>
      <c r="P513" t="s">
        <v>39</v>
      </c>
      <c r="Q513" s="55">
        <v>45966</v>
      </c>
      <c r="R513" t="s">
        <v>2124</v>
      </c>
      <c r="V513">
        <v>1</v>
      </c>
    </row>
    <row r="514" spans="1:22">
      <c r="A514" s="55">
        <v>45905</v>
      </c>
      <c r="B514" t="s">
        <v>1361</v>
      </c>
      <c r="C514" t="s">
        <v>2125</v>
      </c>
      <c r="D514" t="s">
        <v>24</v>
      </c>
      <c r="E514">
        <v>85308</v>
      </c>
      <c r="F514" t="s">
        <v>310</v>
      </c>
      <c r="G514" t="s">
        <v>1723</v>
      </c>
      <c r="H514" t="s">
        <v>2126</v>
      </c>
      <c r="I514" t="s">
        <v>196</v>
      </c>
      <c r="J514" t="s">
        <v>38</v>
      </c>
      <c r="K514" t="s">
        <v>37</v>
      </c>
      <c r="L514" t="s">
        <v>2127</v>
      </c>
      <c r="M514" t="s">
        <v>37</v>
      </c>
      <c r="N514" t="s">
        <v>37</v>
      </c>
      <c r="O514" t="s">
        <v>38</v>
      </c>
      <c r="P514" t="s">
        <v>39</v>
      </c>
      <c r="Q514" s="55">
        <v>45966</v>
      </c>
      <c r="V514">
        <v>1</v>
      </c>
    </row>
    <row r="515" spans="1:22">
      <c r="A515" s="55">
        <v>45905</v>
      </c>
      <c r="B515" t="s">
        <v>49</v>
      </c>
      <c r="C515" t="s">
        <v>2128</v>
      </c>
      <c r="D515" t="s">
        <v>539</v>
      </c>
      <c r="E515">
        <v>85122</v>
      </c>
      <c r="F515" t="s">
        <v>2129</v>
      </c>
      <c r="G515" t="s">
        <v>2130</v>
      </c>
      <c r="H515" t="s">
        <v>2131</v>
      </c>
      <c r="I515" t="s">
        <v>541</v>
      </c>
      <c r="J515" t="s">
        <v>37</v>
      </c>
      <c r="K515" t="s">
        <v>37</v>
      </c>
      <c r="L515" t="s">
        <v>389</v>
      </c>
      <c r="M515" t="s">
        <v>37</v>
      </c>
      <c r="N515" t="s">
        <v>37</v>
      </c>
      <c r="O515" t="s">
        <v>38</v>
      </c>
      <c r="P515" t="s">
        <v>39</v>
      </c>
      <c r="Q515" s="55">
        <v>45966</v>
      </c>
      <c r="V515">
        <v>1</v>
      </c>
    </row>
    <row r="516" spans="1:22">
      <c r="A516" s="55">
        <v>45905</v>
      </c>
      <c r="B516" t="s">
        <v>2132</v>
      </c>
      <c r="C516" t="s">
        <v>133</v>
      </c>
      <c r="D516" t="s">
        <v>125</v>
      </c>
      <c r="E516">
        <v>85255</v>
      </c>
      <c r="F516" t="s">
        <v>310</v>
      </c>
      <c r="G516" t="s">
        <v>2130</v>
      </c>
      <c r="H516" t="s">
        <v>2133</v>
      </c>
      <c r="I516" t="s">
        <v>541</v>
      </c>
      <c r="J516" t="s">
        <v>37</v>
      </c>
      <c r="K516" t="s">
        <v>37</v>
      </c>
      <c r="L516" t="s">
        <v>389</v>
      </c>
      <c r="M516" t="s">
        <v>37</v>
      </c>
      <c r="N516" t="s">
        <v>37</v>
      </c>
      <c r="O516" t="s">
        <v>38</v>
      </c>
      <c r="P516" t="s">
        <v>39</v>
      </c>
      <c r="Q516" s="55">
        <v>45966</v>
      </c>
      <c r="V516">
        <v>1</v>
      </c>
    </row>
    <row r="517" spans="1:22">
      <c r="A517" s="55">
        <v>45905</v>
      </c>
      <c r="B517" t="s">
        <v>2134</v>
      </c>
      <c r="C517" t="s">
        <v>2135</v>
      </c>
      <c r="D517" t="s">
        <v>240</v>
      </c>
      <c r="E517">
        <v>85340</v>
      </c>
      <c r="F517" t="s">
        <v>31</v>
      </c>
      <c r="G517" t="s">
        <v>2130</v>
      </c>
      <c r="H517" t="s">
        <v>2136</v>
      </c>
      <c r="I517" t="s">
        <v>243</v>
      </c>
      <c r="J517" t="s">
        <v>37</v>
      </c>
      <c r="K517" t="s">
        <v>37</v>
      </c>
      <c r="L517" t="s">
        <v>389</v>
      </c>
      <c r="M517" t="s">
        <v>37</v>
      </c>
      <c r="N517" t="s">
        <v>37</v>
      </c>
      <c r="O517" t="s">
        <v>38</v>
      </c>
      <c r="P517" t="s">
        <v>39</v>
      </c>
      <c r="Q517" s="55">
        <v>45966</v>
      </c>
      <c r="V517">
        <v>1</v>
      </c>
    </row>
    <row r="518" spans="1:22">
      <c r="A518" s="55">
        <v>45905</v>
      </c>
      <c r="B518" t="s">
        <v>1876</v>
      </c>
      <c r="C518" t="s">
        <v>145</v>
      </c>
      <c r="D518" t="s">
        <v>129</v>
      </c>
      <c r="E518">
        <v>85296</v>
      </c>
      <c r="F518" t="s">
        <v>310</v>
      </c>
      <c r="G518" t="s">
        <v>2130</v>
      </c>
      <c r="H518" t="s">
        <v>2137</v>
      </c>
      <c r="I518" t="s">
        <v>126</v>
      </c>
      <c r="J518" t="s">
        <v>37</v>
      </c>
      <c r="K518" t="s">
        <v>37</v>
      </c>
      <c r="L518" t="s">
        <v>38</v>
      </c>
      <c r="M518" t="s">
        <v>37</v>
      </c>
      <c r="N518" t="s">
        <v>37</v>
      </c>
      <c r="O518" t="s">
        <v>38</v>
      </c>
      <c r="P518" t="s">
        <v>39</v>
      </c>
      <c r="Q518" s="55">
        <v>45966</v>
      </c>
      <c r="V518">
        <v>1</v>
      </c>
    </row>
    <row r="519" spans="1:22">
      <c r="A519" s="55">
        <v>45905</v>
      </c>
      <c r="B519" t="s">
        <v>2138</v>
      </c>
      <c r="C519" t="s">
        <v>2139</v>
      </c>
      <c r="D519" t="s">
        <v>635</v>
      </c>
      <c r="E519">
        <v>85281</v>
      </c>
      <c r="F519" t="s">
        <v>310</v>
      </c>
      <c r="G519" t="s">
        <v>2130</v>
      </c>
      <c r="H519" t="s">
        <v>2140</v>
      </c>
      <c r="I519" t="s">
        <v>196</v>
      </c>
      <c r="J519" t="s">
        <v>37</v>
      </c>
      <c r="K519" t="s">
        <v>37</v>
      </c>
      <c r="L519" t="s">
        <v>38</v>
      </c>
      <c r="M519" t="s">
        <v>38</v>
      </c>
      <c r="N519">
        <v>422.52</v>
      </c>
      <c r="O519" t="s">
        <v>38</v>
      </c>
      <c r="P519" t="s">
        <v>39</v>
      </c>
      <c r="Q519" s="55">
        <v>45966</v>
      </c>
      <c r="V519">
        <v>1</v>
      </c>
    </row>
    <row r="520" spans="1:22">
      <c r="A520" s="55">
        <v>45905</v>
      </c>
      <c r="B520" t="s">
        <v>2141</v>
      </c>
      <c r="C520" t="s">
        <v>1444</v>
      </c>
      <c r="D520" t="s">
        <v>370</v>
      </c>
      <c r="E520">
        <v>85225</v>
      </c>
      <c r="F520" t="s">
        <v>310</v>
      </c>
      <c r="G520" t="s">
        <v>2130</v>
      </c>
      <c r="H520" t="s">
        <v>2142</v>
      </c>
      <c r="I520" t="s">
        <v>36</v>
      </c>
      <c r="J520" t="s">
        <v>37</v>
      </c>
      <c r="K520" t="s">
        <v>37</v>
      </c>
      <c r="L520" t="s">
        <v>38</v>
      </c>
      <c r="M520" t="s">
        <v>37</v>
      </c>
      <c r="N520" t="s">
        <v>37</v>
      </c>
      <c r="O520" t="s">
        <v>38</v>
      </c>
      <c r="P520" t="s">
        <v>39</v>
      </c>
      <c r="Q520" s="55">
        <v>45966</v>
      </c>
      <c r="V520">
        <v>1</v>
      </c>
    </row>
    <row r="521" spans="1:22">
      <c r="A521" s="55">
        <v>45905</v>
      </c>
      <c r="B521" t="s">
        <v>2143</v>
      </c>
      <c r="C521" t="s">
        <v>2144</v>
      </c>
      <c r="D521" t="s">
        <v>63</v>
      </c>
      <c r="E521">
        <v>85032</v>
      </c>
      <c r="F521" t="s">
        <v>310</v>
      </c>
      <c r="G521" t="s">
        <v>2130</v>
      </c>
      <c r="H521" t="s">
        <v>2145</v>
      </c>
      <c r="I521" t="s">
        <v>57</v>
      </c>
      <c r="J521" t="s">
        <v>37</v>
      </c>
      <c r="K521" t="s">
        <v>37</v>
      </c>
      <c r="L521" t="s">
        <v>401</v>
      </c>
      <c r="M521" t="s">
        <v>37</v>
      </c>
      <c r="N521" t="s">
        <v>37</v>
      </c>
      <c r="O521" t="s">
        <v>38</v>
      </c>
      <c r="P521" t="s">
        <v>39</v>
      </c>
      <c r="Q521" s="55">
        <v>45966</v>
      </c>
      <c r="V521">
        <v>1</v>
      </c>
    </row>
    <row r="522" spans="1:22">
      <c r="A522" s="55">
        <v>45905</v>
      </c>
      <c r="B522" t="s">
        <v>2146</v>
      </c>
      <c r="C522" t="s">
        <v>120</v>
      </c>
      <c r="D522" t="s">
        <v>63</v>
      </c>
      <c r="E522">
        <v>85032</v>
      </c>
      <c r="F522" t="s">
        <v>310</v>
      </c>
      <c r="G522" t="s">
        <v>2130</v>
      </c>
      <c r="H522" t="s">
        <v>2147</v>
      </c>
      <c r="I522" t="s">
        <v>196</v>
      </c>
      <c r="J522" t="s">
        <v>37</v>
      </c>
      <c r="K522" t="s">
        <v>37</v>
      </c>
      <c r="L522" t="s">
        <v>2148</v>
      </c>
      <c r="M522" t="s">
        <v>37</v>
      </c>
      <c r="N522" t="s">
        <v>37</v>
      </c>
      <c r="O522" t="s">
        <v>38</v>
      </c>
      <c r="P522" t="s">
        <v>39</v>
      </c>
      <c r="Q522" s="55">
        <v>45966</v>
      </c>
      <c r="V522">
        <v>1</v>
      </c>
    </row>
    <row r="523" spans="1:22">
      <c r="A523" s="55">
        <v>45905</v>
      </c>
      <c r="B523" t="s">
        <v>225</v>
      </c>
      <c r="C523" t="s">
        <v>2149</v>
      </c>
      <c r="D523" t="s">
        <v>63</v>
      </c>
      <c r="E523">
        <v>85006</v>
      </c>
      <c r="F523" t="s">
        <v>310</v>
      </c>
      <c r="G523" t="s">
        <v>2130</v>
      </c>
      <c r="H523" t="s">
        <v>2150</v>
      </c>
      <c r="I523" t="s">
        <v>73</v>
      </c>
      <c r="J523" t="s">
        <v>37</v>
      </c>
      <c r="K523" t="s">
        <v>37</v>
      </c>
      <c r="L523" t="s">
        <v>38</v>
      </c>
      <c r="M523" t="s">
        <v>37</v>
      </c>
      <c r="N523" t="s">
        <v>37</v>
      </c>
      <c r="O523" t="s">
        <v>38</v>
      </c>
      <c r="P523" t="s">
        <v>39</v>
      </c>
      <c r="Q523" s="55">
        <v>45966</v>
      </c>
      <c r="V523">
        <v>1</v>
      </c>
    </row>
    <row r="524" spans="1:22">
      <c r="A524" s="55">
        <v>45905</v>
      </c>
      <c r="B524" t="s">
        <v>2151</v>
      </c>
      <c r="C524" t="s">
        <v>2152</v>
      </c>
      <c r="D524" t="s">
        <v>737</v>
      </c>
      <c r="E524">
        <v>86326</v>
      </c>
      <c r="F524" t="s">
        <v>1957</v>
      </c>
      <c r="G524" t="s">
        <v>2130</v>
      </c>
      <c r="H524" t="s">
        <v>2153</v>
      </c>
      <c r="I524" t="s">
        <v>46</v>
      </c>
      <c r="J524" t="s">
        <v>37</v>
      </c>
      <c r="K524" t="s">
        <v>37</v>
      </c>
      <c r="L524" t="s">
        <v>38</v>
      </c>
      <c r="M524" t="s">
        <v>37</v>
      </c>
      <c r="N524" t="s">
        <v>37</v>
      </c>
      <c r="O524" t="s">
        <v>38</v>
      </c>
      <c r="P524" t="s">
        <v>39</v>
      </c>
      <c r="Q524" s="55">
        <v>45966</v>
      </c>
      <c r="V524">
        <v>1</v>
      </c>
    </row>
    <row r="525" spans="1:22">
      <c r="A525" s="55">
        <v>45905</v>
      </c>
      <c r="B525" t="s">
        <v>2154</v>
      </c>
      <c r="C525" t="s">
        <v>1862</v>
      </c>
      <c r="D525" t="s">
        <v>63</v>
      </c>
      <c r="E525">
        <v>85032</v>
      </c>
      <c r="F525" t="s">
        <v>310</v>
      </c>
      <c r="G525" t="s">
        <v>2130</v>
      </c>
      <c r="H525" t="s">
        <v>2155</v>
      </c>
      <c r="I525" t="s">
        <v>126</v>
      </c>
      <c r="J525" t="s">
        <v>37</v>
      </c>
      <c r="K525" t="s">
        <v>37</v>
      </c>
      <c r="L525" t="s">
        <v>38</v>
      </c>
      <c r="M525" t="s">
        <v>37</v>
      </c>
      <c r="N525" t="s">
        <v>37</v>
      </c>
      <c r="O525" t="s">
        <v>38</v>
      </c>
      <c r="P525" t="s">
        <v>39</v>
      </c>
      <c r="Q525" s="55">
        <v>45966</v>
      </c>
      <c r="V525">
        <v>1</v>
      </c>
    </row>
    <row r="526" spans="1:22">
      <c r="A526" s="55">
        <v>45905</v>
      </c>
      <c r="B526" t="s">
        <v>2156</v>
      </c>
      <c r="C526" t="s">
        <v>411</v>
      </c>
      <c r="D526" t="s">
        <v>63</v>
      </c>
      <c r="E526">
        <v>85032</v>
      </c>
      <c r="F526" t="s">
        <v>310</v>
      </c>
      <c r="G526" t="s">
        <v>2130</v>
      </c>
      <c r="H526" t="s">
        <v>2157</v>
      </c>
      <c r="I526" t="s">
        <v>36</v>
      </c>
      <c r="J526" t="s">
        <v>37</v>
      </c>
      <c r="K526" t="s">
        <v>37</v>
      </c>
      <c r="L526" t="s">
        <v>38</v>
      </c>
      <c r="M526" t="s">
        <v>37</v>
      </c>
      <c r="N526" t="s">
        <v>37</v>
      </c>
      <c r="O526" t="s">
        <v>38</v>
      </c>
      <c r="P526" t="s">
        <v>39</v>
      </c>
      <c r="Q526" s="55">
        <v>45966</v>
      </c>
      <c r="V526">
        <v>1</v>
      </c>
    </row>
    <row r="527" spans="1:22">
      <c r="A527" s="55">
        <v>45905</v>
      </c>
      <c r="B527" t="s">
        <v>1839</v>
      </c>
      <c r="C527" t="s">
        <v>2158</v>
      </c>
      <c r="D527" t="s">
        <v>63</v>
      </c>
      <c r="E527">
        <v>85024</v>
      </c>
      <c r="F527" t="s">
        <v>310</v>
      </c>
      <c r="G527" t="s">
        <v>2130</v>
      </c>
      <c r="H527" t="s">
        <v>2159</v>
      </c>
      <c r="I527" t="s">
        <v>36</v>
      </c>
      <c r="J527" t="s">
        <v>37</v>
      </c>
      <c r="K527" t="s">
        <v>37</v>
      </c>
      <c r="L527" t="s">
        <v>38</v>
      </c>
      <c r="M527" t="s">
        <v>37</v>
      </c>
      <c r="N527" t="s">
        <v>37</v>
      </c>
      <c r="O527" t="s">
        <v>38</v>
      </c>
      <c r="P527" t="s">
        <v>39</v>
      </c>
      <c r="Q527" s="55">
        <v>45966</v>
      </c>
      <c r="V527">
        <v>1</v>
      </c>
    </row>
    <row r="528" spans="1:22">
      <c r="A528" s="55">
        <v>45905</v>
      </c>
      <c r="B528" t="s">
        <v>2162</v>
      </c>
      <c r="C528" t="s">
        <v>705</v>
      </c>
      <c r="D528" t="s">
        <v>63</v>
      </c>
      <c r="E528">
        <v>85020</v>
      </c>
      <c r="F528" t="s">
        <v>2163</v>
      </c>
      <c r="G528" t="s">
        <v>2130</v>
      </c>
      <c r="H528" t="s">
        <v>2164</v>
      </c>
      <c r="I528" t="s">
        <v>36</v>
      </c>
      <c r="J528" t="s">
        <v>37</v>
      </c>
      <c r="K528" t="s">
        <v>37</v>
      </c>
      <c r="L528" t="s">
        <v>38</v>
      </c>
      <c r="M528" t="s">
        <v>37</v>
      </c>
      <c r="N528" t="s">
        <v>37</v>
      </c>
      <c r="O528" t="s">
        <v>38</v>
      </c>
      <c r="P528" t="s">
        <v>39</v>
      </c>
      <c r="Q528" s="55">
        <v>45966</v>
      </c>
      <c r="V528">
        <v>1</v>
      </c>
    </row>
    <row r="529" spans="1:22">
      <c r="A529" s="55">
        <v>45905</v>
      </c>
      <c r="B529" t="s">
        <v>2165</v>
      </c>
      <c r="C529" t="s">
        <v>835</v>
      </c>
      <c r="D529" t="s">
        <v>63</v>
      </c>
      <c r="E529">
        <v>85003</v>
      </c>
      <c r="F529" t="s">
        <v>2166</v>
      </c>
      <c r="G529" t="s">
        <v>2130</v>
      </c>
      <c r="H529" t="s">
        <v>2167</v>
      </c>
      <c r="I529" t="s">
        <v>46</v>
      </c>
      <c r="J529" t="s">
        <v>37</v>
      </c>
      <c r="K529" t="s">
        <v>37</v>
      </c>
      <c r="L529" t="s">
        <v>38</v>
      </c>
      <c r="M529" t="s">
        <v>37</v>
      </c>
      <c r="N529" t="s">
        <v>37</v>
      </c>
      <c r="O529" t="s">
        <v>38</v>
      </c>
      <c r="P529" t="s">
        <v>39</v>
      </c>
      <c r="Q529" s="55">
        <v>45966</v>
      </c>
      <c r="V529">
        <v>1</v>
      </c>
    </row>
    <row r="530" spans="1:22">
      <c r="A530" s="55">
        <v>45905</v>
      </c>
      <c r="B530" t="s">
        <v>2168</v>
      </c>
      <c r="C530" t="s">
        <v>2169</v>
      </c>
      <c r="D530" t="s">
        <v>68</v>
      </c>
      <c r="E530">
        <v>85331</v>
      </c>
      <c r="F530" t="s">
        <v>310</v>
      </c>
      <c r="G530" t="s">
        <v>2130</v>
      </c>
      <c r="H530" t="s">
        <v>2170</v>
      </c>
      <c r="I530" t="s">
        <v>196</v>
      </c>
      <c r="J530" t="s">
        <v>37</v>
      </c>
      <c r="K530" t="s">
        <v>37</v>
      </c>
      <c r="L530" t="s">
        <v>2171</v>
      </c>
      <c r="M530" t="s">
        <v>37</v>
      </c>
      <c r="N530" t="s">
        <v>37</v>
      </c>
      <c r="O530" t="s">
        <v>38</v>
      </c>
      <c r="P530">
        <v>45971</v>
      </c>
      <c r="Q530" s="55">
        <v>45966</v>
      </c>
      <c r="R530" t="s">
        <v>2172</v>
      </c>
      <c r="V530">
        <v>1</v>
      </c>
    </row>
    <row r="531" spans="1:22">
      <c r="A531" s="55">
        <v>45905</v>
      </c>
      <c r="B531" t="s">
        <v>2173</v>
      </c>
      <c r="C531" t="s">
        <v>471</v>
      </c>
      <c r="D531" t="s">
        <v>24</v>
      </c>
      <c r="E531">
        <v>85308</v>
      </c>
      <c r="F531" t="s">
        <v>310</v>
      </c>
      <c r="G531" t="s">
        <v>2130</v>
      </c>
      <c r="H531" t="s">
        <v>2174</v>
      </c>
      <c r="I531" t="s">
        <v>36</v>
      </c>
      <c r="J531" t="s">
        <v>37</v>
      </c>
      <c r="K531" t="s">
        <v>37</v>
      </c>
      <c r="L531" t="s">
        <v>38</v>
      </c>
      <c r="M531" t="s">
        <v>37</v>
      </c>
      <c r="N531" t="s">
        <v>37</v>
      </c>
      <c r="O531" t="s">
        <v>38</v>
      </c>
      <c r="P531" t="s">
        <v>39</v>
      </c>
      <c r="Q531" s="55">
        <v>45966</v>
      </c>
      <c r="V531">
        <v>1</v>
      </c>
    </row>
    <row r="532" spans="1:22">
      <c r="A532" s="55">
        <v>45905</v>
      </c>
      <c r="B532" t="s">
        <v>2178</v>
      </c>
      <c r="C532" t="s">
        <v>2179</v>
      </c>
      <c r="D532" t="s">
        <v>169</v>
      </c>
      <c r="E532">
        <v>85338</v>
      </c>
      <c r="F532" t="s">
        <v>310</v>
      </c>
      <c r="G532" t="s">
        <v>2130</v>
      </c>
      <c r="H532" t="s">
        <v>2180</v>
      </c>
      <c r="I532" t="s">
        <v>126</v>
      </c>
      <c r="J532" t="s">
        <v>37</v>
      </c>
      <c r="K532" t="s">
        <v>37</v>
      </c>
      <c r="L532" t="s">
        <v>38</v>
      </c>
      <c r="M532" t="s">
        <v>37</v>
      </c>
      <c r="N532" t="s">
        <v>37</v>
      </c>
      <c r="O532" t="s">
        <v>38</v>
      </c>
      <c r="P532" t="s">
        <v>39</v>
      </c>
      <c r="Q532" s="55">
        <v>45966</v>
      </c>
      <c r="V532">
        <v>1</v>
      </c>
    </row>
    <row r="533" spans="1:22">
      <c r="A533" s="55">
        <v>45905</v>
      </c>
      <c r="B533" t="s">
        <v>2181</v>
      </c>
      <c r="C533" t="s">
        <v>75</v>
      </c>
      <c r="D533" t="s">
        <v>63</v>
      </c>
      <c r="E533">
        <v>85050</v>
      </c>
      <c r="F533" t="s">
        <v>310</v>
      </c>
      <c r="G533" t="s">
        <v>2130</v>
      </c>
      <c r="H533" t="s">
        <v>2182</v>
      </c>
      <c r="I533" t="s">
        <v>36</v>
      </c>
      <c r="J533" t="s">
        <v>37</v>
      </c>
      <c r="K533" t="s">
        <v>37</v>
      </c>
      <c r="L533" t="s">
        <v>38</v>
      </c>
      <c r="M533" t="s">
        <v>37</v>
      </c>
      <c r="N533" t="s">
        <v>37</v>
      </c>
      <c r="O533" t="s">
        <v>38</v>
      </c>
      <c r="P533" t="s">
        <v>39</v>
      </c>
      <c r="Q533" s="55">
        <v>45966</v>
      </c>
      <c r="V533">
        <v>1</v>
      </c>
    </row>
    <row r="534" spans="1:22">
      <c r="A534" s="55">
        <v>45905</v>
      </c>
      <c r="B534" t="s">
        <v>2183</v>
      </c>
      <c r="C534" t="s">
        <v>2184</v>
      </c>
      <c r="D534" t="s">
        <v>125</v>
      </c>
      <c r="E534">
        <v>85260</v>
      </c>
      <c r="F534" t="s">
        <v>2185</v>
      </c>
      <c r="G534" t="s">
        <v>2130</v>
      </c>
      <c r="H534" t="s">
        <v>2186</v>
      </c>
      <c r="I534" t="s">
        <v>36</v>
      </c>
      <c r="J534" t="s">
        <v>37</v>
      </c>
      <c r="K534" t="s">
        <v>37</v>
      </c>
      <c r="L534" t="s">
        <v>38</v>
      </c>
      <c r="M534" t="s">
        <v>37</v>
      </c>
      <c r="N534" t="s">
        <v>37</v>
      </c>
      <c r="O534" t="s">
        <v>38</v>
      </c>
      <c r="P534" t="s">
        <v>39</v>
      </c>
      <c r="Q534" s="55">
        <v>45966</v>
      </c>
      <c r="V534">
        <v>1</v>
      </c>
    </row>
    <row r="535" spans="1:22">
      <c r="A535" s="55">
        <v>45905</v>
      </c>
      <c r="B535" t="s">
        <v>2187</v>
      </c>
      <c r="C535" t="s">
        <v>2188</v>
      </c>
      <c r="D535" t="s">
        <v>63</v>
      </c>
      <c r="E535">
        <v>85024</v>
      </c>
      <c r="F535" t="s">
        <v>2189</v>
      </c>
      <c r="G535" t="s">
        <v>2130</v>
      </c>
      <c r="H535" t="s">
        <v>2190</v>
      </c>
      <c r="I535" t="s">
        <v>196</v>
      </c>
      <c r="J535" t="s">
        <v>37</v>
      </c>
      <c r="K535" t="s">
        <v>37</v>
      </c>
      <c r="L535" t="s">
        <v>2191</v>
      </c>
      <c r="M535" t="s">
        <v>38</v>
      </c>
      <c r="N535">
        <v>470.06</v>
      </c>
      <c r="O535" t="s">
        <v>38</v>
      </c>
      <c r="P535" t="s">
        <v>39</v>
      </c>
      <c r="Q535" s="55">
        <v>45966</v>
      </c>
      <c r="V535">
        <v>1</v>
      </c>
    </row>
    <row r="536" spans="1:22">
      <c r="A536" s="55">
        <v>45905</v>
      </c>
      <c r="B536" t="s">
        <v>2192</v>
      </c>
      <c r="C536" t="s">
        <v>835</v>
      </c>
      <c r="D536" t="s">
        <v>63</v>
      </c>
      <c r="E536">
        <v>85016</v>
      </c>
      <c r="F536" t="s">
        <v>310</v>
      </c>
      <c r="G536" t="s">
        <v>2130</v>
      </c>
      <c r="H536" t="s">
        <v>2193</v>
      </c>
      <c r="I536" t="s">
        <v>126</v>
      </c>
      <c r="J536" t="s">
        <v>37</v>
      </c>
      <c r="K536" t="s">
        <v>37</v>
      </c>
      <c r="L536" t="s">
        <v>38</v>
      </c>
      <c r="M536" t="s">
        <v>37</v>
      </c>
      <c r="N536" t="s">
        <v>37</v>
      </c>
      <c r="O536" t="s">
        <v>38</v>
      </c>
      <c r="P536" t="s">
        <v>39</v>
      </c>
      <c r="Q536" s="55">
        <v>45966</v>
      </c>
      <c r="V536">
        <v>1</v>
      </c>
    </row>
    <row r="537" spans="1:22">
      <c r="A537" s="55">
        <v>45905</v>
      </c>
      <c r="B537" t="s">
        <v>2194</v>
      </c>
      <c r="C537" t="s">
        <v>206</v>
      </c>
      <c r="D537" t="s">
        <v>125</v>
      </c>
      <c r="E537">
        <v>85258</v>
      </c>
      <c r="F537" t="s">
        <v>2195</v>
      </c>
      <c r="G537" t="s">
        <v>2130</v>
      </c>
      <c r="H537" t="s">
        <v>2196</v>
      </c>
      <c r="I537" t="s">
        <v>36</v>
      </c>
      <c r="J537" t="s">
        <v>37</v>
      </c>
      <c r="K537" t="s">
        <v>37</v>
      </c>
      <c r="L537" t="s">
        <v>2197</v>
      </c>
      <c r="M537" t="s">
        <v>37</v>
      </c>
      <c r="N537" t="s">
        <v>37</v>
      </c>
      <c r="O537" t="s">
        <v>38</v>
      </c>
      <c r="P537" t="s">
        <v>39</v>
      </c>
      <c r="Q537" s="55">
        <v>45966</v>
      </c>
      <c r="R537" t="s">
        <v>1421</v>
      </c>
      <c r="V537">
        <v>1</v>
      </c>
    </row>
    <row r="538" spans="1:22">
      <c r="A538" s="55">
        <v>45905</v>
      </c>
      <c r="B538" t="s">
        <v>2198</v>
      </c>
      <c r="C538" t="s">
        <v>705</v>
      </c>
      <c r="D538" t="s">
        <v>63</v>
      </c>
      <c r="E538">
        <v>85022</v>
      </c>
      <c r="F538" t="s">
        <v>310</v>
      </c>
      <c r="G538" t="s">
        <v>2130</v>
      </c>
      <c r="H538" t="s">
        <v>2199</v>
      </c>
      <c r="I538" t="s">
        <v>73</v>
      </c>
      <c r="J538" t="s">
        <v>37</v>
      </c>
      <c r="K538" t="s">
        <v>37</v>
      </c>
      <c r="L538" t="s">
        <v>38</v>
      </c>
      <c r="M538" t="s">
        <v>37</v>
      </c>
      <c r="N538" t="s">
        <v>37</v>
      </c>
      <c r="O538" t="s">
        <v>38</v>
      </c>
      <c r="P538" t="s">
        <v>39</v>
      </c>
      <c r="Q538" s="55">
        <v>45966</v>
      </c>
      <c r="V538">
        <v>1</v>
      </c>
    </row>
    <row r="539" spans="1:22">
      <c r="A539" s="55">
        <v>45905</v>
      </c>
      <c r="B539" t="s">
        <v>2200</v>
      </c>
      <c r="C539" t="s">
        <v>2201</v>
      </c>
      <c r="D539" t="s">
        <v>24</v>
      </c>
      <c r="E539">
        <v>85308</v>
      </c>
      <c r="F539" t="s">
        <v>310</v>
      </c>
      <c r="G539" t="s">
        <v>2130</v>
      </c>
      <c r="H539" t="s">
        <v>2202</v>
      </c>
      <c r="I539" t="s">
        <v>36</v>
      </c>
      <c r="J539" t="s">
        <v>37</v>
      </c>
      <c r="K539" t="s">
        <v>37</v>
      </c>
      <c r="L539" t="s">
        <v>38</v>
      </c>
      <c r="M539" t="s">
        <v>37</v>
      </c>
      <c r="N539" t="s">
        <v>37</v>
      </c>
      <c r="O539" t="s">
        <v>38</v>
      </c>
      <c r="P539" t="s">
        <v>39</v>
      </c>
      <c r="Q539" s="55">
        <v>45966</v>
      </c>
      <c r="V539">
        <v>1</v>
      </c>
    </row>
    <row r="540" spans="1:22">
      <c r="A540" s="55">
        <v>45905</v>
      </c>
      <c r="B540" t="s">
        <v>2203</v>
      </c>
      <c r="C540" t="s">
        <v>329</v>
      </c>
      <c r="D540" t="s">
        <v>174</v>
      </c>
      <c r="E540">
        <v>85396</v>
      </c>
      <c r="F540" t="s">
        <v>310</v>
      </c>
      <c r="G540" t="s">
        <v>2130</v>
      </c>
      <c r="H540" t="s">
        <v>2204</v>
      </c>
      <c r="I540" t="s">
        <v>36</v>
      </c>
      <c r="J540" t="s">
        <v>37</v>
      </c>
      <c r="K540" t="s">
        <v>37</v>
      </c>
      <c r="L540" t="s">
        <v>38</v>
      </c>
      <c r="M540" t="s">
        <v>37</v>
      </c>
      <c r="N540" t="s">
        <v>37</v>
      </c>
      <c r="O540" t="s">
        <v>38</v>
      </c>
      <c r="P540" t="s">
        <v>39</v>
      </c>
      <c r="Q540" s="55">
        <v>45966</v>
      </c>
      <c r="V540">
        <v>1</v>
      </c>
    </row>
    <row r="541" spans="1:22">
      <c r="A541" s="55">
        <v>45905</v>
      </c>
      <c r="B541" t="s">
        <v>2205</v>
      </c>
      <c r="C541" t="s">
        <v>965</v>
      </c>
      <c r="D541" t="s">
        <v>1693</v>
      </c>
      <c r="E541">
        <v>85351</v>
      </c>
      <c r="F541" t="s">
        <v>2206</v>
      </c>
      <c r="G541" t="s">
        <v>2130</v>
      </c>
      <c r="H541" t="s">
        <v>2207</v>
      </c>
      <c r="I541" t="s">
        <v>541</v>
      </c>
      <c r="J541" t="s">
        <v>37</v>
      </c>
      <c r="K541" t="s">
        <v>37</v>
      </c>
      <c r="L541" t="s">
        <v>389</v>
      </c>
      <c r="M541" t="s">
        <v>37</v>
      </c>
      <c r="N541" t="s">
        <v>37</v>
      </c>
      <c r="O541" t="s">
        <v>38</v>
      </c>
      <c r="P541" t="s">
        <v>39</v>
      </c>
      <c r="Q541" s="55">
        <v>45966</v>
      </c>
      <c r="V541">
        <v>1</v>
      </c>
    </row>
    <row r="542" spans="1:22">
      <c r="A542" s="55">
        <v>45905</v>
      </c>
      <c r="B542" t="s">
        <v>2208</v>
      </c>
      <c r="C542" t="s">
        <v>145</v>
      </c>
      <c r="D542" t="s">
        <v>63</v>
      </c>
      <c r="E542">
        <v>85014</v>
      </c>
      <c r="F542" t="s">
        <v>31</v>
      </c>
      <c r="G542" t="s">
        <v>2130</v>
      </c>
      <c r="H542" t="s">
        <v>2209</v>
      </c>
      <c r="I542" t="s">
        <v>126</v>
      </c>
      <c r="J542" t="s">
        <v>37</v>
      </c>
      <c r="K542" t="s">
        <v>37</v>
      </c>
      <c r="L542" t="s">
        <v>2210</v>
      </c>
      <c r="M542" t="s">
        <v>37</v>
      </c>
      <c r="N542" t="s">
        <v>37</v>
      </c>
      <c r="O542" t="s">
        <v>38</v>
      </c>
      <c r="P542" t="s">
        <v>39</v>
      </c>
      <c r="Q542" s="55">
        <v>45966</v>
      </c>
      <c r="V542">
        <v>1</v>
      </c>
    </row>
    <row r="543" spans="1:22">
      <c r="A543" s="55">
        <v>45905</v>
      </c>
      <c r="B543" t="s">
        <v>2211</v>
      </c>
      <c r="C543" t="s">
        <v>2212</v>
      </c>
      <c r="D543" t="s">
        <v>202</v>
      </c>
      <c r="E543">
        <v>85383</v>
      </c>
      <c r="F543" t="s">
        <v>310</v>
      </c>
      <c r="G543" t="s">
        <v>2130</v>
      </c>
      <c r="H543" t="s">
        <v>2213</v>
      </c>
      <c r="I543" t="s">
        <v>46</v>
      </c>
      <c r="J543" t="s">
        <v>37</v>
      </c>
      <c r="K543" t="s">
        <v>37</v>
      </c>
      <c r="L543" t="s">
        <v>2214</v>
      </c>
      <c r="M543" t="s">
        <v>37</v>
      </c>
      <c r="N543" t="s">
        <v>37</v>
      </c>
      <c r="O543" t="s">
        <v>38</v>
      </c>
      <c r="P543" t="s">
        <v>39</v>
      </c>
      <c r="Q543" s="55">
        <v>45966</v>
      </c>
      <c r="U543" t="s">
        <v>2215</v>
      </c>
      <c r="V543">
        <v>1</v>
      </c>
    </row>
    <row r="544" spans="1:22">
      <c r="A544" s="55">
        <v>45905</v>
      </c>
      <c r="B544" t="s">
        <v>2216</v>
      </c>
      <c r="C544" t="s">
        <v>312</v>
      </c>
      <c r="D544" t="s">
        <v>63</v>
      </c>
      <c r="E544">
        <v>85023</v>
      </c>
      <c r="F544" t="s">
        <v>310</v>
      </c>
      <c r="G544" t="s">
        <v>2130</v>
      </c>
      <c r="H544" t="s">
        <v>2217</v>
      </c>
      <c r="I544" t="s">
        <v>73</v>
      </c>
      <c r="J544" t="s">
        <v>37</v>
      </c>
      <c r="K544" t="s">
        <v>37</v>
      </c>
      <c r="L544" t="s">
        <v>38</v>
      </c>
      <c r="M544" t="s">
        <v>37</v>
      </c>
      <c r="N544" t="s">
        <v>37</v>
      </c>
      <c r="O544" t="s">
        <v>38</v>
      </c>
      <c r="P544" t="s">
        <v>39</v>
      </c>
      <c r="Q544" s="55">
        <v>45966</v>
      </c>
      <c r="V544">
        <v>1</v>
      </c>
    </row>
    <row r="545" spans="1:22">
      <c r="A545" s="55">
        <v>45905</v>
      </c>
      <c r="B545" t="s">
        <v>2218</v>
      </c>
      <c r="C545" t="s">
        <v>2219</v>
      </c>
      <c r="D545" t="s">
        <v>174</v>
      </c>
      <c r="E545">
        <v>85396</v>
      </c>
      <c r="F545" t="s">
        <v>31</v>
      </c>
      <c r="G545" t="s">
        <v>2130</v>
      </c>
      <c r="H545" t="s">
        <v>2220</v>
      </c>
      <c r="I545" t="s">
        <v>418</v>
      </c>
      <c r="J545" t="s">
        <v>37</v>
      </c>
      <c r="K545" t="s">
        <v>37</v>
      </c>
      <c r="L545" t="s">
        <v>389</v>
      </c>
      <c r="M545" t="s">
        <v>37</v>
      </c>
      <c r="N545" t="s">
        <v>37</v>
      </c>
      <c r="O545" t="s">
        <v>38</v>
      </c>
      <c r="P545" t="s">
        <v>39</v>
      </c>
      <c r="Q545" s="55">
        <v>45966</v>
      </c>
      <c r="V545">
        <v>1</v>
      </c>
    </row>
    <row r="546" spans="1:22">
      <c r="A546" s="55">
        <v>45905</v>
      </c>
      <c r="B546" t="s">
        <v>2222</v>
      </c>
      <c r="C546" t="s">
        <v>392</v>
      </c>
      <c r="D546" t="s">
        <v>169</v>
      </c>
      <c r="E546">
        <v>85448</v>
      </c>
      <c r="F546" t="s">
        <v>1777</v>
      </c>
      <c r="G546" t="s">
        <v>2130</v>
      </c>
      <c r="H546" t="s">
        <v>2223</v>
      </c>
      <c r="I546" t="s">
        <v>418</v>
      </c>
      <c r="J546" t="s">
        <v>37</v>
      </c>
      <c r="K546" t="s">
        <v>37</v>
      </c>
      <c r="L546" t="s">
        <v>389</v>
      </c>
      <c r="M546" t="s">
        <v>37</v>
      </c>
      <c r="N546" t="s">
        <v>37</v>
      </c>
      <c r="O546" t="s">
        <v>38</v>
      </c>
      <c r="P546" t="s">
        <v>39</v>
      </c>
      <c r="Q546" s="55">
        <v>45966</v>
      </c>
      <c r="V546">
        <v>1</v>
      </c>
    </row>
    <row r="547" spans="1:22">
      <c r="A547" s="55">
        <v>45905</v>
      </c>
      <c r="B547" t="s">
        <v>2224</v>
      </c>
      <c r="C547" t="s">
        <v>956</v>
      </c>
      <c r="D547" t="s">
        <v>112</v>
      </c>
      <c r="E547">
        <v>85387</v>
      </c>
      <c r="F547" t="s">
        <v>310</v>
      </c>
      <c r="G547" t="s">
        <v>2130</v>
      </c>
      <c r="H547" t="s">
        <v>2225</v>
      </c>
      <c r="I547" t="s">
        <v>196</v>
      </c>
      <c r="J547" t="s">
        <v>37</v>
      </c>
      <c r="K547" t="s">
        <v>37</v>
      </c>
      <c r="L547" t="s">
        <v>2226</v>
      </c>
      <c r="M547" t="s">
        <v>1586</v>
      </c>
      <c r="N547">
        <v>1278.31</v>
      </c>
      <c r="O547" t="s">
        <v>38</v>
      </c>
      <c r="P547">
        <v>45936</v>
      </c>
      <c r="Q547" s="55">
        <v>45966</v>
      </c>
      <c r="R547" t="s">
        <v>5426</v>
      </c>
      <c r="V547">
        <v>1</v>
      </c>
    </row>
    <row r="548" spans="1:22">
      <c r="A548" s="55">
        <v>45905</v>
      </c>
      <c r="B548" t="s">
        <v>2228</v>
      </c>
      <c r="C548" t="s">
        <v>395</v>
      </c>
      <c r="D548" t="s">
        <v>2229</v>
      </c>
      <c r="E548">
        <v>85321</v>
      </c>
      <c r="F548" t="s">
        <v>310</v>
      </c>
      <c r="G548" t="s">
        <v>2130</v>
      </c>
      <c r="H548" t="s">
        <v>2230</v>
      </c>
      <c r="I548" t="s">
        <v>46</v>
      </c>
      <c r="J548" t="s">
        <v>37</v>
      </c>
      <c r="K548" t="s">
        <v>37</v>
      </c>
      <c r="L548" t="s">
        <v>38</v>
      </c>
      <c r="M548" t="s">
        <v>37</v>
      </c>
      <c r="N548" t="s">
        <v>37</v>
      </c>
      <c r="O548" t="s">
        <v>38</v>
      </c>
      <c r="P548" t="s">
        <v>39</v>
      </c>
      <c r="Q548" s="55">
        <v>45966</v>
      </c>
      <c r="V548">
        <v>1</v>
      </c>
    </row>
    <row r="549" spans="1:22">
      <c r="A549" s="55">
        <v>45905</v>
      </c>
      <c r="B549" t="s">
        <v>2232</v>
      </c>
      <c r="C549" t="s">
        <v>376</v>
      </c>
      <c r="D549" t="s">
        <v>169</v>
      </c>
      <c r="E549">
        <v>85338</v>
      </c>
      <c r="F549" t="s">
        <v>2233</v>
      </c>
      <c r="G549" t="s">
        <v>2130</v>
      </c>
      <c r="H549" t="s">
        <v>2234</v>
      </c>
      <c r="I549" t="s">
        <v>46</v>
      </c>
      <c r="J549" t="s">
        <v>37</v>
      </c>
      <c r="K549" t="s">
        <v>37</v>
      </c>
      <c r="L549" t="s">
        <v>38</v>
      </c>
      <c r="M549" t="s">
        <v>37</v>
      </c>
      <c r="N549" t="s">
        <v>37</v>
      </c>
      <c r="O549" t="s">
        <v>38</v>
      </c>
      <c r="P549" t="s">
        <v>39</v>
      </c>
      <c r="Q549" s="55">
        <v>45966</v>
      </c>
      <c r="V549">
        <v>1</v>
      </c>
    </row>
    <row r="550" spans="1:22">
      <c r="A550" s="55">
        <v>45905</v>
      </c>
      <c r="B550" t="s">
        <v>2235</v>
      </c>
      <c r="C550" t="s">
        <v>2236</v>
      </c>
      <c r="D550" t="s">
        <v>63</v>
      </c>
      <c r="E550">
        <v>85006</v>
      </c>
      <c r="F550" t="s">
        <v>31</v>
      </c>
      <c r="G550" t="s">
        <v>2130</v>
      </c>
      <c r="H550" t="s">
        <v>2237</v>
      </c>
      <c r="I550" t="s">
        <v>57</v>
      </c>
      <c r="J550" t="s">
        <v>37</v>
      </c>
      <c r="K550" t="s">
        <v>37</v>
      </c>
      <c r="L550" t="s">
        <v>2238</v>
      </c>
      <c r="M550" t="s">
        <v>37</v>
      </c>
      <c r="N550" t="s">
        <v>37</v>
      </c>
      <c r="O550" t="s">
        <v>38</v>
      </c>
      <c r="P550">
        <v>45937</v>
      </c>
      <c r="Q550" s="55">
        <v>45966</v>
      </c>
      <c r="R550" t="s">
        <v>2239</v>
      </c>
      <c r="V550">
        <v>1</v>
      </c>
    </row>
    <row r="551" spans="1:22">
      <c r="A551" s="55">
        <v>45905</v>
      </c>
      <c r="B551" t="s">
        <v>2240</v>
      </c>
      <c r="C551" t="s">
        <v>911</v>
      </c>
      <c r="D551" t="s">
        <v>125</v>
      </c>
      <c r="E551">
        <v>85258</v>
      </c>
      <c r="F551" t="s">
        <v>310</v>
      </c>
      <c r="G551" t="s">
        <v>2130</v>
      </c>
      <c r="H551" t="s">
        <v>2241</v>
      </c>
      <c r="I551" t="s">
        <v>541</v>
      </c>
      <c r="J551" t="s">
        <v>37</v>
      </c>
      <c r="K551" t="s">
        <v>37</v>
      </c>
      <c r="L551" t="s">
        <v>389</v>
      </c>
      <c r="M551" t="s">
        <v>37</v>
      </c>
      <c r="N551" t="s">
        <v>37</v>
      </c>
      <c r="O551" t="s">
        <v>38</v>
      </c>
      <c r="P551" t="s">
        <v>39</v>
      </c>
      <c r="Q551" s="55">
        <v>45966</v>
      </c>
      <c r="V551">
        <v>1</v>
      </c>
    </row>
    <row r="552" spans="1:22">
      <c r="A552" s="55">
        <v>45905</v>
      </c>
      <c r="B552" t="s">
        <v>2242</v>
      </c>
      <c r="C552" t="s">
        <v>2034</v>
      </c>
      <c r="D552" t="s">
        <v>125</v>
      </c>
      <c r="E552">
        <v>85258</v>
      </c>
      <c r="F552" t="s">
        <v>31</v>
      </c>
      <c r="G552" t="s">
        <v>2130</v>
      </c>
      <c r="H552" t="s">
        <v>2243</v>
      </c>
      <c r="I552" t="s">
        <v>36</v>
      </c>
      <c r="J552" t="s">
        <v>37</v>
      </c>
      <c r="K552" t="s">
        <v>37</v>
      </c>
      <c r="L552" t="s">
        <v>38</v>
      </c>
      <c r="M552" t="s">
        <v>37</v>
      </c>
      <c r="N552" t="s">
        <v>37</v>
      </c>
      <c r="O552" t="s">
        <v>38</v>
      </c>
      <c r="P552" t="s">
        <v>39</v>
      </c>
      <c r="Q552" s="55">
        <v>45966</v>
      </c>
      <c r="V552">
        <v>1</v>
      </c>
    </row>
    <row r="553" spans="1:22">
      <c r="A553" s="55">
        <v>45905</v>
      </c>
      <c r="B553" t="s">
        <v>2244</v>
      </c>
      <c r="C553" t="s">
        <v>965</v>
      </c>
      <c r="D553" t="s">
        <v>63</v>
      </c>
      <c r="E553">
        <v>85085</v>
      </c>
      <c r="F553" t="s">
        <v>2245</v>
      </c>
      <c r="G553" t="s">
        <v>2130</v>
      </c>
      <c r="H553" t="s">
        <v>2246</v>
      </c>
      <c r="I553" t="s">
        <v>36</v>
      </c>
      <c r="J553" t="s">
        <v>37</v>
      </c>
      <c r="K553" t="s">
        <v>37</v>
      </c>
      <c r="L553" t="s">
        <v>38</v>
      </c>
      <c r="M553" t="s">
        <v>37</v>
      </c>
      <c r="N553" t="s">
        <v>37</v>
      </c>
      <c r="O553" t="s">
        <v>38</v>
      </c>
      <c r="P553" t="s">
        <v>39</v>
      </c>
      <c r="Q553" s="55">
        <v>45966</v>
      </c>
      <c r="V553">
        <v>1</v>
      </c>
    </row>
    <row r="554" spans="1:22">
      <c r="A554" s="55">
        <v>45905</v>
      </c>
      <c r="B554" t="s">
        <v>686</v>
      </c>
      <c r="C554" t="s">
        <v>443</v>
      </c>
      <c r="D554" t="s">
        <v>63</v>
      </c>
      <c r="E554">
        <v>85014</v>
      </c>
      <c r="F554" t="s">
        <v>310</v>
      </c>
      <c r="G554" t="s">
        <v>2130</v>
      </c>
      <c r="H554" t="s">
        <v>2247</v>
      </c>
      <c r="I554" t="s">
        <v>73</v>
      </c>
      <c r="J554" t="s">
        <v>37</v>
      </c>
      <c r="K554" t="s">
        <v>37</v>
      </c>
      <c r="L554" t="s">
        <v>38</v>
      </c>
      <c r="M554" t="s">
        <v>37</v>
      </c>
      <c r="N554" t="s">
        <v>37</v>
      </c>
      <c r="O554" t="s">
        <v>38</v>
      </c>
      <c r="P554" t="s">
        <v>39</v>
      </c>
      <c r="Q554" s="55">
        <v>45966</v>
      </c>
      <c r="V554">
        <v>1</v>
      </c>
    </row>
    <row r="555" spans="1:22">
      <c r="A555" s="55">
        <v>45905</v>
      </c>
      <c r="B555" t="s">
        <v>2248</v>
      </c>
      <c r="C555" t="s">
        <v>225</v>
      </c>
      <c r="D555" t="s">
        <v>63</v>
      </c>
      <c r="E555">
        <v>85016</v>
      </c>
      <c r="F555" t="s">
        <v>310</v>
      </c>
      <c r="G555" t="s">
        <v>2130</v>
      </c>
      <c r="H555" t="s">
        <v>2249</v>
      </c>
      <c r="I555" t="s">
        <v>126</v>
      </c>
      <c r="J555" t="s">
        <v>37</v>
      </c>
      <c r="K555" t="s">
        <v>37</v>
      </c>
      <c r="L555" t="s">
        <v>38</v>
      </c>
      <c r="M555" t="s">
        <v>37</v>
      </c>
      <c r="N555" t="s">
        <v>37</v>
      </c>
      <c r="O555" t="s">
        <v>38</v>
      </c>
      <c r="P555" t="s">
        <v>39</v>
      </c>
      <c r="Q555" s="55">
        <v>45966</v>
      </c>
      <c r="V555">
        <v>1</v>
      </c>
    </row>
    <row r="556" spans="1:22">
      <c r="A556" s="55">
        <v>45905</v>
      </c>
      <c r="B556" t="s">
        <v>2250</v>
      </c>
      <c r="C556" t="s">
        <v>2019</v>
      </c>
      <c r="D556" t="s">
        <v>125</v>
      </c>
      <c r="E556">
        <v>85254</v>
      </c>
      <c r="F556" t="s">
        <v>2251</v>
      </c>
      <c r="G556" t="s">
        <v>2130</v>
      </c>
      <c r="H556" t="s">
        <v>2252</v>
      </c>
      <c r="I556" t="s">
        <v>243</v>
      </c>
      <c r="J556" t="s">
        <v>37</v>
      </c>
      <c r="K556" t="s">
        <v>37</v>
      </c>
      <c r="L556" t="s">
        <v>389</v>
      </c>
      <c r="M556" t="s">
        <v>37</v>
      </c>
      <c r="N556" t="s">
        <v>37</v>
      </c>
      <c r="O556" t="s">
        <v>38</v>
      </c>
      <c r="P556" t="s">
        <v>39</v>
      </c>
      <c r="Q556" s="55">
        <v>45966</v>
      </c>
      <c r="V556">
        <v>1</v>
      </c>
    </row>
    <row r="557" spans="1:22">
      <c r="A557" s="55">
        <v>45905</v>
      </c>
      <c r="B557" t="s">
        <v>2258</v>
      </c>
      <c r="C557" t="s">
        <v>658</v>
      </c>
      <c r="D557" t="s">
        <v>63</v>
      </c>
      <c r="E557">
        <v>85083</v>
      </c>
      <c r="F557" t="s">
        <v>31</v>
      </c>
      <c r="G557" t="s">
        <v>2130</v>
      </c>
      <c r="H557" t="s">
        <v>2259</v>
      </c>
      <c r="I557" t="s">
        <v>36</v>
      </c>
      <c r="J557" t="s">
        <v>37</v>
      </c>
      <c r="K557" t="s">
        <v>37</v>
      </c>
      <c r="L557" t="s">
        <v>38</v>
      </c>
      <c r="M557" t="s">
        <v>37</v>
      </c>
      <c r="N557" t="s">
        <v>37</v>
      </c>
      <c r="O557" t="s">
        <v>38</v>
      </c>
      <c r="P557" t="s">
        <v>39</v>
      </c>
      <c r="Q557" s="55">
        <v>45966</v>
      </c>
      <c r="V557">
        <v>1</v>
      </c>
    </row>
    <row r="558" spans="1:22">
      <c r="A558" s="55">
        <v>45905</v>
      </c>
      <c r="B558" t="s">
        <v>2260</v>
      </c>
      <c r="C558" t="s">
        <v>2261</v>
      </c>
      <c r="D558" t="s">
        <v>370</v>
      </c>
      <c r="E558">
        <v>85225</v>
      </c>
      <c r="F558" t="s">
        <v>310</v>
      </c>
      <c r="G558" t="s">
        <v>2130</v>
      </c>
      <c r="H558" t="s">
        <v>2262</v>
      </c>
      <c r="I558" t="s">
        <v>418</v>
      </c>
      <c r="J558" t="s">
        <v>37</v>
      </c>
      <c r="K558" t="s">
        <v>37</v>
      </c>
      <c r="L558" t="s">
        <v>389</v>
      </c>
      <c r="M558" t="s">
        <v>37</v>
      </c>
      <c r="N558" t="s">
        <v>37</v>
      </c>
      <c r="O558" t="s">
        <v>38</v>
      </c>
      <c r="P558" t="s">
        <v>39</v>
      </c>
      <c r="Q558" s="55">
        <v>45966</v>
      </c>
      <c r="V558">
        <v>1</v>
      </c>
    </row>
    <row r="559" spans="1:22">
      <c r="A559" s="55">
        <v>45905</v>
      </c>
      <c r="B559" t="s">
        <v>2263</v>
      </c>
      <c r="C559" t="s">
        <v>2264</v>
      </c>
      <c r="D559" t="s">
        <v>2265</v>
      </c>
      <c r="E559">
        <v>85603</v>
      </c>
      <c r="F559" t="s">
        <v>31</v>
      </c>
      <c r="G559" t="s">
        <v>2130</v>
      </c>
      <c r="H559" t="s">
        <v>2266</v>
      </c>
      <c r="I559" t="s">
        <v>36</v>
      </c>
      <c r="J559" t="s">
        <v>37</v>
      </c>
      <c r="K559" t="s">
        <v>37</v>
      </c>
      <c r="L559" t="s">
        <v>38</v>
      </c>
      <c r="M559" t="s">
        <v>37</v>
      </c>
      <c r="N559" t="s">
        <v>37</v>
      </c>
      <c r="O559" t="s">
        <v>38</v>
      </c>
      <c r="P559" t="s">
        <v>39</v>
      </c>
      <c r="Q559" s="55">
        <v>45966</v>
      </c>
      <c r="V559">
        <v>1</v>
      </c>
    </row>
    <row r="560" spans="1:22">
      <c r="A560" s="55">
        <v>45905</v>
      </c>
      <c r="B560" t="s">
        <v>2269</v>
      </c>
      <c r="C560" t="s">
        <v>1815</v>
      </c>
      <c r="D560" t="s">
        <v>125</v>
      </c>
      <c r="E560">
        <v>85260</v>
      </c>
      <c r="F560" t="s">
        <v>310</v>
      </c>
      <c r="G560" t="s">
        <v>2130</v>
      </c>
      <c r="H560" t="s">
        <v>2270</v>
      </c>
      <c r="I560" t="s">
        <v>57</v>
      </c>
      <c r="J560" t="s">
        <v>37</v>
      </c>
      <c r="K560" t="s">
        <v>37</v>
      </c>
      <c r="L560" t="s">
        <v>2271</v>
      </c>
      <c r="M560" t="s">
        <v>37</v>
      </c>
      <c r="N560" t="s">
        <v>37</v>
      </c>
      <c r="O560" t="s">
        <v>38</v>
      </c>
      <c r="P560">
        <v>45937</v>
      </c>
      <c r="Q560" s="55">
        <v>45966</v>
      </c>
      <c r="R560" t="s">
        <v>2272</v>
      </c>
      <c r="V560">
        <v>1</v>
      </c>
    </row>
    <row r="561" spans="1:22">
      <c r="A561" s="55">
        <v>45905</v>
      </c>
      <c r="B561" t="s">
        <v>841</v>
      </c>
      <c r="C561" t="s">
        <v>2273</v>
      </c>
      <c r="D561" t="s">
        <v>112</v>
      </c>
      <c r="E561">
        <v>85388</v>
      </c>
      <c r="F561" t="s">
        <v>2274</v>
      </c>
      <c r="G561" t="s">
        <v>2130</v>
      </c>
      <c r="H561" t="s">
        <v>2275</v>
      </c>
      <c r="I561" t="s">
        <v>36</v>
      </c>
      <c r="J561" t="s">
        <v>37</v>
      </c>
      <c r="K561" t="s">
        <v>37</v>
      </c>
      <c r="L561" t="s">
        <v>38</v>
      </c>
      <c r="M561" t="s">
        <v>37</v>
      </c>
      <c r="N561" t="s">
        <v>37</v>
      </c>
      <c r="O561" t="s">
        <v>38</v>
      </c>
      <c r="P561" t="s">
        <v>39</v>
      </c>
      <c r="Q561" s="55">
        <v>45966</v>
      </c>
      <c r="V561">
        <v>1</v>
      </c>
    </row>
    <row r="562" spans="1:22">
      <c r="A562" s="55">
        <v>45905</v>
      </c>
      <c r="B562" t="s">
        <v>2276</v>
      </c>
      <c r="C562" t="s">
        <v>1824</v>
      </c>
      <c r="D562" t="s">
        <v>24</v>
      </c>
      <c r="E562">
        <v>85308</v>
      </c>
      <c r="F562" t="s">
        <v>31</v>
      </c>
      <c r="G562" t="s">
        <v>2130</v>
      </c>
      <c r="H562" t="s">
        <v>2277</v>
      </c>
      <c r="I562" t="s">
        <v>196</v>
      </c>
      <c r="J562" t="s">
        <v>37</v>
      </c>
      <c r="K562" t="s">
        <v>37</v>
      </c>
      <c r="L562" t="s">
        <v>38</v>
      </c>
      <c r="M562" t="s">
        <v>37</v>
      </c>
      <c r="N562" t="s">
        <v>37</v>
      </c>
      <c r="O562" t="s">
        <v>38</v>
      </c>
      <c r="P562" t="s">
        <v>39</v>
      </c>
      <c r="Q562" s="55">
        <v>45966</v>
      </c>
      <c r="V562">
        <v>1</v>
      </c>
    </row>
    <row r="563" spans="1:22">
      <c r="A563" s="55">
        <v>45905</v>
      </c>
      <c r="B563" t="s">
        <v>2087</v>
      </c>
      <c r="C563" t="s">
        <v>215</v>
      </c>
      <c r="D563" t="s">
        <v>63</v>
      </c>
      <c r="E563">
        <v>85028</v>
      </c>
      <c r="F563" t="s">
        <v>310</v>
      </c>
      <c r="G563" t="s">
        <v>2130</v>
      </c>
      <c r="H563" t="s">
        <v>2278</v>
      </c>
      <c r="I563" t="s">
        <v>46</v>
      </c>
      <c r="J563" t="s">
        <v>37</v>
      </c>
      <c r="K563" t="s">
        <v>37</v>
      </c>
      <c r="L563" t="s">
        <v>2279</v>
      </c>
      <c r="M563" t="s">
        <v>37</v>
      </c>
      <c r="N563" t="s">
        <v>37</v>
      </c>
      <c r="O563" t="s">
        <v>38</v>
      </c>
      <c r="P563">
        <v>45937</v>
      </c>
      <c r="Q563" s="55">
        <v>45966</v>
      </c>
      <c r="R563" t="s">
        <v>2280</v>
      </c>
      <c r="V563">
        <v>1</v>
      </c>
    </row>
    <row r="564" spans="1:22">
      <c r="A564" s="55">
        <v>45905</v>
      </c>
      <c r="B564" t="s">
        <v>636</v>
      </c>
      <c r="C564" t="s">
        <v>225</v>
      </c>
      <c r="D564" t="s">
        <v>63</v>
      </c>
      <c r="E564">
        <v>85050</v>
      </c>
      <c r="F564" t="s">
        <v>310</v>
      </c>
      <c r="G564" t="s">
        <v>2130</v>
      </c>
      <c r="H564" t="s">
        <v>2281</v>
      </c>
      <c r="I564" t="s">
        <v>36</v>
      </c>
      <c r="J564" t="s">
        <v>37</v>
      </c>
      <c r="K564" t="s">
        <v>37</v>
      </c>
      <c r="L564" t="s">
        <v>38</v>
      </c>
      <c r="M564" t="s">
        <v>37</v>
      </c>
      <c r="N564" t="s">
        <v>37</v>
      </c>
      <c r="O564" t="s">
        <v>38</v>
      </c>
      <c r="P564" t="s">
        <v>39</v>
      </c>
      <c r="Q564" s="55">
        <v>45966</v>
      </c>
      <c r="V564">
        <v>1</v>
      </c>
    </row>
    <row r="565" spans="1:22">
      <c r="A565" s="55">
        <v>45905</v>
      </c>
      <c r="B565" t="s">
        <v>2282</v>
      </c>
      <c r="C565" t="s">
        <v>131</v>
      </c>
      <c r="D565" t="s">
        <v>125</v>
      </c>
      <c r="E565">
        <v>85254</v>
      </c>
      <c r="F565" t="s">
        <v>310</v>
      </c>
      <c r="G565" t="s">
        <v>2130</v>
      </c>
      <c r="H565" t="s">
        <v>2283</v>
      </c>
      <c r="I565" t="s">
        <v>126</v>
      </c>
      <c r="J565" t="s">
        <v>37</v>
      </c>
      <c r="K565" t="s">
        <v>37</v>
      </c>
      <c r="L565" t="s">
        <v>2284</v>
      </c>
      <c r="M565" t="s">
        <v>37</v>
      </c>
      <c r="N565" t="s">
        <v>37</v>
      </c>
      <c r="O565" t="s">
        <v>38</v>
      </c>
      <c r="P565" t="s">
        <v>39</v>
      </c>
      <c r="Q565" s="55">
        <v>45966</v>
      </c>
      <c r="R565" t="s">
        <v>280</v>
      </c>
      <c r="V565">
        <v>1</v>
      </c>
    </row>
    <row r="566" spans="1:22">
      <c r="A566" s="55">
        <v>45905</v>
      </c>
      <c r="B566" t="s">
        <v>1828</v>
      </c>
      <c r="C566" t="s">
        <v>124</v>
      </c>
      <c r="D566" t="s">
        <v>504</v>
      </c>
      <c r="E566">
        <v>86001</v>
      </c>
      <c r="F566" t="s">
        <v>2291</v>
      </c>
      <c r="G566" t="s">
        <v>2130</v>
      </c>
      <c r="H566" t="s">
        <v>2292</v>
      </c>
      <c r="I566" t="s">
        <v>126</v>
      </c>
      <c r="J566" t="s">
        <v>37</v>
      </c>
      <c r="K566" t="s">
        <v>37</v>
      </c>
      <c r="L566" t="s">
        <v>2293</v>
      </c>
      <c r="M566" t="s">
        <v>37</v>
      </c>
      <c r="N566" t="s">
        <v>37</v>
      </c>
      <c r="O566" t="s">
        <v>38</v>
      </c>
      <c r="P566">
        <v>45937</v>
      </c>
      <c r="Q566" s="55">
        <v>45966</v>
      </c>
      <c r="R566" t="s">
        <v>2280</v>
      </c>
      <c r="V566">
        <v>1</v>
      </c>
    </row>
    <row r="567" spans="1:22">
      <c r="A567" s="55">
        <v>45905</v>
      </c>
      <c r="B567" t="s">
        <v>2294</v>
      </c>
      <c r="C567" t="s">
        <v>382</v>
      </c>
      <c r="D567" t="s">
        <v>240</v>
      </c>
      <c r="E567">
        <v>85340</v>
      </c>
      <c r="F567" t="s">
        <v>1990</v>
      </c>
      <c r="G567" t="s">
        <v>2130</v>
      </c>
      <c r="H567" t="s">
        <v>2295</v>
      </c>
      <c r="I567" t="s">
        <v>36</v>
      </c>
      <c r="J567" t="s">
        <v>37</v>
      </c>
      <c r="K567" t="s">
        <v>37</v>
      </c>
      <c r="L567" t="s">
        <v>38</v>
      </c>
      <c r="M567" t="s">
        <v>37</v>
      </c>
      <c r="N567" t="s">
        <v>37</v>
      </c>
      <c r="O567" t="s">
        <v>38</v>
      </c>
      <c r="P567" t="s">
        <v>39</v>
      </c>
      <c r="Q567" s="55">
        <v>45966</v>
      </c>
      <c r="V567">
        <v>1</v>
      </c>
    </row>
    <row r="568" spans="1:22">
      <c r="A568" s="55">
        <v>45905</v>
      </c>
      <c r="B568" t="s">
        <v>219</v>
      </c>
      <c r="C568" t="s">
        <v>220</v>
      </c>
      <c r="D568" t="s">
        <v>63</v>
      </c>
      <c r="E568">
        <v>85032</v>
      </c>
      <c r="F568" t="s">
        <v>31</v>
      </c>
      <c r="G568" t="s">
        <v>2130</v>
      </c>
      <c r="H568" t="s">
        <v>2296</v>
      </c>
      <c r="I568" t="s">
        <v>126</v>
      </c>
      <c r="J568" t="s">
        <v>37</v>
      </c>
      <c r="K568" t="s">
        <v>37</v>
      </c>
      <c r="L568" t="s">
        <v>38</v>
      </c>
      <c r="M568" t="s">
        <v>37</v>
      </c>
      <c r="N568" t="s">
        <v>37</v>
      </c>
      <c r="O568" t="s">
        <v>38</v>
      </c>
      <c r="P568" t="s">
        <v>39</v>
      </c>
      <c r="Q568" s="55">
        <v>45966</v>
      </c>
      <c r="U568" t="s">
        <v>2215</v>
      </c>
      <c r="V568">
        <v>1</v>
      </c>
    </row>
    <row r="569" spans="1:22">
      <c r="A569" s="55">
        <v>45905</v>
      </c>
      <c r="B569" t="s">
        <v>2301</v>
      </c>
      <c r="C569" t="s">
        <v>2302</v>
      </c>
      <c r="D569" t="s">
        <v>63</v>
      </c>
      <c r="E569">
        <v>85028</v>
      </c>
      <c r="F569" t="s">
        <v>310</v>
      </c>
      <c r="G569" t="s">
        <v>2130</v>
      </c>
      <c r="H569" t="s">
        <v>2303</v>
      </c>
      <c r="I569" t="s">
        <v>36</v>
      </c>
      <c r="J569" t="s">
        <v>37</v>
      </c>
      <c r="K569" t="s">
        <v>37</v>
      </c>
      <c r="L569" t="s">
        <v>38</v>
      </c>
      <c r="M569" t="s">
        <v>37</v>
      </c>
      <c r="N569" t="s">
        <v>37</v>
      </c>
      <c r="O569" t="s">
        <v>38</v>
      </c>
      <c r="P569" t="s">
        <v>39</v>
      </c>
      <c r="Q569" s="55">
        <v>45966</v>
      </c>
      <c r="V569">
        <v>1</v>
      </c>
    </row>
    <row r="570" spans="1:22">
      <c r="A570" s="55">
        <v>45905</v>
      </c>
      <c r="B570" t="s">
        <v>2304</v>
      </c>
      <c r="C570" t="s">
        <v>481</v>
      </c>
      <c r="D570" t="s">
        <v>112</v>
      </c>
      <c r="E570">
        <v>85374</v>
      </c>
      <c r="F570" t="s">
        <v>2305</v>
      </c>
      <c r="G570" t="s">
        <v>2130</v>
      </c>
      <c r="H570" t="s">
        <v>2306</v>
      </c>
      <c r="I570" t="s">
        <v>36</v>
      </c>
      <c r="J570" t="s">
        <v>37</v>
      </c>
      <c r="K570" t="s">
        <v>37</v>
      </c>
      <c r="L570" t="s">
        <v>38</v>
      </c>
      <c r="M570" t="s">
        <v>37</v>
      </c>
      <c r="N570" t="s">
        <v>37</v>
      </c>
      <c r="O570" t="s">
        <v>38</v>
      </c>
      <c r="P570" t="s">
        <v>39</v>
      </c>
      <c r="Q570" s="55">
        <v>45966</v>
      </c>
      <c r="V570">
        <v>1</v>
      </c>
    </row>
    <row r="571" spans="1:22">
      <c r="A571" s="55">
        <v>45905</v>
      </c>
      <c r="B571" t="s">
        <v>2307</v>
      </c>
      <c r="C571" t="s">
        <v>2308</v>
      </c>
      <c r="D571" t="s">
        <v>63</v>
      </c>
      <c r="E571">
        <v>85029</v>
      </c>
      <c r="F571" t="s">
        <v>310</v>
      </c>
      <c r="G571" t="s">
        <v>2130</v>
      </c>
      <c r="H571" t="s">
        <v>2309</v>
      </c>
      <c r="I571" t="s">
        <v>418</v>
      </c>
      <c r="J571" t="s">
        <v>37</v>
      </c>
      <c r="K571" t="s">
        <v>37</v>
      </c>
      <c r="L571" t="s">
        <v>389</v>
      </c>
      <c r="M571" t="s">
        <v>37</v>
      </c>
      <c r="N571" t="s">
        <v>37</v>
      </c>
      <c r="O571" t="s">
        <v>38</v>
      </c>
      <c r="P571" t="s">
        <v>39</v>
      </c>
      <c r="Q571" s="55">
        <v>45966</v>
      </c>
      <c r="V571">
        <v>1</v>
      </c>
    </row>
    <row r="572" spans="1:22">
      <c r="A572" s="55">
        <v>45905</v>
      </c>
      <c r="B572" t="s">
        <v>2313</v>
      </c>
      <c r="C572" t="s">
        <v>194</v>
      </c>
      <c r="D572" t="s">
        <v>63</v>
      </c>
      <c r="E572">
        <v>85013</v>
      </c>
      <c r="F572" t="s">
        <v>310</v>
      </c>
      <c r="G572" t="s">
        <v>2130</v>
      </c>
      <c r="H572" t="s">
        <v>2314</v>
      </c>
      <c r="I572" t="s">
        <v>36</v>
      </c>
      <c r="J572" t="s">
        <v>37</v>
      </c>
      <c r="K572" t="s">
        <v>37</v>
      </c>
      <c r="L572" t="s">
        <v>38</v>
      </c>
      <c r="M572" t="s">
        <v>37</v>
      </c>
      <c r="N572" t="s">
        <v>37</v>
      </c>
      <c r="O572" t="s">
        <v>38</v>
      </c>
      <c r="P572" t="s">
        <v>39</v>
      </c>
      <c r="Q572" s="55">
        <v>45965</v>
      </c>
      <c r="V572">
        <v>1</v>
      </c>
    </row>
    <row r="573" spans="1:22">
      <c r="A573" s="55">
        <v>45905</v>
      </c>
      <c r="B573" t="s">
        <v>2315</v>
      </c>
      <c r="C573" t="s">
        <v>2316</v>
      </c>
      <c r="D573" t="s">
        <v>370</v>
      </c>
      <c r="E573">
        <v>85225</v>
      </c>
      <c r="F573" t="s">
        <v>2317</v>
      </c>
      <c r="G573" t="s">
        <v>2130</v>
      </c>
      <c r="H573" t="s">
        <v>2318</v>
      </c>
      <c r="I573" t="s">
        <v>36</v>
      </c>
      <c r="J573" t="s">
        <v>38</v>
      </c>
      <c r="K573" t="s">
        <v>37</v>
      </c>
      <c r="L573" t="s">
        <v>38</v>
      </c>
      <c r="M573" t="s">
        <v>37</v>
      </c>
      <c r="N573" t="s">
        <v>37</v>
      </c>
      <c r="O573" t="s">
        <v>38</v>
      </c>
      <c r="P573" t="s">
        <v>39</v>
      </c>
      <c r="Q573" s="55">
        <v>45965</v>
      </c>
      <c r="V573">
        <v>1</v>
      </c>
    </row>
    <row r="574" spans="1:22">
      <c r="A574" s="55">
        <v>45905</v>
      </c>
      <c r="B574" t="s">
        <v>2319</v>
      </c>
      <c r="C574" t="s">
        <v>2320</v>
      </c>
      <c r="D574" t="s">
        <v>202</v>
      </c>
      <c r="E574">
        <v>85383</v>
      </c>
      <c r="F574" t="s">
        <v>310</v>
      </c>
      <c r="G574" t="s">
        <v>2130</v>
      </c>
      <c r="H574" t="s">
        <v>2321</v>
      </c>
      <c r="I574" t="s">
        <v>36</v>
      </c>
      <c r="J574" t="s">
        <v>37</v>
      </c>
      <c r="K574" t="s">
        <v>37</v>
      </c>
      <c r="L574" t="s">
        <v>38</v>
      </c>
      <c r="M574" t="s">
        <v>37</v>
      </c>
      <c r="N574" t="s">
        <v>37</v>
      </c>
      <c r="O574" t="s">
        <v>38</v>
      </c>
      <c r="P574" t="s">
        <v>39</v>
      </c>
      <c r="Q574" s="55">
        <v>45965</v>
      </c>
      <c r="V574">
        <v>1</v>
      </c>
    </row>
    <row r="575" spans="1:22">
      <c r="A575" s="55">
        <v>45905</v>
      </c>
      <c r="B575" t="s">
        <v>2322</v>
      </c>
      <c r="C575" t="s">
        <v>2184</v>
      </c>
      <c r="D575" t="s">
        <v>136</v>
      </c>
      <c r="E575">
        <v>85377</v>
      </c>
      <c r="F575" t="s">
        <v>2323</v>
      </c>
      <c r="G575" t="s">
        <v>2130</v>
      </c>
      <c r="H575" t="s">
        <v>2324</v>
      </c>
      <c r="I575" t="s">
        <v>196</v>
      </c>
      <c r="J575" t="s">
        <v>37</v>
      </c>
      <c r="K575" t="s">
        <v>37</v>
      </c>
      <c r="L575" t="s">
        <v>2325</v>
      </c>
      <c r="M575" t="s">
        <v>37</v>
      </c>
      <c r="N575" t="s">
        <v>37</v>
      </c>
      <c r="O575" t="s">
        <v>38</v>
      </c>
      <c r="P575">
        <v>45937</v>
      </c>
      <c r="Q575" s="55">
        <v>45965</v>
      </c>
      <c r="R575" t="s">
        <v>2326</v>
      </c>
      <c r="V575">
        <v>1</v>
      </c>
    </row>
    <row r="576" spans="1:22">
      <c r="A576" s="55">
        <v>45905</v>
      </c>
      <c r="B576" t="s">
        <v>2327</v>
      </c>
      <c r="C576" t="s">
        <v>2328</v>
      </c>
      <c r="D576" t="s">
        <v>63</v>
      </c>
      <c r="E576">
        <v>85006</v>
      </c>
      <c r="F576" t="s">
        <v>2329</v>
      </c>
      <c r="G576" t="s">
        <v>2130</v>
      </c>
      <c r="H576" t="s">
        <v>2330</v>
      </c>
      <c r="I576" t="s">
        <v>73</v>
      </c>
      <c r="J576" t="s">
        <v>37</v>
      </c>
      <c r="K576" t="s">
        <v>37</v>
      </c>
      <c r="L576" t="s">
        <v>38</v>
      </c>
      <c r="M576" t="s">
        <v>37</v>
      </c>
      <c r="N576" t="s">
        <v>37</v>
      </c>
      <c r="O576" t="s">
        <v>38</v>
      </c>
      <c r="P576" t="s">
        <v>39</v>
      </c>
      <c r="Q576" s="55">
        <v>45965</v>
      </c>
      <c r="V576">
        <v>1</v>
      </c>
    </row>
    <row r="577" spans="1:22">
      <c r="A577" s="55">
        <v>45905</v>
      </c>
      <c r="B577" t="s">
        <v>2331</v>
      </c>
      <c r="C577" t="s">
        <v>2332</v>
      </c>
      <c r="D577" t="s">
        <v>635</v>
      </c>
      <c r="E577">
        <v>85281</v>
      </c>
      <c r="F577" t="s">
        <v>310</v>
      </c>
      <c r="G577" t="s">
        <v>2130</v>
      </c>
      <c r="H577" t="s">
        <v>2333</v>
      </c>
      <c r="I577" t="s">
        <v>126</v>
      </c>
      <c r="J577" t="s">
        <v>37</v>
      </c>
      <c r="K577" t="s">
        <v>37</v>
      </c>
      <c r="L577" t="s">
        <v>2334</v>
      </c>
      <c r="M577" t="s">
        <v>37</v>
      </c>
      <c r="N577" t="s">
        <v>37</v>
      </c>
      <c r="O577" t="s">
        <v>38</v>
      </c>
      <c r="P577" t="s">
        <v>39</v>
      </c>
      <c r="Q577" s="55">
        <v>45965</v>
      </c>
      <c r="V577">
        <v>1</v>
      </c>
    </row>
    <row r="578" spans="1:22">
      <c r="A578" s="55">
        <v>45905</v>
      </c>
      <c r="B578" t="s">
        <v>2340</v>
      </c>
      <c r="C578" t="s">
        <v>2341</v>
      </c>
      <c r="D578" t="s">
        <v>174</v>
      </c>
      <c r="E578">
        <v>85326</v>
      </c>
      <c r="F578" t="s">
        <v>310</v>
      </c>
      <c r="G578" t="s">
        <v>2130</v>
      </c>
      <c r="H578" t="s">
        <v>2342</v>
      </c>
      <c r="I578" t="s">
        <v>541</v>
      </c>
      <c r="J578" t="s">
        <v>38</v>
      </c>
      <c r="K578" t="s">
        <v>37</v>
      </c>
      <c r="L578" t="s">
        <v>389</v>
      </c>
      <c r="M578" t="s">
        <v>37</v>
      </c>
      <c r="N578" t="s">
        <v>37</v>
      </c>
      <c r="O578" t="s">
        <v>38</v>
      </c>
      <c r="P578" t="s">
        <v>39</v>
      </c>
      <c r="Q578" s="55">
        <v>45965</v>
      </c>
      <c r="V578">
        <v>1</v>
      </c>
    </row>
    <row r="579" spans="1:22">
      <c r="A579" s="55">
        <v>45905</v>
      </c>
      <c r="B579" t="s">
        <v>2290</v>
      </c>
      <c r="C579" t="s">
        <v>2343</v>
      </c>
      <c r="D579" t="s">
        <v>63</v>
      </c>
      <c r="E579">
        <v>85024</v>
      </c>
      <c r="F579" t="s">
        <v>31</v>
      </c>
      <c r="G579" t="s">
        <v>2130</v>
      </c>
      <c r="H579" t="s">
        <v>2344</v>
      </c>
      <c r="I579" t="s">
        <v>36</v>
      </c>
      <c r="J579" t="s">
        <v>37</v>
      </c>
      <c r="K579" t="s">
        <v>37</v>
      </c>
      <c r="L579" t="s">
        <v>38</v>
      </c>
      <c r="M579" t="s">
        <v>37</v>
      </c>
      <c r="N579" t="s">
        <v>37</v>
      </c>
      <c r="O579" t="s">
        <v>38</v>
      </c>
      <c r="P579" t="s">
        <v>39</v>
      </c>
      <c r="Q579" s="55">
        <v>45965</v>
      </c>
      <c r="V579">
        <v>1</v>
      </c>
    </row>
    <row r="580" spans="1:22">
      <c r="A580" s="55">
        <v>45905</v>
      </c>
      <c r="B580" t="s">
        <v>2345</v>
      </c>
      <c r="C580" t="s">
        <v>75</v>
      </c>
      <c r="D580" t="s">
        <v>63</v>
      </c>
      <c r="E580">
        <v>85012</v>
      </c>
      <c r="F580" t="s">
        <v>310</v>
      </c>
      <c r="G580" t="s">
        <v>2130</v>
      </c>
      <c r="H580" t="s">
        <v>2346</v>
      </c>
      <c r="I580" t="s">
        <v>73</v>
      </c>
      <c r="J580" t="s">
        <v>37</v>
      </c>
      <c r="K580" t="s">
        <v>37</v>
      </c>
      <c r="L580" t="s">
        <v>401</v>
      </c>
      <c r="M580" t="s">
        <v>37</v>
      </c>
      <c r="N580" t="s">
        <v>37</v>
      </c>
      <c r="O580" t="s">
        <v>38</v>
      </c>
      <c r="P580" t="s">
        <v>39</v>
      </c>
      <c r="Q580" s="55">
        <v>38660</v>
      </c>
      <c r="R580" t="s">
        <v>2347</v>
      </c>
      <c r="V580">
        <v>1</v>
      </c>
    </row>
    <row r="581" spans="1:22">
      <c r="A581" s="55">
        <v>45905</v>
      </c>
      <c r="B581" t="s">
        <v>2348</v>
      </c>
      <c r="C581" t="s">
        <v>2349</v>
      </c>
      <c r="D581" t="s">
        <v>63</v>
      </c>
      <c r="E581">
        <v>85008</v>
      </c>
      <c r="F581" t="s">
        <v>31</v>
      </c>
      <c r="G581" t="s">
        <v>2130</v>
      </c>
      <c r="H581" t="s">
        <v>2350</v>
      </c>
      <c r="I581" t="s">
        <v>196</v>
      </c>
      <c r="J581" t="s">
        <v>37</v>
      </c>
      <c r="K581" t="s">
        <v>37</v>
      </c>
      <c r="L581" t="s">
        <v>2351</v>
      </c>
      <c r="M581" t="s">
        <v>37</v>
      </c>
      <c r="N581" t="s">
        <v>37</v>
      </c>
      <c r="O581" t="s">
        <v>38</v>
      </c>
      <c r="P581">
        <v>45937</v>
      </c>
      <c r="Q581" s="55">
        <v>45965</v>
      </c>
      <c r="R581" t="s">
        <v>2352</v>
      </c>
      <c r="V581">
        <v>1</v>
      </c>
    </row>
    <row r="582" spans="1:22">
      <c r="A582" s="55">
        <v>45905</v>
      </c>
      <c r="B582" t="s">
        <v>2353</v>
      </c>
      <c r="C582" t="s">
        <v>2354</v>
      </c>
      <c r="D582" t="s">
        <v>63</v>
      </c>
      <c r="E582">
        <v>85027</v>
      </c>
      <c r="F582" t="s">
        <v>310</v>
      </c>
      <c r="G582" t="s">
        <v>2130</v>
      </c>
      <c r="H582" t="s">
        <v>2355</v>
      </c>
      <c r="I582" t="s">
        <v>541</v>
      </c>
      <c r="J582" t="s">
        <v>37</v>
      </c>
      <c r="K582" t="s">
        <v>37</v>
      </c>
      <c r="L582" t="s">
        <v>389</v>
      </c>
      <c r="M582" t="s">
        <v>37</v>
      </c>
      <c r="N582" t="s">
        <v>37</v>
      </c>
      <c r="O582" t="s">
        <v>38</v>
      </c>
      <c r="P582" t="s">
        <v>39</v>
      </c>
      <c r="Q582" s="55">
        <v>45965</v>
      </c>
      <c r="V582">
        <v>1</v>
      </c>
    </row>
    <row r="583" spans="1:22">
      <c r="A583" s="55">
        <v>45905</v>
      </c>
      <c r="B583" t="s">
        <v>2356</v>
      </c>
      <c r="C583" t="s">
        <v>2219</v>
      </c>
      <c r="D583" t="s">
        <v>30</v>
      </c>
      <c r="E583" t="s">
        <v>30</v>
      </c>
      <c r="F583" t="s">
        <v>2357</v>
      </c>
      <c r="G583" t="s">
        <v>2130</v>
      </c>
      <c r="H583" t="s">
        <v>2358</v>
      </c>
      <c r="I583" t="s">
        <v>126</v>
      </c>
      <c r="J583" t="s">
        <v>37</v>
      </c>
      <c r="K583" t="s">
        <v>37</v>
      </c>
      <c r="L583" t="s">
        <v>38</v>
      </c>
      <c r="M583" t="s">
        <v>37</v>
      </c>
      <c r="N583" t="s">
        <v>37</v>
      </c>
      <c r="O583" t="s">
        <v>38</v>
      </c>
      <c r="P583" t="s">
        <v>39</v>
      </c>
      <c r="Q583" s="55">
        <v>45965</v>
      </c>
      <c r="V583">
        <v>1</v>
      </c>
    </row>
    <row r="584" spans="1:22">
      <c r="A584" s="55">
        <v>45906</v>
      </c>
      <c r="B584" t="s">
        <v>2365</v>
      </c>
      <c r="C584" t="s">
        <v>550</v>
      </c>
      <c r="D584" t="s">
        <v>63</v>
      </c>
      <c r="E584">
        <v>85004</v>
      </c>
      <c r="F584" t="s">
        <v>2366</v>
      </c>
      <c r="G584" t="s">
        <v>2364</v>
      </c>
      <c r="H584" t="s">
        <v>2367</v>
      </c>
      <c r="I584" t="s">
        <v>36</v>
      </c>
      <c r="J584" t="s">
        <v>37</v>
      </c>
      <c r="K584" t="s">
        <v>37</v>
      </c>
      <c r="L584" t="s">
        <v>38</v>
      </c>
      <c r="M584" t="s">
        <v>37</v>
      </c>
      <c r="N584" t="s">
        <v>37</v>
      </c>
      <c r="O584" t="s">
        <v>38</v>
      </c>
      <c r="P584" t="s">
        <v>39</v>
      </c>
      <c r="Q584" s="55">
        <v>45965</v>
      </c>
      <c r="V584">
        <v>1</v>
      </c>
    </row>
    <row r="585" spans="1:22">
      <c r="A585" s="55">
        <v>45906</v>
      </c>
      <c r="B585" t="s">
        <v>2368</v>
      </c>
      <c r="C585" t="s">
        <v>2116</v>
      </c>
      <c r="D585" t="s">
        <v>63</v>
      </c>
      <c r="E585">
        <v>85022</v>
      </c>
      <c r="F585" t="s">
        <v>310</v>
      </c>
      <c r="G585" t="s">
        <v>2364</v>
      </c>
      <c r="H585" t="s">
        <v>2369</v>
      </c>
      <c r="I585" t="s">
        <v>196</v>
      </c>
      <c r="J585" t="s">
        <v>37</v>
      </c>
      <c r="K585" t="s">
        <v>37</v>
      </c>
      <c r="L585" t="s">
        <v>2370</v>
      </c>
      <c r="M585" t="s">
        <v>37</v>
      </c>
      <c r="N585" t="s">
        <v>37</v>
      </c>
      <c r="O585" t="s">
        <v>38</v>
      </c>
      <c r="P585" t="s">
        <v>39</v>
      </c>
      <c r="Q585" s="55">
        <v>45965</v>
      </c>
      <c r="V585">
        <v>1</v>
      </c>
    </row>
    <row r="586" spans="1:22">
      <c r="A586" s="55">
        <v>45906</v>
      </c>
      <c r="B586" t="s">
        <v>2371</v>
      </c>
      <c r="C586" t="s">
        <v>503</v>
      </c>
      <c r="D586" t="s">
        <v>125</v>
      </c>
      <c r="E586">
        <v>85260</v>
      </c>
      <c r="F586" t="s">
        <v>310</v>
      </c>
      <c r="G586" t="s">
        <v>2364</v>
      </c>
      <c r="H586" t="s">
        <v>2372</v>
      </c>
      <c r="I586" t="s">
        <v>36</v>
      </c>
      <c r="J586" t="s">
        <v>37</v>
      </c>
      <c r="K586" t="s">
        <v>37</v>
      </c>
      <c r="L586" t="s">
        <v>38</v>
      </c>
      <c r="M586" t="s">
        <v>37</v>
      </c>
      <c r="N586" t="s">
        <v>37</v>
      </c>
      <c r="O586" t="s">
        <v>38</v>
      </c>
      <c r="P586" t="s">
        <v>39</v>
      </c>
      <c r="Q586" s="55">
        <v>45965</v>
      </c>
      <c r="V586">
        <v>1</v>
      </c>
    </row>
    <row r="587" spans="1:22">
      <c r="A587" s="55">
        <v>45906</v>
      </c>
      <c r="B587" t="s">
        <v>2373</v>
      </c>
      <c r="C587" t="s">
        <v>2339</v>
      </c>
      <c r="D587" t="s">
        <v>63</v>
      </c>
      <c r="E587">
        <v>85016</v>
      </c>
      <c r="F587" t="s">
        <v>2374</v>
      </c>
      <c r="G587" t="s">
        <v>2364</v>
      </c>
      <c r="H587" t="s">
        <v>2375</v>
      </c>
      <c r="I587" t="s">
        <v>126</v>
      </c>
      <c r="J587" t="s">
        <v>37</v>
      </c>
      <c r="K587" t="s">
        <v>37</v>
      </c>
      <c r="L587" t="s">
        <v>38</v>
      </c>
      <c r="M587" t="s">
        <v>37</v>
      </c>
      <c r="N587" t="s">
        <v>37</v>
      </c>
      <c r="O587" t="s">
        <v>38</v>
      </c>
      <c r="P587" t="s">
        <v>39</v>
      </c>
      <c r="Q587" s="55">
        <v>45965</v>
      </c>
      <c r="V587">
        <v>1</v>
      </c>
    </row>
    <row r="588" spans="1:22">
      <c r="A588" s="55">
        <v>45906</v>
      </c>
      <c r="B588" t="s">
        <v>2379</v>
      </c>
      <c r="C588" t="s">
        <v>2380</v>
      </c>
      <c r="D588" t="s">
        <v>63</v>
      </c>
      <c r="E588">
        <v>37204</v>
      </c>
      <c r="F588" t="s">
        <v>2381</v>
      </c>
      <c r="G588" t="s">
        <v>2364</v>
      </c>
      <c r="H588" t="s">
        <v>2382</v>
      </c>
      <c r="I588" t="s">
        <v>541</v>
      </c>
      <c r="J588" t="s">
        <v>37</v>
      </c>
      <c r="K588" t="s">
        <v>37</v>
      </c>
      <c r="L588" t="s">
        <v>389</v>
      </c>
      <c r="M588" t="s">
        <v>37</v>
      </c>
      <c r="N588" t="s">
        <v>37</v>
      </c>
      <c r="O588" t="s">
        <v>38</v>
      </c>
      <c r="P588" t="s">
        <v>39</v>
      </c>
      <c r="Q588" s="55">
        <v>45965</v>
      </c>
      <c r="U588" t="s">
        <v>724</v>
      </c>
      <c r="V588">
        <v>1</v>
      </c>
    </row>
    <row r="589" spans="1:22">
      <c r="A589" s="55">
        <v>45906</v>
      </c>
      <c r="B589" t="s">
        <v>2383</v>
      </c>
      <c r="C589" t="s">
        <v>246</v>
      </c>
      <c r="D589" t="s">
        <v>264</v>
      </c>
      <c r="E589">
        <v>85541</v>
      </c>
      <c r="F589" t="s">
        <v>2384</v>
      </c>
      <c r="G589" t="s">
        <v>2364</v>
      </c>
      <c r="H589" t="s">
        <v>2385</v>
      </c>
      <c r="I589" t="s">
        <v>36</v>
      </c>
      <c r="J589" t="s">
        <v>37</v>
      </c>
      <c r="K589" t="s">
        <v>37</v>
      </c>
      <c r="L589" t="s">
        <v>38</v>
      </c>
      <c r="M589" t="s">
        <v>37</v>
      </c>
      <c r="N589" t="s">
        <v>37</v>
      </c>
      <c r="O589" t="s">
        <v>38</v>
      </c>
      <c r="P589" t="s">
        <v>39</v>
      </c>
      <c r="Q589" s="55">
        <v>45965</v>
      </c>
      <c r="V589">
        <v>1</v>
      </c>
    </row>
    <row r="590" spans="1:22">
      <c r="A590" s="55">
        <v>45906</v>
      </c>
      <c r="B590" t="s">
        <v>2386</v>
      </c>
      <c r="C590" t="s">
        <v>697</v>
      </c>
      <c r="D590" t="s">
        <v>1693</v>
      </c>
      <c r="E590">
        <v>85373</v>
      </c>
      <c r="F590" t="s">
        <v>2387</v>
      </c>
      <c r="G590" t="s">
        <v>2364</v>
      </c>
      <c r="H590" t="s">
        <v>2388</v>
      </c>
      <c r="I590" t="s">
        <v>46</v>
      </c>
      <c r="J590" t="s">
        <v>37</v>
      </c>
      <c r="K590" t="s">
        <v>37</v>
      </c>
      <c r="L590" t="s">
        <v>38</v>
      </c>
      <c r="M590" t="s">
        <v>37</v>
      </c>
      <c r="N590" t="s">
        <v>37</v>
      </c>
      <c r="O590" t="s">
        <v>38</v>
      </c>
      <c r="P590" t="s">
        <v>39</v>
      </c>
      <c r="Q590" s="55">
        <v>45965</v>
      </c>
      <c r="V590">
        <v>1</v>
      </c>
    </row>
    <row r="591" spans="1:22">
      <c r="A591" s="55">
        <v>45906</v>
      </c>
      <c r="B591" t="s">
        <v>2391</v>
      </c>
      <c r="C591" t="s">
        <v>2392</v>
      </c>
      <c r="D591" t="s">
        <v>63</v>
      </c>
      <c r="E591">
        <v>85029</v>
      </c>
      <c r="F591" t="s">
        <v>305</v>
      </c>
      <c r="G591" t="s">
        <v>2364</v>
      </c>
      <c r="H591" t="s">
        <v>2393</v>
      </c>
      <c r="I591" t="s">
        <v>126</v>
      </c>
      <c r="J591" t="s">
        <v>37</v>
      </c>
      <c r="K591" t="s">
        <v>37</v>
      </c>
      <c r="L591" t="s">
        <v>38</v>
      </c>
      <c r="M591" t="s">
        <v>37</v>
      </c>
      <c r="N591" t="s">
        <v>37</v>
      </c>
      <c r="O591" t="s">
        <v>38</v>
      </c>
      <c r="P591" t="s">
        <v>39</v>
      </c>
      <c r="Q591" s="55">
        <v>45965</v>
      </c>
      <c r="V591">
        <v>1</v>
      </c>
    </row>
    <row r="592" spans="1:22">
      <c r="A592" s="55">
        <v>45906</v>
      </c>
      <c r="B592" t="s">
        <v>2394</v>
      </c>
      <c r="C592" t="s">
        <v>2395</v>
      </c>
      <c r="D592" t="s">
        <v>125</v>
      </c>
      <c r="E592">
        <v>85260</v>
      </c>
      <c r="F592" t="s">
        <v>31</v>
      </c>
      <c r="G592" t="s">
        <v>2364</v>
      </c>
      <c r="H592" t="s">
        <v>2396</v>
      </c>
      <c r="I592" t="s">
        <v>196</v>
      </c>
      <c r="J592" t="s">
        <v>37</v>
      </c>
      <c r="K592" t="s">
        <v>37</v>
      </c>
      <c r="L592" t="s">
        <v>2397</v>
      </c>
      <c r="M592" t="s">
        <v>37</v>
      </c>
      <c r="N592" t="s">
        <v>37</v>
      </c>
      <c r="O592" t="s">
        <v>38</v>
      </c>
      <c r="P592">
        <v>45964</v>
      </c>
      <c r="Q592" s="55">
        <v>45965</v>
      </c>
      <c r="R592" t="s">
        <v>2398</v>
      </c>
      <c r="V592">
        <v>1</v>
      </c>
    </row>
    <row r="593" spans="1:22">
      <c r="A593" s="55">
        <v>45906</v>
      </c>
      <c r="B593" t="s">
        <v>2401</v>
      </c>
      <c r="C593" t="s">
        <v>333</v>
      </c>
      <c r="D593" t="s">
        <v>63</v>
      </c>
      <c r="E593">
        <v>85012</v>
      </c>
      <c r="F593" t="s">
        <v>310</v>
      </c>
      <c r="G593" t="s">
        <v>2364</v>
      </c>
      <c r="H593" t="s">
        <v>2402</v>
      </c>
      <c r="I593" t="s">
        <v>73</v>
      </c>
      <c r="J593" t="s">
        <v>37</v>
      </c>
      <c r="K593" t="s">
        <v>37</v>
      </c>
      <c r="L593" t="s">
        <v>38</v>
      </c>
      <c r="M593" t="s">
        <v>37</v>
      </c>
      <c r="N593" t="s">
        <v>37</v>
      </c>
      <c r="O593" t="s">
        <v>38</v>
      </c>
      <c r="P593" t="s">
        <v>39</v>
      </c>
      <c r="Q593" s="55">
        <v>45965</v>
      </c>
      <c r="V593">
        <v>1</v>
      </c>
    </row>
    <row r="594" spans="1:22">
      <c r="A594" s="55">
        <v>45906</v>
      </c>
      <c r="B594" t="s">
        <v>2403</v>
      </c>
      <c r="C594" t="s">
        <v>2404</v>
      </c>
      <c r="D594" t="s">
        <v>125</v>
      </c>
      <c r="E594">
        <v>85251</v>
      </c>
      <c r="F594" t="s">
        <v>2405</v>
      </c>
      <c r="G594" t="s">
        <v>2364</v>
      </c>
      <c r="H594" t="s">
        <v>2406</v>
      </c>
      <c r="I594" t="s">
        <v>36</v>
      </c>
      <c r="J594" t="s">
        <v>37</v>
      </c>
      <c r="K594" t="s">
        <v>37</v>
      </c>
      <c r="L594" t="s">
        <v>38</v>
      </c>
      <c r="M594" t="s">
        <v>37</v>
      </c>
      <c r="N594" t="s">
        <v>37</v>
      </c>
      <c r="O594" t="s">
        <v>38</v>
      </c>
      <c r="P594" t="s">
        <v>39</v>
      </c>
      <c r="Q594" s="55">
        <v>45965</v>
      </c>
      <c r="V594">
        <v>1</v>
      </c>
    </row>
    <row r="595" spans="1:22">
      <c r="A595" s="55">
        <v>45906</v>
      </c>
      <c r="B595" t="s">
        <v>2408</v>
      </c>
      <c r="C595" t="s">
        <v>355</v>
      </c>
      <c r="D595" t="s">
        <v>24</v>
      </c>
      <c r="E595">
        <v>85310</v>
      </c>
      <c r="F595" t="s">
        <v>2409</v>
      </c>
      <c r="G595" t="s">
        <v>2364</v>
      </c>
      <c r="H595" t="s">
        <v>2410</v>
      </c>
      <c r="I595" t="s">
        <v>126</v>
      </c>
      <c r="J595" t="s">
        <v>37</v>
      </c>
      <c r="K595" t="s">
        <v>37</v>
      </c>
      <c r="L595" t="s">
        <v>38</v>
      </c>
      <c r="M595" t="s">
        <v>37</v>
      </c>
      <c r="N595" t="s">
        <v>37</v>
      </c>
      <c r="O595" t="s">
        <v>38</v>
      </c>
      <c r="P595" t="s">
        <v>39</v>
      </c>
      <c r="Q595" s="55">
        <v>45965</v>
      </c>
      <c r="V595">
        <v>1</v>
      </c>
    </row>
    <row r="596" spans="1:22">
      <c r="A596" s="55">
        <v>45906</v>
      </c>
      <c r="B596" t="s">
        <v>2413</v>
      </c>
      <c r="C596" t="s">
        <v>427</v>
      </c>
      <c r="D596" t="s">
        <v>24</v>
      </c>
      <c r="E596">
        <v>85308</v>
      </c>
      <c r="F596" t="s">
        <v>2414</v>
      </c>
      <c r="G596" t="s">
        <v>2364</v>
      </c>
      <c r="H596" t="s">
        <v>2415</v>
      </c>
      <c r="I596" t="s">
        <v>36</v>
      </c>
      <c r="J596" t="s">
        <v>37</v>
      </c>
      <c r="K596" t="s">
        <v>37</v>
      </c>
      <c r="L596" t="s">
        <v>38</v>
      </c>
      <c r="M596" t="s">
        <v>37</v>
      </c>
      <c r="N596" t="s">
        <v>37</v>
      </c>
      <c r="O596" t="s">
        <v>38</v>
      </c>
      <c r="P596" t="s">
        <v>39</v>
      </c>
      <c r="Q596" s="55">
        <v>45965</v>
      </c>
      <c r="V596">
        <v>1</v>
      </c>
    </row>
    <row r="597" spans="1:22">
      <c r="A597" s="55">
        <v>45906</v>
      </c>
      <c r="B597" t="s">
        <v>2416</v>
      </c>
      <c r="C597" t="s">
        <v>717</v>
      </c>
      <c r="D597" t="s">
        <v>30</v>
      </c>
      <c r="E597" t="s">
        <v>30</v>
      </c>
      <c r="F597" t="s">
        <v>2417</v>
      </c>
      <c r="G597" t="s">
        <v>2364</v>
      </c>
      <c r="H597" t="s">
        <v>2418</v>
      </c>
      <c r="I597" t="s">
        <v>126</v>
      </c>
      <c r="J597" t="s">
        <v>37</v>
      </c>
      <c r="K597" t="s">
        <v>37</v>
      </c>
      <c r="L597" t="s">
        <v>2419</v>
      </c>
      <c r="M597" t="s">
        <v>37</v>
      </c>
      <c r="N597" t="s">
        <v>37</v>
      </c>
      <c r="O597" t="s">
        <v>38</v>
      </c>
      <c r="P597" t="s">
        <v>39</v>
      </c>
      <c r="Q597" s="55">
        <v>45965</v>
      </c>
      <c r="V597">
        <v>1</v>
      </c>
    </row>
    <row r="598" spans="1:22">
      <c r="A598" s="55">
        <v>45906</v>
      </c>
      <c r="B598" t="s">
        <v>2420</v>
      </c>
      <c r="C598" t="s">
        <v>611</v>
      </c>
      <c r="D598" t="s">
        <v>129</v>
      </c>
      <c r="E598">
        <v>85233</v>
      </c>
      <c r="F598" t="s">
        <v>310</v>
      </c>
      <c r="G598" t="s">
        <v>2364</v>
      </c>
      <c r="H598" t="s">
        <v>2421</v>
      </c>
      <c r="I598" t="s">
        <v>243</v>
      </c>
      <c r="J598" t="s">
        <v>37</v>
      </c>
      <c r="K598" t="s">
        <v>37</v>
      </c>
      <c r="L598" t="s">
        <v>389</v>
      </c>
      <c r="M598" t="s">
        <v>37</v>
      </c>
      <c r="N598" t="s">
        <v>37</v>
      </c>
      <c r="O598" t="s">
        <v>38</v>
      </c>
      <c r="P598" t="s">
        <v>39</v>
      </c>
      <c r="Q598" s="55">
        <v>45965</v>
      </c>
      <c r="V598">
        <v>1</v>
      </c>
    </row>
    <row r="599" spans="1:22">
      <c r="A599" s="55">
        <v>45906</v>
      </c>
      <c r="B599" t="s">
        <v>49</v>
      </c>
      <c r="C599" t="s">
        <v>2422</v>
      </c>
      <c r="D599" t="s">
        <v>24</v>
      </c>
      <c r="E599">
        <v>85306</v>
      </c>
      <c r="F599" t="s">
        <v>310</v>
      </c>
      <c r="G599" t="s">
        <v>2364</v>
      </c>
      <c r="H599" t="s">
        <v>2423</v>
      </c>
      <c r="I599" t="s">
        <v>36</v>
      </c>
      <c r="J599" t="s">
        <v>37</v>
      </c>
      <c r="K599" t="s">
        <v>37</v>
      </c>
      <c r="L599" t="s">
        <v>38</v>
      </c>
      <c r="M599" t="s">
        <v>37</v>
      </c>
      <c r="N599" t="s">
        <v>37</v>
      </c>
      <c r="O599" t="s">
        <v>38</v>
      </c>
      <c r="P599" t="s">
        <v>39</v>
      </c>
      <c r="Q599" s="55">
        <v>45965</v>
      </c>
      <c r="V599">
        <v>1</v>
      </c>
    </row>
    <row r="600" spans="1:22">
      <c r="A600" s="55">
        <v>45906</v>
      </c>
      <c r="B600" t="s">
        <v>2178</v>
      </c>
      <c r="C600" t="s">
        <v>2097</v>
      </c>
      <c r="D600" t="s">
        <v>63</v>
      </c>
      <c r="E600">
        <v>85028</v>
      </c>
      <c r="F600" t="s">
        <v>310</v>
      </c>
      <c r="G600" t="s">
        <v>2364</v>
      </c>
      <c r="H600" t="s">
        <v>2424</v>
      </c>
      <c r="I600" t="s">
        <v>541</v>
      </c>
      <c r="J600" t="s">
        <v>37</v>
      </c>
      <c r="K600" t="s">
        <v>37</v>
      </c>
      <c r="L600" t="s">
        <v>389</v>
      </c>
      <c r="M600" t="s">
        <v>37</v>
      </c>
      <c r="N600" t="s">
        <v>37</v>
      </c>
      <c r="O600" t="s">
        <v>38</v>
      </c>
      <c r="P600" t="s">
        <v>39</v>
      </c>
      <c r="Q600" s="55">
        <v>45965</v>
      </c>
      <c r="V600">
        <v>1</v>
      </c>
    </row>
    <row r="601" spans="1:22">
      <c r="A601" s="55">
        <v>45906</v>
      </c>
      <c r="B601" t="s">
        <v>2425</v>
      </c>
      <c r="C601" t="s">
        <v>2426</v>
      </c>
      <c r="D601" t="s">
        <v>63</v>
      </c>
      <c r="E601">
        <v>85085</v>
      </c>
      <c r="F601" t="s">
        <v>310</v>
      </c>
      <c r="G601" t="s">
        <v>2364</v>
      </c>
      <c r="H601" t="s">
        <v>2427</v>
      </c>
      <c r="I601" t="s">
        <v>73</v>
      </c>
      <c r="J601" t="s">
        <v>37</v>
      </c>
      <c r="K601" t="s">
        <v>37</v>
      </c>
      <c r="L601" t="s">
        <v>38</v>
      </c>
      <c r="M601" t="s">
        <v>37</v>
      </c>
      <c r="N601" t="s">
        <v>37</v>
      </c>
      <c r="O601" t="s">
        <v>38</v>
      </c>
      <c r="P601" t="s">
        <v>39</v>
      </c>
      <c r="Q601" s="55">
        <v>45965</v>
      </c>
      <c r="V601">
        <v>1</v>
      </c>
    </row>
    <row r="602" spans="1:22">
      <c r="A602" s="55">
        <v>45906</v>
      </c>
      <c r="B602" t="s">
        <v>2428</v>
      </c>
      <c r="C602" t="s">
        <v>875</v>
      </c>
      <c r="D602" t="s">
        <v>2429</v>
      </c>
      <c r="E602">
        <v>85132</v>
      </c>
      <c r="F602" t="s">
        <v>2430</v>
      </c>
      <c r="G602" t="s">
        <v>2364</v>
      </c>
      <c r="H602" t="s">
        <v>2431</v>
      </c>
      <c r="I602" t="s">
        <v>46</v>
      </c>
      <c r="J602" t="s">
        <v>37</v>
      </c>
      <c r="K602" t="s">
        <v>37</v>
      </c>
      <c r="L602" t="s">
        <v>38</v>
      </c>
      <c r="M602" t="s">
        <v>37</v>
      </c>
      <c r="N602" t="s">
        <v>37</v>
      </c>
      <c r="O602" t="s">
        <v>38</v>
      </c>
      <c r="P602" t="s">
        <v>39</v>
      </c>
      <c r="Q602" s="55">
        <v>45965</v>
      </c>
      <c r="V602">
        <v>1</v>
      </c>
    </row>
    <row r="603" spans="1:22">
      <c r="A603" s="55">
        <v>45906</v>
      </c>
      <c r="B603" t="s">
        <v>2432</v>
      </c>
      <c r="C603" t="s">
        <v>481</v>
      </c>
      <c r="D603" t="s">
        <v>24</v>
      </c>
      <c r="E603">
        <v>85308</v>
      </c>
      <c r="F603" t="s">
        <v>31</v>
      </c>
      <c r="G603" t="s">
        <v>2364</v>
      </c>
      <c r="H603" t="s">
        <v>2433</v>
      </c>
      <c r="I603" t="s">
        <v>36</v>
      </c>
      <c r="J603" t="s">
        <v>37</v>
      </c>
      <c r="K603" t="s">
        <v>37</v>
      </c>
      <c r="L603" t="s">
        <v>38</v>
      </c>
      <c r="M603" t="s">
        <v>37</v>
      </c>
      <c r="N603" t="s">
        <v>37</v>
      </c>
      <c r="O603" t="s">
        <v>38</v>
      </c>
      <c r="P603" t="s">
        <v>39</v>
      </c>
      <c r="Q603" s="55">
        <v>45965</v>
      </c>
      <c r="V603">
        <v>1</v>
      </c>
    </row>
    <row r="604" spans="1:22">
      <c r="A604" s="55">
        <v>45906</v>
      </c>
      <c r="B604" t="s">
        <v>2434</v>
      </c>
      <c r="C604" t="s">
        <v>256</v>
      </c>
      <c r="D604" t="s">
        <v>112</v>
      </c>
      <c r="E604">
        <v>85379</v>
      </c>
      <c r="F604" t="s">
        <v>31</v>
      </c>
      <c r="G604" t="s">
        <v>2364</v>
      </c>
      <c r="H604" t="s">
        <v>2435</v>
      </c>
      <c r="I604" t="s">
        <v>46</v>
      </c>
      <c r="J604" t="s">
        <v>37</v>
      </c>
      <c r="K604" t="s">
        <v>37</v>
      </c>
      <c r="L604" t="s">
        <v>38</v>
      </c>
      <c r="M604" t="s">
        <v>37</v>
      </c>
      <c r="N604" t="s">
        <v>37</v>
      </c>
      <c r="O604" t="s">
        <v>38</v>
      </c>
      <c r="P604" t="s">
        <v>39</v>
      </c>
      <c r="Q604" s="55">
        <v>45965</v>
      </c>
      <c r="V604">
        <v>1</v>
      </c>
    </row>
    <row r="605" spans="1:22">
      <c r="A605" s="55">
        <v>45906</v>
      </c>
      <c r="B605" t="s">
        <v>2436</v>
      </c>
      <c r="C605" t="s">
        <v>225</v>
      </c>
      <c r="D605" t="s">
        <v>125</v>
      </c>
      <c r="E605">
        <v>85260</v>
      </c>
      <c r="F605" t="s">
        <v>2437</v>
      </c>
      <c r="G605" t="s">
        <v>2364</v>
      </c>
      <c r="H605" t="s">
        <v>2438</v>
      </c>
      <c r="I605" t="s">
        <v>36</v>
      </c>
      <c r="J605" t="s">
        <v>37</v>
      </c>
      <c r="K605" t="s">
        <v>37</v>
      </c>
      <c r="L605" t="s">
        <v>2439</v>
      </c>
      <c r="M605" t="s">
        <v>37</v>
      </c>
      <c r="N605" t="s">
        <v>37</v>
      </c>
      <c r="O605" t="s">
        <v>38</v>
      </c>
      <c r="P605">
        <v>45945</v>
      </c>
      <c r="Q605" s="55">
        <v>45965</v>
      </c>
      <c r="R605" t="s">
        <v>2440</v>
      </c>
      <c r="V605">
        <v>1</v>
      </c>
    </row>
    <row r="606" spans="1:22">
      <c r="A606" s="55">
        <v>45906</v>
      </c>
      <c r="B606" t="s">
        <v>2441</v>
      </c>
      <c r="C606" t="s">
        <v>71</v>
      </c>
      <c r="D606" t="s">
        <v>63</v>
      </c>
      <c r="E606">
        <v>85006</v>
      </c>
      <c r="F606" t="s">
        <v>310</v>
      </c>
      <c r="G606" t="s">
        <v>2364</v>
      </c>
      <c r="H606" t="s">
        <v>2442</v>
      </c>
      <c r="I606" t="s">
        <v>73</v>
      </c>
      <c r="J606" t="s">
        <v>37</v>
      </c>
      <c r="K606" t="s">
        <v>37</v>
      </c>
      <c r="L606" t="s">
        <v>38</v>
      </c>
      <c r="M606" t="s">
        <v>37</v>
      </c>
      <c r="N606" t="s">
        <v>37</v>
      </c>
      <c r="O606" t="s">
        <v>38</v>
      </c>
      <c r="P606" t="s">
        <v>39</v>
      </c>
      <c r="Q606" s="55">
        <v>45965</v>
      </c>
      <c r="V606">
        <v>1</v>
      </c>
    </row>
    <row r="607" spans="1:22">
      <c r="A607" s="55">
        <v>45906</v>
      </c>
      <c r="B607" t="s">
        <v>2443</v>
      </c>
      <c r="C607" t="s">
        <v>2444</v>
      </c>
      <c r="D607" t="s">
        <v>202</v>
      </c>
      <c r="E607">
        <v>85383</v>
      </c>
      <c r="F607" t="s">
        <v>310</v>
      </c>
      <c r="G607" t="s">
        <v>2364</v>
      </c>
      <c r="H607" t="s">
        <v>2445</v>
      </c>
      <c r="I607" t="s">
        <v>46</v>
      </c>
      <c r="J607" t="s">
        <v>37</v>
      </c>
      <c r="K607" t="s">
        <v>37</v>
      </c>
      <c r="L607" t="s">
        <v>2446</v>
      </c>
      <c r="M607" t="s">
        <v>37</v>
      </c>
      <c r="N607" t="s">
        <v>37</v>
      </c>
      <c r="O607" t="s">
        <v>38</v>
      </c>
      <c r="P607">
        <v>45939</v>
      </c>
      <c r="Q607" s="55">
        <v>45965</v>
      </c>
      <c r="R607" t="s">
        <v>484</v>
      </c>
      <c r="V607">
        <v>1</v>
      </c>
    </row>
    <row r="608" spans="1:22">
      <c r="A608" s="55">
        <v>45906</v>
      </c>
      <c r="B608" t="s">
        <v>2447</v>
      </c>
      <c r="C608" t="s">
        <v>334</v>
      </c>
      <c r="D608" t="s">
        <v>63</v>
      </c>
      <c r="E608">
        <v>85027</v>
      </c>
      <c r="F608" t="s">
        <v>310</v>
      </c>
      <c r="G608" t="s">
        <v>2364</v>
      </c>
      <c r="H608" t="s">
        <v>2448</v>
      </c>
      <c r="I608" t="s">
        <v>250</v>
      </c>
      <c r="J608" t="s">
        <v>37</v>
      </c>
      <c r="K608" t="s">
        <v>37</v>
      </c>
      <c r="L608" t="s">
        <v>38</v>
      </c>
      <c r="M608" t="s">
        <v>37</v>
      </c>
      <c r="N608" t="s">
        <v>37</v>
      </c>
      <c r="O608" t="s">
        <v>38</v>
      </c>
      <c r="P608" t="s">
        <v>39</v>
      </c>
      <c r="Q608" s="55">
        <v>45965</v>
      </c>
      <c r="V608">
        <v>1</v>
      </c>
    </row>
    <row r="609" spans="1:22">
      <c r="A609" s="55">
        <v>45906</v>
      </c>
      <c r="B609" t="s">
        <v>2449</v>
      </c>
      <c r="C609" t="s">
        <v>2450</v>
      </c>
      <c r="D609" t="s">
        <v>112</v>
      </c>
      <c r="E609">
        <v>85338</v>
      </c>
      <c r="F609" t="s">
        <v>310</v>
      </c>
      <c r="G609" t="s">
        <v>2364</v>
      </c>
      <c r="H609" t="s">
        <v>2451</v>
      </c>
      <c r="I609" t="s">
        <v>36</v>
      </c>
      <c r="J609" t="s">
        <v>37</v>
      </c>
      <c r="K609" t="s">
        <v>37</v>
      </c>
      <c r="L609" t="s">
        <v>38</v>
      </c>
      <c r="M609" t="s">
        <v>37</v>
      </c>
      <c r="N609" t="s">
        <v>37</v>
      </c>
      <c r="O609" t="s">
        <v>38</v>
      </c>
      <c r="P609" t="s">
        <v>39</v>
      </c>
      <c r="Q609" s="55">
        <v>45964</v>
      </c>
      <c r="V609">
        <v>1</v>
      </c>
    </row>
    <row r="610" spans="1:22">
      <c r="A610" s="55">
        <v>45906</v>
      </c>
      <c r="B610" t="s">
        <v>2453</v>
      </c>
      <c r="C610" t="s">
        <v>2454</v>
      </c>
      <c r="D610" t="s">
        <v>63</v>
      </c>
      <c r="E610">
        <v>85024</v>
      </c>
      <c r="F610" t="s">
        <v>310</v>
      </c>
      <c r="G610" t="s">
        <v>2364</v>
      </c>
      <c r="H610" t="s">
        <v>2455</v>
      </c>
      <c r="I610" t="s">
        <v>57</v>
      </c>
      <c r="J610" t="s">
        <v>37</v>
      </c>
      <c r="K610" t="s">
        <v>37</v>
      </c>
      <c r="L610" t="s">
        <v>2456</v>
      </c>
      <c r="M610" t="s">
        <v>37</v>
      </c>
      <c r="N610" t="s">
        <v>37</v>
      </c>
      <c r="O610" t="s">
        <v>38</v>
      </c>
      <c r="P610" t="s">
        <v>39</v>
      </c>
      <c r="Q610" s="55">
        <v>45964</v>
      </c>
      <c r="V610">
        <v>1</v>
      </c>
    </row>
    <row r="611" spans="1:22">
      <c r="A611" s="55">
        <v>45906</v>
      </c>
      <c r="B611" t="s">
        <v>2457</v>
      </c>
      <c r="C611" t="s">
        <v>2458</v>
      </c>
      <c r="D611" t="s">
        <v>635</v>
      </c>
      <c r="E611">
        <v>85281</v>
      </c>
      <c r="F611" t="s">
        <v>31</v>
      </c>
      <c r="G611" t="s">
        <v>2364</v>
      </c>
      <c r="H611" t="s">
        <v>2459</v>
      </c>
      <c r="I611" t="s">
        <v>196</v>
      </c>
      <c r="J611" t="s">
        <v>37</v>
      </c>
      <c r="K611" t="s">
        <v>37</v>
      </c>
      <c r="L611" t="s">
        <v>2460</v>
      </c>
      <c r="M611" t="s">
        <v>37</v>
      </c>
      <c r="N611" t="s">
        <v>37</v>
      </c>
      <c r="O611" t="s">
        <v>38</v>
      </c>
      <c r="P611" t="s">
        <v>39</v>
      </c>
      <c r="Q611" s="55">
        <v>45964</v>
      </c>
      <c r="V611">
        <v>1</v>
      </c>
    </row>
    <row r="612" spans="1:22">
      <c r="A612" s="55">
        <v>45906</v>
      </c>
      <c r="B612" t="s">
        <v>370</v>
      </c>
      <c r="C612" t="s">
        <v>768</v>
      </c>
      <c r="D612" t="s">
        <v>63</v>
      </c>
      <c r="E612">
        <v>85024</v>
      </c>
      <c r="F612" t="s">
        <v>2461</v>
      </c>
      <c r="G612" t="s">
        <v>2364</v>
      </c>
      <c r="H612" t="s">
        <v>2462</v>
      </c>
      <c r="I612" t="s">
        <v>57</v>
      </c>
      <c r="J612" t="s">
        <v>37</v>
      </c>
      <c r="K612" t="s">
        <v>37</v>
      </c>
      <c r="L612" t="s">
        <v>2463</v>
      </c>
      <c r="M612" t="s">
        <v>37</v>
      </c>
      <c r="N612" t="s">
        <v>37</v>
      </c>
      <c r="O612" t="s">
        <v>38</v>
      </c>
      <c r="P612" t="s">
        <v>39</v>
      </c>
      <c r="Q612" s="55">
        <v>45964</v>
      </c>
      <c r="R612" t="s">
        <v>2464</v>
      </c>
      <c r="V612">
        <v>1</v>
      </c>
    </row>
    <row r="613" spans="1:22">
      <c r="A613" s="55">
        <v>45906</v>
      </c>
      <c r="B613" t="s">
        <v>2468</v>
      </c>
      <c r="C613" t="s">
        <v>481</v>
      </c>
      <c r="D613" t="s">
        <v>504</v>
      </c>
      <c r="E613">
        <v>86005</v>
      </c>
      <c r="F613" t="s">
        <v>310</v>
      </c>
      <c r="G613" t="s">
        <v>2364</v>
      </c>
      <c r="H613" t="s">
        <v>2469</v>
      </c>
      <c r="I613" t="s">
        <v>73</v>
      </c>
      <c r="J613" t="s">
        <v>37</v>
      </c>
      <c r="K613" t="s">
        <v>37</v>
      </c>
      <c r="L613" t="s">
        <v>38</v>
      </c>
      <c r="M613" t="s">
        <v>37</v>
      </c>
      <c r="N613" t="s">
        <v>37</v>
      </c>
      <c r="O613" t="s">
        <v>38</v>
      </c>
      <c r="P613" t="s">
        <v>39</v>
      </c>
      <c r="Q613" s="55">
        <v>45964</v>
      </c>
      <c r="V613">
        <v>1</v>
      </c>
    </row>
    <row r="614" spans="1:22">
      <c r="A614" s="55">
        <v>45906</v>
      </c>
      <c r="B614" t="s">
        <v>262</v>
      </c>
      <c r="C614" t="s">
        <v>658</v>
      </c>
      <c r="D614" t="s">
        <v>63</v>
      </c>
      <c r="E614">
        <v>85028</v>
      </c>
      <c r="F614" t="s">
        <v>310</v>
      </c>
      <c r="G614" t="s">
        <v>2364</v>
      </c>
      <c r="H614" t="s">
        <v>2470</v>
      </c>
      <c r="I614" t="s">
        <v>46</v>
      </c>
      <c r="J614" t="s">
        <v>37</v>
      </c>
      <c r="K614" t="s">
        <v>37</v>
      </c>
      <c r="L614" t="s">
        <v>38</v>
      </c>
      <c r="M614" t="s">
        <v>37</v>
      </c>
      <c r="N614" t="s">
        <v>37</v>
      </c>
      <c r="O614" t="s">
        <v>38</v>
      </c>
      <c r="P614" t="s">
        <v>39</v>
      </c>
      <c r="Q614" s="55">
        <v>45964</v>
      </c>
      <c r="V614">
        <v>1</v>
      </c>
    </row>
    <row r="615" spans="1:22">
      <c r="A615" s="55">
        <v>45906</v>
      </c>
      <c r="B615" t="s">
        <v>2471</v>
      </c>
      <c r="C615" t="s">
        <v>376</v>
      </c>
      <c r="D615" t="s">
        <v>68</v>
      </c>
      <c r="E615">
        <v>85331</v>
      </c>
      <c r="F615" t="s">
        <v>310</v>
      </c>
      <c r="G615" t="s">
        <v>2364</v>
      </c>
      <c r="H615" t="s">
        <v>2472</v>
      </c>
      <c r="I615" t="s">
        <v>196</v>
      </c>
      <c r="J615" t="s">
        <v>37</v>
      </c>
      <c r="K615" t="s">
        <v>37</v>
      </c>
      <c r="L615" t="s">
        <v>2473</v>
      </c>
      <c r="M615" t="s">
        <v>37</v>
      </c>
      <c r="N615" t="s">
        <v>37</v>
      </c>
      <c r="O615" t="s">
        <v>38</v>
      </c>
      <c r="P615">
        <v>45939</v>
      </c>
      <c r="Q615" s="55">
        <v>45964</v>
      </c>
      <c r="R615" t="s">
        <v>2474</v>
      </c>
      <c r="V615">
        <v>1</v>
      </c>
    </row>
    <row r="616" spans="1:22">
      <c r="A616" s="55">
        <v>45906</v>
      </c>
      <c r="B616" t="s">
        <v>2475</v>
      </c>
      <c r="C616" t="s">
        <v>2476</v>
      </c>
      <c r="D616" t="s">
        <v>63</v>
      </c>
      <c r="E616">
        <v>85032</v>
      </c>
      <c r="F616" t="s">
        <v>310</v>
      </c>
      <c r="G616" t="s">
        <v>2364</v>
      </c>
      <c r="H616" t="s">
        <v>2477</v>
      </c>
      <c r="I616" t="s">
        <v>418</v>
      </c>
      <c r="J616" t="s">
        <v>37</v>
      </c>
      <c r="K616" t="s">
        <v>37</v>
      </c>
      <c r="L616" t="s">
        <v>389</v>
      </c>
      <c r="M616" t="s">
        <v>37</v>
      </c>
      <c r="N616" t="s">
        <v>37</v>
      </c>
      <c r="O616" t="s">
        <v>38</v>
      </c>
      <c r="P616" t="s">
        <v>39</v>
      </c>
      <c r="Q616" s="55">
        <v>45964</v>
      </c>
      <c r="V616">
        <v>1</v>
      </c>
    </row>
    <row r="617" spans="1:22">
      <c r="A617" s="55">
        <v>45906</v>
      </c>
      <c r="B617" t="s">
        <v>657</v>
      </c>
      <c r="C617" t="s">
        <v>2478</v>
      </c>
      <c r="D617" t="s">
        <v>129</v>
      </c>
      <c r="E617">
        <v>85234</v>
      </c>
      <c r="F617" t="s">
        <v>31</v>
      </c>
      <c r="G617" t="s">
        <v>2364</v>
      </c>
      <c r="H617" t="s">
        <v>2479</v>
      </c>
      <c r="I617" t="s">
        <v>126</v>
      </c>
      <c r="J617" t="s">
        <v>37</v>
      </c>
      <c r="K617" t="s">
        <v>37</v>
      </c>
      <c r="L617" t="s">
        <v>38</v>
      </c>
      <c r="M617" t="s">
        <v>37</v>
      </c>
      <c r="N617" t="s">
        <v>37</v>
      </c>
      <c r="O617" t="s">
        <v>38</v>
      </c>
      <c r="P617" t="s">
        <v>39</v>
      </c>
      <c r="Q617" s="55">
        <v>45964</v>
      </c>
      <c r="V617">
        <v>1</v>
      </c>
    </row>
    <row r="618" spans="1:22">
      <c r="A618" s="55">
        <v>45906</v>
      </c>
      <c r="B618" t="s">
        <v>2480</v>
      </c>
      <c r="C618" t="s">
        <v>363</v>
      </c>
      <c r="D618" t="s">
        <v>619</v>
      </c>
      <c r="E618">
        <v>85367</v>
      </c>
      <c r="F618" t="s">
        <v>31</v>
      </c>
      <c r="G618" t="s">
        <v>2364</v>
      </c>
      <c r="H618" t="s">
        <v>2481</v>
      </c>
      <c r="I618" t="s">
        <v>46</v>
      </c>
      <c r="J618" t="s">
        <v>37</v>
      </c>
      <c r="K618" t="s">
        <v>37</v>
      </c>
      <c r="L618" t="s">
        <v>38</v>
      </c>
      <c r="M618" t="s">
        <v>38</v>
      </c>
      <c r="N618">
        <v>122.88</v>
      </c>
      <c r="O618" t="s">
        <v>38</v>
      </c>
      <c r="P618" t="s">
        <v>39</v>
      </c>
      <c r="Q618" s="55">
        <v>45964</v>
      </c>
      <c r="V618">
        <v>1</v>
      </c>
    </row>
    <row r="619" spans="1:22">
      <c r="A619" s="55">
        <v>45906</v>
      </c>
      <c r="B619" t="s">
        <v>2482</v>
      </c>
      <c r="C619" t="s">
        <v>62</v>
      </c>
      <c r="D619" t="s">
        <v>63</v>
      </c>
      <c r="E619">
        <v>85024</v>
      </c>
      <c r="F619" t="s">
        <v>2366</v>
      </c>
      <c r="G619" t="s">
        <v>2364</v>
      </c>
      <c r="H619" t="s">
        <v>2483</v>
      </c>
      <c r="I619" t="s">
        <v>36</v>
      </c>
      <c r="J619" t="s">
        <v>37</v>
      </c>
      <c r="K619" t="s">
        <v>37</v>
      </c>
      <c r="L619" t="s">
        <v>38</v>
      </c>
      <c r="M619" t="s">
        <v>37</v>
      </c>
      <c r="N619" t="s">
        <v>37</v>
      </c>
      <c r="O619" t="s">
        <v>38</v>
      </c>
      <c r="P619" t="s">
        <v>39</v>
      </c>
      <c r="Q619" s="55">
        <v>45964</v>
      </c>
      <c r="V619">
        <v>1</v>
      </c>
    </row>
    <row r="620" spans="1:22">
      <c r="A620" s="55">
        <v>45906</v>
      </c>
      <c r="B620" t="s">
        <v>2485</v>
      </c>
      <c r="C620" t="s">
        <v>757</v>
      </c>
      <c r="D620" t="s">
        <v>635</v>
      </c>
      <c r="E620">
        <v>85281</v>
      </c>
      <c r="F620" t="s">
        <v>310</v>
      </c>
      <c r="G620" t="s">
        <v>2364</v>
      </c>
      <c r="H620" t="s">
        <v>2486</v>
      </c>
      <c r="I620" t="s">
        <v>36</v>
      </c>
      <c r="J620" t="s">
        <v>37</v>
      </c>
      <c r="K620" t="s">
        <v>37</v>
      </c>
      <c r="L620" t="s">
        <v>38</v>
      </c>
      <c r="M620" t="s">
        <v>37</v>
      </c>
      <c r="N620" t="s">
        <v>37</v>
      </c>
      <c r="O620" t="s">
        <v>38</v>
      </c>
      <c r="P620" t="s">
        <v>39</v>
      </c>
      <c r="Q620" s="55">
        <v>45964</v>
      </c>
      <c r="V620">
        <v>1</v>
      </c>
    </row>
    <row r="621" spans="1:22">
      <c r="A621" s="55">
        <v>45906</v>
      </c>
      <c r="B621" t="s">
        <v>2488</v>
      </c>
      <c r="C621" t="s">
        <v>481</v>
      </c>
      <c r="D621" t="s">
        <v>63</v>
      </c>
      <c r="E621">
        <v>85004</v>
      </c>
      <c r="F621" t="s">
        <v>310</v>
      </c>
      <c r="G621" t="s">
        <v>2364</v>
      </c>
      <c r="H621" t="s">
        <v>2489</v>
      </c>
      <c r="I621" t="s">
        <v>126</v>
      </c>
      <c r="J621" t="s">
        <v>37</v>
      </c>
      <c r="K621" t="s">
        <v>37</v>
      </c>
      <c r="L621" t="s">
        <v>2490</v>
      </c>
      <c r="M621" t="s">
        <v>37</v>
      </c>
      <c r="N621" t="s">
        <v>37</v>
      </c>
      <c r="O621" t="s">
        <v>38</v>
      </c>
      <c r="P621" t="s">
        <v>39</v>
      </c>
      <c r="Q621" s="55">
        <v>45964</v>
      </c>
      <c r="V621">
        <v>1</v>
      </c>
    </row>
    <row r="622" spans="1:22">
      <c r="A622" s="55">
        <v>45906</v>
      </c>
      <c r="B622" t="s">
        <v>2491</v>
      </c>
      <c r="C622" t="s">
        <v>2492</v>
      </c>
      <c r="D622" t="s">
        <v>202</v>
      </c>
      <c r="E622">
        <v>85382</v>
      </c>
      <c r="F622" t="s">
        <v>310</v>
      </c>
      <c r="G622" t="s">
        <v>2364</v>
      </c>
      <c r="H622" t="s">
        <v>2493</v>
      </c>
      <c r="I622" t="s">
        <v>36</v>
      </c>
      <c r="J622" t="s">
        <v>37</v>
      </c>
      <c r="K622" t="s">
        <v>37</v>
      </c>
      <c r="L622" t="s">
        <v>38</v>
      </c>
      <c r="M622" t="s">
        <v>37</v>
      </c>
      <c r="N622" t="s">
        <v>37</v>
      </c>
      <c r="O622" t="s">
        <v>38</v>
      </c>
      <c r="P622" t="s">
        <v>39</v>
      </c>
      <c r="Q622" s="55">
        <v>45964</v>
      </c>
      <c r="V622">
        <v>1</v>
      </c>
    </row>
    <row r="623" spans="1:22">
      <c r="A623" s="55">
        <v>45906</v>
      </c>
      <c r="B623" t="s">
        <v>2494</v>
      </c>
      <c r="C623" t="s">
        <v>2495</v>
      </c>
      <c r="D623" t="s">
        <v>63</v>
      </c>
      <c r="E623">
        <v>85014</v>
      </c>
      <c r="F623" t="s">
        <v>310</v>
      </c>
      <c r="G623" t="s">
        <v>2364</v>
      </c>
      <c r="H623" t="s">
        <v>2496</v>
      </c>
      <c r="I623" t="s">
        <v>196</v>
      </c>
      <c r="J623" t="s">
        <v>37</v>
      </c>
      <c r="K623" t="s">
        <v>37</v>
      </c>
      <c r="L623" t="s">
        <v>2497</v>
      </c>
      <c r="M623" t="s">
        <v>37</v>
      </c>
      <c r="N623" t="s">
        <v>37</v>
      </c>
      <c r="O623" t="s">
        <v>38</v>
      </c>
      <c r="P623" t="s">
        <v>39</v>
      </c>
      <c r="Q623" s="55">
        <v>45964</v>
      </c>
      <c r="V623">
        <v>1</v>
      </c>
    </row>
    <row r="624" spans="1:22">
      <c r="A624" s="55">
        <v>45906</v>
      </c>
      <c r="B624" t="s">
        <v>2498</v>
      </c>
      <c r="C624" t="s">
        <v>2499</v>
      </c>
      <c r="D624" t="s">
        <v>202</v>
      </c>
      <c r="E624">
        <v>85383</v>
      </c>
      <c r="F624" t="s">
        <v>2500</v>
      </c>
      <c r="G624" t="s">
        <v>2364</v>
      </c>
      <c r="H624" t="s">
        <v>2501</v>
      </c>
      <c r="I624" t="s">
        <v>46</v>
      </c>
      <c r="J624" t="s">
        <v>37</v>
      </c>
      <c r="K624" t="s">
        <v>37</v>
      </c>
      <c r="L624" t="s">
        <v>2502</v>
      </c>
      <c r="M624" t="s">
        <v>37</v>
      </c>
      <c r="N624" t="s">
        <v>37</v>
      </c>
      <c r="O624" t="s">
        <v>38</v>
      </c>
      <c r="P624">
        <v>45939</v>
      </c>
      <c r="Q624" s="55">
        <v>45964</v>
      </c>
      <c r="R624" t="s">
        <v>2503</v>
      </c>
      <c r="V624">
        <v>1</v>
      </c>
    </row>
    <row r="625" spans="1:22">
      <c r="A625" s="55">
        <v>45906</v>
      </c>
      <c r="B625" t="s">
        <v>2504</v>
      </c>
      <c r="C625" t="s">
        <v>2505</v>
      </c>
      <c r="D625" t="s">
        <v>68</v>
      </c>
      <c r="E625">
        <v>85331</v>
      </c>
      <c r="F625" t="s">
        <v>310</v>
      </c>
      <c r="G625" t="s">
        <v>2364</v>
      </c>
      <c r="H625" t="s">
        <v>2506</v>
      </c>
      <c r="I625" t="s">
        <v>196</v>
      </c>
      <c r="J625" t="s">
        <v>37</v>
      </c>
      <c r="K625" t="s">
        <v>37</v>
      </c>
      <c r="L625" t="s">
        <v>38</v>
      </c>
      <c r="M625" t="s">
        <v>37</v>
      </c>
      <c r="N625" t="s">
        <v>37</v>
      </c>
      <c r="O625" t="s">
        <v>38</v>
      </c>
      <c r="P625" t="s">
        <v>39</v>
      </c>
      <c r="Q625" s="55">
        <v>45964</v>
      </c>
      <c r="V625">
        <v>1</v>
      </c>
    </row>
    <row r="626" spans="1:22">
      <c r="A626" s="55">
        <v>45906</v>
      </c>
      <c r="B626" t="s">
        <v>2507</v>
      </c>
      <c r="C626" t="s">
        <v>67</v>
      </c>
      <c r="D626" t="s">
        <v>112</v>
      </c>
      <c r="E626">
        <v>85378</v>
      </c>
      <c r="F626" t="s">
        <v>741</v>
      </c>
      <c r="G626" t="s">
        <v>2364</v>
      </c>
      <c r="H626" t="s">
        <v>2508</v>
      </c>
      <c r="I626" t="s">
        <v>36</v>
      </c>
      <c r="J626" t="s">
        <v>37</v>
      </c>
      <c r="K626" t="s">
        <v>37</v>
      </c>
      <c r="L626" t="s">
        <v>38</v>
      </c>
      <c r="M626" t="s">
        <v>37</v>
      </c>
      <c r="N626" t="s">
        <v>37</v>
      </c>
      <c r="O626" t="s">
        <v>38</v>
      </c>
      <c r="P626" t="s">
        <v>39</v>
      </c>
      <c r="Q626" s="55">
        <v>45964</v>
      </c>
      <c r="R626" t="s">
        <v>2509</v>
      </c>
      <c r="V626">
        <v>1</v>
      </c>
    </row>
    <row r="627" spans="1:22">
      <c r="A627" s="55">
        <v>45906</v>
      </c>
      <c r="B627" t="s">
        <v>2510</v>
      </c>
      <c r="C627" t="s">
        <v>363</v>
      </c>
      <c r="D627" t="s">
        <v>63</v>
      </c>
      <c r="E627">
        <v>85083</v>
      </c>
      <c r="F627" t="s">
        <v>31</v>
      </c>
      <c r="G627" t="s">
        <v>2364</v>
      </c>
      <c r="H627" t="s">
        <v>2511</v>
      </c>
      <c r="I627" t="s">
        <v>36</v>
      </c>
      <c r="J627" t="s">
        <v>37</v>
      </c>
      <c r="K627" t="s">
        <v>37</v>
      </c>
      <c r="L627" t="s">
        <v>38</v>
      </c>
      <c r="M627" t="s">
        <v>37</v>
      </c>
      <c r="N627" t="s">
        <v>37</v>
      </c>
      <c r="O627" t="s">
        <v>38</v>
      </c>
      <c r="P627" t="s">
        <v>39</v>
      </c>
      <c r="Q627" s="55">
        <v>45964</v>
      </c>
      <c r="V627">
        <v>1</v>
      </c>
    </row>
    <row r="628" spans="1:22">
      <c r="A628" s="55">
        <v>45906</v>
      </c>
      <c r="B628" t="s">
        <v>650</v>
      </c>
      <c r="C628" t="s">
        <v>1815</v>
      </c>
      <c r="D628" t="s">
        <v>125</v>
      </c>
      <c r="E628">
        <v>85260</v>
      </c>
      <c r="F628" t="s">
        <v>310</v>
      </c>
      <c r="G628" t="s">
        <v>2364</v>
      </c>
      <c r="H628" t="s">
        <v>2513</v>
      </c>
      <c r="I628" t="s">
        <v>73</v>
      </c>
      <c r="J628" t="s">
        <v>37</v>
      </c>
      <c r="K628" t="s">
        <v>37</v>
      </c>
      <c r="L628" t="s">
        <v>401</v>
      </c>
      <c r="M628" t="s">
        <v>37</v>
      </c>
      <c r="N628" t="s">
        <v>37</v>
      </c>
      <c r="O628" t="s">
        <v>38</v>
      </c>
      <c r="P628" t="s">
        <v>39</v>
      </c>
      <c r="Q628" s="55">
        <v>45964</v>
      </c>
      <c r="V628">
        <v>1</v>
      </c>
    </row>
    <row r="629" spans="1:22">
      <c r="A629" s="55">
        <v>45906</v>
      </c>
      <c r="B629" t="s">
        <v>2514</v>
      </c>
      <c r="C629" t="s">
        <v>1876</v>
      </c>
      <c r="D629" t="s">
        <v>125</v>
      </c>
      <c r="E629">
        <v>85260</v>
      </c>
      <c r="F629" t="s">
        <v>31</v>
      </c>
      <c r="G629" t="s">
        <v>2364</v>
      </c>
      <c r="H629" t="s">
        <v>2515</v>
      </c>
      <c r="I629" t="s">
        <v>36</v>
      </c>
      <c r="J629" t="s">
        <v>37</v>
      </c>
      <c r="K629" t="s">
        <v>37</v>
      </c>
      <c r="L629" t="s">
        <v>38</v>
      </c>
      <c r="M629" t="s">
        <v>37</v>
      </c>
      <c r="N629" t="s">
        <v>37</v>
      </c>
      <c r="O629" t="s">
        <v>38</v>
      </c>
      <c r="P629" t="s">
        <v>39</v>
      </c>
      <c r="Q629" s="55">
        <v>45964</v>
      </c>
      <c r="V629">
        <v>1</v>
      </c>
    </row>
    <row r="630" spans="1:22">
      <c r="A630" s="55">
        <v>45906</v>
      </c>
      <c r="B630" t="s">
        <v>2516</v>
      </c>
      <c r="C630" t="s">
        <v>1140</v>
      </c>
      <c r="D630" t="s">
        <v>125</v>
      </c>
      <c r="E630">
        <v>85260</v>
      </c>
      <c r="F630" t="s">
        <v>310</v>
      </c>
      <c r="G630" t="s">
        <v>2364</v>
      </c>
      <c r="H630" t="s">
        <v>2517</v>
      </c>
      <c r="I630" t="s">
        <v>126</v>
      </c>
      <c r="J630" t="s">
        <v>37</v>
      </c>
      <c r="K630" t="s">
        <v>37</v>
      </c>
      <c r="L630" t="s">
        <v>38</v>
      </c>
      <c r="M630" t="s">
        <v>37</v>
      </c>
      <c r="N630" t="s">
        <v>37</v>
      </c>
      <c r="O630" t="s">
        <v>38</v>
      </c>
      <c r="P630" t="s">
        <v>39</v>
      </c>
      <c r="Q630" s="55">
        <v>45964</v>
      </c>
      <c r="V630">
        <v>1</v>
      </c>
    </row>
    <row r="631" spans="1:22">
      <c r="A631" s="55">
        <v>45906</v>
      </c>
      <c r="B631" t="s">
        <v>333</v>
      </c>
      <c r="C631" t="s">
        <v>145</v>
      </c>
      <c r="D631" t="s">
        <v>63</v>
      </c>
      <c r="E631">
        <v>85085</v>
      </c>
      <c r="F631" t="s">
        <v>2518</v>
      </c>
      <c r="G631" t="s">
        <v>2364</v>
      </c>
      <c r="H631" t="s">
        <v>2519</v>
      </c>
      <c r="I631" t="s">
        <v>36</v>
      </c>
      <c r="J631" t="s">
        <v>37</v>
      </c>
      <c r="K631" t="s">
        <v>37</v>
      </c>
      <c r="L631" t="s">
        <v>38</v>
      </c>
      <c r="M631" t="s">
        <v>37</v>
      </c>
      <c r="N631" t="s">
        <v>37</v>
      </c>
      <c r="O631" t="s">
        <v>38</v>
      </c>
      <c r="P631" t="s">
        <v>39</v>
      </c>
      <c r="Q631" s="55">
        <v>45964</v>
      </c>
      <c r="V631">
        <v>1</v>
      </c>
    </row>
    <row r="632" spans="1:22">
      <c r="A632" s="55">
        <v>45906</v>
      </c>
      <c r="B632" t="s">
        <v>2523</v>
      </c>
      <c r="C632" t="s">
        <v>760</v>
      </c>
      <c r="D632" t="s">
        <v>2524</v>
      </c>
      <c r="E632">
        <v>85122</v>
      </c>
      <c r="F632" t="s">
        <v>2525</v>
      </c>
      <c r="G632" t="s">
        <v>2364</v>
      </c>
      <c r="H632" t="s">
        <v>2526</v>
      </c>
      <c r="I632" t="s">
        <v>36</v>
      </c>
      <c r="J632" t="s">
        <v>37</v>
      </c>
      <c r="K632" t="s">
        <v>37</v>
      </c>
      <c r="L632" t="s">
        <v>38</v>
      </c>
      <c r="M632" t="s">
        <v>37</v>
      </c>
      <c r="N632" t="s">
        <v>37</v>
      </c>
      <c r="O632" t="s">
        <v>38</v>
      </c>
      <c r="P632" t="s">
        <v>39</v>
      </c>
      <c r="Q632" s="55">
        <v>45964</v>
      </c>
      <c r="V632">
        <v>1</v>
      </c>
    </row>
    <row r="633" spans="1:22">
      <c r="A633" s="55">
        <v>45906</v>
      </c>
      <c r="B633" t="s">
        <v>2527</v>
      </c>
      <c r="C633" t="s">
        <v>2528</v>
      </c>
      <c r="D633" t="s">
        <v>202</v>
      </c>
      <c r="E633">
        <v>85383</v>
      </c>
      <c r="F633" t="s">
        <v>310</v>
      </c>
      <c r="G633" t="s">
        <v>2364</v>
      </c>
      <c r="H633" t="s">
        <v>2529</v>
      </c>
      <c r="I633" t="s">
        <v>57</v>
      </c>
      <c r="J633" t="s">
        <v>37</v>
      </c>
      <c r="K633" t="s">
        <v>37</v>
      </c>
      <c r="L633" t="s">
        <v>2530</v>
      </c>
      <c r="M633" t="s">
        <v>37</v>
      </c>
      <c r="N633" t="s">
        <v>37</v>
      </c>
      <c r="O633" t="s">
        <v>38</v>
      </c>
      <c r="P633">
        <v>45939</v>
      </c>
      <c r="Q633" s="55">
        <v>45964</v>
      </c>
      <c r="R633" t="s">
        <v>2474</v>
      </c>
      <c r="V633">
        <v>1</v>
      </c>
    </row>
    <row r="634" spans="1:22">
      <c r="A634" s="55">
        <v>45906</v>
      </c>
      <c r="B634" t="s">
        <v>2531</v>
      </c>
      <c r="C634" t="s">
        <v>529</v>
      </c>
      <c r="D634" t="s">
        <v>24</v>
      </c>
      <c r="E634">
        <v>85307</v>
      </c>
      <c r="F634" t="s">
        <v>2532</v>
      </c>
      <c r="G634" t="s">
        <v>2364</v>
      </c>
      <c r="H634" t="s">
        <v>2533</v>
      </c>
      <c r="I634" t="s">
        <v>46</v>
      </c>
      <c r="J634" t="s">
        <v>37</v>
      </c>
      <c r="K634" t="s">
        <v>37</v>
      </c>
      <c r="L634" t="s">
        <v>38</v>
      </c>
      <c r="M634" t="s">
        <v>37</v>
      </c>
      <c r="N634" t="s">
        <v>37</v>
      </c>
      <c r="O634" t="s">
        <v>38</v>
      </c>
      <c r="P634" t="s">
        <v>39</v>
      </c>
      <c r="Q634" s="55">
        <v>45964</v>
      </c>
      <c r="V634">
        <v>1</v>
      </c>
    </row>
    <row r="635" spans="1:22">
      <c r="A635" s="55">
        <v>45906</v>
      </c>
      <c r="B635" t="s">
        <v>2534</v>
      </c>
      <c r="C635" t="s">
        <v>177</v>
      </c>
      <c r="D635" t="s">
        <v>63</v>
      </c>
      <c r="E635">
        <v>85053</v>
      </c>
      <c r="F635" t="s">
        <v>310</v>
      </c>
      <c r="G635" t="s">
        <v>2364</v>
      </c>
      <c r="H635" t="s">
        <v>2535</v>
      </c>
      <c r="I635" t="s">
        <v>36</v>
      </c>
      <c r="J635" t="s">
        <v>37</v>
      </c>
      <c r="K635" t="s">
        <v>37</v>
      </c>
      <c r="L635" t="s">
        <v>38</v>
      </c>
      <c r="M635" t="s">
        <v>37</v>
      </c>
      <c r="N635" t="s">
        <v>37</v>
      </c>
      <c r="O635" t="s">
        <v>38</v>
      </c>
      <c r="P635" t="s">
        <v>39</v>
      </c>
      <c r="Q635" s="55">
        <v>45964</v>
      </c>
      <c r="V635">
        <v>1</v>
      </c>
    </row>
    <row r="636" spans="1:22">
      <c r="A636" s="55">
        <v>45906</v>
      </c>
      <c r="B636" t="s">
        <v>2536</v>
      </c>
      <c r="C636" t="s">
        <v>135</v>
      </c>
      <c r="D636" t="s">
        <v>89</v>
      </c>
      <c r="E636">
        <v>86336</v>
      </c>
      <c r="F636" t="s">
        <v>2129</v>
      </c>
      <c r="G636" t="s">
        <v>2364</v>
      </c>
      <c r="H636" t="s">
        <v>2537</v>
      </c>
      <c r="I636" t="s">
        <v>243</v>
      </c>
      <c r="J636" t="s">
        <v>37</v>
      </c>
      <c r="K636" t="s">
        <v>37</v>
      </c>
      <c r="L636" t="s">
        <v>389</v>
      </c>
      <c r="M636" t="s">
        <v>37</v>
      </c>
      <c r="N636" t="s">
        <v>37</v>
      </c>
      <c r="O636" t="s">
        <v>38</v>
      </c>
      <c r="P636" t="s">
        <v>39</v>
      </c>
      <c r="Q636" s="55">
        <v>45964</v>
      </c>
      <c r="V636">
        <v>1</v>
      </c>
    </row>
    <row r="637" spans="1:22">
      <c r="A637" s="55">
        <v>45906</v>
      </c>
      <c r="B637" t="s">
        <v>2538</v>
      </c>
      <c r="C637" t="s">
        <v>2144</v>
      </c>
      <c r="D637" t="s">
        <v>63</v>
      </c>
      <c r="E637">
        <v>85012</v>
      </c>
      <c r="F637" t="s">
        <v>310</v>
      </c>
      <c r="G637" t="s">
        <v>2364</v>
      </c>
      <c r="H637" t="s">
        <v>2539</v>
      </c>
      <c r="I637" t="s">
        <v>36</v>
      </c>
      <c r="J637" t="s">
        <v>37</v>
      </c>
      <c r="K637" t="s">
        <v>37</v>
      </c>
      <c r="L637" t="s">
        <v>401</v>
      </c>
      <c r="M637" t="s">
        <v>37</v>
      </c>
      <c r="N637" t="s">
        <v>37</v>
      </c>
      <c r="O637" t="s">
        <v>38</v>
      </c>
      <c r="P637" t="s">
        <v>39</v>
      </c>
      <c r="Q637" s="55">
        <v>45964</v>
      </c>
      <c r="V637">
        <v>1</v>
      </c>
    </row>
    <row r="638" spans="1:22">
      <c r="A638" s="55">
        <v>45906</v>
      </c>
      <c r="B638" t="s">
        <v>2540</v>
      </c>
      <c r="C638" t="s">
        <v>2541</v>
      </c>
      <c r="D638" t="s">
        <v>2542</v>
      </c>
      <c r="E638">
        <v>86325</v>
      </c>
      <c r="F638" t="s">
        <v>2543</v>
      </c>
      <c r="G638" t="s">
        <v>2364</v>
      </c>
      <c r="H638" t="s">
        <v>2544</v>
      </c>
      <c r="I638" t="s">
        <v>73</v>
      </c>
      <c r="J638" t="s">
        <v>37</v>
      </c>
      <c r="K638" t="s">
        <v>37</v>
      </c>
      <c r="L638" t="s">
        <v>38</v>
      </c>
      <c r="M638" t="s">
        <v>37</v>
      </c>
      <c r="N638" t="s">
        <v>37</v>
      </c>
      <c r="O638" t="s">
        <v>38</v>
      </c>
      <c r="P638" t="s">
        <v>39</v>
      </c>
      <c r="Q638" s="55">
        <v>45964</v>
      </c>
      <c r="V638">
        <v>1</v>
      </c>
    </row>
    <row r="639" spans="1:22">
      <c r="A639" s="55">
        <v>45906</v>
      </c>
      <c r="B639" t="s">
        <v>2545</v>
      </c>
      <c r="C639" t="s">
        <v>543</v>
      </c>
      <c r="D639" t="s">
        <v>63</v>
      </c>
      <c r="E639">
        <v>85003</v>
      </c>
      <c r="F639" t="s">
        <v>310</v>
      </c>
      <c r="G639" t="s">
        <v>2364</v>
      </c>
      <c r="H639" t="s">
        <v>2546</v>
      </c>
      <c r="I639" t="s">
        <v>73</v>
      </c>
      <c r="J639" t="s">
        <v>37</v>
      </c>
      <c r="K639" t="s">
        <v>37</v>
      </c>
      <c r="L639" t="s">
        <v>38</v>
      </c>
      <c r="M639" t="s">
        <v>37</v>
      </c>
      <c r="N639" t="s">
        <v>37</v>
      </c>
      <c r="O639" t="s">
        <v>38</v>
      </c>
      <c r="P639" t="s">
        <v>39</v>
      </c>
      <c r="Q639" s="55">
        <v>45964</v>
      </c>
      <c r="V639">
        <v>1</v>
      </c>
    </row>
    <row r="640" spans="1:22">
      <c r="A640" s="55">
        <v>45906</v>
      </c>
      <c r="B640" t="s">
        <v>2547</v>
      </c>
      <c r="C640" t="s">
        <v>611</v>
      </c>
      <c r="D640" t="s">
        <v>202</v>
      </c>
      <c r="E640">
        <v>85383</v>
      </c>
      <c r="F640" t="s">
        <v>2548</v>
      </c>
      <c r="G640" t="s">
        <v>2364</v>
      </c>
      <c r="H640" t="s">
        <v>2549</v>
      </c>
      <c r="I640" t="s">
        <v>418</v>
      </c>
      <c r="J640" t="s">
        <v>38</v>
      </c>
      <c r="K640" t="s">
        <v>37</v>
      </c>
      <c r="L640" t="s">
        <v>389</v>
      </c>
      <c r="M640" t="s">
        <v>37</v>
      </c>
      <c r="N640" t="s">
        <v>37</v>
      </c>
      <c r="O640" t="s">
        <v>38</v>
      </c>
      <c r="P640" t="s">
        <v>39</v>
      </c>
      <c r="Q640" s="55">
        <v>45964</v>
      </c>
      <c r="V640">
        <v>1</v>
      </c>
    </row>
    <row r="641" spans="1:22">
      <c r="A641" s="55">
        <v>45906</v>
      </c>
      <c r="B641" t="s">
        <v>2550</v>
      </c>
      <c r="C641" t="s">
        <v>2551</v>
      </c>
      <c r="D641" t="s">
        <v>169</v>
      </c>
      <c r="E641">
        <v>85338</v>
      </c>
      <c r="F641" t="s">
        <v>31</v>
      </c>
      <c r="G641" t="s">
        <v>2364</v>
      </c>
      <c r="H641" t="s">
        <v>2552</v>
      </c>
      <c r="I641" t="s">
        <v>36</v>
      </c>
      <c r="J641" t="s">
        <v>37</v>
      </c>
      <c r="K641" t="s">
        <v>37</v>
      </c>
      <c r="L641" t="s">
        <v>38</v>
      </c>
      <c r="M641" t="s">
        <v>37</v>
      </c>
      <c r="N641" t="s">
        <v>37</v>
      </c>
      <c r="O641" t="s">
        <v>38</v>
      </c>
      <c r="P641" t="s">
        <v>39</v>
      </c>
      <c r="Q641" s="55">
        <v>45964</v>
      </c>
      <c r="V641">
        <v>1</v>
      </c>
    </row>
    <row r="642" spans="1:22">
      <c r="A642" s="55">
        <v>45906</v>
      </c>
      <c r="B642" t="s">
        <v>2553</v>
      </c>
      <c r="C642" t="s">
        <v>2554</v>
      </c>
      <c r="D642" t="s">
        <v>63</v>
      </c>
      <c r="E642">
        <v>85032</v>
      </c>
      <c r="F642" t="s">
        <v>310</v>
      </c>
      <c r="G642" t="s">
        <v>2364</v>
      </c>
      <c r="H642" t="s">
        <v>2555</v>
      </c>
      <c r="I642" t="s">
        <v>57</v>
      </c>
      <c r="J642" t="s">
        <v>37</v>
      </c>
      <c r="K642" t="s">
        <v>37</v>
      </c>
      <c r="L642" t="s">
        <v>2556</v>
      </c>
      <c r="M642" t="s">
        <v>37</v>
      </c>
      <c r="N642" t="s">
        <v>37</v>
      </c>
      <c r="O642" t="s">
        <v>38</v>
      </c>
      <c r="P642" t="s">
        <v>39</v>
      </c>
      <c r="Q642" s="55">
        <v>45964</v>
      </c>
      <c r="V642">
        <v>1</v>
      </c>
    </row>
    <row r="643" spans="1:22">
      <c r="A643" s="55">
        <v>45906</v>
      </c>
      <c r="B643" t="s">
        <v>2557</v>
      </c>
      <c r="C643" t="s">
        <v>2558</v>
      </c>
      <c r="D643" t="s">
        <v>63</v>
      </c>
      <c r="E643">
        <v>85014</v>
      </c>
      <c r="F643" t="s">
        <v>2559</v>
      </c>
      <c r="G643" t="s">
        <v>2364</v>
      </c>
      <c r="H643" t="s">
        <v>2560</v>
      </c>
      <c r="I643" t="s">
        <v>73</v>
      </c>
      <c r="J643" t="s">
        <v>37</v>
      </c>
      <c r="K643" t="s">
        <v>37</v>
      </c>
      <c r="L643" t="s">
        <v>38</v>
      </c>
      <c r="M643" t="s">
        <v>37</v>
      </c>
      <c r="N643" t="s">
        <v>37</v>
      </c>
      <c r="O643" t="s">
        <v>38</v>
      </c>
      <c r="P643" t="s">
        <v>39</v>
      </c>
      <c r="Q643" s="55">
        <v>45964</v>
      </c>
      <c r="V643">
        <v>1</v>
      </c>
    </row>
    <row r="644" spans="1:22">
      <c r="A644" s="55">
        <v>45906</v>
      </c>
      <c r="B644" t="s">
        <v>2561</v>
      </c>
      <c r="C644" t="s">
        <v>2562</v>
      </c>
      <c r="D644" t="s">
        <v>112</v>
      </c>
      <c r="E644">
        <v>85388</v>
      </c>
      <c r="F644" t="s">
        <v>310</v>
      </c>
      <c r="G644" t="s">
        <v>2563</v>
      </c>
      <c r="H644" t="s">
        <v>2564</v>
      </c>
      <c r="I644" t="s">
        <v>46</v>
      </c>
      <c r="J644" t="s">
        <v>37</v>
      </c>
      <c r="K644" t="s">
        <v>37</v>
      </c>
      <c r="L644" t="s">
        <v>1586</v>
      </c>
      <c r="M644" t="s">
        <v>37</v>
      </c>
      <c r="N644" t="s">
        <v>37</v>
      </c>
      <c r="O644" t="s">
        <v>38</v>
      </c>
      <c r="P644" t="s">
        <v>39</v>
      </c>
      <c r="Q644" s="55">
        <v>45960</v>
      </c>
      <c r="R644" t="s">
        <v>2565</v>
      </c>
      <c r="V644">
        <v>1</v>
      </c>
    </row>
    <row r="645" spans="1:22">
      <c r="A645" s="55">
        <v>45906</v>
      </c>
      <c r="B645" t="s">
        <v>2568</v>
      </c>
      <c r="C645" t="s">
        <v>2569</v>
      </c>
      <c r="D645" t="s">
        <v>202</v>
      </c>
      <c r="E645">
        <v>85383</v>
      </c>
      <c r="F645" t="s">
        <v>25</v>
      </c>
      <c r="G645" t="s">
        <v>2364</v>
      </c>
      <c r="H645" t="s">
        <v>2570</v>
      </c>
      <c r="I645" t="s">
        <v>36</v>
      </c>
      <c r="J645" t="s">
        <v>37</v>
      </c>
      <c r="K645" t="s">
        <v>37</v>
      </c>
      <c r="L645" t="s">
        <v>38</v>
      </c>
      <c r="M645" t="s">
        <v>37</v>
      </c>
      <c r="N645" t="s">
        <v>37</v>
      </c>
      <c r="O645" t="s">
        <v>38</v>
      </c>
      <c r="P645" t="s">
        <v>39</v>
      </c>
      <c r="Q645" s="55">
        <v>45964</v>
      </c>
      <c r="V645">
        <v>1</v>
      </c>
    </row>
    <row r="646" spans="1:22">
      <c r="A646" s="55">
        <v>45907</v>
      </c>
      <c r="B646" t="s">
        <v>2573</v>
      </c>
      <c r="C646" t="s">
        <v>312</v>
      </c>
      <c r="D646" t="s">
        <v>125</v>
      </c>
      <c r="E646">
        <v>85254</v>
      </c>
      <c r="F646" t="s">
        <v>2574</v>
      </c>
      <c r="G646" t="s">
        <v>2364</v>
      </c>
      <c r="H646" t="s">
        <v>2575</v>
      </c>
      <c r="I646" t="s">
        <v>36</v>
      </c>
      <c r="J646" t="s">
        <v>37</v>
      </c>
      <c r="K646" t="s">
        <v>37</v>
      </c>
      <c r="L646" t="s">
        <v>38</v>
      </c>
      <c r="M646" t="s">
        <v>37</v>
      </c>
      <c r="N646" t="s">
        <v>37</v>
      </c>
      <c r="O646" t="s">
        <v>38</v>
      </c>
      <c r="P646" t="s">
        <v>39</v>
      </c>
      <c r="Q646" s="55">
        <v>45964</v>
      </c>
      <c r="V646">
        <v>1</v>
      </c>
    </row>
    <row r="647" spans="1:22">
      <c r="A647" s="55">
        <v>45907</v>
      </c>
      <c r="B647" t="s">
        <v>2576</v>
      </c>
      <c r="C647" t="s">
        <v>2577</v>
      </c>
      <c r="D647" t="s">
        <v>202</v>
      </c>
      <c r="E647">
        <v>85382</v>
      </c>
      <c r="F647" t="s">
        <v>310</v>
      </c>
      <c r="G647" t="s">
        <v>2364</v>
      </c>
      <c r="H647" t="s">
        <v>2578</v>
      </c>
      <c r="I647" t="s">
        <v>196</v>
      </c>
      <c r="J647" t="s">
        <v>37</v>
      </c>
      <c r="K647" t="s">
        <v>37</v>
      </c>
      <c r="L647" t="s">
        <v>2579</v>
      </c>
      <c r="M647" t="s">
        <v>37</v>
      </c>
      <c r="N647" t="s">
        <v>37</v>
      </c>
      <c r="O647" t="s">
        <v>38</v>
      </c>
      <c r="P647">
        <v>45939</v>
      </c>
      <c r="Q647" s="55">
        <v>45964</v>
      </c>
      <c r="R647" t="s">
        <v>2474</v>
      </c>
      <c r="V647">
        <v>1</v>
      </c>
    </row>
    <row r="648" spans="1:22">
      <c r="A648" s="55">
        <v>45907</v>
      </c>
      <c r="B648" t="s">
        <v>2580</v>
      </c>
      <c r="C648" t="s">
        <v>962</v>
      </c>
      <c r="D648" t="s">
        <v>63</v>
      </c>
      <c r="E648">
        <v>85022</v>
      </c>
      <c r="F648" t="s">
        <v>2581</v>
      </c>
      <c r="G648" t="s">
        <v>2364</v>
      </c>
      <c r="H648" t="s">
        <v>2582</v>
      </c>
      <c r="I648" t="s">
        <v>36</v>
      </c>
      <c r="J648" t="s">
        <v>37</v>
      </c>
      <c r="K648" t="s">
        <v>37</v>
      </c>
      <c r="L648" t="s">
        <v>38</v>
      </c>
      <c r="M648" t="s">
        <v>37</v>
      </c>
      <c r="N648" t="s">
        <v>37</v>
      </c>
      <c r="O648" t="s">
        <v>38</v>
      </c>
      <c r="P648" t="s">
        <v>39</v>
      </c>
      <c r="Q648" s="55">
        <v>45964</v>
      </c>
      <c r="V648">
        <v>1</v>
      </c>
    </row>
    <row r="649" spans="1:22">
      <c r="A649" s="55">
        <v>45907</v>
      </c>
      <c r="B649" t="s">
        <v>2584</v>
      </c>
      <c r="C649" t="s">
        <v>359</v>
      </c>
      <c r="D649" t="s">
        <v>112</v>
      </c>
      <c r="E649">
        <v>85387</v>
      </c>
      <c r="F649" t="s">
        <v>310</v>
      </c>
      <c r="G649" t="s">
        <v>2364</v>
      </c>
      <c r="H649" t="s">
        <v>2585</v>
      </c>
      <c r="I649" t="s">
        <v>196</v>
      </c>
      <c r="J649" t="s">
        <v>37</v>
      </c>
      <c r="K649" t="s">
        <v>37</v>
      </c>
      <c r="L649" t="s">
        <v>38</v>
      </c>
      <c r="M649" t="s">
        <v>37</v>
      </c>
      <c r="N649" t="s">
        <v>37</v>
      </c>
      <c r="O649" t="s">
        <v>38</v>
      </c>
      <c r="P649" t="s">
        <v>39</v>
      </c>
      <c r="Q649" s="55">
        <v>45964</v>
      </c>
      <c r="V649">
        <v>1</v>
      </c>
    </row>
    <row r="650" spans="1:22">
      <c r="A650" s="55">
        <v>45907</v>
      </c>
      <c r="B650" t="s">
        <v>2586</v>
      </c>
      <c r="C650" t="s">
        <v>2587</v>
      </c>
      <c r="D650" t="s">
        <v>125</v>
      </c>
      <c r="E650">
        <v>85251</v>
      </c>
      <c r="F650" t="s">
        <v>2588</v>
      </c>
      <c r="G650" t="s">
        <v>2364</v>
      </c>
      <c r="H650" t="s">
        <v>2589</v>
      </c>
      <c r="I650" t="s">
        <v>73</v>
      </c>
      <c r="J650" t="s">
        <v>37</v>
      </c>
      <c r="K650" t="s">
        <v>37</v>
      </c>
      <c r="L650" t="s">
        <v>38</v>
      </c>
      <c r="M650" t="s">
        <v>37</v>
      </c>
      <c r="N650" t="s">
        <v>37</v>
      </c>
      <c r="O650" t="s">
        <v>38</v>
      </c>
      <c r="P650" t="s">
        <v>39</v>
      </c>
      <c r="Q650" s="55">
        <v>45964</v>
      </c>
      <c r="V650">
        <v>1</v>
      </c>
    </row>
    <row r="651" spans="1:22">
      <c r="A651" s="55">
        <v>45907</v>
      </c>
      <c r="B651" t="s">
        <v>2590</v>
      </c>
      <c r="C651" t="s">
        <v>1824</v>
      </c>
      <c r="D651" t="s">
        <v>112</v>
      </c>
      <c r="E651">
        <v>85379</v>
      </c>
      <c r="F651" t="s">
        <v>2591</v>
      </c>
      <c r="G651" t="s">
        <v>2364</v>
      </c>
      <c r="H651" t="s">
        <v>2592</v>
      </c>
      <c r="I651" t="s">
        <v>196</v>
      </c>
      <c r="J651" t="s">
        <v>37</v>
      </c>
      <c r="K651" t="s">
        <v>37</v>
      </c>
      <c r="L651" t="s">
        <v>2593</v>
      </c>
      <c r="M651" t="s">
        <v>38</v>
      </c>
      <c r="N651">
        <v>803.66</v>
      </c>
      <c r="O651" t="s">
        <v>38</v>
      </c>
      <c r="Q651" s="55">
        <v>45964</v>
      </c>
      <c r="R651" t="s">
        <v>495</v>
      </c>
      <c r="V651">
        <v>1</v>
      </c>
    </row>
    <row r="652" spans="1:22">
      <c r="A652" s="55">
        <v>45907</v>
      </c>
      <c r="B652" t="s">
        <v>2594</v>
      </c>
      <c r="C652" t="s">
        <v>2595</v>
      </c>
      <c r="D652" t="s">
        <v>659</v>
      </c>
      <c r="E652">
        <v>85350</v>
      </c>
      <c r="F652" t="s">
        <v>2596</v>
      </c>
      <c r="G652" t="s">
        <v>2364</v>
      </c>
      <c r="H652" t="s">
        <v>2597</v>
      </c>
      <c r="I652" t="s">
        <v>36</v>
      </c>
      <c r="J652" t="s">
        <v>38</v>
      </c>
      <c r="K652" t="s">
        <v>37</v>
      </c>
      <c r="L652" t="s">
        <v>38</v>
      </c>
      <c r="M652" t="s">
        <v>38</v>
      </c>
      <c r="N652">
        <v>1530.91</v>
      </c>
      <c r="O652" t="s">
        <v>38</v>
      </c>
      <c r="Q652" s="55">
        <v>45964</v>
      </c>
      <c r="R652" t="s">
        <v>495</v>
      </c>
      <c r="V652">
        <v>1</v>
      </c>
    </row>
    <row r="653" spans="1:22">
      <c r="A653" s="55">
        <v>45907</v>
      </c>
      <c r="B653" t="s">
        <v>2600</v>
      </c>
      <c r="C653" t="s">
        <v>2601</v>
      </c>
      <c r="D653" t="s">
        <v>43</v>
      </c>
      <c r="E653">
        <v>85363</v>
      </c>
      <c r="F653" t="s">
        <v>310</v>
      </c>
      <c r="G653" t="s">
        <v>2364</v>
      </c>
      <c r="H653" t="s">
        <v>2602</v>
      </c>
      <c r="I653" t="s">
        <v>196</v>
      </c>
      <c r="J653" t="s">
        <v>37</v>
      </c>
      <c r="K653" t="s">
        <v>37</v>
      </c>
      <c r="L653" t="s">
        <v>2603</v>
      </c>
      <c r="M653" t="s">
        <v>37</v>
      </c>
      <c r="N653" t="s">
        <v>37</v>
      </c>
      <c r="O653" t="s">
        <v>38</v>
      </c>
      <c r="P653">
        <v>45964</v>
      </c>
      <c r="Q653" s="55">
        <v>45964</v>
      </c>
      <c r="R653" t="s">
        <v>2398</v>
      </c>
      <c r="V653">
        <v>1</v>
      </c>
    </row>
    <row r="654" spans="1:22">
      <c r="A654" s="55">
        <v>45907</v>
      </c>
      <c r="B654" t="s">
        <v>2566</v>
      </c>
      <c r="C654" t="s">
        <v>2377</v>
      </c>
      <c r="D654" t="s">
        <v>698</v>
      </c>
      <c r="E654">
        <v>85376</v>
      </c>
      <c r="F654" t="s">
        <v>2604</v>
      </c>
      <c r="G654" t="s">
        <v>2364</v>
      </c>
      <c r="H654" t="s">
        <v>2605</v>
      </c>
      <c r="I654" t="s">
        <v>196</v>
      </c>
      <c r="J654" t="s">
        <v>37</v>
      </c>
      <c r="K654" t="s">
        <v>37</v>
      </c>
      <c r="L654" t="s">
        <v>2606</v>
      </c>
      <c r="M654" t="s">
        <v>37</v>
      </c>
      <c r="N654" t="s">
        <v>37</v>
      </c>
      <c r="O654" t="s">
        <v>38</v>
      </c>
      <c r="P654" t="s">
        <v>39</v>
      </c>
      <c r="Q654" s="55">
        <v>45964</v>
      </c>
      <c r="R654" t="s">
        <v>2607</v>
      </c>
      <c r="V654">
        <v>1</v>
      </c>
    </row>
    <row r="655" spans="1:22">
      <c r="A655" s="55">
        <v>45907</v>
      </c>
      <c r="B655" t="s">
        <v>2608</v>
      </c>
      <c r="C655" t="s">
        <v>2609</v>
      </c>
      <c r="D655" t="s">
        <v>63</v>
      </c>
      <c r="E655">
        <v>85024</v>
      </c>
      <c r="F655" t="s">
        <v>310</v>
      </c>
      <c r="G655" t="s">
        <v>2364</v>
      </c>
      <c r="H655" t="s">
        <v>2610</v>
      </c>
      <c r="I655" t="s">
        <v>57</v>
      </c>
      <c r="J655" t="s">
        <v>37</v>
      </c>
      <c r="K655" t="s">
        <v>37</v>
      </c>
      <c r="L655" t="s">
        <v>2611</v>
      </c>
      <c r="M655" t="s">
        <v>37</v>
      </c>
      <c r="N655" t="s">
        <v>37</v>
      </c>
      <c r="O655" t="s">
        <v>38</v>
      </c>
      <c r="P655">
        <v>45939</v>
      </c>
      <c r="Q655" s="55">
        <v>45964</v>
      </c>
      <c r="R655" t="s">
        <v>2474</v>
      </c>
      <c r="V655">
        <v>1</v>
      </c>
    </row>
    <row r="656" spans="1:22">
      <c r="A656" s="55">
        <v>45907</v>
      </c>
      <c r="B656" t="s">
        <v>2612</v>
      </c>
      <c r="C656" t="s">
        <v>471</v>
      </c>
      <c r="D656" t="s">
        <v>112</v>
      </c>
      <c r="E656">
        <v>85387</v>
      </c>
      <c r="F656" t="s">
        <v>2613</v>
      </c>
      <c r="G656" t="s">
        <v>2364</v>
      </c>
      <c r="H656" t="s">
        <v>2614</v>
      </c>
      <c r="I656" t="s">
        <v>196</v>
      </c>
      <c r="J656" t="s">
        <v>37</v>
      </c>
      <c r="K656" t="s">
        <v>37</v>
      </c>
      <c r="L656" t="s">
        <v>2615</v>
      </c>
      <c r="M656" t="s">
        <v>37</v>
      </c>
      <c r="N656" t="s">
        <v>37</v>
      </c>
      <c r="O656" t="s">
        <v>38</v>
      </c>
      <c r="P656" t="s">
        <v>39</v>
      </c>
      <c r="Q656" s="55">
        <v>45964</v>
      </c>
      <c r="R656" t="s">
        <v>2616</v>
      </c>
      <c r="V656">
        <v>1</v>
      </c>
    </row>
    <row r="657" spans="1:22">
      <c r="A657" s="55">
        <v>45907</v>
      </c>
      <c r="B657" t="s">
        <v>2617</v>
      </c>
      <c r="C657" t="s">
        <v>1918</v>
      </c>
      <c r="D657" t="s">
        <v>63</v>
      </c>
      <c r="E657">
        <v>85032</v>
      </c>
      <c r="F657" t="s">
        <v>2618</v>
      </c>
      <c r="G657" t="s">
        <v>2364</v>
      </c>
      <c r="H657" t="s">
        <v>2619</v>
      </c>
      <c r="I657" t="s">
        <v>73</v>
      </c>
      <c r="J657" t="s">
        <v>37</v>
      </c>
      <c r="K657" t="s">
        <v>37</v>
      </c>
      <c r="L657" t="s">
        <v>38</v>
      </c>
      <c r="M657" t="s">
        <v>37</v>
      </c>
      <c r="N657" t="s">
        <v>37</v>
      </c>
      <c r="O657" t="s">
        <v>38</v>
      </c>
      <c r="P657" t="s">
        <v>39</v>
      </c>
      <c r="Q657" s="55">
        <v>45964</v>
      </c>
      <c r="R657" t="s">
        <v>2620</v>
      </c>
      <c r="V657">
        <v>1</v>
      </c>
    </row>
    <row r="658" spans="1:22">
      <c r="A658" s="55">
        <v>45907</v>
      </c>
      <c r="B658" t="s">
        <v>1190</v>
      </c>
      <c r="C658" t="s">
        <v>312</v>
      </c>
      <c r="D658" t="s">
        <v>63</v>
      </c>
      <c r="E658">
        <v>85027</v>
      </c>
      <c r="F658" t="s">
        <v>812</v>
      </c>
      <c r="G658" t="s">
        <v>2364</v>
      </c>
      <c r="H658" t="s">
        <v>2622</v>
      </c>
      <c r="I658" t="s">
        <v>36</v>
      </c>
      <c r="J658" t="s">
        <v>37</v>
      </c>
      <c r="K658" t="s">
        <v>37</v>
      </c>
      <c r="L658" t="s">
        <v>38</v>
      </c>
      <c r="M658" t="s">
        <v>37</v>
      </c>
      <c r="N658" t="s">
        <v>37</v>
      </c>
      <c r="O658" t="s">
        <v>38</v>
      </c>
      <c r="P658" t="s">
        <v>39</v>
      </c>
      <c r="Q658" s="55">
        <v>45964</v>
      </c>
      <c r="V658">
        <v>1</v>
      </c>
    </row>
    <row r="659" spans="1:22">
      <c r="A659" s="55">
        <v>45907</v>
      </c>
      <c r="B659" t="s">
        <v>2623</v>
      </c>
      <c r="C659" t="s">
        <v>1447</v>
      </c>
      <c r="D659" t="s">
        <v>63</v>
      </c>
      <c r="E659">
        <v>85008</v>
      </c>
      <c r="F659" t="s">
        <v>310</v>
      </c>
      <c r="G659" t="s">
        <v>2364</v>
      </c>
      <c r="H659" t="s">
        <v>2624</v>
      </c>
      <c r="I659" t="s">
        <v>126</v>
      </c>
      <c r="J659" t="s">
        <v>37</v>
      </c>
      <c r="K659" t="s">
        <v>37</v>
      </c>
      <c r="L659" t="s">
        <v>2625</v>
      </c>
      <c r="M659" t="s">
        <v>37</v>
      </c>
      <c r="N659" t="s">
        <v>37</v>
      </c>
      <c r="O659" t="s">
        <v>38</v>
      </c>
      <c r="P659" t="s">
        <v>39</v>
      </c>
      <c r="Q659" s="55">
        <v>45964</v>
      </c>
      <c r="V659">
        <v>1</v>
      </c>
    </row>
    <row r="660" spans="1:22">
      <c r="A660" s="55">
        <v>45907</v>
      </c>
      <c r="B660" t="s">
        <v>2626</v>
      </c>
      <c r="C660" t="s">
        <v>427</v>
      </c>
      <c r="D660" t="s">
        <v>112</v>
      </c>
      <c r="E660">
        <v>85379</v>
      </c>
      <c r="F660" t="s">
        <v>2414</v>
      </c>
      <c r="G660" t="s">
        <v>2364</v>
      </c>
      <c r="H660" t="s">
        <v>2627</v>
      </c>
      <c r="I660" t="s">
        <v>73</v>
      </c>
      <c r="J660" t="s">
        <v>37</v>
      </c>
      <c r="K660" t="s">
        <v>37</v>
      </c>
      <c r="L660" t="s">
        <v>2628</v>
      </c>
      <c r="M660" t="s">
        <v>37</v>
      </c>
      <c r="N660" t="s">
        <v>37</v>
      </c>
      <c r="O660" t="s">
        <v>38</v>
      </c>
      <c r="P660">
        <v>45939</v>
      </c>
      <c r="Q660" s="55">
        <v>45964</v>
      </c>
      <c r="R660" t="s">
        <v>2629</v>
      </c>
      <c r="V660">
        <v>1</v>
      </c>
    </row>
    <row r="661" spans="1:22">
      <c r="A661" s="55">
        <v>45907</v>
      </c>
      <c r="B661" t="s">
        <v>2630</v>
      </c>
      <c r="C661" t="s">
        <v>131</v>
      </c>
      <c r="D661" t="s">
        <v>370</v>
      </c>
      <c r="E661">
        <v>85225</v>
      </c>
      <c r="F661" t="s">
        <v>310</v>
      </c>
      <c r="G661" t="s">
        <v>2364</v>
      </c>
      <c r="H661" t="s">
        <v>2631</v>
      </c>
      <c r="I661" t="s">
        <v>243</v>
      </c>
      <c r="J661" t="s">
        <v>37</v>
      </c>
      <c r="K661" t="s">
        <v>37</v>
      </c>
      <c r="L661" t="s">
        <v>389</v>
      </c>
      <c r="M661" t="s">
        <v>37</v>
      </c>
      <c r="N661" t="s">
        <v>37</v>
      </c>
      <c r="O661" t="s">
        <v>38</v>
      </c>
      <c r="P661" t="s">
        <v>39</v>
      </c>
      <c r="Q661" s="55">
        <v>45964</v>
      </c>
      <c r="V661">
        <v>1</v>
      </c>
    </row>
    <row r="662" spans="1:22">
      <c r="A662" s="55">
        <v>45907</v>
      </c>
      <c r="B662" t="s">
        <v>2634</v>
      </c>
      <c r="C662" t="s">
        <v>2562</v>
      </c>
      <c r="D662" t="s">
        <v>1204</v>
      </c>
      <c r="E662">
        <v>85355</v>
      </c>
      <c r="F662" t="s">
        <v>2635</v>
      </c>
      <c r="G662" t="s">
        <v>2364</v>
      </c>
      <c r="H662" t="s">
        <v>2636</v>
      </c>
      <c r="I662" t="s">
        <v>36</v>
      </c>
      <c r="J662" t="s">
        <v>37</v>
      </c>
      <c r="K662" t="s">
        <v>37</v>
      </c>
      <c r="L662" t="s">
        <v>38</v>
      </c>
      <c r="M662" t="s">
        <v>38</v>
      </c>
      <c r="N662">
        <v>189.57</v>
      </c>
      <c r="O662" t="s">
        <v>38</v>
      </c>
      <c r="P662" t="s">
        <v>39</v>
      </c>
      <c r="Q662" s="55">
        <v>45964</v>
      </c>
      <c r="V662">
        <v>1</v>
      </c>
    </row>
    <row r="663" spans="1:22">
      <c r="A663" s="55">
        <v>45907</v>
      </c>
      <c r="B663" t="s">
        <v>2637</v>
      </c>
      <c r="C663" t="s">
        <v>2638</v>
      </c>
      <c r="D663" t="s">
        <v>202</v>
      </c>
      <c r="E663">
        <v>85383</v>
      </c>
      <c r="F663" t="s">
        <v>31</v>
      </c>
      <c r="G663" t="s">
        <v>2364</v>
      </c>
      <c r="H663" t="s">
        <v>2639</v>
      </c>
      <c r="I663" t="s">
        <v>36</v>
      </c>
      <c r="J663" t="s">
        <v>37</v>
      </c>
      <c r="K663" t="s">
        <v>37</v>
      </c>
      <c r="L663" t="s">
        <v>38</v>
      </c>
      <c r="M663" t="s">
        <v>37</v>
      </c>
      <c r="N663" t="s">
        <v>37</v>
      </c>
      <c r="O663" t="s">
        <v>38</v>
      </c>
      <c r="P663" t="s">
        <v>39</v>
      </c>
      <c r="Q663" s="55">
        <v>45964</v>
      </c>
      <c r="V663">
        <v>1</v>
      </c>
    </row>
    <row r="664" spans="1:22">
      <c r="A664" s="55">
        <v>45907</v>
      </c>
      <c r="B664" t="s">
        <v>2640</v>
      </c>
      <c r="C664" t="s">
        <v>757</v>
      </c>
      <c r="D664" t="s">
        <v>2641</v>
      </c>
      <c r="E664">
        <v>85087</v>
      </c>
      <c r="F664" t="s">
        <v>31</v>
      </c>
      <c r="G664" t="s">
        <v>2364</v>
      </c>
      <c r="H664" t="s">
        <v>2642</v>
      </c>
      <c r="I664" t="s">
        <v>250</v>
      </c>
      <c r="J664" t="s">
        <v>37</v>
      </c>
      <c r="K664" t="s">
        <v>37</v>
      </c>
      <c r="L664" t="s">
        <v>38</v>
      </c>
      <c r="M664" t="s">
        <v>37</v>
      </c>
      <c r="N664" t="s">
        <v>37</v>
      </c>
      <c r="O664" t="s">
        <v>38</v>
      </c>
      <c r="P664" t="s">
        <v>39</v>
      </c>
      <c r="Q664" s="55">
        <v>45964</v>
      </c>
      <c r="V664">
        <v>1</v>
      </c>
    </row>
    <row r="665" spans="1:22">
      <c r="A665" s="55">
        <v>45907</v>
      </c>
      <c r="B665" t="s">
        <v>841</v>
      </c>
      <c r="C665" t="s">
        <v>2643</v>
      </c>
      <c r="D665" t="s">
        <v>63</v>
      </c>
      <c r="E665">
        <v>85013</v>
      </c>
      <c r="F665" t="s">
        <v>310</v>
      </c>
      <c r="G665" t="s">
        <v>2364</v>
      </c>
      <c r="H665" t="s">
        <v>2644</v>
      </c>
      <c r="I665" t="s">
        <v>126</v>
      </c>
      <c r="J665" t="s">
        <v>37</v>
      </c>
      <c r="K665" t="s">
        <v>37</v>
      </c>
      <c r="L665" t="s">
        <v>38</v>
      </c>
      <c r="M665" t="s">
        <v>37</v>
      </c>
      <c r="N665" t="s">
        <v>37</v>
      </c>
      <c r="O665" t="s">
        <v>38</v>
      </c>
      <c r="P665" t="s">
        <v>39</v>
      </c>
      <c r="Q665" s="55">
        <v>45964</v>
      </c>
      <c r="V665">
        <v>1</v>
      </c>
    </row>
    <row r="666" spans="1:22">
      <c r="A666" s="55">
        <v>45907</v>
      </c>
      <c r="B666" t="s">
        <v>2645</v>
      </c>
      <c r="C666" t="s">
        <v>2646</v>
      </c>
      <c r="D666" t="s">
        <v>63</v>
      </c>
      <c r="E666">
        <v>85023</v>
      </c>
      <c r="F666" t="s">
        <v>2647</v>
      </c>
      <c r="G666" t="s">
        <v>2364</v>
      </c>
      <c r="H666" t="s">
        <v>2648</v>
      </c>
      <c r="I666" t="s">
        <v>73</v>
      </c>
      <c r="J666" t="s">
        <v>37</v>
      </c>
      <c r="K666" t="s">
        <v>37</v>
      </c>
      <c r="L666" t="s">
        <v>38</v>
      </c>
      <c r="M666" t="s">
        <v>37</v>
      </c>
      <c r="N666" t="s">
        <v>37</v>
      </c>
      <c r="O666" t="s">
        <v>38</v>
      </c>
      <c r="P666" t="s">
        <v>39</v>
      </c>
      <c r="Q666" s="55">
        <v>45964</v>
      </c>
      <c r="V666">
        <v>1</v>
      </c>
    </row>
    <row r="667" spans="1:22">
      <c r="A667" s="55">
        <v>45907</v>
      </c>
      <c r="B667" t="s">
        <v>2651</v>
      </c>
      <c r="C667" t="s">
        <v>2652</v>
      </c>
      <c r="D667" t="s">
        <v>202</v>
      </c>
      <c r="E667">
        <v>85383</v>
      </c>
      <c r="F667" t="s">
        <v>2653</v>
      </c>
      <c r="G667" t="s">
        <v>2364</v>
      </c>
      <c r="H667" t="s">
        <v>2654</v>
      </c>
      <c r="I667" t="s">
        <v>36</v>
      </c>
      <c r="J667" t="s">
        <v>37</v>
      </c>
      <c r="K667" t="s">
        <v>37</v>
      </c>
      <c r="L667" t="s">
        <v>38</v>
      </c>
      <c r="M667" t="s">
        <v>37</v>
      </c>
      <c r="N667" t="s">
        <v>37</v>
      </c>
      <c r="O667" t="s">
        <v>38</v>
      </c>
      <c r="P667" t="s">
        <v>39</v>
      </c>
      <c r="Q667" s="55">
        <v>45964</v>
      </c>
      <c r="V667">
        <v>1</v>
      </c>
    </row>
    <row r="668" spans="1:22">
      <c r="A668" s="55">
        <v>45907</v>
      </c>
      <c r="B668" t="s">
        <v>508</v>
      </c>
      <c r="C668" t="s">
        <v>965</v>
      </c>
      <c r="D668" t="s">
        <v>125</v>
      </c>
      <c r="E668">
        <v>85266</v>
      </c>
      <c r="F668" t="s">
        <v>31</v>
      </c>
      <c r="G668" t="s">
        <v>2364</v>
      </c>
      <c r="H668" t="s">
        <v>2655</v>
      </c>
      <c r="I668" t="s">
        <v>36</v>
      </c>
      <c r="J668" t="s">
        <v>37</v>
      </c>
      <c r="K668" t="s">
        <v>37</v>
      </c>
      <c r="L668" t="s">
        <v>38</v>
      </c>
      <c r="M668" t="s">
        <v>37</v>
      </c>
      <c r="N668" t="s">
        <v>37</v>
      </c>
      <c r="O668" t="s">
        <v>38</v>
      </c>
      <c r="P668" t="s">
        <v>39</v>
      </c>
      <c r="Q668" s="55">
        <v>45964</v>
      </c>
      <c r="V668">
        <v>1</v>
      </c>
    </row>
    <row r="669" spans="1:22">
      <c r="A669" s="55">
        <v>45907</v>
      </c>
      <c r="B669" t="s">
        <v>1500</v>
      </c>
      <c r="C669" t="s">
        <v>2658</v>
      </c>
      <c r="D669" t="s">
        <v>169</v>
      </c>
      <c r="E669">
        <v>85395</v>
      </c>
      <c r="F669" t="s">
        <v>31</v>
      </c>
      <c r="G669" t="s">
        <v>2364</v>
      </c>
      <c r="H669" t="s">
        <v>2659</v>
      </c>
      <c r="I669" t="s">
        <v>1684</v>
      </c>
      <c r="J669" t="s">
        <v>37</v>
      </c>
      <c r="K669" t="s">
        <v>37</v>
      </c>
      <c r="L669" t="s">
        <v>38</v>
      </c>
      <c r="M669" t="s">
        <v>37</v>
      </c>
      <c r="N669" t="s">
        <v>37</v>
      </c>
      <c r="O669" t="s">
        <v>38</v>
      </c>
      <c r="P669" t="s">
        <v>39</v>
      </c>
      <c r="Q669" s="55">
        <v>45964</v>
      </c>
      <c r="V669">
        <v>1</v>
      </c>
    </row>
    <row r="670" spans="1:22">
      <c r="A670" s="55">
        <v>45907</v>
      </c>
      <c r="B670" t="s">
        <v>2660</v>
      </c>
      <c r="C670" t="s">
        <v>2019</v>
      </c>
      <c r="D670" t="s">
        <v>169</v>
      </c>
      <c r="E670">
        <v>85395</v>
      </c>
      <c r="F670" t="s">
        <v>2548</v>
      </c>
      <c r="G670" t="s">
        <v>2364</v>
      </c>
      <c r="H670" t="s">
        <v>2661</v>
      </c>
      <c r="I670" t="s">
        <v>36</v>
      </c>
      <c r="J670" t="s">
        <v>37</v>
      </c>
      <c r="K670" t="s">
        <v>37</v>
      </c>
      <c r="L670" t="s">
        <v>38</v>
      </c>
      <c r="M670" t="s">
        <v>37</v>
      </c>
      <c r="N670" t="s">
        <v>37</v>
      </c>
      <c r="O670" t="s">
        <v>38</v>
      </c>
      <c r="P670" t="s">
        <v>39</v>
      </c>
      <c r="Q670" s="55">
        <v>45964</v>
      </c>
      <c r="V670">
        <v>1</v>
      </c>
    </row>
    <row r="671" spans="1:22">
      <c r="A671" s="55">
        <v>45907</v>
      </c>
      <c r="B671" t="s">
        <v>2662</v>
      </c>
      <c r="C671" t="s">
        <v>2663</v>
      </c>
      <c r="D671" t="s">
        <v>129</v>
      </c>
      <c r="E671">
        <v>85223</v>
      </c>
      <c r="F671" t="s">
        <v>310</v>
      </c>
      <c r="G671" t="s">
        <v>2364</v>
      </c>
      <c r="H671" t="s">
        <v>2664</v>
      </c>
      <c r="I671" t="s">
        <v>57</v>
      </c>
      <c r="J671" t="s">
        <v>37</v>
      </c>
      <c r="K671" t="s">
        <v>37</v>
      </c>
      <c r="L671" t="s">
        <v>2665</v>
      </c>
      <c r="M671" t="s">
        <v>37</v>
      </c>
      <c r="N671" t="s">
        <v>37</v>
      </c>
      <c r="O671" t="s">
        <v>38</v>
      </c>
      <c r="P671" t="s">
        <v>39</v>
      </c>
      <c r="Q671" s="55">
        <v>45964</v>
      </c>
      <c r="V671">
        <v>1</v>
      </c>
    </row>
    <row r="672" spans="1:22">
      <c r="A672" s="55">
        <v>45907</v>
      </c>
      <c r="B672" t="s">
        <v>2670</v>
      </c>
      <c r="C672" t="s">
        <v>2671</v>
      </c>
      <c r="D672" t="s">
        <v>136</v>
      </c>
      <c r="E672">
        <v>85377</v>
      </c>
      <c r="F672" t="s">
        <v>2672</v>
      </c>
      <c r="G672" t="s">
        <v>2364</v>
      </c>
      <c r="H672" t="s">
        <v>2673</v>
      </c>
      <c r="I672" t="s">
        <v>36</v>
      </c>
      <c r="J672" t="s">
        <v>37</v>
      </c>
      <c r="K672" t="s">
        <v>37</v>
      </c>
      <c r="L672" t="s">
        <v>38</v>
      </c>
      <c r="M672" t="s">
        <v>37</v>
      </c>
      <c r="N672" t="s">
        <v>37</v>
      </c>
      <c r="O672" t="s">
        <v>38</v>
      </c>
      <c r="P672" t="s">
        <v>39</v>
      </c>
      <c r="Q672" s="55">
        <v>45961</v>
      </c>
      <c r="V672">
        <v>1</v>
      </c>
    </row>
    <row r="673" spans="1:22">
      <c r="A673" s="55">
        <v>45907</v>
      </c>
      <c r="B673" t="s">
        <v>2674</v>
      </c>
      <c r="C673" t="s">
        <v>2675</v>
      </c>
      <c r="D673" t="s">
        <v>880</v>
      </c>
      <c r="E673">
        <v>85086</v>
      </c>
      <c r="F673" t="s">
        <v>2676</v>
      </c>
      <c r="G673" t="s">
        <v>2364</v>
      </c>
      <c r="H673" t="s">
        <v>2677</v>
      </c>
      <c r="I673" t="s">
        <v>196</v>
      </c>
      <c r="J673" t="s">
        <v>37</v>
      </c>
      <c r="K673" t="s">
        <v>37</v>
      </c>
      <c r="L673" t="s">
        <v>2678</v>
      </c>
      <c r="M673" t="s">
        <v>37</v>
      </c>
      <c r="N673" t="s">
        <v>37</v>
      </c>
      <c r="O673" t="s">
        <v>38</v>
      </c>
      <c r="P673" t="s">
        <v>39</v>
      </c>
      <c r="Q673" s="55">
        <v>45961</v>
      </c>
      <c r="V673">
        <v>1</v>
      </c>
    </row>
    <row r="674" spans="1:22">
      <c r="A674" s="55">
        <v>45907</v>
      </c>
      <c r="B674" t="s">
        <v>2682</v>
      </c>
      <c r="C674" t="s">
        <v>1127</v>
      </c>
      <c r="D674" t="s">
        <v>2681</v>
      </c>
      <c r="E674">
        <v>85342</v>
      </c>
      <c r="F674" t="s">
        <v>31</v>
      </c>
      <c r="G674" t="s">
        <v>2364</v>
      </c>
      <c r="H674" t="s">
        <v>2683</v>
      </c>
      <c r="I674" t="s">
        <v>36</v>
      </c>
      <c r="J674" t="s">
        <v>37</v>
      </c>
      <c r="K674" t="s">
        <v>37</v>
      </c>
      <c r="L674" t="s">
        <v>2684</v>
      </c>
      <c r="M674" t="s">
        <v>37</v>
      </c>
      <c r="N674" t="s">
        <v>37</v>
      </c>
      <c r="O674" t="s">
        <v>38</v>
      </c>
      <c r="P674" t="s">
        <v>39</v>
      </c>
      <c r="Q674" s="55">
        <v>45961</v>
      </c>
      <c r="V674">
        <v>1</v>
      </c>
    </row>
    <row r="675" spans="1:22">
      <c r="A675" s="55">
        <v>45907</v>
      </c>
      <c r="B675" t="s">
        <v>2685</v>
      </c>
      <c r="C675" t="s">
        <v>2686</v>
      </c>
      <c r="D675" t="s">
        <v>202</v>
      </c>
      <c r="E675">
        <v>85383</v>
      </c>
      <c r="F675" t="s">
        <v>31</v>
      </c>
      <c r="G675" t="s">
        <v>2364</v>
      </c>
      <c r="H675" t="s">
        <v>2687</v>
      </c>
      <c r="I675" t="s">
        <v>73</v>
      </c>
      <c r="J675" t="s">
        <v>37</v>
      </c>
      <c r="K675" t="s">
        <v>37</v>
      </c>
      <c r="L675" t="s">
        <v>38</v>
      </c>
      <c r="M675" t="s">
        <v>37</v>
      </c>
      <c r="N675" t="s">
        <v>37</v>
      </c>
      <c r="O675" t="s">
        <v>38</v>
      </c>
      <c r="P675" t="s">
        <v>39</v>
      </c>
      <c r="Q675" s="55">
        <v>45961</v>
      </c>
      <c r="V675">
        <v>1</v>
      </c>
    </row>
    <row r="676" spans="1:22">
      <c r="A676" s="55">
        <v>45907</v>
      </c>
      <c r="B676" t="s">
        <v>2690</v>
      </c>
      <c r="C676" t="s">
        <v>2691</v>
      </c>
      <c r="D676" t="s">
        <v>112</v>
      </c>
      <c r="E676">
        <v>85388</v>
      </c>
      <c r="F676" t="s">
        <v>310</v>
      </c>
      <c r="G676" t="s">
        <v>2364</v>
      </c>
      <c r="H676" t="s">
        <v>2692</v>
      </c>
      <c r="I676" t="s">
        <v>250</v>
      </c>
      <c r="J676" t="s">
        <v>37</v>
      </c>
      <c r="K676" t="s">
        <v>37</v>
      </c>
      <c r="L676" t="s">
        <v>38</v>
      </c>
      <c r="M676" t="s">
        <v>37</v>
      </c>
      <c r="N676" t="s">
        <v>37</v>
      </c>
      <c r="O676" t="s">
        <v>38</v>
      </c>
      <c r="P676" t="s">
        <v>39</v>
      </c>
      <c r="Q676" s="55">
        <v>45961</v>
      </c>
      <c r="V676">
        <v>1</v>
      </c>
    </row>
    <row r="677" spans="1:22">
      <c r="A677" s="55">
        <v>45907</v>
      </c>
      <c r="B677" t="s">
        <v>2693</v>
      </c>
      <c r="C677" t="s">
        <v>1824</v>
      </c>
      <c r="D677" t="s">
        <v>202</v>
      </c>
      <c r="E677">
        <v>85345</v>
      </c>
      <c r="F677" t="s">
        <v>310</v>
      </c>
      <c r="G677" t="s">
        <v>2364</v>
      </c>
      <c r="H677" t="s">
        <v>2694</v>
      </c>
      <c r="I677" t="s">
        <v>57</v>
      </c>
      <c r="J677" t="s">
        <v>37</v>
      </c>
      <c r="K677" t="s">
        <v>37</v>
      </c>
      <c r="L677" t="s">
        <v>2695</v>
      </c>
      <c r="M677" t="s">
        <v>37</v>
      </c>
      <c r="N677" t="s">
        <v>37</v>
      </c>
      <c r="O677" t="s">
        <v>38</v>
      </c>
      <c r="P677">
        <v>45939</v>
      </c>
      <c r="Q677" s="55">
        <v>45961</v>
      </c>
      <c r="R677" t="s">
        <v>2474</v>
      </c>
      <c r="V677">
        <v>1</v>
      </c>
    </row>
    <row r="678" spans="1:22">
      <c r="A678" s="55">
        <v>45907</v>
      </c>
      <c r="B678" t="s">
        <v>2696</v>
      </c>
      <c r="C678" t="s">
        <v>1647</v>
      </c>
      <c r="D678" t="s">
        <v>125</v>
      </c>
      <c r="E678">
        <v>85260</v>
      </c>
      <c r="F678" t="s">
        <v>310</v>
      </c>
      <c r="G678" t="s">
        <v>2364</v>
      </c>
      <c r="H678" t="s">
        <v>2697</v>
      </c>
      <c r="I678" t="s">
        <v>196</v>
      </c>
      <c r="J678" t="s">
        <v>37</v>
      </c>
      <c r="K678" t="s">
        <v>37</v>
      </c>
      <c r="L678" t="s">
        <v>38</v>
      </c>
      <c r="M678" t="s">
        <v>37</v>
      </c>
      <c r="N678" t="s">
        <v>37</v>
      </c>
      <c r="O678" t="s">
        <v>38</v>
      </c>
      <c r="P678">
        <v>45938</v>
      </c>
      <c r="Q678" s="55">
        <v>45961</v>
      </c>
      <c r="R678" t="s">
        <v>2698</v>
      </c>
      <c r="V678">
        <v>1</v>
      </c>
    </row>
    <row r="679" spans="1:22">
      <c r="A679" s="55">
        <v>45907</v>
      </c>
      <c r="B679" t="s">
        <v>538</v>
      </c>
      <c r="C679" t="s">
        <v>124</v>
      </c>
      <c r="D679" t="s">
        <v>504</v>
      </c>
      <c r="E679">
        <v>86001</v>
      </c>
      <c r="F679" t="s">
        <v>310</v>
      </c>
      <c r="G679" t="s">
        <v>2364</v>
      </c>
      <c r="H679" t="s">
        <v>2699</v>
      </c>
      <c r="I679" t="s">
        <v>73</v>
      </c>
      <c r="J679" t="s">
        <v>37</v>
      </c>
      <c r="K679" t="s">
        <v>37</v>
      </c>
      <c r="L679" t="s">
        <v>38</v>
      </c>
      <c r="M679" t="s">
        <v>37</v>
      </c>
      <c r="N679" t="s">
        <v>37</v>
      </c>
      <c r="O679" t="s">
        <v>38</v>
      </c>
      <c r="P679" t="s">
        <v>39</v>
      </c>
      <c r="Q679" s="55">
        <v>45961</v>
      </c>
      <c r="V679">
        <v>1</v>
      </c>
    </row>
    <row r="680" spans="1:22">
      <c r="A680" s="55">
        <v>45907</v>
      </c>
      <c r="B680" t="s">
        <v>2701</v>
      </c>
      <c r="C680" t="s">
        <v>2702</v>
      </c>
      <c r="D680" t="s">
        <v>112</v>
      </c>
      <c r="E680">
        <v>85379</v>
      </c>
      <c r="F680" t="s">
        <v>2703</v>
      </c>
      <c r="G680" t="s">
        <v>2364</v>
      </c>
      <c r="H680" t="s">
        <v>2704</v>
      </c>
      <c r="I680" t="s">
        <v>126</v>
      </c>
      <c r="J680" t="s">
        <v>37</v>
      </c>
      <c r="K680" t="s">
        <v>37</v>
      </c>
      <c r="L680" t="s">
        <v>38</v>
      </c>
      <c r="M680" t="s">
        <v>37</v>
      </c>
      <c r="N680" t="s">
        <v>37</v>
      </c>
      <c r="O680" t="s">
        <v>38</v>
      </c>
      <c r="P680" t="s">
        <v>39</v>
      </c>
      <c r="Q680" s="55">
        <v>45961</v>
      </c>
      <c r="V680">
        <v>1</v>
      </c>
    </row>
    <row r="681" spans="1:22">
      <c r="A681" s="55">
        <v>45907</v>
      </c>
      <c r="B681" t="s">
        <v>2705</v>
      </c>
      <c r="C681" t="s">
        <v>2706</v>
      </c>
      <c r="D681" t="s">
        <v>523</v>
      </c>
      <c r="E681">
        <v>85392</v>
      </c>
      <c r="F681" t="s">
        <v>1135</v>
      </c>
      <c r="G681" t="s">
        <v>2364</v>
      </c>
      <c r="H681" t="s">
        <v>2707</v>
      </c>
      <c r="I681" t="s">
        <v>1684</v>
      </c>
      <c r="J681" t="s">
        <v>37</v>
      </c>
      <c r="K681" t="s">
        <v>37</v>
      </c>
      <c r="L681" t="s">
        <v>401</v>
      </c>
      <c r="M681" t="s">
        <v>37</v>
      </c>
      <c r="N681" t="s">
        <v>37</v>
      </c>
      <c r="O681" t="s">
        <v>38</v>
      </c>
      <c r="P681" t="s">
        <v>39</v>
      </c>
      <c r="Q681" s="55">
        <v>45961</v>
      </c>
      <c r="R681" t="s">
        <v>2708</v>
      </c>
      <c r="V681">
        <v>1</v>
      </c>
    </row>
    <row r="682" spans="1:22">
      <c r="A682" s="55">
        <v>45907</v>
      </c>
      <c r="B682" t="s">
        <v>1411</v>
      </c>
      <c r="C682" t="s">
        <v>2709</v>
      </c>
      <c r="D682" t="s">
        <v>202</v>
      </c>
      <c r="E682">
        <v>85382</v>
      </c>
      <c r="F682" t="s">
        <v>2274</v>
      </c>
      <c r="G682" t="s">
        <v>2364</v>
      </c>
      <c r="H682" t="s">
        <v>2710</v>
      </c>
      <c r="I682" t="s">
        <v>73</v>
      </c>
      <c r="J682" t="s">
        <v>37</v>
      </c>
      <c r="K682" t="s">
        <v>37</v>
      </c>
      <c r="L682" t="s">
        <v>38</v>
      </c>
      <c r="M682" t="s">
        <v>37</v>
      </c>
      <c r="N682" t="s">
        <v>37</v>
      </c>
      <c r="O682" t="s">
        <v>38</v>
      </c>
      <c r="P682" t="s">
        <v>39</v>
      </c>
      <c r="Q682" s="55">
        <v>45961</v>
      </c>
      <c r="V682">
        <v>1</v>
      </c>
    </row>
    <row r="683" spans="1:22">
      <c r="A683" s="55">
        <v>45907</v>
      </c>
      <c r="B683" t="s">
        <v>2711</v>
      </c>
      <c r="C683" t="s">
        <v>2057</v>
      </c>
      <c r="D683" t="s">
        <v>2712</v>
      </c>
      <c r="E683">
        <v>86023</v>
      </c>
      <c r="F683" t="s">
        <v>310</v>
      </c>
      <c r="G683" t="s">
        <v>2364</v>
      </c>
      <c r="H683" t="s">
        <v>2713</v>
      </c>
      <c r="I683" t="s">
        <v>73</v>
      </c>
      <c r="J683" t="s">
        <v>37</v>
      </c>
      <c r="K683" t="s">
        <v>37</v>
      </c>
      <c r="L683" t="s">
        <v>38</v>
      </c>
      <c r="M683" t="s">
        <v>37</v>
      </c>
      <c r="N683" t="s">
        <v>37</v>
      </c>
      <c r="O683" t="s">
        <v>38</v>
      </c>
      <c r="P683" t="s">
        <v>39</v>
      </c>
      <c r="Q683" s="55">
        <v>45961</v>
      </c>
      <c r="V683">
        <v>1</v>
      </c>
    </row>
    <row r="684" spans="1:22">
      <c r="A684" s="55">
        <v>45907</v>
      </c>
      <c r="B684" t="s">
        <v>2714</v>
      </c>
      <c r="C684" t="s">
        <v>471</v>
      </c>
      <c r="D684" t="s">
        <v>63</v>
      </c>
      <c r="E684">
        <v>85020</v>
      </c>
      <c r="F684" t="s">
        <v>310</v>
      </c>
      <c r="G684" t="s">
        <v>2364</v>
      </c>
      <c r="H684" t="s">
        <v>2715</v>
      </c>
      <c r="I684" t="s">
        <v>541</v>
      </c>
      <c r="J684" t="s">
        <v>37</v>
      </c>
      <c r="K684" t="s">
        <v>37</v>
      </c>
      <c r="L684" t="s">
        <v>389</v>
      </c>
      <c r="M684" t="s">
        <v>37</v>
      </c>
      <c r="N684" t="s">
        <v>37</v>
      </c>
      <c r="O684" t="s">
        <v>38</v>
      </c>
      <c r="P684" t="s">
        <v>39</v>
      </c>
      <c r="Q684" s="55">
        <v>45961</v>
      </c>
      <c r="V684">
        <v>1</v>
      </c>
    </row>
    <row r="685" spans="1:22">
      <c r="A685" s="55">
        <v>45907</v>
      </c>
      <c r="B685" t="s">
        <v>2721</v>
      </c>
      <c r="C685" t="s">
        <v>382</v>
      </c>
      <c r="D685" t="s">
        <v>112</v>
      </c>
      <c r="E685">
        <v>85374</v>
      </c>
      <c r="F685" t="s">
        <v>310</v>
      </c>
      <c r="G685" t="s">
        <v>2364</v>
      </c>
      <c r="H685" t="s">
        <v>2722</v>
      </c>
      <c r="I685" t="s">
        <v>196</v>
      </c>
      <c r="J685" t="s">
        <v>37</v>
      </c>
      <c r="K685" t="s">
        <v>37</v>
      </c>
      <c r="L685" t="s">
        <v>2723</v>
      </c>
      <c r="M685" t="s">
        <v>37</v>
      </c>
      <c r="N685" t="s">
        <v>37</v>
      </c>
      <c r="O685" t="s">
        <v>38</v>
      </c>
      <c r="P685" t="s">
        <v>39</v>
      </c>
      <c r="Q685" s="55">
        <v>45961</v>
      </c>
      <c r="V685">
        <v>1</v>
      </c>
    </row>
    <row r="686" spans="1:22">
      <c r="A686" s="55">
        <v>45907</v>
      </c>
      <c r="B686" t="s">
        <v>431</v>
      </c>
      <c r="C686" t="s">
        <v>2724</v>
      </c>
      <c r="D686" t="s">
        <v>63</v>
      </c>
      <c r="E686">
        <v>85016</v>
      </c>
      <c r="F686" t="s">
        <v>310</v>
      </c>
      <c r="G686" t="s">
        <v>2364</v>
      </c>
      <c r="H686" t="s">
        <v>2725</v>
      </c>
      <c r="I686" t="s">
        <v>126</v>
      </c>
      <c r="J686" t="s">
        <v>37</v>
      </c>
      <c r="K686" t="s">
        <v>37</v>
      </c>
      <c r="L686" t="s">
        <v>38</v>
      </c>
      <c r="M686" t="s">
        <v>37</v>
      </c>
      <c r="N686" t="s">
        <v>37</v>
      </c>
      <c r="O686" t="s">
        <v>38</v>
      </c>
      <c r="P686" t="s">
        <v>39</v>
      </c>
      <c r="Q686" s="55">
        <v>45961</v>
      </c>
      <c r="V686">
        <v>1</v>
      </c>
    </row>
    <row r="687" spans="1:22">
      <c r="A687" s="55">
        <v>45907</v>
      </c>
      <c r="B687" t="s">
        <v>2727</v>
      </c>
      <c r="C687" t="s">
        <v>395</v>
      </c>
      <c r="D687" t="s">
        <v>63</v>
      </c>
      <c r="E687">
        <v>85012</v>
      </c>
      <c r="F687" t="s">
        <v>310</v>
      </c>
      <c r="G687" t="s">
        <v>2364</v>
      </c>
      <c r="H687" t="s">
        <v>2728</v>
      </c>
      <c r="I687" t="s">
        <v>126</v>
      </c>
      <c r="J687" t="s">
        <v>37</v>
      </c>
      <c r="K687" t="s">
        <v>37</v>
      </c>
      <c r="L687" t="s">
        <v>2729</v>
      </c>
      <c r="M687" t="s">
        <v>37</v>
      </c>
      <c r="N687" t="s">
        <v>37</v>
      </c>
      <c r="O687" t="s">
        <v>38</v>
      </c>
      <c r="P687" t="s">
        <v>39</v>
      </c>
      <c r="Q687" s="55">
        <v>45961</v>
      </c>
      <c r="V687">
        <v>1</v>
      </c>
    </row>
    <row r="688" spans="1:22">
      <c r="A688" s="55">
        <v>45907</v>
      </c>
      <c r="B688" t="s">
        <v>2025</v>
      </c>
      <c r="C688" t="s">
        <v>941</v>
      </c>
      <c r="D688" t="s">
        <v>63</v>
      </c>
      <c r="E688">
        <v>85012</v>
      </c>
      <c r="F688" t="s">
        <v>31</v>
      </c>
      <c r="G688" t="s">
        <v>2364</v>
      </c>
      <c r="H688" t="s">
        <v>2731</v>
      </c>
      <c r="I688" t="s">
        <v>126</v>
      </c>
      <c r="J688" t="s">
        <v>37</v>
      </c>
      <c r="K688" t="s">
        <v>37</v>
      </c>
      <c r="L688" t="s">
        <v>38</v>
      </c>
      <c r="M688" t="s">
        <v>37</v>
      </c>
      <c r="N688" t="s">
        <v>37</v>
      </c>
      <c r="O688" t="s">
        <v>38</v>
      </c>
      <c r="P688" t="s">
        <v>39</v>
      </c>
      <c r="Q688" s="55">
        <v>45961</v>
      </c>
      <c r="V688">
        <v>1</v>
      </c>
    </row>
    <row r="689" spans="1:22">
      <c r="A689" s="55">
        <v>45907</v>
      </c>
      <c r="B689" t="s">
        <v>1703</v>
      </c>
      <c r="C689" t="s">
        <v>481</v>
      </c>
      <c r="D689" t="s">
        <v>63</v>
      </c>
      <c r="E689">
        <v>85032</v>
      </c>
      <c r="F689" t="s">
        <v>2732</v>
      </c>
      <c r="G689" t="s">
        <v>2364</v>
      </c>
      <c r="H689" t="s">
        <v>2733</v>
      </c>
      <c r="I689" t="s">
        <v>36</v>
      </c>
      <c r="J689" t="s">
        <v>37</v>
      </c>
      <c r="K689" t="s">
        <v>37</v>
      </c>
      <c r="L689" t="s">
        <v>36</v>
      </c>
      <c r="M689" t="s">
        <v>37</v>
      </c>
      <c r="N689" t="s">
        <v>37</v>
      </c>
      <c r="O689" t="s">
        <v>38</v>
      </c>
      <c r="P689" t="s">
        <v>39</v>
      </c>
      <c r="Q689" s="55">
        <v>45961</v>
      </c>
      <c r="V689">
        <v>1</v>
      </c>
    </row>
    <row r="690" spans="1:22">
      <c r="A690" s="55">
        <v>45907</v>
      </c>
      <c r="B690" t="s">
        <v>449</v>
      </c>
      <c r="C690" t="s">
        <v>2734</v>
      </c>
      <c r="D690" t="s">
        <v>63</v>
      </c>
      <c r="E690">
        <v>85032</v>
      </c>
      <c r="F690" t="s">
        <v>310</v>
      </c>
      <c r="G690" t="s">
        <v>2364</v>
      </c>
      <c r="H690" t="s">
        <v>2735</v>
      </c>
      <c r="I690" t="s">
        <v>196</v>
      </c>
      <c r="J690" t="s">
        <v>37</v>
      </c>
      <c r="K690" t="s">
        <v>37</v>
      </c>
      <c r="L690" t="s">
        <v>2736</v>
      </c>
      <c r="M690" t="s">
        <v>37</v>
      </c>
      <c r="N690" t="s">
        <v>37</v>
      </c>
      <c r="O690" t="s">
        <v>38</v>
      </c>
      <c r="P690" t="s">
        <v>39</v>
      </c>
      <c r="Q690" s="55">
        <v>45961</v>
      </c>
      <c r="R690" t="s">
        <v>2737</v>
      </c>
      <c r="V690">
        <v>1</v>
      </c>
    </row>
    <row r="691" spans="1:22">
      <c r="A691" s="55">
        <v>45907</v>
      </c>
      <c r="B691" t="s">
        <v>2739</v>
      </c>
      <c r="C691" t="s">
        <v>1824</v>
      </c>
      <c r="D691" t="s">
        <v>24</v>
      </c>
      <c r="E691">
        <v>85308</v>
      </c>
      <c r="F691" t="s">
        <v>310</v>
      </c>
      <c r="G691" t="s">
        <v>2364</v>
      </c>
      <c r="H691" t="s">
        <v>2740</v>
      </c>
      <c r="I691" t="s">
        <v>196</v>
      </c>
      <c r="J691" t="s">
        <v>37</v>
      </c>
      <c r="K691" t="s">
        <v>37</v>
      </c>
      <c r="L691" t="s">
        <v>2741</v>
      </c>
      <c r="M691" t="s">
        <v>37</v>
      </c>
      <c r="N691" t="s">
        <v>37</v>
      </c>
      <c r="O691" t="s">
        <v>38</v>
      </c>
      <c r="P691" t="s">
        <v>39</v>
      </c>
      <c r="Q691" s="55">
        <v>45961</v>
      </c>
      <c r="V691">
        <v>1</v>
      </c>
    </row>
    <row r="692" spans="1:22">
      <c r="A692" s="55">
        <v>45907</v>
      </c>
      <c r="B692" t="s">
        <v>2742</v>
      </c>
      <c r="C692" t="s">
        <v>624</v>
      </c>
      <c r="D692" t="s">
        <v>24</v>
      </c>
      <c r="E692">
        <v>85310</v>
      </c>
      <c r="F692" t="s">
        <v>2743</v>
      </c>
      <c r="G692" t="s">
        <v>2364</v>
      </c>
      <c r="H692" t="s">
        <v>2744</v>
      </c>
      <c r="I692" t="s">
        <v>196</v>
      </c>
      <c r="J692" t="s">
        <v>37</v>
      </c>
      <c r="K692" t="s">
        <v>37</v>
      </c>
      <c r="L692" t="s">
        <v>2745</v>
      </c>
      <c r="M692" t="s">
        <v>37</v>
      </c>
      <c r="N692" t="s">
        <v>37</v>
      </c>
      <c r="O692" t="s">
        <v>38</v>
      </c>
      <c r="P692">
        <v>45938</v>
      </c>
      <c r="Q692" s="55">
        <v>45961</v>
      </c>
      <c r="R692" t="s">
        <v>2746</v>
      </c>
      <c r="V692">
        <v>1</v>
      </c>
    </row>
    <row r="693" spans="1:22">
      <c r="A693" s="55">
        <v>45907</v>
      </c>
      <c r="B693" t="s">
        <v>2747</v>
      </c>
      <c r="C693" t="s">
        <v>2748</v>
      </c>
      <c r="D693" t="s">
        <v>30</v>
      </c>
      <c r="E693" t="s">
        <v>30</v>
      </c>
      <c r="F693" t="s">
        <v>2749</v>
      </c>
      <c r="G693" t="s">
        <v>2364</v>
      </c>
      <c r="H693" t="s">
        <v>2750</v>
      </c>
      <c r="I693" t="s">
        <v>36</v>
      </c>
      <c r="J693" t="s">
        <v>37</v>
      </c>
      <c r="K693" t="s">
        <v>37</v>
      </c>
      <c r="L693" t="s">
        <v>38</v>
      </c>
      <c r="M693" t="s">
        <v>37</v>
      </c>
      <c r="N693" t="s">
        <v>37</v>
      </c>
      <c r="O693" t="s">
        <v>38</v>
      </c>
      <c r="P693" t="s">
        <v>39</v>
      </c>
      <c r="Q693" s="55">
        <v>45961</v>
      </c>
      <c r="V693">
        <v>1</v>
      </c>
    </row>
    <row r="694" spans="1:22">
      <c r="A694" s="55">
        <v>45907</v>
      </c>
      <c r="B694" t="s">
        <v>2751</v>
      </c>
      <c r="C694" t="s">
        <v>2752</v>
      </c>
      <c r="D694" t="s">
        <v>63</v>
      </c>
      <c r="E694">
        <v>85022</v>
      </c>
      <c r="F694" t="s">
        <v>31</v>
      </c>
      <c r="G694" t="s">
        <v>2364</v>
      </c>
      <c r="H694" t="s">
        <v>2753</v>
      </c>
      <c r="I694" t="s">
        <v>196</v>
      </c>
      <c r="J694" t="s">
        <v>37</v>
      </c>
      <c r="K694" t="s">
        <v>37</v>
      </c>
      <c r="L694" t="s">
        <v>38</v>
      </c>
      <c r="M694" t="s">
        <v>37</v>
      </c>
      <c r="N694" t="s">
        <v>37</v>
      </c>
      <c r="O694" t="s">
        <v>38</v>
      </c>
      <c r="P694" t="s">
        <v>39</v>
      </c>
      <c r="Q694" s="55">
        <v>45961</v>
      </c>
      <c r="V694">
        <v>1</v>
      </c>
    </row>
    <row r="695" spans="1:22">
      <c r="A695" s="55">
        <v>45907</v>
      </c>
      <c r="B695" t="s">
        <v>2754</v>
      </c>
      <c r="C695" t="s">
        <v>2755</v>
      </c>
      <c r="D695" t="s">
        <v>30</v>
      </c>
      <c r="E695" t="s">
        <v>30</v>
      </c>
      <c r="F695" t="s">
        <v>2756</v>
      </c>
      <c r="G695" t="s">
        <v>2364</v>
      </c>
      <c r="H695" t="s">
        <v>2757</v>
      </c>
      <c r="I695" t="s">
        <v>418</v>
      </c>
      <c r="J695" t="s">
        <v>37</v>
      </c>
      <c r="K695" t="s">
        <v>37</v>
      </c>
      <c r="L695" t="s">
        <v>389</v>
      </c>
      <c r="M695" t="s">
        <v>37</v>
      </c>
      <c r="N695" t="s">
        <v>37</v>
      </c>
      <c r="O695" t="s">
        <v>38</v>
      </c>
      <c r="P695" t="s">
        <v>39</v>
      </c>
      <c r="Q695" s="55">
        <v>45961</v>
      </c>
      <c r="V695">
        <v>1</v>
      </c>
    </row>
    <row r="696" spans="1:22">
      <c r="A696" s="55">
        <v>45907</v>
      </c>
      <c r="B696" t="s">
        <v>2758</v>
      </c>
      <c r="C696" t="s">
        <v>2273</v>
      </c>
      <c r="D696" t="s">
        <v>112</v>
      </c>
      <c r="E696">
        <v>85388</v>
      </c>
      <c r="F696" t="s">
        <v>31</v>
      </c>
      <c r="G696" t="s">
        <v>2364</v>
      </c>
      <c r="H696" t="s">
        <v>2759</v>
      </c>
      <c r="I696" t="s">
        <v>126</v>
      </c>
      <c r="J696" t="s">
        <v>37</v>
      </c>
      <c r="K696" t="s">
        <v>37</v>
      </c>
      <c r="M696" t="s">
        <v>37</v>
      </c>
      <c r="N696" t="s">
        <v>37</v>
      </c>
      <c r="O696" t="s">
        <v>38</v>
      </c>
      <c r="P696" t="s">
        <v>39</v>
      </c>
      <c r="Q696" s="55">
        <v>45961</v>
      </c>
      <c r="R696" t="s">
        <v>2760</v>
      </c>
      <c r="V696">
        <v>1</v>
      </c>
    </row>
    <row r="697" spans="1:22">
      <c r="A697" s="55">
        <v>45907</v>
      </c>
      <c r="B697" t="s">
        <v>2761</v>
      </c>
      <c r="C697" t="s">
        <v>2762</v>
      </c>
      <c r="D697" t="s">
        <v>63</v>
      </c>
      <c r="E697">
        <v>85086</v>
      </c>
      <c r="F697" t="s">
        <v>31</v>
      </c>
      <c r="G697" t="s">
        <v>2364</v>
      </c>
      <c r="H697" t="s">
        <v>2763</v>
      </c>
      <c r="I697" t="s">
        <v>250</v>
      </c>
      <c r="J697" t="s">
        <v>37</v>
      </c>
      <c r="K697" t="s">
        <v>37</v>
      </c>
      <c r="L697" t="s">
        <v>1586</v>
      </c>
      <c r="M697" t="s">
        <v>37</v>
      </c>
      <c r="N697" t="s">
        <v>37</v>
      </c>
      <c r="O697" t="s">
        <v>38</v>
      </c>
      <c r="P697" t="s">
        <v>39</v>
      </c>
      <c r="Q697" s="55">
        <v>45961</v>
      </c>
      <c r="V697">
        <v>1</v>
      </c>
    </row>
    <row r="698" spans="1:22">
      <c r="A698" s="55">
        <v>45907</v>
      </c>
      <c r="B698" t="s">
        <v>2764</v>
      </c>
      <c r="C698" t="s">
        <v>2395</v>
      </c>
      <c r="D698" t="s">
        <v>93</v>
      </c>
      <c r="E698">
        <v>85373</v>
      </c>
      <c r="F698" t="s">
        <v>31</v>
      </c>
      <c r="G698" t="s">
        <v>2364</v>
      </c>
      <c r="H698" t="s">
        <v>2765</v>
      </c>
      <c r="I698" t="s">
        <v>250</v>
      </c>
      <c r="J698" t="s">
        <v>37</v>
      </c>
      <c r="K698" t="s">
        <v>37</v>
      </c>
      <c r="L698" t="s">
        <v>2766</v>
      </c>
      <c r="M698" t="s">
        <v>37</v>
      </c>
      <c r="N698" t="s">
        <v>37</v>
      </c>
      <c r="O698" t="s">
        <v>38</v>
      </c>
      <c r="P698">
        <v>45938</v>
      </c>
      <c r="Q698" s="55">
        <v>45961</v>
      </c>
      <c r="R698" t="s">
        <v>2767</v>
      </c>
      <c r="V698">
        <v>1</v>
      </c>
    </row>
    <row r="699" spans="1:22">
      <c r="A699" s="55">
        <v>45907</v>
      </c>
      <c r="B699" t="s">
        <v>2768</v>
      </c>
      <c r="C699" t="s">
        <v>2769</v>
      </c>
      <c r="D699" t="s">
        <v>63</v>
      </c>
      <c r="E699">
        <v>85086</v>
      </c>
      <c r="F699" t="s">
        <v>31</v>
      </c>
      <c r="G699" t="s">
        <v>2364</v>
      </c>
      <c r="H699" t="s">
        <v>2770</v>
      </c>
      <c r="I699" t="s">
        <v>36</v>
      </c>
      <c r="J699" t="s">
        <v>37</v>
      </c>
      <c r="K699" t="s">
        <v>37</v>
      </c>
      <c r="L699" t="s">
        <v>1586</v>
      </c>
      <c r="M699" t="s">
        <v>37</v>
      </c>
      <c r="N699" t="s">
        <v>37</v>
      </c>
      <c r="O699" t="s">
        <v>38</v>
      </c>
      <c r="P699" t="s">
        <v>39</v>
      </c>
      <c r="Q699" s="55">
        <v>45961</v>
      </c>
      <c r="V699">
        <v>1</v>
      </c>
    </row>
    <row r="700" spans="1:22">
      <c r="A700" s="55">
        <v>45907</v>
      </c>
      <c r="B700" t="s">
        <v>2771</v>
      </c>
      <c r="C700" t="s">
        <v>2772</v>
      </c>
      <c r="D700" t="s">
        <v>125</v>
      </c>
      <c r="E700">
        <v>85260</v>
      </c>
      <c r="F700" t="s">
        <v>31</v>
      </c>
      <c r="G700" t="s">
        <v>2364</v>
      </c>
      <c r="H700" t="s">
        <v>2773</v>
      </c>
      <c r="I700" t="s">
        <v>36</v>
      </c>
      <c r="J700" t="s">
        <v>37</v>
      </c>
      <c r="K700" t="s">
        <v>37</v>
      </c>
      <c r="L700" t="s">
        <v>1586</v>
      </c>
      <c r="M700" t="s">
        <v>37</v>
      </c>
      <c r="N700" t="s">
        <v>37</v>
      </c>
      <c r="O700" t="s">
        <v>38</v>
      </c>
      <c r="P700" t="s">
        <v>39</v>
      </c>
      <c r="Q700" s="55">
        <v>45961</v>
      </c>
      <c r="V700">
        <v>1</v>
      </c>
    </row>
    <row r="701" spans="1:22">
      <c r="A701" s="55">
        <v>45907</v>
      </c>
      <c r="B701" t="s">
        <v>2778</v>
      </c>
      <c r="C701" t="s">
        <v>2633</v>
      </c>
      <c r="D701" t="s">
        <v>63</v>
      </c>
      <c r="E701">
        <v>85086</v>
      </c>
      <c r="F701" t="s">
        <v>310</v>
      </c>
      <c r="G701" t="s">
        <v>2364</v>
      </c>
      <c r="H701" t="s">
        <v>2779</v>
      </c>
      <c r="I701" t="s">
        <v>196</v>
      </c>
      <c r="J701" t="s">
        <v>37</v>
      </c>
      <c r="K701" t="s">
        <v>37</v>
      </c>
      <c r="L701" t="s">
        <v>2780</v>
      </c>
      <c r="M701" t="s">
        <v>38</v>
      </c>
      <c r="N701">
        <v>508.72</v>
      </c>
      <c r="O701" t="s">
        <v>38</v>
      </c>
      <c r="P701" t="s">
        <v>39</v>
      </c>
      <c r="Q701" s="55">
        <v>45961</v>
      </c>
      <c r="V701">
        <v>1</v>
      </c>
    </row>
    <row r="702" spans="1:22">
      <c r="A702" s="55">
        <v>45908</v>
      </c>
      <c r="B702" t="s">
        <v>2781</v>
      </c>
      <c r="C702" t="s">
        <v>2380</v>
      </c>
      <c r="D702" t="s">
        <v>89</v>
      </c>
      <c r="E702">
        <v>86341</v>
      </c>
      <c r="F702" t="s">
        <v>1990</v>
      </c>
      <c r="G702" t="s">
        <v>2782</v>
      </c>
      <c r="H702" t="s">
        <v>2783</v>
      </c>
      <c r="I702" t="s">
        <v>57</v>
      </c>
      <c r="J702" t="s">
        <v>37</v>
      </c>
      <c r="K702" t="s">
        <v>37</v>
      </c>
      <c r="L702" t="s">
        <v>2784</v>
      </c>
      <c r="M702" t="s">
        <v>37</v>
      </c>
      <c r="N702" t="s">
        <v>37</v>
      </c>
      <c r="O702" t="s">
        <v>38</v>
      </c>
      <c r="P702">
        <v>45938</v>
      </c>
      <c r="Q702" s="55">
        <v>45961</v>
      </c>
      <c r="R702" t="s">
        <v>2767</v>
      </c>
      <c r="V702">
        <v>1</v>
      </c>
    </row>
    <row r="703" spans="1:22">
      <c r="A703" s="55">
        <v>45909</v>
      </c>
      <c r="B703" t="s">
        <v>2785</v>
      </c>
      <c r="C703" t="s">
        <v>2786</v>
      </c>
      <c r="D703" t="s">
        <v>63</v>
      </c>
      <c r="E703">
        <v>85012</v>
      </c>
      <c r="F703" t="s">
        <v>310</v>
      </c>
      <c r="G703" t="s">
        <v>2782</v>
      </c>
      <c r="H703" t="s">
        <v>2787</v>
      </c>
      <c r="I703" t="s">
        <v>126</v>
      </c>
      <c r="J703" t="s">
        <v>37</v>
      </c>
      <c r="K703" t="s">
        <v>37</v>
      </c>
      <c r="L703" t="s">
        <v>1586</v>
      </c>
      <c r="M703" t="s">
        <v>37</v>
      </c>
      <c r="N703" t="s">
        <v>37</v>
      </c>
      <c r="O703" t="s">
        <v>38</v>
      </c>
      <c r="P703" t="s">
        <v>39</v>
      </c>
      <c r="Q703" s="55">
        <v>45961</v>
      </c>
      <c r="V703">
        <v>1</v>
      </c>
    </row>
    <row r="704" spans="1:22">
      <c r="A704" s="55">
        <v>45909</v>
      </c>
      <c r="B704" t="s">
        <v>2788</v>
      </c>
      <c r="C704" t="s">
        <v>2789</v>
      </c>
      <c r="D704" t="s">
        <v>202</v>
      </c>
      <c r="E704">
        <v>85383</v>
      </c>
      <c r="F704" t="s">
        <v>2790</v>
      </c>
      <c r="G704" t="s">
        <v>2782</v>
      </c>
      <c r="H704" t="s">
        <v>2791</v>
      </c>
      <c r="I704" t="s">
        <v>1488</v>
      </c>
      <c r="J704" t="s">
        <v>37</v>
      </c>
      <c r="K704" t="s">
        <v>37</v>
      </c>
      <c r="L704" t="s">
        <v>389</v>
      </c>
      <c r="M704" t="s">
        <v>37</v>
      </c>
      <c r="N704" t="s">
        <v>37</v>
      </c>
      <c r="O704" t="s">
        <v>38</v>
      </c>
      <c r="P704" t="s">
        <v>39</v>
      </c>
      <c r="Q704" s="55">
        <v>45961</v>
      </c>
      <c r="V704">
        <v>1</v>
      </c>
    </row>
    <row r="705" spans="1:22">
      <c r="A705" s="55">
        <v>45909</v>
      </c>
      <c r="B705" t="s">
        <v>686</v>
      </c>
      <c r="C705" t="s">
        <v>1755</v>
      </c>
      <c r="D705" t="s">
        <v>112</v>
      </c>
      <c r="E705">
        <v>85374</v>
      </c>
      <c r="F705" t="s">
        <v>310</v>
      </c>
      <c r="G705" t="s">
        <v>2782</v>
      </c>
      <c r="H705" t="s">
        <v>2792</v>
      </c>
      <c r="I705" t="s">
        <v>36</v>
      </c>
      <c r="J705" t="s">
        <v>37</v>
      </c>
      <c r="K705" t="s">
        <v>37</v>
      </c>
      <c r="L705" t="s">
        <v>1586</v>
      </c>
      <c r="M705" t="s">
        <v>37</v>
      </c>
      <c r="N705" t="s">
        <v>37</v>
      </c>
      <c r="O705" t="s">
        <v>38</v>
      </c>
      <c r="P705" t="s">
        <v>39</v>
      </c>
      <c r="Q705" s="55">
        <v>45961</v>
      </c>
      <c r="V705">
        <v>1</v>
      </c>
    </row>
    <row r="706" spans="1:22">
      <c r="A706" s="55">
        <v>45909</v>
      </c>
      <c r="B706" t="s">
        <v>1356</v>
      </c>
      <c r="C706" t="s">
        <v>2794</v>
      </c>
      <c r="D706" t="s">
        <v>63</v>
      </c>
      <c r="E706">
        <v>85012</v>
      </c>
      <c r="F706" t="s">
        <v>310</v>
      </c>
      <c r="G706" t="s">
        <v>2782</v>
      </c>
      <c r="H706" t="s">
        <v>2795</v>
      </c>
      <c r="I706" t="s">
        <v>73</v>
      </c>
      <c r="J706" t="s">
        <v>38</v>
      </c>
      <c r="K706" t="s">
        <v>37</v>
      </c>
      <c r="L706" t="s">
        <v>1586</v>
      </c>
      <c r="M706" t="s">
        <v>37</v>
      </c>
      <c r="N706" t="s">
        <v>37</v>
      </c>
      <c r="O706" t="s">
        <v>38</v>
      </c>
      <c r="P706" t="s">
        <v>39</v>
      </c>
      <c r="Q706" s="55">
        <v>45961</v>
      </c>
      <c r="V706">
        <v>1</v>
      </c>
    </row>
    <row r="707" spans="1:22">
      <c r="A707" s="55">
        <v>45909</v>
      </c>
      <c r="B707" t="s">
        <v>2796</v>
      </c>
      <c r="C707" t="s">
        <v>2797</v>
      </c>
      <c r="D707" t="s">
        <v>63</v>
      </c>
      <c r="E707">
        <v>85085</v>
      </c>
      <c r="F707" t="s">
        <v>310</v>
      </c>
      <c r="G707" t="s">
        <v>2782</v>
      </c>
      <c r="H707" t="s">
        <v>2798</v>
      </c>
      <c r="I707" t="s">
        <v>1684</v>
      </c>
      <c r="J707" t="s">
        <v>37</v>
      </c>
      <c r="K707" t="s">
        <v>37</v>
      </c>
      <c r="L707" t="s">
        <v>401</v>
      </c>
      <c r="M707" t="s">
        <v>37</v>
      </c>
      <c r="N707" t="s">
        <v>37</v>
      </c>
      <c r="O707" t="s">
        <v>38</v>
      </c>
      <c r="P707" t="s">
        <v>39</v>
      </c>
      <c r="Q707" s="55">
        <v>45961</v>
      </c>
      <c r="V707">
        <v>1</v>
      </c>
    </row>
    <row r="708" spans="1:22">
      <c r="A708" s="55">
        <v>45909</v>
      </c>
      <c r="B708" t="s">
        <v>2799</v>
      </c>
      <c r="C708" t="s">
        <v>2800</v>
      </c>
      <c r="D708" t="s">
        <v>202</v>
      </c>
      <c r="E708">
        <v>85383</v>
      </c>
      <c r="F708" t="s">
        <v>310</v>
      </c>
      <c r="G708" t="s">
        <v>2782</v>
      </c>
      <c r="H708" t="s">
        <v>2801</v>
      </c>
      <c r="I708" t="s">
        <v>36</v>
      </c>
      <c r="J708" t="s">
        <v>37</v>
      </c>
      <c r="K708" t="s">
        <v>37</v>
      </c>
      <c r="L708" t="s">
        <v>1586</v>
      </c>
      <c r="M708" t="s">
        <v>37</v>
      </c>
      <c r="N708" t="s">
        <v>37</v>
      </c>
      <c r="O708" t="s">
        <v>38</v>
      </c>
      <c r="P708" t="s">
        <v>39</v>
      </c>
      <c r="Q708" s="55">
        <v>45961</v>
      </c>
      <c r="V708">
        <v>1</v>
      </c>
    </row>
    <row r="709" spans="1:22">
      <c r="A709" s="55">
        <v>45909</v>
      </c>
      <c r="B709" t="s">
        <v>2802</v>
      </c>
      <c r="C709" t="s">
        <v>2803</v>
      </c>
      <c r="D709" t="s">
        <v>619</v>
      </c>
      <c r="E709">
        <v>85365</v>
      </c>
      <c r="F709" t="s">
        <v>2804</v>
      </c>
      <c r="G709" t="s">
        <v>2782</v>
      </c>
      <c r="H709" t="s">
        <v>2805</v>
      </c>
      <c r="I709" t="s">
        <v>196</v>
      </c>
      <c r="J709" t="s">
        <v>37</v>
      </c>
      <c r="K709" t="s">
        <v>37</v>
      </c>
      <c r="L709" t="s">
        <v>2806</v>
      </c>
      <c r="M709" t="s">
        <v>37</v>
      </c>
      <c r="N709" t="s">
        <v>37</v>
      </c>
      <c r="O709" t="s">
        <v>38</v>
      </c>
      <c r="P709">
        <v>45938</v>
      </c>
      <c r="Q709" s="55">
        <v>45961</v>
      </c>
      <c r="R709" t="s">
        <v>2767</v>
      </c>
      <c r="V709">
        <v>1</v>
      </c>
    </row>
    <row r="710" spans="1:22">
      <c r="A710" s="55">
        <v>45909</v>
      </c>
      <c r="B710" t="s">
        <v>2807</v>
      </c>
      <c r="C710" t="s">
        <v>2808</v>
      </c>
      <c r="D710" t="s">
        <v>428</v>
      </c>
      <c r="E710">
        <v>85335</v>
      </c>
      <c r="F710" t="s">
        <v>2809</v>
      </c>
      <c r="G710" t="s">
        <v>2782</v>
      </c>
      <c r="H710" t="s">
        <v>2810</v>
      </c>
      <c r="I710" t="s">
        <v>1488</v>
      </c>
      <c r="J710" t="s">
        <v>37</v>
      </c>
      <c r="K710" t="s">
        <v>37</v>
      </c>
      <c r="L710" t="s">
        <v>389</v>
      </c>
      <c r="M710" t="s">
        <v>37</v>
      </c>
      <c r="N710" t="s">
        <v>37</v>
      </c>
      <c r="O710" t="s">
        <v>38</v>
      </c>
      <c r="P710" t="s">
        <v>39</v>
      </c>
      <c r="Q710" s="55">
        <v>45961</v>
      </c>
      <c r="V710">
        <v>1</v>
      </c>
    </row>
    <row r="711" spans="1:22">
      <c r="A711" s="55">
        <v>45909</v>
      </c>
      <c r="B711" t="s">
        <v>2811</v>
      </c>
      <c r="C711" t="s">
        <v>1444</v>
      </c>
      <c r="D711" t="s">
        <v>370</v>
      </c>
      <c r="E711">
        <v>85225</v>
      </c>
      <c r="F711" t="s">
        <v>310</v>
      </c>
      <c r="G711" t="s">
        <v>2812</v>
      </c>
      <c r="H711" t="s">
        <v>2813</v>
      </c>
      <c r="I711" t="s">
        <v>46</v>
      </c>
      <c r="J711" t="s">
        <v>37</v>
      </c>
      <c r="K711" t="s">
        <v>37</v>
      </c>
      <c r="L711" t="s">
        <v>1586</v>
      </c>
      <c r="M711" t="s">
        <v>37</v>
      </c>
      <c r="N711" t="s">
        <v>37</v>
      </c>
      <c r="O711" t="s">
        <v>38</v>
      </c>
      <c r="P711" t="s">
        <v>39</v>
      </c>
      <c r="Q711" s="55">
        <v>45961</v>
      </c>
      <c r="V711">
        <v>1</v>
      </c>
    </row>
    <row r="712" spans="1:22">
      <c r="A712" s="55">
        <v>45909</v>
      </c>
      <c r="B712" t="s">
        <v>558</v>
      </c>
      <c r="C712" t="s">
        <v>2814</v>
      </c>
      <c r="D712" t="s">
        <v>1719</v>
      </c>
      <c r="E712">
        <v>85615</v>
      </c>
      <c r="F712" t="s">
        <v>31</v>
      </c>
      <c r="G712" t="s">
        <v>2812</v>
      </c>
      <c r="H712" t="s">
        <v>2815</v>
      </c>
      <c r="I712" t="s">
        <v>196</v>
      </c>
      <c r="J712" t="s">
        <v>38</v>
      </c>
      <c r="K712" t="s">
        <v>37</v>
      </c>
      <c r="L712" t="s">
        <v>2816</v>
      </c>
      <c r="M712" t="s">
        <v>37</v>
      </c>
      <c r="N712" t="s">
        <v>37</v>
      </c>
      <c r="O712" t="s">
        <v>38</v>
      </c>
      <c r="P712">
        <v>45938</v>
      </c>
      <c r="Q712" s="55">
        <v>45961</v>
      </c>
      <c r="R712" t="s">
        <v>2767</v>
      </c>
      <c r="V712">
        <v>1</v>
      </c>
    </row>
    <row r="713" spans="1:22">
      <c r="A713" s="55">
        <v>45909</v>
      </c>
      <c r="B713" t="s">
        <v>1136</v>
      </c>
      <c r="C713" t="s">
        <v>2817</v>
      </c>
      <c r="D713" t="s">
        <v>63</v>
      </c>
      <c r="E713">
        <v>85032</v>
      </c>
      <c r="F713" t="s">
        <v>310</v>
      </c>
      <c r="G713" t="s">
        <v>2812</v>
      </c>
      <c r="H713" t="s">
        <v>2818</v>
      </c>
      <c r="I713" t="s">
        <v>36</v>
      </c>
      <c r="J713" t="s">
        <v>37</v>
      </c>
      <c r="K713" t="s">
        <v>37</v>
      </c>
      <c r="L713" t="s">
        <v>1586</v>
      </c>
      <c r="M713" t="s">
        <v>37</v>
      </c>
      <c r="N713" t="s">
        <v>37</v>
      </c>
      <c r="O713" t="s">
        <v>38</v>
      </c>
      <c r="P713" t="s">
        <v>39</v>
      </c>
      <c r="Q713" s="55">
        <v>45961</v>
      </c>
      <c r="V713">
        <v>1</v>
      </c>
    </row>
    <row r="714" spans="1:22">
      <c r="A714" s="55">
        <v>45909</v>
      </c>
      <c r="B714" t="s">
        <v>269</v>
      </c>
      <c r="C714" t="s">
        <v>420</v>
      </c>
      <c r="D714" t="s">
        <v>63</v>
      </c>
      <c r="E714">
        <v>85020</v>
      </c>
      <c r="F714" t="s">
        <v>310</v>
      </c>
      <c r="G714" t="s">
        <v>2812</v>
      </c>
      <c r="H714" t="s">
        <v>2819</v>
      </c>
      <c r="I714" t="s">
        <v>541</v>
      </c>
      <c r="J714" t="s">
        <v>37</v>
      </c>
      <c r="K714" t="s">
        <v>37</v>
      </c>
      <c r="L714" t="s">
        <v>389</v>
      </c>
      <c r="M714" t="s">
        <v>37</v>
      </c>
      <c r="N714" t="s">
        <v>37</v>
      </c>
      <c r="O714" t="s">
        <v>38</v>
      </c>
      <c r="P714" t="s">
        <v>39</v>
      </c>
      <c r="Q714" s="55">
        <v>45961</v>
      </c>
      <c r="V714">
        <v>1</v>
      </c>
    </row>
    <row r="715" spans="1:22">
      <c r="A715" s="55">
        <v>45909</v>
      </c>
      <c r="B715" t="s">
        <v>2821</v>
      </c>
      <c r="C715" t="s">
        <v>1806</v>
      </c>
      <c r="D715" t="s">
        <v>63</v>
      </c>
      <c r="E715">
        <v>85083</v>
      </c>
      <c r="F715" t="s">
        <v>31</v>
      </c>
      <c r="G715" t="s">
        <v>2812</v>
      </c>
      <c r="H715" t="s">
        <v>2822</v>
      </c>
      <c r="I715" t="s">
        <v>126</v>
      </c>
      <c r="J715" t="s">
        <v>37</v>
      </c>
      <c r="K715" t="s">
        <v>37</v>
      </c>
      <c r="L715" t="s">
        <v>1586</v>
      </c>
      <c r="M715" t="s">
        <v>37</v>
      </c>
      <c r="N715" t="s">
        <v>37</v>
      </c>
      <c r="O715" t="s">
        <v>38</v>
      </c>
      <c r="P715" t="s">
        <v>39</v>
      </c>
      <c r="Q715" s="55">
        <v>45961</v>
      </c>
      <c r="V715">
        <v>1</v>
      </c>
    </row>
    <row r="716" spans="1:22">
      <c r="A716" s="55">
        <v>45909</v>
      </c>
      <c r="B716" t="s">
        <v>835</v>
      </c>
      <c r="C716" t="s">
        <v>2823</v>
      </c>
      <c r="D716" t="s">
        <v>63</v>
      </c>
      <c r="E716">
        <v>85086</v>
      </c>
      <c r="F716" t="s">
        <v>31</v>
      </c>
      <c r="G716" t="s">
        <v>2812</v>
      </c>
      <c r="H716" t="s">
        <v>2824</v>
      </c>
      <c r="I716" t="s">
        <v>36</v>
      </c>
      <c r="J716" t="s">
        <v>38</v>
      </c>
      <c r="K716" t="s">
        <v>37</v>
      </c>
      <c r="L716" t="s">
        <v>1586</v>
      </c>
      <c r="M716" t="s">
        <v>37</v>
      </c>
      <c r="N716" t="s">
        <v>37</v>
      </c>
      <c r="O716" t="s">
        <v>38</v>
      </c>
      <c r="P716" t="s">
        <v>39</v>
      </c>
      <c r="Q716" s="55">
        <v>45961</v>
      </c>
      <c r="V716">
        <v>1</v>
      </c>
    </row>
    <row r="717" spans="1:22">
      <c r="A717" s="55">
        <v>45909</v>
      </c>
      <c r="B717" t="s">
        <v>2826</v>
      </c>
      <c r="C717" t="s">
        <v>102</v>
      </c>
      <c r="D717" t="s">
        <v>63</v>
      </c>
      <c r="E717">
        <v>85086</v>
      </c>
      <c r="F717" t="s">
        <v>2827</v>
      </c>
      <c r="G717" t="s">
        <v>2812</v>
      </c>
      <c r="H717" t="s">
        <v>2828</v>
      </c>
      <c r="I717" t="s">
        <v>46</v>
      </c>
      <c r="J717" t="s">
        <v>37</v>
      </c>
      <c r="K717" t="s">
        <v>37</v>
      </c>
      <c r="L717" t="s">
        <v>1586</v>
      </c>
      <c r="M717" t="s">
        <v>37</v>
      </c>
      <c r="N717" t="s">
        <v>37</v>
      </c>
      <c r="O717" t="s">
        <v>38</v>
      </c>
      <c r="P717" t="s">
        <v>39</v>
      </c>
      <c r="Q717" s="55">
        <v>45961</v>
      </c>
      <c r="V717">
        <v>1</v>
      </c>
    </row>
    <row r="718" spans="1:22">
      <c r="A718" s="55">
        <v>45909</v>
      </c>
      <c r="B718" t="s">
        <v>2829</v>
      </c>
      <c r="C718" t="s">
        <v>2380</v>
      </c>
      <c r="D718" t="s">
        <v>63</v>
      </c>
      <c r="E718">
        <v>85086</v>
      </c>
      <c r="F718" t="s">
        <v>31</v>
      </c>
      <c r="G718" t="s">
        <v>2812</v>
      </c>
      <c r="H718" t="s">
        <v>2830</v>
      </c>
      <c r="I718" t="s">
        <v>46</v>
      </c>
      <c r="J718" t="s">
        <v>37</v>
      </c>
      <c r="K718" t="s">
        <v>37</v>
      </c>
      <c r="L718" t="s">
        <v>1586</v>
      </c>
      <c r="M718" t="s">
        <v>38</v>
      </c>
      <c r="N718">
        <v>1068.19</v>
      </c>
      <c r="O718" t="s">
        <v>38</v>
      </c>
      <c r="Q718" s="55">
        <v>45961</v>
      </c>
      <c r="R718" t="s">
        <v>495</v>
      </c>
      <c r="V718">
        <v>1</v>
      </c>
    </row>
    <row r="719" spans="1:22">
      <c r="A719" s="55">
        <v>45909</v>
      </c>
      <c r="B719" t="s">
        <v>2761</v>
      </c>
      <c r="C719" t="s">
        <v>481</v>
      </c>
      <c r="D719" t="s">
        <v>63</v>
      </c>
      <c r="E719">
        <v>85086</v>
      </c>
      <c r="F719" t="s">
        <v>2827</v>
      </c>
      <c r="G719" t="s">
        <v>2812</v>
      </c>
      <c r="H719">
        <v>3006885688</v>
      </c>
      <c r="I719" t="s">
        <v>250</v>
      </c>
      <c r="J719" t="s">
        <v>37</v>
      </c>
      <c r="K719" t="s">
        <v>37</v>
      </c>
      <c r="L719" t="s">
        <v>1586</v>
      </c>
      <c r="M719" t="s">
        <v>37</v>
      </c>
      <c r="N719" t="s">
        <v>37</v>
      </c>
      <c r="O719" t="s">
        <v>38</v>
      </c>
      <c r="P719" t="s">
        <v>39</v>
      </c>
      <c r="Q719" s="55">
        <v>45961</v>
      </c>
      <c r="V719">
        <v>1</v>
      </c>
    </row>
    <row r="720" spans="1:22">
      <c r="A720" s="55">
        <v>45909</v>
      </c>
      <c r="B720" t="s">
        <v>2836</v>
      </c>
      <c r="C720" t="s">
        <v>133</v>
      </c>
      <c r="D720" t="s">
        <v>30</v>
      </c>
      <c r="E720" t="s">
        <v>30</v>
      </c>
      <c r="F720" t="s">
        <v>310</v>
      </c>
      <c r="G720" t="s">
        <v>2812</v>
      </c>
      <c r="H720" t="s">
        <v>2837</v>
      </c>
      <c r="I720" t="s">
        <v>250</v>
      </c>
      <c r="J720" t="s">
        <v>37</v>
      </c>
      <c r="K720" t="s">
        <v>37</v>
      </c>
      <c r="L720" t="s">
        <v>1586</v>
      </c>
      <c r="M720" t="s">
        <v>37</v>
      </c>
      <c r="N720" t="s">
        <v>37</v>
      </c>
      <c r="O720" t="s">
        <v>38</v>
      </c>
      <c r="P720" t="s">
        <v>39</v>
      </c>
      <c r="Q720" s="55">
        <v>45961</v>
      </c>
      <c r="V720">
        <v>1</v>
      </c>
    </row>
    <row r="721" spans="1:22">
      <c r="A721" s="55">
        <v>45909</v>
      </c>
      <c r="B721" t="s">
        <v>2839</v>
      </c>
      <c r="C721" t="s">
        <v>320</v>
      </c>
      <c r="D721" t="s">
        <v>63</v>
      </c>
      <c r="E721">
        <v>85085</v>
      </c>
      <c r="F721" t="s">
        <v>310</v>
      </c>
      <c r="G721" t="s">
        <v>2812</v>
      </c>
      <c r="H721" t="s">
        <v>2840</v>
      </c>
      <c r="I721" t="s">
        <v>36</v>
      </c>
      <c r="J721" t="s">
        <v>37</v>
      </c>
      <c r="K721" t="s">
        <v>37</v>
      </c>
      <c r="L721" t="s">
        <v>1586</v>
      </c>
      <c r="M721" t="s">
        <v>37</v>
      </c>
      <c r="N721" t="s">
        <v>37</v>
      </c>
      <c r="O721" t="s">
        <v>38</v>
      </c>
      <c r="P721" t="s">
        <v>39</v>
      </c>
      <c r="Q721" s="55">
        <v>45961</v>
      </c>
      <c r="V721">
        <v>1</v>
      </c>
    </row>
    <row r="722" spans="1:22">
      <c r="A722" s="55">
        <v>45909</v>
      </c>
      <c r="B722" t="s">
        <v>2841</v>
      </c>
      <c r="C722" t="s">
        <v>931</v>
      </c>
      <c r="D722" t="s">
        <v>880</v>
      </c>
      <c r="E722">
        <v>85086</v>
      </c>
      <c r="F722" t="s">
        <v>2842</v>
      </c>
      <c r="G722" t="s">
        <v>2812</v>
      </c>
      <c r="H722" t="s">
        <v>2843</v>
      </c>
      <c r="I722" t="s">
        <v>250</v>
      </c>
      <c r="J722" t="s">
        <v>37</v>
      </c>
      <c r="K722" t="s">
        <v>37</v>
      </c>
      <c r="L722" t="s">
        <v>1586</v>
      </c>
      <c r="M722" t="s">
        <v>37</v>
      </c>
      <c r="N722" t="s">
        <v>37</v>
      </c>
      <c r="O722" t="s">
        <v>38</v>
      </c>
      <c r="P722" t="s">
        <v>39</v>
      </c>
      <c r="Q722" s="55">
        <v>45961</v>
      </c>
      <c r="V722">
        <v>1</v>
      </c>
    </row>
    <row r="723" spans="1:22">
      <c r="A723" s="55">
        <v>45909</v>
      </c>
      <c r="B723" t="s">
        <v>2844</v>
      </c>
      <c r="C723" t="s">
        <v>2845</v>
      </c>
      <c r="D723" t="s">
        <v>63</v>
      </c>
      <c r="E723">
        <v>85086</v>
      </c>
      <c r="F723" t="s">
        <v>2588</v>
      </c>
      <c r="G723" t="s">
        <v>2812</v>
      </c>
      <c r="H723" t="s">
        <v>2846</v>
      </c>
      <c r="I723" t="s">
        <v>250</v>
      </c>
      <c r="J723" t="s">
        <v>37</v>
      </c>
      <c r="K723" t="s">
        <v>37</v>
      </c>
      <c r="L723" t="s">
        <v>1586</v>
      </c>
      <c r="M723" t="s">
        <v>37</v>
      </c>
      <c r="N723" t="s">
        <v>37</v>
      </c>
      <c r="O723" t="s">
        <v>38</v>
      </c>
      <c r="P723" t="s">
        <v>39</v>
      </c>
      <c r="Q723" s="55">
        <v>45961</v>
      </c>
      <c r="V723">
        <v>1</v>
      </c>
    </row>
    <row r="724" spans="1:22">
      <c r="A724" s="55">
        <v>45909</v>
      </c>
      <c r="B724" t="s">
        <v>2847</v>
      </c>
      <c r="C724" t="s">
        <v>184</v>
      </c>
      <c r="D724" t="s">
        <v>2641</v>
      </c>
      <c r="E724">
        <v>85087</v>
      </c>
      <c r="F724" t="s">
        <v>310</v>
      </c>
      <c r="G724" t="s">
        <v>2812</v>
      </c>
      <c r="H724" t="s">
        <v>2848</v>
      </c>
      <c r="I724" t="s">
        <v>250</v>
      </c>
      <c r="J724" t="s">
        <v>37</v>
      </c>
      <c r="K724" t="s">
        <v>37</v>
      </c>
      <c r="L724" t="s">
        <v>1586</v>
      </c>
      <c r="M724" t="s">
        <v>38</v>
      </c>
      <c r="N724">
        <v>548.12</v>
      </c>
      <c r="O724" t="s">
        <v>38</v>
      </c>
      <c r="Q724" s="55">
        <v>45961</v>
      </c>
      <c r="R724" t="s">
        <v>495</v>
      </c>
      <c r="V724">
        <v>1</v>
      </c>
    </row>
    <row r="725" spans="1:22">
      <c r="A725" s="55">
        <v>45909</v>
      </c>
      <c r="B725" t="s">
        <v>2849</v>
      </c>
      <c r="C725" t="s">
        <v>2850</v>
      </c>
      <c r="D725" t="s">
        <v>63</v>
      </c>
      <c r="E725">
        <v>85086</v>
      </c>
      <c r="F725" t="s">
        <v>2851</v>
      </c>
      <c r="G725" t="s">
        <v>2812</v>
      </c>
      <c r="H725" t="s">
        <v>2852</v>
      </c>
      <c r="I725" t="s">
        <v>196</v>
      </c>
      <c r="J725" t="s">
        <v>37</v>
      </c>
      <c r="K725" t="s">
        <v>37</v>
      </c>
      <c r="L725" t="s">
        <v>1586</v>
      </c>
      <c r="M725" t="s">
        <v>37</v>
      </c>
      <c r="N725" t="s">
        <v>37</v>
      </c>
      <c r="O725" t="s">
        <v>38</v>
      </c>
      <c r="P725" t="s">
        <v>39</v>
      </c>
      <c r="Q725" s="55">
        <v>45961</v>
      </c>
      <c r="V725">
        <v>1</v>
      </c>
    </row>
    <row r="726" spans="1:22">
      <c r="A726" s="55">
        <v>45909</v>
      </c>
      <c r="B726" t="s">
        <v>2853</v>
      </c>
      <c r="C726" t="s">
        <v>1661</v>
      </c>
      <c r="D726" t="s">
        <v>2641</v>
      </c>
      <c r="E726">
        <v>85087</v>
      </c>
      <c r="F726" t="s">
        <v>310</v>
      </c>
      <c r="G726" t="s">
        <v>2812</v>
      </c>
      <c r="H726" t="s">
        <v>2854</v>
      </c>
      <c r="I726" t="s">
        <v>81</v>
      </c>
      <c r="J726" t="s">
        <v>37</v>
      </c>
      <c r="K726" t="s">
        <v>37</v>
      </c>
      <c r="L726" t="s">
        <v>389</v>
      </c>
      <c r="M726" t="s">
        <v>37</v>
      </c>
      <c r="N726" t="s">
        <v>37</v>
      </c>
      <c r="O726" t="s">
        <v>38</v>
      </c>
      <c r="P726" t="s">
        <v>39</v>
      </c>
      <c r="Q726" s="55">
        <v>45961</v>
      </c>
      <c r="V726">
        <v>1</v>
      </c>
    </row>
    <row r="727" spans="1:22">
      <c r="A727" s="55">
        <v>45909</v>
      </c>
      <c r="B727" t="s">
        <v>2857</v>
      </c>
      <c r="C727" t="s">
        <v>2858</v>
      </c>
      <c r="D727" t="s">
        <v>30</v>
      </c>
      <c r="E727" t="s">
        <v>30</v>
      </c>
      <c r="F727" t="s">
        <v>310</v>
      </c>
      <c r="G727" t="s">
        <v>2812</v>
      </c>
      <c r="H727" t="s">
        <v>2859</v>
      </c>
      <c r="I727" t="s">
        <v>36</v>
      </c>
      <c r="J727" t="s">
        <v>37</v>
      </c>
      <c r="K727" t="s">
        <v>37</v>
      </c>
      <c r="L727" t="s">
        <v>1586</v>
      </c>
      <c r="M727" t="s">
        <v>37</v>
      </c>
      <c r="N727" t="s">
        <v>37</v>
      </c>
      <c r="O727" t="s">
        <v>38</v>
      </c>
      <c r="P727" t="s">
        <v>39</v>
      </c>
      <c r="Q727" s="55">
        <v>45961</v>
      </c>
      <c r="V727">
        <v>1</v>
      </c>
    </row>
    <row r="728" spans="1:22">
      <c r="A728" s="55">
        <v>45909</v>
      </c>
      <c r="B728" t="s">
        <v>2860</v>
      </c>
      <c r="C728" t="s">
        <v>2861</v>
      </c>
      <c r="D728" t="s">
        <v>85</v>
      </c>
      <c r="E728">
        <v>86323</v>
      </c>
      <c r="F728" t="s">
        <v>31</v>
      </c>
      <c r="G728" t="s">
        <v>2812</v>
      </c>
      <c r="H728" t="s">
        <v>2862</v>
      </c>
      <c r="I728" t="s">
        <v>196</v>
      </c>
      <c r="J728" t="s">
        <v>37</v>
      </c>
      <c r="K728" t="s">
        <v>37</v>
      </c>
      <c r="L728" t="s">
        <v>2863</v>
      </c>
      <c r="M728" t="s">
        <v>37</v>
      </c>
      <c r="N728" t="s">
        <v>37</v>
      </c>
      <c r="O728" t="s">
        <v>38</v>
      </c>
      <c r="P728" t="s">
        <v>39</v>
      </c>
      <c r="Q728" s="55">
        <v>45961</v>
      </c>
      <c r="V728">
        <v>1</v>
      </c>
    </row>
    <row r="729" spans="1:22">
      <c r="A729" s="55">
        <v>45909</v>
      </c>
      <c r="B729" t="s">
        <v>2864</v>
      </c>
      <c r="C729" t="s">
        <v>801</v>
      </c>
      <c r="D729" t="s">
        <v>63</v>
      </c>
      <c r="E729">
        <v>85083</v>
      </c>
      <c r="F729" t="s">
        <v>2865</v>
      </c>
      <c r="G729" t="s">
        <v>2812</v>
      </c>
      <c r="H729" t="s">
        <v>2866</v>
      </c>
      <c r="I729" t="s">
        <v>250</v>
      </c>
      <c r="J729" t="s">
        <v>37</v>
      </c>
      <c r="K729" t="s">
        <v>37</v>
      </c>
      <c r="L729" t="s">
        <v>1586</v>
      </c>
      <c r="M729" t="s">
        <v>37</v>
      </c>
      <c r="N729" t="s">
        <v>37</v>
      </c>
      <c r="O729" t="s">
        <v>38</v>
      </c>
      <c r="P729" t="s">
        <v>39</v>
      </c>
      <c r="Q729" s="55">
        <v>45961</v>
      </c>
      <c r="V729">
        <v>1</v>
      </c>
    </row>
    <row r="730" spans="1:22">
      <c r="A730" s="55">
        <v>45909</v>
      </c>
      <c r="B730" t="s">
        <v>2869</v>
      </c>
      <c r="C730" t="s">
        <v>2380</v>
      </c>
      <c r="D730" t="s">
        <v>30</v>
      </c>
      <c r="E730" t="s">
        <v>30</v>
      </c>
      <c r="F730" t="s">
        <v>31</v>
      </c>
      <c r="G730" t="s">
        <v>2812</v>
      </c>
      <c r="H730" t="s">
        <v>2870</v>
      </c>
      <c r="I730" t="s">
        <v>73</v>
      </c>
      <c r="J730" t="s">
        <v>37</v>
      </c>
      <c r="K730" t="s">
        <v>37</v>
      </c>
      <c r="L730" t="s">
        <v>1586</v>
      </c>
      <c r="M730" t="s">
        <v>37</v>
      </c>
      <c r="N730" t="s">
        <v>37</v>
      </c>
      <c r="O730" t="s">
        <v>38</v>
      </c>
      <c r="P730" t="s">
        <v>39</v>
      </c>
      <c r="Q730" s="55">
        <v>45961</v>
      </c>
      <c r="V730">
        <v>1</v>
      </c>
    </row>
    <row r="731" spans="1:22">
      <c r="A731" s="55">
        <v>45909</v>
      </c>
      <c r="B731" t="s">
        <v>1797</v>
      </c>
      <c r="C731" t="s">
        <v>2871</v>
      </c>
      <c r="D731" t="s">
        <v>63</v>
      </c>
      <c r="E731">
        <v>85035</v>
      </c>
      <c r="F731" t="s">
        <v>310</v>
      </c>
      <c r="G731" t="s">
        <v>2812</v>
      </c>
      <c r="H731" t="s">
        <v>2872</v>
      </c>
      <c r="I731" t="s">
        <v>36</v>
      </c>
      <c r="J731" t="s">
        <v>37</v>
      </c>
      <c r="K731" t="s">
        <v>37</v>
      </c>
      <c r="L731" t="s">
        <v>1586</v>
      </c>
      <c r="M731" t="s">
        <v>37</v>
      </c>
      <c r="N731" t="s">
        <v>37</v>
      </c>
      <c r="O731" t="s">
        <v>38</v>
      </c>
      <c r="P731" t="s">
        <v>39</v>
      </c>
      <c r="Q731" s="55">
        <v>45961</v>
      </c>
      <c r="U731" t="s">
        <v>2873</v>
      </c>
      <c r="V731">
        <v>1</v>
      </c>
    </row>
    <row r="732" spans="1:22">
      <c r="A732" s="55">
        <v>45909</v>
      </c>
      <c r="B732" t="s">
        <v>2874</v>
      </c>
      <c r="C732" t="s">
        <v>2875</v>
      </c>
      <c r="D732" t="s">
        <v>63</v>
      </c>
      <c r="E732">
        <v>85028</v>
      </c>
      <c r="F732" t="s">
        <v>2876</v>
      </c>
      <c r="G732" t="s">
        <v>2812</v>
      </c>
      <c r="H732" t="s">
        <v>2877</v>
      </c>
      <c r="I732" t="s">
        <v>36</v>
      </c>
      <c r="J732" t="s">
        <v>37</v>
      </c>
      <c r="K732" t="s">
        <v>37</v>
      </c>
      <c r="L732" t="s">
        <v>1586</v>
      </c>
      <c r="M732" t="s">
        <v>37</v>
      </c>
      <c r="N732" t="s">
        <v>37</v>
      </c>
      <c r="O732" t="s">
        <v>38</v>
      </c>
      <c r="P732" t="s">
        <v>39</v>
      </c>
      <c r="Q732" s="55">
        <v>45961</v>
      </c>
      <c r="V732">
        <v>1</v>
      </c>
    </row>
    <row r="733" spans="1:22">
      <c r="A733" s="55">
        <v>45909</v>
      </c>
      <c r="B733" t="s">
        <v>2878</v>
      </c>
      <c r="C733" t="s">
        <v>2040</v>
      </c>
      <c r="D733" t="s">
        <v>174</v>
      </c>
      <c r="E733">
        <v>85396</v>
      </c>
      <c r="F733" t="s">
        <v>310</v>
      </c>
      <c r="G733" t="s">
        <v>2812</v>
      </c>
      <c r="H733" t="s">
        <v>2879</v>
      </c>
      <c r="I733" t="s">
        <v>250</v>
      </c>
      <c r="J733" t="s">
        <v>37</v>
      </c>
      <c r="K733" t="s">
        <v>37</v>
      </c>
      <c r="L733" t="s">
        <v>1586</v>
      </c>
      <c r="M733" t="s">
        <v>37</v>
      </c>
      <c r="N733" t="s">
        <v>37</v>
      </c>
      <c r="O733" t="s">
        <v>38</v>
      </c>
      <c r="P733" t="s">
        <v>39</v>
      </c>
      <c r="Q733" s="55">
        <v>45961</v>
      </c>
      <c r="V733">
        <v>1</v>
      </c>
    </row>
    <row r="734" spans="1:22">
      <c r="A734" s="55">
        <v>45909</v>
      </c>
      <c r="B734" t="s">
        <v>2880</v>
      </c>
      <c r="C734" t="s">
        <v>2881</v>
      </c>
      <c r="D734" t="s">
        <v>112</v>
      </c>
      <c r="E734">
        <v>85374</v>
      </c>
      <c r="F734" t="s">
        <v>31</v>
      </c>
      <c r="G734" t="s">
        <v>2812</v>
      </c>
      <c r="H734" t="s">
        <v>2882</v>
      </c>
      <c r="I734" t="s">
        <v>57</v>
      </c>
      <c r="J734" t="s">
        <v>37</v>
      </c>
      <c r="K734" t="s">
        <v>37</v>
      </c>
      <c r="L734" t="s">
        <v>2883</v>
      </c>
      <c r="M734" t="s">
        <v>37</v>
      </c>
      <c r="N734" t="s">
        <v>37</v>
      </c>
      <c r="O734" t="s">
        <v>38</v>
      </c>
      <c r="P734">
        <v>45938</v>
      </c>
      <c r="Q734" s="55">
        <v>45961</v>
      </c>
      <c r="R734" t="s">
        <v>2767</v>
      </c>
      <c r="V734">
        <v>1</v>
      </c>
    </row>
    <row r="735" spans="1:22">
      <c r="A735" s="55">
        <v>45909</v>
      </c>
      <c r="B735" t="s">
        <v>208</v>
      </c>
      <c r="C735" t="s">
        <v>230</v>
      </c>
      <c r="D735" t="s">
        <v>89</v>
      </c>
      <c r="E735">
        <v>86351</v>
      </c>
      <c r="F735" t="s">
        <v>2889</v>
      </c>
      <c r="G735" t="s">
        <v>2888</v>
      </c>
      <c r="H735" t="s">
        <v>2890</v>
      </c>
      <c r="I735" t="s">
        <v>46</v>
      </c>
      <c r="J735" t="s">
        <v>37</v>
      </c>
      <c r="K735" t="s">
        <v>37</v>
      </c>
      <c r="L735" t="s">
        <v>1586</v>
      </c>
      <c r="M735" t="s">
        <v>37</v>
      </c>
      <c r="N735" t="s">
        <v>37</v>
      </c>
      <c r="O735" t="s">
        <v>38</v>
      </c>
      <c r="P735" t="s">
        <v>39</v>
      </c>
      <c r="Q735" s="55">
        <v>45961</v>
      </c>
      <c r="V735">
        <v>1</v>
      </c>
    </row>
    <row r="736" spans="1:22">
      <c r="A736" s="55">
        <v>45909</v>
      </c>
      <c r="B736" t="s">
        <v>2892</v>
      </c>
      <c r="C736" t="s">
        <v>471</v>
      </c>
      <c r="D736" t="s">
        <v>63</v>
      </c>
      <c r="E736">
        <v>85023</v>
      </c>
      <c r="F736" t="s">
        <v>310</v>
      </c>
      <c r="G736" t="s">
        <v>2888</v>
      </c>
      <c r="H736" t="s">
        <v>2893</v>
      </c>
      <c r="I736" t="s">
        <v>36</v>
      </c>
      <c r="J736" t="s">
        <v>37</v>
      </c>
      <c r="K736" t="s">
        <v>37</v>
      </c>
      <c r="L736" t="s">
        <v>1586</v>
      </c>
      <c r="M736" t="s">
        <v>37</v>
      </c>
      <c r="N736" t="s">
        <v>37</v>
      </c>
      <c r="O736" t="s">
        <v>38</v>
      </c>
      <c r="P736" t="s">
        <v>39</v>
      </c>
      <c r="Q736" s="55">
        <v>45961</v>
      </c>
      <c r="V736">
        <v>1</v>
      </c>
    </row>
    <row r="737" spans="1:22">
      <c r="A737" s="55">
        <v>45909</v>
      </c>
      <c r="B737" t="s">
        <v>2894</v>
      </c>
      <c r="C737" t="s">
        <v>1444</v>
      </c>
      <c r="D737" t="s">
        <v>63</v>
      </c>
      <c r="E737">
        <v>85053</v>
      </c>
      <c r="F737" t="s">
        <v>310</v>
      </c>
      <c r="G737" t="s">
        <v>2888</v>
      </c>
      <c r="H737" t="s">
        <v>2895</v>
      </c>
      <c r="I737" t="s">
        <v>126</v>
      </c>
      <c r="J737" t="s">
        <v>37</v>
      </c>
      <c r="K737" t="s">
        <v>37</v>
      </c>
      <c r="L737" t="s">
        <v>1586</v>
      </c>
      <c r="M737" t="s">
        <v>37</v>
      </c>
      <c r="N737" t="s">
        <v>37</v>
      </c>
      <c r="O737" t="s">
        <v>38</v>
      </c>
      <c r="P737" t="s">
        <v>39</v>
      </c>
      <c r="Q737" s="55">
        <v>45961</v>
      </c>
      <c r="V737">
        <v>1</v>
      </c>
    </row>
    <row r="738" spans="1:22">
      <c r="A738" s="55">
        <v>45910</v>
      </c>
      <c r="B738" t="s">
        <v>2902</v>
      </c>
      <c r="C738" t="s">
        <v>2903</v>
      </c>
      <c r="D738" t="s">
        <v>85</v>
      </c>
      <c r="E738">
        <v>86323</v>
      </c>
      <c r="F738" t="s">
        <v>2904</v>
      </c>
      <c r="G738" t="s">
        <v>2901</v>
      </c>
      <c r="H738" t="s">
        <v>2905</v>
      </c>
      <c r="I738" t="s">
        <v>243</v>
      </c>
      <c r="J738" t="s">
        <v>37</v>
      </c>
      <c r="K738" t="s">
        <v>37</v>
      </c>
      <c r="L738" t="s">
        <v>389</v>
      </c>
      <c r="M738" t="s">
        <v>37</v>
      </c>
      <c r="N738" t="s">
        <v>37</v>
      </c>
      <c r="O738" t="s">
        <v>38</v>
      </c>
      <c r="P738" t="s">
        <v>39</v>
      </c>
      <c r="Q738" s="55">
        <v>45961</v>
      </c>
      <c r="V738">
        <v>1</v>
      </c>
    </row>
    <row r="739" spans="1:22">
      <c r="A739" s="55">
        <v>45910</v>
      </c>
      <c r="B739" t="s">
        <v>2906</v>
      </c>
      <c r="C739" t="s">
        <v>2907</v>
      </c>
      <c r="D739" t="s">
        <v>24</v>
      </c>
      <c r="E739">
        <v>85308</v>
      </c>
      <c r="F739" t="s">
        <v>310</v>
      </c>
      <c r="G739" t="s">
        <v>2901</v>
      </c>
      <c r="H739" t="s">
        <v>2908</v>
      </c>
      <c r="I739" t="s">
        <v>196</v>
      </c>
      <c r="J739" t="s">
        <v>37</v>
      </c>
      <c r="K739" t="s">
        <v>37</v>
      </c>
      <c r="L739" t="s">
        <v>2909</v>
      </c>
      <c r="M739" t="s">
        <v>37</v>
      </c>
      <c r="N739" t="s">
        <v>37</v>
      </c>
      <c r="O739" t="s">
        <v>38</v>
      </c>
      <c r="P739" t="s">
        <v>39</v>
      </c>
      <c r="Q739" s="55">
        <v>45961</v>
      </c>
      <c r="V739">
        <v>1</v>
      </c>
    </row>
    <row r="740" spans="1:22">
      <c r="A740" s="55">
        <v>45910</v>
      </c>
      <c r="B740" t="s">
        <v>2910</v>
      </c>
      <c r="C740" t="s">
        <v>2911</v>
      </c>
      <c r="D740" t="s">
        <v>63</v>
      </c>
      <c r="E740">
        <v>85083</v>
      </c>
      <c r="F740" t="s">
        <v>31</v>
      </c>
      <c r="G740" t="s">
        <v>2901</v>
      </c>
      <c r="H740" t="s">
        <v>2912</v>
      </c>
      <c r="I740" t="s">
        <v>243</v>
      </c>
      <c r="J740" t="s">
        <v>37</v>
      </c>
      <c r="K740" t="s">
        <v>37</v>
      </c>
      <c r="L740" t="s">
        <v>389</v>
      </c>
      <c r="M740" t="s">
        <v>37</v>
      </c>
      <c r="N740" t="s">
        <v>37</v>
      </c>
      <c r="O740" t="s">
        <v>38</v>
      </c>
      <c r="P740" t="s">
        <v>39</v>
      </c>
      <c r="Q740" s="55">
        <v>45961</v>
      </c>
      <c r="V740">
        <v>1</v>
      </c>
    </row>
    <row r="741" spans="1:22">
      <c r="A741" s="55">
        <v>45910</v>
      </c>
      <c r="B741" t="s">
        <v>2914</v>
      </c>
      <c r="C741" t="s">
        <v>133</v>
      </c>
      <c r="D741" t="s">
        <v>619</v>
      </c>
      <c r="E741">
        <v>85365</v>
      </c>
      <c r="F741" t="s">
        <v>31</v>
      </c>
      <c r="G741" t="s">
        <v>2901</v>
      </c>
      <c r="H741" t="s">
        <v>2915</v>
      </c>
      <c r="I741" t="s">
        <v>36</v>
      </c>
      <c r="J741" t="s">
        <v>37</v>
      </c>
      <c r="K741" t="s">
        <v>37</v>
      </c>
      <c r="L741" t="s">
        <v>1586</v>
      </c>
      <c r="M741" t="s">
        <v>37</v>
      </c>
      <c r="N741" t="s">
        <v>37</v>
      </c>
      <c r="O741" t="s">
        <v>38</v>
      </c>
      <c r="P741" t="s">
        <v>39</v>
      </c>
      <c r="Q741" s="55">
        <v>45961</v>
      </c>
      <c r="V741">
        <v>1</v>
      </c>
    </row>
    <row r="742" spans="1:22">
      <c r="A742" s="55">
        <v>45910</v>
      </c>
      <c r="B742" t="s">
        <v>940</v>
      </c>
      <c r="C742" t="s">
        <v>2916</v>
      </c>
      <c r="D742" t="s">
        <v>63</v>
      </c>
      <c r="E742">
        <v>85008</v>
      </c>
      <c r="F742" t="s">
        <v>31</v>
      </c>
      <c r="G742" t="s">
        <v>2901</v>
      </c>
      <c r="H742" t="s">
        <v>2917</v>
      </c>
      <c r="I742" t="s">
        <v>196</v>
      </c>
      <c r="J742" t="s">
        <v>37</v>
      </c>
      <c r="K742" t="s">
        <v>37</v>
      </c>
      <c r="L742" t="s">
        <v>2918</v>
      </c>
      <c r="M742" t="s">
        <v>37</v>
      </c>
      <c r="N742" t="s">
        <v>37</v>
      </c>
      <c r="O742" t="s">
        <v>38</v>
      </c>
      <c r="P742" t="s">
        <v>39</v>
      </c>
      <c r="Q742" s="55">
        <v>45961</v>
      </c>
      <c r="V742">
        <v>1</v>
      </c>
    </row>
    <row r="743" spans="1:22">
      <c r="A743" s="55">
        <v>45910</v>
      </c>
      <c r="B743" t="s">
        <v>2919</v>
      </c>
      <c r="C743" t="s">
        <v>1905</v>
      </c>
      <c r="D743" t="s">
        <v>1693</v>
      </c>
      <c r="E743">
        <v>85351</v>
      </c>
      <c r="F743" t="s">
        <v>31</v>
      </c>
      <c r="G743" t="s">
        <v>2920</v>
      </c>
      <c r="H743" t="s">
        <v>2921</v>
      </c>
      <c r="I743" t="s">
        <v>126</v>
      </c>
      <c r="J743" t="s">
        <v>37</v>
      </c>
      <c r="K743" t="s">
        <v>37</v>
      </c>
      <c r="L743" t="s">
        <v>2922</v>
      </c>
      <c r="O743" t="s">
        <v>38</v>
      </c>
      <c r="P743">
        <v>45938</v>
      </c>
      <c r="Q743" s="55">
        <v>45961</v>
      </c>
      <c r="R743" t="s">
        <v>2923</v>
      </c>
      <c r="V743">
        <v>1</v>
      </c>
    </row>
    <row r="744" spans="1:22">
      <c r="A744" s="55">
        <v>45910</v>
      </c>
      <c r="B744" t="s">
        <v>2924</v>
      </c>
      <c r="C744" t="s">
        <v>2925</v>
      </c>
      <c r="D744" t="s">
        <v>63</v>
      </c>
      <c r="E744">
        <v>85021</v>
      </c>
      <c r="F744" t="s">
        <v>31</v>
      </c>
      <c r="G744" t="s">
        <v>2920</v>
      </c>
      <c r="H744" t="s">
        <v>2926</v>
      </c>
      <c r="I744" t="s">
        <v>36</v>
      </c>
      <c r="J744" t="s">
        <v>37</v>
      </c>
      <c r="K744" t="s">
        <v>37</v>
      </c>
      <c r="L744" t="s">
        <v>1586</v>
      </c>
      <c r="M744" t="s">
        <v>37</v>
      </c>
      <c r="N744" t="s">
        <v>37</v>
      </c>
      <c r="O744" t="s">
        <v>38</v>
      </c>
      <c r="P744" t="s">
        <v>39</v>
      </c>
      <c r="Q744" s="55">
        <v>45961</v>
      </c>
      <c r="V744">
        <v>1</v>
      </c>
    </row>
    <row r="745" spans="1:22">
      <c r="A745" s="55">
        <v>45910</v>
      </c>
      <c r="B745" t="s">
        <v>2416</v>
      </c>
      <c r="C745" t="s">
        <v>717</v>
      </c>
      <c r="D745" t="s">
        <v>63</v>
      </c>
      <c r="E745">
        <v>85028</v>
      </c>
      <c r="F745" t="s">
        <v>31</v>
      </c>
      <c r="G745" t="s">
        <v>2933</v>
      </c>
      <c r="H745" t="s">
        <v>2934</v>
      </c>
      <c r="I745" t="s">
        <v>126</v>
      </c>
      <c r="J745" t="s">
        <v>37</v>
      </c>
      <c r="K745" t="s">
        <v>37</v>
      </c>
      <c r="L745" t="s">
        <v>2935</v>
      </c>
      <c r="M745" t="s">
        <v>37</v>
      </c>
      <c r="N745" t="s">
        <v>37</v>
      </c>
      <c r="O745" t="s">
        <v>38</v>
      </c>
      <c r="P745" t="s">
        <v>39</v>
      </c>
      <c r="Q745" s="55">
        <v>45961</v>
      </c>
      <c r="V745">
        <v>1</v>
      </c>
    </row>
    <row r="746" spans="1:22">
      <c r="A746" s="55">
        <v>45910</v>
      </c>
      <c r="B746" t="s">
        <v>2936</v>
      </c>
      <c r="C746" t="s">
        <v>359</v>
      </c>
      <c r="D746" t="s">
        <v>174</v>
      </c>
      <c r="E746">
        <v>85326</v>
      </c>
      <c r="F746" t="s">
        <v>31</v>
      </c>
      <c r="G746" t="s">
        <v>2933</v>
      </c>
      <c r="H746" t="s">
        <v>2937</v>
      </c>
      <c r="I746" t="s">
        <v>46</v>
      </c>
      <c r="J746" t="s">
        <v>37</v>
      </c>
      <c r="K746" t="s">
        <v>37</v>
      </c>
      <c r="L746" t="s">
        <v>1586</v>
      </c>
      <c r="M746" t="s">
        <v>37</v>
      </c>
      <c r="N746" t="s">
        <v>37</v>
      </c>
      <c r="O746" t="s">
        <v>38</v>
      </c>
      <c r="P746" t="s">
        <v>39</v>
      </c>
      <c r="Q746" s="55">
        <v>45961</v>
      </c>
      <c r="V746">
        <v>1</v>
      </c>
    </row>
    <row r="747" spans="1:22">
      <c r="A747" s="55">
        <v>45910</v>
      </c>
      <c r="B747" t="s">
        <v>2938</v>
      </c>
      <c r="C747" t="s">
        <v>363</v>
      </c>
      <c r="D747" t="s">
        <v>169</v>
      </c>
      <c r="E747">
        <v>85395</v>
      </c>
      <c r="F747" t="s">
        <v>31</v>
      </c>
      <c r="G747" t="s">
        <v>2933</v>
      </c>
      <c r="H747" t="s">
        <v>2939</v>
      </c>
      <c r="I747" t="s">
        <v>1488</v>
      </c>
      <c r="J747" t="s">
        <v>37</v>
      </c>
      <c r="K747" t="s">
        <v>37</v>
      </c>
      <c r="L747" t="s">
        <v>389</v>
      </c>
      <c r="M747" t="s">
        <v>37</v>
      </c>
      <c r="N747" t="s">
        <v>37</v>
      </c>
      <c r="O747" t="s">
        <v>38</v>
      </c>
      <c r="P747" t="s">
        <v>39</v>
      </c>
      <c r="Q747" s="55">
        <v>45961</v>
      </c>
      <c r="R747" t="s">
        <v>2940</v>
      </c>
      <c r="V747">
        <v>1</v>
      </c>
    </row>
    <row r="748" spans="1:22">
      <c r="A748" s="55">
        <v>45910</v>
      </c>
      <c r="B748" t="s">
        <v>2941</v>
      </c>
      <c r="C748" t="s">
        <v>2942</v>
      </c>
      <c r="D748" t="s">
        <v>63</v>
      </c>
      <c r="E748">
        <v>85004</v>
      </c>
      <c r="F748" t="s">
        <v>31</v>
      </c>
      <c r="G748" t="s">
        <v>2933</v>
      </c>
      <c r="H748" t="s">
        <v>2943</v>
      </c>
      <c r="I748" t="s">
        <v>196</v>
      </c>
      <c r="J748" t="s">
        <v>37</v>
      </c>
      <c r="K748" t="s">
        <v>37</v>
      </c>
      <c r="L748" t="s">
        <v>2944</v>
      </c>
      <c r="M748" t="s">
        <v>37</v>
      </c>
      <c r="N748" t="s">
        <v>37</v>
      </c>
      <c r="O748" t="s">
        <v>38</v>
      </c>
      <c r="P748" t="s">
        <v>39</v>
      </c>
      <c r="Q748" s="55">
        <v>45961</v>
      </c>
      <c r="R748" t="s">
        <v>2945</v>
      </c>
      <c r="V748">
        <v>1</v>
      </c>
    </row>
    <row r="749" spans="1:22">
      <c r="A749" s="55">
        <v>45910</v>
      </c>
      <c r="B749" t="s">
        <v>2860</v>
      </c>
      <c r="C749" t="s">
        <v>2861</v>
      </c>
      <c r="D749" t="s">
        <v>85</v>
      </c>
      <c r="E749">
        <v>86323</v>
      </c>
      <c r="F749" t="s">
        <v>31</v>
      </c>
      <c r="G749" t="s">
        <v>2933</v>
      </c>
      <c r="H749" t="s">
        <v>2862</v>
      </c>
      <c r="I749" t="s">
        <v>196</v>
      </c>
      <c r="J749" t="s">
        <v>37</v>
      </c>
      <c r="K749" t="s">
        <v>37</v>
      </c>
      <c r="L749" t="s">
        <v>2946</v>
      </c>
      <c r="M749" t="s">
        <v>37</v>
      </c>
      <c r="N749" t="s">
        <v>37</v>
      </c>
      <c r="O749" t="s">
        <v>38</v>
      </c>
      <c r="P749" t="s">
        <v>39</v>
      </c>
      <c r="Q749" s="55">
        <v>45961</v>
      </c>
      <c r="V749">
        <v>1</v>
      </c>
    </row>
    <row r="750" spans="1:22">
      <c r="A750" s="55">
        <v>45910</v>
      </c>
      <c r="B750" t="s">
        <v>262</v>
      </c>
      <c r="C750" t="s">
        <v>215</v>
      </c>
      <c r="D750" t="s">
        <v>202</v>
      </c>
      <c r="E750">
        <v>85345</v>
      </c>
      <c r="F750" t="s">
        <v>31</v>
      </c>
      <c r="G750" t="s">
        <v>2933</v>
      </c>
      <c r="H750" t="s">
        <v>2947</v>
      </c>
      <c r="I750" t="s">
        <v>196</v>
      </c>
      <c r="J750" t="s">
        <v>37</v>
      </c>
      <c r="K750" t="s">
        <v>37</v>
      </c>
      <c r="L750" t="s">
        <v>1586</v>
      </c>
      <c r="M750" t="s">
        <v>37</v>
      </c>
      <c r="N750" t="s">
        <v>37</v>
      </c>
      <c r="O750" t="s">
        <v>38</v>
      </c>
      <c r="P750" t="s">
        <v>39</v>
      </c>
      <c r="Q750" s="55">
        <v>45961</v>
      </c>
      <c r="V750">
        <v>1</v>
      </c>
    </row>
    <row r="751" spans="1:22">
      <c r="A751" s="55">
        <v>45910</v>
      </c>
      <c r="B751" t="s">
        <v>2682</v>
      </c>
      <c r="C751" t="s">
        <v>2019</v>
      </c>
      <c r="D751" t="s">
        <v>112</v>
      </c>
      <c r="E751">
        <v>85388</v>
      </c>
      <c r="F751" t="s">
        <v>310</v>
      </c>
      <c r="G751" t="s">
        <v>2949</v>
      </c>
      <c r="H751" t="s">
        <v>2950</v>
      </c>
      <c r="I751" t="s">
        <v>46</v>
      </c>
      <c r="J751" t="s">
        <v>37</v>
      </c>
      <c r="K751" t="s">
        <v>37</v>
      </c>
      <c r="L751" t="s">
        <v>1586</v>
      </c>
      <c r="M751" t="s">
        <v>37</v>
      </c>
      <c r="N751" t="s">
        <v>37</v>
      </c>
      <c r="O751" t="s">
        <v>38</v>
      </c>
      <c r="P751" t="s">
        <v>39</v>
      </c>
      <c r="Q751" s="55">
        <v>45961</v>
      </c>
      <c r="V751">
        <v>1</v>
      </c>
    </row>
    <row r="752" spans="1:22">
      <c r="A752" s="55">
        <v>45911</v>
      </c>
      <c r="B752" t="s">
        <v>2951</v>
      </c>
      <c r="C752" t="s">
        <v>2952</v>
      </c>
      <c r="D752" t="s">
        <v>125</v>
      </c>
      <c r="E752">
        <v>85259</v>
      </c>
      <c r="F752" t="s">
        <v>2953</v>
      </c>
      <c r="G752" t="s">
        <v>2949</v>
      </c>
      <c r="H752" t="s">
        <v>2954</v>
      </c>
      <c r="I752" t="s">
        <v>36</v>
      </c>
      <c r="J752" t="s">
        <v>37</v>
      </c>
      <c r="K752" t="s">
        <v>37</v>
      </c>
      <c r="L752" t="s">
        <v>1586</v>
      </c>
      <c r="M752" t="s">
        <v>37</v>
      </c>
      <c r="N752" t="s">
        <v>37</v>
      </c>
      <c r="O752" t="s">
        <v>38</v>
      </c>
      <c r="P752" t="s">
        <v>39</v>
      </c>
      <c r="Q752" s="55">
        <v>45961</v>
      </c>
      <c r="V752">
        <v>1</v>
      </c>
    </row>
    <row r="753" spans="1:22">
      <c r="A753" s="55">
        <v>45911</v>
      </c>
      <c r="B753" t="s">
        <v>2368</v>
      </c>
      <c r="C753" t="s">
        <v>2135</v>
      </c>
      <c r="D753" t="s">
        <v>202</v>
      </c>
      <c r="E753">
        <v>85345</v>
      </c>
      <c r="F753" t="s">
        <v>310</v>
      </c>
      <c r="G753" t="s">
        <v>2949</v>
      </c>
      <c r="H753" t="s">
        <v>2958</v>
      </c>
      <c r="I753" t="s">
        <v>46</v>
      </c>
      <c r="J753" t="s">
        <v>37</v>
      </c>
      <c r="K753" t="s">
        <v>37</v>
      </c>
      <c r="L753" t="s">
        <v>2959</v>
      </c>
      <c r="M753" t="s">
        <v>37</v>
      </c>
      <c r="N753" t="s">
        <v>37</v>
      </c>
      <c r="O753" t="s">
        <v>38</v>
      </c>
      <c r="P753" t="s">
        <v>39</v>
      </c>
      <c r="Q753" s="55">
        <v>45961</v>
      </c>
      <c r="V753">
        <v>1</v>
      </c>
    </row>
    <row r="754" spans="1:22">
      <c r="A754" s="55">
        <v>45911</v>
      </c>
      <c r="B754" t="s">
        <v>224</v>
      </c>
      <c r="C754" t="s">
        <v>346</v>
      </c>
      <c r="D754" t="s">
        <v>85</v>
      </c>
      <c r="E754">
        <v>86323</v>
      </c>
      <c r="F754" t="s">
        <v>31</v>
      </c>
      <c r="G754" t="s">
        <v>2949</v>
      </c>
      <c r="H754" t="s">
        <v>2962</v>
      </c>
      <c r="I754" t="s">
        <v>196</v>
      </c>
      <c r="J754" t="s">
        <v>37</v>
      </c>
      <c r="K754" t="s">
        <v>37</v>
      </c>
      <c r="L754" t="s">
        <v>2863</v>
      </c>
      <c r="M754" t="s">
        <v>37</v>
      </c>
      <c r="N754" t="s">
        <v>37</v>
      </c>
      <c r="O754" t="s">
        <v>38</v>
      </c>
      <c r="P754" t="s">
        <v>39</v>
      </c>
      <c r="Q754" s="55">
        <v>45961</v>
      </c>
      <c r="V754">
        <v>1</v>
      </c>
    </row>
    <row r="755" spans="1:22">
      <c r="A755" s="55">
        <v>45912</v>
      </c>
      <c r="B755" t="s">
        <v>2963</v>
      </c>
      <c r="C755" t="s">
        <v>2964</v>
      </c>
      <c r="D755" t="s">
        <v>169</v>
      </c>
      <c r="E755">
        <v>85395</v>
      </c>
      <c r="F755" t="s">
        <v>31</v>
      </c>
      <c r="G755" t="s">
        <v>2965</v>
      </c>
      <c r="H755" t="s">
        <v>2966</v>
      </c>
      <c r="I755" t="s">
        <v>36</v>
      </c>
      <c r="J755" t="s">
        <v>37</v>
      </c>
      <c r="K755" t="s">
        <v>37</v>
      </c>
      <c r="L755" t="s">
        <v>1586</v>
      </c>
      <c r="M755" t="s">
        <v>37</v>
      </c>
      <c r="N755" t="s">
        <v>37</v>
      </c>
      <c r="O755" t="s">
        <v>38</v>
      </c>
      <c r="P755" t="s">
        <v>39</v>
      </c>
      <c r="Q755" s="55">
        <v>45961</v>
      </c>
      <c r="V755">
        <v>1</v>
      </c>
    </row>
    <row r="756" spans="1:22">
      <c r="A756" s="55">
        <v>45912</v>
      </c>
      <c r="B756" t="s">
        <v>1344</v>
      </c>
      <c r="C756" t="s">
        <v>1198</v>
      </c>
      <c r="D756" t="s">
        <v>63</v>
      </c>
      <c r="E756">
        <v>85053</v>
      </c>
      <c r="F756" t="s">
        <v>310</v>
      </c>
      <c r="G756" t="s">
        <v>2967</v>
      </c>
      <c r="H756" t="s">
        <v>1347</v>
      </c>
      <c r="I756" t="s">
        <v>36</v>
      </c>
      <c r="J756" t="s">
        <v>37</v>
      </c>
      <c r="K756" t="s">
        <v>37</v>
      </c>
      <c r="L756" t="s">
        <v>1586</v>
      </c>
      <c r="M756" t="s">
        <v>37</v>
      </c>
      <c r="N756" t="s">
        <v>37</v>
      </c>
      <c r="O756" t="s">
        <v>38</v>
      </c>
      <c r="P756" t="s">
        <v>39</v>
      </c>
      <c r="Q756" s="55">
        <v>45961</v>
      </c>
      <c r="V756">
        <v>1</v>
      </c>
    </row>
    <row r="757" spans="1:22">
      <c r="A757" s="55">
        <v>45912</v>
      </c>
      <c r="B757" t="s">
        <v>2971</v>
      </c>
      <c r="C757" t="s">
        <v>1140</v>
      </c>
      <c r="D757" t="s">
        <v>63</v>
      </c>
      <c r="E757">
        <v>85027</v>
      </c>
      <c r="F757" t="s">
        <v>741</v>
      </c>
      <c r="G757" t="s">
        <v>2970</v>
      </c>
      <c r="H757" t="s">
        <v>2972</v>
      </c>
      <c r="I757" t="s">
        <v>196</v>
      </c>
      <c r="J757" t="s">
        <v>37</v>
      </c>
      <c r="K757" t="s">
        <v>37</v>
      </c>
      <c r="L757" t="s">
        <v>2973</v>
      </c>
      <c r="M757" t="s">
        <v>37</v>
      </c>
      <c r="N757" t="s">
        <v>37</v>
      </c>
      <c r="O757" t="s">
        <v>38</v>
      </c>
      <c r="P757" t="s">
        <v>39</v>
      </c>
      <c r="Q757" s="55">
        <v>45961</v>
      </c>
      <c r="V757">
        <v>1</v>
      </c>
    </row>
    <row r="758" spans="1:22">
      <c r="A758" s="55">
        <v>45912</v>
      </c>
      <c r="B758" t="s">
        <v>2974</v>
      </c>
      <c r="C758" t="s">
        <v>2975</v>
      </c>
      <c r="D758" t="s">
        <v>523</v>
      </c>
      <c r="E758">
        <v>85392</v>
      </c>
      <c r="F758" t="s">
        <v>310</v>
      </c>
      <c r="G758" t="s">
        <v>2970</v>
      </c>
      <c r="H758" t="s">
        <v>2976</v>
      </c>
      <c r="I758" t="s">
        <v>196</v>
      </c>
      <c r="J758" t="s">
        <v>37</v>
      </c>
      <c r="K758" t="s">
        <v>37</v>
      </c>
      <c r="L758" t="s">
        <v>2977</v>
      </c>
      <c r="M758" t="s">
        <v>37</v>
      </c>
      <c r="N758" t="s">
        <v>37</v>
      </c>
      <c r="O758" t="s">
        <v>38</v>
      </c>
      <c r="P758">
        <v>45938</v>
      </c>
      <c r="Q758" s="55">
        <v>45961</v>
      </c>
      <c r="R758" t="s">
        <v>2978</v>
      </c>
      <c r="V758">
        <v>1</v>
      </c>
    </row>
    <row r="759" spans="1:22">
      <c r="A759" s="55">
        <v>45912</v>
      </c>
      <c r="B759" t="s">
        <v>2979</v>
      </c>
      <c r="C759" t="s">
        <v>427</v>
      </c>
      <c r="D759" t="s">
        <v>24</v>
      </c>
      <c r="E759">
        <v>85308</v>
      </c>
      <c r="F759" t="s">
        <v>310</v>
      </c>
      <c r="G759" t="s">
        <v>2970</v>
      </c>
      <c r="H759" t="s">
        <v>2980</v>
      </c>
      <c r="I759" t="s">
        <v>243</v>
      </c>
      <c r="J759" t="s">
        <v>37</v>
      </c>
      <c r="K759" t="s">
        <v>37</v>
      </c>
      <c r="L759" t="s">
        <v>389</v>
      </c>
      <c r="M759" t="s">
        <v>37</v>
      </c>
      <c r="N759" t="s">
        <v>37</v>
      </c>
      <c r="O759" t="s">
        <v>38</v>
      </c>
      <c r="P759" t="s">
        <v>39</v>
      </c>
      <c r="Q759" s="55">
        <v>45961</v>
      </c>
      <c r="V759">
        <v>1</v>
      </c>
    </row>
    <row r="760" spans="1:22">
      <c r="A760" s="55">
        <v>45912</v>
      </c>
      <c r="B760" t="s">
        <v>2981</v>
      </c>
      <c r="C760" t="s">
        <v>838</v>
      </c>
      <c r="D760" t="s">
        <v>125</v>
      </c>
      <c r="E760">
        <v>85255</v>
      </c>
      <c r="F760" t="s">
        <v>31</v>
      </c>
      <c r="G760" t="s">
        <v>2970</v>
      </c>
      <c r="H760" t="s">
        <v>2982</v>
      </c>
      <c r="I760" t="s">
        <v>541</v>
      </c>
      <c r="J760" t="s">
        <v>37</v>
      </c>
      <c r="K760" t="s">
        <v>37</v>
      </c>
      <c r="L760" t="s">
        <v>389</v>
      </c>
      <c r="M760" t="s">
        <v>37</v>
      </c>
      <c r="N760" t="s">
        <v>37</v>
      </c>
      <c r="O760" t="s">
        <v>38</v>
      </c>
      <c r="P760" t="s">
        <v>39</v>
      </c>
      <c r="Q760" s="55">
        <v>45961</v>
      </c>
      <c r="V760">
        <v>1</v>
      </c>
    </row>
    <row r="761" spans="1:22">
      <c r="A761" s="55">
        <v>45912</v>
      </c>
      <c r="B761" t="s">
        <v>2986</v>
      </c>
      <c r="C761" t="s">
        <v>145</v>
      </c>
      <c r="D761" t="s">
        <v>816</v>
      </c>
      <c r="E761">
        <v>86303</v>
      </c>
      <c r="F761" t="s">
        <v>2987</v>
      </c>
      <c r="G761" t="s">
        <v>2985</v>
      </c>
      <c r="H761" t="s">
        <v>2988</v>
      </c>
      <c r="I761" t="s">
        <v>73</v>
      </c>
      <c r="J761" t="s">
        <v>37</v>
      </c>
      <c r="K761" t="s">
        <v>37</v>
      </c>
      <c r="L761" t="s">
        <v>1586</v>
      </c>
      <c r="M761" t="s">
        <v>37</v>
      </c>
      <c r="N761" t="s">
        <v>37</v>
      </c>
      <c r="O761" t="s">
        <v>38</v>
      </c>
      <c r="P761" t="s">
        <v>39</v>
      </c>
      <c r="Q761" s="55">
        <v>45961</v>
      </c>
      <c r="V761">
        <v>1</v>
      </c>
    </row>
    <row r="762" spans="1:22">
      <c r="A762" s="55">
        <v>45912</v>
      </c>
      <c r="B762" t="s">
        <v>2992</v>
      </c>
      <c r="C762" t="s">
        <v>42</v>
      </c>
      <c r="D762" t="s">
        <v>112</v>
      </c>
      <c r="E762">
        <v>85378</v>
      </c>
      <c r="F762" t="s">
        <v>660</v>
      </c>
      <c r="G762" t="s">
        <v>2985</v>
      </c>
      <c r="H762" t="s">
        <v>2993</v>
      </c>
      <c r="I762" t="s">
        <v>46</v>
      </c>
      <c r="J762" t="s">
        <v>37</v>
      </c>
      <c r="K762" t="s">
        <v>37</v>
      </c>
      <c r="L762" t="s">
        <v>2994</v>
      </c>
      <c r="M762" t="s">
        <v>37</v>
      </c>
      <c r="N762" t="s">
        <v>37</v>
      </c>
      <c r="O762" t="s">
        <v>38</v>
      </c>
      <c r="P762" t="s">
        <v>39</v>
      </c>
      <c r="Q762" s="55">
        <v>45961</v>
      </c>
      <c r="V762">
        <v>1</v>
      </c>
    </row>
    <row r="763" spans="1:22">
      <c r="A763" s="55">
        <v>45912</v>
      </c>
      <c r="B763" t="s">
        <v>2995</v>
      </c>
      <c r="C763" t="s">
        <v>312</v>
      </c>
      <c r="D763" t="s">
        <v>24</v>
      </c>
      <c r="E763">
        <v>85308</v>
      </c>
      <c r="F763" t="s">
        <v>2996</v>
      </c>
      <c r="G763" t="s">
        <v>2985</v>
      </c>
      <c r="H763" t="s">
        <v>2997</v>
      </c>
      <c r="I763" t="s">
        <v>541</v>
      </c>
      <c r="J763" t="s">
        <v>37</v>
      </c>
      <c r="K763" t="s">
        <v>37</v>
      </c>
      <c r="L763" t="s">
        <v>389</v>
      </c>
      <c r="M763" t="s">
        <v>37</v>
      </c>
      <c r="N763" t="s">
        <v>37</v>
      </c>
      <c r="O763" t="s">
        <v>38</v>
      </c>
      <c r="P763" t="s">
        <v>39</v>
      </c>
      <c r="Q763" s="55">
        <v>45961</v>
      </c>
      <c r="V763">
        <v>1</v>
      </c>
    </row>
    <row r="764" spans="1:22">
      <c r="A764" s="55">
        <v>45912</v>
      </c>
      <c r="B764" t="s">
        <v>2998</v>
      </c>
      <c r="C764" t="s">
        <v>252</v>
      </c>
      <c r="D764" t="s">
        <v>63</v>
      </c>
      <c r="E764">
        <v>85028</v>
      </c>
      <c r="F764" t="s">
        <v>31</v>
      </c>
      <c r="G764" t="s">
        <v>2985</v>
      </c>
      <c r="H764" t="s">
        <v>2999</v>
      </c>
      <c r="I764" t="s">
        <v>126</v>
      </c>
      <c r="J764" t="s">
        <v>37</v>
      </c>
      <c r="K764" t="s">
        <v>37</v>
      </c>
      <c r="L764" t="s">
        <v>3000</v>
      </c>
      <c r="M764" t="s">
        <v>37</v>
      </c>
      <c r="N764" t="s">
        <v>37</v>
      </c>
      <c r="O764" t="s">
        <v>38</v>
      </c>
      <c r="P764">
        <v>45938</v>
      </c>
      <c r="Q764" s="55">
        <v>45961</v>
      </c>
      <c r="R764" t="s">
        <v>3001</v>
      </c>
      <c r="V764">
        <v>1</v>
      </c>
    </row>
    <row r="765" spans="1:22">
      <c r="A765" s="55">
        <v>45912</v>
      </c>
      <c r="B765" t="s">
        <v>3002</v>
      </c>
      <c r="C765" t="s">
        <v>1533</v>
      </c>
      <c r="D765" t="s">
        <v>698</v>
      </c>
      <c r="E765">
        <v>85375</v>
      </c>
      <c r="F765" t="s">
        <v>31</v>
      </c>
      <c r="G765" t="s">
        <v>2985</v>
      </c>
      <c r="H765" t="s">
        <v>3003</v>
      </c>
      <c r="I765" t="s">
        <v>57</v>
      </c>
      <c r="J765" t="s">
        <v>37</v>
      </c>
      <c r="K765" t="s">
        <v>37</v>
      </c>
      <c r="L765" t="s">
        <v>3004</v>
      </c>
      <c r="M765" t="s">
        <v>37</v>
      </c>
      <c r="N765" t="s">
        <v>37</v>
      </c>
      <c r="O765" t="s">
        <v>38</v>
      </c>
      <c r="P765">
        <v>45938</v>
      </c>
      <c r="Q765" s="55">
        <v>45961</v>
      </c>
      <c r="R765" t="s">
        <v>2978</v>
      </c>
      <c r="V765">
        <v>1</v>
      </c>
    </row>
    <row r="766" spans="1:22">
      <c r="A766" s="55">
        <v>45912</v>
      </c>
      <c r="B766" t="s">
        <v>3005</v>
      </c>
      <c r="C766" t="s">
        <v>3006</v>
      </c>
      <c r="D766" t="s">
        <v>125</v>
      </c>
      <c r="E766">
        <v>85255</v>
      </c>
      <c r="F766" t="s">
        <v>310</v>
      </c>
      <c r="G766" t="s">
        <v>2985</v>
      </c>
      <c r="H766" t="s">
        <v>3007</v>
      </c>
      <c r="I766" t="s">
        <v>57</v>
      </c>
      <c r="J766" t="s">
        <v>37</v>
      </c>
      <c r="K766" t="s">
        <v>37</v>
      </c>
      <c r="L766" t="s">
        <v>3008</v>
      </c>
      <c r="M766" t="s">
        <v>37</v>
      </c>
      <c r="N766" t="s">
        <v>37</v>
      </c>
      <c r="O766" t="s">
        <v>38</v>
      </c>
      <c r="P766">
        <v>45938</v>
      </c>
      <c r="Q766" s="55">
        <v>45961</v>
      </c>
      <c r="R766" t="s">
        <v>2978</v>
      </c>
      <c r="V766">
        <v>1</v>
      </c>
    </row>
    <row r="767" spans="1:22">
      <c r="A767" s="55">
        <v>45912</v>
      </c>
      <c r="B767" t="s">
        <v>3009</v>
      </c>
      <c r="C767" t="s">
        <v>312</v>
      </c>
      <c r="D767" t="s">
        <v>619</v>
      </c>
      <c r="E767">
        <v>85365</v>
      </c>
      <c r="F767" t="s">
        <v>3010</v>
      </c>
      <c r="G767" t="s">
        <v>2985</v>
      </c>
      <c r="H767" t="s">
        <v>3011</v>
      </c>
      <c r="I767" t="s">
        <v>73</v>
      </c>
      <c r="J767" t="s">
        <v>37</v>
      </c>
      <c r="K767" t="s">
        <v>37</v>
      </c>
      <c r="L767" t="s">
        <v>1586</v>
      </c>
      <c r="M767" t="s">
        <v>37</v>
      </c>
      <c r="N767" t="s">
        <v>37</v>
      </c>
      <c r="O767" t="s">
        <v>38</v>
      </c>
      <c r="P767" t="s">
        <v>39</v>
      </c>
      <c r="Q767" s="55">
        <v>45961</v>
      </c>
      <c r="V767">
        <v>1</v>
      </c>
    </row>
    <row r="768" spans="1:22">
      <c r="A768" s="55">
        <v>45912</v>
      </c>
      <c r="B768" t="s">
        <v>3012</v>
      </c>
      <c r="C768" t="s">
        <v>479</v>
      </c>
      <c r="D768" t="s">
        <v>24</v>
      </c>
      <c r="E768">
        <v>85308</v>
      </c>
      <c r="F768" t="s">
        <v>310</v>
      </c>
      <c r="G768" t="s">
        <v>2985</v>
      </c>
      <c r="H768" t="s">
        <v>3013</v>
      </c>
      <c r="I768" t="s">
        <v>36</v>
      </c>
      <c r="J768" t="s">
        <v>37</v>
      </c>
      <c r="K768" t="s">
        <v>37</v>
      </c>
      <c r="L768" t="s">
        <v>1586</v>
      </c>
      <c r="M768" t="s">
        <v>37</v>
      </c>
      <c r="N768" t="s">
        <v>37</v>
      </c>
      <c r="O768" t="s">
        <v>38</v>
      </c>
      <c r="P768" t="s">
        <v>39</v>
      </c>
      <c r="Q768" s="55">
        <v>45961</v>
      </c>
      <c r="R768" t="s">
        <v>3014</v>
      </c>
      <c r="V768">
        <v>1</v>
      </c>
    </row>
    <row r="769" spans="1:22">
      <c r="A769" s="55">
        <v>45912</v>
      </c>
      <c r="B769" t="s">
        <v>1136</v>
      </c>
      <c r="C769" t="s">
        <v>3015</v>
      </c>
      <c r="D769" t="s">
        <v>63</v>
      </c>
      <c r="E769">
        <v>85032</v>
      </c>
      <c r="F769" t="s">
        <v>3016</v>
      </c>
      <c r="G769" t="s">
        <v>2985</v>
      </c>
      <c r="H769" t="s">
        <v>3017</v>
      </c>
      <c r="I769" t="s">
        <v>57</v>
      </c>
      <c r="J769" t="s">
        <v>37</v>
      </c>
      <c r="K769" t="s">
        <v>37</v>
      </c>
      <c r="L769" t="s">
        <v>3018</v>
      </c>
      <c r="M769" t="s">
        <v>37</v>
      </c>
      <c r="N769" t="s">
        <v>37</v>
      </c>
      <c r="O769" t="s">
        <v>38</v>
      </c>
      <c r="Q769" s="55">
        <v>45961</v>
      </c>
      <c r="R769" t="s">
        <v>3019</v>
      </c>
      <c r="V769">
        <v>1</v>
      </c>
    </row>
    <row r="770" spans="1:22">
      <c r="A770" s="55">
        <v>45913</v>
      </c>
      <c r="B770" t="s">
        <v>3022</v>
      </c>
      <c r="C770" t="s">
        <v>3023</v>
      </c>
      <c r="D770" t="s">
        <v>523</v>
      </c>
      <c r="E770">
        <v>85392</v>
      </c>
      <c r="F770" t="s">
        <v>31</v>
      </c>
      <c r="G770" t="s">
        <v>2985</v>
      </c>
      <c r="H770" t="s">
        <v>3024</v>
      </c>
      <c r="I770" t="s">
        <v>250</v>
      </c>
      <c r="J770" t="s">
        <v>37</v>
      </c>
      <c r="K770" t="s">
        <v>37</v>
      </c>
      <c r="L770" t="s">
        <v>1586</v>
      </c>
      <c r="M770" t="s">
        <v>37</v>
      </c>
      <c r="N770" t="s">
        <v>37</v>
      </c>
      <c r="O770" t="s">
        <v>38</v>
      </c>
      <c r="P770" t="s">
        <v>39</v>
      </c>
      <c r="Q770" s="55">
        <v>45961</v>
      </c>
      <c r="V770">
        <v>1</v>
      </c>
    </row>
    <row r="771" spans="1:22">
      <c r="A771" s="55">
        <v>45913</v>
      </c>
      <c r="B771" t="s">
        <v>3029</v>
      </c>
      <c r="C771" t="s">
        <v>3030</v>
      </c>
      <c r="D771" t="s">
        <v>63</v>
      </c>
      <c r="E771">
        <v>85022</v>
      </c>
      <c r="F771" t="s">
        <v>31</v>
      </c>
      <c r="G771" t="s">
        <v>2985</v>
      </c>
      <c r="H771" t="s">
        <v>3031</v>
      </c>
      <c r="I771" t="s">
        <v>73</v>
      </c>
      <c r="J771" t="s">
        <v>37</v>
      </c>
      <c r="K771" t="s">
        <v>37</v>
      </c>
      <c r="L771" t="s">
        <v>1586</v>
      </c>
      <c r="M771" t="s">
        <v>37</v>
      </c>
      <c r="N771" t="s">
        <v>37</v>
      </c>
      <c r="O771" t="s">
        <v>38</v>
      </c>
      <c r="P771" t="s">
        <v>39</v>
      </c>
      <c r="Q771" s="55">
        <v>45961</v>
      </c>
      <c r="V771">
        <v>1</v>
      </c>
    </row>
    <row r="772" spans="1:22">
      <c r="A772" s="55">
        <v>45913</v>
      </c>
      <c r="B772" t="s">
        <v>2995</v>
      </c>
      <c r="C772" t="s">
        <v>312</v>
      </c>
      <c r="D772" t="s">
        <v>24</v>
      </c>
      <c r="E772">
        <v>85308</v>
      </c>
      <c r="F772" t="s">
        <v>31</v>
      </c>
      <c r="G772" t="s">
        <v>2985</v>
      </c>
      <c r="H772" t="s">
        <v>2997</v>
      </c>
      <c r="I772" t="s">
        <v>541</v>
      </c>
      <c r="J772" t="s">
        <v>37</v>
      </c>
      <c r="K772" t="s">
        <v>37</v>
      </c>
      <c r="L772" t="s">
        <v>389</v>
      </c>
      <c r="M772" t="s">
        <v>37</v>
      </c>
      <c r="N772" t="s">
        <v>37</v>
      </c>
      <c r="O772" t="s">
        <v>38</v>
      </c>
      <c r="P772" t="s">
        <v>39</v>
      </c>
      <c r="Q772" s="55">
        <v>45961</v>
      </c>
      <c r="V772">
        <v>1</v>
      </c>
    </row>
    <row r="773" spans="1:22">
      <c r="A773" s="55">
        <v>45914</v>
      </c>
      <c r="B773" t="s">
        <v>3032</v>
      </c>
      <c r="C773" t="s">
        <v>3033</v>
      </c>
      <c r="D773" t="s">
        <v>370</v>
      </c>
      <c r="E773">
        <v>85225</v>
      </c>
      <c r="F773" t="s">
        <v>310</v>
      </c>
      <c r="G773" t="s">
        <v>2985</v>
      </c>
      <c r="H773" t="s">
        <v>3034</v>
      </c>
      <c r="I773" t="s">
        <v>3035</v>
      </c>
      <c r="J773" t="s">
        <v>37</v>
      </c>
      <c r="K773" t="s">
        <v>37</v>
      </c>
      <c r="L773" t="s">
        <v>3036</v>
      </c>
      <c r="M773" t="s">
        <v>37</v>
      </c>
      <c r="N773" t="s">
        <v>37</v>
      </c>
      <c r="O773" t="s">
        <v>38</v>
      </c>
      <c r="P773" t="s">
        <v>39</v>
      </c>
      <c r="Q773" s="55">
        <v>45961</v>
      </c>
      <c r="V773">
        <v>1</v>
      </c>
    </row>
    <row r="774" spans="1:22">
      <c r="A774" s="55">
        <v>45914</v>
      </c>
      <c r="B774" t="s">
        <v>3037</v>
      </c>
      <c r="C774" t="s">
        <v>611</v>
      </c>
      <c r="D774" t="s">
        <v>63</v>
      </c>
      <c r="E774">
        <v>85020</v>
      </c>
      <c r="F774" t="s">
        <v>31</v>
      </c>
      <c r="G774" t="s">
        <v>2985</v>
      </c>
      <c r="H774" t="s">
        <v>3038</v>
      </c>
      <c r="I774" t="s">
        <v>418</v>
      </c>
      <c r="J774" t="s">
        <v>37</v>
      </c>
      <c r="K774" t="s">
        <v>37</v>
      </c>
      <c r="L774" t="s">
        <v>389</v>
      </c>
      <c r="M774" t="s">
        <v>37</v>
      </c>
      <c r="N774" t="s">
        <v>37</v>
      </c>
      <c r="O774" t="s">
        <v>38</v>
      </c>
      <c r="P774" t="s">
        <v>39</v>
      </c>
      <c r="Q774" s="55">
        <v>45961</v>
      </c>
      <c r="V774">
        <v>1</v>
      </c>
    </row>
    <row r="775" spans="1:22">
      <c r="A775" s="55">
        <v>45914</v>
      </c>
      <c r="B775" t="s">
        <v>1884</v>
      </c>
      <c r="C775" t="s">
        <v>3040</v>
      </c>
      <c r="D775" t="s">
        <v>619</v>
      </c>
      <c r="E775">
        <v>85364</v>
      </c>
      <c r="F775" t="s">
        <v>3041</v>
      </c>
      <c r="G775" t="s">
        <v>2985</v>
      </c>
      <c r="H775" t="s">
        <v>3042</v>
      </c>
      <c r="I775" t="s">
        <v>250</v>
      </c>
      <c r="J775" t="s">
        <v>37</v>
      </c>
      <c r="K775" t="s">
        <v>37</v>
      </c>
      <c r="L775" t="s">
        <v>3043</v>
      </c>
      <c r="M775" t="s">
        <v>38</v>
      </c>
      <c r="N775">
        <v>722.34</v>
      </c>
      <c r="O775" t="s">
        <v>38</v>
      </c>
      <c r="Q775" s="55">
        <v>45961</v>
      </c>
      <c r="R775" t="s">
        <v>3044</v>
      </c>
      <c r="U775" t="s">
        <v>3045</v>
      </c>
      <c r="V775">
        <v>1</v>
      </c>
    </row>
    <row r="776" spans="1:22">
      <c r="A776" s="55">
        <v>45914</v>
      </c>
      <c r="B776" t="s">
        <v>3046</v>
      </c>
      <c r="C776" t="s">
        <v>333</v>
      </c>
      <c r="D776" t="s">
        <v>63</v>
      </c>
      <c r="E776">
        <v>85281</v>
      </c>
      <c r="F776" t="s">
        <v>310</v>
      </c>
      <c r="G776" t="s">
        <v>2985</v>
      </c>
      <c r="H776" t="s">
        <v>3047</v>
      </c>
      <c r="I776" t="s">
        <v>73</v>
      </c>
      <c r="J776" t="s">
        <v>38</v>
      </c>
      <c r="K776" t="s">
        <v>37</v>
      </c>
      <c r="L776" t="s">
        <v>38</v>
      </c>
      <c r="M776" t="s">
        <v>37</v>
      </c>
      <c r="N776" t="s">
        <v>37</v>
      </c>
      <c r="O776" t="s">
        <v>38</v>
      </c>
      <c r="P776" t="s">
        <v>39</v>
      </c>
      <c r="Q776" s="55">
        <v>45961</v>
      </c>
      <c r="V776">
        <v>1</v>
      </c>
    </row>
    <row r="777" spans="1:22">
      <c r="A777" s="55">
        <v>45914</v>
      </c>
      <c r="B777" t="s">
        <v>2951</v>
      </c>
      <c r="C777" t="s">
        <v>3006</v>
      </c>
      <c r="D777" t="s">
        <v>125</v>
      </c>
      <c r="E777">
        <v>85260</v>
      </c>
      <c r="F777" t="s">
        <v>3050</v>
      </c>
      <c r="G777" t="s">
        <v>2985</v>
      </c>
      <c r="H777" t="s">
        <v>3051</v>
      </c>
      <c r="I777" t="s">
        <v>196</v>
      </c>
      <c r="J777" t="s">
        <v>37</v>
      </c>
      <c r="K777" t="s">
        <v>37</v>
      </c>
      <c r="L777" t="s">
        <v>3052</v>
      </c>
      <c r="M777" t="s">
        <v>37</v>
      </c>
      <c r="N777" t="s">
        <v>37</v>
      </c>
      <c r="O777" t="s">
        <v>38</v>
      </c>
      <c r="P777" t="s">
        <v>39</v>
      </c>
      <c r="Q777" s="55">
        <v>45961</v>
      </c>
      <c r="V777">
        <v>1</v>
      </c>
    </row>
    <row r="778" spans="1:22">
      <c r="A778" s="55">
        <v>45917</v>
      </c>
      <c r="B778" t="s">
        <v>3053</v>
      </c>
      <c r="C778" t="s">
        <v>184</v>
      </c>
      <c r="D778" t="s">
        <v>63</v>
      </c>
      <c r="E778">
        <v>85023</v>
      </c>
      <c r="F778" t="s">
        <v>3054</v>
      </c>
      <c r="G778" t="s">
        <v>3055</v>
      </c>
      <c r="H778" t="s">
        <v>3056</v>
      </c>
      <c r="I778" t="s">
        <v>196</v>
      </c>
      <c r="J778" t="s">
        <v>37</v>
      </c>
      <c r="K778" t="s">
        <v>37</v>
      </c>
      <c r="L778" t="s">
        <v>3057</v>
      </c>
      <c r="M778" t="s">
        <v>37</v>
      </c>
      <c r="N778" t="s">
        <v>37</v>
      </c>
      <c r="O778" t="s">
        <v>38</v>
      </c>
      <c r="P778">
        <v>45939</v>
      </c>
      <c r="Q778" s="55">
        <v>45961</v>
      </c>
      <c r="R778" t="s">
        <v>2474</v>
      </c>
      <c r="V778">
        <v>1</v>
      </c>
    </row>
    <row r="779" spans="1:22">
      <c r="A779" s="55">
        <v>45917</v>
      </c>
      <c r="B779" t="s">
        <v>3058</v>
      </c>
      <c r="C779" t="s">
        <v>225</v>
      </c>
      <c r="D779" t="s">
        <v>737</v>
      </c>
      <c r="E779">
        <v>86326</v>
      </c>
      <c r="F779" t="s">
        <v>3059</v>
      </c>
      <c r="G779" t="s">
        <v>3060</v>
      </c>
      <c r="H779" t="s">
        <v>3061</v>
      </c>
      <c r="I779" t="s">
        <v>36</v>
      </c>
      <c r="J779" t="s">
        <v>37</v>
      </c>
      <c r="K779" t="s">
        <v>37</v>
      </c>
      <c r="L779" t="s">
        <v>38</v>
      </c>
      <c r="M779" t="s">
        <v>37</v>
      </c>
      <c r="N779" t="s">
        <v>37</v>
      </c>
      <c r="O779" t="s">
        <v>38</v>
      </c>
      <c r="P779" t="s">
        <v>39</v>
      </c>
      <c r="Q779" s="55">
        <v>45961</v>
      </c>
      <c r="V779">
        <v>1</v>
      </c>
    </row>
    <row r="780" spans="1:22">
      <c r="A780" s="55">
        <v>45917</v>
      </c>
      <c r="B780" t="s">
        <v>3062</v>
      </c>
      <c r="C780" t="s">
        <v>879</v>
      </c>
      <c r="D780" t="s">
        <v>737</v>
      </c>
      <c r="E780">
        <v>86326</v>
      </c>
      <c r="F780" t="s">
        <v>31</v>
      </c>
      <c r="G780" t="s">
        <v>3060</v>
      </c>
      <c r="H780" t="s">
        <v>3063</v>
      </c>
      <c r="I780" t="s">
        <v>46</v>
      </c>
      <c r="J780" t="s">
        <v>37</v>
      </c>
      <c r="K780" t="s">
        <v>37</v>
      </c>
      <c r="L780" t="s">
        <v>38</v>
      </c>
      <c r="M780" t="s">
        <v>37</v>
      </c>
      <c r="N780" t="s">
        <v>37</v>
      </c>
      <c r="O780" t="s">
        <v>38</v>
      </c>
      <c r="P780" t="s">
        <v>39</v>
      </c>
      <c r="Q780" s="55">
        <v>45961</v>
      </c>
      <c r="V780">
        <v>1</v>
      </c>
    </row>
    <row r="781" spans="1:22">
      <c r="A781" s="55">
        <v>45917</v>
      </c>
      <c r="B781" t="s">
        <v>3064</v>
      </c>
      <c r="C781" t="s">
        <v>284</v>
      </c>
      <c r="D781" t="s">
        <v>63</v>
      </c>
      <c r="E781">
        <v>85050</v>
      </c>
      <c r="F781" t="s">
        <v>3065</v>
      </c>
      <c r="G781" t="s">
        <v>3060</v>
      </c>
      <c r="H781" t="s">
        <v>3066</v>
      </c>
      <c r="I781" t="s">
        <v>36</v>
      </c>
      <c r="J781" t="s">
        <v>37</v>
      </c>
      <c r="K781" t="s">
        <v>37</v>
      </c>
      <c r="L781" t="s">
        <v>38</v>
      </c>
      <c r="M781" t="s">
        <v>37</v>
      </c>
      <c r="N781" t="s">
        <v>37</v>
      </c>
      <c r="O781" t="s">
        <v>38</v>
      </c>
      <c r="P781" t="s">
        <v>39</v>
      </c>
      <c r="Q781" s="55">
        <v>45961</v>
      </c>
      <c r="V781">
        <v>1</v>
      </c>
    </row>
    <row r="782" spans="1:22">
      <c r="A782" s="55">
        <v>45917</v>
      </c>
      <c r="B782" t="s">
        <v>1776</v>
      </c>
      <c r="C782" t="s">
        <v>312</v>
      </c>
      <c r="D782" t="s">
        <v>63</v>
      </c>
      <c r="E782">
        <v>85023</v>
      </c>
      <c r="F782" t="s">
        <v>310</v>
      </c>
      <c r="G782" t="s">
        <v>3055</v>
      </c>
      <c r="H782" t="s">
        <v>3067</v>
      </c>
      <c r="I782" t="s">
        <v>250</v>
      </c>
      <c r="J782" t="s">
        <v>37</v>
      </c>
      <c r="K782" t="s">
        <v>37</v>
      </c>
      <c r="L782" t="s">
        <v>38</v>
      </c>
      <c r="M782" t="s">
        <v>37</v>
      </c>
      <c r="N782" t="s">
        <v>37</v>
      </c>
      <c r="O782" t="s">
        <v>38</v>
      </c>
      <c r="P782" t="s">
        <v>39</v>
      </c>
      <c r="Q782" s="55">
        <v>45961</v>
      </c>
      <c r="V782">
        <v>1</v>
      </c>
    </row>
    <row r="783" spans="1:22">
      <c r="A783" s="55">
        <v>45917</v>
      </c>
      <c r="B783" t="s">
        <v>3068</v>
      </c>
      <c r="C783" t="s">
        <v>3069</v>
      </c>
      <c r="D783" t="s">
        <v>370</v>
      </c>
      <c r="E783">
        <v>85225</v>
      </c>
      <c r="F783" t="s">
        <v>3070</v>
      </c>
      <c r="G783" t="s">
        <v>3071</v>
      </c>
      <c r="H783" t="s">
        <v>3072</v>
      </c>
      <c r="I783" t="s">
        <v>196</v>
      </c>
      <c r="J783" t="s">
        <v>37</v>
      </c>
      <c r="K783" t="s">
        <v>37</v>
      </c>
      <c r="L783" t="s">
        <v>3073</v>
      </c>
      <c r="M783" t="s">
        <v>37</v>
      </c>
      <c r="N783" t="s">
        <v>37</v>
      </c>
      <c r="O783" t="s">
        <v>38</v>
      </c>
      <c r="Q783" s="55">
        <v>45961</v>
      </c>
      <c r="R783" t="s">
        <v>3074</v>
      </c>
      <c r="V783">
        <v>1</v>
      </c>
    </row>
    <row r="784" spans="1:22">
      <c r="A784" s="55">
        <v>45917</v>
      </c>
      <c r="B784" t="s">
        <v>3075</v>
      </c>
      <c r="C784" t="s">
        <v>1815</v>
      </c>
      <c r="D784" t="s">
        <v>125</v>
      </c>
      <c r="E784">
        <v>85257</v>
      </c>
      <c r="F784" t="s">
        <v>3076</v>
      </c>
      <c r="G784" t="s">
        <v>3071</v>
      </c>
      <c r="H784" t="s">
        <v>3077</v>
      </c>
      <c r="I784" t="s">
        <v>36</v>
      </c>
      <c r="J784" t="s">
        <v>37</v>
      </c>
      <c r="K784" t="s">
        <v>37</v>
      </c>
      <c r="L784" t="s">
        <v>38</v>
      </c>
      <c r="M784" t="s">
        <v>37</v>
      </c>
      <c r="N784" t="s">
        <v>37</v>
      </c>
      <c r="O784" t="s">
        <v>38</v>
      </c>
      <c r="P784" t="s">
        <v>39</v>
      </c>
      <c r="Q784" s="55">
        <v>45961</v>
      </c>
      <c r="V784">
        <v>1</v>
      </c>
    </row>
    <row r="785" spans="1:22">
      <c r="A785" s="55">
        <v>45917</v>
      </c>
      <c r="B785" t="s">
        <v>3078</v>
      </c>
      <c r="C785" t="s">
        <v>2116</v>
      </c>
      <c r="D785" t="s">
        <v>24</v>
      </c>
      <c r="E785">
        <v>85310</v>
      </c>
      <c r="F785" t="s">
        <v>3079</v>
      </c>
      <c r="G785" t="s">
        <v>3071</v>
      </c>
      <c r="H785" t="s">
        <v>3080</v>
      </c>
      <c r="I785" t="s">
        <v>36</v>
      </c>
      <c r="J785" t="s">
        <v>37</v>
      </c>
      <c r="K785" t="s">
        <v>37</v>
      </c>
      <c r="L785" t="s">
        <v>38</v>
      </c>
      <c r="M785" t="s">
        <v>37</v>
      </c>
      <c r="N785" t="s">
        <v>37</v>
      </c>
      <c r="O785" t="s">
        <v>38</v>
      </c>
      <c r="P785" t="s">
        <v>39</v>
      </c>
      <c r="Q785" s="55">
        <v>45961</v>
      </c>
      <c r="V785">
        <v>1</v>
      </c>
    </row>
    <row r="786" spans="1:22">
      <c r="A786" s="55">
        <v>45918</v>
      </c>
      <c r="B786" t="s">
        <v>3081</v>
      </c>
      <c r="C786" t="s">
        <v>548</v>
      </c>
      <c r="D786" t="s">
        <v>169</v>
      </c>
      <c r="E786">
        <v>85338</v>
      </c>
      <c r="F786" t="s">
        <v>3082</v>
      </c>
      <c r="G786" t="s">
        <v>3083</v>
      </c>
      <c r="H786" t="s">
        <v>3084</v>
      </c>
      <c r="I786" t="s">
        <v>36</v>
      </c>
      <c r="J786" t="s">
        <v>37</v>
      </c>
      <c r="K786" t="s">
        <v>37</v>
      </c>
      <c r="L786" t="s">
        <v>38</v>
      </c>
      <c r="M786" t="s">
        <v>37</v>
      </c>
      <c r="N786" t="s">
        <v>37</v>
      </c>
      <c r="O786" t="s">
        <v>38</v>
      </c>
      <c r="P786" t="s">
        <v>39</v>
      </c>
      <c r="Q786" s="55">
        <v>45961</v>
      </c>
      <c r="V786">
        <v>1</v>
      </c>
    </row>
    <row r="787" spans="1:22">
      <c r="A787" s="55">
        <v>45918</v>
      </c>
      <c r="B787" t="s">
        <v>1765</v>
      </c>
      <c r="C787" t="s">
        <v>145</v>
      </c>
      <c r="D787" t="s">
        <v>63</v>
      </c>
      <c r="E787">
        <v>85032</v>
      </c>
      <c r="F787" t="s">
        <v>3088</v>
      </c>
      <c r="G787" t="s">
        <v>3083</v>
      </c>
      <c r="H787" t="s">
        <v>3089</v>
      </c>
      <c r="I787" t="s">
        <v>196</v>
      </c>
      <c r="J787" t="s">
        <v>37</v>
      </c>
      <c r="K787" t="s">
        <v>37</v>
      </c>
      <c r="L787" t="s">
        <v>38</v>
      </c>
      <c r="M787" t="s">
        <v>37</v>
      </c>
      <c r="N787" t="s">
        <v>37</v>
      </c>
      <c r="O787" t="s">
        <v>38</v>
      </c>
      <c r="P787" t="s">
        <v>39</v>
      </c>
      <c r="Q787" s="55">
        <v>45961</v>
      </c>
      <c r="V787">
        <v>1</v>
      </c>
    </row>
    <row r="788" spans="1:22">
      <c r="A788" s="55">
        <v>45918</v>
      </c>
      <c r="B788" t="s">
        <v>3090</v>
      </c>
      <c r="C788" t="s">
        <v>208</v>
      </c>
      <c r="D788" t="s">
        <v>3091</v>
      </c>
      <c r="E788">
        <v>86032</v>
      </c>
      <c r="F788" t="s">
        <v>3092</v>
      </c>
      <c r="G788" t="s">
        <v>3083</v>
      </c>
      <c r="H788" t="s">
        <v>3093</v>
      </c>
      <c r="I788" t="s">
        <v>46</v>
      </c>
      <c r="J788" t="s">
        <v>37</v>
      </c>
      <c r="K788" t="s">
        <v>37</v>
      </c>
      <c r="L788" t="s">
        <v>38</v>
      </c>
      <c r="M788" t="s">
        <v>38</v>
      </c>
      <c r="N788">
        <v>361.43</v>
      </c>
      <c r="O788" t="s">
        <v>38</v>
      </c>
      <c r="P788" t="s">
        <v>39</v>
      </c>
      <c r="Q788" s="55">
        <v>45961</v>
      </c>
      <c r="R788" t="s">
        <v>3094</v>
      </c>
      <c r="V788">
        <v>1</v>
      </c>
    </row>
    <row r="789" spans="1:22">
      <c r="A789" s="55">
        <v>45918</v>
      </c>
      <c r="B789" t="s">
        <v>3097</v>
      </c>
      <c r="C789" t="s">
        <v>3098</v>
      </c>
      <c r="D789" t="s">
        <v>174</v>
      </c>
      <c r="E789">
        <v>85396</v>
      </c>
      <c r="F789" t="s">
        <v>3099</v>
      </c>
      <c r="G789" t="s">
        <v>3083</v>
      </c>
      <c r="H789" t="s">
        <v>3100</v>
      </c>
      <c r="I789" t="s">
        <v>36</v>
      </c>
      <c r="J789" t="s">
        <v>38</v>
      </c>
      <c r="K789" t="s">
        <v>37</v>
      </c>
      <c r="L789" t="s">
        <v>38</v>
      </c>
      <c r="M789" t="s">
        <v>38</v>
      </c>
      <c r="N789">
        <v>2904.39</v>
      </c>
      <c r="O789" t="s">
        <v>38</v>
      </c>
      <c r="Q789" s="55">
        <v>45961</v>
      </c>
      <c r="R789" t="s">
        <v>3101</v>
      </c>
      <c r="V789">
        <v>1</v>
      </c>
    </row>
    <row r="790" spans="1:22">
      <c r="A790" s="55">
        <v>45918</v>
      </c>
      <c r="B790" t="s">
        <v>2571</v>
      </c>
      <c r="C790" t="s">
        <v>594</v>
      </c>
      <c r="D790" t="s">
        <v>63</v>
      </c>
      <c r="E790">
        <v>85014</v>
      </c>
      <c r="F790" t="s">
        <v>3102</v>
      </c>
      <c r="G790" t="s">
        <v>3083</v>
      </c>
      <c r="H790" t="s">
        <v>3103</v>
      </c>
      <c r="I790" t="s">
        <v>36</v>
      </c>
      <c r="J790" t="s">
        <v>38</v>
      </c>
      <c r="L790" t="s">
        <v>38</v>
      </c>
      <c r="O790" t="s">
        <v>38</v>
      </c>
      <c r="P790" t="s">
        <v>39</v>
      </c>
      <c r="Q790" s="55"/>
      <c r="V790">
        <v>1</v>
      </c>
    </row>
    <row r="791" spans="1:22">
      <c r="A791" s="55">
        <v>45918</v>
      </c>
      <c r="B791" t="s">
        <v>3106</v>
      </c>
      <c r="C791" t="s">
        <v>382</v>
      </c>
      <c r="D791" t="s">
        <v>635</v>
      </c>
      <c r="E791">
        <v>85281</v>
      </c>
      <c r="F791" t="s">
        <v>3107</v>
      </c>
      <c r="G791" t="s">
        <v>3083</v>
      </c>
      <c r="H791" t="s">
        <v>3108</v>
      </c>
      <c r="I791" t="s">
        <v>36</v>
      </c>
      <c r="J791" t="s">
        <v>37</v>
      </c>
      <c r="K791" t="s">
        <v>37</v>
      </c>
      <c r="L791" t="s">
        <v>38</v>
      </c>
      <c r="M791" t="s">
        <v>37</v>
      </c>
      <c r="N791" t="s">
        <v>37</v>
      </c>
      <c r="O791" t="s">
        <v>38</v>
      </c>
      <c r="P791" t="s">
        <v>39</v>
      </c>
      <c r="Q791" s="55">
        <v>45961</v>
      </c>
      <c r="R791" t="s">
        <v>3109</v>
      </c>
      <c r="V791">
        <v>1</v>
      </c>
    </row>
    <row r="792" spans="1:22">
      <c r="A792" s="55">
        <v>45918</v>
      </c>
      <c r="B792" t="s">
        <v>3110</v>
      </c>
      <c r="C792" t="s">
        <v>1647</v>
      </c>
      <c r="D792" t="s">
        <v>3111</v>
      </c>
      <c r="E792">
        <v>85901</v>
      </c>
      <c r="F792" t="s">
        <v>3112</v>
      </c>
      <c r="G792" t="s">
        <v>3083</v>
      </c>
      <c r="H792" t="s">
        <v>3113</v>
      </c>
      <c r="I792" t="s">
        <v>73</v>
      </c>
      <c r="J792" t="s">
        <v>37</v>
      </c>
      <c r="K792" t="s">
        <v>37</v>
      </c>
      <c r="L792" t="s">
        <v>38</v>
      </c>
      <c r="M792" t="s">
        <v>37</v>
      </c>
      <c r="N792" t="s">
        <v>37</v>
      </c>
      <c r="O792" t="s">
        <v>38</v>
      </c>
      <c r="P792" t="s">
        <v>39</v>
      </c>
      <c r="Q792" s="55">
        <v>45961</v>
      </c>
      <c r="V792">
        <v>1</v>
      </c>
    </row>
    <row r="793" spans="1:22">
      <c r="A793" s="55">
        <v>45918</v>
      </c>
      <c r="B793" t="s">
        <v>3114</v>
      </c>
      <c r="C793" t="s">
        <v>2643</v>
      </c>
      <c r="D793" t="s">
        <v>169</v>
      </c>
      <c r="E793">
        <v>85338</v>
      </c>
      <c r="F793" t="s">
        <v>3115</v>
      </c>
      <c r="G793" t="s">
        <v>3083</v>
      </c>
      <c r="H793" t="s">
        <v>3116</v>
      </c>
      <c r="I793" t="s">
        <v>126</v>
      </c>
      <c r="J793" t="s">
        <v>37</v>
      </c>
      <c r="K793" t="s">
        <v>37</v>
      </c>
      <c r="L793" t="s">
        <v>38</v>
      </c>
      <c r="M793" t="s">
        <v>37</v>
      </c>
      <c r="N793" t="s">
        <v>37</v>
      </c>
      <c r="O793" t="s">
        <v>38</v>
      </c>
      <c r="P793" t="s">
        <v>39</v>
      </c>
      <c r="Q793" s="55">
        <v>45961</v>
      </c>
      <c r="V793">
        <v>1</v>
      </c>
    </row>
    <row r="794" spans="1:22">
      <c r="A794" s="55">
        <v>45918</v>
      </c>
      <c r="B794" t="s">
        <v>3117</v>
      </c>
      <c r="C794" t="s">
        <v>3118</v>
      </c>
      <c r="D794" t="s">
        <v>240</v>
      </c>
      <c r="E794">
        <v>85340</v>
      </c>
      <c r="F794" t="s">
        <v>310</v>
      </c>
      <c r="G794" t="s">
        <v>3083</v>
      </c>
      <c r="H794" t="s">
        <v>3119</v>
      </c>
      <c r="I794" t="s">
        <v>196</v>
      </c>
      <c r="J794" t="s">
        <v>37</v>
      </c>
      <c r="K794" t="s">
        <v>37</v>
      </c>
      <c r="L794" t="s">
        <v>3120</v>
      </c>
      <c r="M794" t="s">
        <v>37</v>
      </c>
      <c r="N794" t="s">
        <v>37</v>
      </c>
      <c r="O794" t="s">
        <v>38</v>
      </c>
      <c r="P794" t="s">
        <v>39</v>
      </c>
      <c r="Q794" s="55">
        <v>45961</v>
      </c>
      <c r="V794">
        <v>1</v>
      </c>
    </row>
    <row r="795" spans="1:22">
      <c r="A795" s="55">
        <v>45918</v>
      </c>
      <c r="B795" t="s">
        <v>3123</v>
      </c>
      <c r="C795" t="s">
        <v>3124</v>
      </c>
      <c r="D795" t="s">
        <v>125</v>
      </c>
      <c r="E795">
        <v>85260</v>
      </c>
      <c r="F795" t="s">
        <v>3125</v>
      </c>
      <c r="G795" t="s">
        <v>3083</v>
      </c>
      <c r="H795" t="s">
        <v>3126</v>
      </c>
      <c r="I795" t="s">
        <v>126</v>
      </c>
      <c r="J795" t="s">
        <v>37</v>
      </c>
      <c r="K795" t="s">
        <v>37</v>
      </c>
      <c r="L795" t="s">
        <v>38</v>
      </c>
      <c r="M795" t="s">
        <v>37</v>
      </c>
      <c r="N795" t="s">
        <v>37</v>
      </c>
      <c r="O795" t="s">
        <v>38</v>
      </c>
      <c r="P795" t="s">
        <v>39</v>
      </c>
      <c r="Q795" s="55">
        <v>45960</v>
      </c>
      <c r="V795">
        <v>1</v>
      </c>
    </row>
    <row r="796" spans="1:22">
      <c r="A796" s="55">
        <v>45918</v>
      </c>
      <c r="B796" t="s">
        <v>3127</v>
      </c>
      <c r="C796" t="s">
        <v>3128</v>
      </c>
      <c r="D796" t="s">
        <v>169</v>
      </c>
      <c r="E796">
        <v>85338</v>
      </c>
      <c r="F796" t="s">
        <v>3129</v>
      </c>
      <c r="G796" t="s">
        <v>3083</v>
      </c>
      <c r="H796" t="s">
        <v>3130</v>
      </c>
      <c r="I796" t="s">
        <v>243</v>
      </c>
      <c r="J796" t="s">
        <v>37</v>
      </c>
      <c r="K796" t="s">
        <v>37</v>
      </c>
      <c r="L796" t="s">
        <v>389</v>
      </c>
      <c r="M796" t="s">
        <v>37</v>
      </c>
      <c r="N796" t="s">
        <v>37</v>
      </c>
      <c r="O796" t="s">
        <v>38</v>
      </c>
      <c r="P796" t="s">
        <v>39</v>
      </c>
      <c r="Q796" s="55">
        <v>45960</v>
      </c>
      <c r="V796">
        <v>1</v>
      </c>
    </row>
    <row r="797" spans="1:22">
      <c r="A797" s="55">
        <v>45918</v>
      </c>
      <c r="B797" t="s">
        <v>3131</v>
      </c>
      <c r="C797" t="s">
        <v>3132</v>
      </c>
      <c r="D797" t="s">
        <v>63</v>
      </c>
      <c r="E797">
        <v>85029</v>
      </c>
      <c r="F797" t="s">
        <v>3133</v>
      </c>
      <c r="G797" t="s">
        <v>3083</v>
      </c>
      <c r="H797" t="s">
        <v>3134</v>
      </c>
      <c r="I797" t="s">
        <v>46</v>
      </c>
      <c r="J797" t="s">
        <v>37</v>
      </c>
      <c r="K797" t="s">
        <v>37</v>
      </c>
      <c r="L797" t="s">
        <v>38</v>
      </c>
      <c r="M797" t="s">
        <v>37</v>
      </c>
      <c r="N797" t="s">
        <v>37</v>
      </c>
      <c r="O797" t="s">
        <v>38</v>
      </c>
      <c r="P797" t="s">
        <v>39</v>
      </c>
      <c r="Q797" s="55">
        <v>45960</v>
      </c>
      <c r="V797">
        <v>1</v>
      </c>
    </row>
    <row r="798" spans="1:22">
      <c r="A798" s="55">
        <v>45918</v>
      </c>
      <c r="B798" t="s">
        <v>3135</v>
      </c>
      <c r="C798" t="s">
        <v>548</v>
      </c>
      <c r="D798" t="s">
        <v>63</v>
      </c>
      <c r="E798">
        <v>85053</v>
      </c>
      <c r="F798" t="s">
        <v>3136</v>
      </c>
      <c r="G798" t="s">
        <v>3083</v>
      </c>
      <c r="H798" t="s">
        <v>3137</v>
      </c>
      <c r="I798" t="s">
        <v>36</v>
      </c>
      <c r="J798" t="s">
        <v>37</v>
      </c>
      <c r="K798" t="s">
        <v>37</v>
      </c>
      <c r="L798" t="s">
        <v>38</v>
      </c>
      <c r="M798" t="s">
        <v>37</v>
      </c>
      <c r="N798" t="s">
        <v>37</v>
      </c>
      <c r="O798" t="s">
        <v>38</v>
      </c>
      <c r="P798" t="s">
        <v>39</v>
      </c>
      <c r="Q798" s="55">
        <v>45960</v>
      </c>
      <c r="V798">
        <v>1</v>
      </c>
    </row>
    <row r="799" spans="1:22">
      <c r="A799" s="55">
        <v>45918</v>
      </c>
      <c r="B799" t="s">
        <v>3138</v>
      </c>
      <c r="C799" t="s">
        <v>481</v>
      </c>
      <c r="D799" t="s">
        <v>169</v>
      </c>
      <c r="E799">
        <v>85338</v>
      </c>
      <c r="F799" t="s">
        <v>3139</v>
      </c>
      <c r="G799" t="s">
        <v>3083</v>
      </c>
      <c r="H799" t="s">
        <v>3130</v>
      </c>
      <c r="I799" t="s">
        <v>243</v>
      </c>
      <c r="J799" t="s">
        <v>37</v>
      </c>
      <c r="K799" t="s">
        <v>37</v>
      </c>
      <c r="L799" t="s">
        <v>389</v>
      </c>
      <c r="M799" t="s">
        <v>37</v>
      </c>
      <c r="N799" t="s">
        <v>37</v>
      </c>
      <c r="O799" t="s">
        <v>38</v>
      </c>
      <c r="P799" t="s">
        <v>39</v>
      </c>
      <c r="Q799" s="55">
        <v>45960</v>
      </c>
      <c r="V799">
        <v>1</v>
      </c>
    </row>
    <row r="800" spans="1:22">
      <c r="A800" s="55">
        <v>45918</v>
      </c>
      <c r="B800" t="s">
        <v>3140</v>
      </c>
      <c r="C800" t="s">
        <v>558</v>
      </c>
      <c r="D800" t="s">
        <v>63</v>
      </c>
      <c r="E800">
        <v>85013</v>
      </c>
      <c r="F800" t="s">
        <v>3141</v>
      </c>
      <c r="G800" t="s">
        <v>3083</v>
      </c>
      <c r="H800" t="s">
        <v>3142</v>
      </c>
      <c r="I800" t="s">
        <v>196</v>
      </c>
      <c r="J800" t="s">
        <v>37</v>
      </c>
      <c r="K800" t="s">
        <v>37</v>
      </c>
      <c r="L800" t="s">
        <v>3143</v>
      </c>
      <c r="M800" t="s">
        <v>38</v>
      </c>
      <c r="N800">
        <v>349.63</v>
      </c>
      <c r="O800" t="s">
        <v>38</v>
      </c>
      <c r="Q800" s="55">
        <v>45960</v>
      </c>
      <c r="R800" t="s">
        <v>495</v>
      </c>
      <c r="V800">
        <v>1</v>
      </c>
    </row>
    <row r="801" spans="1:22">
      <c r="A801" s="55">
        <v>45918</v>
      </c>
      <c r="B801" t="s">
        <v>3144</v>
      </c>
      <c r="C801" t="s">
        <v>1198</v>
      </c>
      <c r="D801" t="s">
        <v>125</v>
      </c>
      <c r="E801">
        <v>85260</v>
      </c>
      <c r="F801" t="s">
        <v>3145</v>
      </c>
      <c r="G801" t="s">
        <v>3083</v>
      </c>
      <c r="H801" t="s">
        <v>3146</v>
      </c>
      <c r="I801" t="s">
        <v>73</v>
      </c>
      <c r="J801" t="s">
        <v>37</v>
      </c>
      <c r="K801" t="s">
        <v>37</v>
      </c>
      <c r="L801" t="s">
        <v>38</v>
      </c>
      <c r="M801" t="s">
        <v>37</v>
      </c>
      <c r="N801" t="s">
        <v>37</v>
      </c>
      <c r="O801" t="s">
        <v>38</v>
      </c>
      <c r="P801" t="s">
        <v>39</v>
      </c>
      <c r="Q801" s="55">
        <v>45960</v>
      </c>
      <c r="V801">
        <v>1</v>
      </c>
    </row>
    <row r="802" spans="1:22">
      <c r="A802" s="55">
        <v>45918</v>
      </c>
      <c r="B802" t="s">
        <v>3147</v>
      </c>
      <c r="C802" t="s">
        <v>3148</v>
      </c>
      <c r="D802" t="s">
        <v>174</v>
      </c>
      <c r="E802">
        <v>85396</v>
      </c>
      <c r="F802" t="s">
        <v>3149</v>
      </c>
      <c r="G802" t="s">
        <v>3083</v>
      </c>
      <c r="H802" t="s">
        <v>3150</v>
      </c>
      <c r="I802" t="s">
        <v>196</v>
      </c>
      <c r="J802" t="s">
        <v>37</v>
      </c>
      <c r="K802" t="s">
        <v>37</v>
      </c>
      <c r="L802" t="s">
        <v>3151</v>
      </c>
      <c r="M802" t="s">
        <v>37</v>
      </c>
      <c r="N802" t="s">
        <v>37</v>
      </c>
      <c r="O802" t="s">
        <v>38</v>
      </c>
      <c r="P802" t="s">
        <v>39</v>
      </c>
      <c r="Q802" s="55">
        <v>45960</v>
      </c>
      <c r="R802" t="s">
        <v>3152</v>
      </c>
      <c r="V802">
        <v>1</v>
      </c>
    </row>
    <row r="803" spans="1:22">
      <c r="A803" s="55">
        <v>45918</v>
      </c>
      <c r="B803" t="s">
        <v>3153</v>
      </c>
      <c r="C803" t="s">
        <v>252</v>
      </c>
      <c r="D803" t="s">
        <v>240</v>
      </c>
      <c r="E803">
        <v>85340</v>
      </c>
      <c r="F803" t="s">
        <v>3154</v>
      </c>
      <c r="G803" t="s">
        <v>3155</v>
      </c>
      <c r="H803" t="s">
        <v>3156</v>
      </c>
      <c r="I803" t="s">
        <v>73</v>
      </c>
      <c r="J803" t="s">
        <v>37</v>
      </c>
      <c r="K803" t="s">
        <v>37</v>
      </c>
      <c r="L803" t="s">
        <v>1586</v>
      </c>
      <c r="M803" t="s">
        <v>37</v>
      </c>
      <c r="N803" t="s">
        <v>37</v>
      </c>
      <c r="O803" t="s">
        <v>38</v>
      </c>
      <c r="P803" t="s">
        <v>39</v>
      </c>
      <c r="Q803" s="55">
        <v>45960</v>
      </c>
      <c r="V803">
        <v>1</v>
      </c>
    </row>
    <row r="804" spans="1:22">
      <c r="A804" s="55">
        <v>45918</v>
      </c>
      <c r="B804" t="s">
        <v>2825</v>
      </c>
      <c r="C804" t="s">
        <v>230</v>
      </c>
      <c r="D804" t="s">
        <v>125</v>
      </c>
      <c r="E804">
        <v>85262</v>
      </c>
      <c r="F804" t="s">
        <v>3159</v>
      </c>
      <c r="G804" t="s">
        <v>3155</v>
      </c>
      <c r="H804" t="s">
        <v>3160</v>
      </c>
      <c r="I804" t="s">
        <v>1488</v>
      </c>
      <c r="J804" t="s">
        <v>37</v>
      </c>
      <c r="K804" t="s">
        <v>37</v>
      </c>
      <c r="L804" t="s">
        <v>389</v>
      </c>
      <c r="M804" t="s">
        <v>37</v>
      </c>
      <c r="N804" t="s">
        <v>37</v>
      </c>
      <c r="O804" t="s">
        <v>38</v>
      </c>
      <c r="P804" t="s">
        <v>39</v>
      </c>
      <c r="Q804" s="55">
        <v>45960</v>
      </c>
      <c r="V804">
        <v>1</v>
      </c>
    </row>
    <row r="805" spans="1:22">
      <c r="A805" s="55">
        <v>45919</v>
      </c>
      <c r="B805" t="s">
        <v>3162</v>
      </c>
      <c r="C805" t="s">
        <v>1444</v>
      </c>
      <c r="D805" t="s">
        <v>63</v>
      </c>
      <c r="E805">
        <v>85032</v>
      </c>
      <c r="F805" t="s">
        <v>3163</v>
      </c>
      <c r="G805" t="s">
        <v>3155</v>
      </c>
      <c r="H805" t="s">
        <v>3164</v>
      </c>
      <c r="I805" t="s">
        <v>243</v>
      </c>
      <c r="J805" t="s">
        <v>37</v>
      </c>
      <c r="K805" t="s">
        <v>37</v>
      </c>
      <c r="L805" t="s">
        <v>389</v>
      </c>
      <c r="M805" t="s">
        <v>38</v>
      </c>
      <c r="N805">
        <v>719.22</v>
      </c>
      <c r="O805" t="s">
        <v>38</v>
      </c>
      <c r="Q805" s="55">
        <v>45960</v>
      </c>
      <c r="R805" t="s">
        <v>3165</v>
      </c>
      <c r="V805">
        <v>1</v>
      </c>
    </row>
    <row r="806" spans="1:22">
      <c r="A806" s="55">
        <v>45919</v>
      </c>
      <c r="B806" t="s">
        <v>3173</v>
      </c>
      <c r="C806" t="s">
        <v>3075</v>
      </c>
      <c r="D806" t="s">
        <v>428</v>
      </c>
      <c r="E806">
        <v>85335</v>
      </c>
      <c r="F806" t="s">
        <v>3174</v>
      </c>
      <c r="G806" t="s">
        <v>3155</v>
      </c>
      <c r="H806" t="s">
        <v>3175</v>
      </c>
      <c r="I806" t="s">
        <v>46</v>
      </c>
      <c r="J806" t="s">
        <v>37</v>
      </c>
      <c r="K806" t="s">
        <v>37</v>
      </c>
      <c r="L806" t="s">
        <v>38</v>
      </c>
      <c r="M806" t="s">
        <v>37</v>
      </c>
      <c r="N806" t="s">
        <v>37</v>
      </c>
      <c r="O806" t="s">
        <v>38</v>
      </c>
      <c r="P806" t="s">
        <v>39</v>
      </c>
      <c r="Q806" s="55">
        <v>45960</v>
      </c>
      <c r="V806">
        <v>1</v>
      </c>
    </row>
    <row r="807" spans="1:22">
      <c r="A807" s="55">
        <v>45919</v>
      </c>
      <c r="B807" t="s">
        <v>3176</v>
      </c>
      <c r="C807" t="s">
        <v>1475</v>
      </c>
      <c r="D807" t="s">
        <v>24</v>
      </c>
      <c r="E807">
        <v>85310</v>
      </c>
      <c r="F807" t="s">
        <v>3177</v>
      </c>
      <c r="G807" t="s">
        <v>3155</v>
      </c>
      <c r="H807" t="s">
        <v>3178</v>
      </c>
      <c r="I807" t="s">
        <v>46</v>
      </c>
      <c r="J807" t="s">
        <v>37</v>
      </c>
      <c r="K807" t="s">
        <v>37</v>
      </c>
      <c r="L807" t="s">
        <v>3179</v>
      </c>
      <c r="M807" t="s">
        <v>37</v>
      </c>
      <c r="N807" t="s">
        <v>37</v>
      </c>
      <c r="O807" t="s">
        <v>38</v>
      </c>
      <c r="P807">
        <v>45940</v>
      </c>
      <c r="Q807" s="55">
        <v>45960</v>
      </c>
      <c r="R807" t="s">
        <v>3180</v>
      </c>
      <c r="V807">
        <v>1</v>
      </c>
    </row>
    <row r="808" spans="1:22">
      <c r="A808" s="55">
        <v>45919</v>
      </c>
      <c r="B808" t="s">
        <v>3181</v>
      </c>
      <c r="C808" t="s">
        <v>3182</v>
      </c>
      <c r="D808" t="s">
        <v>3183</v>
      </c>
      <c r="E808">
        <v>85306</v>
      </c>
      <c r="F808" t="s">
        <v>3184</v>
      </c>
      <c r="G808" t="s">
        <v>3155</v>
      </c>
      <c r="H808" t="s">
        <v>3185</v>
      </c>
      <c r="I808" t="s">
        <v>250</v>
      </c>
      <c r="J808" t="s">
        <v>37</v>
      </c>
      <c r="K808" t="s">
        <v>37</v>
      </c>
      <c r="L808" t="s">
        <v>38</v>
      </c>
      <c r="M808" t="s">
        <v>37</v>
      </c>
      <c r="N808" t="s">
        <v>37</v>
      </c>
      <c r="O808" t="s">
        <v>38</v>
      </c>
      <c r="P808" t="s">
        <v>39</v>
      </c>
      <c r="Q808" s="55">
        <v>45960</v>
      </c>
      <c r="V808">
        <v>1</v>
      </c>
    </row>
    <row r="809" spans="1:22">
      <c r="A809" s="55">
        <v>45919</v>
      </c>
      <c r="B809" t="s">
        <v>3186</v>
      </c>
      <c r="C809" t="s">
        <v>3187</v>
      </c>
      <c r="D809" t="s">
        <v>202</v>
      </c>
      <c r="E809">
        <v>85345</v>
      </c>
      <c r="F809" t="s">
        <v>3188</v>
      </c>
      <c r="G809" t="s">
        <v>3189</v>
      </c>
      <c r="H809" t="s">
        <v>3190</v>
      </c>
      <c r="I809" t="s">
        <v>126</v>
      </c>
      <c r="J809" t="s">
        <v>37</v>
      </c>
      <c r="K809" t="s">
        <v>37</v>
      </c>
      <c r="L809" t="s">
        <v>38</v>
      </c>
      <c r="M809" t="s">
        <v>37</v>
      </c>
      <c r="N809" t="s">
        <v>37</v>
      </c>
      <c r="O809" t="s">
        <v>38</v>
      </c>
      <c r="P809" t="s">
        <v>39</v>
      </c>
      <c r="Q809" s="55">
        <v>45960</v>
      </c>
      <c r="V809">
        <v>1</v>
      </c>
    </row>
    <row r="810" spans="1:22">
      <c r="A810" s="55">
        <v>45919</v>
      </c>
      <c r="B810" t="s">
        <v>3191</v>
      </c>
      <c r="C810" t="s">
        <v>2454</v>
      </c>
      <c r="D810" t="s">
        <v>3192</v>
      </c>
      <c r="E810">
        <v>85253</v>
      </c>
      <c r="F810" t="s">
        <v>3193</v>
      </c>
      <c r="G810" t="s">
        <v>3189</v>
      </c>
      <c r="H810" t="s">
        <v>3194</v>
      </c>
      <c r="I810" t="s">
        <v>36</v>
      </c>
      <c r="J810" t="s">
        <v>37</v>
      </c>
      <c r="K810" t="s">
        <v>37</v>
      </c>
      <c r="L810" t="s">
        <v>38</v>
      </c>
      <c r="M810" t="s">
        <v>37</v>
      </c>
      <c r="N810" t="s">
        <v>37</v>
      </c>
      <c r="O810" t="s">
        <v>38</v>
      </c>
      <c r="P810" t="s">
        <v>39</v>
      </c>
      <c r="Q810" s="55">
        <v>45960</v>
      </c>
      <c r="V810">
        <v>1</v>
      </c>
    </row>
    <row r="811" spans="1:22">
      <c r="A811" s="55">
        <v>45919</v>
      </c>
      <c r="B811" t="s">
        <v>3195</v>
      </c>
      <c r="C811" t="s">
        <v>312</v>
      </c>
      <c r="D811" t="s">
        <v>448</v>
      </c>
      <c r="E811">
        <v>85361</v>
      </c>
      <c r="F811" t="s">
        <v>3196</v>
      </c>
      <c r="G811" t="s">
        <v>3189</v>
      </c>
      <c r="H811" t="s">
        <v>3197</v>
      </c>
      <c r="I811" t="s">
        <v>73</v>
      </c>
      <c r="J811" t="s">
        <v>37</v>
      </c>
      <c r="K811" t="s">
        <v>37</v>
      </c>
      <c r="L811" t="s">
        <v>38</v>
      </c>
      <c r="M811" t="s">
        <v>37</v>
      </c>
      <c r="N811" t="s">
        <v>37</v>
      </c>
      <c r="O811" t="s">
        <v>38</v>
      </c>
      <c r="P811" t="s">
        <v>39</v>
      </c>
      <c r="Q811" s="55">
        <v>45960</v>
      </c>
      <c r="V811">
        <v>1</v>
      </c>
    </row>
    <row r="812" spans="1:22">
      <c r="A812" s="55">
        <v>45919</v>
      </c>
      <c r="B812" t="s">
        <v>930</v>
      </c>
      <c r="C812" t="s">
        <v>3200</v>
      </c>
      <c r="D812" t="s">
        <v>112</v>
      </c>
      <c r="E812">
        <v>85379</v>
      </c>
      <c r="F812" t="s">
        <v>3201</v>
      </c>
      <c r="G812" t="s">
        <v>3189</v>
      </c>
      <c r="H812" t="s">
        <v>3202</v>
      </c>
      <c r="I812" t="s">
        <v>418</v>
      </c>
      <c r="J812" t="s">
        <v>37</v>
      </c>
      <c r="K812" t="s">
        <v>37</v>
      </c>
      <c r="L812" t="s">
        <v>389</v>
      </c>
      <c r="M812" t="s">
        <v>37</v>
      </c>
      <c r="N812" t="s">
        <v>37</v>
      </c>
      <c r="O812" t="s">
        <v>38</v>
      </c>
      <c r="P812" t="s">
        <v>39</v>
      </c>
      <c r="Q812" s="55">
        <v>45960</v>
      </c>
      <c r="R812" t="s">
        <v>2565</v>
      </c>
      <c r="V812">
        <v>1</v>
      </c>
    </row>
    <row r="813" spans="1:22">
      <c r="A813" s="55">
        <v>45919</v>
      </c>
      <c r="B813" t="s">
        <v>3207</v>
      </c>
      <c r="C813" t="s">
        <v>3208</v>
      </c>
      <c r="D813" t="s">
        <v>63</v>
      </c>
      <c r="E813">
        <v>85027</v>
      </c>
      <c r="F813" t="s">
        <v>3209</v>
      </c>
      <c r="G813" t="s">
        <v>3189</v>
      </c>
      <c r="H813" t="s">
        <v>3210</v>
      </c>
      <c r="I813" t="s">
        <v>418</v>
      </c>
      <c r="J813" t="s">
        <v>37</v>
      </c>
      <c r="K813" t="s">
        <v>37</v>
      </c>
      <c r="L813" t="s">
        <v>389</v>
      </c>
      <c r="M813" t="s">
        <v>37</v>
      </c>
      <c r="N813" t="s">
        <v>37</v>
      </c>
      <c r="O813" t="s">
        <v>38</v>
      </c>
      <c r="P813" t="s">
        <v>39</v>
      </c>
      <c r="Q813" s="55">
        <v>45960</v>
      </c>
      <c r="V813">
        <v>1</v>
      </c>
    </row>
    <row r="814" spans="1:22">
      <c r="A814" s="55">
        <v>45919</v>
      </c>
      <c r="B814" t="s">
        <v>3211</v>
      </c>
      <c r="C814" t="s">
        <v>3212</v>
      </c>
      <c r="D814" t="s">
        <v>202</v>
      </c>
      <c r="E814">
        <v>85382</v>
      </c>
      <c r="F814" t="s">
        <v>3213</v>
      </c>
      <c r="G814" t="s">
        <v>3189</v>
      </c>
      <c r="H814" t="s">
        <v>3214</v>
      </c>
      <c r="I814" t="s">
        <v>250</v>
      </c>
      <c r="J814" t="s">
        <v>37</v>
      </c>
      <c r="K814" t="s">
        <v>37</v>
      </c>
      <c r="L814" t="s">
        <v>38</v>
      </c>
      <c r="M814" t="s">
        <v>37</v>
      </c>
      <c r="N814" t="s">
        <v>37</v>
      </c>
      <c r="O814" t="s">
        <v>38</v>
      </c>
      <c r="P814" t="s">
        <v>39</v>
      </c>
      <c r="Q814" s="55">
        <v>45960</v>
      </c>
      <c r="V814">
        <v>1</v>
      </c>
    </row>
    <row r="815" spans="1:22">
      <c r="A815" s="55">
        <v>45919</v>
      </c>
      <c r="B815" t="s">
        <v>3215</v>
      </c>
      <c r="C815" t="s">
        <v>717</v>
      </c>
      <c r="D815" t="s">
        <v>125</v>
      </c>
      <c r="E815">
        <v>85254</v>
      </c>
      <c r="F815" t="s">
        <v>3216</v>
      </c>
      <c r="G815" t="s">
        <v>3189</v>
      </c>
      <c r="H815" t="s">
        <v>3217</v>
      </c>
      <c r="I815" t="s">
        <v>36</v>
      </c>
      <c r="J815" t="s">
        <v>37</v>
      </c>
      <c r="K815" t="s">
        <v>37</v>
      </c>
      <c r="L815" t="s">
        <v>38</v>
      </c>
      <c r="M815" t="s">
        <v>37</v>
      </c>
      <c r="N815" t="s">
        <v>37</v>
      </c>
      <c r="O815" t="s">
        <v>38</v>
      </c>
      <c r="P815" t="s">
        <v>39</v>
      </c>
      <c r="Q815" s="55">
        <v>45960</v>
      </c>
      <c r="V815">
        <v>1</v>
      </c>
    </row>
    <row r="816" spans="1:22">
      <c r="A816" s="55">
        <v>45919</v>
      </c>
      <c r="B816" t="s">
        <v>3218</v>
      </c>
      <c r="C816" t="s">
        <v>3219</v>
      </c>
      <c r="D816" t="s">
        <v>169</v>
      </c>
      <c r="E816">
        <v>85338</v>
      </c>
      <c r="F816" t="s">
        <v>3220</v>
      </c>
      <c r="G816" t="s">
        <v>3189</v>
      </c>
      <c r="H816" t="s">
        <v>3221</v>
      </c>
      <c r="I816" t="s">
        <v>36</v>
      </c>
      <c r="J816" t="s">
        <v>37</v>
      </c>
      <c r="K816" t="s">
        <v>37</v>
      </c>
      <c r="L816" t="s">
        <v>38</v>
      </c>
      <c r="M816" t="s">
        <v>38</v>
      </c>
      <c r="N816">
        <v>747.64</v>
      </c>
      <c r="O816" t="s">
        <v>38</v>
      </c>
      <c r="Q816" s="55">
        <v>45960</v>
      </c>
      <c r="R816" t="s">
        <v>495</v>
      </c>
      <c r="V816">
        <v>1</v>
      </c>
    </row>
    <row r="817" spans="1:22">
      <c r="A817" s="55">
        <v>45919</v>
      </c>
      <c r="B817" t="s">
        <v>3222</v>
      </c>
      <c r="C817" t="s">
        <v>597</v>
      </c>
      <c r="D817" t="s">
        <v>169</v>
      </c>
      <c r="E817">
        <v>85338</v>
      </c>
      <c r="F817" t="s">
        <v>3169</v>
      </c>
      <c r="G817" t="s">
        <v>3189</v>
      </c>
      <c r="H817" t="s">
        <v>3223</v>
      </c>
      <c r="I817" t="s">
        <v>126</v>
      </c>
      <c r="J817" t="s">
        <v>37</v>
      </c>
      <c r="K817" t="s">
        <v>37</v>
      </c>
      <c r="L817" t="s">
        <v>3224</v>
      </c>
      <c r="M817" t="s">
        <v>37</v>
      </c>
      <c r="N817" t="s">
        <v>37</v>
      </c>
      <c r="O817" t="s">
        <v>38</v>
      </c>
      <c r="P817" t="s">
        <v>39</v>
      </c>
      <c r="Q817" s="55">
        <v>45960</v>
      </c>
      <c r="R817" t="s">
        <v>3225</v>
      </c>
      <c r="V817">
        <v>1</v>
      </c>
    </row>
    <row r="818" spans="1:22">
      <c r="A818" s="55">
        <v>45919</v>
      </c>
      <c r="B818" t="s">
        <v>3228</v>
      </c>
      <c r="C818" t="s">
        <v>334</v>
      </c>
      <c r="D818" t="s">
        <v>30</v>
      </c>
      <c r="E818" t="s">
        <v>30</v>
      </c>
      <c r="F818" t="s">
        <v>3229</v>
      </c>
      <c r="G818" t="s">
        <v>3189</v>
      </c>
      <c r="H818" t="s">
        <v>3230</v>
      </c>
      <c r="I818" t="s">
        <v>418</v>
      </c>
      <c r="J818" t="s">
        <v>37</v>
      </c>
      <c r="K818" t="s">
        <v>37</v>
      </c>
      <c r="L818" t="s">
        <v>389</v>
      </c>
      <c r="M818" t="s">
        <v>37</v>
      </c>
      <c r="N818" t="s">
        <v>37</v>
      </c>
      <c r="O818" t="s">
        <v>38</v>
      </c>
      <c r="P818" t="s">
        <v>39</v>
      </c>
      <c r="Q818" s="55">
        <v>45960</v>
      </c>
      <c r="V818">
        <v>1</v>
      </c>
    </row>
    <row r="819" spans="1:22">
      <c r="A819" s="55">
        <v>45919</v>
      </c>
      <c r="B819" t="s">
        <v>3231</v>
      </c>
      <c r="C819" t="s">
        <v>529</v>
      </c>
      <c r="D819" t="s">
        <v>63</v>
      </c>
      <c r="E819">
        <v>85032</v>
      </c>
      <c r="F819" t="s">
        <v>31</v>
      </c>
      <c r="G819" t="s">
        <v>3189</v>
      </c>
      <c r="H819" t="s">
        <v>3232</v>
      </c>
      <c r="I819" t="s">
        <v>418</v>
      </c>
      <c r="J819" t="s">
        <v>37</v>
      </c>
      <c r="K819" t="s">
        <v>37</v>
      </c>
      <c r="L819" t="s">
        <v>389</v>
      </c>
      <c r="M819" t="s">
        <v>37</v>
      </c>
      <c r="N819" t="s">
        <v>37</v>
      </c>
      <c r="O819" t="s">
        <v>38</v>
      </c>
      <c r="P819" t="s">
        <v>39</v>
      </c>
      <c r="Q819" s="55">
        <v>45960</v>
      </c>
      <c r="V819">
        <v>1</v>
      </c>
    </row>
    <row r="820" spans="1:22">
      <c r="A820" s="55">
        <v>45919</v>
      </c>
      <c r="B820" t="s">
        <v>3233</v>
      </c>
      <c r="C820" t="s">
        <v>611</v>
      </c>
      <c r="D820" t="s">
        <v>63</v>
      </c>
      <c r="E820">
        <v>85022</v>
      </c>
      <c r="F820" t="s">
        <v>3234</v>
      </c>
      <c r="G820" t="s">
        <v>3189</v>
      </c>
      <c r="H820" t="s">
        <v>3235</v>
      </c>
      <c r="I820" t="s">
        <v>36</v>
      </c>
      <c r="J820" t="s">
        <v>37</v>
      </c>
      <c r="K820" t="s">
        <v>37</v>
      </c>
      <c r="L820" t="s">
        <v>38</v>
      </c>
      <c r="M820" t="s">
        <v>37</v>
      </c>
      <c r="N820" t="s">
        <v>37</v>
      </c>
      <c r="O820" t="s">
        <v>38</v>
      </c>
      <c r="P820" t="s">
        <v>39</v>
      </c>
      <c r="Q820" s="55">
        <v>45960</v>
      </c>
      <c r="V820">
        <v>1</v>
      </c>
    </row>
    <row r="821" spans="1:22">
      <c r="A821" s="55">
        <v>45919</v>
      </c>
      <c r="B821" t="s">
        <v>3236</v>
      </c>
      <c r="C821" t="s">
        <v>3237</v>
      </c>
      <c r="D821" t="s">
        <v>816</v>
      </c>
      <c r="E821">
        <v>86303</v>
      </c>
      <c r="F821" t="s">
        <v>3238</v>
      </c>
      <c r="G821" t="s">
        <v>3189</v>
      </c>
      <c r="H821" t="s">
        <v>3239</v>
      </c>
      <c r="I821" t="s">
        <v>126</v>
      </c>
      <c r="J821" t="s">
        <v>37</v>
      </c>
      <c r="K821" t="s">
        <v>37</v>
      </c>
      <c r="L821" t="s">
        <v>38</v>
      </c>
      <c r="M821" t="s">
        <v>37</v>
      </c>
      <c r="N821" t="s">
        <v>37</v>
      </c>
      <c r="O821" t="s">
        <v>38</v>
      </c>
      <c r="P821" t="s">
        <v>39</v>
      </c>
      <c r="Q821" s="55">
        <v>45960</v>
      </c>
      <c r="V821">
        <v>1</v>
      </c>
    </row>
    <row r="822" spans="1:22">
      <c r="A822" s="55">
        <v>45919</v>
      </c>
      <c r="B822" t="s">
        <v>3241</v>
      </c>
      <c r="C822" t="s">
        <v>1423</v>
      </c>
      <c r="D822" t="s">
        <v>125</v>
      </c>
      <c r="E822">
        <v>85260</v>
      </c>
      <c r="F822" t="s">
        <v>3242</v>
      </c>
      <c r="G822" t="s">
        <v>2563</v>
      </c>
      <c r="H822" t="s">
        <v>3243</v>
      </c>
      <c r="I822" t="s">
        <v>36</v>
      </c>
      <c r="J822" t="s">
        <v>37</v>
      </c>
      <c r="K822" t="s">
        <v>37</v>
      </c>
      <c r="L822" t="s">
        <v>1586</v>
      </c>
      <c r="M822" t="s">
        <v>37</v>
      </c>
      <c r="N822" t="s">
        <v>37</v>
      </c>
      <c r="O822" t="s">
        <v>38</v>
      </c>
      <c r="P822" t="s">
        <v>39</v>
      </c>
      <c r="Q822" s="55">
        <v>45960</v>
      </c>
      <c r="V822">
        <v>1</v>
      </c>
    </row>
    <row r="823" spans="1:22">
      <c r="A823" s="55">
        <v>45919</v>
      </c>
      <c r="B823" t="s">
        <v>3244</v>
      </c>
      <c r="C823" t="s">
        <v>3245</v>
      </c>
      <c r="D823" t="s">
        <v>63</v>
      </c>
      <c r="E823">
        <v>85013</v>
      </c>
      <c r="F823" t="s">
        <v>3246</v>
      </c>
      <c r="G823" t="s">
        <v>2563</v>
      </c>
      <c r="H823" t="s">
        <v>3247</v>
      </c>
      <c r="I823" t="s">
        <v>36</v>
      </c>
      <c r="J823" t="s">
        <v>37</v>
      </c>
      <c r="K823" t="s">
        <v>37</v>
      </c>
      <c r="L823" t="s">
        <v>1586</v>
      </c>
      <c r="M823" t="s">
        <v>37</v>
      </c>
      <c r="N823" t="s">
        <v>37</v>
      </c>
      <c r="O823" t="s">
        <v>38</v>
      </c>
      <c r="P823" t="s">
        <v>39</v>
      </c>
      <c r="Q823" s="55">
        <v>45960</v>
      </c>
      <c r="R823" t="s">
        <v>3248</v>
      </c>
      <c r="V823">
        <v>1</v>
      </c>
    </row>
    <row r="824" spans="1:22">
      <c r="A824" s="55">
        <v>45919</v>
      </c>
      <c r="B824" t="s">
        <v>2561</v>
      </c>
      <c r="C824" t="s">
        <v>2562</v>
      </c>
      <c r="D824" t="s">
        <v>112</v>
      </c>
      <c r="E824">
        <v>85388</v>
      </c>
      <c r="F824" t="s">
        <v>310</v>
      </c>
      <c r="G824" t="s">
        <v>2563</v>
      </c>
      <c r="H824" t="s">
        <v>2564</v>
      </c>
      <c r="I824" t="s">
        <v>46</v>
      </c>
      <c r="J824" t="s">
        <v>37</v>
      </c>
      <c r="K824" t="s">
        <v>37</v>
      </c>
      <c r="L824" t="s">
        <v>1586</v>
      </c>
      <c r="M824" t="s">
        <v>37</v>
      </c>
      <c r="N824" t="s">
        <v>37</v>
      </c>
      <c r="O824" t="s">
        <v>38</v>
      </c>
      <c r="P824" t="s">
        <v>39</v>
      </c>
      <c r="Q824" s="55">
        <v>45960</v>
      </c>
      <c r="V824">
        <v>1</v>
      </c>
    </row>
    <row r="825" spans="1:22">
      <c r="A825" s="55">
        <v>45919</v>
      </c>
      <c r="B825" t="s">
        <v>3252</v>
      </c>
      <c r="C825" t="s">
        <v>1354</v>
      </c>
      <c r="D825" t="s">
        <v>112</v>
      </c>
      <c r="E825">
        <v>85374</v>
      </c>
      <c r="F825" t="s">
        <v>3253</v>
      </c>
      <c r="G825" t="s">
        <v>2563</v>
      </c>
      <c r="H825" t="s">
        <v>3254</v>
      </c>
      <c r="I825" t="s">
        <v>36</v>
      </c>
      <c r="J825" t="s">
        <v>37</v>
      </c>
      <c r="K825" t="s">
        <v>37</v>
      </c>
      <c r="L825" t="s">
        <v>1586</v>
      </c>
      <c r="M825" t="s">
        <v>37</v>
      </c>
      <c r="N825" t="s">
        <v>37</v>
      </c>
      <c r="O825" t="s">
        <v>38</v>
      </c>
      <c r="P825" t="s">
        <v>39</v>
      </c>
      <c r="Q825" s="55">
        <v>45960</v>
      </c>
      <c r="V825">
        <v>1</v>
      </c>
    </row>
    <row r="826" spans="1:22">
      <c r="A826" s="55">
        <v>45921</v>
      </c>
      <c r="B826" t="s">
        <v>3258</v>
      </c>
      <c r="C826" t="s">
        <v>194</v>
      </c>
      <c r="D826" t="s">
        <v>635</v>
      </c>
      <c r="E826">
        <v>85281</v>
      </c>
      <c r="F826" t="s">
        <v>3259</v>
      </c>
      <c r="G826" t="s">
        <v>2563</v>
      </c>
      <c r="H826" t="s">
        <v>3260</v>
      </c>
      <c r="I826" t="s">
        <v>36</v>
      </c>
      <c r="J826" t="s">
        <v>37</v>
      </c>
      <c r="K826" t="s">
        <v>37</v>
      </c>
      <c r="L826" t="s">
        <v>401</v>
      </c>
      <c r="M826" t="s">
        <v>37</v>
      </c>
      <c r="N826" t="s">
        <v>37</v>
      </c>
      <c r="O826" t="s">
        <v>38</v>
      </c>
      <c r="P826" t="s">
        <v>39</v>
      </c>
      <c r="Q826" s="55">
        <v>45960</v>
      </c>
      <c r="V826">
        <v>1</v>
      </c>
    </row>
    <row r="827" spans="1:22">
      <c r="A827" s="55">
        <v>45922</v>
      </c>
      <c r="B827" t="s">
        <v>3265</v>
      </c>
      <c r="C827" t="s">
        <v>548</v>
      </c>
      <c r="D827" t="s">
        <v>129</v>
      </c>
      <c r="E827">
        <v>85296</v>
      </c>
      <c r="F827" t="s">
        <v>3266</v>
      </c>
      <c r="G827" t="s">
        <v>2563</v>
      </c>
      <c r="H827" t="s">
        <v>3267</v>
      </c>
      <c r="I827" t="s">
        <v>36</v>
      </c>
      <c r="J827" t="s">
        <v>37</v>
      </c>
      <c r="K827" t="s">
        <v>37</v>
      </c>
      <c r="L827" t="s">
        <v>1586</v>
      </c>
      <c r="M827" t="s">
        <v>38</v>
      </c>
      <c r="N827">
        <v>507.13</v>
      </c>
      <c r="O827" t="s">
        <v>38</v>
      </c>
      <c r="Q827" s="55">
        <v>45960</v>
      </c>
      <c r="R827" t="s">
        <v>495</v>
      </c>
      <c r="V827">
        <v>1</v>
      </c>
    </row>
    <row r="828" spans="1:22">
      <c r="A828" s="55">
        <v>45922</v>
      </c>
      <c r="B828" t="s">
        <v>3268</v>
      </c>
      <c r="C828" t="s">
        <v>611</v>
      </c>
      <c r="D828" t="s">
        <v>63</v>
      </c>
      <c r="E828">
        <v>85023</v>
      </c>
      <c r="F828" t="s">
        <v>3269</v>
      </c>
      <c r="G828" t="s">
        <v>2563</v>
      </c>
      <c r="H828" t="s">
        <v>3270</v>
      </c>
      <c r="I828" t="s">
        <v>36</v>
      </c>
      <c r="J828" t="s">
        <v>38</v>
      </c>
      <c r="K828" t="s">
        <v>37</v>
      </c>
      <c r="L828" t="s">
        <v>401</v>
      </c>
      <c r="M828" t="s">
        <v>37</v>
      </c>
      <c r="N828" t="s">
        <v>37</v>
      </c>
      <c r="O828" t="s">
        <v>38</v>
      </c>
      <c r="P828" t="s">
        <v>39</v>
      </c>
      <c r="Q828" s="55">
        <v>45960</v>
      </c>
      <c r="V828">
        <v>1</v>
      </c>
    </row>
    <row r="829" spans="1:22">
      <c r="A829" s="55">
        <v>45922</v>
      </c>
      <c r="B829" t="s">
        <v>3272</v>
      </c>
      <c r="C829" t="s">
        <v>3273</v>
      </c>
      <c r="D829" t="s">
        <v>30</v>
      </c>
      <c r="E829" t="s">
        <v>30</v>
      </c>
      <c r="F829" t="s">
        <v>3274</v>
      </c>
      <c r="G829" t="s">
        <v>2563</v>
      </c>
      <c r="H829" t="s">
        <v>3275</v>
      </c>
      <c r="I829" t="s">
        <v>36</v>
      </c>
      <c r="J829" t="s">
        <v>37</v>
      </c>
      <c r="K829" t="s">
        <v>37</v>
      </c>
      <c r="L829" t="s">
        <v>1586</v>
      </c>
      <c r="M829" t="s">
        <v>37</v>
      </c>
      <c r="N829" t="s">
        <v>37</v>
      </c>
      <c r="O829" t="s">
        <v>38</v>
      </c>
      <c r="P829" t="s">
        <v>39</v>
      </c>
      <c r="Q829" s="55">
        <v>45960</v>
      </c>
      <c r="V829">
        <v>1</v>
      </c>
    </row>
    <row r="830" spans="1:22">
      <c r="A830" s="55">
        <v>45919</v>
      </c>
      <c r="B830" t="s">
        <v>3276</v>
      </c>
      <c r="C830" t="s">
        <v>838</v>
      </c>
      <c r="D830" t="s">
        <v>85</v>
      </c>
      <c r="E830">
        <v>86323</v>
      </c>
      <c r="F830" t="s">
        <v>3277</v>
      </c>
      <c r="G830" t="s">
        <v>2563</v>
      </c>
      <c r="H830" t="s">
        <v>3278</v>
      </c>
      <c r="I830" t="s">
        <v>73</v>
      </c>
      <c r="J830" t="s">
        <v>37</v>
      </c>
      <c r="K830" t="s">
        <v>37</v>
      </c>
      <c r="L830" t="s">
        <v>1586</v>
      </c>
      <c r="M830" t="s">
        <v>37</v>
      </c>
      <c r="N830" t="s">
        <v>37</v>
      </c>
      <c r="O830" t="s">
        <v>38</v>
      </c>
      <c r="P830" t="s">
        <v>39</v>
      </c>
      <c r="Q830" s="55">
        <v>45960</v>
      </c>
      <c r="V830">
        <v>1</v>
      </c>
    </row>
    <row r="831" spans="1:22">
      <c r="A831" s="55">
        <v>45922</v>
      </c>
      <c r="B831" t="s">
        <v>2447</v>
      </c>
      <c r="C831" t="s">
        <v>3279</v>
      </c>
      <c r="D831" t="s">
        <v>63</v>
      </c>
      <c r="E831">
        <v>85012</v>
      </c>
      <c r="F831" t="s">
        <v>3280</v>
      </c>
      <c r="G831" t="s">
        <v>3281</v>
      </c>
      <c r="H831">
        <v>9503447476</v>
      </c>
      <c r="I831" t="s">
        <v>36</v>
      </c>
      <c r="J831" t="s">
        <v>37</v>
      </c>
      <c r="K831" t="s">
        <v>37</v>
      </c>
      <c r="L831" t="s">
        <v>3282</v>
      </c>
      <c r="M831" t="s">
        <v>37</v>
      </c>
      <c r="N831" t="s">
        <v>37</v>
      </c>
      <c r="O831" t="s">
        <v>38</v>
      </c>
      <c r="P831">
        <v>45940</v>
      </c>
      <c r="Q831" s="55">
        <v>45960</v>
      </c>
      <c r="R831" t="s">
        <v>3283</v>
      </c>
      <c r="V831">
        <v>1</v>
      </c>
    </row>
    <row r="832" spans="1:22">
      <c r="A832" s="55">
        <v>45922</v>
      </c>
      <c r="B832" t="s">
        <v>3288</v>
      </c>
      <c r="C832" t="s">
        <v>199</v>
      </c>
      <c r="D832" t="s">
        <v>174</v>
      </c>
      <c r="E832">
        <v>85326</v>
      </c>
      <c r="F832" t="s">
        <v>310</v>
      </c>
      <c r="G832" t="s">
        <v>3281</v>
      </c>
      <c r="H832" t="s">
        <v>3289</v>
      </c>
      <c r="I832" t="s">
        <v>36</v>
      </c>
      <c r="J832" t="s">
        <v>37</v>
      </c>
      <c r="K832" t="s">
        <v>37</v>
      </c>
      <c r="L832" t="s">
        <v>1586</v>
      </c>
      <c r="M832" t="s">
        <v>37</v>
      </c>
      <c r="N832" t="s">
        <v>37</v>
      </c>
      <c r="O832" t="s">
        <v>38</v>
      </c>
      <c r="P832" t="s">
        <v>39</v>
      </c>
      <c r="Q832" s="55">
        <v>45960</v>
      </c>
      <c r="V832">
        <v>1</v>
      </c>
    </row>
    <row r="833" spans="1:22">
      <c r="A833" s="55">
        <v>45922</v>
      </c>
      <c r="B833" t="s">
        <v>3290</v>
      </c>
      <c r="C833" t="s">
        <v>3291</v>
      </c>
      <c r="D833" t="s">
        <v>240</v>
      </c>
      <c r="E833">
        <v>85340</v>
      </c>
      <c r="F833" t="s">
        <v>3292</v>
      </c>
      <c r="G833" t="s">
        <v>3281</v>
      </c>
      <c r="H833" t="s">
        <v>3293</v>
      </c>
      <c r="I833" t="s">
        <v>36</v>
      </c>
      <c r="J833" t="s">
        <v>37</v>
      </c>
      <c r="K833" t="s">
        <v>37</v>
      </c>
      <c r="L833" t="s">
        <v>1586</v>
      </c>
      <c r="M833" t="s">
        <v>37</v>
      </c>
      <c r="N833" t="s">
        <v>37</v>
      </c>
      <c r="O833" t="s">
        <v>38</v>
      </c>
      <c r="P833" t="s">
        <v>39</v>
      </c>
      <c r="Q833" s="55">
        <v>45960</v>
      </c>
      <c r="V833">
        <v>1</v>
      </c>
    </row>
    <row r="834" spans="1:22">
      <c r="A834" s="55">
        <v>45922</v>
      </c>
      <c r="B834" t="s">
        <v>269</v>
      </c>
      <c r="C834" t="s">
        <v>2907</v>
      </c>
      <c r="D834" t="s">
        <v>202</v>
      </c>
      <c r="E834">
        <v>85383</v>
      </c>
      <c r="F834" t="s">
        <v>3294</v>
      </c>
      <c r="G834" t="s">
        <v>3281</v>
      </c>
      <c r="H834" t="s">
        <v>3295</v>
      </c>
      <c r="I834" t="s">
        <v>196</v>
      </c>
      <c r="J834" t="s">
        <v>37</v>
      </c>
      <c r="K834" t="s">
        <v>37</v>
      </c>
      <c r="L834" t="s">
        <v>3296</v>
      </c>
      <c r="M834" t="s">
        <v>37</v>
      </c>
      <c r="N834" t="s">
        <v>37</v>
      </c>
      <c r="O834" t="s">
        <v>38</v>
      </c>
      <c r="P834" t="s">
        <v>39</v>
      </c>
      <c r="Q834" s="55">
        <v>45960</v>
      </c>
      <c r="V834">
        <v>1</v>
      </c>
    </row>
    <row r="835" spans="1:22">
      <c r="A835" s="55">
        <v>45922</v>
      </c>
      <c r="B835" t="s">
        <v>3297</v>
      </c>
      <c r="C835" t="s">
        <v>3273</v>
      </c>
      <c r="D835" t="s">
        <v>125</v>
      </c>
      <c r="E835">
        <v>85254</v>
      </c>
      <c r="F835" t="s">
        <v>310</v>
      </c>
      <c r="G835" t="s">
        <v>3281</v>
      </c>
      <c r="H835" t="s">
        <v>3298</v>
      </c>
      <c r="I835" t="s">
        <v>196</v>
      </c>
      <c r="J835" t="s">
        <v>37</v>
      </c>
      <c r="K835" t="s">
        <v>37</v>
      </c>
      <c r="L835" t="s">
        <v>3299</v>
      </c>
      <c r="M835" t="s">
        <v>37</v>
      </c>
      <c r="N835" t="s">
        <v>37</v>
      </c>
      <c r="O835" t="s">
        <v>38</v>
      </c>
      <c r="P835" t="s">
        <v>39</v>
      </c>
      <c r="Q835" s="55">
        <v>45960</v>
      </c>
      <c r="V835">
        <v>1</v>
      </c>
    </row>
    <row r="836" spans="1:22">
      <c r="A836" s="55">
        <v>45922</v>
      </c>
      <c r="B836" t="s">
        <v>3300</v>
      </c>
      <c r="C836" t="s">
        <v>2149</v>
      </c>
      <c r="D836" t="s">
        <v>174</v>
      </c>
      <c r="E836">
        <v>85326</v>
      </c>
      <c r="F836" t="s">
        <v>3301</v>
      </c>
      <c r="G836" t="s">
        <v>3281</v>
      </c>
      <c r="H836" t="s">
        <v>3302</v>
      </c>
      <c r="I836" t="s">
        <v>46</v>
      </c>
      <c r="J836" t="s">
        <v>37</v>
      </c>
      <c r="K836" t="s">
        <v>37</v>
      </c>
      <c r="L836" t="s">
        <v>3303</v>
      </c>
      <c r="M836" t="s">
        <v>38</v>
      </c>
      <c r="N836">
        <v>333.26</v>
      </c>
      <c r="O836" t="s">
        <v>38</v>
      </c>
      <c r="P836">
        <v>45940</v>
      </c>
      <c r="Q836" s="55">
        <v>45960</v>
      </c>
      <c r="R836" t="s">
        <v>3152</v>
      </c>
      <c r="V836">
        <v>1</v>
      </c>
    </row>
    <row r="837" spans="1:22">
      <c r="A837" s="55">
        <v>45922</v>
      </c>
      <c r="B837" t="s">
        <v>3304</v>
      </c>
      <c r="C837" t="s">
        <v>1268</v>
      </c>
      <c r="D837" t="s">
        <v>2109</v>
      </c>
      <c r="E837">
        <v>86327</v>
      </c>
      <c r="F837" t="s">
        <v>3305</v>
      </c>
      <c r="G837" t="s">
        <v>3281</v>
      </c>
      <c r="H837" t="s">
        <v>3306</v>
      </c>
      <c r="I837" t="s">
        <v>46</v>
      </c>
      <c r="J837" t="s">
        <v>37</v>
      </c>
      <c r="K837" t="s">
        <v>37</v>
      </c>
      <c r="L837" t="s">
        <v>1586</v>
      </c>
      <c r="M837" t="s">
        <v>37</v>
      </c>
      <c r="N837" t="s">
        <v>37</v>
      </c>
      <c r="O837" t="s">
        <v>38</v>
      </c>
      <c r="P837" t="s">
        <v>39</v>
      </c>
      <c r="Q837" s="55">
        <v>45960</v>
      </c>
      <c r="V837">
        <v>1</v>
      </c>
    </row>
    <row r="838" spans="1:22">
      <c r="A838" s="55">
        <v>45922</v>
      </c>
      <c r="B838" t="s">
        <v>3309</v>
      </c>
      <c r="C838" t="s">
        <v>3310</v>
      </c>
      <c r="D838" t="s">
        <v>112</v>
      </c>
      <c r="E838">
        <v>85379</v>
      </c>
      <c r="F838" t="s">
        <v>3311</v>
      </c>
      <c r="G838" t="s">
        <v>3281</v>
      </c>
      <c r="H838">
        <v>5392330000</v>
      </c>
      <c r="I838" t="s">
        <v>250</v>
      </c>
      <c r="J838" t="s">
        <v>37</v>
      </c>
      <c r="K838" t="s">
        <v>37</v>
      </c>
      <c r="L838" t="s">
        <v>38</v>
      </c>
      <c r="M838" t="s">
        <v>38</v>
      </c>
      <c r="N838">
        <v>309.36</v>
      </c>
      <c r="O838" t="s">
        <v>38</v>
      </c>
      <c r="P838" t="s">
        <v>39</v>
      </c>
      <c r="Q838" s="55">
        <v>45960</v>
      </c>
      <c r="V838">
        <v>1</v>
      </c>
    </row>
    <row r="839" spans="1:22">
      <c r="A839" s="55">
        <v>45922</v>
      </c>
      <c r="B839" t="s">
        <v>2626</v>
      </c>
      <c r="C839" t="s">
        <v>117</v>
      </c>
      <c r="D839" t="s">
        <v>816</v>
      </c>
      <c r="E839">
        <v>86303</v>
      </c>
      <c r="F839" t="s">
        <v>3312</v>
      </c>
      <c r="G839" t="s">
        <v>3281</v>
      </c>
      <c r="H839" t="s">
        <v>3313</v>
      </c>
      <c r="I839" t="s">
        <v>73</v>
      </c>
      <c r="J839" t="s">
        <v>37</v>
      </c>
      <c r="K839" t="s">
        <v>37</v>
      </c>
      <c r="L839" t="s">
        <v>38</v>
      </c>
      <c r="M839" t="s">
        <v>37</v>
      </c>
      <c r="N839" t="s">
        <v>37</v>
      </c>
      <c r="O839" t="s">
        <v>38</v>
      </c>
      <c r="P839" t="s">
        <v>39</v>
      </c>
      <c r="Q839" s="55">
        <v>45960</v>
      </c>
      <c r="V839">
        <v>1</v>
      </c>
    </row>
    <row r="840" spans="1:22">
      <c r="A840" s="55">
        <v>45922</v>
      </c>
      <c r="B840" t="s">
        <v>3314</v>
      </c>
      <c r="C840" t="s">
        <v>1306</v>
      </c>
      <c r="D840" t="s">
        <v>174</v>
      </c>
      <c r="E840">
        <v>85326</v>
      </c>
      <c r="F840" t="s">
        <v>3315</v>
      </c>
      <c r="G840" t="s">
        <v>3281</v>
      </c>
      <c r="H840" t="s">
        <v>3316</v>
      </c>
      <c r="I840" t="s">
        <v>36</v>
      </c>
      <c r="J840" t="s">
        <v>37</v>
      </c>
      <c r="K840" t="s">
        <v>37</v>
      </c>
      <c r="L840" t="s">
        <v>38</v>
      </c>
      <c r="M840" t="s">
        <v>38</v>
      </c>
      <c r="N840">
        <v>1027.99</v>
      </c>
      <c r="O840" t="s">
        <v>38</v>
      </c>
      <c r="Q840" s="55">
        <v>45960</v>
      </c>
      <c r="R840" t="s">
        <v>495</v>
      </c>
      <c r="V840">
        <v>1</v>
      </c>
    </row>
    <row r="841" spans="1:22">
      <c r="A841" s="55">
        <v>45922</v>
      </c>
      <c r="B841" t="s">
        <v>3320</v>
      </c>
      <c r="C841" t="s">
        <v>3321</v>
      </c>
      <c r="D841" t="s">
        <v>112</v>
      </c>
      <c r="E841">
        <v>85387</v>
      </c>
      <c r="F841" t="s">
        <v>3322</v>
      </c>
      <c r="G841" t="s">
        <v>3281</v>
      </c>
      <c r="H841" t="s">
        <v>3323</v>
      </c>
      <c r="I841" t="s">
        <v>36</v>
      </c>
      <c r="J841" t="s">
        <v>37</v>
      </c>
      <c r="K841" t="s">
        <v>37</v>
      </c>
      <c r="L841" t="s">
        <v>38</v>
      </c>
      <c r="M841" t="s">
        <v>37</v>
      </c>
      <c r="N841" t="s">
        <v>37</v>
      </c>
      <c r="O841" t="s">
        <v>38</v>
      </c>
      <c r="P841" t="s">
        <v>39</v>
      </c>
      <c r="Q841" s="55">
        <v>45960</v>
      </c>
      <c r="V841">
        <v>1</v>
      </c>
    </row>
    <row r="842" spans="1:22">
      <c r="A842" s="55">
        <v>45922</v>
      </c>
      <c r="B842" t="s">
        <v>3327</v>
      </c>
      <c r="C842" t="s">
        <v>3328</v>
      </c>
      <c r="D842" t="s">
        <v>174</v>
      </c>
      <c r="E842">
        <v>85326</v>
      </c>
      <c r="F842" t="s">
        <v>3322</v>
      </c>
      <c r="G842" t="s">
        <v>3326</v>
      </c>
      <c r="H842" t="s">
        <v>3329</v>
      </c>
      <c r="I842" t="s">
        <v>36</v>
      </c>
      <c r="J842" t="s">
        <v>38</v>
      </c>
      <c r="K842" t="s">
        <v>37</v>
      </c>
      <c r="L842" t="s">
        <v>38</v>
      </c>
      <c r="M842" t="s">
        <v>38</v>
      </c>
      <c r="N842">
        <v>771.64</v>
      </c>
      <c r="O842" t="s">
        <v>38</v>
      </c>
      <c r="Q842" s="55">
        <v>45960</v>
      </c>
      <c r="R842" t="s">
        <v>495</v>
      </c>
      <c r="V842">
        <v>1</v>
      </c>
    </row>
    <row r="843" spans="1:22">
      <c r="A843" s="55">
        <v>45922</v>
      </c>
      <c r="B843" t="s">
        <v>3330</v>
      </c>
      <c r="C843" t="s">
        <v>3331</v>
      </c>
      <c r="D843" t="s">
        <v>63</v>
      </c>
      <c r="E843">
        <v>85022</v>
      </c>
      <c r="F843" t="s">
        <v>3332</v>
      </c>
      <c r="G843" t="s">
        <v>3333</v>
      </c>
      <c r="H843" t="s">
        <v>3334</v>
      </c>
      <c r="I843" t="s">
        <v>126</v>
      </c>
      <c r="J843" t="s">
        <v>38</v>
      </c>
      <c r="K843" t="s">
        <v>37</v>
      </c>
      <c r="L843" t="s">
        <v>38</v>
      </c>
      <c r="M843" t="s">
        <v>37</v>
      </c>
      <c r="N843" t="s">
        <v>37</v>
      </c>
      <c r="O843" t="s">
        <v>38</v>
      </c>
      <c r="P843" t="s">
        <v>39</v>
      </c>
      <c r="Q843" s="55">
        <v>45960</v>
      </c>
      <c r="V843">
        <v>1</v>
      </c>
    </row>
    <row r="844" spans="1:22">
      <c r="A844" s="55">
        <v>45923</v>
      </c>
      <c r="B844" t="s">
        <v>3335</v>
      </c>
      <c r="C844" t="s">
        <v>3336</v>
      </c>
      <c r="D844" t="s">
        <v>174</v>
      </c>
      <c r="E844">
        <v>85326</v>
      </c>
      <c r="F844" t="s">
        <v>3337</v>
      </c>
      <c r="G844" t="s">
        <v>3326</v>
      </c>
      <c r="H844" t="s">
        <v>3338</v>
      </c>
      <c r="I844" t="s">
        <v>196</v>
      </c>
      <c r="J844" t="s">
        <v>37</v>
      </c>
      <c r="K844" t="s">
        <v>37</v>
      </c>
      <c r="L844" t="s">
        <v>3339</v>
      </c>
      <c r="M844" t="s">
        <v>37</v>
      </c>
      <c r="N844" t="s">
        <v>37</v>
      </c>
      <c r="O844" t="s">
        <v>38</v>
      </c>
      <c r="P844">
        <v>45940</v>
      </c>
      <c r="Q844" s="55">
        <v>45960</v>
      </c>
      <c r="R844" t="s">
        <v>3340</v>
      </c>
      <c r="V844">
        <v>1</v>
      </c>
    </row>
    <row r="845" spans="1:22">
      <c r="A845" s="55">
        <v>45923</v>
      </c>
      <c r="B845" t="s">
        <v>3341</v>
      </c>
      <c r="C845" t="s">
        <v>284</v>
      </c>
      <c r="D845" t="s">
        <v>174</v>
      </c>
      <c r="E845">
        <v>85326</v>
      </c>
      <c r="F845" t="s">
        <v>3342</v>
      </c>
      <c r="G845" t="s">
        <v>3326</v>
      </c>
      <c r="H845" t="s">
        <v>3343</v>
      </c>
      <c r="I845" t="s">
        <v>46</v>
      </c>
      <c r="J845" t="s">
        <v>37</v>
      </c>
      <c r="K845" t="s">
        <v>37</v>
      </c>
      <c r="L845" t="s">
        <v>38</v>
      </c>
      <c r="M845" t="s">
        <v>37</v>
      </c>
      <c r="N845" t="s">
        <v>37</v>
      </c>
      <c r="O845" t="s">
        <v>38</v>
      </c>
      <c r="P845" t="s">
        <v>39</v>
      </c>
      <c r="Q845" s="55">
        <v>45960</v>
      </c>
      <c r="V845">
        <v>1</v>
      </c>
    </row>
    <row r="846" spans="1:22">
      <c r="A846" s="55">
        <v>45923</v>
      </c>
      <c r="B846" t="s">
        <v>3346</v>
      </c>
      <c r="C846" t="s">
        <v>3347</v>
      </c>
      <c r="D846" t="s">
        <v>63</v>
      </c>
      <c r="E846">
        <v>85022</v>
      </c>
      <c r="F846" t="s">
        <v>3348</v>
      </c>
      <c r="G846" t="s">
        <v>3326</v>
      </c>
      <c r="H846" t="s">
        <v>3349</v>
      </c>
      <c r="I846" t="s">
        <v>36</v>
      </c>
      <c r="J846" t="s">
        <v>37</v>
      </c>
      <c r="K846" t="s">
        <v>37</v>
      </c>
      <c r="L846" t="s">
        <v>38</v>
      </c>
      <c r="M846" t="s">
        <v>38</v>
      </c>
      <c r="N846">
        <v>1080.4000000000001</v>
      </c>
      <c r="O846" t="s">
        <v>38</v>
      </c>
      <c r="Q846" s="55">
        <v>45960</v>
      </c>
      <c r="R846" t="s">
        <v>495</v>
      </c>
      <c r="V846">
        <v>1</v>
      </c>
    </row>
    <row r="847" spans="1:22">
      <c r="A847" s="55">
        <v>45923</v>
      </c>
      <c r="B847" t="s">
        <v>930</v>
      </c>
      <c r="C847" t="s">
        <v>263</v>
      </c>
      <c r="D847" t="s">
        <v>240</v>
      </c>
      <c r="E847">
        <v>85340</v>
      </c>
      <c r="F847" t="s">
        <v>3354</v>
      </c>
      <c r="G847" t="s">
        <v>3326</v>
      </c>
      <c r="H847" t="s">
        <v>3355</v>
      </c>
      <c r="I847" t="s">
        <v>36</v>
      </c>
      <c r="J847" t="s">
        <v>37</v>
      </c>
      <c r="K847" t="s">
        <v>37</v>
      </c>
      <c r="L847" t="s">
        <v>38</v>
      </c>
      <c r="M847" t="s">
        <v>37</v>
      </c>
      <c r="N847" t="s">
        <v>37</v>
      </c>
      <c r="O847" t="s">
        <v>38</v>
      </c>
      <c r="P847" t="s">
        <v>39</v>
      </c>
      <c r="Q847" s="55">
        <v>45960</v>
      </c>
      <c r="V847">
        <v>1</v>
      </c>
    </row>
    <row r="848" spans="1:22">
      <c r="A848" s="55">
        <v>45924</v>
      </c>
      <c r="B848" t="s">
        <v>3244</v>
      </c>
      <c r="C848" t="s">
        <v>3245</v>
      </c>
      <c r="D848" t="s">
        <v>63</v>
      </c>
      <c r="E848">
        <v>85013</v>
      </c>
      <c r="F848" t="s">
        <v>3356</v>
      </c>
      <c r="G848" t="s">
        <v>3357</v>
      </c>
      <c r="H848" t="s">
        <v>3358</v>
      </c>
      <c r="I848" t="s">
        <v>36</v>
      </c>
      <c r="J848" t="s">
        <v>37</v>
      </c>
      <c r="K848" t="s">
        <v>37</v>
      </c>
      <c r="L848" t="s">
        <v>38</v>
      </c>
      <c r="M848" t="s">
        <v>37</v>
      </c>
      <c r="N848" t="s">
        <v>37</v>
      </c>
      <c r="O848" t="s">
        <v>38</v>
      </c>
      <c r="P848" t="s">
        <v>39</v>
      </c>
      <c r="Q848" s="55">
        <v>45960</v>
      </c>
      <c r="R848" t="s">
        <v>2565</v>
      </c>
      <c r="V848">
        <v>1</v>
      </c>
    </row>
    <row r="849" spans="1:22">
      <c r="A849" s="55">
        <v>44098</v>
      </c>
      <c r="B849" t="s">
        <v>3359</v>
      </c>
      <c r="C849" t="s">
        <v>3360</v>
      </c>
      <c r="D849" t="s">
        <v>3361</v>
      </c>
      <c r="E849">
        <v>86322</v>
      </c>
      <c r="F849" t="s">
        <v>3362</v>
      </c>
      <c r="G849" t="s">
        <v>3357</v>
      </c>
      <c r="H849" t="s">
        <v>3363</v>
      </c>
      <c r="I849" t="s">
        <v>57</v>
      </c>
      <c r="J849" t="s">
        <v>37</v>
      </c>
      <c r="K849" t="s">
        <v>37</v>
      </c>
      <c r="L849" t="s">
        <v>3364</v>
      </c>
      <c r="M849" t="s">
        <v>37</v>
      </c>
      <c r="N849" t="s">
        <v>37</v>
      </c>
      <c r="O849" t="s">
        <v>38</v>
      </c>
      <c r="P849">
        <v>45940</v>
      </c>
      <c r="Q849" s="55">
        <v>45960</v>
      </c>
      <c r="R849" t="s">
        <v>3152</v>
      </c>
      <c r="V849">
        <v>1</v>
      </c>
    </row>
    <row r="850" spans="1:22">
      <c r="A850" s="55">
        <v>45925</v>
      </c>
      <c r="B850" t="s">
        <v>3367</v>
      </c>
      <c r="C850" t="s">
        <v>135</v>
      </c>
      <c r="D850" t="s">
        <v>264</v>
      </c>
      <c r="E850">
        <v>85541</v>
      </c>
      <c r="F850" t="s">
        <v>3368</v>
      </c>
      <c r="G850" t="s">
        <v>3357</v>
      </c>
      <c r="H850" t="s">
        <v>3369</v>
      </c>
      <c r="I850" t="s">
        <v>73</v>
      </c>
      <c r="J850" t="s">
        <v>37</v>
      </c>
      <c r="K850" t="s">
        <v>37</v>
      </c>
      <c r="L850" t="s">
        <v>38</v>
      </c>
      <c r="M850" t="s">
        <v>37</v>
      </c>
      <c r="N850" t="s">
        <v>37</v>
      </c>
      <c r="O850" t="s">
        <v>38</v>
      </c>
      <c r="P850" t="s">
        <v>39</v>
      </c>
      <c r="Q850" s="55">
        <v>45960</v>
      </c>
      <c r="V850">
        <v>1</v>
      </c>
    </row>
    <row r="851" spans="1:22">
      <c r="A851" s="55">
        <v>45925</v>
      </c>
      <c r="B851" t="s">
        <v>3370</v>
      </c>
      <c r="C851" t="s">
        <v>145</v>
      </c>
      <c r="D851" t="s">
        <v>63</v>
      </c>
      <c r="E851">
        <v>85032</v>
      </c>
      <c r="F851" t="s">
        <v>3371</v>
      </c>
      <c r="G851" t="s">
        <v>3357</v>
      </c>
      <c r="H851" t="s">
        <v>3372</v>
      </c>
      <c r="I851" t="s">
        <v>1684</v>
      </c>
      <c r="J851" t="s">
        <v>37</v>
      </c>
      <c r="K851" t="s">
        <v>37</v>
      </c>
      <c r="L851" t="s">
        <v>38</v>
      </c>
      <c r="M851" t="s">
        <v>37</v>
      </c>
      <c r="N851" t="s">
        <v>37</v>
      </c>
      <c r="O851" t="s">
        <v>38</v>
      </c>
      <c r="P851" t="s">
        <v>39</v>
      </c>
      <c r="Q851" s="55">
        <v>45960</v>
      </c>
      <c r="R851" t="s">
        <v>3373</v>
      </c>
      <c r="V851">
        <v>1</v>
      </c>
    </row>
    <row r="852" spans="1:22">
      <c r="A852" s="55">
        <v>45925</v>
      </c>
      <c r="B852" t="s">
        <v>3374</v>
      </c>
      <c r="C852" t="s">
        <v>597</v>
      </c>
      <c r="D852" t="s">
        <v>816</v>
      </c>
      <c r="E852">
        <v>86301</v>
      </c>
      <c r="F852" t="s">
        <v>3375</v>
      </c>
      <c r="G852" t="s">
        <v>3357</v>
      </c>
      <c r="H852" t="s">
        <v>3376</v>
      </c>
      <c r="I852" t="s">
        <v>46</v>
      </c>
      <c r="J852" t="s">
        <v>37</v>
      </c>
      <c r="K852" t="s">
        <v>37</v>
      </c>
      <c r="L852" t="s">
        <v>38</v>
      </c>
      <c r="M852" t="s">
        <v>37</v>
      </c>
      <c r="N852" t="s">
        <v>37</v>
      </c>
      <c r="O852" t="s">
        <v>38</v>
      </c>
      <c r="P852" t="s">
        <v>39</v>
      </c>
      <c r="Q852" s="55">
        <v>45960</v>
      </c>
      <c r="V852">
        <v>1</v>
      </c>
    </row>
    <row r="853" spans="1:22">
      <c r="A853" s="55">
        <v>45926</v>
      </c>
      <c r="B853" t="s">
        <v>3377</v>
      </c>
      <c r="C853" t="s">
        <v>437</v>
      </c>
      <c r="D853" t="s">
        <v>85</v>
      </c>
      <c r="E853">
        <v>86323</v>
      </c>
      <c r="F853" t="s">
        <v>3378</v>
      </c>
      <c r="G853" t="s">
        <v>3379</v>
      </c>
      <c r="H853">
        <v>6292353892</v>
      </c>
      <c r="I853" t="s">
        <v>126</v>
      </c>
      <c r="J853" t="s">
        <v>37</v>
      </c>
      <c r="K853" t="s">
        <v>37</v>
      </c>
      <c r="L853" t="s">
        <v>38</v>
      </c>
      <c r="M853" t="s">
        <v>37</v>
      </c>
      <c r="N853" t="s">
        <v>37</v>
      </c>
      <c r="O853" t="s">
        <v>38</v>
      </c>
      <c r="P853" t="s">
        <v>39</v>
      </c>
      <c r="Q853" s="55">
        <v>45960</v>
      </c>
      <c r="V853">
        <v>1</v>
      </c>
    </row>
    <row r="854" spans="1:22">
      <c r="A854" s="55">
        <v>45926</v>
      </c>
      <c r="B854" t="s">
        <v>3383</v>
      </c>
      <c r="C854" t="s">
        <v>1755</v>
      </c>
      <c r="D854" t="s">
        <v>240</v>
      </c>
      <c r="E854">
        <v>85340</v>
      </c>
      <c r="F854" t="s">
        <v>3384</v>
      </c>
      <c r="G854" t="s">
        <v>3379</v>
      </c>
      <c r="H854" t="s">
        <v>3385</v>
      </c>
      <c r="I854" t="s">
        <v>36</v>
      </c>
      <c r="J854" t="s">
        <v>37</v>
      </c>
      <c r="K854" t="s">
        <v>37</v>
      </c>
      <c r="L854" t="s">
        <v>38</v>
      </c>
      <c r="M854" t="s">
        <v>37</v>
      </c>
      <c r="N854" t="s">
        <v>37</v>
      </c>
      <c r="O854" t="s">
        <v>38</v>
      </c>
      <c r="P854" t="s">
        <v>39</v>
      </c>
      <c r="Q854" s="55">
        <v>45960</v>
      </c>
      <c r="V854">
        <v>1</v>
      </c>
    </row>
    <row r="855" spans="1:22">
      <c r="A855" s="55">
        <v>45928</v>
      </c>
      <c r="B855" t="s">
        <v>3388</v>
      </c>
      <c r="C855" t="s">
        <v>556</v>
      </c>
      <c r="D855" t="s">
        <v>619</v>
      </c>
      <c r="E855">
        <v>85367</v>
      </c>
      <c r="F855" t="s">
        <v>3389</v>
      </c>
      <c r="G855" t="s">
        <v>3387</v>
      </c>
      <c r="H855" t="s">
        <v>3390</v>
      </c>
      <c r="I855" t="s">
        <v>36</v>
      </c>
      <c r="J855" t="s">
        <v>37</v>
      </c>
      <c r="K855" t="s">
        <v>37</v>
      </c>
      <c r="L855" t="s">
        <v>38</v>
      </c>
      <c r="M855" t="s">
        <v>37</v>
      </c>
      <c r="N855" t="s">
        <v>37</v>
      </c>
      <c r="O855" t="s">
        <v>38</v>
      </c>
      <c r="P855" t="s">
        <v>39</v>
      </c>
      <c r="Q855" s="55">
        <v>45960</v>
      </c>
      <c r="V855">
        <v>1</v>
      </c>
    </row>
    <row r="856" spans="1:22">
      <c r="A856" s="55">
        <v>45928</v>
      </c>
      <c r="B856" t="s">
        <v>3391</v>
      </c>
      <c r="C856" t="s">
        <v>3392</v>
      </c>
      <c r="D856" t="s">
        <v>24</v>
      </c>
      <c r="E856">
        <v>85310</v>
      </c>
      <c r="F856" t="s">
        <v>3393</v>
      </c>
      <c r="G856" t="s">
        <v>3387</v>
      </c>
      <c r="H856" t="s">
        <v>3394</v>
      </c>
      <c r="I856" t="s">
        <v>541</v>
      </c>
      <c r="J856" t="s">
        <v>37</v>
      </c>
      <c r="K856" t="s">
        <v>37</v>
      </c>
      <c r="L856" t="s">
        <v>389</v>
      </c>
      <c r="M856" t="s">
        <v>38</v>
      </c>
      <c r="N856">
        <v>368.4</v>
      </c>
      <c r="O856" t="s">
        <v>38</v>
      </c>
      <c r="P856" t="s">
        <v>39</v>
      </c>
      <c r="Q856" s="55">
        <v>45960</v>
      </c>
      <c r="V856">
        <v>1</v>
      </c>
    </row>
    <row r="857" spans="1:22">
      <c r="A857" s="55">
        <v>45929</v>
      </c>
      <c r="B857" t="s">
        <v>3397</v>
      </c>
      <c r="C857" t="s">
        <v>3398</v>
      </c>
      <c r="D857" t="s">
        <v>63</v>
      </c>
      <c r="E857">
        <v>85050</v>
      </c>
      <c r="F857" t="s">
        <v>3399</v>
      </c>
      <c r="G857" t="s">
        <v>3387</v>
      </c>
      <c r="H857" t="s">
        <v>3400</v>
      </c>
      <c r="I857" t="s">
        <v>36</v>
      </c>
      <c r="J857" t="s">
        <v>37</v>
      </c>
      <c r="K857" t="s">
        <v>37</v>
      </c>
      <c r="L857" t="s">
        <v>38</v>
      </c>
      <c r="M857" t="s">
        <v>37</v>
      </c>
      <c r="N857" t="s">
        <v>37</v>
      </c>
      <c r="O857" t="s">
        <v>38</v>
      </c>
      <c r="P857" t="s">
        <v>39</v>
      </c>
      <c r="Q857" s="55">
        <v>45960</v>
      </c>
      <c r="V857">
        <v>1</v>
      </c>
    </row>
    <row r="858" spans="1:22">
      <c r="A858" s="55">
        <v>45930</v>
      </c>
      <c r="B858" t="s">
        <v>3405</v>
      </c>
      <c r="C858" t="s">
        <v>1093</v>
      </c>
      <c r="D858" t="s">
        <v>125</v>
      </c>
      <c r="E858">
        <v>85266</v>
      </c>
      <c r="F858" t="s">
        <v>3406</v>
      </c>
      <c r="G858" t="s">
        <v>3404</v>
      </c>
      <c r="H858" t="s">
        <v>3407</v>
      </c>
      <c r="I858" t="s">
        <v>36</v>
      </c>
      <c r="J858" t="s">
        <v>37</v>
      </c>
      <c r="K858" t="s">
        <v>37</v>
      </c>
      <c r="L858" t="s">
        <v>38</v>
      </c>
      <c r="M858" t="s">
        <v>37</v>
      </c>
      <c r="N858" t="s">
        <v>37</v>
      </c>
      <c r="O858" t="s">
        <v>38</v>
      </c>
      <c r="P858" t="s">
        <v>39</v>
      </c>
      <c r="Q858" s="55">
        <v>45960</v>
      </c>
      <c r="V858">
        <v>1</v>
      </c>
    </row>
    <row r="859" spans="1:22">
      <c r="A859" s="55">
        <v>45930</v>
      </c>
      <c r="B859" t="s">
        <v>1271</v>
      </c>
      <c r="C859" t="s">
        <v>124</v>
      </c>
      <c r="D859" t="s">
        <v>93</v>
      </c>
      <c r="E859">
        <v>85351</v>
      </c>
      <c r="F859" t="s">
        <v>3408</v>
      </c>
      <c r="G859" t="s">
        <v>3404</v>
      </c>
      <c r="H859" t="s">
        <v>3409</v>
      </c>
      <c r="I859" t="s">
        <v>250</v>
      </c>
      <c r="J859" t="s">
        <v>37</v>
      </c>
      <c r="K859" t="s">
        <v>37</v>
      </c>
      <c r="L859" t="s">
        <v>38</v>
      </c>
      <c r="M859" t="s">
        <v>37</v>
      </c>
      <c r="N859" t="s">
        <v>37</v>
      </c>
      <c r="O859" t="s">
        <v>38</v>
      </c>
      <c r="P859" t="s">
        <v>39</v>
      </c>
      <c r="Q859" s="55">
        <v>45960</v>
      </c>
      <c r="R859" t="s">
        <v>3410</v>
      </c>
      <c r="V859">
        <v>1</v>
      </c>
    </row>
    <row r="860" spans="1:22">
      <c r="A860" s="55">
        <v>45930</v>
      </c>
      <c r="B860" t="s">
        <v>3411</v>
      </c>
      <c r="C860" t="s">
        <v>284</v>
      </c>
      <c r="D860" t="s">
        <v>2109</v>
      </c>
      <c r="E860">
        <v>86327</v>
      </c>
      <c r="F860" t="s">
        <v>3412</v>
      </c>
      <c r="G860" t="s">
        <v>3404</v>
      </c>
      <c r="H860" t="s">
        <v>3413</v>
      </c>
      <c r="I860" t="s">
        <v>73</v>
      </c>
      <c r="J860" t="s">
        <v>37</v>
      </c>
      <c r="K860" t="s">
        <v>37</v>
      </c>
      <c r="L860" t="s">
        <v>3414</v>
      </c>
      <c r="M860" t="s">
        <v>37</v>
      </c>
      <c r="N860" t="s">
        <v>37</v>
      </c>
      <c r="O860" t="s">
        <v>38</v>
      </c>
      <c r="P860" t="s">
        <v>39</v>
      </c>
      <c r="Q860" s="55">
        <v>45960</v>
      </c>
      <c r="R860" t="s">
        <v>3415</v>
      </c>
      <c r="V860">
        <v>1</v>
      </c>
    </row>
    <row r="861" spans="1:22">
      <c r="A861" s="55">
        <v>45930</v>
      </c>
      <c r="B861" t="s">
        <v>3416</v>
      </c>
      <c r="C861" t="s">
        <v>3417</v>
      </c>
      <c r="D861" t="s">
        <v>202</v>
      </c>
      <c r="E861">
        <v>85345</v>
      </c>
      <c r="F861" t="s">
        <v>310</v>
      </c>
      <c r="G861" t="s">
        <v>3404</v>
      </c>
      <c r="H861" t="s">
        <v>3418</v>
      </c>
      <c r="I861" t="s">
        <v>196</v>
      </c>
      <c r="J861" t="s">
        <v>37</v>
      </c>
      <c r="K861" t="s">
        <v>37</v>
      </c>
      <c r="L861" t="s">
        <v>3419</v>
      </c>
      <c r="M861" t="s">
        <v>37</v>
      </c>
      <c r="N861" t="s">
        <v>37</v>
      </c>
      <c r="O861" t="s">
        <v>38</v>
      </c>
      <c r="P861">
        <v>45940</v>
      </c>
      <c r="Q861" s="55">
        <v>45960</v>
      </c>
      <c r="R861" t="s">
        <v>3420</v>
      </c>
      <c r="V861">
        <v>1</v>
      </c>
    </row>
    <row r="862" spans="1:22">
      <c r="A862" s="55">
        <v>45930</v>
      </c>
      <c r="B862" t="s">
        <v>3421</v>
      </c>
      <c r="C862" t="s">
        <v>2273</v>
      </c>
      <c r="D862" t="s">
        <v>169</v>
      </c>
      <c r="E862">
        <v>85395</v>
      </c>
      <c r="F862" t="s">
        <v>3422</v>
      </c>
      <c r="G862" t="s">
        <v>3404</v>
      </c>
      <c r="H862" t="s">
        <v>3423</v>
      </c>
      <c r="I862" t="s">
        <v>46</v>
      </c>
      <c r="J862" t="s">
        <v>37</v>
      </c>
      <c r="K862" t="s">
        <v>37</v>
      </c>
      <c r="L862" t="s">
        <v>3424</v>
      </c>
      <c r="M862" t="s">
        <v>37</v>
      </c>
      <c r="N862" t="s">
        <v>37</v>
      </c>
      <c r="O862" t="s">
        <v>38</v>
      </c>
      <c r="P862" t="s">
        <v>39</v>
      </c>
      <c r="Q862" s="55">
        <v>45960</v>
      </c>
      <c r="V862">
        <v>1</v>
      </c>
    </row>
    <row r="863" spans="1:22">
      <c r="A863" s="55">
        <v>45930</v>
      </c>
      <c r="B863" t="s">
        <v>3425</v>
      </c>
      <c r="C863" t="s">
        <v>3426</v>
      </c>
      <c r="D863" t="s">
        <v>174</v>
      </c>
      <c r="E863">
        <v>85396</v>
      </c>
      <c r="F863" t="s">
        <v>3427</v>
      </c>
      <c r="G863" t="s">
        <v>3428</v>
      </c>
      <c r="H863" t="s">
        <v>3429</v>
      </c>
      <c r="I863" t="s">
        <v>1040</v>
      </c>
      <c r="J863" t="s">
        <v>37</v>
      </c>
      <c r="K863" t="s">
        <v>37</v>
      </c>
      <c r="L863" t="s">
        <v>3430</v>
      </c>
      <c r="M863" t="s">
        <v>37</v>
      </c>
      <c r="N863" t="s">
        <v>37</v>
      </c>
      <c r="O863" t="s">
        <v>38</v>
      </c>
      <c r="P863" t="s">
        <v>39</v>
      </c>
      <c r="Q863" s="55">
        <v>45960</v>
      </c>
      <c r="V863">
        <v>1</v>
      </c>
    </row>
    <row r="864" spans="1:22">
      <c r="A864" s="55">
        <v>45932</v>
      </c>
      <c r="B864" t="s">
        <v>3435</v>
      </c>
      <c r="C864" t="s">
        <v>3436</v>
      </c>
      <c r="D864" t="s">
        <v>30</v>
      </c>
      <c r="E864" t="s">
        <v>30</v>
      </c>
      <c r="F864" t="s">
        <v>3437</v>
      </c>
      <c r="G864" t="s">
        <v>3438</v>
      </c>
      <c r="H864" t="s">
        <v>3439</v>
      </c>
      <c r="I864" t="s">
        <v>541</v>
      </c>
      <c r="J864" t="s">
        <v>37</v>
      </c>
      <c r="K864" t="s">
        <v>37</v>
      </c>
      <c r="L864" t="s">
        <v>389</v>
      </c>
      <c r="M864" t="s">
        <v>38</v>
      </c>
      <c r="N864">
        <v>170.45</v>
      </c>
      <c r="O864" t="s">
        <v>38</v>
      </c>
      <c r="P864" t="s">
        <v>39</v>
      </c>
      <c r="Q864" s="55">
        <v>45960</v>
      </c>
      <c r="V864">
        <v>1</v>
      </c>
    </row>
    <row r="865" spans="1:22">
      <c r="A865" s="55">
        <v>45932</v>
      </c>
      <c r="B865" t="s">
        <v>3440</v>
      </c>
      <c r="C865" t="s">
        <v>3441</v>
      </c>
      <c r="D865" t="s">
        <v>129</v>
      </c>
      <c r="E865">
        <v>85233</v>
      </c>
      <c r="F865" t="s">
        <v>310</v>
      </c>
      <c r="G865" t="s">
        <v>3442</v>
      </c>
      <c r="H865" t="s">
        <v>3443</v>
      </c>
      <c r="I865" t="s">
        <v>243</v>
      </c>
      <c r="J865" t="s">
        <v>37</v>
      </c>
      <c r="K865" t="s">
        <v>37</v>
      </c>
      <c r="L865" t="s">
        <v>389</v>
      </c>
      <c r="M865" t="s">
        <v>37</v>
      </c>
      <c r="N865" t="s">
        <v>37</v>
      </c>
      <c r="O865" t="s">
        <v>38</v>
      </c>
      <c r="P865" t="s">
        <v>39</v>
      </c>
      <c r="Q865" s="55">
        <v>45960</v>
      </c>
      <c r="V865">
        <v>1</v>
      </c>
    </row>
    <row r="866" spans="1:22">
      <c r="A866" s="55">
        <v>45932</v>
      </c>
      <c r="B866" t="s">
        <v>528</v>
      </c>
      <c r="C866" t="s">
        <v>3395</v>
      </c>
      <c r="D866" t="s">
        <v>63</v>
      </c>
      <c r="E866">
        <v>85085</v>
      </c>
      <c r="F866" t="s">
        <v>3444</v>
      </c>
      <c r="G866" t="s">
        <v>3442</v>
      </c>
      <c r="H866" t="s">
        <v>3445</v>
      </c>
      <c r="I866" t="s">
        <v>1040</v>
      </c>
      <c r="J866" t="s">
        <v>37</v>
      </c>
      <c r="K866" t="s">
        <v>37</v>
      </c>
      <c r="L866" t="s">
        <v>401</v>
      </c>
      <c r="M866" t="s">
        <v>37</v>
      </c>
      <c r="N866" t="s">
        <v>37</v>
      </c>
      <c r="O866" t="s">
        <v>38</v>
      </c>
      <c r="P866" t="s">
        <v>39</v>
      </c>
      <c r="Q866" s="55">
        <v>45960</v>
      </c>
      <c r="R866" t="s">
        <v>3446</v>
      </c>
      <c r="V866">
        <v>1</v>
      </c>
    </row>
    <row r="867" spans="1:22">
      <c r="A867" s="55">
        <v>45933</v>
      </c>
      <c r="B867" t="s">
        <v>800</v>
      </c>
      <c r="C867" t="s">
        <v>801</v>
      </c>
      <c r="D867" t="s">
        <v>30</v>
      </c>
      <c r="E867" t="s">
        <v>30</v>
      </c>
      <c r="F867" t="s">
        <v>3447</v>
      </c>
      <c r="G867" t="s">
        <v>3448</v>
      </c>
      <c r="H867" t="s">
        <v>3449</v>
      </c>
      <c r="I867" t="s">
        <v>73</v>
      </c>
      <c r="J867" t="s">
        <v>37</v>
      </c>
      <c r="K867" t="s">
        <v>37</v>
      </c>
      <c r="L867" t="s">
        <v>38</v>
      </c>
      <c r="M867" t="s">
        <v>37</v>
      </c>
      <c r="N867" t="s">
        <v>37</v>
      </c>
      <c r="O867" t="s">
        <v>38</v>
      </c>
      <c r="P867" t="s">
        <v>39</v>
      </c>
      <c r="Q867" s="55">
        <v>45960</v>
      </c>
      <c r="V867">
        <v>1</v>
      </c>
    </row>
    <row r="868" spans="1:22">
      <c r="A868" s="55">
        <v>45933</v>
      </c>
      <c r="B868" t="s">
        <v>3450</v>
      </c>
      <c r="C868" t="s">
        <v>88</v>
      </c>
      <c r="D868" t="s">
        <v>68</v>
      </c>
      <c r="E868">
        <v>85331</v>
      </c>
      <c r="F868" t="s">
        <v>3451</v>
      </c>
      <c r="G868" t="s">
        <v>3452</v>
      </c>
      <c r="H868" t="s">
        <v>3453</v>
      </c>
      <c r="I868" t="s">
        <v>36</v>
      </c>
      <c r="J868" t="s">
        <v>37</v>
      </c>
      <c r="K868" t="s">
        <v>37</v>
      </c>
      <c r="L868" t="s">
        <v>38</v>
      </c>
      <c r="M868" t="s">
        <v>37</v>
      </c>
      <c r="N868" t="s">
        <v>37</v>
      </c>
      <c r="O868" t="s">
        <v>38</v>
      </c>
      <c r="P868" t="s">
        <v>39</v>
      </c>
      <c r="Q868" s="55">
        <v>45960</v>
      </c>
      <c r="V868">
        <v>1</v>
      </c>
    </row>
    <row r="869" spans="1:22">
      <c r="A869" s="55">
        <v>45934</v>
      </c>
      <c r="B869" t="s">
        <v>3459</v>
      </c>
      <c r="C869" t="s">
        <v>320</v>
      </c>
      <c r="D869" t="s">
        <v>63</v>
      </c>
      <c r="E869">
        <v>85032</v>
      </c>
      <c r="F869" t="s">
        <v>3460</v>
      </c>
      <c r="G869" t="s">
        <v>3456</v>
      </c>
      <c r="H869" t="s">
        <v>3461</v>
      </c>
      <c r="I869" t="s">
        <v>36</v>
      </c>
      <c r="J869" t="s">
        <v>38</v>
      </c>
      <c r="K869" t="s">
        <v>37</v>
      </c>
      <c r="L869" t="s">
        <v>38</v>
      </c>
      <c r="M869" t="s">
        <v>37</v>
      </c>
      <c r="N869" t="s">
        <v>37</v>
      </c>
      <c r="O869" t="s">
        <v>38</v>
      </c>
      <c r="P869" t="s">
        <v>39</v>
      </c>
      <c r="Q869" s="55">
        <v>45954</v>
      </c>
      <c r="V869">
        <v>1</v>
      </c>
    </row>
    <row r="870" spans="1:22">
      <c r="A870" s="55">
        <v>45934</v>
      </c>
      <c r="B870" t="s">
        <v>34</v>
      </c>
      <c r="C870" t="s">
        <v>2273</v>
      </c>
      <c r="D870" t="s">
        <v>261</v>
      </c>
      <c r="E870">
        <v>86314</v>
      </c>
      <c r="F870" t="s">
        <v>3462</v>
      </c>
      <c r="G870" t="s">
        <v>3456</v>
      </c>
      <c r="H870" t="s">
        <v>3463</v>
      </c>
      <c r="I870" t="s">
        <v>196</v>
      </c>
      <c r="J870" t="s">
        <v>37</v>
      </c>
      <c r="K870" t="s">
        <v>37</v>
      </c>
      <c r="L870" t="s">
        <v>3464</v>
      </c>
      <c r="M870" t="s">
        <v>37</v>
      </c>
      <c r="N870" t="s">
        <v>37</v>
      </c>
      <c r="O870" t="s">
        <v>38</v>
      </c>
      <c r="P870" t="s">
        <v>39</v>
      </c>
      <c r="Q870" s="55">
        <v>45954</v>
      </c>
      <c r="V870">
        <v>1</v>
      </c>
    </row>
    <row r="871" spans="1:22">
      <c r="A871" s="55">
        <v>45935</v>
      </c>
      <c r="B871" t="s">
        <v>1210</v>
      </c>
      <c r="C871" t="s">
        <v>3465</v>
      </c>
      <c r="D871" t="s">
        <v>737</v>
      </c>
      <c r="E871">
        <v>86326</v>
      </c>
      <c r="F871" t="s">
        <v>3466</v>
      </c>
      <c r="G871" t="s">
        <v>3456</v>
      </c>
      <c r="H871" t="s">
        <v>3467</v>
      </c>
      <c r="I871" t="s">
        <v>243</v>
      </c>
      <c r="J871" t="s">
        <v>37</v>
      </c>
      <c r="K871" t="s">
        <v>37</v>
      </c>
      <c r="L871" t="s">
        <v>389</v>
      </c>
      <c r="M871" t="s">
        <v>37</v>
      </c>
      <c r="N871" t="s">
        <v>37</v>
      </c>
      <c r="O871" t="s">
        <v>38</v>
      </c>
      <c r="P871" t="s">
        <v>39</v>
      </c>
      <c r="Q871" s="55">
        <v>45954</v>
      </c>
      <c r="V871">
        <v>1</v>
      </c>
    </row>
    <row r="872" spans="1:22">
      <c r="A872" s="55">
        <v>45935</v>
      </c>
      <c r="B872" t="s">
        <v>3469</v>
      </c>
      <c r="C872" t="s">
        <v>1089</v>
      </c>
      <c r="D872" t="s">
        <v>3470</v>
      </c>
      <c r="E872">
        <v>86324</v>
      </c>
      <c r="F872" t="s">
        <v>31</v>
      </c>
      <c r="G872" t="s">
        <v>3456</v>
      </c>
      <c r="H872" t="s">
        <v>3471</v>
      </c>
      <c r="I872" t="s">
        <v>73</v>
      </c>
      <c r="J872" t="s">
        <v>37</v>
      </c>
      <c r="K872" t="s">
        <v>37</v>
      </c>
      <c r="L872" t="s">
        <v>38</v>
      </c>
      <c r="M872" t="s">
        <v>37</v>
      </c>
      <c r="N872" t="s">
        <v>37</v>
      </c>
      <c r="O872" t="s">
        <v>38</v>
      </c>
      <c r="P872" t="s">
        <v>39</v>
      </c>
      <c r="Q872" s="55">
        <v>45954</v>
      </c>
      <c r="R872" t="s">
        <v>3415</v>
      </c>
      <c r="V872">
        <v>1</v>
      </c>
    </row>
    <row r="873" spans="1:22">
      <c r="A873" s="55">
        <v>45937</v>
      </c>
      <c r="B873" t="s">
        <v>3477</v>
      </c>
      <c r="C873" t="s">
        <v>3478</v>
      </c>
      <c r="D873" t="s">
        <v>169</v>
      </c>
      <c r="E873">
        <v>85338</v>
      </c>
      <c r="F873" t="s">
        <v>3479</v>
      </c>
      <c r="G873" t="s">
        <v>3456</v>
      </c>
      <c r="H873" t="s">
        <v>3480</v>
      </c>
      <c r="I873" t="s">
        <v>541</v>
      </c>
      <c r="J873" t="s">
        <v>38</v>
      </c>
      <c r="K873" t="s">
        <v>37</v>
      </c>
      <c r="L873" t="s">
        <v>389</v>
      </c>
      <c r="M873" t="s">
        <v>37</v>
      </c>
      <c r="N873" t="s">
        <v>37</v>
      </c>
      <c r="O873" t="s">
        <v>38</v>
      </c>
      <c r="P873" t="s">
        <v>39</v>
      </c>
      <c r="Q873" s="55">
        <v>45954</v>
      </c>
      <c r="V873">
        <v>1</v>
      </c>
    </row>
    <row r="874" spans="1:22">
      <c r="A874" s="55">
        <v>45938</v>
      </c>
      <c r="B874" t="s">
        <v>3483</v>
      </c>
      <c r="C874" t="s">
        <v>3484</v>
      </c>
      <c r="D874" t="s">
        <v>125</v>
      </c>
      <c r="E874">
        <v>85258</v>
      </c>
      <c r="F874" t="s">
        <v>3485</v>
      </c>
      <c r="G874" t="s">
        <v>3158</v>
      </c>
      <c r="H874" t="s">
        <v>3486</v>
      </c>
      <c r="I874" t="s">
        <v>36</v>
      </c>
      <c r="J874" t="s">
        <v>37</v>
      </c>
      <c r="K874" t="s">
        <v>37</v>
      </c>
      <c r="L874" t="s">
        <v>38</v>
      </c>
      <c r="M874" t="s">
        <v>37</v>
      </c>
      <c r="N874" t="s">
        <v>37</v>
      </c>
      <c r="O874" t="s">
        <v>38</v>
      </c>
      <c r="P874" t="s">
        <v>39</v>
      </c>
      <c r="Q874" s="55">
        <v>45954</v>
      </c>
      <c r="V874">
        <v>1</v>
      </c>
    </row>
    <row r="875" spans="1:22">
      <c r="A875" s="55">
        <v>45938</v>
      </c>
      <c r="B875" t="s">
        <v>3487</v>
      </c>
      <c r="C875" t="s">
        <v>2040</v>
      </c>
      <c r="D875" t="s">
        <v>30</v>
      </c>
      <c r="E875" t="s">
        <v>30</v>
      </c>
      <c r="F875" t="s">
        <v>3488</v>
      </c>
      <c r="G875" t="s">
        <v>3158</v>
      </c>
      <c r="H875" t="s">
        <v>3489</v>
      </c>
      <c r="I875" t="s">
        <v>57</v>
      </c>
      <c r="J875" t="s">
        <v>37</v>
      </c>
      <c r="K875" t="s">
        <v>37</v>
      </c>
      <c r="L875" t="s">
        <v>3490</v>
      </c>
      <c r="M875" t="s">
        <v>37</v>
      </c>
      <c r="N875" t="s">
        <v>37</v>
      </c>
      <c r="O875" t="s">
        <v>38</v>
      </c>
      <c r="P875" t="s">
        <v>39</v>
      </c>
      <c r="Q875" s="55">
        <v>45954</v>
      </c>
      <c r="V875">
        <v>1</v>
      </c>
    </row>
    <row r="876" spans="1:22">
      <c r="A876" s="55">
        <v>45938</v>
      </c>
      <c r="B876" t="s">
        <v>3491</v>
      </c>
      <c r="C876" t="s">
        <v>3492</v>
      </c>
      <c r="D876" t="s">
        <v>125</v>
      </c>
      <c r="E876">
        <v>85258</v>
      </c>
      <c r="F876" t="s">
        <v>3493</v>
      </c>
      <c r="G876" t="s">
        <v>3494</v>
      </c>
      <c r="H876" t="s">
        <v>3495</v>
      </c>
      <c r="I876" t="s">
        <v>36</v>
      </c>
      <c r="J876" t="s">
        <v>37</v>
      </c>
      <c r="K876" t="s">
        <v>37</v>
      </c>
      <c r="L876" t="s">
        <v>38</v>
      </c>
      <c r="M876" t="s">
        <v>37</v>
      </c>
      <c r="N876" t="s">
        <v>37</v>
      </c>
      <c r="O876" t="s">
        <v>38</v>
      </c>
      <c r="P876" t="s">
        <v>39</v>
      </c>
      <c r="Q876" s="55">
        <v>45954</v>
      </c>
      <c r="V876">
        <v>1</v>
      </c>
    </row>
    <row r="877" spans="1:22">
      <c r="A877" s="55">
        <v>45938</v>
      </c>
      <c r="B877" t="s">
        <v>447</v>
      </c>
      <c r="C877" t="s">
        <v>1223</v>
      </c>
      <c r="D877" t="s">
        <v>3501</v>
      </c>
      <c r="E877">
        <v>85541</v>
      </c>
      <c r="F877" t="s">
        <v>3502</v>
      </c>
      <c r="G877" t="s">
        <v>3494</v>
      </c>
      <c r="H877" t="s">
        <v>3503</v>
      </c>
      <c r="I877" t="s">
        <v>73</v>
      </c>
      <c r="J877" t="s">
        <v>37</v>
      </c>
      <c r="K877" t="s">
        <v>37</v>
      </c>
      <c r="L877" t="s">
        <v>38</v>
      </c>
      <c r="M877" t="s">
        <v>37</v>
      </c>
      <c r="N877" t="s">
        <v>37</v>
      </c>
      <c r="O877" t="s">
        <v>38</v>
      </c>
      <c r="P877" t="s">
        <v>39</v>
      </c>
      <c r="Q877" s="55">
        <v>45954</v>
      </c>
      <c r="V877">
        <v>1</v>
      </c>
    </row>
    <row r="878" spans="1:22">
      <c r="A878" s="55">
        <v>45939</v>
      </c>
      <c r="B878" t="s">
        <v>3505</v>
      </c>
      <c r="C878" t="s">
        <v>3506</v>
      </c>
      <c r="D878" t="s">
        <v>202</v>
      </c>
      <c r="E878">
        <v>85382</v>
      </c>
      <c r="F878" t="s">
        <v>3507</v>
      </c>
      <c r="G878" t="s">
        <v>3494</v>
      </c>
      <c r="H878" t="s">
        <v>3508</v>
      </c>
      <c r="I878" t="s">
        <v>36</v>
      </c>
      <c r="J878" t="s">
        <v>37</v>
      </c>
      <c r="K878" t="s">
        <v>37</v>
      </c>
      <c r="L878" t="s">
        <v>38</v>
      </c>
      <c r="M878" t="s">
        <v>37</v>
      </c>
      <c r="N878" t="s">
        <v>37</v>
      </c>
      <c r="O878" t="s">
        <v>38</v>
      </c>
      <c r="P878" t="s">
        <v>39</v>
      </c>
      <c r="Q878" s="55">
        <v>45954</v>
      </c>
      <c r="V878">
        <v>1</v>
      </c>
    </row>
    <row r="879" spans="1:22">
      <c r="A879" s="55">
        <v>45940</v>
      </c>
      <c r="B879" t="s">
        <v>91</v>
      </c>
      <c r="C879" t="s">
        <v>3513</v>
      </c>
      <c r="D879" t="s">
        <v>93</v>
      </c>
      <c r="E879">
        <v>85351</v>
      </c>
      <c r="F879" t="s">
        <v>3514</v>
      </c>
      <c r="G879" t="s">
        <v>3512</v>
      </c>
      <c r="H879" t="s">
        <v>3515</v>
      </c>
      <c r="I879" t="s">
        <v>73</v>
      </c>
      <c r="J879" t="s">
        <v>37</v>
      </c>
      <c r="K879" t="s">
        <v>37</v>
      </c>
      <c r="L879" t="s">
        <v>38</v>
      </c>
      <c r="M879" t="s">
        <v>37</v>
      </c>
      <c r="N879" t="s">
        <v>37</v>
      </c>
      <c r="O879" t="s">
        <v>38</v>
      </c>
      <c r="P879" t="s">
        <v>39</v>
      </c>
      <c r="Q879" s="55">
        <v>45954</v>
      </c>
      <c r="R879" t="s">
        <v>3516</v>
      </c>
      <c r="V879">
        <v>1</v>
      </c>
    </row>
    <row r="880" spans="1:22">
      <c r="A880" s="55">
        <v>45940</v>
      </c>
      <c r="B880" t="s">
        <v>3517</v>
      </c>
      <c r="C880" t="s">
        <v>1729</v>
      </c>
      <c r="D880" t="s">
        <v>2429</v>
      </c>
      <c r="E880">
        <v>85132</v>
      </c>
      <c r="F880" t="s">
        <v>3518</v>
      </c>
      <c r="G880" t="s">
        <v>3512</v>
      </c>
      <c r="H880" t="s">
        <v>3519</v>
      </c>
      <c r="I880" t="s">
        <v>250</v>
      </c>
      <c r="J880" t="s">
        <v>37</v>
      </c>
      <c r="K880" t="s">
        <v>37</v>
      </c>
      <c r="L880" t="s">
        <v>38</v>
      </c>
      <c r="M880" t="s">
        <v>37</v>
      </c>
      <c r="N880" t="s">
        <v>37</v>
      </c>
      <c r="O880" t="s">
        <v>38</v>
      </c>
      <c r="P880" t="s">
        <v>39</v>
      </c>
      <c r="Q880" s="55">
        <v>45954</v>
      </c>
      <c r="V880">
        <v>1</v>
      </c>
    </row>
    <row r="881" spans="1:22">
      <c r="A881" s="55">
        <v>45940</v>
      </c>
      <c r="B881" t="s">
        <v>3520</v>
      </c>
      <c r="C881" t="s">
        <v>420</v>
      </c>
      <c r="D881" t="s">
        <v>539</v>
      </c>
      <c r="E881">
        <v>85122</v>
      </c>
      <c r="F881" t="s">
        <v>3521</v>
      </c>
      <c r="G881" t="s">
        <v>3512</v>
      </c>
      <c r="H881" t="s">
        <v>3522</v>
      </c>
      <c r="I881" t="s">
        <v>36</v>
      </c>
      <c r="J881" t="s">
        <v>37</v>
      </c>
      <c r="K881" t="s">
        <v>37</v>
      </c>
      <c r="L881" t="s">
        <v>38</v>
      </c>
      <c r="M881" t="s">
        <v>37</v>
      </c>
      <c r="N881" t="s">
        <v>37</v>
      </c>
      <c r="O881" t="s">
        <v>38</v>
      </c>
      <c r="P881" t="s">
        <v>39</v>
      </c>
      <c r="Q881" s="55">
        <v>45954</v>
      </c>
      <c r="R881" t="s">
        <v>3523</v>
      </c>
      <c r="V881">
        <v>1</v>
      </c>
    </row>
    <row r="882" spans="1:22">
      <c r="A882" s="55">
        <v>45940</v>
      </c>
      <c r="B882" t="s">
        <v>3520</v>
      </c>
      <c r="C882" t="s">
        <v>597</v>
      </c>
      <c r="D882" t="s">
        <v>539</v>
      </c>
      <c r="E882">
        <v>85122</v>
      </c>
      <c r="F882" t="s">
        <v>3524</v>
      </c>
      <c r="G882" t="s">
        <v>3512</v>
      </c>
      <c r="H882" t="s">
        <v>3522</v>
      </c>
      <c r="I882" t="s">
        <v>36</v>
      </c>
      <c r="J882" t="s">
        <v>37</v>
      </c>
      <c r="K882" t="s">
        <v>37</v>
      </c>
      <c r="L882" t="s">
        <v>38</v>
      </c>
      <c r="M882" t="s">
        <v>37</v>
      </c>
      <c r="N882" t="s">
        <v>37</v>
      </c>
      <c r="O882" t="s">
        <v>38</v>
      </c>
      <c r="P882" t="s">
        <v>39</v>
      </c>
      <c r="Q882" s="55">
        <v>45954</v>
      </c>
      <c r="R882" t="s">
        <v>3523</v>
      </c>
      <c r="V882">
        <v>1</v>
      </c>
    </row>
    <row r="883" spans="1:22">
      <c r="A883" s="55">
        <v>45942</v>
      </c>
      <c r="B883" t="s">
        <v>3526</v>
      </c>
      <c r="C883" t="s">
        <v>145</v>
      </c>
      <c r="D883" t="s">
        <v>539</v>
      </c>
      <c r="E883">
        <v>85122</v>
      </c>
      <c r="F883" t="s">
        <v>3527</v>
      </c>
      <c r="G883" t="s">
        <v>3512</v>
      </c>
      <c r="H883" t="s">
        <v>3528</v>
      </c>
      <c r="I883" t="s">
        <v>36</v>
      </c>
      <c r="J883" t="s">
        <v>37</v>
      </c>
      <c r="K883" t="s">
        <v>37</v>
      </c>
      <c r="L883" t="s">
        <v>38</v>
      </c>
      <c r="M883" t="s">
        <v>37</v>
      </c>
      <c r="N883" t="s">
        <v>37</v>
      </c>
      <c r="O883" t="s">
        <v>38</v>
      </c>
      <c r="P883" t="s">
        <v>39</v>
      </c>
      <c r="Q883" s="55">
        <v>45954</v>
      </c>
      <c r="V883">
        <v>1</v>
      </c>
    </row>
    <row r="884" spans="1:22">
      <c r="A884" s="55">
        <v>45939</v>
      </c>
      <c r="B884" t="s">
        <v>3529</v>
      </c>
      <c r="C884" t="s">
        <v>3530</v>
      </c>
      <c r="D884" t="s">
        <v>63</v>
      </c>
      <c r="E884">
        <v>85050</v>
      </c>
      <c r="F884" t="s">
        <v>3531</v>
      </c>
      <c r="G884" t="s">
        <v>3512</v>
      </c>
      <c r="H884" t="s">
        <v>3532</v>
      </c>
      <c r="I884" t="s">
        <v>3533</v>
      </c>
      <c r="J884" t="s">
        <v>37</v>
      </c>
      <c r="K884" t="s">
        <v>37</v>
      </c>
      <c r="L884" t="s">
        <v>389</v>
      </c>
      <c r="M884" t="s">
        <v>37</v>
      </c>
      <c r="N884" t="s">
        <v>37</v>
      </c>
      <c r="O884" t="s">
        <v>38</v>
      </c>
      <c r="P884" t="s">
        <v>39</v>
      </c>
      <c r="Q884" s="55">
        <v>45954</v>
      </c>
      <c r="V884">
        <v>1</v>
      </c>
    </row>
    <row r="885" spans="1:22">
      <c r="A885" s="55">
        <v>45940</v>
      </c>
      <c r="B885" t="s">
        <v>3534</v>
      </c>
      <c r="C885" t="s">
        <v>2772</v>
      </c>
      <c r="D885" t="s">
        <v>2542</v>
      </c>
      <c r="E885">
        <v>86325</v>
      </c>
      <c r="F885" t="s">
        <v>3535</v>
      </c>
      <c r="G885" t="s">
        <v>3512</v>
      </c>
      <c r="H885" t="s">
        <v>3536</v>
      </c>
      <c r="I885" t="s">
        <v>73</v>
      </c>
      <c r="J885" t="s">
        <v>38</v>
      </c>
      <c r="K885" t="s">
        <v>37</v>
      </c>
      <c r="L885" t="s">
        <v>1420</v>
      </c>
      <c r="M885" t="s">
        <v>37</v>
      </c>
      <c r="N885" t="s">
        <v>37</v>
      </c>
      <c r="O885" t="s">
        <v>38</v>
      </c>
      <c r="P885" t="s">
        <v>39</v>
      </c>
      <c r="Q885" s="55">
        <v>45954</v>
      </c>
      <c r="R885" t="s">
        <v>3537</v>
      </c>
      <c r="V885">
        <v>1</v>
      </c>
    </row>
    <row r="886" spans="1:22">
      <c r="A886" s="55">
        <v>45940</v>
      </c>
      <c r="B886" t="s">
        <v>3541</v>
      </c>
      <c r="C886" t="s">
        <v>3542</v>
      </c>
      <c r="D886" t="s">
        <v>63</v>
      </c>
      <c r="E886">
        <v>85029</v>
      </c>
      <c r="F886" t="s">
        <v>3531</v>
      </c>
      <c r="G886" t="s">
        <v>3512</v>
      </c>
      <c r="H886" t="s">
        <v>3543</v>
      </c>
      <c r="I886" t="s">
        <v>418</v>
      </c>
      <c r="J886" t="s">
        <v>37</v>
      </c>
      <c r="K886" t="s">
        <v>37</v>
      </c>
      <c r="L886" t="s">
        <v>389</v>
      </c>
      <c r="M886" t="s">
        <v>38</v>
      </c>
      <c r="N886">
        <v>288.29000000000002</v>
      </c>
      <c r="O886" t="s">
        <v>38</v>
      </c>
      <c r="P886" t="s">
        <v>39</v>
      </c>
      <c r="Q886" s="55">
        <v>45954</v>
      </c>
      <c r="V886">
        <v>1</v>
      </c>
    </row>
    <row r="887" spans="1:22">
      <c r="A887" s="55">
        <v>45940</v>
      </c>
      <c r="B887" t="s">
        <v>3544</v>
      </c>
      <c r="C887" t="s">
        <v>3023</v>
      </c>
      <c r="D887" t="s">
        <v>93</v>
      </c>
      <c r="E887">
        <v>85373</v>
      </c>
      <c r="F887" t="s">
        <v>3531</v>
      </c>
      <c r="G887" t="s">
        <v>3512</v>
      </c>
      <c r="H887" t="s">
        <v>3545</v>
      </c>
      <c r="I887" t="s">
        <v>57</v>
      </c>
      <c r="J887" t="s">
        <v>38</v>
      </c>
      <c r="K887" t="s">
        <v>37</v>
      </c>
      <c r="L887" t="s">
        <v>3546</v>
      </c>
      <c r="M887" t="s">
        <v>37</v>
      </c>
      <c r="N887" t="s">
        <v>37</v>
      </c>
      <c r="O887" t="s">
        <v>38</v>
      </c>
      <c r="P887">
        <v>45945</v>
      </c>
      <c r="Q887" s="55">
        <v>45954</v>
      </c>
      <c r="R887" t="s">
        <v>2440</v>
      </c>
      <c r="V887">
        <v>1</v>
      </c>
    </row>
    <row r="888" spans="1:22">
      <c r="A888" s="55">
        <v>45940</v>
      </c>
      <c r="B888" t="s">
        <v>3547</v>
      </c>
      <c r="C888" t="s">
        <v>3548</v>
      </c>
      <c r="D888" t="s">
        <v>68</v>
      </c>
      <c r="E888">
        <v>85331</v>
      </c>
      <c r="F888" t="s">
        <v>3531</v>
      </c>
      <c r="G888" t="s">
        <v>3512</v>
      </c>
      <c r="H888" t="s">
        <v>3549</v>
      </c>
      <c r="I888" t="s">
        <v>46</v>
      </c>
      <c r="J888" t="s">
        <v>37</v>
      </c>
      <c r="K888" t="s">
        <v>37</v>
      </c>
      <c r="L888" t="s">
        <v>401</v>
      </c>
      <c r="M888" t="s">
        <v>37</v>
      </c>
      <c r="N888" t="s">
        <v>37</v>
      </c>
      <c r="O888" t="s">
        <v>38</v>
      </c>
      <c r="P888" t="s">
        <v>39</v>
      </c>
      <c r="Q888" s="55">
        <v>45954</v>
      </c>
      <c r="R888" t="s">
        <v>3550</v>
      </c>
      <c r="V888">
        <v>1</v>
      </c>
    </row>
    <row r="889" spans="1:22">
      <c r="A889" s="55">
        <v>45940</v>
      </c>
      <c r="B889" t="s">
        <v>3551</v>
      </c>
      <c r="C889" t="s">
        <v>307</v>
      </c>
      <c r="D889" t="s">
        <v>63</v>
      </c>
      <c r="E889">
        <v>85050</v>
      </c>
      <c r="F889" t="s">
        <v>3531</v>
      </c>
      <c r="G889" t="s">
        <v>3512</v>
      </c>
      <c r="H889" t="s">
        <v>3552</v>
      </c>
      <c r="I889" t="s">
        <v>541</v>
      </c>
      <c r="J889" t="s">
        <v>37</v>
      </c>
      <c r="K889" t="s">
        <v>37</v>
      </c>
      <c r="L889" t="s">
        <v>389</v>
      </c>
      <c r="M889" t="s">
        <v>37</v>
      </c>
      <c r="N889" t="s">
        <v>37</v>
      </c>
      <c r="O889" t="s">
        <v>38</v>
      </c>
      <c r="P889" t="s">
        <v>39</v>
      </c>
      <c r="Q889" s="55">
        <v>45954</v>
      </c>
      <c r="V889">
        <v>1</v>
      </c>
    </row>
    <row r="890" spans="1:22">
      <c r="A890" s="55">
        <v>45940</v>
      </c>
      <c r="B890" t="s">
        <v>3553</v>
      </c>
      <c r="C890" t="s">
        <v>3554</v>
      </c>
      <c r="D890" t="s">
        <v>125</v>
      </c>
      <c r="E890">
        <v>85254</v>
      </c>
      <c r="F890" t="s">
        <v>3531</v>
      </c>
      <c r="G890" t="s">
        <v>3512</v>
      </c>
      <c r="H890" t="s">
        <v>3555</v>
      </c>
      <c r="I890" t="s">
        <v>196</v>
      </c>
      <c r="J890" t="s">
        <v>37</v>
      </c>
      <c r="K890" t="s">
        <v>37</v>
      </c>
      <c r="L890" t="s">
        <v>3556</v>
      </c>
      <c r="M890" t="s">
        <v>38</v>
      </c>
      <c r="N890">
        <v>2463.12</v>
      </c>
      <c r="O890" t="s">
        <v>38</v>
      </c>
      <c r="P890">
        <v>45945</v>
      </c>
      <c r="Q890" s="55">
        <v>45954</v>
      </c>
      <c r="R890" t="s">
        <v>3557</v>
      </c>
      <c r="V890">
        <v>1</v>
      </c>
    </row>
    <row r="891" spans="1:22">
      <c r="A891" s="55">
        <v>45944</v>
      </c>
      <c r="B891" t="s">
        <v>3564</v>
      </c>
      <c r="C891" t="s">
        <v>3565</v>
      </c>
      <c r="D891" t="s">
        <v>63</v>
      </c>
      <c r="E891">
        <v>85032</v>
      </c>
      <c r="F891" t="s">
        <v>3531</v>
      </c>
      <c r="G891" t="s">
        <v>3563</v>
      </c>
      <c r="H891" t="s">
        <v>3566</v>
      </c>
      <c r="I891" t="s">
        <v>36</v>
      </c>
      <c r="J891" t="s">
        <v>37</v>
      </c>
      <c r="K891" t="s">
        <v>37</v>
      </c>
      <c r="L891" t="s">
        <v>1586</v>
      </c>
      <c r="M891" t="s">
        <v>37</v>
      </c>
      <c r="N891" t="s">
        <v>37</v>
      </c>
      <c r="O891" t="s">
        <v>38</v>
      </c>
      <c r="P891" t="s">
        <v>39</v>
      </c>
      <c r="Q891" s="55">
        <v>45954</v>
      </c>
      <c r="V891">
        <v>1</v>
      </c>
    </row>
    <row r="892" spans="1:22">
      <c r="A892" s="55">
        <v>45944</v>
      </c>
      <c r="B892" t="s">
        <v>3567</v>
      </c>
      <c r="C892" t="s">
        <v>3568</v>
      </c>
      <c r="D892" t="s">
        <v>93</v>
      </c>
      <c r="E892">
        <v>85351</v>
      </c>
      <c r="F892" t="s">
        <v>3569</v>
      </c>
      <c r="G892" t="s">
        <v>3563</v>
      </c>
      <c r="H892" t="s">
        <v>3570</v>
      </c>
      <c r="I892" t="s">
        <v>36</v>
      </c>
      <c r="J892" t="s">
        <v>37</v>
      </c>
      <c r="K892" t="s">
        <v>37</v>
      </c>
      <c r="L892" t="s">
        <v>1586</v>
      </c>
      <c r="M892" t="s">
        <v>37</v>
      </c>
      <c r="N892" t="s">
        <v>37</v>
      </c>
      <c r="O892" t="s">
        <v>38</v>
      </c>
      <c r="P892" t="s">
        <v>39</v>
      </c>
      <c r="Q892" s="55">
        <v>45954</v>
      </c>
      <c r="V892">
        <v>1</v>
      </c>
    </row>
    <row r="893" spans="1:22">
      <c r="A893" s="55">
        <v>45944</v>
      </c>
      <c r="B893" t="s">
        <v>3571</v>
      </c>
      <c r="C893" t="s">
        <v>3540</v>
      </c>
      <c r="D893" t="s">
        <v>93</v>
      </c>
      <c r="E893">
        <v>85351</v>
      </c>
      <c r="F893" t="s">
        <v>3569</v>
      </c>
      <c r="G893" t="s">
        <v>3563</v>
      </c>
      <c r="H893" t="s">
        <v>3570</v>
      </c>
      <c r="I893" t="s">
        <v>36</v>
      </c>
      <c r="J893" t="s">
        <v>37</v>
      </c>
      <c r="K893" t="s">
        <v>37</v>
      </c>
      <c r="L893" t="s">
        <v>1586</v>
      </c>
      <c r="M893" t="s">
        <v>37</v>
      </c>
      <c r="N893" t="s">
        <v>37</v>
      </c>
      <c r="O893" t="s">
        <v>38</v>
      </c>
      <c r="P893" t="s">
        <v>39</v>
      </c>
      <c r="Q893" s="55">
        <v>45954</v>
      </c>
      <c r="V893">
        <v>1</v>
      </c>
    </row>
    <row r="894" spans="1:22">
      <c r="A894" s="55">
        <v>45944</v>
      </c>
      <c r="B894" t="s">
        <v>3534</v>
      </c>
      <c r="C894" t="s">
        <v>2772</v>
      </c>
      <c r="D894" t="s">
        <v>2542</v>
      </c>
      <c r="E894">
        <v>86325</v>
      </c>
      <c r="F894" t="s">
        <v>3572</v>
      </c>
      <c r="G894" t="s">
        <v>3563</v>
      </c>
      <c r="H894" t="s">
        <v>3536</v>
      </c>
      <c r="I894" t="s">
        <v>73</v>
      </c>
      <c r="J894" t="s">
        <v>38</v>
      </c>
      <c r="K894" t="s">
        <v>37</v>
      </c>
      <c r="L894" t="s">
        <v>1420</v>
      </c>
      <c r="M894" t="s">
        <v>37</v>
      </c>
      <c r="N894" t="s">
        <v>37</v>
      </c>
      <c r="O894" t="s">
        <v>38</v>
      </c>
      <c r="P894" t="s">
        <v>39</v>
      </c>
      <c r="Q894" s="55">
        <v>45954</v>
      </c>
      <c r="R894" t="s">
        <v>3537</v>
      </c>
      <c r="V894">
        <v>1</v>
      </c>
    </row>
    <row r="895" spans="1:22">
      <c r="A895" s="55">
        <v>45945</v>
      </c>
      <c r="B895" t="s">
        <v>3573</v>
      </c>
      <c r="C895" t="s">
        <v>184</v>
      </c>
      <c r="D895" t="s">
        <v>2265</v>
      </c>
      <c r="E895">
        <v>85603</v>
      </c>
      <c r="F895" t="s">
        <v>3574</v>
      </c>
      <c r="G895" t="s">
        <v>3575</v>
      </c>
      <c r="H895" t="s">
        <v>3576</v>
      </c>
      <c r="I895" t="s">
        <v>196</v>
      </c>
      <c r="J895" t="s">
        <v>37</v>
      </c>
      <c r="K895" t="s">
        <v>37</v>
      </c>
      <c r="L895" t="s">
        <v>3577</v>
      </c>
      <c r="M895" t="s">
        <v>37</v>
      </c>
      <c r="N895" t="s">
        <v>37</v>
      </c>
      <c r="O895" t="s">
        <v>38</v>
      </c>
      <c r="P895">
        <v>45947</v>
      </c>
      <c r="Q895" s="55">
        <v>45954</v>
      </c>
      <c r="R895" t="s">
        <v>3578</v>
      </c>
      <c r="V895">
        <v>1</v>
      </c>
    </row>
    <row r="896" spans="1:22">
      <c r="A896" s="55">
        <v>45944</v>
      </c>
      <c r="B896" t="s">
        <v>3579</v>
      </c>
      <c r="C896" t="s">
        <v>747</v>
      </c>
      <c r="D896" t="s">
        <v>63</v>
      </c>
      <c r="E896">
        <v>85032</v>
      </c>
      <c r="F896" t="s">
        <v>3531</v>
      </c>
      <c r="G896" t="s">
        <v>3580</v>
      </c>
      <c r="H896" t="s">
        <v>3581</v>
      </c>
      <c r="I896" t="s">
        <v>196</v>
      </c>
      <c r="J896" t="s">
        <v>37</v>
      </c>
      <c r="L896" t="s">
        <v>3582</v>
      </c>
      <c r="O896" t="s">
        <v>38</v>
      </c>
      <c r="P896" t="s">
        <v>39</v>
      </c>
      <c r="Q896" s="55"/>
      <c r="R896" t="s">
        <v>3583</v>
      </c>
      <c r="V896">
        <v>1</v>
      </c>
    </row>
    <row r="897" spans="1:22">
      <c r="A897" s="55">
        <v>45944</v>
      </c>
      <c r="B897" t="s">
        <v>3584</v>
      </c>
      <c r="C897" t="s">
        <v>685</v>
      </c>
      <c r="D897" t="s">
        <v>63</v>
      </c>
      <c r="E897">
        <v>85015</v>
      </c>
      <c r="F897" t="s">
        <v>3531</v>
      </c>
      <c r="G897" t="s">
        <v>3580</v>
      </c>
      <c r="H897" t="s">
        <v>3585</v>
      </c>
      <c r="I897" t="s">
        <v>57</v>
      </c>
      <c r="J897" t="s">
        <v>37</v>
      </c>
      <c r="K897" t="s">
        <v>37</v>
      </c>
      <c r="L897" t="s">
        <v>3586</v>
      </c>
      <c r="M897" t="s">
        <v>37</v>
      </c>
      <c r="N897" t="s">
        <v>37</v>
      </c>
      <c r="O897" t="s">
        <v>38</v>
      </c>
      <c r="P897">
        <v>45947</v>
      </c>
      <c r="Q897" s="55">
        <v>45954</v>
      </c>
      <c r="R897" t="s">
        <v>3587</v>
      </c>
      <c r="V897">
        <v>1</v>
      </c>
    </row>
    <row r="898" spans="1:22">
      <c r="A898" s="55">
        <v>45944</v>
      </c>
      <c r="B898" t="s">
        <v>3593</v>
      </c>
      <c r="C898" t="s">
        <v>225</v>
      </c>
      <c r="D898" t="s">
        <v>63</v>
      </c>
      <c r="E898">
        <v>85032</v>
      </c>
      <c r="F898" t="s">
        <v>3531</v>
      </c>
      <c r="G898" t="s">
        <v>3580</v>
      </c>
      <c r="H898" t="s">
        <v>3594</v>
      </c>
      <c r="I898" t="s">
        <v>46</v>
      </c>
      <c r="J898" t="s">
        <v>37</v>
      </c>
      <c r="K898" t="s">
        <v>37</v>
      </c>
      <c r="L898" t="s">
        <v>1586</v>
      </c>
      <c r="M898" t="s">
        <v>37</v>
      </c>
      <c r="N898" t="s">
        <v>37</v>
      </c>
      <c r="O898" t="s">
        <v>38</v>
      </c>
      <c r="P898" t="s">
        <v>39</v>
      </c>
      <c r="Q898" s="55">
        <v>45954</v>
      </c>
      <c r="R898" t="s">
        <v>3595</v>
      </c>
      <c r="V898">
        <v>1</v>
      </c>
    </row>
    <row r="899" spans="1:22">
      <c r="A899" s="55">
        <v>45944</v>
      </c>
      <c r="B899" t="s">
        <v>167</v>
      </c>
      <c r="C899" t="s">
        <v>3596</v>
      </c>
      <c r="D899" t="s">
        <v>63</v>
      </c>
      <c r="E899">
        <v>85007</v>
      </c>
      <c r="F899" t="s">
        <v>3531</v>
      </c>
      <c r="G899" t="s">
        <v>3580</v>
      </c>
      <c r="H899" t="s">
        <v>3597</v>
      </c>
      <c r="I899" t="s">
        <v>36</v>
      </c>
      <c r="J899" t="s">
        <v>37</v>
      </c>
      <c r="K899" t="s">
        <v>37</v>
      </c>
      <c r="L899" t="s">
        <v>1586</v>
      </c>
      <c r="M899" t="s">
        <v>37</v>
      </c>
      <c r="N899" t="s">
        <v>37</v>
      </c>
      <c r="O899" t="s">
        <v>38</v>
      </c>
      <c r="P899" t="s">
        <v>39</v>
      </c>
      <c r="Q899" s="55">
        <v>45954</v>
      </c>
      <c r="R899" t="s">
        <v>3583</v>
      </c>
      <c r="V899">
        <v>1</v>
      </c>
    </row>
    <row r="900" spans="1:22">
      <c r="A900" s="55">
        <v>45945</v>
      </c>
      <c r="B900" t="s">
        <v>3601</v>
      </c>
      <c r="C900" t="s">
        <v>440</v>
      </c>
      <c r="D900" t="s">
        <v>3602</v>
      </c>
      <c r="E900">
        <v>86337</v>
      </c>
      <c r="F900" t="s">
        <v>3603</v>
      </c>
      <c r="G900" t="s">
        <v>3604</v>
      </c>
      <c r="H900" t="s">
        <v>3605</v>
      </c>
      <c r="I900" t="s">
        <v>418</v>
      </c>
      <c r="J900" t="s">
        <v>37</v>
      </c>
      <c r="K900" t="s">
        <v>37</v>
      </c>
      <c r="L900" t="s">
        <v>389</v>
      </c>
      <c r="M900" t="s">
        <v>37</v>
      </c>
      <c r="N900" t="s">
        <v>37</v>
      </c>
      <c r="O900" t="s">
        <v>38</v>
      </c>
      <c r="P900" t="s">
        <v>39</v>
      </c>
      <c r="Q900" s="55">
        <v>45954</v>
      </c>
      <c r="V900">
        <v>1</v>
      </c>
    </row>
    <row r="901" spans="1:22">
      <c r="A901" s="55">
        <v>45945</v>
      </c>
      <c r="B901" t="s">
        <v>3606</v>
      </c>
      <c r="C901" t="s">
        <v>3273</v>
      </c>
      <c r="D901" t="s">
        <v>3607</v>
      </c>
      <c r="E901">
        <v>85650</v>
      </c>
      <c r="F901" t="s">
        <v>3608</v>
      </c>
      <c r="G901" t="s">
        <v>3604</v>
      </c>
      <c r="H901" t="s">
        <v>3609</v>
      </c>
      <c r="I901" t="s">
        <v>36</v>
      </c>
      <c r="J901" t="s">
        <v>37</v>
      </c>
      <c r="K901" t="s">
        <v>37</v>
      </c>
      <c r="L901" t="s">
        <v>1586</v>
      </c>
      <c r="M901" t="s">
        <v>37</v>
      </c>
      <c r="N901" t="s">
        <v>37</v>
      </c>
      <c r="O901" t="s">
        <v>38</v>
      </c>
      <c r="P901" t="s">
        <v>39</v>
      </c>
      <c r="Q901" s="55">
        <v>45954</v>
      </c>
      <c r="V901">
        <v>1</v>
      </c>
    </row>
    <row r="902" spans="1:22">
      <c r="A902" s="55">
        <v>45946</v>
      </c>
      <c r="B902" t="s">
        <v>3612</v>
      </c>
      <c r="C902" t="s">
        <v>747</v>
      </c>
      <c r="D902" t="s">
        <v>3613</v>
      </c>
      <c r="E902">
        <v>85553</v>
      </c>
      <c r="F902" t="s">
        <v>3614</v>
      </c>
      <c r="G902" t="s">
        <v>3615</v>
      </c>
      <c r="H902" t="s">
        <v>3616</v>
      </c>
      <c r="I902" t="s">
        <v>541</v>
      </c>
      <c r="J902" t="s">
        <v>37</v>
      </c>
      <c r="K902" t="s">
        <v>37</v>
      </c>
      <c r="L902" t="s">
        <v>389</v>
      </c>
      <c r="M902" t="s">
        <v>37</v>
      </c>
      <c r="N902" t="s">
        <v>37</v>
      </c>
      <c r="O902" t="s">
        <v>38</v>
      </c>
      <c r="P902" t="s">
        <v>39</v>
      </c>
      <c r="Q902" s="55">
        <v>45954</v>
      </c>
      <c r="V902">
        <v>1</v>
      </c>
    </row>
    <row r="903" spans="1:22">
      <c r="A903" s="55">
        <v>45946</v>
      </c>
      <c r="B903" t="s">
        <v>990</v>
      </c>
      <c r="C903" t="s">
        <v>3617</v>
      </c>
      <c r="D903" t="s">
        <v>63</v>
      </c>
      <c r="E903">
        <v>85024</v>
      </c>
      <c r="F903" t="s">
        <v>3618</v>
      </c>
      <c r="G903" t="s">
        <v>3619</v>
      </c>
      <c r="H903" t="s">
        <v>3620</v>
      </c>
      <c r="I903" t="s">
        <v>36</v>
      </c>
      <c r="J903" t="s">
        <v>37</v>
      </c>
      <c r="K903" t="s">
        <v>37</v>
      </c>
      <c r="L903" t="s">
        <v>1586</v>
      </c>
      <c r="M903" t="s">
        <v>37</v>
      </c>
      <c r="N903" t="s">
        <v>37</v>
      </c>
      <c r="O903" t="s">
        <v>38</v>
      </c>
      <c r="P903" t="s">
        <v>39</v>
      </c>
      <c r="Q903" s="55">
        <v>45954</v>
      </c>
      <c r="V903">
        <v>1</v>
      </c>
    </row>
    <row r="904" spans="1:22">
      <c r="A904" s="55">
        <v>45946</v>
      </c>
      <c r="B904" t="s">
        <v>3431</v>
      </c>
      <c r="C904" t="s">
        <v>3621</v>
      </c>
      <c r="D904" t="s">
        <v>816</v>
      </c>
      <c r="E904">
        <v>86301</v>
      </c>
      <c r="F904" t="s">
        <v>3622</v>
      </c>
      <c r="G904" t="s">
        <v>3623</v>
      </c>
      <c r="H904" t="s">
        <v>3624</v>
      </c>
      <c r="I904" t="s">
        <v>36</v>
      </c>
      <c r="J904" t="s">
        <v>37</v>
      </c>
      <c r="K904" t="s">
        <v>37</v>
      </c>
      <c r="L904" t="s">
        <v>1586</v>
      </c>
      <c r="M904" t="s">
        <v>37</v>
      </c>
      <c r="N904" t="s">
        <v>37</v>
      </c>
      <c r="O904" t="s">
        <v>38</v>
      </c>
      <c r="P904" t="s">
        <v>39</v>
      </c>
      <c r="Q904" s="55">
        <v>45954</v>
      </c>
      <c r="V904">
        <v>1</v>
      </c>
    </row>
    <row r="905" spans="1:22">
      <c r="A905" s="55">
        <v>45946</v>
      </c>
      <c r="B905" t="s">
        <v>3625</v>
      </c>
      <c r="C905" t="s">
        <v>382</v>
      </c>
      <c r="D905" t="s">
        <v>619</v>
      </c>
      <c r="E905">
        <v>85364</v>
      </c>
      <c r="F905" t="s">
        <v>3626</v>
      </c>
      <c r="G905" t="s">
        <v>3623</v>
      </c>
      <c r="H905" t="s">
        <v>3627</v>
      </c>
      <c r="I905" t="s">
        <v>46</v>
      </c>
      <c r="J905" t="s">
        <v>37</v>
      </c>
      <c r="K905" t="s">
        <v>37</v>
      </c>
      <c r="L905" t="s">
        <v>3628</v>
      </c>
      <c r="M905" t="s">
        <v>37</v>
      </c>
      <c r="N905" t="s">
        <v>37</v>
      </c>
      <c r="O905" t="s">
        <v>38</v>
      </c>
      <c r="P905" t="s">
        <v>39</v>
      </c>
      <c r="Q905" s="55">
        <v>45954</v>
      </c>
      <c r="R905" t="s">
        <v>3629</v>
      </c>
      <c r="V905">
        <v>1</v>
      </c>
    </row>
    <row r="906" spans="1:22">
      <c r="A906" s="55">
        <v>45946</v>
      </c>
      <c r="B906" t="s">
        <v>1134</v>
      </c>
      <c r="C906" t="s">
        <v>991</v>
      </c>
      <c r="D906" t="s">
        <v>63</v>
      </c>
      <c r="E906">
        <v>85006</v>
      </c>
      <c r="F906" t="s">
        <v>3632</v>
      </c>
      <c r="G906" t="s">
        <v>3623</v>
      </c>
      <c r="H906" t="s">
        <v>3633</v>
      </c>
      <c r="I906" t="s">
        <v>541</v>
      </c>
      <c r="J906" t="s">
        <v>37</v>
      </c>
      <c r="K906" t="s">
        <v>37</v>
      </c>
      <c r="L906" t="s">
        <v>389</v>
      </c>
      <c r="M906" t="s">
        <v>37</v>
      </c>
      <c r="N906" t="s">
        <v>37</v>
      </c>
      <c r="O906" t="s">
        <v>38</v>
      </c>
      <c r="P906" t="s">
        <v>39</v>
      </c>
      <c r="Q906" s="55">
        <v>45954</v>
      </c>
      <c r="V906">
        <v>1</v>
      </c>
    </row>
    <row r="907" spans="1:22">
      <c r="A907" s="55">
        <v>45946</v>
      </c>
      <c r="B907" t="s">
        <v>3634</v>
      </c>
      <c r="C907" t="s">
        <v>3635</v>
      </c>
      <c r="D907" t="s">
        <v>504</v>
      </c>
      <c r="E907">
        <v>86005</v>
      </c>
      <c r="F907" t="s">
        <v>3636</v>
      </c>
      <c r="G907" t="s">
        <v>3623</v>
      </c>
      <c r="H907" t="s">
        <v>3637</v>
      </c>
      <c r="I907" t="s">
        <v>126</v>
      </c>
      <c r="J907" t="s">
        <v>37</v>
      </c>
      <c r="K907" t="s">
        <v>37</v>
      </c>
      <c r="L907" t="s">
        <v>3638</v>
      </c>
      <c r="M907" t="s">
        <v>37</v>
      </c>
      <c r="N907" t="s">
        <v>37</v>
      </c>
      <c r="O907" t="s">
        <v>38</v>
      </c>
      <c r="P907" t="s">
        <v>39</v>
      </c>
      <c r="Q907" s="55">
        <v>45954</v>
      </c>
      <c r="V907">
        <v>1</v>
      </c>
    </row>
    <row r="908" spans="1:22">
      <c r="A908" s="55">
        <v>45946</v>
      </c>
      <c r="B908" t="s">
        <v>419</v>
      </c>
      <c r="C908" t="s">
        <v>3639</v>
      </c>
      <c r="D908" t="s">
        <v>63</v>
      </c>
      <c r="E908">
        <v>85029</v>
      </c>
      <c r="F908" t="s">
        <v>3640</v>
      </c>
      <c r="G908" t="s">
        <v>3623</v>
      </c>
      <c r="H908" t="s">
        <v>3641</v>
      </c>
      <c r="I908" t="s">
        <v>126</v>
      </c>
      <c r="J908" t="s">
        <v>37</v>
      </c>
      <c r="K908" t="s">
        <v>37</v>
      </c>
      <c r="L908" t="s">
        <v>1586</v>
      </c>
      <c r="M908" t="s">
        <v>37</v>
      </c>
      <c r="N908" t="s">
        <v>37</v>
      </c>
      <c r="O908" t="s">
        <v>38</v>
      </c>
      <c r="P908" t="s">
        <v>39</v>
      </c>
      <c r="Q908" s="55">
        <v>45954</v>
      </c>
      <c r="V908">
        <v>1</v>
      </c>
    </row>
    <row r="909" spans="1:22">
      <c r="A909" s="55">
        <v>45947</v>
      </c>
      <c r="B909" t="s">
        <v>78</v>
      </c>
      <c r="C909" t="s">
        <v>79</v>
      </c>
      <c r="D909" t="s">
        <v>125</v>
      </c>
      <c r="E909">
        <v>85254</v>
      </c>
      <c r="F909" t="s">
        <v>3642</v>
      </c>
      <c r="G909" t="s">
        <v>3643</v>
      </c>
      <c r="H909" t="s">
        <v>80</v>
      </c>
      <c r="I909" t="s">
        <v>81</v>
      </c>
      <c r="J909" t="s">
        <v>37</v>
      </c>
      <c r="K909" t="s">
        <v>37</v>
      </c>
      <c r="L909" t="s">
        <v>389</v>
      </c>
      <c r="M909" t="s">
        <v>37</v>
      </c>
      <c r="N909" t="s">
        <v>37</v>
      </c>
      <c r="O909" t="s">
        <v>38</v>
      </c>
      <c r="P909" t="s">
        <v>39</v>
      </c>
      <c r="Q909" s="55">
        <v>45954</v>
      </c>
      <c r="R909" t="s">
        <v>2873</v>
      </c>
      <c r="V909">
        <v>1</v>
      </c>
    </row>
    <row r="910" spans="1:22">
      <c r="A910" s="55">
        <v>45947</v>
      </c>
      <c r="B910" t="s">
        <v>3646</v>
      </c>
      <c r="C910" t="s">
        <v>1714</v>
      </c>
      <c r="D910" t="s">
        <v>125</v>
      </c>
      <c r="E910">
        <v>85254</v>
      </c>
      <c r="F910" t="s">
        <v>3647</v>
      </c>
      <c r="G910" t="s">
        <v>3643</v>
      </c>
      <c r="H910" t="s">
        <v>3648</v>
      </c>
      <c r="I910" t="s">
        <v>73</v>
      </c>
      <c r="J910" t="s">
        <v>37</v>
      </c>
      <c r="K910" t="s">
        <v>37</v>
      </c>
      <c r="L910" t="s">
        <v>1586</v>
      </c>
      <c r="M910" t="s">
        <v>37</v>
      </c>
      <c r="N910" t="s">
        <v>37</v>
      </c>
      <c r="O910" t="s">
        <v>38</v>
      </c>
      <c r="P910" t="s">
        <v>39</v>
      </c>
      <c r="Q910" s="55">
        <v>45954</v>
      </c>
      <c r="V910">
        <v>1</v>
      </c>
    </row>
    <row r="911" spans="1:22">
      <c r="A911" s="55">
        <v>45951</v>
      </c>
      <c r="B911" t="s">
        <v>3654</v>
      </c>
      <c r="C911" t="s">
        <v>88</v>
      </c>
      <c r="D911" t="s">
        <v>2927</v>
      </c>
      <c r="E911">
        <v>85344</v>
      </c>
      <c r="F911" t="s">
        <v>3655</v>
      </c>
      <c r="G911" t="s">
        <v>3656</v>
      </c>
      <c r="H911" t="s">
        <v>3657</v>
      </c>
      <c r="I911" t="s">
        <v>126</v>
      </c>
      <c r="J911" t="s">
        <v>37</v>
      </c>
      <c r="K911" t="s">
        <v>37</v>
      </c>
      <c r="M911" t="s">
        <v>37</v>
      </c>
      <c r="N911" t="s">
        <v>37</v>
      </c>
      <c r="O911" t="s">
        <v>38</v>
      </c>
      <c r="P911" t="s">
        <v>39</v>
      </c>
      <c r="Q911" s="55">
        <v>45954</v>
      </c>
      <c r="R911" t="s">
        <v>3658</v>
      </c>
      <c r="V911">
        <v>1</v>
      </c>
    </row>
    <row r="912" spans="1:22">
      <c r="A912" s="55">
        <v>45951</v>
      </c>
      <c r="B912" t="s">
        <v>3659</v>
      </c>
      <c r="C912" t="s">
        <v>529</v>
      </c>
      <c r="D912" t="s">
        <v>202</v>
      </c>
      <c r="E912">
        <v>85383</v>
      </c>
      <c r="F912" t="s">
        <v>3660</v>
      </c>
      <c r="G912" t="s">
        <v>3661</v>
      </c>
      <c r="H912" t="s">
        <v>3662</v>
      </c>
      <c r="I912" t="s">
        <v>36</v>
      </c>
      <c r="J912" t="s">
        <v>37</v>
      </c>
      <c r="K912" t="s">
        <v>37</v>
      </c>
      <c r="L912" t="s">
        <v>1586</v>
      </c>
      <c r="M912" t="s">
        <v>37</v>
      </c>
      <c r="N912" t="s">
        <v>37</v>
      </c>
      <c r="O912" t="s">
        <v>38</v>
      </c>
      <c r="P912" t="s">
        <v>39</v>
      </c>
      <c r="Q912" s="55">
        <v>45954</v>
      </c>
      <c r="V912">
        <v>1</v>
      </c>
    </row>
    <row r="913" spans="1:22">
      <c r="A913" s="55">
        <v>45951</v>
      </c>
      <c r="B913" t="s">
        <v>3663</v>
      </c>
      <c r="C913" t="s">
        <v>597</v>
      </c>
      <c r="D913" t="s">
        <v>169</v>
      </c>
      <c r="E913">
        <v>85338</v>
      </c>
      <c r="F913" t="s">
        <v>3664</v>
      </c>
      <c r="G913" t="s">
        <v>3661</v>
      </c>
      <c r="H913" t="s">
        <v>3665</v>
      </c>
      <c r="I913" t="s">
        <v>418</v>
      </c>
      <c r="J913" t="s">
        <v>37</v>
      </c>
      <c r="K913" t="s">
        <v>37</v>
      </c>
      <c r="L913" t="s">
        <v>389</v>
      </c>
      <c r="M913" t="s">
        <v>37</v>
      </c>
      <c r="N913" t="s">
        <v>37</v>
      </c>
      <c r="O913" t="s">
        <v>38</v>
      </c>
      <c r="P913" t="s">
        <v>39</v>
      </c>
      <c r="Q913" s="55">
        <v>45954</v>
      </c>
      <c r="V913">
        <v>1</v>
      </c>
    </row>
    <row r="914" spans="1:22">
      <c r="A914" s="55">
        <v>45952</v>
      </c>
      <c r="B914" t="s">
        <v>3670</v>
      </c>
      <c r="C914" t="s">
        <v>3671</v>
      </c>
      <c r="D914" t="s">
        <v>63</v>
      </c>
      <c r="E914">
        <v>85012</v>
      </c>
      <c r="F914" t="s">
        <v>3672</v>
      </c>
      <c r="G914" t="s">
        <v>3668</v>
      </c>
      <c r="H914" t="s">
        <v>3673</v>
      </c>
      <c r="I914" t="s">
        <v>73</v>
      </c>
      <c r="J914" t="s">
        <v>37</v>
      </c>
      <c r="K914" t="s">
        <v>37</v>
      </c>
      <c r="L914" t="s">
        <v>3674</v>
      </c>
      <c r="M914" t="s">
        <v>37</v>
      </c>
      <c r="N914" t="s">
        <v>37</v>
      </c>
      <c r="O914" t="s">
        <v>38</v>
      </c>
      <c r="P914" t="s">
        <v>39</v>
      </c>
      <c r="Q914" s="55">
        <v>45954</v>
      </c>
      <c r="V914">
        <v>1</v>
      </c>
    </row>
    <row r="915" spans="1:22">
      <c r="A915" s="55">
        <v>45952</v>
      </c>
      <c r="B915" t="s">
        <v>3678</v>
      </c>
      <c r="C915" t="s">
        <v>3679</v>
      </c>
      <c r="D915" t="s">
        <v>63</v>
      </c>
      <c r="E915">
        <v>85023</v>
      </c>
      <c r="F915" t="s">
        <v>3680</v>
      </c>
      <c r="G915" t="s">
        <v>3681</v>
      </c>
      <c r="H915" t="s">
        <v>3682</v>
      </c>
      <c r="I915" t="s">
        <v>36</v>
      </c>
      <c r="J915" t="s">
        <v>37</v>
      </c>
      <c r="K915" t="s">
        <v>38</v>
      </c>
      <c r="L915" t="s">
        <v>1586</v>
      </c>
      <c r="M915" t="s">
        <v>37</v>
      </c>
      <c r="N915" t="s">
        <v>37</v>
      </c>
      <c r="O915" t="s">
        <v>38</v>
      </c>
      <c r="P915" t="s">
        <v>39</v>
      </c>
      <c r="Q915" s="55">
        <v>45954</v>
      </c>
      <c r="V915">
        <v>1</v>
      </c>
    </row>
    <row r="916" spans="1:22">
      <c r="A916" s="55">
        <v>45952</v>
      </c>
      <c r="B916" t="s">
        <v>3683</v>
      </c>
      <c r="C916" t="s">
        <v>2454</v>
      </c>
      <c r="D916" t="s">
        <v>174</v>
      </c>
      <c r="E916">
        <v>85396</v>
      </c>
      <c r="F916" t="s">
        <v>3684</v>
      </c>
      <c r="G916" t="s">
        <v>3685</v>
      </c>
      <c r="H916" t="s">
        <v>3686</v>
      </c>
      <c r="I916" t="s">
        <v>81</v>
      </c>
      <c r="J916" t="s">
        <v>37</v>
      </c>
      <c r="K916" t="s">
        <v>37</v>
      </c>
      <c r="L916" t="s">
        <v>389</v>
      </c>
      <c r="M916" t="s">
        <v>37</v>
      </c>
      <c r="N916" t="s">
        <v>37</v>
      </c>
      <c r="O916" t="s">
        <v>38</v>
      </c>
      <c r="P916" t="s">
        <v>39</v>
      </c>
      <c r="Q916" s="55">
        <v>45954</v>
      </c>
      <c r="V916">
        <v>1</v>
      </c>
    </row>
    <row r="917" spans="1:22">
      <c r="A917" s="55">
        <v>45954</v>
      </c>
      <c r="B917" t="s">
        <v>3694</v>
      </c>
      <c r="C917" t="s">
        <v>3695</v>
      </c>
      <c r="D917" t="s">
        <v>174</v>
      </c>
      <c r="E917">
        <v>85326</v>
      </c>
      <c r="F917" t="s">
        <v>3696</v>
      </c>
      <c r="G917" t="s">
        <v>3697</v>
      </c>
      <c r="H917" t="s">
        <v>3698</v>
      </c>
      <c r="I917" t="s">
        <v>46</v>
      </c>
      <c r="J917" t="s">
        <v>37</v>
      </c>
      <c r="K917" t="s">
        <v>37</v>
      </c>
      <c r="L917" t="s">
        <v>1586</v>
      </c>
      <c r="M917" t="s">
        <v>38</v>
      </c>
      <c r="N917">
        <v>384.67</v>
      </c>
      <c r="O917" t="s">
        <v>38</v>
      </c>
      <c r="P917" t="s">
        <v>39</v>
      </c>
      <c r="Q917" s="55">
        <v>45960</v>
      </c>
      <c r="V917">
        <v>1</v>
      </c>
    </row>
    <row r="918" spans="1:22">
      <c r="A918" s="55">
        <v>45954</v>
      </c>
      <c r="B918" t="s">
        <v>3699</v>
      </c>
      <c r="C918" t="s">
        <v>550</v>
      </c>
      <c r="D918" t="s">
        <v>202</v>
      </c>
      <c r="E918">
        <v>85383</v>
      </c>
      <c r="F918" t="s">
        <v>3700</v>
      </c>
      <c r="G918" t="s">
        <v>3697</v>
      </c>
      <c r="H918" t="s">
        <v>3701</v>
      </c>
      <c r="I918" t="s">
        <v>36</v>
      </c>
      <c r="J918" t="s">
        <v>37</v>
      </c>
      <c r="K918" t="s">
        <v>37</v>
      </c>
      <c r="L918" t="s">
        <v>1586</v>
      </c>
      <c r="M918" t="s">
        <v>37</v>
      </c>
      <c r="N918" t="s">
        <v>37</v>
      </c>
      <c r="O918" t="s">
        <v>38</v>
      </c>
      <c r="P918" t="s">
        <v>39</v>
      </c>
      <c r="Q918" s="55">
        <v>45960</v>
      </c>
      <c r="V918">
        <v>1</v>
      </c>
    </row>
    <row r="919" spans="1:22">
      <c r="A919" s="55">
        <v>45954</v>
      </c>
      <c r="B919" t="s">
        <v>3702</v>
      </c>
      <c r="C919" t="s">
        <v>481</v>
      </c>
      <c r="D919" t="s">
        <v>169</v>
      </c>
      <c r="E919">
        <v>85395</v>
      </c>
      <c r="F919" t="s">
        <v>3703</v>
      </c>
      <c r="G919" t="s">
        <v>3697</v>
      </c>
      <c r="H919" t="s">
        <v>3704</v>
      </c>
      <c r="I919" t="s">
        <v>418</v>
      </c>
      <c r="J919" t="s">
        <v>37</v>
      </c>
      <c r="K919" t="s">
        <v>37</v>
      </c>
      <c r="L919" t="s">
        <v>389</v>
      </c>
      <c r="M919" t="s">
        <v>37</v>
      </c>
      <c r="N919" t="s">
        <v>37</v>
      </c>
      <c r="O919" t="s">
        <v>38</v>
      </c>
      <c r="P919" t="s">
        <v>39</v>
      </c>
      <c r="Q919" s="55">
        <v>45960</v>
      </c>
      <c r="V919">
        <v>1</v>
      </c>
    </row>
    <row r="920" spans="1:22">
      <c r="A920" s="55">
        <v>45954</v>
      </c>
      <c r="B920" t="s">
        <v>3705</v>
      </c>
      <c r="C920" t="s">
        <v>2601</v>
      </c>
      <c r="D920" t="s">
        <v>63</v>
      </c>
      <c r="E920">
        <v>85003</v>
      </c>
      <c r="F920" t="s">
        <v>3356</v>
      </c>
      <c r="G920" t="s">
        <v>3706</v>
      </c>
      <c r="H920" t="s">
        <v>3707</v>
      </c>
      <c r="I920" t="s">
        <v>126</v>
      </c>
      <c r="J920" t="s">
        <v>37</v>
      </c>
      <c r="K920" t="s">
        <v>37</v>
      </c>
      <c r="L920" t="s">
        <v>3708</v>
      </c>
      <c r="M920" t="s">
        <v>38</v>
      </c>
      <c r="N920">
        <v>398.69</v>
      </c>
      <c r="O920" t="s">
        <v>38</v>
      </c>
      <c r="P920" t="s">
        <v>39</v>
      </c>
      <c r="Q920" s="55">
        <v>45960</v>
      </c>
      <c r="V920">
        <v>1</v>
      </c>
    </row>
    <row r="921" spans="1:22">
      <c r="A921" s="55">
        <v>45959</v>
      </c>
      <c r="B921" t="s">
        <v>3711</v>
      </c>
      <c r="C921" t="s">
        <v>252</v>
      </c>
      <c r="D921" t="s">
        <v>63</v>
      </c>
      <c r="E921">
        <v>85086</v>
      </c>
      <c r="F921" t="s">
        <v>3531</v>
      </c>
      <c r="G921" t="s">
        <v>3712</v>
      </c>
      <c r="H921" t="s">
        <v>3713</v>
      </c>
      <c r="I921" t="s">
        <v>36</v>
      </c>
      <c r="J921" t="s">
        <v>38</v>
      </c>
      <c r="K921" t="s">
        <v>37</v>
      </c>
      <c r="L921" t="s">
        <v>3714</v>
      </c>
      <c r="M921" t="s">
        <v>38</v>
      </c>
      <c r="N921">
        <v>318.62</v>
      </c>
      <c r="O921" t="s">
        <v>38</v>
      </c>
      <c r="P921" t="s">
        <v>39</v>
      </c>
      <c r="Q921" s="55">
        <v>45960</v>
      </c>
      <c r="R921" t="s">
        <v>3497</v>
      </c>
      <c r="V921">
        <v>1</v>
      </c>
    </row>
    <row r="922" spans="1:22">
      <c r="A922" s="55">
        <v>45959</v>
      </c>
      <c r="B922" t="s">
        <v>1879</v>
      </c>
      <c r="C922" t="s">
        <v>3715</v>
      </c>
      <c r="D922" t="s">
        <v>174</v>
      </c>
      <c r="E922">
        <v>85396</v>
      </c>
      <c r="F922" t="s">
        <v>3531</v>
      </c>
      <c r="G922" t="s">
        <v>3712</v>
      </c>
      <c r="H922" t="s">
        <v>3716</v>
      </c>
      <c r="I922" t="s">
        <v>36</v>
      </c>
      <c r="J922" t="s">
        <v>37</v>
      </c>
      <c r="K922" t="s">
        <v>37</v>
      </c>
      <c r="L922" t="s">
        <v>1586</v>
      </c>
      <c r="M922" t="s">
        <v>37</v>
      </c>
      <c r="N922" t="s">
        <v>37</v>
      </c>
      <c r="O922" t="s">
        <v>38</v>
      </c>
      <c r="P922" t="s">
        <v>39</v>
      </c>
      <c r="Q922" s="55">
        <v>45960</v>
      </c>
      <c r="R922" t="s">
        <v>3497</v>
      </c>
      <c r="V922">
        <v>1</v>
      </c>
    </row>
    <row r="923" spans="1:22">
      <c r="A923" s="55">
        <v>45959</v>
      </c>
      <c r="B923" t="s">
        <v>3720</v>
      </c>
      <c r="C923" t="s">
        <v>3721</v>
      </c>
      <c r="D923" t="s">
        <v>112</v>
      </c>
      <c r="E923">
        <v>85387</v>
      </c>
      <c r="F923" t="s">
        <v>3531</v>
      </c>
      <c r="G923" t="s">
        <v>3712</v>
      </c>
      <c r="H923" t="s">
        <v>3722</v>
      </c>
      <c r="I923" t="s">
        <v>36</v>
      </c>
      <c r="J923" t="s">
        <v>37</v>
      </c>
      <c r="K923" t="s">
        <v>37</v>
      </c>
      <c r="L923" t="s">
        <v>1586</v>
      </c>
      <c r="M923" t="s">
        <v>37</v>
      </c>
      <c r="N923" t="s">
        <v>37</v>
      </c>
      <c r="O923" t="s">
        <v>38</v>
      </c>
      <c r="P923" t="s">
        <v>39</v>
      </c>
      <c r="Q923" s="55">
        <v>45960</v>
      </c>
      <c r="R923" t="s">
        <v>3497</v>
      </c>
      <c r="V923">
        <v>1</v>
      </c>
    </row>
    <row r="924" spans="1:22">
      <c r="A924" s="55">
        <v>45959</v>
      </c>
      <c r="B924" t="s">
        <v>3723</v>
      </c>
      <c r="C924" t="s">
        <v>3724</v>
      </c>
      <c r="D924" t="s">
        <v>112</v>
      </c>
      <c r="E924">
        <v>85379</v>
      </c>
      <c r="F924" t="s">
        <v>3531</v>
      </c>
      <c r="G924" t="s">
        <v>3712</v>
      </c>
      <c r="H924" t="s">
        <v>3725</v>
      </c>
      <c r="I924" t="s">
        <v>196</v>
      </c>
      <c r="J924" t="s">
        <v>37</v>
      </c>
      <c r="K924" t="s">
        <v>37</v>
      </c>
      <c r="L924" t="s">
        <v>3726</v>
      </c>
      <c r="M924" t="s">
        <v>37</v>
      </c>
      <c r="N924" t="s">
        <v>37</v>
      </c>
      <c r="O924" t="s">
        <v>38</v>
      </c>
      <c r="P924" t="s">
        <v>39</v>
      </c>
      <c r="Q924" s="55">
        <v>45960</v>
      </c>
      <c r="R924" t="s">
        <v>3497</v>
      </c>
      <c r="V924">
        <v>1</v>
      </c>
    </row>
    <row r="925" spans="1:22">
      <c r="A925" s="55">
        <v>45959</v>
      </c>
      <c r="B925" t="s">
        <v>3729</v>
      </c>
      <c r="C925" t="s">
        <v>3730</v>
      </c>
      <c r="D925" t="s">
        <v>112</v>
      </c>
      <c r="E925">
        <v>85379</v>
      </c>
      <c r="F925" t="s">
        <v>3531</v>
      </c>
      <c r="G925" t="s">
        <v>3712</v>
      </c>
      <c r="H925" t="s">
        <v>3731</v>
      </c>
      <c r="I925" t="s">
        <v>541</v>
      </c>
      <c r="J925" t="s">
        <v>37</v>
      </c>
      <c r="K925" t="s">
        <v>37</v>
      </c>
      <c r="L925" t="s">
        <v>389</v>
      </c>
      <c r="M925" t="s">
        <v>37</v>
      </c>
      <c r="N925" t="s">
        <v>37</v>
      </c>
      <c r="O925" t="s">
        <v>38</v>
      </c>
      <c r="P925" t="s">
        <v>39</v>
      </c>
      <c r="Q925" s="55">
        <v>45960</v>
      </c>
      <c r="R925" t="s">
        <v>3497</v>
      </c>
      <c r="V925">
        <v>1</v>
      </c>
    </row>
    <row r="926" spans="1:22">
      <c r="A926" s="55">
        <v>45959</v>
      </c>
      <c r="B926" t="s">
        <v>3431</v>
      </c>
      <c r="C926" t="s">
        <v>1220</v>
      </c>
      <c r="D926" t="s">
        <v>63</v>
      </c>
      <c r="E926">
        <v>85020</v>
      </c>
      <c r="F926" t="s">
        <v>3531</v>
      </c>
      <c r="G926" t="s">
        <v>3734</v>
      </c>
      <c r="H926" t="s">
        <v>3735</v>
      </c>
      <c r="I926" t="s">
        <v>73</v>
      </c>
      <c r="J926" t="s">
        <v>37</v>
      </c>
      <c r="K926" t="s">
        <v>37</v>
      </c>
      <c r="L926" t="s">
        <v>1586</v>
      </c>
      <c r="M926" t="s">
        <v>37</v>
      </c>
      <c r="N926" t="s">
        <v>37</v>
      </c>
      <c r="O926" t="s">
        <v>38</v>
      </c>
      <c r="P926" t="s">
        <v>39</v>
      </c>
      <c r="Q926" s="55">
        <v>45960</v>
      </c>
      <c r="V926">
        <v>1</v>
      </c>
    </row>
    <row r="927" spans="1:22">
      <c r="A927" s="55">
        <v>45959</v>
      </c>
      <c r="B927" t="s">
        <v>3736</v>
      </c>
      <c r="C927" t="s">
        <v>3737</v>
      </c>
      <c r="D927" t="s">
        <v>174</v>
      </c>
      <c r="E927">
        <v>85396</v>
      </c>
      <c r="F927" t="s">
        <v>3738</v>
      </c>
      <c r="G927" t="s">
        <v>3739</v>
      </c>
      <c r="H927" t="s">
        <v>3740</v>
      </c>
      <c r="I927" t="s">
        <v>36</v>
      </c>
      <c r="J927" t="s">
        <v>37</v>
      </c>
      <c r="K927" t="s">
        <v>37</v>
      </c>
      <c r="L927" t="s">
        <v>1586</v>
      </c>
      <c r="M927" t="s">
        <v>37</v>
      </c>
      <c r="N927" t="s">
        <v>37</v>
      </c>
      <c r="O927" t="s">
        <v>38</v>
      </c>
      <c r="P927" t="s">
        <v>39</v>
      </c>
      <c r="Q927" s="55">
        <v>45960</v>
      </c>
      <c r="V927">
        <v>1</v>
      </c>
    </row>
    <row r="928" spans="1:22">
      <c r="A928" s="55">
        <v>45961</v>
      </c>
      <c r="B928" t="s">
        <v>1686</v>
      </c>
      <c r="C928" t="s">
        <v>790</v>
      </c>
      <c r="D928" t="s">
        <v>63</v>
      </c>
      <c r="E928">
        <v>85083</v>
      </c>
      <c r="F928" t="s">
        <v>3531</v>
      </c>
      <c r="G928" t="s">
        <v>3742</v>
      </c>
      <c r="H928" t="s">
        <v>3745</v>
      </c>
      <c r="I928" t="s">
        <v>243</v>
      </c>
      <c r="J928" t="s">
        <v>37</v>
      </c>
      <c r="K928" t="s">
        <v>37</v>
      </c>
      <c r="L928" t="s">
        <v>389</v>
      </c>
      <c r="M928" t="s">
        <v>37</v>
      </c>
      <c r="N928" t="s">
        <v>37</v>
      </c>
      <c r="O928" t="s">
        <v>38</v>
      </c>
      <c r="P928" t="s">
        <v>39</v>
      </c>
      <c r="Q928" s="55">
        <v>45961</v>
      </c>
      <c r="R928" t="s">
        <v>3497</v>
      </c>
      <c r="V928">
        <v>1</v>
      </c>
    </row>
    <row r="929" spans="1:22">
      <c r="A929" s="55">
        <v>45961</v>
      </c>
      <c r="B929" t="s">
        <v>367</v>
      </c>
      <c r="C929" t="s">
        <v>3746</v>
      </c>
      <c r="D929" t="s">
        <v>2105</v>
      </c>
      <c r="E929">
        <v>85128</v>
      </c>
      <c r="F929" t="s">
        <v>3531</v>
      </c>
      <c r="G929" t="s">
        <v>3742</v>
      </c>
      <c r="H929" t="s">
        <v>3747</v>
      </c>
      <c r="I929" t="s">
        <v>36</v>
      </c>
      <c r="J929" t="s">
        <v>37</v>
      </c>
      <c r="K929" t="s">
        <v>37</v>
      </c>
      <c r="L929" t="s">
        <v>1586</v>
      </c>
      <c r="M929" t="s">
        <v>37</v>
      </c>
      <c r="N929" t="s">
        <v>37</v>
      </c>
      <c r="O929" t="s">
        <v>38</v>
      </c>
      <c r="P929" t="s">
        <v>39</v>
      </c>
      <c r="Q929" s="55">
        <v>45961</v>
      </c>
      <c r="R929" t="s">
        <v>3497</v>
      </c>
      <c r="V929">
        <v>1</v>
      </c>
    </row>
    <row r="930" spans="1:22">
      <c r="A930" s="55">
        <v>45961</v>
      </c>
      <c r="B930" t="s">
        <v>686</v>
      </c>
      <c r="C930" t="s">
        <v>648</v>
      </c>
      <c r="D930" t="s">
        <v>202</v>
      </c>
      <c r="E930">
        <v>85382</v>
      </c>
      <c r="F930" t="s">
        <v>3531</v>
      </c>
      <c r="G930" t="s">
        <v>3742</v>
      </c>
      <c r="H930" t="s">
        <v>3748</v>
      </c>
      <c r="I930" t="s">
        <v>36</v>
      </c>
      <c r="J930" t="s">
        <v>37</v>
      </c>
      <c r="K930" t="s">
        <v>37</v>
      </c>
      <c r="L930" t="s">
        <v>1586</v>
      </c>
      <c r="M930" t="s">
        <v>37</v>
      </c>
      <c r="N930" t="s">
        <v>37</v>
      </c>
      <c r="O930" t="s">
        <v>38</v>
      </c>
      <c r="P930" t="s">
        <v>39</v>
      </c>
      <c r="Q930" s="55">
        <v>45961</v>
      </c>
      <c r="R930" t="s">
        <v>3497</v>
      </c>
      <c r="V930">
        <v>1</v>
      </c>
    </row>
    <row r="931" spans="1:22">
      <c r="A931" s="55">
        <v>45961</v>
      </c>
      <c r="B931" t="s">
        <v>3750</v>
      </c>
      <c r="C931" t="s">
        <v>3751</v>
      </c>
      <c r="D931" t="s">
        <v>174</v>
      </c>
      <c r="E931">
        <v>85326</v>
      </c>
      <c r="F931" t="s">
        <v>3531</v>
      </c>
      <c r="G931" t="s">
        <v>3742</v>
      </c>
      <c r="H931" t="s">
        <v>3752</v>
      </c>
      <c r="I931" t="s">
        <v>3753</v>
      </c>
      <c r="J931" t="s">
        <v>38</v>
      </c>
      <c r="K931" t="s">
        <v>37</v>
      </c>
      <c r="L931" t="s">
        <v>389</v>
      </c>
      <c r="M931" t="s">
        <v>37</v>
      </c>
      <c r="N931" t="s">
        <v>37</v>
      </c>
      <c r="O931" t="s">
        <v>38</v>
      </c>
      <c r="P931" t="s">
        <v>39</v>
      </c>
      <c r="Q931" s="55">
        <v>45961</v>
      </c>
      <c r="R931" t="s">
        <v>3497</v>
      </c>
      <c r="V931">
        <v>1</v>
      </c>
    </row>
    <row r="932" spans="1:22">
      <c r="A932" s="55">
        <v>45959</v>
      </c>
      <c r="B932" t="s">
        <v>3754</v>
      </c>
      <c r="C932" t="s">
        <v>3755</v>
      </c>
      <c r="D932" t="s">
        <v>63</v>
      </c>
      <c r="E932">
        <v>85032</v>
      </c>
      <c r="F932" t="s">
        <v>3756</v>
      </c>
      <c r="G932" t="s">
        <v>3757</v>
      </c>
      <c r="H932" t="s">
        <v>3758</v>
      </c>
      <c r="I932" t="s">
        <v>126</v>
      </c>
      <c r="J932" t="s">
        <v>37</v>
      </c>
      <c r="K932" t="s">
        <v>37</v>
      </c>
      <c r="L932" t="s">
        <v>401</v>
      </c>
      <c r="M932" t="s">
        <v>37</v>
      </c>
      <c r="N932" t="s">
        <v>37</v>
      </c>
      <c r="O932" t="s">
        <v>38</v>
      </c>
      <c r="P932" t="s">
        <v>39</v>
      </c>
      <c r="Q932" s="55">
        <v>45964</v>
      </c>
      <c r="V932">
        <v>1</v>
      </c>
    </row>
    <row r="933" spans="1:22">
      <c r="A933" s="55">
        <v>45961</v>
      </c>
      <c r="B933" t="s">
        <v>3759</v>
      </c>
      <c r="C933" t="s">
        <v>2258</v>
      </c>
      <c r="D933" t="s">
        <v>63</v>
      </c>
      <c r="E933">
        <v>85050</v>
      </c>
      <c r="F933" t="s">
        <v>3531</v>
      </c>
      <c r="G933" t="s">
        <v>3757</v>
      </c>
      <c r="H933" t="s">
        <v>3760</v>
      </c>
      <c r="I933" t="s">
        <v>126</v>
      </c>
      <c r="J933" t="s">
        <v>37</v>
      </c>
      <c r="K933" t="s">
        <v>37</v>
      </c>
      <c r="L933" t="s">
        <v>38</v>
      </c>
      <c r="M933" t="s">
        <v>38</v>
      </c>
      <c r="N933">
        <v>302.06</v>
      </c>
      <c r="O933" t="s">
        <v>38</v>
      </c>
      <c r="P933" t="s">
        <v>39</v>
      </c>
      <c r="Q933" s="55">
        <v>45964</v>
      </c>
      <c r="V933">
        <v>1</v>
      </c>
    </row>
    <row r="934" spans="1:22">
      <c r="A934" s="55">
        <v>45959</v>
      </c>
      <c r="B934" t="s">
        <v>3761</v>
      </c>
      <c r="C934" t="s">
        <v>3762</v>
      </c>
      <c r="D934" t="s">
        <v>63</v>
      </c>
      <c r="E934">
        <v>85032</v>
      </c>
      <c r="F934" t="s">
        <v>3756</v>
      </c>
      <c r="G934" t="s">
        <v>3757</v>
      </c>
      <c r="H934" t="s">
        <v>3758</v>
      </c>
      <c r="I934" t="s">
        <v>126</v>
      </c>
      <c r="J934" t="s">
        <v>37</v>
      </c>
      <c r="K934" t="s">
        <v>37</v>
      </c>
      <c r="L934" t="s">
        <v>401</v>
      </c>
      <c r="M934" t="s">
        <v>37</v>
      </c>
      <c r="N934" t="s">
        <v>37</v>
      </c>
      <c r="O934" t="s">
        <v>38</v>
      </c>
      <c r="P934" t="s">
        <v>39</v>
      </c>
      <c r="Q934" s="55">
        <v>45964</v>
      </c>
      <c r="V934">
        <v>1</v>
      </c>
    </row>
    <row r="935" spans="1:22">
      <c r="A935" s="55">
        <v>45959</v>
      </c>
      <c r="B935" t="s">
        <v>2781</v>
      </c>
      <c r="C935" t="s">
        <v>2380</v>
      </c>
      <c r="D935" t="s">
        <v>89</v>
      </c>
      <c r="E935">
        <v>86351</v>
      </c>
      <c r="F935" t="s">
        <v>3764</v>
      </c>
      <c r="G935" t="s">
        <v>3757</v>
      </c>
      <c r="H935" t="s">
        <v>2783</v>
      </c>
      <c r="I935" t="s">
        <v>57</v>
      </c>
      <c r="J935" t="s">
        <v>37</v>
      </c>
      <c r="K935" t="s">
        <v>37</v>
      </c>
      <c r="L935" t="s">
        <v>2784</v>
      </c>
      <c r="M935" t="s">
        <v>37</v>
      </c>
      <c r="N935" t="s">
        <v>37</v>
      </c>
      <c r="O935" t="s">
        <v>38</v>
      </c>
      <c r="P935">
        <v>45971</v>
      </c>
      <c r="Q935" s="55">
        <v>45964</v>
      </c>
      <c r="R935" t="s">
        <v>2172</v>
      </c>
      <c r="V935">
        <v>1</v>
      </c>
    </row>
    <row r="936" spans="1:22">
      <c r="A936" s="55">
        <v>45959</v>
      </c>
      <c r="B936" t="s">
        <v>3765</v>
      </c>
      <c r="C936" t="s">
        <v>3766</v>
      </c>
      <c r="D936" t="s">
        <v>63</v>
      </c>
      <c r="E936">
        <v>85085</v>
      </c>
      <c r="F936" t="s">
        <v>3767</v>
      </c>
      <c r="G936" t="s">
        <v>3757</v>
      </c>
      <c r="H936" t="s">
        <v>3768</v>
      </c>
      <c r="I936" t="s">
        <v>36</v>
      </c>
      <c r="J936" t="s">
        <v>37</v>
      </c>
      <c r="K936" t="s">
        <v>37</v>
      </c>
      <c r="L936" t="s">
        <v>38</v>
      </c>
      <c r="M936" t="s">
        <v>37</v>
      </c>
      <c r="N936" t="s">
        <v>37</v>
      </c>
      <c r="O936" t="s">
        <v>38</v>
      </c>
      <c r="P936" t="s">
        <v>39</v>
      </c>
      <c r="Q936" s="55">
        <v>45964</v>
      </c>
      <c r="V936">
        <v>1</v>
      </c>
    </row>
    <row r="937" spans="1:22">
      <c r="A937" s="55">
        <v>45961</v>
      </c>
      <c r="B937" t="s">
        <v>3775</v>
      </c>
      <c r="C937" t="s">
        <v>481</v>
      </c>
      <c r="D937" t="s">
        <v>698</v>
      </c>
      <c r="E937">
        <v>85375</v>
      </c>
      <c r="F937" t="s">
        <v>3776</v>
      </c>
      <c r="G937" t="s">
        <v>3777</v>
      </c>
      <c r="H937" t="s">
        <v>3778</v>
      </c>
      <c r="I937" t="s">
        <v>541</v>
      </c>
      <c r="J937" t="s">
        <v>37</v>
      </c>
      <c r="K937" t="s">
        <v>37</v>
      </c>
      <c r="L937" t="s">
        <v>389</v>
      </c>
      <c r="M937" t="s">
        <v>37</v>
      </c>
      <c r="N937" t="s">
        <v>37</v>
      </c>
      <c r="O937" t="s">
        <v>38</v>
      </c>
      <c r="P937" t="s">
        <v>39</v>
      </c>
      <c r="Q937" s="55">
        <v>45964</v>
      </c>
      <c r="R937" t="s">
        <v>3779</v>
      </c>
      <c r="V937">
        <v>1</v>
      </c>
    </row>
    <row r="938" spans="1:22">
      <c r="A938" s="55">
        <v>45961</v>
      </c>
      <c r="B938" t="s">
        <v>3786</v>
      </c>
      <c r="C938" t="s">
        <v>230</v>
      </c>
      <c r="D938" t="s">
        <v>30</v>
      </c>
      <c r="E938" t="s">
        <v>30</v>
      </c>
      <c r="F938" t="s">
        <v>3787</v>
      </c>
      <c r="G938" t="s">
        <v>3784</v>
      </c>
      <c r="H938" t="s">
        <v>3788</v>
      </c>
      <c r="I938" t="s">
        <v>126</v>
      </c>
      <c r="J938" t="s">
        <v>37</v>
      </c>
      <c r="K938" t="s">
        <v>37</v>
      </c>
      <c r="L938" t="s">
        <v>38</v>
      </c>
      <c r="M938" t="s">
        <v>37</v>
      </c>
      <c r="N938" t="s">
        <v>37</v>
      </c>
      <c r="O938" t="s">
        <v>38</v>
      </c>
      <c r="P938" t="s">
        <v>39</v>
      </c>
      <c r="Q938" s="55">
        <v>45965</v>
      </c>
      <c r="V938">
        <v>1</v>
      </c>
    </row>
    <row r="939" spans="1:22">
      <c r="A939" s="55">
        <v>45961</v>
      </c>
      <c r="B939" t="s">
        <v>2963</v>
      </c>
      <c r="C939" t="s">
        <v>3791</v>
      </c>
      <c r="D939" t="s">
        <v>24</v>
      </c>
      <c r="E939">
        <v>85310</v>
      </c>
      <c r="F939" t="s">
        <v>3531</v>
      </c>
      <c r="G939" t="s">
        <v>3792</v>
      </c>
      <c r="H939" t="s">
        <v>3793</v>
      </c>
      <c r="I939" t="s">
        <v>46</v>
      </c>
      <c r="J939" t="s">
        <v>37</v>
      </c>
      <c r="K939" t="s">
        <v>37</v>
      </c>
      <c r="L939" t="s">
        <v>38</v>
      </c>
      <c r="M939" t="s">
        <v>37</v>
      </c>
      <c r="N939" t="s">
        <v>37</v>
      </c>
      <c r="O939" t="s">
        <v>38</v>
      </c>
      <c r="P939" t="s">
        <v>39</v>
      </c>
      <c r="Q939" s="55">
        <v>45965</v>
      </c>
      <c r="V939">
        <v>1</v>
      </c>
    </row>
    <row r="940" spans="1:22">
      <c r="A940" s="55">
        <v>45964</v>
      </c>
      <c r="B940" t="s">
        <v>210</v>
      </c>
      <c r="C940" t="s">
        <v>211</v>
      </c>
      <c r="D940" t="s">
        <v>85</v>
      </c>
      <c r="E940">
        <v>86323</v>
      </c>
      <c r="F940" t="s">
        <v>3794</v>
      </c>
      <c r="G940" t="s">
        <v>3792</v>
      </c>
      <c r="H940" t="s">
        <v>213</v>
      </c>
      <c r="I940" t="s">
        <v>73</v>
      </c>
      <c r="J940" t="s">
        <v>37</v>
      </c>
      <c r="K940" t="s">
        <v>37</v>
      </c>
      <c r="L940" t="s">
        <v>38</v>
      </c>
      <c r="M940" t="s">
        <v>37</v>
      </c>
      <c r="N940" t="s">
        <v>37</v>
      </c>
      <c r="O940" t="s">
        <v>38</v>
      </c>
      <c r="P940" t="s">
        <v>39</v>
      </c>
      <c r="Q940" s="55">
        <v>45965</v>
      </c>
      <c r="V940">
        <v>1</v>
      </c>
    </row>
    <row r="941" spans="1:22">
      <c r="A941" s="55">
        <v>45961</v>
      </c>
      <c r="B941" t="s">
        <v>1776</v>
      </c>
      <c r="C941" t="s">
        <v>1079</v>
      </c>
      <c r="D941" t="s">
        <v>43</v>
      </c>
      <c r="E941">
        <v>85363</v>
      </c>
      <c r="F941" t="s">
        <v>3531</v>
      </c>
      <c r="G941" t="s">
        <v>3792</v>
      </c>
      <c r="H941" t="s">
        <v>3798</v>
      </c>
      <c r="I941" t="s">
        <v>196</v>
      </c>
      <c r="J941" t="s">
        <v>37</v>
      </c>
      <c r="K941" t="s">
        <v>37</v>
      </c>
      <c r="L941" t="s">
        <v>3799</v>
      </c>
      <c r="M941" t="s">
        <v>38</v>
      </c>
      <c r="N941">
        <v>1482.25</v>
      </c>
      <c r="O941" t="s">
        <v>38</v>
      </c>
      <c r="Q941" s="55">
        <v>45965</v>
      </c>
      <c r="R941" t="s">
        <v>3800</v>
      </c>
      <c r="V941">
        <v>1</v>
      </c>
    </row>
    <row r="942" spans="1:22">
      <c r="A942" s="55">
        <v>45962</v>
      </c>
      <c r="B942" t="s">
        <v>3801</v>
      </c>
      <c r="C942" t="s">
        <v>611</v>
      </c>
      <c r="D942" t="s">
        <v>63</v>
      </c>
      <c r="E942">
        <v>85029</v>
      </c>
      <c r="F942" t="s">
        <v>3802</v>
      </c>
      <c r="G942" t="s">
        <v>3792</v>
      </c>
      <c r="H942" t="s">
        <v>3803</v>
      </c>
      <c r="I942" t="s">
        <v>36</v>
      </c>
      <c r="J942" t="s">
        <v>37</v>
      </c>
      <c r="K942" t="s">
        <v>37</v>
      </c>
      <c r="L942" t="s">
        <v>38</v>
      </c>
      <c r="M942" t="s">
        <v>37</v>
      </c>
      <c r="N942" t="s">
        <v>37</v>
      </c>
      <c r="O942" t="s">
        <v>38</v>
      </c>
      <c r="P942" t="s">
        <v>39</v>
      </c>
      <c r="Q942" s="55">
        <v>45965</v>
      </c>
      <c r="V942">
        <v>1</v>
      </c>
    </row>
    <row r="943" spans="1:22">
      <c r="A943" s="55">
        <v>45963</v>
      </c>
      <c r="B943" t="s">
        <v>3804</v>
      </c>
      <c r="C943" t="s">
        <v>135</v>
      </c>
      <c r="D943" t="s">
        <v>737</v>
      </c>
      <c r="E943">
        <v>86326</v>
      </c>
      <c r="F943" t="s">
        <v>3805</v>
      </c>
      <c r="G943" t="s">
        <v>3792</v>
      </c>
      <c r="H943" t="s">
        <v>3806</v>
      </c>
      <c r="I943" t="s">
        <v>541</v>
      </c>
      <c r="J943" t="s">
        <v>37</v>
      </c>
      <c r="K943" t="s">
        <v>37</v>
      </c>
      <c r="L943" t="s">
        <v>389</v>
      </c>
      <c r="M943" t="s">
        <v>37</v>
      </c>
      <c r="N943" t="s">
        <v>37</v>
      </c>
      <c r="O943" t="s">
        <v>38</v>
      </c>
      <c r="P943" t="s">
        <v>39</v>
      </c>
      <c r="Q943" s="55">
        <v>45965</v>
      </c>
      <c r="V943">
        <v>1</v>
      </c>
    </row>
    <row r="944" spans="1:22">
      <c r="A944" s="55">
        <v>45965</v>
      </c>
      <c r="B944" t="s">
        <v>3807</v>
      </c>
      <c r="C944" t="s">
        <v>3808</v>
      </c>
      <c r="D944" t="s">
        <v>68</v>
      </c>
      <c r="E944">
        <v>85331</v>
      </c>
      <c r="F944" t="s">
        <v>3809</v>
      </c>
      <c r="G944" t="s">
        <v>3810</v>
      </c>
      <c r="H944" t="s">
        <v>3811</v>
      </c>
      <c r="I944" t="s">
        <v>36</v>
      </c>
      <c r="J944" t="s">
        <v>37</v>
      </c>
      <c r="K944" t="s">
        <v>37</v>
      </c>
      <c r="L944" t="s">
        <v>38</v>
      </c>
      <c r="M944" t="s">
        <v>37</v>
      </c>
      <c r="N944" t="s">
        <v>37</v>
      </c>
      <c r="O944" t="s">
        <v>38</v>
      </c>
      <c r="P944" t="s">
        <v>39</v>
      </c>
      <c r="Q944" s="55">
        <v>45966</v>
      </c>
      <c r="V944">
        <v>1</v>
      </c>
    </row>
    <row r="945" spans="1:22">
      <c r="A945" s="55">
        <v>45906</v>
      </c>
      <c r="B945" t="s">
        <v>2484</v>
      </c>
      <c r="C945" t="s">
        <v>320</v>
      </c>
      <c r="D945" t="s">
        <v>504</v>
      </c>
      <c r="E945">
        <v>86005</v>
      </c>
      <c r="F945" t="s">
        <v>3756</v>
      </c>
      <c r="G945" t="s">
        <v>3810</v>
      </c>
      <c r="H945" t="s">
        <v>3812</v>
      </c>
      <c r="I945" t="s">
        <v>1684</v>
      </c>
      <c r="J945" t="s">
        <v>37</v>
      </c>
      <c r="K945" t="s">
        <v>37</v>
      </c>
      <c r="L945" t="s">
        <v>3813</v>
      </c>
      <c r="M945" t="s">
        <v>37</v>
      </c>
      <c r="N945" t="s">
        <v>37</v>
      </c>
      <c r="O945" t="s">
        <v>38</v>
      </c>
      <c r="P945">
        <v>45971</v>
      </c>
      <c r="Q945" s="55">
        <v>45966</v>
      </c>
      <c r="R945" t="s">
        <v>3814</v>
      </c>
      <c r="V945">
        <v>1</v>
      </c>
    </row>
    <row r="946" spans="1:22">
      <c r="A946" s="55">
        <v>45964</v>
      </c>
      <c r="B946" t="s">
        <v>3815</v>
      </c>
      <c r="C946" t="s">
        <v>133</v>
      </c>
      <c r="D946" t="s">
        <v>125</v>
      </c>
      <c r="E946">
        <v>85255</v>
      </c>
      <c r="F946" t="s">
        <v>3816</v>
      </c>
      <c r="G946" t="s">
        <v>3817</v>
      </c>
      <c r="H946" t="s">
        <v>3818</v>
      </c>
      <c r="I946" t="s">
        <v>196</v>
      </c>
      <c r="J946" t="s">
        <v>37</v>
      </c>
      <c r="K946" t="s">
        <v>37</v>
      </c>
      <c r="L946" t="s">
        <v>3819</v>
      </c>
      <c r="M946" t="s">
        <v>37</v>
      </c>
      <c r="N946" t="s">
        <v>37</v>
      </c>
      <c r="O946" t="s">
        <v>38</v>
      </c>
      <c r="P946">
        <v>45971</v>
      </c>
      <c r="Q946" s="55">
        <v>45966</v>
      </c>
      <c r="R946" t="s">
        <v>3820</v>
      </c>
      <c r="V946">
        <v>1</v>
      </c>
    </row>
    <row r="947" spans="1:22">
      <c r="A947" s="55">
        <v>45966</v>
      </c>
      <c r="B947" t="s">
        <v>3821</v>
      </c>
      <c r="C947" t="s">
        <v>784</v>
      </c>
      <c r="D947" t="s">
        <v>63</v>
      </c>
      <c r="E947">
        <v>85022</v>
      </c>
      <c r="F947" t="s">
        <v>3822</v>
      </c>
      <c r="G947" t="s">
        <v>3823</v>
      </c>
      <c r="H947" t="s">
        <v>3824</v>
      </c>
      <c r="I947" t="s">
        <v>196</v>
      </c>
      <c r="J947" t="s">
        <v>37</v>
      </c>
      <c r="K947" t="s">
        <v>37</v>
      </c>
      <c r="L947" t="s">
        <v>3825</v>
      </c>
      <c r="M947" t="s">
        <v>38</v>
      </c>
      <c r="N947">
        <v>99.98</v>
      </c>
      <c r="O947" t="s">
        <v>38</v>
      </c>
      <c r="P947" t="s">
        <v>39</v>
      </c>
      <c r="Q947" s="55">
        <v>45967</v>
      </c>
      <c r="R947" t="s">
        <v>3826</v>
      </c>
      <c r="V947">
        <v>1</v>
      </c>
    </row>
    <row r="948" spans="1:22">
      <c r="A948" s="55">
        <v>45966</v>
      </c>
      <c r="B948" t="s">
        <v>3829</v>
      </c>
      <c r="C948" t="s">
        <v>3830</v>
      </c>
      <c r="D948" t="s">
        <v>174</v>
      </c>
      <c r="E948">
        <v>85326</v>
      </c>
      <c r="F948" t="s">
        <v>3831</v>
      </c>
      <c r="G948" t="s">
        <v>3823</v>
      </c>
      <c r="H948" t="s">
        <v>3832</v>
      </c>
      <c r="I948" t="s">
        <v>36</v>
      </c>
      <c r="J948" t="s">
        <v>37</v>
      </c>
      <c r="K948" t="s">
        <v>37</v>
      </c>
      <c r="L948" t="s">
        <v>38</v>
      </c>
      <c r="M948" t="s">
        <v>38</v>
      </c>
      <c r="N948">
        <v>1209</v>
      </c>
      <c r="O948" t="s">
        <v>38</v>
      </c>
      <c r="Q948" s="55">
        <v>45967</v>
      </c>
      <c r="R948" t="s">
        <v>495</v>
      </c>
      <c r="V948">
        <v>1</v>
      </c>
    </row>
    <row r="949" spans="1:22">
      <c r="A949" s="55">
        <v>45967</v>
      </c>
      <c r="B949" t="s">
        <v>3836</v>
      </c>
      <c r="C949" t="s">
        <v>3837</v>
      </c>
      <c r="D949" t="s">
        <v>3838</v>
      </c>
      <c r="E949">
        <v>85354</v>
      </c>
      <c r="F949" t="s">
        <v>3839</v>
      </c>
      <c r="G949" t="s">
        <v>3840</v>
      </c>
      <c r="H949" t="s">
        <v>3841</v>
      </c>
      <c r="I949" t="s">
        <v>36</v>
      </c>
      <c r="J949" t="s">
        <v>37</v>
      </c>
      <c r="K949" t="s">
        <v>37</v>
      </c>
      <c r="L949" t="s">
        <v>38</v>
      </c>
      <c r="M949" t="s">
        <v>38</v>
      </c>
      <c r="N949">
        <v>347.99</v>
      </c>
      <c r="O949" t="s">
        <v>38</v>
      </c>
      <c r="P949" t="s">
        <v>39</v>
      </c>
      <c r="Q949" s="55">
        <v>45968</v>
      </c>
      <c r="V949">
        <v>1</v>
      </c>
    </row>
    <row r="950" spans="1:22">
      <c r="A950" s="55">
        <v>45967</v>
      </c>
      <c r="B950" t="s">
        <v>3842</v>
      </c>
      <c r="C950" t="s">
        <v>3843</v>
      </c>
      <c r="D950" t="s">
        <v>3538</v>
      </c>
      <c r="E950">
        <v>85743</v>
      </c>
      <c r="F950" t="s">
        <v>3844</v>
      </c>
      <c r="G950" t="s">
        <v>3840</v>
      </c>
      <c r="Q950" s="55"/>
      <c r="V950">
        <v>1</v>
      </c>
    </row>
    <row r="951" spans="1:22">
      <c r="A951" s="55">
        <v>45967</v>
      </c>
      <c r="B951" t="s">
        <v>3845</v>
      </c>
      <c r="C951" t="s">
        <v>3846</v>
      </c>
      <c r="D951" t="s">
        <v>24</v>
      </c>
      <c r="E951">
        <v>85308</v>
      </c>
      <c r="F951" t="s">
        <v>3847</v>
      </c>
      <c r="G951" t="s">
        <v>3840</v>
      </c>
      <c r="H951" t="s">
        <v>3848</v>
      </c>
      <c r="I951" t="s">
        <v>36</v>
      </c>
      <c r="J951" t="s">
        <v>37</v>
      </c>
      <c r="K951" t="s">
        <v>37</v>
      </c>
      <c r="L951" t="s">
        <v>38</v>
      </c>
      <c r="M951" t="s">
        <v>37</v>
      </c>
      <c r="N951" t="s">
        <v>37</v>
      </c>
      <c r="O951" t="s">
        <v>38</v>
      </c>
      <c r="P951" t="s">
        <v>39</v>
      </c>
      <c r="Q951" s="55">
        <v>45968</v>
      </c>
      <c r="V951">
        <v>1</v>
      </c>
    </row>
    <row r="952" spans="1:22">
      <c r="A952" s="55">
        <v>45967</v>
      </c>
      <c r="B952" t="s">
        <v>3854</v>
      </c>
      <c r="C952" t="s">
        <v>3098</v>
      </c>
      <c r="D952" t="s">
        <v>63</v>
      </c>
      <c r="E952">
        <v>850027</v>
      </c>
      <c r="F952" t="s">
        <v>3855</v>
      </c>
      <c r="G952" t="s">
        <v>3851</v>
      </c>
      <c r="H952" t="s">
        <v>3856</v>
      </c>
      <c r="I952" t="s">
        <v>196</v>
      </c>
      <c r="J952" t="s">
        <v>37</v>
      </c>
      <c r="K952" t="s">
        <v>37</v>
      </c>
      <c r="L952" t="s">
        <v>38</v>
      </c>
      <c r="M952" t="s">
        <v>38</v>
      </c>
      <c r="N952">
        <v>933.92</v>
      </c>
      <c r="O952" t="s">
        <v>38</v>
      </c>
      <c r="Q952" s="55">
        <v>45968</v>
      </c>
      <c r="R952" t="s">
        <v>3857</v>
      </c>
      <c r="V952">
        <v>1</v>
      </c>
    </row>
    <row r="953" spans="1:22">
      <c r="A953" s="55">
        <v>45967</v>
      </c>
      <c r="B953" t="s">
        <v>704</v>
      </c>
      <c r="C953" t="s">
        <v>3864</v>
      </c>
      <c r="D953" t="s">
        <v>63</v>
      </c>
      <c r="E953">
        <v>85012</v>
      </c>
      <c r="F953" t="s">
        <v>3865</v>
      </c>
      <c r="G953" t="s">
        <v>3851</v>
      </c>
      <c r="H953" t="s">
        <v>3866</v>
      </c>
      <c r="I953" t="s">
        <v>126</v>
      </c>
      <c r="J953" t="s">
        <v>37</v>
      </c>
      <c r="K953" t="s">
        <v>37</v>
      </c>
      <c r="L953" t="s">
        <v>38</v>
      </c>
      <c r="M953" t="s">
        <v>37</v>
      </c>
      <c r="N953" t="s">
        <v>37</v>
      </c>
      <c r="O953" t="s">
        <v>38</v>
      </c>
      <c r="P953" t="s">
        <v>39</v>
      </c>
      <c r="Q953" s="55">
        <v>45968</v>
      </c>
      <c r="R953" t="s">
        <v>3497</v>
      </c>
      <c r="V953">
        <v>1</v>
      </c>
    </row>
    <row r="954" spans="1:22">
      <c r="A954" s="55">
        <v>45974</v>
      </c>
      <c r="B954" t="s">
        <v>3867</v>
      </c>
      <c r="C954" t="s">
        <v>3868</v>
      </c>
      <c r="D954" t="s">
        <v>112</v>
      </c>
      <c r="E954">
        <v>85374</v>
      </c>
      <c r="F954" t="s">
        <v>3869</v>
      </c>
      <c r="G954" t="s">
        <v>3870</v>
      </c>
      <c r="H954">
        <v>8914685192</v>
      </c>
      <c r="I954" t="s">
        <v>126</v>
      </c>
      <c r="J954" t="s">
        <v>37</v>
      </c>
      <c r="K954" t="s">
        <v>37</v>
      </c>
      <c r="L954" t="s">
        <v>38</v>
      </c>
      <c r="M954" t="s">
        <v>37</v>
      </c>
      <c r="N954" t="s">
        <v>37</v>
      </c>
      <c r="O954" t="s">
        <v>38</v>
      </c>
      <c r="P954" t="s">
        <v>39</v>
      </c>
      <c r="Q954" s="55">
        <v>45978</v>
      </c>
      <c r="V954">
        <v>1</v>
      </c>
    </row>
    <row r="955" spans="1:22">
      <c r="A955" s="55">
        <v>45980</v>
      </c>
      <c r="B955" t="s">
        <v>3871</v>
      </c>
      <c r="C955" t="s">
        <v>399</v>
      </c>
      <c r="D955" t="s">
        <v>125</v>
      </c>
      <c r="E955">
        <v>85262</v>
      </c>
      <c r="F955" t="s">
        <v>3872</v>
      </c>
      <c r="G955" t="s">
        <v>3873</v>
      </c>
      <c r="H955">
        <v>8798080598</v>
      </c>
      <c r="I955" t="s">
        <v>36</v>
      </c>
      <c r="J955" t="s">
        <v>37</v>
      </c>
      <c r="K955" t="s">
        <v>37</v>
      </c>
      <c r="L955" t="s">
        <v>38</v>
      </c>
      <c r="M955" t="s">
        <v>37</v>
      </c>
      <c r="N955" t="s">
        <v>37</v>
      </c>
      <c r="O955" t="s">
        <v>38</v>
      </c>
      <c r="P955" t="s">
        <v>39</v>
      </c>
      <c r="Q955" s="55">
        <v>45981</v>
      </c>
      <c r="V955">
        <v>1</v>
      </c>
    </row>
    <row r="956" spans="1:22">
      <c r="A956" s="55">
        <v>45980</v>
      </c>
      <c r="B956" t="s">
        <v>3874</v>
      </c>
      <c r="C956" t="s">
        <v>3875</v>
      </c>
      <c r="D956" t="s">
        <v>125</v>
      </c>
      <c r="E956">
        <v>85255</v>
      </c>
      <c r="F956" t="s">
        <v>3876</v>
      </c>
      <c r="G956" t="s">
        <v>3877</v>
      </c>
      <c r="H956">
        <v>1678080000</v>
      </c>
      <c r="I956" t="s">
        <v>36</v>
      </c>
      <c r="J956" t="s">
        <v>37</v>
      </c>
      <c r="K956" t="s">
        <v>37</v>
      </c>
      <c r="L956" t="s">
        <v>3878</v>
      </c>
      <c r="M956" t="s">
        <v>37</v>
      </c>
      <c r="N956" t="s">
        <v>37</v>
      </c>
      <c r="O956" t="s">
        <v>38</v>
      </c>
      <c r="P956" t="s">
        <v>39</v>
      </c>
      <c r="Q956" s="55">
        <v>45985</v>
      </c>
      <c r="V956">
        <v>1</v>
      </c>
    </row>
    <row r="957" spans="1:22">
      <c r="A957" s="55">
        <v>45982</v>
      </c>
      <c r="B957" t="s">
        <v>3879</v>
      </c>
      <c r="C957" t="s">
        <v>3880</v>
      </c>
      <c r="D957" t="s">
        <v>816</v>
      </c>
      <c r="E957">
        <v>86301</v>
      </c>
      <c r="F957" t="s">
        <v>3881</v>
      </c>
      <c r="G957" t="s">
        <v>3882</v>
      </c>
      <c r="H957">
        <v>5936601000</v>
      </c>
      <c r="I957" t="s">
        <v>46</v>
      </c>
      <c r="J957" t="s">
        <v>37</v>
      </c>
      <c r="K957" t="s">
        <v>37</v>
      </c>
      <c r="L957" t="s">
        <v>38</v>
      </c>
      <c r="M957" t="s">
        <v>37</v>
      </c>
      <c r="N957" t="s">
        <v>37</v>
      </c>
      <c r="O957" t="s">
        <v>38</v>
      </c>
      <c r="P957" t="s">
        <v>39</v>
      </c>
      <c r="Q957" s="55">
        <v>45985</v>
      </c>
      <c r="V957">
        <v>1</v>
      </c>
    </row>
    <row r="958" spans="1:22">
      <c r="A958" s="55">
        <v>45982</v>
      </c>
      <c r="B958" t="s">
        <v>3883</v>
      </c>
      <c r="C958" t="s">
        <v>3884</v>
      </c>
      <c r="D958" t="s">
        <v>129</v>
      </c>
      <c r="E958">
        <v>85233</v>
      </c>
      <c r="F958" t="s">
        <v>3885</v>
      </c>
      <c r="G958" t="s">
        <v>3886</v>
      </c>
      <c r="H958">
        <v>5931221000</v>
      </c>
      <c r="I958" t="s">
        <v>3887</v>
      </c>
      <c r="J958" t="s">
        <v>37</v>
      </c>
      <c r="K958" t="s">
        <v>37</v>
      </c>
      <c r="L958" t="s">
        <v>389</v>
      </c>
      <c r="M958" t="s">
        <v>37</v>
      </c>
      <c r="N958" t="s">
        <v>37</v>
      </c>
      <c r="O958" t="s">
        <v>38</v>
      </c>
      <c r="P958" t="s">
        <v>39</v>
      </c>
      <c r="Q958" s="55">
        <v>45985</v>
      </c>
      <c r="R958" t="s">
        <v>2873</v>
      </c>
      <c r="V958">
        <v>1</v>
      </c>
    </row>
    <row r="959" spans="1:22">
      <c r="A959" s="55">
        <v>45985</v>
      </c>
      <c r="B959" t="s">
        <v>208</v>
      </c>
      <c r="C959" t="s">
        <v>3888</v>
      </c>
      <c r="D959" t="s">
        <v>428</v>
      </c>
      <c r="E959">
        <v>85335</v>
      </c>
      <c r="F959" t="s">
        <v>3889</v>
      </c>
      <c r="G959" t="s">
        <v>3890</v>
      </c>
      <c r="H959">
        <v>3470156203</v>
      </c>
      <c r="I959" t="s">
        <v>126</v>
      </c>
      <c r="J959" t="s">
        <v>38</v>
      </c>
      <c r="K959" t="s">
        <v>37</v>
      </c>
      <c r="L959" t="s">
        <v>3891</v>
      </c>
      <c r="M959" t="s">
        <v>37</v>
      </c>
      <c r="N959" t="s">
        <v>37</v>
      </c>
      <c r="O959" t="s">
        <v>38</v>
      </c>
      <c r="P959" t="s">
        <v>39</v>
      </c>
      <c r="Q959" s="55">
        <v>45993</v>
      </c>
      <c r="R959" t="s">
        <v>3892</v>
      </c>
      <c r="V959">
        <v>1</v>
      </c>
    </row>
    <row r="960" spans="1:22">
      <c r="A960" s="55">
        <v>45986</v>
      </c>
      <c r="B960" t="s">
        <v>3897</v>
      </c>
      <c r="C960" t="s">
        <v>3898</v>
      </c>
      <c r="D960" t="s">
        <v>1302</v>
      </c>
      <c r="E960">
        <v>85390</v>
      </c>
      <c r="F960" t="s">
        <v>3899</v>
      </c>
      <c r="G960" t="s">
        <v>3900</v>
      </c>
      <c r="H960">
        <v>7004974298</v>
      </c>
      <c r="I960" t="s">
        <v>196</v>
      </c>
      <c r="J960" t="s">
        <v>37</v>
      </c>
      <c r="K960" t="s">
        <v>37</v>
      </c>
      <c r="L960" t="s">
        <v>3901</v>
      </c>
      <c r="M960" t="s">
        <v>37</v>
      </c>
      <c r="N960" t="s">
        <v>37</v>
      </c>
      <c r="O960" t="s">
        <v>38</v>
      </c>
      <c r="P960" t="s">
        <v>39</v>
      </c>
      <c r="Q960" s="55">
        <v>45993</v>
      </c>
      <c r="V960">
        <v>1</v>
      </c>
    </row>
    <row r="961" spans="1:22">
      <c r="A961" s="55">
        <v>45986</v>
      </c>
      <c r="B961" t="s">
        <v>3766</v>
      </c>
      <c r="C961" t="s">
        <v>3465</v>
      </c>
      <c r="D961" t="s">
        <v>169</v>
      </c>
      <c r="E961">
        <v>85395</v>
      </c>
      <c r="F961" t="s">
        <v>3902</v>
      </c>
      <c r="G961" t="s">
        <v>3900</v>
      </c>
      <c r="H961">
        <v>2057731000</v>
      </c>
      <c r="I961" t="s">
        <v>36</v>
      </c>
      <c r="J961" t="s">
        <v>37</v>
      </c>
      <c r="K961" t="s">
        <v>37</v>
      </c>
      <c r="L961" t="s">
        <v>38</v>
      </c>
      <c r="M961" t="s">
        <v>37</v>
      </c>
      <c r="N961" t="s">
        <v>37</v>
      </c>
      <c r="O961" t="s">
        <v>38</v>
      </c>
      <c r="P961" t="s">
        <v>39</v>
      </c>
      <c r="Q961" s="55">
        <v>45993</v>
      </c>
      <c r="V961">
        <v>1</v>
      </c>
    </row>
    <row r="962" spans="1:22">
      <c r="A962" s="55">
        <v>45986</v>
      </c>
      <c r="B962" t="s">
        <v>3903</v>
      </c>
      <c r="C962" t="s">
        <v>3904</v>
      </c>
      <c r="D962" t="s">
        <v>202</v>
      </c>
      <c r="E962">
        <v>85382</v>
      </c>
      <c r="F962" t="s">
        <v>3905</v>
      </c>
      <c r="G962" t="s">
        <v>3900</v>
      </c>
      <c r="H962">
        <v>5909528621</v>
      </c>
      <c r="I962" t="s">
        <v>3906</v>
      </c>
      <c r="J962" t="s">
        <v>37</v>
      </c>
      <c r="K962" t="s">
        <v>37</v>
      </c>
      <c r="L962" t="s">
        <v>38</v>
      </c>
      <c r="M962" t="s">
        <v>37</v>
      </c>
      <c r="N962" t="s">
        <v>37</v>
      </c>
      <c r="O962" t="s">
        <v>38</v>
      </c>
      <c r="P962" t="s">
        <v>39</v>
      </c>
      <c r="Q962" s="55">
        <v>45993</v>
      </c>
      <c r="V962">
        <v>1</v>
      </c>
    </row>
    <row r="963" spans="1:22">
      <c r="A963" s="55">
        <v>45987</v>
      </c>
      <c r="B963" t="s">
        <v>3912</v>
      </c>
      <c r="C963" t="s">
        <v>427</v>
      </c>
      <c r="D963" t="s">
        <v>93</v>
      </c>
      <c r="E963">
        <v>85351</v>
      </c>
      <c r="F963" t="s">
        <v>812</v>
      </c>
      <c r="G963" t="s">
        <v>3909</v>
      </c>
      <c r="H963">
        <v>5503296768</v>
      </c>
      <c r="I963" t="s">
        <v>36</v>
      </c>
      <c r="J963" t="s">
        <v>37</v>
      </c>
      <c r="K963" t="s">
        <v>37</v>
      </c>
      <c r="L963" t="s">
        <v>38</v>
      </c>
      <c r="M963" t="s">
        <v>37</v>
      </c>
      <c r="N963" t="s">
        <v>37</v>
      </c>
      <c r="O963" t="s">
        <v>38</v>
      </c>
      <c r="P963" t="s">
        <v>39</v>
      </c>
      <c r="Q963" s="55">
        <v>45993</v>
      </c>
      <c r="V963">
        <v>1</v>
      </c>
    </row>
    <row r="964" spans="1:22">
      <c r="A964" s="55">
        <v>45987</v>
      </c>
      <c r="B964" t="s">
        <v>3913</v>
      </c>
      <c r="C964" t="s">
        <v>230</v>
      </c>
      <c r="D964" t="s">
        <v>169</v>
      </c>
      <c r="E964">
        <v>85338</v>
      </c>
      <c r="F964" t="s">
        <v>3914</v>
      </c>
      <c r="G964" t="s">
        <v>3915</v>
      </c>
      <c r="H964">
        <v>8464670000</v>
      </c>
      <c r="I964" t="s">
        <v>36</v>
      </c>
      <c r="J964" t="s">
        <v>37</v>
      </c>
      <c r="K964" t="s">
        <v>37</v>
      </c>
      <c r="L964" t="s">
        <v>38</v>
      </c>
      <c r="M964" t="s">
        <v>37</v>
      </c>
      <c r="N964" t="s">
        <v>37</v>
      </c>
      <c r="O964" t="s">
        <v>38</v>
      </c>
      <c r="P964" t="s">
        <v>39</v>
      </c>
      <c r="Q964" s="55">
        <v>45993</v>
      </c>
      <c r="V964">
        <v>1</v>
      </c>
    </row>
    <row r="965" spans="1:22">
      <c r="A965" s="55">
        <v>45987</v>
      </c>
      <c r="B965" t="s">
        <v>3916</v>
      </c>
      <c r="C965" t="s">
        <v>3917</v>
      </c>
      <c r="D965" t="s">
        <v>202</v>
      </c>
      <c r="E965">
        <v>85382</v>
      </c>
      <c r="F965" t="s">
        <v>3918</v>
      </c>
      <c r="G965" t="s">
        <v>3915</v>
      </c>
      <c r="H965">
        <v>6932600000</v>
      </c>
      <c r="I965" t="s">
        <v>3919</v>
      </c>
      <c r="J965" t="s">
        <v>37</v>
      </c>
      <c r="K965" t="s">
        <v>37</v>
      </c>
      <c r="L965" t="s">
        <v>389</v>
      </c>
      <c r="M965" t="s">
        <v>37</v>
      </c>
      <c r="N965" t="s">
        <v>37</v>
      </c>
      <c r="O965" t="s">
        <v>38</v>
      </c>
      <c r="P965" t="s">
        <v>39</v>
      </c>
      <c r="Q965" s="55">
        <v>45993</v>
      </c>
      <c r="V965">
        <v>1</v>
      </c>
    </row>
    <row r="966" spans="1:22">
      <c r="A966" s="55">
        <v>45989</v>
      </c>
      <c r="B966" t="s">
        <v>3920</v>
      </c>
      <c r="C966" t="s">
        <v>3921</v>
      </c>
      <c r="D966" t="s">
        <v>112</v>
      </c>
      <c r="E966">
        <v>85387</v>
      </c>
      <c r="F966" t="s">
        <v>3922</v>
      </c>
      <c r="G966" t="s">
        <v>3923</v>
      </c>
      <c r="H966">
        <v>6129600993</v>
      </c>
      <c r="I966" t="s">
        <v>36</v>
      </c>
      <c r="J966" t="s">
        <v>37</v>
      </c>
      <c r="K966" t="s">
        <v>37</v>
      </c>
      <c r="L966" t="s">
        <v>38</v>
      </c>
      <c r="M966" t="s">
        <v>37</v>
      </c>
      <c r="N966" t="s">
        <v>37</v>
      </c>
      <c r="O966" t="s">
        <v>38</v>
      </c>
      <c r="P966" t="s">
        <v>39</v>
      </c>
      <c r="Q966" s="55">
        <v>45993</v>
      </c>
      <c r="V966">
        <v>1</v>
      </c>
    </row>
    <row r="967" spans="1:22">
      <c r="A967" s="55">
        <v>45993</v>
      </c>
      <c r="B967" t="s">
        <v>3924</v>
      </c>
      <c r="C967" t="s">
        <v>1444</v>
      </c>
      <c r="D967" t="s">
        <v>112</v>
      </c>
      <c r="E967">
        <v>85379</v>
      </c>
      <c r="F967" t="s">
        <v>3756</v>
      </c>
      <c r="G967" t="s">
        <v>3925</v>
      </c>
      <c r="H967">
        <v>1501070000</v>
      </c>
      <c r="I967" t="s">
        <v>541</v>
      </c>
      <c r="J967" t="s">
        <v>37</v>
      </c>
      <c r="K967" t="s">
        <v>37</v>
      </c>
      <c r="L967" t="s">
        <v>389</v>
      </c>
      <c r="M967" t="s">
        <v>37</v>
      </c>
      <c r="N967" t="s">
        <v>37</v>
      </c>
      <c r="O967" t="s">
        <v>38</v>
      </c>
      <c r="P967" t="s">
        <v>39</v>
      </c>
      <c r="Q967" s="55">
        <v>45994</v>
      </c>
      <c r="V967">
        <v>1</v>
      </c>
    </row>
    <row r="968" spans="1:22">
      <c r="A968" s="55">
        <v>45993</v>
      </c>
      <c r="B968" t="s">
        <v>3926</v>
      </c>
      <c r="C968" t="s">
        <v>2658</v>
      </c>
      <c r="D968" t="s">
        <v>112</v>
      </c>
      <c r="E968">
        <v>85387</v>
      </c>
      <c r="F968" t="s">
        <v>3927</v>
      </c>
      <c r="G968" t="s">
        <v>3928</v>
      </c>
      <c r="H968">
        <v>4773125499</v>
      </c>
      <c r="I968" t="s">
        <v>36</v>
      </c>
      <c r="J968" t="s">
        <v>37</v>
      </c>
      <c r="K968" t="s">
        <v>37</v>
      </c>
      <c r="L968" t="s">
        <v>38</v>
      </c>
      <c r="M968" t="s">
        <v>37</v>
      </c>
      <c r="N968" t="s">
        <v>37</v>
      </c>
      <c r="O968" t="s">
        <v>38</v>
      </c>
      <c r="P968" t="s">
        <v>39</v>
      </c>
      <c r="Q968" s="55">
        <v>45994</v>
      </c>
      <c r="V968">
        <v>1</v>
      </c>
    </row>
    <row r="969" spans="1:22">
      <c r="A969" s="55">
        <v>45993</v>
      </c>
      <c r="B969" t="s">
        <v>3929</v>
      </c>
      <c r="C969" t="s">
        <v>1140</v>
      </c>
      <c r="D969" t="s">
        <v>112</v>
      </c>
      <c r="E969">
        <v>85374</v>
      </c>
      <c r="F969" t="s">
        <v>3756</v>
      </c>
      <c r="G969" t="s">
        <v>3930</v>
      </c>
      <c r="H969">
        <v>6238748397</v>
      </c>
      <c r="I969" t="s">
        <v>57</v>
      </c>
      <c r="J969" t="s">
        <v>37</v>
      </c>
      <c r="K969" t="s">
        <v>37</v>
      </c>
      <c r="L969" t="s">
        <v>3931</v>
      </c>
      <c r="M969" t="s">
        <v>37</v>
      </c>
      <c r="N969" t="s">
        <v>37</v>
      </c>
      <c r="O969" t="s">
        <v>38</v>
      </c>
      <c r="P969" t="s">
        <v>39</v>
      </c>
      <c r="Q969" s="55">
        <v>45995</v>
      </c>
      <c r="V969">
        <v>1</v>
      </c>
    </row>
    <row r="970" spans="1:22">
      <c r="A970" s="55">
        <v>45993</v>
      </c>
      <c r="B970" t="s">
        <v>3934</v>
      </c>
      <c r="C970" t="s">
        <v>3182</v>
      </c>
      <c r="D970" t="s">
        <v>428</v>
      </c>
      <c r="E970">
        <v>85335</v>
      </c>
      <c r="F970" t="s">
        <v>3935</v>
      </c>
      <c r="G970" t="s">
        <v>3930</v>
      </c>
      <c r="H970">
        <v>6780889797</v>
      </c>
      <c r="I970" t="s">
        <v>3936</v>
      </c>
      <c r="J970" t="s">
        <v>38</v>
      </c>
      <c r="K970" t="s">
        <v>37</v>
      </c>
      <c r="L970" t="s">
        <v>389</v>
      </c>
      <c r="M970" t="s">
        <v>38</v>
      </c>
      <c r="N970">
        <v>425.23</v>
      </c>
      <c r="O970" t="s">
        <v>38</v>
      </c>
      <c r="P970" t="s">
        <v>39</v>
      </c>
      <c r="Q970" s="55">
        <v>45995</v>
      </c>
      <c r="V970">
        <v>1</v>
      </c>
    </row>
    <row r="971" spans="1:22">
      <c r="A971" s="55">
        <v>45993</v>
      </c>
      <c r="B971" t="s">
        <v>3561</v>
      </c>
      <c r="C971" t="s">
        <v>3937</v>
      </c>
      <c r="D971" t="s">
        <v>428</v>
      </c>
      <c r="E971">
        <v>85335</v>
      </c>
      <c r="F971" t="s">
        <v>3938</v>
      </c>
      <c r="G971" t="s">
        <v>3930</v>
      </c>
      <c r="H971">
        <v>591010000</v>
      </c>
      <c r="I971" t="s">
        <v>196</v>
      </c>
      <c r="J971" t="s">
        <v>37</v>
      </c>
      <c r="K971" t="s">
        <v>37</v>
      </c>
      <c r="L971" t="s">
        <v>3939</v>
      </c>
      <c r="M971" t="s">
        <v>37</v>
      </c>
      <c r="N971" t="s">
        <v>37</v>
      </c>
      <c r="O971" t="s">
        <v>38</v>
      </c>
      <c r="Q971" s="55">
        <v>45995</v>
      </c>
      <c r="V971">
        <v>1</v>
      </c>
    </row>
    <row r="972" spans="1:22">
      <c r="A972" s="55">
        <v>45993</v>
      </c>
      <c r="B972" t="s">
        <v>3940</v>
      </c>
      <c r="C972" t="s">
        <v>3941</v>
      </c>
      <c r="D972" t="s">
        <v>24</v>
      </c>
      <c r="E972">
        <v>85304</v>
      </c>
      <c r="F972" t="s">
        <v>3942</v>
      </c>
      <c r="G972" t="s">
        <v>3930</v>
      </c>
      <c r="H972">
        <v>1370851931</v>
      </c>
      <c r="I972" t="s">
        <v>250</v>
      </c>
      <c r="J972" t="s">
        <v>37</v>
      </c>
      <c r="K972" t="s">
        <v>37</v>
      </c>
      <c r="L972" t="s">
        <v>38</v>
      </c>
      <c r="M972" t="s">
        <v>37</v>
      </c>
      <c r="N972" t="s">
        <v>37</v>
      </c>
      <c r="O972" t="s">
        <v>38</v>
      </c>
      <c r="P972" t="s">
        <v>39</v>
      </c>
      <c r="Q972" s="55">
        <v>45995</v>
      </c>
      <c r="V972">
        <v>1</v>
      </c>
    </row>
    <row r="973" spans="1:22">
      <c r="A973" s="55">
        <v>45993</v>
      </c>
      <c r="B973" t="s">
        <v>3943</v>
      </c>
      <c r="C973" t="s">
        <v>3273</v>
      </c>
      <c r="D973" t="s">
        <v>112</v>
      </c>
      <c r="E973">
        <v>85387</v>
      </c>
      <c r="F973" t="s">
        <v>3944</v>
      </c>
      <c r="G973" t="s">
        <v>3930</v>
      </c>
      <c r="H973">
        <v>9983127893</v>
      </c>
      <c r="I973" t="s">
        <v>36</v>
      </c>
      <c r="J973" t="s">
        <v>37</v>
      </c>
      <c r="K973" t="s">
        <v>37</v>
      </c>
      <c r="L973" t="s">
        <v>38</v>
      </c>
      <c r="M973" t="s">
        <v>37</v>
      </c>
      <c r="N973" t="s">
        <v>37</v>
      </c>
      <c r="O973" t="s">
        <v>38</v>
      </c>
      <c r="P973" t="s">
        <v>39</v>
      </c>
      <c r="Q973" s="55">
        <v>45995</v>
      </c>
      <c r="V973">
        <v>1</v>
      </c>
    </row>
    <row r="974" spans="1:22">
      <c r="A974" s="55">
        <v>45993</v>
      </c>
      <c r="B974" t="s">
        <v>3945</v>
      </c>
      <c r="C974" t="s">
        <v>3946</v>
      </c>
      <c r="D974" t="s">
        <v>3947</v>
      </c>
      <c r="E974">
        <v>85378</v>
      </c>
      <c r="F974" t="s">
        <v>3756</v>
      </c>
      <c r="G974" t="s">
        <v>3930</v>
      </c>
      <c r="H974">
        <v>6711360000</v>
      </c>
      <c r="I974" t="s">
        <v>36</v>
      </c>
      <c r="J974" t="s">
        <v>38</v>
      </c>
      <c r="K974" t="s">
        <v>37</v>
      </c>
      <c r="L974" t="s">
        <v>401</v>
      </c>
      <c r="M974" t="s">
        <v>37</v>
      </c>
      <c r="N974" t="s">
        <v>37</v>
      </c>
      <c r="O974" t="s">
        <v>38</v>
      </c>
      <c r="P974" t="s">
        <v>39</v>
      </c>
      <c r="Q974" s="55">
        <v>45995</v>
      </c>
      <c r="V974">
        <v>1</v>
      </c>
    </row>
    <row r="975" spans="1:22">
      <c r="A975" s="55">
        <v>45993</v>
      </c>
      <c r="B975" t="s">
        <v>1084</v>
      </c>
      <c r="C975" t="s">
        <v>3948</v>
      </c>
      <c r="D975" t="s">
        <v>174</v>
      </c>
      <c r="E975">
        <v>85396</v>
      </c>
      <c r="F975" t="s">
        <v>3949</v>
      </c>
      <c r="G975" t="s">
        <v>3930</v>
      </c>
      <c r="H975">
        <v>9411880000</v>
      </c>
      <c r="I975" t="s">
        <v>46</v>
      </c>
      <c r="J975" t="s">
        <v>37</v>
      </c>
      <c r="K975" t="s">
        <v>37</v>
      </c>
      <c r="L975" t="s">
        <v>38</v>
      </c>
      <c r="M975" t="s">
        <v>37</v>
      </c>
      <c r="N975" t="s">
        <v>37</v>
      </c>
      <c r="O975" t="s">
        <v>38</v>
      </c>
      <c r="P975" t="s">
        <v>39</v>
      </c>
      <c r="Q975" s="55">
        <v>45995</v>
      </c>
      <c r="V975">
        <v>1</v>
      </c>
    </row>
    <row r="976" spans="1:22">
      <c r="A976" s="55">
        <v>45993</v>
      </c>
      <c r="B976" t="s">
        <v>3952</v>
      </c>
      <c r="C976" t="s">
        <v>3530</v>
      </c>
      <c r="D976" t="s">
        <v>428</v>
      </c>
      <c r="E976">
        <v>85355</v>
      </c>
      <c r="F976" t="s">
        <v>3953</v>
      </c>
      <c r="G976" t="s">
        <v>3930</v>
      </c>
      <c r="H976">
        <v>4392248810</v>
      </c>
      <c r="I976" t="s">
        <v>46</v>
      </c>
      <c r="J976" t="s">
        <v>37</v>
      </c>
      <c r="K976" t="s">
        <v>37</v>
      </c>
      <c r="L976" t="s">
        <v>38</v>
      </c>
      <c r="M976" t="s">
        <v>37</v>
      </c>
      <c r="N976" t="s">
        <v>37</v>
      </c>
      <c r="O976" t="s">
        <v>38</v>
      </c>
      <c r="P976" t="s">
        <v>39</v>
      </c>
      <c r="Q976" s="55">
        <v>45995</v>
      </c>
      <c r="V976">
        <v>1</v>
      </c>
    </row>
    <row r="977" spans="1:22">
      <c r="A977" s="55">
        <v>45994</v>
      </c>
      <c r="B977" t="s">
        <v>3956</v>
      </c>
      <c r="C977" t="s">
        <v>3957</v>
      </c>
      <c r="D977" t="s">
        <v>202</v>
      </c>
      <c r="E977">
        <v>85383</v>
      </c>
      <c r="F977" t="s">
        <v>3958</v>
      </c>
      <c r="G977" t="s">
        <v>3959</v>
      </c>
      <c r="H977" t="s">
        <v>3960</v>
      </c>
      <c r="I977" t="s">
        <v>126</v>
      </c>
      <c r="J977" t="s">
        <v>37</v>
      </c>
      <c r="K977" t="s">
        <v>37</v>
      </c>
      <c r="L977" t="s">
        <v>38</v>
      </c>
      <c r="M977" t="s">
        <v>37</v>
      </c>
      <c r="N977" t="s">
        <v>37</v>
      </c>
      <c r="O977" t="s">
        <v>38</v>
      </c>
      <c r="P977" t="s">
        <v>39</v>
      </c>
      <c r="Q977" s="55">
        <v>45995</v>
      </c>
      <c r="V977">
        <v>1</v>
      </c>
    </row>
    <row r="978" spans="1:22">
      <c r="A978" s="55">
        <v>45994</v>
      </c>
      <c r="B978" t="s">
        <v>3975</v>
      </c>
      <c r="C978" t="s">
        <v>3976</v>
      </c>
      <c r="D978" t="s">
        <v>63</v>
      </c>
      <c r="E978">
        <v>85008</v>
      </c>
      <c r="F978" t="s">
        <v>3977</v>
      </c>
      <c r="G978" t="s">
        <v>3964</v>
      </c>
      <c r="H978" t="s">
        <v>3978</v>
      </c>
      <c r="I978" t="s">
        <v>126</v>
      </c>
      <c r="J978" t="s">
        <v>38</v>
      </c>
      <c r="K978" t="s">
        <v>37</v>
      </c>
      <c r="L978" t="s">
        <v>3979</v>
      </c>
      <c r="M978" t="s">
        <v>37</v>
      </c>
      <c r="N978" t="s">
        <v>37</v>
      </c>
      <c r="O978" t="s">
        <v>38</v>
      </c>
      <c r="P978" t="s">
        <v>39</v>
      </c>
      <c r="Q978" s="55">
        <v>46000</v>
      </c>
      <c r="R978" t="s">
        <v>3980</v>
      </c>
      <c r="V978">
        <v>1</v>
      </c>
    </row>
    <row r="979" spans="1:22">
      <c r="A979" s="55">
        <v>45994</v>
      </c>
      <c r="B979" t="s">
        <v>3995</v>
      </c>
      <c r="C979" t="s">
        <v>3996</v>
      </c>
      <c r="D979" t="s">
        <v>112</v>
      </c>
      <c r="E979">
        <v>85387</v>
      </c>
      <c r="F979" t="s">
        <v>3997</v>
      </c>
      <c r="G979" t="s">
        <v>3964</v>
      </c>
      <c r="H979" t="s">
        <v>3998</v>
      </c>
      <c r="I979" t="s">
        <v>36</v>
      </c>
      <c r="J979" t="s">
        <v>37</v>
      </c>
      <c r="K979" t="s">
        <v>37</v>
      </c>
      <c r="L979" t="s">
        <v>38</v>
      </c>
      <c r="M979" t="s">
        <v>37</v>
      </c>
      <c r="N979" t="s">
        <v>37</v>
      </c>
      <c r="O979" t="s">
        <v>38</v>
      </c>
      <c r="P979" t="s">
        <v>39</v>
      </c>
      <c r="Q979" s="55">
        <v>46000</v>
      </c>
      <c r="V979">
        <v>1</v>
      </c>
    </row>
    <row r="980" spans="1:22">
      <c r="A980" s="55">
        <v>45994</v>
      </c>
      <c r="B980" t="s">
        <v>419</v>
      </c>
      <c r="C980" t="s">
        <v>3639</v>
      </c>
      <c r="D980" t="s">
        <v>63</v>
      </c>
      <c r="E980">
        <v>85029</v>
      </c>
      <c r="F980" t="s">
        <v>3999</v>
      </c>
      <c r="G980" t="s">
        <v>3964</v>
      </c>
      <c r="H980" t="s">
        <v>3641</v>
      </c>
      <c r="I980" t="s">
        <v>126</v>
      </c>
      <c r="J980" t="s">
        <v>37</v>
      </c>
      <c r="K980" t="s">
        <v>37</v>
      </c>
      <c r="L980" t="s">
        <v>38</v>
      </c>
      <c r="M980" t="s">
        <v>37</v>
      </c>
      <c r="N980" t="s">
        <v>37</v>
      </c>
      <c r="O980" t="s">
        <v>38</v>
      </c>
      <c r="P980" t="s">
        <v>39</v>
      </c>
      <c r="Q980" s="55">
        <v>46000</v>
      </c>
      <c r="V980">
        <v>1</v>
      </c>
    </row>
    <row r="981" spans="1:22">
      <c r="A981" s="55">
        <v>45994</v>
      </c>
      <c r="B981" t="s">
        <v>849</v>
      </c>
      <c r="C981" t="s">
        <v>4000</v>
      </c>
      <c r="D981" t="s">
        <v>63</v>
      </c>
      <c r="E981">
        <v>85013</v>
      </c>
      <c r="F981" t="s">
        <v>4001</v>
      </c>
      <c r="G981" t="s">
        <v>3964</v>
      </c>
      <c r="H981">
        <v>5334816770</v>
      </c>
      <c r="I981" t="s">
        <v>4002</v>
      </c>
      <c r="J981" t="s">
        <v>37</v>
      </c>
      <c r="K981" t="s">
        <v>37</v>
      </c>
      <c r="L981" t="s">
        <v>4003</v>
      </c>
      <c r="M981" t="s">
        <v>37</v>
      </c>
      <c r="N981" t="s">
        <v>37</v>
      </c>
      <c r="O981" t="s">
        <v>38</v>
      </c>
      <c r="Q981" s="55">
        <v>46000</v>
      </c>
      <c r="R981" t="s">
        <v>4004</v>
      </c>
      <c r="V981">
        <v>1</v>
      </c>
    </row>
    <row r="982" spans="1:22">
      <c r="A982" s="55">
        <v>45994</v>
      </c>
      <c r="B982" t="s">
        <v>4015</v>
      </c>
      <c r="C982" t="s">
        <v>340</v>
      </c>
      <c r="D982" t="s">
        <v>63</v>
      </c>
      <c r="E982">
        <v>85022</v>
      </c>
      <c r="F982" t="s">
        <v>4016</v>
      </c>
      <c r="G982" t="s">
        <v>3964</v>
      </c>
      <c r="H982" t="s">
        <v>4017</v>
      </c>
      <c r="I982" t="s">
        <v>73</v>
      </c>
      <c r="J982" t="s">
        <v>37</v>
      </c>
      <c r="K982" t="s">
        <v>37</v>
      </c>
      <c r="L982" t="s">
        <v>4018</v>
      </c>
      <c r="M982" t="s">
        <v>37</v>
      </c>
      <c r="N982" t="s">
        <v>37</v>
      </c>
      <c r="O982" t="s">
        <v>38</v>
      </c>
      <c r="P982" t="s">
        <v>39</v>
      </c>
      <c r="Q982" s="55">
        <v>46000</v>
      </c>
      <c r="V982">
        <v>1</v>
      </c>
    </row>
    <row r="983" spans="1:22">
      <c r="A983" s="55">
        <v>45994</v>
      </c>
      <c r="B983" t="s">
        <v>4033</v>
      </c>
      <c r="C983" t="s">
        <v>4034</v>
      </c>
      <c r="D983" t="s">
        <v>68</v>
      </c>
      <c r="F983" t="s">
        <v>4035</v>
      </c>
      <c r="G983" t="s">
        <v>3964</v>
      </c>
      <c r="H983" t="s">
        <v>4036</v>
      </c>
      <c r="I983" t="s">
        <v>36</v>
      </c>
      <c r="J983" t="s">
        <v>37</v>
      </c>
      <c r="K983" t="s">
        <v>37</v>
      </c>
      <c r="L983" t="s">
        <v>38</v>
      </c>
      <c r="M983" t="s">
        <v>37</v>
      </c>
      <c r="N983" t="s">
        <v>37</v>
      </c>
      <c r="O983" t="s">
        <v>38</v>
      </c>
      <c r="P983" t="s">
        <v>39</v>
      </c>
      <c r="Q983" s="55">
        <v>46000</v>
      </c>
      <c r="V983">
        <v>1</v>
      </c>
    </row>
    <row r="984" spans="1:22">
      <c r="A984" s="55">
        <v>45994</v>
      </c>
      <c r="B984" t="s">
        <v>30</v>
      </c>
      <c r="C984" t="s">
        <v>4051</v>
      </c>
      <c r="D984" t="s">
        <v>30</v>
      </c>
      <c r="E984" t="s">
        <v>30</v>
      </c>
      <c r="G984" t="s">
        <v>3964</v>
      </c>
      <c r="Q984" s="55"/>
      <c r="V984">
        <v>1</v>
      </c>
    </row>
    <row r="985" spans="1:22" hidden="1">
      <c r="A985" s="55">
        <v>45995</v>
      </c>
      <c r="B985" t="s">
        <v>4052</v>
      </c>
      <c r="C985" t="s">
        <v>4053</v>
      </c>
      <c r="D985" t="s">
        <v>112</v>
      </c>
      <c r="E985">
        <v>85379</v>
      </c>
      <c r="F985" t="s">
        <v>4054</v>
      </c>
      <c r="G985" t="s">
        <v>4055</v>
      </c>
      <c r="H985" t="s">
        <v>4056</v>
      </c>
      <c r="I985" t="s">
        <v>4057</v>
      </c>
      <c r="J985" t="s">
        <v>37</v>
      </c>
      <c r="K985" t="s">
        <v>37</v>
      </c>
      <c r="L985" t="s">
        <v>389</v>
      </c>
      <c r="M985" t="s">
        <v>37</v>
      </c>
      <c r="N985" t="s">
        <v>37</v>
      </c>
      <c r="O985" t="s">
        <v>38</v>
      </c>
      <c r="P985" t="s">
        <v>39</v>
      </c>
      <c r="Q985" s="55">
        <v>46000</v>
      </c>
      <c r="V985">
        <v>1</v>
      </c>
    </row>
    <row r="986" spans="1:22">
      <c r="A986" s="55">
        <v>45996</v>
      </c>
      <c r="B986" t="s">
        <v>4058</v>
      </c>
      <c r="C986" t="s">
        <v>479</v>
      </c>
      <c r="D986" t="s">
        <v>63</v>
      </c>
      <c r="E986">
        <v>85032</v>
      </c>
      <c r="F986" t="s">
        <v>4059</v>
      </c>
      <c r="G986" t="s">
        <v>4060</v>
      </c>
      <c r="H986" t="s">
        <v>4061</v>
      </c>
      <c r="I986" t="s">
        <v>57</v>
      </c>
      <c r="J986" t="s">
        <v>37</v>
      </c>
      <c r="K986" t="s">
        <v>37</v>
      </c>
      <c r="L986" t="s">
        <v>4062</v>
      </c>
      <c r="M986" t="s">
        <v>37</v>
      </c>
      <c r="N986" t="s">
        <v>37</v>
      </c>
      <c r="O986" t="s">
        <v>38</v>
      </c>
      <c r="Q986" s="55">
        <v>46000</v>
      </c>
      <c r="R986" t="s">
        <v>4004</v>
      </c>
      <c r="V986">
        <v>1</v>
      </c>
    </row>
    <row r="987" spans="1:22">
      <c r="A987" s="55">
        <v>46003</v>
      </c>
      <c r="B987" t="s">
        <v>4066</v>
      </c>
      <c r="C987" t="s">
        <v>4067</v>
      </c>
      <c r="D987" t="s">
        <v>174</v>
      </c>
      <c r="E987">
        <v>85396</v>
      </c>
      <c r="F987" t="s">
        <v>4068</v>
      </c>
      <c r="G987" t="s">
        <v>4065</v>
      </c>
      <c r="H987" t="s">
        <v>4069</v>
      </c>
      <c r="I987" t="s">
        <v>250</v>
      </c>
      <c r="J987" t="s">
        <v>37</v>
      </c>
      <c r="K987" t="s">
        <v>37</v>
      </c>
      <c r="L987" t="s">
        <v>38</v>
      </c>
      <c r="M987" t="s">
        <v>37</v>
      </c>
      <c r="N987" t="s">
        <v>37</v>
      </c>
      <c r="O987" t="s">
        <v>38</v>
      </c>
      <c r="P987" t="s">
        <v>39</v>
      </c>
      <c r="Q987" s="55">
        <v>46008</v>
      </c>
      <c r="V987">
        <v>1</v>
      </c>
    </row>
    <row r="988" spans="1:22">
      <c r="A988" s="55">
        <v>46003</v>
      </c>
      <c r="B988" t="s">
        <v>4070</v>
      </c>
      <c r="C988" t="s">
        <v>4071</v>
      </c>
      <c r="D988" t="s">
        <v>174</v>
      </c>
      <c r="E988">
        <v>85396</v>
      </c>
      <c r="F988" t="s">
        <v>4072</v>
      </c>
      <c r="G988" t="s">
        <v>4065</v>
      </c>
      <c r="H988" t="s">
        <v>4073</v>
      </c>
      <c r="I988" t="s">
        <v>4074</v>
      </c>
      <c r="J988" t="s">
        <v>37</v>
      </c>
      <c r="K988" t="s">
        <v>37</v>
      </c>
      <c r="L988" t="s">
        <v>38</v>
      </c>
      <c r="M988" t="s">
        <v>37</v>
      </c>
      <c r="N988" t="s">
        <v>37</v>
      </c>
      <c r="O988" t="s">
        <v>38</v>
      </c>
      <c r="P988" t="s">
        <v>39</v>
      </c>
      <c r="Q988" s="55">
        <v>46008</v>
      </c>
      <c r="V988">
        <v>1</v>
      </c>
    </row>
    <row r="989" spans="1:22">
      <c r="A989" s="55">
        <v>46003</v>
      </c>
      <c r="B989" t="s">
        <v>4075</v>
      </c>
      <c r="C989" t="s">
        <v>208</v>
      </c>
      <c r="D989" t="s">
        <v>174</v>
      </c>
      <c r="E989">
        <v>85396</v>
      </c>
      <c r="F989" t="s">
        <v>4076</v>
      </c>
      <c r="G989" t="s">
        <v>4065</v>
      </c>
      <c r="H989" t="s">
        <v>4077</v>
      </c>
      <c r="I989" t="s">
        <v>4078</v>
      </c>
      <c r="J989" t="s">
        <v>37</v>
      </c>
      <c r="K989" t="s">
        <v>37</v>
      </c>
      <c r="L989" t="s">
        <v>4079</v>
      </c>
      <c r="M989" t="s">
        <v>37</v>
      </c>
      <c r="N989" t="s">
        <v>37</v>
      </c>
      <c r="O989" t="s">
        <v>38</v>
      </c>
      <c r="P989" t="s">
        <v>39</v>
      </c>
      <c r="Q989" s="55">
        <v>46008</v>
      </c>
      <c r="V989">
        <v>1</v>
      </c>
    </row>
    <row r="990" spans="1:22">
      <c r="A990" s="55">
        <v>46006</v>
      </c>
      <c r="B990" t="s">
        <v>3561</v>
      </c>
      <c r="C990" t="s">
        <v>481</v>
      </c>
      <c r="D990" t="s">
        <v>85</v>
      </c>
      <c r="E990">
        <v>86323</v>
      </c>
      <c r="F990" t="s">
        <v>4081</v>
      </c>
      <c r="G990" t="s">
        <v>4082</v>
      </c>
      <c r="H990" t="s">
        <v>4083</v>
      </c>
      <c r="I990" t="s">
        <v>126</v>
      </c>
      <c r="J990" t="s">
        <v>37</v>
      </c>
      <c r="K990" t="s">
        <v>37</v>
      </c>
      <c r="L990" t="s">
        <v>38</v>
      </c>
      <c r="M990" t="s">
        <v>37</v>
      </c>
      <c r="N990" t="s">
        <v>37</v>
      </c>
      <c r="O990" t="s">
        <v>38</v>
      </c>
      <c r="P990" t="s">
        <v>39</v>
      </c>
      <c r="Q990" s="55">
        <v>46008</v>
      </c>
      <c r="V990">
        <v>1</v>
      </c>
    </row>
    <row r="991" spans="1:22">
      <c r="A991" s="55">
        <v>46009</v>
      </c>
      <c r="B991" t="s">
        <v>4094</v>
      </c>
      <c r="C991" t="s">
        <v>4095</v>
      </c>
      <c r="D991" t="s">
        <v>63</v>
      </c>
      <c r="E991">
        <v>85022</v>
      </c>
      <c r="F991" t="s">
        <v>3865</v>
      </c>
      <c r="G991" t="s">
        <v>4096</v>
      </c>
      <c r="H991" t="s">
        <v>4097</v>
      </c>
      <c r="I991" t="s">
        <v>196</v>
      </c>
      <c r="J991" t="s">
        <v>37</v>
      </c>
      <c r="K991" t="s">
        <v>37</v>
      </c>
      <c r="L991" t="s">
        <v>4098</v>
      </c>
      <c r="M991" t="s">
        <v>37</v>
      </c>
      <c r="N991" t="s">
        <v>37</v>
      </c>
      <c r="O991" t="s">
        <v>38</v>
      </c>
      <c r="Q991" s="55">
        <v>46015</v>
      </c>
      <c r="R991" t="s">
        <v>4004</v>
      </c>
      <c r="V991">
        <v>1</v>
      </c>
    </row>
    <row r="992" spans="1:22">
      <c r="A992" s="55">
        <v>46010</v>
      </c>
      <c r="B992" t="s">
        <v>4104</v>
      </c>
      <c r="C992" t="s">
        <v>481</v>
      </c>
      <c r="D992" t="s">
        <v>174</v>
      </c>
      <c r="E992">
        <v>85326</v>
      </c>
      <c r="F992" t="s">
        <v>3865</v>
      </c>
      <c r="G992" t="s">
        <v>4102</v>
      </c>
      <c r="H992" t="s">
        <v>4105</v>
      </c>
      <c r="I992" t="s">
        <v>196</v>
      </c>
      <c r="J992" t="s">
        <v>37</v>
      </c>
      <c r="K992" t="s">
        <v>37</v>
      </c>
      <c r="L992" t="s">
        <v>4106</v>
      </c>
      <c r="M992" t="s">
        <v>38</v>
      </c>
      <c r="N992">
        <v>1309.77</v>
      </c>
      <c r="O992" t="s">
        <v>38</v>
      </c>
      <c r="Q992" s="55">
        <v>46015</v>
      </c>
      <c r="R992" t="s">
        <v>4107</v>
      </c>
      <c r="V992">
        <v>1</v>
      </c>
    </row>
    <row r="993" spans="1:22">
      <c r="A993" s="55">
        <v>46010</v>
      </c>
      <c r="B993" t="s">
        <v>4109</v>
      </c>
      <c r="C993" t="s">
        <v>2184</v>
      </c>
      <c r="D993" t="s">
        <v>63</v>
      </c>
      <c r="E993">
        <v>85015</v>
      </c>
      <c r="F993" t="s">
        <v>3865</v>
      </c>
      <c r="G993" t="s">
        <v>4102</v>
      </c>
      <c r="H993">
        <v>8352070000</v>
      </c>
      <c r="I993" t="s">
        <v>126</v>
      </c>
      <c r="J993" t="s">
        <v>37</v>
      </c>
      <c r="K993" t="s">
        <v>37</v>
      </c>
      <c r="L993" t="s">
        <v>38</v>
      </c>
      <c r="M993" t="s">
        <v>37</v>
      </c>
      <c r="N993" t="s">
        <v>37</v>
      </c>
      <c r="O993" t="s">
        <v>38</v>
      </c>
      <c r="P993" t="s">
        <v>39</v>
      </c>
      <c r="Q993" s="55">
        <v>46015</v>
      </c>
      <c r="V993">
        <v>1</v>
      </c>
    </row>
    <row r="994" spans="1:22">
      <c r="A994" s="55">
        <v>46010</v>
      </c>
      <c r="B994" t="s">
        <v>3561</v>
      </c>
      <c r="C994" t="s">
        <v>4111</v>
      </c>
      <c r="D994" t="s">
        <v>2641</v>
      </c>
      <c r="E994">
        <v>85087</v>
      </c>
      <c r="F994" t="s">
        <v>3865</v>
      </c>
      <c r="G994" t="s">
        <v>4102</v>
      </c>
      <c r="H994" t="s">
        <v>4112</v>
      </c>
      <c r="I994" t="s">
        <v>4074</v>
      </c>
      <c r="J994" t="s">
        <v>37</v>
      </c>
      <c r="K994" t="s">
        <v>37</v>
      </c>
      <c r="L994" t="s">
        <v>38</v>
      </c>
      <c r="M994" t="s">
        <v>37</v>
      </c>
      <c r="N994" t="s">
        <v>37</v>
      </c>
      <c r="O994" t="s">
        <v>38</v>
      </c>
      <c r="P994" t="s">
        <v>39</v>
      </c>
      <c r="Q994" s="55">
        <v>46015</v>
      </c>
      <c r="V994">
        <v>1</v>
      </c>
    </row>
    <row r="995" spans="1:22">
      <c r="A995" s="55">
        <v>46010</v>
      </c>
      <c r="B995" t="s">
        <v>1356</v>
      </c>
      <c r="C995" t="s">
        <v>3733</v>
      </c>
      <c r="D995" t="s">
        <v>174</v>
      </c>
      <c r="E995">
        <v>85326</v>
      </c>
      <c r="F995" t="s">
        <v>3865</v>
      </c>
      <c r="G995" t="s">
        <v>4102</v>
      </c>
      <c r="H995" t="s">
        <v>4113</v>
      </c>
      <c r="I995" t="s">
        <v>196</v>
      </c>
      <c r="J995" t="s">
        <v>37</v>
      </c>
      <c r="K995" t="s">
        <v>37</v>
      </c>
      <c r="L995" t="s">
        <v>4114</v>
      </c>
      <c r="M995" t="s">
        <v>37</v>
      </c>
      <c r="N995" t="s">
        <v>37</v>
      </c>
      <c r="O995" t="s">
        <v>38</v>
      </c>
      <c r="Q995" s="55">
        <v>46015</v>
      </c>
      <c r="R995" t="s">
        <v>4004</v>
      </c>
      <c r="V995">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4E2E3-19AC-4577-86FA-C866BBEDDE56}">
  <dimension ref="A1:Z1147"/>
  <sheetViews>
    <sheetView workbookViewId="0"/>
  </sheetViews>
  <sheetFormatPr defaultRowHeight="15"/>
  <cols>
    <col min="1" max="1" width="14.5703125" bestFit="1" customWidth="1"/>
    <col min="2" max="2" width="17.7109375" bestFit="1" customWidth="1"/>
    <col min="3" max="3" width="21" bestFit="1" customWidth="1"/>
    <col min="4" max="4" width="14.7109375" bestFit="1" customWidth="1"/>
    <col min="5" max="5" width="10.85546875" bestFit="1" customWidth="1"/>
    <col min="6" max="6" width="81.140625" bestFit="1" customWidth="1"/>
    <col min="7" max="7" width="64.28515625" bestFit="1" customWidth="1"/>
    <col min="8" max="8" width="12" bestFit="1" customWidth="1"/>
    <col min="9" max="9" width="19.7109375" bestFit="1" customWidth="1"/>
    <col min="10" max="10" width="6.42578125" bestFit="1" customWidth="1"/>
    <col min="11" max="11" width="8.42578125" bestFit="1" customWidth="1"/>
    <col min="12" max="12" width="30.28515625" bestFit="1" customWidth="1"/>
    <col min="13" max="13" width="6.5703125" bestFit="1" customWidth="1"/>
    <col min="14" max="14" width="16.5703125" bestFit="1" customWidth="1"/>
    <col min="15" max="15" width="17.5703125" bestFit="1" customWidth="1"/>
    <col min="16" max="16" width="21.7109375" bestFit="1" customWidth="1"/>
    <col min="17" max="17" width="28.42578125" bestFit="1" customWidth="1"/>
    <col min="18" max="18" width="81.140625" bestFit="1" customWidth="1"/>
    <col min="19" max="19" width="24.28515625" bestFit="1" customWidth="1"/>
    <col min="20" max="20" width="17.5703125" bestFit="1" customWidth="1"/>
    <col min="21" max="21" width="65.7109375" bestFit="1" customWidth="1"/>
    <col min="22" max="22" width="17.85546875" bestFit="1" customWidth="1"/>
    <col min="23" max="23" width="14.5703125" bestFit="1" customWidth="1"/>
    <col min="24" max="24" width="7" bestFit="1" customWidth="1"/>
    <col min="25" max="25" width="17.42578125" bestFit="1" customWidth="1"/>
    <col min="26" max="26" width="56.7109375" bestFit="1" customWidth="1"/>
  </cols>
  <sheetData>
    <row r="1" spans="1:26">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5427</v>
      </c>
      <c r="W1" t="s">
        <v>5428</v>
      </c>
      <c r="X1" t="s">
        <v>5429</v>
      </c>
      <c r="Y1" t="s">
        <v>5430</v>
      </c>
      <c r="Z1" t="s">
        <v>5431</v>
      </c>
    </row>
    <row r="2" spans="1:26">
      <c r="A2" s="55">
        <v>45797</v>
      </c>
      <c r="B2" t="s">
        <v>33</v>
      </c>
      <c r="C2" t="s">
        <v>34</v>
      </c>
      <c r="D2" t="s">
        <v>24</v>
      </c>
      <c r="E2" t="s">
        <v>30</v>
      </c>
      <c r="F2" t="s">
        <v>31</v>
      </c>
      <c r="G2" t="s">
        <v>35</v>
      </c>
      <c r="H2">
        <v>5494061000</v>
      </c>
      <c r="I2" t="s">
        <v>36</v>
      </c>
      <c r="J2" t="s">
        <v>37</v>
      </c>
      <c r="K2" t="s">
        <v>37</v>
      </c>
      <c r="L2" t="s">
        <v>38</v>
      </c>
      <c r="M2" t="s">
        <v>37</v>
      </c>
      <c r="N2" t="s">
        <v>37</v>
      </c>
      <c r="O2" t="s">
        <v>38</v>
      </c>
      <c r="P2" t="s">
        <v>39</v>
      </c>
      <c r="Q2" s="55">
        <v>45589</v>
      </c>
      <c r="R2" t="s">
        <v>5432</v>
      </c>
      <c r="S2" t="s">
        <v>5432</v>
      </c>
      <c r="T2" t="s">
        <v>5432</v>
      </c>
      <c r="U2" t="s">
        <v>40</v>
      </c>
      <c r="V2" t="s">
        <v>5433</v>
      </c>
      <c r="W2" s="55">
        <v>45997</v>
      </c>
      <c r="X2" t="s">
        <v>5434</v>
      </c>
      <c r="Z2" t="s">
        <v>5435</v>
      </c>
    </row>
    <row r="3" spans="1:26">
      <c r="A3" s="55">
        <v>45798</v>
      </c>
      <c r="B3" t="s">
        <v>41</v>
      </c>
      <c r="C3" t="s">
        <v>42</v>
      </c>
      <c r="D3" t="s">
        <v>43</v>
      </c>
      <c r="E3">
        <v>85363</v>
      </c>
      <c r="F3" t="s">
        <v>31</v>
      </c>
      <c r="G3" t="s">
        <v>44</v>
      </c>
      <c r="H3">
        <v>2074850000</v>
      </c>
      <c r="I3" t="s">
        <v>46</v>
      </c>
      <c r="J3" t="s">
        <v>37</v>
      </c>
      <c r="K3" t="s">
        <v>37</v>
      </c>
      <c r="L3" t="s">
        <v>47</v>
      </c>
      <c r="M3" t="s">
        <v>37</v>
      </c>
      <c r="N3" t="s">
        <v>37</v>
      </c>
      <c r="O3" t="s">
        <v>38</v>
      </c>
      <c r="P3" t="s">
        <v>39</v>
      </c>
      <c r="Q3" s="55">
        <v>45589</v>
      </c>
      <c r="R3" t="s">
        <v>48</v>
      </c>
      <c r="S3" t="s">
        <v>5432</v>
      </c>
      <c r="T3" t="s">
        <v>5432</v>
      </c>
      <c r="U3" t="s">
        <v>5432</v>
      </c>
      <c r="V3" t="s">
        <v>5433</v>
      </c>
      <c r="W3" s="55">
        <v>45997</v>
      </c>
      <c r="Z3" t="s">
        <v>5436</v>
      </c>
    </row>
    <row r="4" spans="1:26">
      <c r="A4" s="55">
        <v>45798</v>
      </c>
      <c r="B4" t="s">
        <v>49</v>
      </c>
      <c r="C4" t="s">
        <v>50</v>
      </c>
      <c r="D4" t="s">
        <v>51</v>
      </c>
      <c r="E4">
        <v>85554</v>
      </c>
      <c r="F4" t="s">
        <v>31</v>
      </c>
      <c r="G4" t="s">
        <v>44</v>
      </c>
      <c r="H4">
        <v>4823746138</v>
      </c>
      <c r="I4" t="s">
        <v>36</v>
      </c>
      <c r="J4" t="s">
        <v>37</v>
      </c>
      <c r="K4" t="s">
        <v>37</v>
      </c>
      <c r="L4" t="s">
        <v>38</v>
      </c>
      <c r="M4" t="s">
        <v>37</v>
      </c>
      <c r="N4" t="s">
        <v>37</v>
      </c>
      <c r="O4" t="s">
        <v>38</v>
      </c>
      <c r="P4" t="s">
        <v>39</v>
      </c>
      <c r="Q4" s="55">
        <v>45589</v>
      </c>
      <c r="R4" t="s">
        <v>5432</v>
      </c>
      <c r="S4" t="s">
        <v>5432</v>
      </c>
      <c r="T4" t="s">
        <v>5432</v>
      </c>
      <c r="U4" t="s">
        <v>5432</v>
      </c>
      <c r="V4" t="s">
        <v>5433</v>
      </c>
      <c r="W4" s="55">
        <v>45997</v>
      </c>
      <c r="X4" t="s">
        <v>5434</v>
      </c>
      <c r="Z4" t="s">
        <v>5435</v>
      </c>
    </row>
    <row r="5" spans="1:26">
      <c r="A5" s="55">
        <v>45799</v>
      </c>
      <c r="B5" t="s">
        <v>52</v>
      </c>
      <c r="C5" t="s">
        <v>53</v>
      </c>
      <c r="D5" t="s">
        <v>30</v>
      </c>
      <c r="E5" t="s">
        <v>30</v>
      </c>
      <c r="F5" t="s">
        <v>54</v>
      </c>
      <c r="G5" t="s">
        <v>55</v>
      </c>
      <c r="H5">
        <v>8991140195</v>
      </c>
      <c r="I5" t="s">
        <v>57</v>
      </c>
      <c r="J5" t="s">
        <v>37</v>
      </c>
      <c r="K5" t="s">
        <v>37</v>
      </c>
      <c r="L5" t="s">
        <v>58</v>
      </c>
      <c r="M5" t="s">
        <v>37</v>
      </c>
      <c r="N5" t="s">
        <v>37</v>
      </c>
      <c r="O5" t="s">
        <v>38</v>
      </c>
      <c r="P5">
        <v>45964</v>
      </c>
      <c r="Q5" s="55">
        <v>45954</v>
      </c>
      <c r="R5" t="s">
        <v>59</v>
      </c>
      <c r="S5" t="s">
        <v>5432</v>
      </c>
      <c r="T5" t="s">
        <v>5432</v>
      </c>
      <c r="U5" t="s">
        <v>60</v>
      </c>
      <c r="V5" t="s">
        <v>5433</v>
      </c>
      <c r="W5" s="55">
        <v>45997</v>
      </c>
      <c r="Z5" t="s">
        <v>5437</v>
      </c>
    </row>
    <row r="6" spans="1:26">
      <c r="A6" s="55">
        <v>45804</v>
      </c>
      <c r="B6" t="s">
        <v>66</v>
      </c>
      <c r="C6" t="s">
        <v>67</v>
      </c>
      <c r="D6" t="s">
        <v>68</v>
      </c>
      <c r="E6">
        <v>85331</v>
      </c>
      <c r="F6" t="s">
        <v>31</v>
      </c>
      <c r="G6" t="s">
        <v>69</v>
      </c>
      <c r="H6">
        <v>5900820000</v>
      </c>
      <c r="I6" t="s">
        <v>36</v>
      </c>
      <c r="J6" t="s">
        <v>37</v>
      </c>
      <c r="K6" t="s">
        <v>37</v>
      </c>
      <c r="L6" t="s">
        <v>38</v>
      </c>
      <c r="M6" t="s">
        <v>37</v>
      </c>
      <c r="N6" t="s">
        <v>37</v>
      </c>
      <c r="O6" t="s">
        <v>38</v>
      </c>
      <c r="P6" t="s">
        <v>39</v>
      </c>
      <c r="Q6" s="55">
        <v>45954</v>
      </c>
      <c r="R6" t="s">
        <v>5432</v>
      </c>
      <c r="S6" t="s">
        <v>5432</v>
      </c>
      <c r="T6" t="s">
        <v>5432</v>
      </c>
      <c r="U6" t="s">
        <v>5432</v>
      </c>
      <c r="W6" s="55"/>
      <c r="Z6" t="s">
        <v>5438</v>
      </c>
    </row>
    <row r="7" spans="1:26">
      <c r="A7" s="55">
        <v>45805</v>
      </c>
      <c r="B7" t="s">
        <v>70</v>
      </c>
      <c r="C7" t="s">
        <v>71</v>
      </c>
      <c r="D7" t="s">
        <v>30</v>
      </c>
      <c r="E7" t="s">
        <v>30</v>
      </c>
      <c r="F7" t="s">
        <v>31</v>
      </c>
      <c r="G7" t="s">
        <v>72</v>
      </c>
      <c r="H7">
        <v>1569851000</v>
      </c>
      <c r="I7" t="s">
        <v>73</v>
      </c>
      <c r="J7" t="s">
        <v>37</v>
      </c>
      <c r="K7" t="s">
        <v>37</v>
      </c>
      <c r="L7" t="s">
        <v>38</v>
      </c>
      <c r="M7" t="s">
        <v>37</v>
      </c>
      <c r="N7" t="s">
        <v>37</v>
      </c>
      <c r="O7" t="s">
        <v>38</v>
      </c>
      <c r="P7" t="s">
        <v>39</v>
      </c>
      <c r="Q7" s="55">
        <v>45954</v>
      </c>
      <c r="R7" t="s">
        <v>5432</v>
      </c>
      <c r="S7" t="s">
        <v>5432</v>
      </c>
      <c r="T7" t="s">
        <v>5432</v>
      </c>
      <c r="U7" t="s">
        <v>5432</v>
      </c>
      <c r="W7" s="55"/>
      <c r="Z7" t="s">
        <v>5438</v>
      </c>
    </row>
    <row r="8" spans="1:26">
      <c r="A8" s="55">
        <v>45812</v>
      </c>
      <c r="B8" t="s">
        <v>78</v>
      </c>
      <c r="C8" t="s">
        <v>79</v>
      </c>
      <c r="D8" t="s">
        <v>30</v>
      </c>
      <c r="E8" t="s">
        <v>30</v>
      </c>
      <c r="F8" t="s">
        <v>31</v>
      </c>
      <c r="G8" t="s">
        <v>76</v>
      </c>
      <c r="H8">
        <v>7938430000</v>
      </c>
      <c r="I8" t="s">
        <v>81</v>
      </c>
      <c r="J8" t="s">
        <v>37</v>
      </c>
      <c r="K8" t="s">
        <v>37</v>
      </c>
      <c r="L8" t="s">
        <v>82</v>
      </c>
      <c r="M8" t="s">
        <v>37</v>
      </c>
      <c r="N8" t="s">
        <v>37</v>
      </c>
      <c r="O8" t="s">
        <v>38</v>
      </c>
      <c r="P8" t="s">
        <v>39</v>
      </c>
      <c r="Q8" s="55">
        <v>45957</v>
      </c>
      <c r="R8" t="s">
        <v>5432</v>
      </c>
      <c r="S8" t="s">
        <v>5432</v>
      </c>
      <c r="T8" t="s">
        <v>5432</v>
      </c>
      <c r="U8" t="s">
        <v>5432</v>
      </c>
      <c r="V8" t="s">
        <v>5433</v>
      </c>
      <c r="W8" s="55">
        <v>45997</v>
      </c>
      <c r="X8" t="s">
        <v>5434</v>
      </c>
    </row>
    <row r="9" spans="1:26">
      <c r="A9" s="55">
        <v>45813</v>
      </c>
      <c r="B9" t="s">
        <v>83</v>
      </c>
      <c r="C9" t="s">
        <v>84</v>
      </c>
      <c r="D9" t="s">
        <v>85</v>
      </c>
      <c r="E9" t="s">
        <v>30</v>
      </c>
      <c r="F9" t="s">
        <v>31</v>
      </c>
      <c r="G9" t="s">
        <v>86</v>
      </c>
      <c r="H9">
        <v>2009184288</v>
      </c>
      <c r="I9" t="s">
        <v>46</v>
      </c>
      <c r="J9" t="s">
        <v>37</v>
      </c>
      <c r="K9" t="s">
        <v>37</v>
      </c>
      <c r="L9" t="s">
        <v>38</v>
      </c>
      <c r="M9" t="s">
        <v>37</v>
      </c>
      <c r="N9" t="s">
        <v>37</v>
      </c>
      <c r="O9" t="s">
        <v>38</v>
      </c>
      <c r="P9" t="s">
        <v>39</v>
      </c>
      <c r="Q9" s="55">
        <v>45957</v>
      </c>
      <c r="R9" t="s">
        <v>5432</v>
      </c>
      <c r="S9" t="s">
        <v>5432</v>
      </c>
      <c r="T9" t="s">
        <v>5432</v>
      </c>
      <c r="U9" t="s">
        <v>5432</v>
      </c>
      <c r="V9" t="s">
        <v>5433</v>
      </c>
      <c r="W9" s="55">
        <v>45997</v>
      </c>
      <c r="Z9" t="s">
        <v>5439</v>
      </c>
    </row>
    <row r="10" spans="1:26">
      <c r="A10" s="55">
        <v>45814</v>
      </c>
      <c r="B10" t="s">
        <v>91</v>
      </c>
      <c r="C10" t="s">
        <v>92</v>
      </c>
      <c r="D10" t="s">
        <v>93</v>
      </c>
      <c r="E10">
        <v>85351</v>
      </c>
      <c r="F10" t="s">
        <v>31</v>
      </c>
      <c r="G10" t="s">
        <v>94</v>
      </c>
      <c r="H10">
        <v>1163301000</v>
      </c>
      <c r="I10" t="s">
        <v>73</v>
      </c>
      <c r="J10" t="s">
        <v>37</v>
      </c>
      <c r="K10" t="s">
        <v>37</v>
      </c>
      <c r="L10" t="s">
        <v>38</v>
      </c>
      <c r="M10" t="s">
        <v>37</v>
      </c>
      <c r="N10" t="s">
        <v>37</v>
      </c>
      <c r="O10" t="s">
        <v>38</v>
      </c>
      <c r="P10" t="s">
        <v>39</v>
      </c>
      <c r="Q10" s="55">
        <v>45957</v>
      </c>
      <c r="R10" t="s">
        <v>5432</v>
      </c>
      <c r="S10" t="s">
        <v>5432</v>
      </c>
      <c r="T10" t="s">
        <v>5432</v>
      </c>
      <c r="U10" t="s">
        <v>5432</v>
      </c>
      <c r="V10" t="s">
        <v>5433</v>
      </c>
      <c r="W10" s="55">
        <v>45997</v>
      </c>
      <c r="X10" t="s">
        <v>5434</v>
      </c>
      <c r="Z10" t="s">
        <v>5440</v>
      </c>
    </row>
    <row r="11" spans="1:26">
      <c r="A11" s="55">
        <v>45821</v>
      </c>
      <c r="B11" t="s">
        <v>95</v>
      </c>
      <c r="C11" t="s">
        <v>96</v>
      </c>
      <c r="D11" t="s">
        <v>30</v>
      </c>
      <c r="E11" t="s">
        <v>30</v>
      </c>
      <c r="F11" t="s">
        <v>31</v>
      </c>
      <c r="G11" t="s">
        <v>97</v>
      </c>
      <c r="H11">
        <v>6242500593</v>
      </c>
      <c r="I11" t="s">
        <v>46</v>
      </c>
      <c r="J11" t="s">
        <v>37</v>
      </c>
      <c r="K11" t="s">
        <v>37</v>
      </c>
      <c r="L11" t="s">
        <v>99</v>
      </c>
      <c r="M11" t="s">
        <v>37</v>
      </c>
      <c r="N11" t="s">
        <v>37</v>
      </c>
      <c r="O11" t="s">
        <v>38</v>
      </c>
      <c r="P11" t="s">
        <v>39</v>
      </c>
      <c r="Q11" s="55">
        <v>45957</v>
      </c>
      <c r="R11" t="s">
        <v>100</v>
      </c>
      <c r="S11" t="s">
        <v>5432</v>
      </c>
      <c r="T11" t="s">
        <v>5432</v>
      </c>
      <c r="U11" t="s">
        <v>5432</v>
      </c>
      <c r="V11" t="s">
        <v>5433</v>
      </c>
      <c r="W11" s="55">
        <v>45997</v>
      </c>
      <c r="X11" t="s">
        <v>5434</v>
      </c>
      <c r="Z11" t="s">
        <v>5440</v>
      </c>
    </row>
    <row r="12" spans="1:26">
      <c r="A12" s="55">
        <v>45825</v>
      </c>
      <c r="B12" t="s">
        <v>116</v>
      </c>
      <c r="C12" t="s">
        <v>117</v>
      </c>
      <c r="D12" t="s">
        <v>24</v>
      </c>
      <c r="E12">
        <v>85308</v>
      </c>
      <c r="F12" t="s">
        <v>31</v>
      </c>
      <c r="G12" t="s">
        <v>113</v>
      </c>
      <c r="H12">
        <v>1565756559</v>
      </c>
      <c r="I12" t="s">
        <v>36</v>
      </c>
      <c r="J12" t="s">
        <v>37</v>
      </c>
      <c r="K12" t="s">
        <v>37</v>
      </c>
      <c r="L12" t="s">
        <v>38</v>
      </c>
      <c r="M12" t="s">
        <v>37</v>
      </c>
      <c r="N12" t="s">
        <v>37</v>
      </c>
      <c r="O12" t="s">
        <v>38</v>
      </c>
      <c r="P12" t="s">
        <v>39</v>
      </c>
      <c r="Q12" s="55">
        <v>45957</v>
      </c>
      <c r="R12" t="s">
        <v>5432</v>
      </c>
      <c r="S12" t="s">
        <v>5432</v>
      </c>
      <c r="T12" t="s">
        <v>5432</v>
      </c>
      <c r="U12" t="s">
        <v>5432</v>
      </c>
      <c r="V12" t="s">
        <v>5433</v>
      </c>
      <c r="W12" s="55">
        <v>45997</v>
      </c>
      <c r="X12" t="s">
        <v>5434</v>
      </c>
      <c r="Z12" t="s">
        <v>5441</v>
      </c>
    </row>
    <row r="13" spans="1:26">
      <c r="A13" s="55">
        <v>45826</v>
      </c>
      <c r="B13" t="s">
        <v>123</v>
      </c>
      <c r="C13" t="s">
        <v>124</v>
      </c>
      <c r="D13" t="s">
        <v>125</v>
      </c>
      <c r="E13">
        <v>85254</v>
      </c>
      <c r="F13" t="s">
        <v>31</v>
      </c>
      <c r="G13" t="s">
        <v>121</v>
      </c>
      <c r="H13">
        <v>7413433376</v>
      </c>
      <c r="I13" t="s">
        <v>126</v>
      </c>
      <c r="J13" t="s">
        <v>37</v>
      </c>
      <c r="K13" t="s">
        <v>37</v>
      </c>
      <c r="L13" t="s">
        <v>38</v>
      </c>
      <c r="M13" t="s">
        <v>37</v>
      </c>
      <c r="N13" t="s">
        <v>37</v>
      </c>
      <c r="O13" t="s">
        <v>38</v>
      </c>
      <c r="P13" t="s">
        <v>39</v>
      </c>
      <c r="Q13" s="55">
        <v>45957</v>
      </c>
      <c r="R13" t="s">
        <v>5432</v>
      </c>
      <c r="S13" t="s">
        <v>5432</v>
      </c>
      <c r="T13" t="s">
        <v>5432</v>
      </c>
      <c r="U13" t="s">
        <v>5432</v>
      </c>
      <c r="W13" s="55"/>
    </row>
    <row r="14" spans="1:26">
      <c r="A14" s="55">
        <v>45826</v>
      </c>
      <c r="B14" t="s">
        <v>127</v>
      </c>
      <c r="C14" t="s">
        <v>128</v>
      </c>
      <c r="D14" t="s">
        <v>129</v>
      </c>
      <c r="E14">
        <v>85233</v>
      </c>
      <c r="F14" t="s">
        <v>31</v>
      </c>
      <c r="G14" t="s">
        <v>121</v>
      </c>
      <c r="H14">
        <v>6601188228</v>
      </c>
      <c r="I14" t="s">
        <v>36</v>
      </c>
      <c r="J14" t="s">
        <v>37</v>
      </c>
      <c r="K14" t="s">
        <v>37</v>
      </c>
      <c r="L14" t="s">
        <v>38</v>
      </c>
      <c r="M14" t="s">
        <v>37</v>
      </c>
      <c r="N14" t="s">
        <v>37</v>
      </c>
      <c r="O14" t="s">
        <v>38</v>
      </c>
      <c r="P14" t="s">
        <v>39</v>
      </c>
      <c r="Q14" s="55">
        <v>45957</v>
      </c>
      <c r="R14" t="s">
        <v>5432</v>
      </c>
      <c r="S14" t="s">
        <v>5432</v>
      </c>
      <c r="T14" t="s">
        <v>5432</v>
      </c>
      <c r="U14" t="s">
        <v>5432</v>
      </c>
      <c r="V14" t="s">
        <v>117</v>
      </c>
      <c r="W14" s="55">
        <v>45997</v>
      </c>
      <c r="X14" t="s">
        <v>5405</v>
      </c>
      <c r="Z14" t="s">
        <v>5442</v>
      </c>
    </row>
    <row r="15" spans="1:26">
      <c r="A15" s="55">
        <v>45826</v>
      </c>
      <c r="B15" t="s">
        <v>130</v>
      </c>
      <c r="C15" t="s">
        <v>131</v>
      </c>
      <c r="D15" t="s">
        <v>112</v>
      </c>
      <c r="E15">
        <v>85388</v>
      </c>
      <c r="F15" t="s">
        <v>31</v>
      </c>
      <c r="G15" t="s">
        <v>121</v>
      </c>
      <c r="H15">
        <v>7397110970</v>
      </c>
      <c r="I15" t="s">
        <v>36</v>
      </c>
      <c r="J15" t="s">
        <v>37</v>
      </c>
      <c r="K15" t="s">
        <v>37</v>
      </c>
      <c r="L15" t="s">
        <v>38</v>
      </c>
      <c r="M15" t="s">
        <v>37</v>
      </c>
      <c r="N15" t="s">
        <v>37</v>
      </c>
      <c r="O15" t="s">
        <v>38</v>
      </c>
      <c r="P15" t="s">
        <v>39</v>
      </c>
      <c r="Q15" s="55">
        <v>45957</v>
      </c>
      <c r="R15" t="s">
        <v>5432</v>
      </c>
      <c r="S15" t="s">
        <v>5432</v>
      </c>
      <c r="T15" t="s">
        <v>5432</v>
      </c>
      <c r="U15" t="s">
        <v>5432</v>
      </c>
      <c r="W15" s="55"/>
    </row>
    <row r="16" spans="1:26">
      <c r="A16" s="55">
        <v>45826</v>
      </c>
      <c r="B16" t="s">
        <v>132</v>
      </c>
      <c r="C16" t="s">
        <v>133</v>
      </c>
      <c r="D16" t="s">
        <v>125</v>
      </c>
      <c r="E16">
        <v>85266</v>
      </c>
      <c r="F16" t="s">
        <v>31</v>
      </c>
      <c r="G16" t="s">
        <v>121</v>
      </c>
      <c r="H16">
        <v>5288831000</v>
      </c>
      <c r="I16" t="s">
        <v>36</v>
      </c>
      <c r="J16" t="s">
        <v>37</v>
      </c>
      <c r="K16" t="s">
        <v>37</v>
      </c>
      <c r="L16" t="s">
        <v>38</v>
      </c>
      <c r="M16" t="s">
        <v>37</v>
      </c>
      <c r="N16" t="s">
        <v>37</v>
      </c>
      <c r="O16" t="s">
        <v>38</v>
      </c>
      <c r="P16" t="s">
        <v>39</v>
      </c>
      <c r="Q16" s="55">
        <v>45957</v>
      </c>
      <c r="R16" t="s">
        <v>5432</v>
      </c>
      <c r="S16" t="s">
        <v>5432</v>
      </c>
      <c r="T16" t="s">
        <v>5432</v>
      </c>
      <c r="U16" t="s">
        <v>5432</v>
      </c>
      <c r="W16" s="55"/>
    </row>
    <row r="17" spans="1:26">
      <c r="A17" s="55">
        <v>45826</v>
      </c>
      <c r="B17" t="s">
        <v>138</v>
      </c>
      <c r="C17" t="s">
        <v>139</v>
      </c>
      <c r="D17" t="s">
        <v>125</v>
      </c>
      <c r="E17">
        <v>85254</v>
      </c>
      <c r="F17" t="s">
        <v>31</v>
      </c>
      <c r="G17" t="s">
        <v>137</v>
      </c>
      <c r="H17">
        <v>7528633936</v>
      </c>
      <c r="I17" t="s">
        <v>57</v>
      </c>
      <c r="J17" t="s">
        <v>141</v>
      </c>
      <c r="K17" t="s">
        <v>37</v>
      </c>
      <c r="L17" t="s">
        <v>142</v>
      </c>
      <c r="M17" t="s">
        <v>37</v>
      </c>
      <c r="N17" t="s">
        <v>37</v>
      </c>
      <c r="O17" t="s">
        <v>38</v>
      </c>
      <c r="P17" t="s">
        <v>39</v>
      </c>
      <c r="Q17" s="55">
        <v>45957</v>
      </c>
      <c r="R17" t="s">
        <v>5432</v>
      </c>
      <c r="S17" t="s">
        <v>5432</v>
      </c>
      <c r="T17" t="s">
        <v>5432</v>
      </c>
      <c r="U17" t="s">
        <v>143</v>
      </c>
      <c r="V17" t="s">
        <v>5433</v>
      </c>
      <c r="W17" s="55">
        <v>46011</v>
      </c>
      <c r="X17" t="s">
        <v>5405</v>
      </c>
      <c r="Z17" t="s">
        <v>5443</v>
      </c>
    </row>
    <row r="18" spans="1:26">
      <c r="A18" s="55">
        <v>45826</v>
      </c>
      <c r="B18" t="s">
        <v>144</v>
      </c>
      <c r="C18" t="s">
        <v>145</v>
      </c>
      <c r="D18" t="s">
        <v>63</v>
      </c>
      <c r="E18">
        <v>85029</v>
      </c>
      <c r="F18" t="s">
        <v>31</v>
      </c>
      <c r="G18" t="s">
        <v>137</v>
      </c>
      <c r="H18">
        <v>4262494925</v>
      </c>
      <c r="I18" t="s">
        <v>36</v>
      </c>
      <c r="J18" t="s">
        <v>37</v>
      </c>
      <c r="K18" t="s">
        <v>37</v>
      </c>
      <c r="L18" t="s">
        <v>147</v>
      </c>
      <c r="M18" t="s">
        <v>37</v>
      </c>
      <c r="N18" t="s">
        <v>37</v>
      </c>
      <c r="O18" t="s">
        <v>38</v>
      </c>
      <c r="P18">
        <v>45964</v>
      </c>
      <c r="Q18" s="55">
        <v>45957</v>
      </c>
      <c r="R18" t="s">
        <v>148</v>
      </c>
      <c r="S18" t="s">
        <v>5432</v>
      </c>
      <c r="T18" t="s">
        <v>5432</v>
      </c>
      <c r="U18" t="s">
        <v>149</v>
      </c>
      <c r="V18" t="s">
        <v>117</v>
      </c>
      <c r="W18" s="55">
        <v>45997</v>
      </c>
      <c r="X18" t="s">
        <v>5405</v>
      </c>
      <c r="Z18" t="s">
        <v>5444</v>
      </c>
    </row>
    <row r="19" spans="1:26">
      <c r="A19" s="55">
        <v>45826</v>
      </c>
      <c r="B19" t="s">
        <v>152</v>
      </c>
      <c r="C19" t="s">
        <v>153</v>
      </c>
      <c r="D19" t="s">
        <v>30</v>
      </c>
      <c r="E19" t="s">
        <v>30</v>
      </c>
      <c r="F19" t="s">
        <v>31</v>
      </c>
      <c r="G19" t="s">
        <v>151</v>
      </c>
      <c r="H19">
        <v>4273250000</v>
      </c>
      <c r="I19" t="s">
        <v>73</v>
      </c>
      <c r="J19" t="s">
        <v>37</v>
      </c>
      <c r="K19" t="s">
        <v>37</v>
      </c>
      <c r="L19" t="s">
        <v>38</v>
      </c>
      <c r="M19" t="s">
        <v>37</v>
      </c>
      <c r="N19" t="s">
        <v>37</v>
      </c>
      <c r="O19" t="s">
        <v>38</v>
      </c>
      <c r="P19" t="s">
        <v>39</v>
      </c>
      <c r="Q19" s="55">
        <v>45957</v>
      </c>
      <c r="R19" t="s">
        <v>5432</v>
      </c>
      <c r="S19" t="s">
        <v>5432</v>
      </c>
      <c r="T19" t="s">
        <v>5432</v>
      </c>
      <c r="U19" t="s">
        <v>5432</v>
      </c>
      <c r="V19" t="s">
        <v>117</v>
      </c>
      <c r="W19" s="55">
        <v>45997</v>
      </c>
      <c r="X19" t="s">
        <v>5405</v>
      </c>
      <c r="Z19" t="s">
        <v>5445</v>
      </c>
    </row>
    <row r="20" spans="1:26">
      <c r="A20" s="55">
        <v>45826</v>
      </c>
      <c r="B20" t="s">
        <v>155</v>
      </c>
      <c r="C20" t="s">
        <v>156</v>
      </c>
      <c r="D20" t="s">
        <v>30</v>
      </c>
      <c r="E20" t="s">
        <v>30</v>
      </c>
      <c r="F20" t="s">
        <v>31</v>
      </c>
      <c r="G20" t="s">
        <v>151</v>
      </c>
      <c r="H20">
        <v>8714231000</v>
      </c>
      <c r="I20" t="s">
        <v>36</v>
      </c>
      <c r="J20" t="s">
        <v>37</v>
      </c>
      <c r="K20" t="s">
        <v>37</v>
      </c>
      <c r="L20" t="s">
        <v>38</v>
      </c>
      <c r="M20" t="s">
        <v>37</v>
      </c>
      <c r="N20" t="s">
        <v>37</v>
      </c>
      <c r="O20" t="s">
        <v>38</v>
      </c>
      <c r="P20" t="s">
        <v>39</v>
      </c>
      <c r="Q20" s="55">
        <v>45957</v>
      </c>
      <c r="R20" t="s">
        <v>158</v>
      </c>
      <c r="S20" t="s">
        <v>5432</v>
      </c>
      <c r="T20" t="s">
        <v>5432</v>
      </c>
      <c r="U20" t="s">
        <v>159</v>
      </c>
      <c r="W20" s="55"/>
    </row>
    <row r="21" spans="1:26">
      <c r="A21" s="55">
        <v>45826</v>
      </c>
      <c r="B21" t="s">
        <v>161</v>
      </c>
      <c r="C21" t="s">
        <v>162</v>
      </c>
      <c r="D21" t="s">
        <v>68</v>
      </c>
      <c r="E21">
        <v>85331</v>
      </c>
      <c r="F21" t="s">
        <v>31</v>
      </c>
      <c r="G21" t="s">
        <v>151</v>
      </c>
      <c r="H21">
        <v>7980600000</v>
      </c>
      <c r="I21" t="s">
        <v>164</v>
      </c>
      <c r="J21" t="s">
        <v>37</v>
      </c>
      <c r="K21" t="s">
        <v>37</v>
      </c>
      <c r="L21" t="s">
        <v>165</v>
      </c>
      <c r="M21" t="s">
        <v>37</v>
      </c>
      <c r="N21" t="s">
        <v>37</v>
      </c>
      <c r="O21" t="s">
        <v>38</v>
      </c>
      <c r="P21">
        <v>45964</v>
      </c>
      <c r="Q21" s="55">
        <v>45957</v>
      </c>
      <c r="R21" t="s">
        <v>148</v>
      </c>
      <c r="S21" t="s">
        <v>5432</v>
      </c>
      <c r="T21" t="s">
        <v>5432</v>
      </c>
      <c r="U21" t="s">
        <v>166</v>
      </c>
      <c r="V21" t="s">
        <v>5433</v>
      </c>
      <c r="W21" s="55">
        <v>46011</v>
      </c>
      <c r="X21" t="s">
        <v>5434</v>
      </c>
      <c r="Z21" t="s">
        <v>5446</v>
      </c>
    </row>
    <row r="22" spans="1:26">
      <c r="A22" s="55">
        <v>45827</v>
      </c>
      <c r="B22" t="s">
        <v>178</v>
      </c>
      <c r="C22" t="s">
        <v>179</v>
      </c>
      <c r="D22" t="s">
        <v>30</v>
      </c>
      <c r="E22" t="s">
        <v>30</v>
      </c>
      <c r="F22" t="s">
        <v>31</v>
      </c>
      <c r="G22" t="s">
        <v>175</v>
      </c>
      <c r="H22">
        <v>3007031000</v>
      </c>
      <c r="I22" t="s">
        <v>36</v>
      </c>
      <c r="J22" t="s">
        <v>37</v>
      </c>
      <c r="K22" t="s">
        <v>37</v>
      </c>
      <c r="L22" t="s">
        <v>38</v>
      </c>
      <c r="M22" t="s">
        <v>37</v>
      </c>
      <c r="N22" t="s">
        <v>37</v>
      </c>
      <c r="O22" t="s">
        <v>38</v>
      </c>
      <c r="P22" t="s">
        <v>39</v>
      </c>
      <c r="Q22" s="55">
        <v>45957</v>
      </c>
      <c r="R22" t="s">
        <v>5432</v>
      </c>
      <c r="S22" t="s">
        <v>5432</v>
      </c>
      <c r="T22" t="s">
        <v>5432</v>
      </c>
      <c r="U22" t="s">
        <v>5432</v>
      </c>
      <c r="W22" s="55"/>
    </row>
    <row r="23" spans="1:26">
      <c r="A23" s="55">
        <v>45827</v>
      </c>
      <c r="B23" t="s">
        <v>183</v>
      </c>
      <c r="C23" t="s">
        <v>184</v>
      </c>
      <c r="D23" t="s">
        <v>112</v>
      </c>
      <c r="E23">
        <v>85374</v>
      </c>
      <c r="F23" t="s">
        <v>31</v>
      </c>
      <c r="G23" t="s">
        <v>182</v>
      </c>
      <c r="H23">
        <v>8025299133</v>
      </c>
      <c r="I23" t="s">
        <v>126</v>
      </c>
      <c r="J23" t="s">
        <v>37</v>
      </c>
      <c r="K23" t="s">
        <v>37</v>
      </c>
      <c r="L23" t="s">
        <v>38</v>
      </c>
      <c r="M23" t="s">
        <v>37</v>
      </c>
      <c r="N23" t="s">
        <v>37</v>
      </c>
      <c r="O23" t="s">
        <v>38</v>
      </c>
      <c r="P23" t="s">
        <v>39</v>
      </c>
      <c r="Q23" s="55">
        <v>45957</v>
      </c>
      <c r="R23" t="s">
        <v>5432</v>
      </c>
      <c r="S23" t="s">
        <v>5432</v>
      </c>
      <c r="T23" t="s">
        <v>5432</v>
      </c>
      <c r="U23" t="s">
        <v>5432</v>
      </c>
      <c r="W23" s="55"/>
    </row>
    <row r="24" spans="1:26">
      <c r="A24" s="55">
        <v>45831</v>
      </c>
      <c r="B24" t="s">
        <v>189</v>
      </c>
      <c r="C24" t="s">
        <v>190</v>
      </c>
      <c r="D24" t="s">
        <v>174</v>
      </c>
      <c r="E24" t="s">
        <v>30</v>
      </c>
      <c r="F24" t="s">
        <v>25</v>
      </c>
      <c r="G24" t="s">
        <v>5432</v>
      </c>
      <c r="H24">
        <v>799340889</v>
      </c>
      <c r="I24" t="s">
        <v>126</v>
      </c>
      <c r="J24" t="s">
        <v>37</v>
      </c>
      <c r="K24" t="s">
        <v>37</v>
      </c>
      <c r="L24" t="s">
        <v>192</v>
      </c>
      <c r="M24" t="s">
        <v>37</v>
      </c>
      <c r="N24" t="s">
        <v>37</v>
      </c>
      <c r="O24" t="s">
        <v>38</v>
      </c>
      <c r="P24" t="s">
        <v>39</v>
      </c>
      <c r="Q24" s="55">
        <v>45957</v>
      </c>
      <c r="R24" t="s">
        <v>5432</v>
      </c>
      <c r="S24" t="s">
        <v>5432</v>
      </c>
      <c r="T24" t="s">
        <v>5432</v>
      </c>
      <c r="U24" t="s">
        <v>5432</v>
      </c>
      <c r="V24" t="s">
        <v>5433</v>
      </c>
      <c r="W24" s="55">
        <v>46011</v>
      </c>
      <c r="X24" t="s">
        <v>5434</v>
      </c>
      <c r="Z24" t="s">
        <v>5446</v>
      </c>
    </row>
    <row r="25" spans="1:26">
      <c r="A25" s="55">
        <v>45831</v>
      </c>
      <c r="B25" t="s">
        <v>193</v>
      </c>
      <c r="C25" t="s">
        <v>194</v>
      </c>
      <c r="D25" t="s">
        <v>63</v>
      </c>
      <c r="E25">
        <v>85006</v>
      </c>
      <c r="F25" t="s">
        <v>25</v>
      </c>
      <c r="G25" t="s">
        <v>5432</v>
      </c>
      <c r="H25">
        <v>9229380000</v>
      </c>
      <c r="I25" t="s">
        <v>196</v>
      </c>
      <c r="J25" t="s">
        <v>37</v>
      </c>
      <c r="K25" t="s">
        <v>37</v>
      </c>
      <c r="L25" t="s">
        <v>197</v>
      </c>
      <c r="M25" t="s">
        <v>37</v>
      </c>
      <c r="N25" t="s">
        <v>37</v>
      </c>
      <c r="O25" t="s">
        <v>38</v>
      </c>
      <c r="P25" t="s">
        <v>39</v>
      </c>
      <c r="Q25" s="55">
        <v>45957</v>
      </c>
      <c r="R25" t="s">
        <v>5432</v>
      </c>
      <c r="S25" t="s">
        <v>5432</v>
      </c>
      <c r="T25" t="s">
        <v>5432</v>
      </c>
      <c r="U25" t="s">
        <v>5432</v>
      </c>
      <c r="V25" t="s">
        <v>5433</v>
      </c>
      <c r="W25" s="55">
        <v>46011</v>
      </c>
      <c r="X25" t="s">
        <v>5434</v>
      </c>
      <c r="Z25" t="s">
        <v>5446</v>
      </c>
    </row>
    <row r="26" spans="1:26">
      <c r="A26" s="55">
        <v>45831</v>
      </c>
      <c r="B26" t="s">
        <v>200</v>
      </c>
      <c r="C26" t="s">
        <v>201</v>
      </c>
      <c r="D26" t="s">
        <v>202</v>
      </c>
      <c r="E26">
        <v>85383</v>
      </c>
      <c r="F26" t="s">
        <v>25</v>
      </c>
      <c r="G26" t="s">
        <v>5432</v>
      </c>
      <c r="H26">
        <v>7501590000</v>
      </c>
      <c r="I26" t="s">
        <v>36</v>
      </c>
      <c r="J26" t="s">
        <v>37</v>
      </c>
      <c r="K26" t="s">
        <v>37</v>
      </c>
      <c r="L26" t="s">
        <v>204</v>
      </c>
      <c r="M26" t="s">
        <v>37</v>
      </c>
      <c r="N26" t="s">
        <v>37</v>
      </c>
      <c r="O26" t="s">
        <v>38</v>
      </c>
      <c r="P26" t="s">
        <v>39</v>
      </c>
      <c r="Q26" s="55">
        <v>45957</v>
      </c>
      <c r="R26" t="s">
        <v>5432</v>
      </c>
      <c r="S26" t="s">
        <v>5432</v>
      </c>
      <c r="T26" t="s">
        <v>5432</v>
      </c>
      <c r="U26" t="s">
        <v>5432</v>
      </c>
      <c r="W26" s="55"/>
    </row>
    <row r="27" spans="1:26">
      <c r="A27" s="55">
        <v>45831</v>
      </c>
      <c r="B27" t="s">
        <v>210</v>
      </c>
      <c r="C27" t="s">
        <v>211</v>
      </c>
      <c r="D27" t="s">
        <v>85</v>
      </c>
      <c r="E27">
        <v>86323</v>
      </c>
      <c r="F27" t="s">
        <v>31</v>
      </c>
      <c r="G27" t="s">
        <v>212</v>
      </c>
      <c r="H27">
        <v>4707610000</v>
      </c>
      <c r="I27" t="s">
        <v>73</v>
      </c>
      <c r="J27" t="s">
        <v>37</v>
      </c>
      <c r="K27" t="s">
        <v>37</v>
      </c>
      <c r="L27" t="s">
        <v>38</v>
      </c>
      <c r="M27" t="s">
        <v>37</v>
      </c>
      <c r="N27" t="s">
        <v>37</v>
      </c>
      <c r="O27" t="s">
        <v>38</v>
      </c>
      <c r="P27" t="s">
        <v>39</v>
      </c>
      <c r="Q27" s="55">
        <v>45958</v>
      </c>
      <c r="R27" t="s">
        <v>5432</v>
      </c>
      <c r="S27" t="s">
        <v>5432</v>
      </c>
      <c r="T27" t="s">
        <v>5432</v>
      </c>
      <c r="U27" t="s">
        <v>5432</v>
      </c>
      <c r="W27" s="55"/>
    </row>
    <row r="28" spans="1:26">
      <c r="A28" s="55">
        <v>45839</v>
      </c>
      <c r="B28" t="s">
        <v>219</v>
      </c>
      <c r="C28" t="s">
        <v>220</v>
      </c>
      <c r="D28" t="s">
        <v>63</v>
      </c>
      <c r="E28">
        <v>85032</v>
      </c>
      <c r="F28" t="s">
        <v>31</v>
      </c>
      <c r="G28" t="s">
        <v>221</v>
      </c>
      <c r="H28">
        <v>1164092226</v>
      </c>
      <c r="I28" t="s">
        <v>126</v>
      </c>
      <c r="J28" t="s">
        <v>37</v>
      </c>
      <c r="K28" t="s">
        <v>37</v>
      </c>
      <c r="L28" t="s">
        <v>38</v>
      </c>
      <c r="M28" t="s">
        <v>37</v>
      </c>
      <c r="N28" t="s">
        <v>37</v>
      </c>
      <c r="O28" t="s">
        <v>38</v>
      </c>
      <c r="P28" t="s">
        <v>39</v>
      </c>
      <c r="Q28" s="55">
        <v>45958</v>
      </c>
      <c r="R28" t="s">
        <v>5432</v>
      </c>
      <c r="S28" t="s">
        <v>5432</v>
      </c>
      <c r="T28" t="s">
        <v>5432</v>
      </c>
      <c r="U28" t="s">
        <v>223</v>
      </c>
      <c r="W28" s="55"/>
    </row>
    <row r="29" spans="1:26">
      <c r="A29" s="55">
        <v>45846</v>
      </c>
      <c r="B29" t="s">
        <v>232</v>
      </c>
      <c r="C29" t="s">
        <v>233</v>
      </c>
      <c r="D29" t="s">
        <v>89</v>
      </c>
      <c r="E29">
        <v>86351</v>
      </c>
      <c r="F29" t="s">
        <v>31</v>
      </c>
      <c r="G29" t="s">
        <v>234</v>
      </c>
      <c r="H29">
        <v>7150589750</v>
      </c>
      <c r="I29" t="s">
        <v>57</v>
      </c>
      <c r="J29" t="s">
        <v>37</v>
      </c>
      <c r="K29" t="s">
        <v>37</v>
      </c>
      <c r="L29" t="s">
        <v>236</v>
      </c>
      <c r="M29" t="s">
        <v>37</v>
      </c>
      <c r="N29" t="s">
        <v>37</v>
      </c>
      <c r="O29" t="s">
        <v>38</v>
      </c>
      <c r="P29">
        <v>45964</v>
      </c>
      <c r="Q29" s="55">
        <v>45958</v>
      </c>
      <c r="R29" t="s">
        <v>237</v>
      </c>
      <c r="S29" t="s">
        <v>5432</v>
      </c>
      <c r="T29" t="s">
        <v>5432</v>
      </c>
      <c r="U29" t="s">
        <v>5432</v>
      </c>
      <c r="V29" t="s">
        <v>5433</v>
      </c>
      <c r="W29" s="55">
        <v>46011</v>
      </c>
      <c r="Y29" t="s">
        <v>5447</v>
      </c>
      <c r="Z29" t="s">
        <v>5448</v>
      </c>
    </row>
    <row r="30" spans="1:26">
      <c r="A30" s="55">
        <v>45847</v>
      </c>
      <c r="B30" t="s">
        <v>238</v>
      </c>
      <c r="C30" t="s">
        <v>239</v>
      </c>
      <c r="D30" t="s">
        <v>240</v>
      </c>
      <c r="E30">
        <v>85340</v>
      </c>
      <c r="F30" t="s">
        <v>31</v>
      </c>
      <c r="G30" t="s">
        <v>241</v>
      </c>
      <c r="H30">
        <v>9558930000</v>
      </c>
      <c r="I30" t="s">
        <v>243</v>
      </c>
      <c r="J30" t="s">
        <v>37</v>
      </c>
      <c r="K30" t="s">
        <v>37</v>
      </c>
      <c r="L30" t="s">
        <v>244</v>
      </c>
      <c r="M30" t="s">
        <v>37</v>
      </c>
      <c r="N30" t="s">
        <v>37</v>
      </c>
      <c r="O30" t="s">
        <v>38</v>
      </c>
      <c r="P30" t="s">
        <v>39</v>
      </c>
      <c r="Q30" s="55">
        <v>45958</v>
      </c>
      <c r="R30" t="s">
        <v>5432</v>
      </c>
      <c r="S30" t="s">
        <v>5432</v>
      </c>
      <c r="T30" t="s">
        <v>5432</v>
      </c>
      <c r="U30" t="s">
        <v>5432</v>
      </c>
      <c r="W30" s="55"/>
    </row>
    <row r="31" spans="1:26">
      <c r="A31" s="55">
        <v>45847</v>
      </c>
      <c r="B31" t="s">
        <v>245</v>
      </c>
      <c r="C31" t="s">
        <v>246</v>
      </c>
      <c r="D31" t="s">
        <v>63</v>
      </c>
      <c r="E31">
        <v>85029</v>
      </c>
      <c r="F31" t="s">
        <v>247</v>
      </c>
      <c r="G31" t="s">
        <v>248</v>
      </c>
      <c r="H31">
        <v>7633370000</v>
      </c>
      <c r="I31" t="s">
        <v>250</v>
      </c>
      <c r="J31" t="s">
        <v>37</v>
      </c>
      <c r="K31" t="s">
        <v>37</v>
      </c>
      <c r="L31" t="s">
        <v>38</v>
      </c>
      <c r="M31" t="s">
        <v>37</v>
      </c>
      <c r="N31" t="s">
        <v>37</v>
      </c>
      <c r="O31" t="s">
        <v>38</v>
      </c>
      <c r="P31" t="s">
        <v>39</v>
      </c>
      <c r="Q31" s="55">
        <v>45958</v>
      </c>
      <c r="R31" t="s">
        <v>5432</v>
      </c>
      <c r="S31" t="s">
        <v>5432</v>
      </c>
      <c r="T31" t="s">
        <v>5432</v>
      </c>
      <c r="U31" t="s">
        <v>5432</v>
      </c>
      <c r="W31" s="55"/>
    </row>
    <row r="32" spans="1:26">
      <c r="A32" s="55">
        <v>45852</v>
      </c>
      <c r="B32" t="s">
        <v>258</v>
      </c>
      <c r="C32" t="s">
        <v>230</v>
      </c>
      <c r="D32" t="s">
        <v>30</v>
      </c>
      <c r="E32" t="s">
        <v>30</v>
      </c>
      <c r="F32" t="s">
        <v>31</v>
      </c>
      <c r="G32" t="s">
        <v>259</v>
      </c>
      <c r="H32">
        <v>3049940000</v>
      </c>
      <c r="I32" t="s">
        <v>73</v>
      </c>
      <c r="J32" t="s">
        <v>37</v>
      </c>
      <c r="K32" t="s">
        <v>37</v>
      </c>
      <c r="L32" t="s">
        <v>260</v>
      </c>
      <c r="M32" t="s">
        <v>37</v>
      </c>
      <c r="N32" t="s">
        <v>37</v>
      </c>
      <c r="O32" t="s">
        <v>38</v>
      </c>
      <c r="P32" t="s">
        <v>39</v>
      </c>
      <c r="Q32" s="55">
        <v>45958</v>
      </c>
      <c r="R32" t="s">
        <v>5432</v>
      </c>
      <c r="S32" t="s">
        <v>5432</v>
      </c>
      <c r="T32" t="s">
        <v>5432</v>
      </c>
      <c r="U32" t="s">
        <v>5432</v>
      </c>
      <c r="W32" s="55"/>
    </row>
    <row r="33" spans="1:26">
      <c r="A33" s="55">
        <v>45852</v>
      </c>
      <c r="B33" t="s">
        <v>144</v>
      </c>
      <c r="C33" t="s">
        <v>145</v>
      </c>
      <c r="D33" t="s">
        <v>261</v>
      </c>
      <c r="E33">
        <v>86314</v>
      </c>
      <c r="F33" t="s">
        <v>31</v>
      </c>
      <c r="G33" t="s">
        <v>259</v>
      </c>
      <c r="H33">
        <v>3736855436</v>
      </c>
      <c r="I33" t="s">
        <v>250</v>
      </c>
      <c r="J33" t="s">
        <v>37</v>
      </c>
      <c r="K33" t="s">
        <v>37</v>
      </c>
      <c r="L33" t="s">
        <v>38</v>
      </c>
      <c r="M33" t="s">
        <v>37</v>
      </c>
      <c r="N33" t="s">
        <v>37</v>
      </c>
      <c r="O33" t="s">
        <v>38</v>
      </c>
      <c r="P33" t="s">
        <v>39</v>
      </c>
      <c r="Q33" s="55">
        <v>45958</v>
      </c>
      <c r="R33" t="s">
        <v>5432</v>
      </c>
      <c r="S33" t="s">
        <v>5432</v>
      </c>
      <c r="T33" t="s">
        <v>5432</v>
      </c>
      <c r="U33" t="s">
        <v>5432</v>
      </c>
      <c r="W33" s="55"/>
    </row>
    <row r="34" spans="1:26">
      <c r="A34" s="55">
        <v>45854</v>
      </c>
      <c r="B34" t="s">
        <v>262</v>
      </c>
      <c r="C34" t="s">
        <v>263</v>
      </c>
      <c r="D34" t="s">
        <v>264</v>
      </c>
      <c r="E34">
        <v>85541</v>
      </c>
      <c r="F34" t="s">
        <v>257</v>
      </c>
      <c r="G34" t="s">
        <v>265</v>
      </c>
      <c r="H34">
        <v>8135798464</v>
      </c>
      <c r="I34" t="s">
        <v>57</v>
      </c>
      <c r="J34" t="s">
        <v>37</v>
      </c>
      <c r="K34" t="s">
        <v>37</v>
      </c>
      <c r="L34" t="s">
        <v>267</v>
      </c>
      <c r="M34" t="s">
        <v>37</v>
      </c>
      <c r="N34" t="s">
        <v>37</v>
      </c>
      <c r="O34" t="s">
        <v>38</v>
      </c>
      <c r="P34">
        <v>45964</v>
      </c>
      <c r="Q34" s="55">
        <v>45958</v>
      </c>
      <c r="R34" t="s">
        <v>148</v>
      </c>
      <c r="S34" t="s">
        <v>5432</v>
      </c>
      <c r="T34" t="s">
        <v>5432</v>
      </c>
      <c r="U34" t="s">
        <v>268</v>
      </c>
      <c r="V34" t="s">
        <v>5433</v>
      </c>
      <c r="W34" s="55">
        <v>46011</v>
      </c>
      <c r="X34" t="s">
        <v>5434</v>
      </c>
      <c r="Z34" t="s">
        <v>5449</v>
      </c>
    </row>
    <row r="35" spans="1:26">
      <c r="A35" s="55">
        <v>45859</v>
      </c>
      <c r="B35" t="s">
        <v>269</v>
      </c>
      <c r="C35" t="s">
        <v>270</v>
      </c>
      <c r="D35" t="s">
        <v>63</v>
      </c>
      <c r="E35">
        <v>85029</v>
      </c>
      <c r="F35" t="s">
        <v>271</v>
      </c>
      <c r="G35" t="s">
        <v>272</v>
      </c>
      <c r="H35">
        <v>5307300000</v>
      </c>
      <c r="I35" t="s">
        <v>36</v>
      </c>
      <c r="J35" t="s">
        <v>37</v>
      </c>
      <c r="K35" t="s">
        <v>37</v>
      </c>
      <c r="L35" t="s">
        <v>274</v>
      </c>
      <c r="M35" t="s">
        <v>37</v>
      </c>
      <c r="N35" t="s">
        <v>37</v>
      </c>
      <c r="O35" t="s">
        <v>38</v>
      </c>
      <c r="P35">
        <v>45964</v>
      </c>
      <c r="Q35" s="55">
        <v>45958</v>
      </c>
      <c r="R35" t="s">
        <v>275</v>
      </c>
      <c r="S35" t="s">
        <v>5432</v>
      </c>
      <c r="T35" t="s">
        <v>5432</v>
      </c>
      <c r="U35" t="s">
        <v>5432</v>
      </c>
      <c r="V35" t="s">
        <v>5433</v>
      </c>
      <c r="W35" s="55">
        <v>46011</v>
      </c>
      <c r="Y35" t="s">
        <v>5447</v>
      </c>
      <c r="Z35" t="s">
        <v>5450</v>
      </c>
    </row>
    <row r="36" spans="1:26">
      <c r="A36" s="55">
        <v>45861</v>
      </c>
      <c r="B36" t="s">
        <v>276</v>
      </c>
      <c r="C36" t="s">
        <v>117</v>
      </c>
      <c r="D36" t="s">
        <v>63</v>
      </c>
      <c r="E36">
        <v>85054</v>
      </c>
      <c r="F36" t="s">
        <v>31</v>
      </c>
      <c r="G36" t="s">
        <v>277</v>
      </c>
      <c r="H36">
        <v>3616936085</v>
      </c>
      <c r="I36" t="s">
        <v>57</v>
      </c>
      <c r="J36" t="s">
        <v>37</v>
      </c>
      <c r="K36" t="s">
        <v>37</v>
      </c>
      <c r="L36" t="s">
        <v>279</v>
      </c>
      <c r="M36" t="s">
        <v>37</v>
      </c>
      <c r="N36" t="s">
        <v>37</v>
      </c>
      <c r="O36" t="s">
        <v>38</v>
      </c>
      <c r="P36" t="s">
        <v>39</v>
      </c>
      <c r="Q36" s="55">
        <v>45958</v>
      </c>
      <c r="R36" t="s">
        <v>280</v>
      </c>
      <c r="S36" t="s">
        <v>5432</v>
      </c>
      <c r="T36" t="s">
        <v>5432</v>
      </c>
      <c r="U36" t="s">
        <v>5432</v>
      </c>
      <c r="V36" t="s">
        <v>5433</v>
      </c>
      <c r="W36" s="55">
        <v>46011</v>
      </c>
      <c r="X36" t="s">
        <v>5405</v>
      </c>
      <c r="Z36" t="s">
        <v>5451</v>
      </c>
    </row>
    <row r="37" spans="1:26">
      <c r="A37" s="55">
        <v>45883</v>
      </c>
      <c r="B37" t="s">
        <v>283</v>
      </c>
      <c r="C37" t="s">
        <v>284</v>
      </c>
      <c r="D37" t="s">
        <v>89</v>
      </c>
      <c r="E37">
        <v>85336</v>
      </c>
      <c r="F37" t="s">
        <v>285</v>
      </c>
      <c r="G37" t="s">
        <v>286</v>
      </c>
      <c r="H37">
        <v>4285810000</v>
      </c>
      <c r="I37" t="s">
        <v>288</v>
      </c>
      <c r="J37" t="s">
        <v>37</v>
      </c>
      <c r="K37" t="s">
        <v>37</v>
      </c>
      <c r="L37" t="s">
        <v>38</v>
      </c>
      <c r="M37" t="s">
        <v>37</v>
      </c>
      <c r="N37" t="s">
        <v>37</v>
      </c>
      <c r="O37" t="s">
        <v>38</v>
      </c>
      <c r="P37" t="s">
        <v>39</v>
      </c>
      <c r="Q37" s="55">
        <v>45958</v>
      </c>
      <c r="R37" t="s">
        <v>5432</v>
      </c>
      <c r="S37" t="s">
        <v>5432</v>
      </c>
      <c r="T37" t="s">
        <v>5432</v>
      </c>
      <c r="U37" t="s">
        <v>289</v>
      </c>
      <c r="W37" s="55"/>
    </row>
    <row r="38" spans="1:26">
      <c r="A38" s="55">
        <v>45898</v>
      </c>
      <c r="B38" t="s">
        <v>296</v>
      </c>
      <c r="C38" t="s">
        <v>297</v>
      </c>
      <c r="D38" t="s">
        <v>30</v>
      </c>
      <c r="E38" t="s">
        <v>30</v>
      </c>
      <c r="F38" t="s">
        <v>25</v>
      </c>
      <c r="G38" t="s">
        <v>298</v>
      </c>
      <c r="H38">
        <v>9376851000</v>
      </c>
      <c r="I38" t="s">
        <v>196</v>
      </c>
      <c r="J38" t="s">
        <v>38</v>
      </c>
      <c r="K38" t="s">
        <v>37</v>
      </c>
      <c r="L38" t="s">
        <v>300</v>
      </c>
      <c r="M38" t="s">
        <v>37</v>
      </c>
      <c r="N38" t="s">
        <v>37</v>
      </c>
      <c r="O38" t="s">
        <v>38</v>
      </c>
      <c r="P38" t="s">
        <v>39</v>
      </c>
      <c r="Q38" s="55">
        <v>45958</v>
      </c>
      <c r="R38" t="s">
        <v>5432</v>
      </c>
      <c r="S38" t="s">
        <v>5432</v>
      </c>
      <c r="T38" t="s">
        <v>5432</v>
      </c>
      <c r="U38" t="s">
        <v>5432</v>
      </c>
      <c r="V38" t="s">
        <v>117</v>
      </c>
      <c r="W38" s="55">
        <v>45997</v>
      </c>
      <c r="X38" t="s">
        <v>5405</v>
      </c>
      <c r="Z38" t="s">
        <v>5452</v>
      </c>
    </row>
    <row r="39" spans="1:26">
      <c r="A39" s="55">
        <v>45902</v>
      </c>
      <c r="B39" t="s">
        <v>301</v>
      </c>
      <c r="C39" t="s">
        <v>302</v>
      </c>
      <c r="D39" t="s">
        <v>112</v>
      </c>
      <c r="E39">
        <v>85374</v>
      </c>
      <c r="F39" t="s">
        <v>31</v>
      </c>
      <c r="G39" t="s">
        <v>303</v>
      </c>
      <c r="H39">
        <v>2721067262</v>
      </c>
      <c r="I39" t="s">
        <v>126</v>
      </c>
      <c r="J39" t="s">
        <v>39</v>
      </c>
      <c r="K39" t="s">
        <v>37</v>
      </c>
      <c r="L39" t="s">
        <v>204</v>
      </c>
      <c r="M39" t="s">
        <v>37</v>
      </c>
      <c r="N39" t="s">
        <v>37</v>
      </c>
      <c r="O39" t="s">
        <v>38</v>
      </c>
      <c r="P39" t="s">
        <v>39</v>
      </c>
      <c r="Q39" s="55">
        <v>45967</v>
      </c>
      <c r="R39" t="s">
        <v>5432</v>
      </c>
      <c r="S39" t="s">
        <v>5432</v>
      </c>
      <c r="T39" t="s">
        <v>5432</v>
      </c>
      <c r="U39" t="s">
        <v>5432</v>
      </c>
      <c r="W39" s="55"/>
    </row>
    <row r="40" spans="1:26">
      <c r="A40" s="55">
        <v>45902</v>
      </c>
      <c r="B40" t="s">
        <v>311</v>
      </c>
      <c r="C40" t="s">
        <v>312</v>
      </c>
      <c r="D40" t="s">
        <v>313</v>
      </c>
      <c r="E40">
        <v>85381</v>
      </c>
      <c r="F40" t="s">
        <v>31</v>
      </c>
      <c r="G40" t="s">
        <v>303</v>
      </c>
      <c r="H40">
        <v>5237011424</v>
      </c>
      <c r="I40" t="s">
        <v>196</v>
      </c>
      <c r="J40" t="s">
        <v>37</v>
      </c>
      <c r="K40" t="s">
        <v>37</v>
      </c>
      <c r="L40" t="s">
        <v>38</v>
      </c>
      <c r="M40" t="s">
        <v>37</v>
      </c>
      <c r="N40" t="s">
        <v>37</v>
      </c>
      <c r="O40" t="s">
        <v>38</v>
      </c>
      <c r="P40" t="s">
        <v>39</v>
      </c>
      <c r="Q40" s="55">
        <v>45958</v>
      </c>
      <c r="R40" t="s">
        <v>5432</v>
      </c>
      <c r="S40" t="s">
        <v>5432</v>
      </c>
      <c r="T40" t="s">
        <v>5432</v>
      </c>
      <c r="U40" t="s">
        <v>5432</v>
      </c>
      <c r="W40" s="55"/>
    </row>
    <row r="41" spans="1:26">
      <c r="A41" s="55">
        <v>45902</v>
      </c>
      <c r="B41" t="s">
        <v>316</v>
      </c>
      <c r="C41" t="s">
        <v>317</v>
      </c>
      <c r="D41" t="s">
        <v>174</v>
      </c>
      <c r="E41">
        <v>85326</v>
      </c>
      <c r="F41" t="s">
        <v>31</v>
      </c>
      <c r="G41" t="s">
        <v>303</v>
      </c>
      <c r="H41">
        <v>6062541000</v>
      </c>
      <c r="I41" t="s">
        <v>36</v>
      </c>
      <c r="J41" t="s">
        <v>37</v>
      </c>
      <c r="K41" t="s">
        <v>37</v>
      </c>
      <c r="L41" t="s">
        <v>38</v>
      </c>
      <c r="M41" t="s">
        <v>37</v>
      </c>
      <c r="N41" t="s">
        <v>37</v>
      </c>
      <c r="O41" t="s">
        <v>38</v>
      </c>
      <c r="P41" t="s">
        <v>39</v>
      </c>
      <c r="Q41" s="55">
        <v>45958</v>
      </c>
      <c r="R41" t="s">
        <v>5432</v>
      </c>
      <c r="S41" t="s">
        <v>5432</v>
      </c>
      <c r="T41" t="s">
        <v>5432</v>
      </c>
      <c r="U41" t="s">
        <v>5432</v>
      </c>
      <c r="W41" s="55"/>
    </row>
    <row r="42" spans="1:26">
      <c r="A42" s="55">
        <v>45902</v>
      </c>
      <c r="B42" t="s">
        <v>319</v>
      </c>
      <c r="C42" t="s">
        <v>320</v>
      </c>
      <c r="D42" t="s">
        <v>125</v>
      </c>
      <c r="E42">
        <v>85260</v>
      </c>
      <c r="F42" t="s">
        <v>31</v>
      </c>
      <c r="G42" t="s">
        <v>303</v>
      </c>
      <c r="H42">
        <v>2882986476</v>
      </c>
      <c r="I42" t="s">
        <v>196</v>
      </c>
      <c r="J42" t="s">
        <v>37</v>
      </c>
      <c r="K42" t="s">
        <v>37</v>
      </c>
      <c r="L42" t="s">
        <v>322</v>
      </c>
      <c r="M42" t="s">
        <v>37</v>
      </c>
      <c r="N42" t="s">
        <v>37</v>
      </c>
      <c r="O42" t="s">
        <v>38</v>
      </c>
      <c r="P42" t="s">
        <v>39</v>
      </c>
      <c r="Q42" s="55">
        <v>45957</v>
      </c>
      <c r="R42" t="s">
        <v>5432</v>
      </c>
      <c r="S42" t="s">
        <v>5432</v>
      </c>
      <c r="T42" t="s">
        <v>5432</v>
      </c>
      <c r="U42" t="s">
        <v>5432</v>
      </c>
      <c r="V42" t="s">
        <v>5433</v>
      </c>
      <c r="W42" s="55">
        <v>46011</v>
      </c>
      <c r="X42" t="s">
        <v>5434</v>
      </c>
      <c r="Z42" t="s">
        <v>5449</v>
      </c>
    </row>
    <row r="43" spans="1:26">
      <c r="A43" s="55">
        <v>45902</v>
      </c>
      <c r="B43" t="s">
        <v>323</v>
      </c>
      <c r="C43" t="s">
        <v>324</v>
      </c>
      <c r="D43" t="s">
        <v>63</v>
      </c>
      <c r="E43">
        <v>85085</v>
      </c>
      <c r="F43" t="s">
        <v>310</v>
      </c>
      <c r="G43" t="s">
        <v>303</v>
      </c>
      <c r="H43">
        <v>7846277073</v>
      </c>
      <c r="I43" t="s">
        <v>36</v>
      </c>
      <c r="J43" t="s">
        <v>37</v>
      </c>
      <c r="K43" t="s">
        <v>37</v>
      </c>
      <c r="L43" t="s">
        <v>38</v>
      </c>
      <c r="M43" t="s">
        <v>37</v>
      </c>
      <c r="N43" t="s">
        <v>37</v>
      </c>
      <c r="O43" t="s">
        <v>38</v>
      </c>
      <c r="P43" t="s">
        <v>39</v>
      </c>
      <c r="Q43" s="55">
        <v>45958</v>
      </c>
      <c r="R43" t="s">
        <v>5432</v>
      </c>
      <c r="S43" t="s">
        <v>5432</v>
      </c>
      <c r="T43" t="s">
        <v>5432</v>
      </c>
      <c r="U43" t="s">
        <v>5432</v>
      </c>
      <c r="W43" s="55"/>
    </row>
    <row r="44" spans="1:26">
      <c r="A44" s="55">
        <v>45902</v>
      </c>
      <c r="B44" t="s">
        <v>325</v>
      </c>
      <c r="C44" t="s">
        <v>135</v>
      </c>
      <c r="D44" t="s">
        <v>63</v>
      </c>
      <c r="E44">
        <v>85027</v>
      </c>
      <c r="F44" t="s">
        <v>31</v>
      </c>
      <c r="G44" t="s">
        <v>303</v>
      </c>
      <c r="H44">
        <v>7692260000</v>
      </c>
      <c r="I44" t="s">
        <v>36</v>
      </c>
      <c r="J44" t="s">
        <v>37</v>
      </c>
      <c r="K44" t="s">
        <v>37</v>
      </c>
      <c r="L44" t="s">
        <v>38</v>
      </c>
      <c r="M44" t="s">
        <v>37</v>
      </c>
      <c r="N44" t="s">
        <v>37</v>
      </c>
      <c r="O44" t="s">
        <v>38</v>
      </c>
      <c r="P44" t="s">
        <v>39</v>
      </c>
      <c r="Q44" s="55">
        <v>45958</v>
      </c>
      <c r="R44" t="s">
        <v>5432</v>
      </c>
      <c r="S44" t="s">
        <v>5432</v>
      </c>
      <c r="T44" t="s">
        <v>5432</v>
      </c>
      <c r="U44" t="s">
        <v>5432</v>
      </c>
      <c r="W44" s="55"/>
    </row>
    <row r="45" spans="1:26">
      <c r="A45" s="55">
        <v>45902</v>
      </c>
      <c r="B45" t="s">
        <v>327</v>
      </c>
      <c r="C45" t="s">
        <v>328</v>
      </c>
      <c r="D45" t="s">
        <v>63</v>
      </c>
      <c r="E45">
        <v>85027</v>
      </c>
      <c r="F45" t="s">
        <v>310</v>
      </c>
      <c r="G45" t="s">
        <v>303</v>
      </c>
      <c r="H45">
        <v>1113187095</v>
      </c>
      <c r="I45" t="s">
        <v>126</v>
      </c>
      <c r="J45" t="s">
        <v>37</v>
      </c>
      <c r="K45" t="s">
        <v>37</v>
      </c>
      <c r="L45" t="s">
        <v>38</v>
      </c>
      <c r="M45" t="s">
        <v>37</v>
      </c>
      <c r="N45" t="s">
        <v>37</v>
      </c>
      <c r="O45" t="s">
        <v>38</v>
      </c>
      <c r="P45" t="s">
        <v>39</v>
      </c>
      <c r="Q45" s="55">
        <v>45958</v>
      </c>
      <c r="R45" t="s">
        <v>5432</v>
      </c>
      <c r="S45" t="s">
        <v>5432</v>
      </c>
      <c r="T45" t="s">
        <v>5432</v>
      </c>
      <c r="U45" t="s">
        <v>5432</v>
      </c>
      <c r="W45" s="55"/>
    </row>
    <row r="46" spans="1:26">
      <c r="A46" s="55">
        <v>45902</v>
      </c>
      <c r="B46" t="s">
        <v>144</v>
      </c>
      <c r="C46" t="s">
        <v>329</v>
      </c>
      <c r="D46" t="s">
        <v>63</v>
      </c>
      <c r="E46">
        <v>85008</v>
      </c>
      <c r="F46" t="s">
        <v>310</v>
      </c>
      <c r="G46" t="s">
        <v>303</v>
      </c>
      <c r="H46">
        <v>6584830202</v>
      </c>
      <c r="I46" t="s">
        <v>57</v>
      </c>
      <c r="J46" t="s">
        <v>37</v>
      </c>
      <c r="K46" t="s">
        <v>37</v>
      </c>
      <c r="L46" t="s">
        <v>331</v>
      </c>
      <c r="M46" t="s">
        <v>37</v>
      </c>
      <c r="N46" t="s">
        <v>37</v>
      </c>
      <c r="O46" t="s">
        <v>38</v>
      </c>
      <c r="P46">
        <v>45932</v>
      </c>
      <c r="Q46" s="55">
        <v>45685</v>
      </c>
      <c r="R46" t="s">
        <v>332</v>
      </c>
      <c r="S46" t="s">
        <v>5432</v>
      </c>
      <c r="T46" t="s">
        <v>5432</v>
      </c>
      <c r="U46" t="s">
        <v>5432</v>
      </c>
      <c r="V46" t="s">
        <v>5433</v>
      </c>
      <c r="W46" s="55">
        <v>46011</v>
      </c>
      <c r="X46" t="s">
        <v>5434</v>
      </c>
      <c r="Z46" t="s">
        <v>5453</v>
      </c>
    </row>
    <row r="47" spans="1:26">
      <c r="A47" s="55">
        <v>45902</v>
      </c>
      <c r="B47" t="s">
        <v>333</v>
      </c>
      <c r="C47" t="s">
        <v>334</v>
      </c>
      <c r="D47" t="s">
        <v>202</v>
      </c>
      <c r="E47">
        <v>85345</v>
      </c>
      <c r="F47" t="s">
        <v>310</v>
      </c>
      <c r="G47" t="s">
        <v>303</v>
      </c>
      <c r="H47">
        <v>6178141000</v>
      </c>
      <c r="I47" t="s">
        <v>36</v>
      </c>
      <c r="J47" t="s">
        <v>37</v>
      </c>
      <c r="K47" t="s">
        <v>37</v>
      </c>
      <c r="L47" t="s">
        <v>38</v>
      </c>
      <c r="M47" t="s">
        <v>38</v>
      </c>
      <c r="N47">
        <v>175.19</v>
      </c>
      <c r="O47" t="s">
        <v>38</v>
      </c>
      <c r="P47" t="s">
        <v>39</v>
      </c>
      <c r="Q47" s="55">
        <v>45958</v>
      </c>
      <c r="R47" t="s">
        <v>5432</v>
      </c>
      <c r="S47" t="s">
        <v>5432</v>
      </c>
      <c r="T47" t="s">
        <v>5432</v>
      </c>
      <c r="U47" t="s">
        <v>5432</v>
      </c>
      <c r="V47" t="s">
        <v>5433</v>
      </c>
      <c r="W47" s="55">
        <v>46011</v>
      </c>
      <c r="X47" t="s">
        <v>5434</v>
      </c>
    </row>
    <row r="48" spans="1:26">
      <c r="A48" s="55">
        <v>45902</v>
      </c>
      <c r="B48" t="s">
        <v>335</v>
      </c>
      <c r="C48" t="s">
        <v>336</v>
      </c>
      <c r="D48" t="s">
        <v>63</v>
      </c>
      <c r="E48">
        <v>85004</v>
      </c>
      <c r="F48" t="s">
        <v>310</v>
      </c>
      <c r="G48" t="s">
        <v>303</v>
      </c>
      <c r="H48">
        <v>5855923100</v>
      </c>
      <c r="I48" t="s">
        <v>126</v>
      </c>
      <c r="J48" t="s">
        <v>37</v>
      </c>
      <c r="K48" t="s">
        <v>37</v>
      </c>
      <c r="L48" t="s">
        <v>338</v>
      </c>
      <c r="M48" t="s">
        <v>37</v>
      </c>
      <c r="N48" t="s">
        <v>37</v>
      </c>
      <c r="O48" t="s">
        <v>38</v>
      </c>
      <c r="P48" t="s">
        <v>39</v>
      </c>
      <c r="Q48" s="55">
        <v>45958</v>
      </c>
      <c r="R48" t="s">
        <v>5432</v>
      </c>
      <c r="S48" t="s">
        <v>5432</v>
      </c>
      <c r="T48" t="s">
        <v>5432</v>
      </c>
      <c r="U48" t="s">
        <v>5432</v>
      </c>
      <c r="V48" t="s">
        <v>5433</v>
      </c>
      <c r="W48" s="55">
        <v>46011</v>
      </c>
      <c r="X48" t="s">
        <v>5434</v>
      </c>
    </row>
    <row r="49" spans="1:26">
      <c r="A49" s="55">
        <v>45902</v>
      </c>
      <c r="B49" t="s">
        <v>339</v>
      </c>
      <c r="C49" t="s">
        <v>340</v>
      </c>
      <c r="D49" t="s">
        <v>63</v>
      </c>
      <c r="E49">
        <v>85027</v>
      </c>
      <c r="F49" t="s">
        <v>31</v>
      </c>
      <c r="G49" t="s">
        <v>303</v>
      </c>
      <c r="H49">
        <v>2779220471</v>
      </c>
      <c r="I49" t="s">
        <v>196</v>
      </c>
      <c r="J49" t="s">
        <v>37</v>
      </c>
      <c r="K49" t="s">
        <v>37</v>
      </c>
      <c r="L49" t="s">
        <v>341</v>
      </c>
      <c r="M49" t="s">
        <v>37</v>
      </c>
      <c r="N49" t="s">
        <v>37</v>
      </c>
      <c r="O49" t="s">
        <v>38</v>
      </c>
      <c r="P49" t="s">
        <v>39</v>
      </c>
      <c r="Q49" s="55">
        <v>45958</v>
      </c>
      <c r="R49" t="s">
        <v>5432</v>
      </c>
      <c r="S49" t="s">
        <v>5432</v>
      </c>
      <c r="T49" t="s">
        <v>5432</v>
      </c>
      <c r="U49" t="s">
        <v>5432</v>
      </c>
      <c r="W49" s="55"/>
    </row>
    <row r="50" spans="1:26">
      <c r="A50" s="55">
        <v>45902</v>
      </c>
      <c r="B50" t="s">
        <v>342</v>
      </c>
      <c r="C50" t="s">
        <v>343</v>
      </c>
      <c r="D50" t="s">
        <v>174</v>
      </c>
      <c r="E50">
        <v>85326</v>
      </c>
      <c r="F50" t="s">
        <v>31</v>
      </c>
      <c r="G50" t="s">
        <v>303</v>
      </c>
      <c r="H50">
        <v>7245245699</v>
      </c>
      <c r="I50" t="s">
        <v>196</v>
      </c>
      <c r="J50" t="s">
        <v>37</v>
      </c>
      <c r="K50" t="s">
        <v>37</v>
      </c>
      <c r="L50" t="s">
        <v>38</v>
      </c>
      <c r="M50" t="s">
        <v>37</v>
      </c>
      <c r="N50" t="s">
        <v>37</v>
      </c>
      <c r="O50" t="s">
        <v>38</v>
      </c>
      <c r="P50" t="s">
        <v>39</v>
      </c>
      <c r="Q50" s="55">
        <v>45958</v>
      </c>
      <c r="R50" t="s">
        <v>5432</v>
      </c>
      <c r="S50" t="s">
        <v>5432</v>
      </c>
      <c r="T50" t="s">
        <v>5432</v>
      </c>
      <c r="U50" t="s">
        <v>5432</v>
      </c>
      <c r="W50" s="55"/>
    </row>
    <row r="51" spans="1:26">
      <c r="A51" s="55">
        <v>45902</v>
      </c>
      <c r="B51" t="s">
        <v>345</v>
      </c>
      <c r="C51" t="s">
        <v>346</v>
      </c>
      <c r="D51" t="s">
        <v>261</v>
      </c>
      <c r="E51">
        <v>86314</v>
      </c>
      <c r="F51" t="s">
        <v>31</v>
      </c>
      <c r="G51" t="s">
        <v>303</v>
      </c>
      <c r="H51">
        <v>644019886</v>
      </c>
      <c r="I51" t="s">
        <v>126</v>
      </c>
      <c r="J51" t="s">
        <v>37</v>
      </c>
      <c r="K51" t="s">
        <v>37</v>
      </c>
      <c r="L51" t="s">
        <v>348</v>
      </c>
      <c r="M51" t="s">
        <v>38</v>
      </c>
      <c r="N51">
        <v>605.92999999999995</v>
      </c>
      <c r="O51" t="s">
        <v>38</v>
      </c>
      <c r="P51">
        <v>45932</v>
      </c>
      <c r="Q51" s="55"/>
      <c r="R51" t="s">
        <v>332</v>
      </c>
      <c r="S51" t="s">
        <v>5432</v>
      </c>
      <c r="T51" t="s">
        <v>5432</v>
      </c>
      <c r="U51" t="s">
        <v>5432</v>
      </c>
      <c r="V51" t="s">
        <v>5433</v>
      </c>
      <c r="W51" s="55">
        <v>46011</v>
      </c>
      <c r="X51" t="s">
        <v>5434</v>
      </c>
      <c r="Z51" t="s">
        <v>5454</v>
      </c>
    </row>
    <row r="52" spans="1:26">
      <c r="A52" s="55">
        <v>45902</v>
      </c>
      <c r="B52" t="s">
        <v>349</v>
      </c>
      <c r="C52" t="s">
        <v>350</v>
      </c>
      <c r="D52" t="s">
        <v>24</v>
      </c>
      <c r="E52">
        <v>85306</v>
      </c>
      <c r="F52" t="s">
        <v>310</v>
      </c>
      <c r="G52" t="s">
        <v>303</v>
      </c>
      <c r="H52">
        <v>6799425771</v>
      </c>
      <c r="I52" t="s">
        <v>57</v>
      </c>
      <c r="J52" t="s">
        <v>37</v>
      </c>
      <c r="K52" t="s">
        <v>37</v>
      </c>
      <c r="L52" t="s">
        <v>352</v>
      </c>
      <c r="M52" t="s">
        <v>38</v>
      </c>
      <c r="N52">
        <v>591.48</v>
      </c>
      <c r="O52" t="s">
        <v>38</v>
      </c>
      <c r="P52">
        <v>45932</v>
      </c>
      <c r="Q52" s="55">
        <v>45968</v>
      </c>
      <c r="R52" t="s">
        <v>353</v>
      </c>
      <c r="S52" t="s">
        <v>5432</v>
      </c>
      <c r="T52" t="s">
        <v>5432</v>
      </c>
      <c r="U52" t="s">
        <v>5432</v>
      </c>
      <c r="V52" t="s">
        <v>5433</v>
      </c>
      <c r="W52" s="55">
        <v>46011</v>
      </c>
      <c r="X52" t="s">
        <v>5405</v>
      </c>
      <c r="Y52" t="s">
        <v>5455</v>
      </c>
      <c r="Z52" t="s">
        <v>5456</v>
      </c>
    </row>
    <row r="53" spans="1:26">
      <c r="A53" s="55">
        <v>45902</v>
      </c>
      <c r="B53" t="s">
        <v>354</v>
      </c>
      <c r="C53" t="s">
        <v>355</v>
      </c>
      <c r="D53" t="s">
        <v>112</v>
      </c>
      <c r="E53">
        <v>85387</v>
      </c>
      <c r="F53" t="s">
        <v>310</v>
      </c>
      <c r="G53" t="s">
        <v>303</v>
      </c>
      <c r="H53">
        <v>6635023227</v>
      </c>
      <c r="I53" t="s">
        <v>196</v>
      </c>
      <c r="J53" t="s">
        <v>37</v>
      </c>
      <c r="K53" t="s">
        <v>37</v>
      </c>
      <c r="L53" t="s">
        <v>357</v>
      </c>
      <c r="M53" t="s">
        <v>37</v>
      </c>
      <c r="N53" t="s">
        <v>37</v>
      </c>
      <c r="O53" t="s">
        <v>38</v>
      </c>
      <c r="P53" t="s">
        <v>39</v>
      </c>
      <c r="Q53" s="55">
        <v>45968</v>
      </c>
      <c r="R53" t="s">
        <v>5432</v>
      </c>
      <c r="S53" t="s">
        <v>5432</v>
      </c>
      <c r="T53" t="s">
        <v>5432</v>
      </c>
      <c r="U53" t="s">
        <v>5432</v>
      </c>
      <c r="W53" s="55"/>
      <c r="Z53" t="s">
        <v>5438</v>
      </c>
    </row>
    <row r="54" spans="1:26">
      <c r="A54" s="55">
        <v>45902</v>
      </c>
      <c r="B54" t="s">
        <v>358</v>
      </c>
      <c r="C54" t="s">
        <v>359</v>
      </c>
      <c r="D54" t="s">
        <v>63</v>
      </c>
      <c r="E54">
        <v>85020</v>
      </c>
      <c r="F54" t="s">
        <v>310</v>
      </c>
      <c r="G54" t="s">
        <v>303</v>
      </c>
      <c r="H54">
        <v>9505905227</v>
      </c>
      <c r="I54" t="s">
        <v>126</v>
      </c>
      <c r="J54" t="s">
        <v>37</v>
      </c>
      <c r="K54" t="s">
        <v>37</v>
      </c>
      <c r="L54" t="s">
        <v>361</v>
      </c>
      <c r="M54" t="s">
        <v>37</v>
      </c>
      <c r="N54" t="s">
        <v>37</v>
      </c>
      <c r="O54" t="s">
        <v>38</v>
      </c>
      <c r="P54" t="s">
        <v>39</v>
      </c>
      <c r="Q54" s="55">
        <v>45968</v>
      </c>
      <c r="R54" t="s">
        <v>5432</v>
      </c>
      <c r="S54" t="s">
        <v>5432</v>
      </c>
      <c r="T54" t="s">
        <v>5432</v>
      </c>
      <c r="U54" t="s">
        <v>5432</v>
      </c>
      <c r="V54" t="s">
        <v>5433</v>
      </c>
      <c r="W54" s="55">
        <v>46011</v>
      </c>
      <c r="X54" t="s">
        <v>5434</v>
      </c>
    </row>
    <row r="55" spans="1:26">
      <c r="A55" s="55">
        <v>45902</v>
      </c>
      <c r="B55" t="s">
        <v>362</v>
      </c>
      <c r="C55" t="s">
        <v>363</v>
      </c>
      <c r="D55" t="s">
        <v>240</v>
      </c>
      <c r="E55">
        <v>85340</v>
      </c>
      <c r="F55" t="s">
        <v>31</v>
      </c>
      <c r="G55" t="s">
        <v>303</v>
      </c>
      <c r="H55">
        <v>9937021000</v>
      </c>
      <c r="I55" t="s">
        <v>36</v>
      </c>
      <c r="J55" t="s">
        <v>37</v>
      </c>
      <c r="K55" t="s">
        <v>37</v>
      </c>
      <c r="L55" t="s">
        <v>38</v>
      </c>
      <c r="M55" t="s">
        <v>37</v>
      </c>
      <c r="N55" t="s">
        <v>37</v>
      </c>
      <c r="O55" t="s">
        <v>38</v>
      </c>
      <c r="P55" t="s">
        <v>39</v>
      </c>
      <c r="Q55" s="55">
        <v>45968</v>
      </c>
      <c r="R55" t="s">
        <v>5432</v>
      </c>
      <c r="S55" t="s">
        <v>5432</v>
      </c>
      <c r="T55" t="s">
        <v>5432</v>
      </c>
      <c r="U55" t="s">
        <v>5432</v>
      </c>
      <c r="W55" s="55"/>
    </row>
    <row r="56" spans="1:26">
      <c r="A56" s="55">
        <v>45902</v>
      </c>
      <c r="B56" t="s">
        <v>365</v>
      </c>
      <c r="C56" t="s">
        <v>284</v>
      </c>
      <c r="D56" t="s">
        <v>112</v>
      </c>
      <c r="E56">
        <v>85387</v>
      </c>
      <c r="F56" t="s">
        <v>31</v>
      </c>
      <c r="G56" t="s">
        <v>303</v>
      </c>
      <c r="H56">
        <v>7949496672</v>
      </c>
      <c r="I56" t="s">
        <v>288</v>
      </c>
      <c r="J56" t="s">
        <v>38</v>
      </c>
      <c r="K56" t="s">
        <v>37</v>
      </c>
      <c r="L56" t="s">
        <v>38</v>
      </c>
      <c r="M56" t="s">
        <v>37</v>
      </c>
      <c r="N56" t="s">
        <v>37</v>
      </c>
      <c r="O56" t="s">
        <v>38</v>
      </c>
      <c r="P56" t="s">
        <v>39</v>
      </c>
      <c r="Q56" s="55">
        <v>45968</v>
      </c>
      <c r="R56" t="s">
        <v>5432</v>
      </c>
      <c r="S56" t="s">
        <v>5432</v>
      </c>
      <c r="T56" t="s">
        <v>5432</v>
      </c>
      <c r="U56" t="s">
        <v>5432</v>
      </c>
      <c r="W56" s="55"/>
    </row>
    <row r="57" spans="1:26">
      <c r="A57" s="55">
        <v>45902</v>
      </c>
      <c r="B57" t="s">
        <v>368</v>
      </c>
      <c r="C57" t="s">
        <v>369</v>
      </c>
      <c r="D57" t="s">
        <v>370</v>
      </c>
      <c r="E57">
        <v>85225</v>
      </c>
      <c r="F57" t="s">
        <v>31</v>
      </c>
      <c r="G57" t="s">
        <v>303</v>
      </c>
      <c r="H57">
        <v>8712521000</v>
      </c>
      <c r="I57" t="s">
        <v>36</v>
      </c>
      <c r="J57" t="s">
        <v>37</v>
      </c>
      <c r="K57" t="s">
        <v>37</v>
      </c>
      <c r="L57" t="s">
        <v>38</v>
      </c>
      <c r="M57" t="s">
        <v>37</v>
      </c>
      <c r="N57" t="s">
        <v>37</v>
      </c>
      <c r="O57" t="s">
        <v>38</v>
      </c>
      <c r="P57" t="s">
        <v>39</v>
      </c>
      <c r="Q57" s="55">
        <v>45968</v>
      </c>
      <c r="R57" t="s">
        <v>5432</v>
      </c>
      <c r="S57" t="s">
        <v>5432</v>
      </c>
      <c r="T57" t="s">
        <v>5432</v>
      </c>
      <c r="U57" t="s">
        <v>5432</v>
      </c>
      <c r="W57" s="55"/>
    </row>
    <row r="58" spans="1:26">
      <c r="A58" s="55">
        <v>45902</v>
      </c>
      <c r="B58" t="s">
        <v>372</v>
      </c>
      <c r="C58" t="s">
        <v>373</v>
      </c>
      <c r="D58" t="s">
        <v>63</v>
      </c>
      <c r="E58">
        <v>85006</v>
      </c>
      <c r="F58" t="s">
        <v>31</v>
      </c>
      <c r="G58" t="s">
        <v>303</v>
      </c>
      <c r="H58">
        <v>2584149193</v>
      </c>
      <c r="I58" t="s">
        <v>196</v>
      </c>
      <c r="J58" t="s">
        <v>37</v>
      </c>
      <c r="K58" t="s">
        <v>37</v>
      </c>
      <c r="L58" t="s">
        <v>38</v>
      </c>
      <c r="M58" t="s">
        <v>37</v>
      </c>
      <c r="N58" t="s">
        <v>37</v>
      </c>
      <c r="O58" t="s">
        <v>38</v>
      </c>
      <c r="P58" t="s">
        <v>39</v>
      </c>
      <c r="Q58" s="55">
        <v>45968</v>
      </c>
      <c r="R58" t="s">
        <v>5432</v>
      </c>
      <c r="S58" t="s">
        <v>5432</v>
      </c>
      <c r="T58" t="s">
        <v>5432</v>
      </c>
      <c r="U58" t="s">
        <v>5432</v>
      </c>
      <c r="W58" s="55"/>
    </row>
    <row r="59" spans="1:26">
      <c r="A59" s="55">
        <v>45902</v>
      </c>
      <c r="B59" t="s">
        <v>375</v>
      </c>
      <c r="C59" t="s">
        <v>376</v>
      </c>
      <c r="D59" t="s">
        <v>112</v>
      </c>
      <c r="E59">
        <v>85388</v>
      </c>
      <c r="F59" t="s">
        <v>31</v>
      </c>
      <c r="G59" t="s">
        <v>303</v>
      </c>
      <c r="H59">
        <v>3811821000</v>
      </c>
      <c r="I59" t="s">
        <v>196</v>
      </c>
      <c r="J59" t="s">
        <v>37</v>
      </c>
      <c r="K59" t="s">
        <v>37</v>
      </c>
      <c r="L59" t="s">
        <v>378</v>
      </c>
      <c r="M59" t="s">
        <v>37</v>
      </c>
      <c r="N59" t="s">
        <v>37</v>
      </c>
      <c r="O59" t="s">
        <v>38</v>
      </c>
      <c r="P59">
        <v>45932</v>
      </c>
      <c r="Q59" s="55">
        <v>45968</v>
      </c>
      <c r="R59" t="s">
        <v>332</v>
      </c>
      <c r="S59" t="s">
        <v>5432</v>
      </c>
      <c r="T59" t="s">
        <v>5432</v>
      </c>
      <c r="U59" t="s">
        <v>5432</v>
      </c>
      <c r="V59" t="s">
        <v>5433</v>
      </c>
      <c r="W59" s="55">
        <v>46011</v>
      </c>
      <c r="X59" t="s">
        <v>5434</v>
      </c>
      <c r="Z59" t="s">
        <v>5457</v>
      </c>
    </row>
    <row r="60" spans="1:26">
      <c r="A60" s="55">
        <v>45902</v>
      </c>
      <c r="B60" t="s">
        <v>379</v>
      </c>
      <c r="C60" t="s">
        <v>312</v>
      </c>
      <c r="D60" t="s">
        <v>169</v>
      </c>
      <c r="E60">
        <v>85338</v>
      </c>
      <c r="F60" t="s">
        <v>31</v>
      </c>
      <c r="G60" t="s">
        <v>303</v>
      </c>
      <c r="H60">
        <v>814350000</v>
      </c>
      <c r="I60" t="s">
        <v>196</v>
      </c>
      <c r="J60" t="s">
        <v>37</v>
      </c>
      <c r="K60" t="s">
        <v>37</v>
      </c>
      <c r="L60" t="s">
        <v>38</v>
      </c>
      <c r="M60" t="s">
        <v>37</v>
      </c>
      <c r="N60" t="s">
        <v>37</v>
      </c>
      <c r="O60" t="s">
        <v>38</v>
      </c>
      <c r="P60" t="s">
        <v>39</v>
      </c>
      <c r="Q60" s="55">
        <v>45968</v>
      </c>
      <c r="R60" t="s">
        <v>5432</v>
      </c>
      <c r="S60" t="s">
        <v>5432</v>
      </c>
      <c r="T60" t="s">
        <v>5432</v>
      </c>
      <c r="U60" t="s">
        <v>5432</v>
      </c>
      <c r="W60" s="55"/>
    </row>
    <row r="61" spans="1:26">
      <c r="A61" s="55">
        <v>45902</v>
      </c>
      <c r="B61" t="s">
        <v>383</v>
      </c>
      <c r="C61" t="s">
        <v>384</v>
      </c>
      <c r="D61" t="s">
        <v>63</v>
      </c>
      <c r="E61">
        <v>85023</v>
      </c>
      <c r="F61" t="s">
        <v>31</v>
      </c>
      <c r="G61" t="s">
        <v>303</v>
      </c>
      <c r="H61">
        <v>50340630</v>
      </c>
      <c r="I61" t="s">
        <v>126</v>
      </c>
      <c r="J61" t="s">
        <v>37</v>
      </c>
      <c r="K61" t="s">
        <v>37</v>
      </c>
      <c r="L61" t="s">
        <v>38</v>
      </c>
      <c r="M61" t="s">
        <v>37</v>
      </c>
      <c r="N61" t="s">
        <v>37</v>
      </c>
      <c r="O61" t="s">
        <v>38</v>
      </c>
      <c r="P61" t="s">
        <v>39</v>
      </c>
      <c r="Q61" s="55">
        <v>45968</v>
      </c>
      <c r="R61" t="s">
        <v>5432</v>
      </c>
      <c r="S61" t="s">
        <v>5432</v>
      </c>
      <c r="T61" t="s">
        <v>5432</v>
      </c>
      <c r="U61" t="s">
        <v>5432</v>
      </c>
      <c r="V61" t="s">
        <v>117</v>
      </c>
      <c r="W61" s="55">
        <v>45997</v>
      </c>
      <c r="X61" t="s">
        <v>5434</v>
      </c>
      <c r="Z61" t="s">
        <v>5458</v>
      </c>
    </row>
    <row r="62" spans="1:26">
      <c r="A62" s="55">
        <v>45902</v>
      </c>
      <c r="B62" t="s">
        <v>386</v>
      </c>
      <c r="C62" t="s">
        <v>387</v>
      </c>
      <c r="D62" t="s">
        <v>169</v>
      </c>
      <c r="E62">
        <v>85338</v>
      </c>
      <c r="F62" t="s">
        <v>31</v>
      </c>
      <c r="G62" t="s">
        <v>303</v>
      </c>
      <c r="H62">
        <v>7949331000</v>
      </c>
      <c r="I62" t="s">
        <v>243</v>
      </c>
      <c r="J62" t="s">
        <v>38</v>
      </c>
      <c r="K62" t="s">
        <v>37</v>
      </c>
      <c r="L62" t="s">
        <v>389</v>
      </c>
      <c r="M62" t="s">
        <v>38</v>
      </c>
      <c r="N62">
        <v>326.87</v>
      </c>
      <c r="O62" t="s">
        <v>38</v>
      </c>
      <c r="P62" t="s">
        <v>39</v>
      </c>
      <c r="Q62" s="55">
        <v>45968</v>
      </c>
      <c r="R62" t="s">
        <v>390</v>
      </c>
      <c r="S62" t="s">
        <v>5432</v>
      </c>
      <c r="T62" t="s">
        <v>5432</v>
      </c>
      <c r="U62" t="s">
        <v>5432</v>
      </c>
      <c r="W62" s="55"/>
      <c r="Z62" t="s">
        <v>5438</v>
      </c>
    </row>
    <row r="63" spans="1:26">
      <c r="A63" s="55">
        <v>45902</v>
      </c>
      <c r="B63" t="s">
        <v>391</v>
      </c>
      <c r="C63" t="s">
        <v>392</v>
      </c>
      <c r="D63" t="s">
        <v>169</v>
      </c>
      <c r="E63">
        <v>85338</v>
      </c>
      <c r="F63" t="s">
        <v>31</v>
      </c>
      <c r="G63" t="s">
        <v>303</v>
      </c>
      <c r="H63">
        <v>4676231000</v>
      </c>
      <c r="I63" t="s">
        <v>36</v>
      </c>
      <c r="J63" t="s">
        <v>37</v>
      </c>
      <c r="K63" t="s">
        <v>37</v>
      </c>
      <c r="L63" t="s">
        <v>38</v>
      </c>
      <c r="M63" t="s">
        <v>37</v>
      </c>
      <c r="N63" t="s">
        <v>37</v>
      </c>
      <c r="O63" t="s">
        <v>38</v>
      </c>
      <c r="P63" t="s">
        <v>39</v>
      </c>
      <c r="Q63" s="55">
        <v>45968</v>
      </c>
      <c r="R63" t="s">
        <v>5432</v>
      </c>
      <c r="S63" t="s">
        <v>5432</v>
      </c>
      <c r="T63" t="s">
        <v>5432</v>
      </c>
      <c r="U63" t="s">
        <v>5432</v>
      </c>
      <c r="W63" s="55"/>
    </row>
    <row r="64" spans="1:26">
      <c r="A64" s="55">
        <v>45902</v>
      </c>
      <c r="B64" t="s">
        <v>394</v>
      </c>
      <c r="C64" t="s">
        <v>395</v>
      </c>
      <c r="D64" t="s">
        <v>396</v>
      </c>
      <c r="E64">
        <v>85303</v>
      </c>
      <c r="F64" t="s">
        <v>31</v>
      </c>
      <c r="G64" t="s">
        <v>303</v>
      </c>
      <c r="H64">
        <v>6570141000</v>
      </c>
      <c r="I64" t="s">
        <v>126</v>
      </c>
      <c r="J64" t="s">
        <v>37</v>
      </c>
      <c r="K64" t="s">
        <v>37</v>
      </c>
      <c r="L64" t="s">
        <v>38</v>
      </c>
      <c r="M64" t="s">
        <v>37</v>
      </c>
      <c r="N64" t="s">
        <v>37</v>
      </c>
      <c r="O64" t="s">
        <v>38</v>
      </c>
      <c r="P64" t="s">
        <v>39</v>
      </c>
      <c r="Q64" s="55">
        <v>45968</v>
      </c>
      <c r="R64" t="s">
        <v>5432</v>
      </c>
      <c r="S64" t="s">
        <v>5432</v>
      </c>
      <c r="T64" t="s">
        <v>5432</v>
      </c>
      <c r="U64" t="s">
        <v>5432</v>
      </c>
      <c r="W64" s="55"/>
    </row>
    <row r="65" spans="1:26">
      <c r="A65" s="55">
        <v>45902</v>
      </c>
      <c r="B65" t="s">
        <v>398</v>
      </c>
      <c r="C65" t="s">
        <v>399</v>
      </c>
      <c r="D65" t="s">
        <v>63</v>
      </c>
      <c r="E65">
        <v>85006</v>
      </c>
      <c r="F65" t="s">
        <v>31</v>
      </c>
      <c r="G65" t="s">
        <v>303</v>
      </c>
      <c r="H65">
        <v>6924836428</v>
      </c>
      <c r="I65" t="s">
        <v>36</v>
      </c>
      <c r="J65" t="s">
        <v>37</v>
      </c>
      <c r="K65" t="s">
        <v>37</v>
      </c>
      <c r="L65" t="s">
        <v>401</v>
      </c>
      <c r="M65" t="s">
        <v>37</v>
      </c>
      <c r="N65" t="s">
        <v>37</v>
      </c>
      <c r="O65" t="s">
        <v>38</v>
      </c>
      <c r="P65" t="s">
        <v>39</v>
      </c>
      <c r="Q65" s="55">
        <v>45968</v>
      </c>
      <c r="R65" t="s">
        <v>5432</v>
      </c>
      <c r="S65" t="s">
        <v>5432</v>
      </c>
      <c r="T65" t="s">
        <v>5432</v>
      </c>
      <c r="U65" t="s">
        <v>5432</v>
      </c>
      <c r="W65" s="55"/>
    </row>
    <row r="66" spans="1:26">
      <c r="A66" s="55">
        <v>45902</v>
      </c>
      <c r="B66" t="s">
        <v>402</v>
      </c>
      <c r="C66" t="s">
        <v>403</v>
      </c>
      <c r="D66" t="s">
        <v>24</v>
      </c>
      <c r="E66">
        <v>85307</v>
      </c>
      <c r="F66" t="s">
        <v>310</v>
      </c>
      <c r="G66" t="s">
        <v>303</v>
      </c>
      <c r="H66">
        <v>1717959515</v>
      </c>
      <c r="I66" t="s">
        <v>126</v>
      </c>
      <c r="J66" t="s">
        <v>37</v>
      </c>
      <c r="K66" t="s">
        <v>37</v>
      </c>
      <c r="L66" t="s">
        <v>405</v>
      </c>
      <c r="M66" t="s">
        <v>37</v>
      </c>
      <c r="N66" t="s">
        <v>37</v>
      </c>
      <c r="O66" t="s">
        <v>38</v>
      </c>
      <c r="P66" t="s">
        <v>39</v>
      </c>
      <c r="Q66" s="55">
        <v>45968</v>
      </c>
      <c r="R66" t="s">
        <v>5432</v>
      </c>
      <c r="S66" t="s">
        <v>5432</v>
      </c>
      <c r="T66" t="s">
        <v>5432</v>
      </c>
      <c r="U66" t="s">
        <v>5432</v>
      </c>
      <c r="V66" t="s">
        <v>5433</v>
      </c>
      <c r="W66" s="55">
        <v>46011</v>
      </c>
      <c r="X66" t="s">
        <v>5434</v>
      </c>
    </row>
    <row r="67" spans="1:26">
      <c r="A67" s="55">
        <v>45902</v>
      </c>
      <c r="B67" t="s">
        <v>406</v>
      </c>
      <c r="C67" t="s">
        <v>407</v>
      </c>
      <c r="D67" t="s">
        <v>63</v>
      </c>
      <c r="E67">
        <v>85006</v>
      </c>
      <c r="F67" t="s">
        <v>31</v>
      </c>
      <c r="G67" t="s">
        <v>303</v>
      </c>
      <c r="H67">
        <v>1147845609</v>
      </c>
      <c r="I67" t="s">
        <v>57</v>
      </c>
      <c r="J67" t="s">
        <v>37</v>
      </c>
      <c r="K67" t="s">
        <v>37</v>
      </c>
      <c r="L67" t="s">
        <v>409</v>
      </c>
      <c r="M67" t="s">
        <v>37</v>
      </c>
      <c r="N67" t="s">
        <v>37</v>
      </c>
      <c r="O67" t="s">
        <v>38</v>
      </c>
      <c r="P67">
        <v>45932</v>
      </c>
      <c r="Q67" s="55">
        <v>45968</v>
      </c>
      <c r="R67" t="s">
        <v>332</v>
      </c>
      <c r="S67" t="s">
        <v>5432</v>
      </c>
      <c r="T67" t="s">
        <v>5432</v>
      </c>
      <c r="U67" t="s">
        <v>5432</v>
      </c>
      <c r="V67" t="s">
        <v>5433</v>
      </c>
      <c r="W67" s="55">
        <v>46011</v>
      </c>
      <c r="X67" t="s">
        <v>5434</v>
      </c>
    </row>
    <row r="68" spans="1:26">
      <c r="A68" s="55">
        <v>45902</v>
      </c>
      <c r="B68" t="s">
        <v>410</v>
      </c>
      <c r="C68" t="s">
        <v>411</v>
      </c>
      <c r="D68" t="s">
        <v>412</v>
      </c>
      <c r="E68">
        <v>85123</v>
      </c>
      <c r="F68" t="s">
        <v>310</v>
      </c>
      <c r="G68" t="s">
        <v>303</v>
      </c>
      <c r="H68">
        <v>9462295527</v>
      </c>
      <c r="I68" t="s">
        <v>196</v>
      </c>
      <c r="J68" t="s">
        <v>37</v>
      </c>
      <c r="K68" t="s">
        <v>37</v>
      </c>
      <c r="L68" t="s">
        <v>414</v>
      </c>
      <c r="M68" t="s">
        <v>37</v>
      </c>
      <c r="N68" t="s">
        <v>37</v>
      </c>
      <c r="O68" t="s">
        <v>38</v>
      </c>
      <c r="P68" t="s">
        <v>39</v>
      </c>
      <c r="Q68" s="55">
        <v>45968</v>
      </c>
      <c r="R68" t="s">
        <v>5432</v>
      </c>
      <c r="S68" t="s">
        <v>5432</v>
      </c>
      <c r="T68" t="s">
        <v>5432</v>
      </c>
      <c r="U68" t="s">
        <v>5432</v>
      </c>
      <c r="V68" t="s">
        <v>5433</v>
      </c>
      <c r="W68" s="55">
        <v>46011</v>
      </c>
      <c r="X68" t="s">
        <v>5434</v>
      </c>
    </row>
    <row r="69" spans="1:26">
      <c r="A69" s="55">
        <v>45902</v>
      </c>
      <c r="B69" t="s">
        <v>415</v>
      </c>
      <c r="C69" t="s">
        <v>416</v>
      </c>
      <c r="D69" t="s">
        <v>112</v>
      </c>
      <c r="E69">
        <v>85379</v>
      </c>
      <c r="F69" t="s">
        <v>31</v>
      </c>
      <c r="G69" t="s">
        <v>303</v>
      </c>
      <c r="H69">
        <v>7850451000</v>
      </c>
      <c r="I69" t="s">
        <v>418</v>
      </c>
      <c r="J69" t="s">
        <v>37</v>
      </c>
      <c r="K69" t="s">
        <v>37</v>
      </c>
      <c r="L69" t="s">
        <v>389</v>
      </c>
      <c r="M69" t="s">
        <v>37</v>
      </c>
      <c r="N69" t="s">
        <v>37</v>
      </c>
      <c r="O69" t="s">
        <v>38</v>
      </c>
      <c r="P69" t="s">
        <v>39</v>
      </c>
      <c r="Q69" s="55">
        <v>45968</v>
      </c>
      <c r="R69" t="s">
        <v>5432</v>
      </c>
      <c r="S69" t="s">
        <v>5432</v>
      </c>
      <c r="T69" t="s">
        <v>5432</v>
      </c>
      <c r="U69" t="s">
        <v>5432</v>
      </c>
      <c r="W69" s="55"/>
    </row>
    <row r="70" spans="1:26">
      <c r="A70" s="55">
        <v>45902</v>
      </c>
      <c r="B70" t="s">
        <v>421</v>
      </c>
      <c r="C70" t="s">
        <v>422</v>
      </c>
      <c r="D70" t="s">
        <v>63</v>
      </c>
      <c r="E70">
        <v>85054</v>
      </c>
      <c r="F70" t="s">
        <v>310</v>
      </c>
      <c r="G70" t="s">
        <v>303</v>
      </c>
      <c r="H70">
        <v>7035930772</v>
      </c>
      <c r="I70" t="s">
        <v>196</v>
      </c>
      <c r="J70" t="s">
        <v>37</v>
      </c>
      <c r="K70" t="s">
        <v>37</v>
      </c>
      <c r="L70" t="s">
        <v>423</v>
      </c>
      <c r="M70" t="s">
        <v>37</v>
      </c>
      <c r="N70" t="s">
        <v>37</v>
      </c>
      <c r="O70" t="s">
        <v>38</v>
      </c>
      <c r="P70">
        <v>45932</v>
      </c>
      <c r="Q70" s="55">
        <v>45958</v>
      </c>
      <c r="R70" t="s">
        <v>332</v>
      </c>
      <c r="S70" t="s">
        <v>5432</v>
      </c>
      <c r="T70" t="s">
        <v>5432</v>
      </c>
      <c r="U70" t="s">
        <v>5432</v>
      </c>
      <c r="W70" s="55"/>
    </row>
    <row r="71" spans="1:26">
      <c r="A71" s="55">
        <v>45902</v>
      </c>
      <c r="B71" t="s">
        <v>429</v>
      </c>
      <c r="C71" t="s">
        <v>135</v>
      </c>
      <c r="D71" t="s">
        <v>63</v>
      </c>
      <c r="E71">
        <v>85029</v>
      </c>
      <c r="F71" t="s">
        <v>310</v>
      </c>
      <c r="G71" t="s">
        <v>303</v>
      </c>
      <c r="H71">
        <v>7115261000</v>
      </c>
      <c r="I71" t="s">
        <v>36</v>
      </c>
      <c r="J71" t="s">
        <v>38</v>
      </c>
      <c r="K71" t="s">
        <v>37</v>
      </c>
      <c r="L71" t="s">
        <v>38</v>
      </c>
      <c r="M71" t="s">
        <v>37</v>
      </c>
      <c r="N71" t="s">
        <v>37</v>
      </c>
      <c r="O71" t="s">
        <v>38</v>
      </c>
      <c r="P71" t="s">
        <v>430</v>
      </c>
      <c r="Q71" s="55">
        <v>45958</v>
      </c>
      <c r="R71" t="s">
        <v>5432</v>
      </c>
      <c r="S71" t="s">
        <v>5432</v>
      </c>
      <c r="T71" t="s">
        <v>5432</v>
      </c>
      <c r="U71" t="s">
        <v>5432</v>
      </c>
      <c r="W71" s="55"/>
    </row>
    <row r="72" spans="1:26">
      <c r="A72" s="55">
        <v>45902</v>
      </c>
      <c r="B72" t="s">
        <v>432</v>
      </c>
      <c r="C72" t="s">
        <v>433</v>
      </c>
      <c r="D72" t="s">
        <v>85</v>
      </c>
      <c r="E72">
        <v>86323</v>
      </c>
      <c r="F72" t="s">
        <v>31</v>
      </c>
      <c r="G72" t="s">
        <v>303</v>
      </c>
      <c r="H72">
        <v>2773271262</v>
      </c>
      <c r="I72" t="s">
        <v>288</v>
      </c>
      <c r="J72" t="s">
        <v>37</v>
      </c>
      <c r="K72" t="s">
        <v>37</v>
      </c>
      <c r="L72" t="s">
        <v>38</v>
      </c>
      <c r="M72" t="s">
        <v>37</v>
      </c>
      <c r="N72" t="s">
        <v>37</v>
      </c>
      <c r="O72" t="s">
        <v>38</v>
      </c>
      <c r="P72" t="s">
        <v>39</v>
      </c>
      <c r="Q72" s="55">
        <v>45958</v>
      </c>
      <c r="R72" t="s">
        <v>5432</v>
      </c>
      <c r="S72" t="s">
        <v>5432</v>
      </c>
      <c r="T72" t="s">
        <v>5432</v>
      </c>
      <c r="U72" t="s">
        <v>5432</v>
      </c>
      <c r="W72" s="55"/>
    </row>
    <row r="73" spans="1:26">
      <c r="A73" s="55">
        <v>45902</v>
      </c>
      <c r="B73" t="s">
        <v>434</v>
      </c>
      <c r="C73" t="s">
        <v>145</v>
      </c>
      <c r="D73" t="s">
        <v>112</v>
      </c>
      <c r="E73">
        <v>85379</v>
      </c>
      <c r="F73" t="s">
        <v>310</v>
      </c>
      <c r="G73" t="s">
        <v>303</v>
      </c>
      <c r="H73">
        <v>9091172317</v>
      </c>
      <c r="I73" t="s">
        <v>126</v>
      </c>
      <c r="J73" t="s">
        <v>37</v>
      </c>
      <c r="K73" t="s">
        <v>37</v>
      </c>
      <c r="L73" t="s">
        <v>38</v>
      </c>
      <c r="M73" t="s">
        <v>37</v>
      </c>
      <c r="N73" t="s">
        <v>37</v>
      </c>
      <c r="O73" t="s">
        <v>38</v>
      </c>
      <c r="P73" t="s">
        <v>39</v>
      </c>
      <c r="Q73" s="55">
        <v>45958</v>
      </c>
      <c r="R73" t="s">
        <v>5432</v>
      </c>
      <c r="S73" t="s">
        <v>5432</v>
      </c>
      <c r="T73" t="s">
        <v>5432</v>
      </c>
      <c r="U73" t="s">
        <v>5432</v>
      </c>
      <c r="W73" s="55"/>
    </row>
    <row r="74" spans="1:26">
      <c r="A74" s="55">
        <v>45902</v>
      </c>
      <c r="B74" t="s">
        <v>436</v>
      </c>
      <c r="C74" t="s">
        <v>437</v>
      </c>
      <c r="D74" t="s">
        <v>169</v>
      </c>
      <c r="E74">
        <v>85338</v>
      </c>
      <c r="F74" t="s">
        <v>31</v>
      </c>
      <c r="G74" t="s">
        <v>303</v>
      </c>
      <c r="H74">
        <v>73064220000</v>
      </c>
      <c r="I74" t="s">
        <v>418</v>
      </c>
      <c r="J74" t="s">
        <v>38</v>
      </c>
      <c r="K74" t="s">
        <v>37</v>
      </c>
      <c r="L74" t="s">
        <v>389</v>
      </c>
      <c r="M74" t="s">
        <v>38</v>
      </c>
      <c r="N74">
        <v>179.9</v>
      </c>
      <c r="O74" t="s">
        <v>38</v>
      </c>
      <c r="P74" t="s">
        <v>39</v>
      </c>
      <c r="Q74" s="55">
        <v>45968</v>
      </c>
      <c r="R74" t="s">
        <v>5432</v>
      </c>
      <c r="S74" t="s">
        <v>5432</v>
      </c>
      <c r="T74" t="s">
        <v>5432</v>
      </c>
      <c r="U74" t="s">
        <v>5432</v>
      </c>
      <c r="W74" s="55"/>
      <c r="Z74" t="s">
        <v>5459</v>
      </c>
    </row>
    <row r="75" spans="1:26">
      <c r="A75" s="55">
        <v>45902</v>
      </c>
      <c r="B75" t="s">
        <v>439</v>
      </c>
      <c r="C75" t="s">
        <v>440</v>
      </c>
      <c r="D75" t="s">
        <v>125</v>
      </c>
      <c r="E75">
        <v>85254</v>
      </c>
      <c r="F75" t="s">
        <v>310</v>
      </c>
      <c r="G75" t="s">
        <v>303</v>
      </c>
      <c r="H75">
        <v>3411891368</v>
      </c>
      <c r="I75" t="s">
        <v>36</v>
      </c>
      <c r="J75" t="s">
        <v>37</v>
      </c>
      <c r="K75" t="s">
        <v>37</v>
      </c>
      <c r="L75" t="s">
        <v>38</v>
      </c>
      <c r="M75" t="s">
        <v>37</v>
      </c>
      <c r="N75" t="s">
        <v>37</v>
      </c>
      <c r="O75" t="s">
        <v>38</v>
      </c>
      <c r="P75" t="s">
        <v>39</v>
      </c>
      <c r="Q75" s="55">
        <v>45968</v>
      </c>
      <c r="R75" t="s">
        <v>5432</v>
      </c>
      <c r="S75" t="s">
        <v>5432</v>
      </c>
      <c r="T75" t="s">
        <v>5432</v>
      </c>
      <c r="U75" t="s">
        <v>5432</v>
      </c>
      <c r="W75" s="55"/>
    </row>
    <row r="76" spans="1:26">
      <c r="A76" s="55">
        <v>45902</v>
      </c>
      <c r="B76" t="s">
        <v>442</v>
      </c>
      <c r="C76" t="s">
        <v>443</v>
      </c>
      <c r="D76" t="s">
        <v>63</v>
      </c>
      <c r="E76">
        <v>85032</v>
      </c>
      <c r="F76" t="s">
        <v>310</v>
      </c>
      <c r="G76" t="s">
        <v>303</v>
      </c>
      <c r="H76">
        <v>4659820000</v>
      </c>
      <c r="I76" t="s">
        <v>196</v>
      </c>
      <c r="J76" t="s">
        <v>37</v>
      </c>
      <c r="K76" t="s">
        <v>37</v>
      </c>
      <c r="L76" t="s">
        <v>445</v>
      </c>
      <c r="M76" t="s">
        <v>37</v>
      </c>
      <c r="N76" t="s">
        <v>37</v>
      </c>
      <c r="O76" t="s">
        <v>38</v>
      </c>
      <c r="P76">
        <v>45932</v>
      </c>
      <c r="Q76" s="55">
        <v>45968</v>
      </c>
      <c r="R76" t="s">
        <v>446</v>
      </c>
      <c r="S76" t="s">
        <v>5432</v>
      </c>
      <c r="T76" t="s">
        <v>5432</v>
      </c>
      <c r="U76" t="s">
        <v>5432</v>
      </c>
      <c r="W76" s="55"/>
    </row>
    <row r="77" spans="1:26">
      <c r="A77" s="55">
        <v>45902</v>
      </c>
      <c r="B77" t="s">
        <v>449</v>
      </c>
      <c r="C77" t="s">
        <v>333</v>
      </c>
      <c r="D77" t="s">
        <v>125</v>
      </c>
      <c r="E77">
        <v>85260</v>
      </c>
      <c r="F77" t="s">
        <v>310</v>
      </c>
      <c r="G77" t="s">
        <v>303</v>
      </c>
      <c r="H77">
        <v>26172433356</v>
      </c>
      <c r="I77" t="s">
        <v>126</v>
      </c>
      <c r="J77" t="s">
        <v>37</v>
      </c>
      <c r="K77" t="s">
        <v>37</v>
      </c>
      <c r="L77" t="s">
        <v>38</v>
      </c>
      <c r="M77" t="s">
        <v>37</v>
      </c>
      <c r="N77" t="s">
        <v>37</v>
      </c>
      <c r="O77" t="s">
        <v>38</v>
      </c>
      <c r="P77" t="s">
        <v>39</v>
      </c>
      <c r="Q77" s="55">
        <v>45968</v>
      </c>
      <c r="R77" t="s">
        <v>5432</v>
      </c>
      <c r="S77" t="s">
        <v>5432</v>
      </c>
      <c r="T77" t="s">
        <v>5432</v>
      </c>
      <c r="U77" t="s">
        <v>5432</v>
      </c>
      <c r="W77" s="55"/>
    </row>
    <row r="78" spans="1:26">
      <c r="A78" s="55">
        <v>45902</v>
      </c>
      <c r="B78" t="s">
        <v>453</v>
      </c>
      <c r="C78" t="s">
        <v>454</v>
      </c>
      <c r="D78" t="s">
        <v>125</v>
      </c>
      <c r="E78">
        <v>85255</v>
      </c>
      <c r="F78" t="s">
        <v>310</v>
      </c>
      <c r="G78" t="s">
        <v>303</v>
      </c>
      <c r="H78">
        <v>4242991952</v>
      </c>
      <c r="I78" t="s">
        <v>288</v>
      </c>
      <c r="J78" t="s">
        <v>37</v>
      </c>
      <c r="K78" t="s">
        <v>37</v>
      </c>
      <c r="L78" t="s">
        <v>38</v>
      </c>
      <c r="M78" t="s">
        <v>37</v>
      </c>
      <c r="N78" t="s">
        <v>37</v>
      </c>
      <c r="O78" t="s">
        <v>38</v>
      </c>
      <c r="P78" t="s">
        <v>39</v>
      </c>
      <c r="Q78" s="55">
        <v>45968</v>
      </c>
      <c r="R78" t="s">
        <v>5432</v>
      </c>
      <c r="S78" t="s">
        <v>5432</v>
      </c>
      <c r="T78" t="s">
        <v>5432</v>
      </c>
      <c r="U78" t="s">
        <v>5432</v>
      </c>
      <c r="W78" s="55"/>
    </row>
    <row r="79" spans="1:26">
      <c r="A79" s="55">
        <v>45902</v>
      </c>
      <c r="B79" t="s">
        <v>432</v>
      </c>
      <c r="C79" t="s">
        <v>456</v>
      </c>
      <c r="D79" t="s">
        <v>85</v>
      </c>
      <c r="E79">
        <v>86323</v>
      </c>
      <c r="F79" t="s">
        <v>310</v>
      </c>
      <c r="G79" t="s">
        <v>303</v>
      </c>
      <c r="H79">
        <v>2773271262</v>
      </c>
      <c r="I79" t="s">
        <v>288</v>
      </c>
      <c r="J79" t="s">
        <v>37</v>
      </c>
      <c r="K79" t="s">
        <v>37</v>
      </c>
      <c r="L79" t="s">
        <v>38</v>
      </c>
      <c r="M79" t="s">
        <v>37</v>
      </c>
      <c r="N79" t="s">
        <v>37</v>
      </c>
      <c r="O79" t="s">
        <v>38</v>
      </c>
      <c r="P79" t="s">
        <v>39</v>
      </c>
      <c r="Q79" s="55">
        <v>45968</v>
      </c>
      <c r="R79" t="s">
        <v>5432</v>
      </c>
      <c r="S79" t="s">
        <v>5432</v>
      </c>
      <c r="T79" t="s">
        <v>5432</v>
      </c>
      <c r="U79" t="s">
        <v>5432</v>
      </c>
      <c r="W79" s="55"/>
    </row>
    <row r="80" spans="1:26">
      <c r="A80" s="55">
        <v>45902</v>
      </c>
      <c r="B80" t="s">
        <v>458</v>
      </c>
      <c r="C80" t="s">
        <v>459</v>
      </c>
      <c r="D80" t="s">
        <v>125</v>
      </c>
      <c r="E80">
        <v>85255</v>
      </c>
      <c r="F80" t="s">
        <v>310</v>
      </c>
      <c r="G80" t="s">
        <v>303</v>
      </c>
      <c r="H80">
        <v>2371502355</v>
      </c>
      <c r="I80" t="s">
        <v>288</v>
      </c>
      <c r="J80" t="s">
        <v>37</v>
      </c>
      <c r="K80" t="s">
        <v>37</v>
      </c>
      <c r="L80" t="s">
        <v>38</v>
      </c>
      <c r="M80" t="s">
        <v>37</v>
      </c>
      <c r="N80" t="s">
        <v>37</v>
      </c>
      <c r="O80" t="s">
        <v>38</v>
      </c>
      <c r="P80" t="s">
        <v>39</v>
      </c>
      <c r="Q80" s="55">
        <v>45968</v>
      </c>
      <c r="R80" t="s">
        <v>5432</v>
      </c>
      <c r="S80" t="s">
        <v>5432</v>
      </c>
      <c r="T80" t="s">
        <v>5432</v>
      </c>
      <c r="U80" t="s">
        <v>5432</v>
      </c>
      <c r="W80" s="55"/>
    </row>
    <row r="81" spans="1:26">
      <c r="A81" s="55">
        <v>45902</v>
      </c>
      <c r="B81" t="s">
        <v>461</v>
      </c>
      <c r="C81" t="s">
        <v>443</v>
      </c>
      <c r="D81" t="s">
        <v>125</v>
      </c>
      <c r="E81">
        <v>85254</v>
      </c>
      <c r="F81" t="s">
        <v>310</v>
      </c>
      <c r="G81" t="s">
        <v>303</v>
      </c>
      <c r="H81">
        <v>4056801020</v>
      </c>
      <c r="I81" t="s">
        <v>36</v>
      </c>
      <c r="J81" t="s">
        <v>37</v>
      </c>
      <c r="K81" t="s">
        <v>37</v>
      </c>
      <c r="L81" t="s">
        <v>38</v>
      </c>
      <c r="M81" t="s">
        <v>37</v>
      </c>
      <c r="N81" t="s">
        <v>37</v>
      </c>
      <c r="O81" t="s">
        <v>38</v>
      </c>
      <c r="P81" t="s">
        <v>39</v>
      </c>
      <c r="Q81" s="55">
        <v>45968</v>
      </c>
      <c r="R81" t="s">
        <v>5432</v>
      </c>
      <c r="S81" t="s">
        <v>5432</v>
      </c>
      <c r="T81" t="s">
        <v>5432</v>
      </c>
      <c r="U81" t="s">
        <v>5432</v>
      </c>
      <c r="W81" s="55"/>
    </row>
    <row r="82" spans="1:26">
      <c r="A82" s="55">
        <v>45902</v>
      </c>
      <c r="B82" t="s">
        <v>463</v>
      </c>
      <c r="C82" t="s">
        <v>464</v>
      </c>
      <c r="D82" t="s">
        <v>63</v>
      </c>
      <c r="E82">
        <v>85024</v>
      </c>
      <c r="F82" t="s">
        <v>310</v>
      </c>
      <c r="G82" t="s">
        <v>303</v>
      </c>
      <c r="H82">
        <v>6322573684</v>
      </c>
      <c r="I82" t="s">
        <v>418</v>
      </c>
      <c r="J82" t="s">
        <v>37</v>
      </c>
      <c r="K82" t="s">
        <v>37</v>
      </c>
      <c r="L82" t="s">
        <v>389</v>
      </c>
      <c r="M82" t="s">
        <v>37</v>
      </c>
      <c r="N82" t="s">
        <v>37</v>
      </c>
      <c r="O82" t="s">
        <v>38</v>
      </c>
      <c r="P82" t="s">
        <v>39</v>
      </c>
      <c r="Q82" s="55">
        <v>45968</v>
      </c>
      <c r="R82" t="s">
        <v>5432</v>
      </c>
      <c r="S82" t="s">
        <v>5432</v>
      </c>
      <c r="T82" t="s">
        <v>5432</v>
      </c>
      <c r="U82" t="s">
        <v>5432</v>
      </c>
      <c r="W82" s="55"/>
    </row>
    <row r="83" spans="1:26">
      <c r="A83" s="55">
        <v>45902</v>
      </c>
      <c r="B83" t="s">
        <v>467</v>
      </c>
      <c r="C83" t="s">
        <v>468</v>
      </c>
      <c r="D83" t="s">
        <v>63</v>
      </c>
      <c r="E83">
        <v>85008</v>
      </c>
      <c r="F83" t="s">
        <v>310</v>
      </c>
      <c r="G83" t="s">
        <v>303</v>
      </c>
      <c r="H83">
        <v>6460103590</v>
      </c>
      <c r="I83" t="s">
        <v>36</v>
      </c>
      <c r="J83" t="s">
        <v>37</v>
      </c>
      <c r="K83" t="s">
        <v>37</v>
      </c>
      <c r="L83" t="s">
        <v>38</v>
      </c>
      <c r="M83" t="s">
        <v>37</v>
      </c>
      <c r="N83" t="s">
        <v>37</v>
      </c>
      <c r="O83" t="s">
        <v>38</v>
      </c>
      <c r="P83" t="s">
        <v>39</v>
      </c>
      <c r="Q83" s="55">
        <v>45968</v>
      </c>
      <c r="R83" t="s">
        <v>5432</v>
      </c>
      <c r="S83" t="s">
        <v>5432</v>
      </c>
      <c r="T83" t="s">
        <v>5432</v>
      </c>
      <c r="U83" t="s">
        <v>5432</v>
      </c>
      <c r="W83" s="55"/>
    </row>
    <row r="84" spans="1:26">
      <c r="A84" s="55">
        <v>45902</v>
      </c>
      <c r="B84" t="s">
        <v>470</v>
      </c>
      <c r="C84" t="s">
        <v>471</v>
      </c>
      <c r="D84" t="s">
        <v>63</v>
      </c>
      <c r="E84">
        <v>85004</v>
      </c>
      <c r="F84" t="s">
        <v>310</v>
      </c>
      <c r="G84" t="s">
        <v>303</v>
      </c>
      <c r="H84">
        <v>4452990070</v>
      </c>
      <c r="I84" t="s">
        <v>288</v>
      </c>
      <c r="J84" t="s">
        <v>37</v>
      </c>
      <c r="K84" t="s">
        <v>37</v>
      </c>
      <c r="L84" t="s">
        <v>38</v>
      </c>
      <c r="M84" t="s">
        <v>37</v>
      </c>
      <c r="N84" t="s">
        <v>37</v>
      </c>
      <c r="O84" t="s">
        <v>38</v>
      </c>
      <c r="P84" t="s">
        <v>39</v>
      </c>
      <c r="Q84" s="55">
        <v>45968</v>
      </c>
      <c r="R84" t="s">
        <v>5432</v>
      </c>
      <c r="S84" t="s">
        <v>5432</v>
      </c>
      <c r="T84" t="s">
        <v>5432</v>
      </c>
      <c r="U84" t="s">
        <v>5432</v>
      </c>
      <c r="W84" s="55"/>
    </row>
    <row r="85" spans="1:26">
      <c r="A85" s="55">
        <v>45902</v>
      </c>
      <c r="B85" t="s">
        <v>475</v>
      </c>
      <c r="C85" t="s">
        <v>476</v>
      </c>
      <c r="D85" t="s">
        <v>63</v>
      </c>
      <c r="E85">
        <v>85050</v>
      </c>
      <c r="F85" t="s">
        <v>31</v>
      </c>
      <c r="G85" t="s">
        <v>303</v>
      </c>
      <c r="H85">
        <v>8999251000</v>
      </c>
      <c r="I85" t="s">
        <v>36</v>
      </c>
      <c r="J85" t="s">
        <v>37</v>
      </c>
      <c r="K85" t="s">
        <v>37</v>
      </c>
      <c r="L85" t="s">
        <v>38</v>
      </c>
      <c r="M85" t="s">
        <v>37</v>
      </c>
      <c r="N85" t="s">
        <v>37</v>
      </c>
      <c r="O85" t="s">
        <v>38</v>
      </c>
      <c r="P85" t="s">
        <v>39</v>
      </c>
      <c r="Q85" s="55">
        <v>45968</v>
      </c>
      <c r="R85" t="s">
        <v>5432</v>
      </c>
      <c r="S85" t="s">
        <v>5432</v>
      </c>
      <c r="T85" t="s">
        <v>5432</v>
      </c>
      <c r="U85" t="s">
        <v>5432</v>
      </c>
      <c r="W85" s="55"/>
    </row>
    <row r="86" spans="1:26">
      <c r="A86" s="55">
        <v>45902</v>
      </c>
      <c r="B86" t="s">
        <v>480</v>
      </c>
      <c r="C86" t="s">
        <v>481</v>
      </c>
      <c r="D86" t="s">
        <v>63</v>
      </c>
      <c r="E86">
        <v>85083</v>
      </c>
      <c r="F86" t="s">
        <v>310</v>
      </c>
      <c r="G86" t="s">
        <v>303</v>
      </c>
      <c r="H86">
        <v>4048489946</v>
      </c>
      <c r="I86" t="s">
        <v>46</v>
      </c>
      <c r="J86" t="s">
        <v>37</v>
      </c>
      <c r="K86" t="s">
        <v>37</v>
      </c>
      <c r="L86" t="s">
        <v>483</v>
      </c>
      <c r="M86" t="s">
        <v>37</v>
      </c>
      <c r="N86" t="s">
        <v>37</v>
      </c>
      <c r="O86" t="s">
        <v>38</v>
      </c>
      <c r="P86">
        <v>45939</v>
      </c>
      <c r="Q86" s="55">
        <v>45968</v>
      </c>
      <c r="R86" t="s">
        <v>484</v>
      </c>
      <c r="S86" t="s">
        <v>5432</v>
      </c>
      <c r="T86" t="s">
        <v>5432</v>
      </c>
      <c r="U86" t="s">
        <v>5432</v>
      </c>
      <c r="V86" t="s">
        <v>5433</v>
      </c>
      <c r="W86" s="55">
        <v>46011</v>
      </c>
      <c r="X86" t="s">
        <v>5434</v>
      </c>
      <c r="Z86" t="s">
        <v>5460</v>
      </c>
    </row>
    <row r="87" spans="1:26">
      <c r="A87" s="55">
        <v>45902</v>
      </c>
      <c r="B87" t="s">
        <v>487</v>
      </c>
      <c r="C87" t="s">
        <v>488</v>
      </c>
      <c r="D87" t="s">
        <v>63</v>
      </c>
      <c r="E87">
        <v>85013</v>
      </c>
      <c r="F87" t="s">
        <v>310</v>
      </c>
      <c r="G87" t="s">
        <v>303</v>
      </c>
      <c r="H87">
        <v>1750915214</v>
      </c>
      <c r="I87" t="s">
        <v>126</v>
      </c>
      <c r="J87" t="s">
        <v>37</v>
      </c>
      <c r="K87" t="s">
        <v>37</v>
      </c>
      <c r="L87" t="s">
        <v>38</v>
      </c>
      <c r="M87" t="s">
        <v>37</v>
      </c>
      <c r="N87" t="s">
        <v>37</v>
      </c>
      <c r="O87" t="s">
        <v>38</v>
      </c>
      <c r="P87" t="s">
        <v>39</v>
      </c>
      <c r="Q87" s="55">
        <v>45968</v>
      </c>
      <c r="R87" t="s">
        <v>5432</v>
      </c>
      <c r="S87" t="s">
        <v>5432</v>
      </c>
      <c r="T87" t="s">
        <v>5432</v>
      </c>
      <c r="U87" t="s">
        <v>5432</v>
      </c>
      <c r="W87" s="55"/>
    </row>
    <row r="88" spans="1:26">
      <c r="A88" s="55">
        <v>45902</v>
      </c>
      <c r="B88" t="s">
        <v>490</v>
      </c>
      <c r="C88" t="s">
        <v>491</v>
      </c>
      <c r="D88" t="s">
        <v>30</v>
      </c>
      <c r="E88" t="s">
        <v>30</v>
      </c>
      <c r="F88" t="s">
        <v>31</v>
      </c>
      <c r="G88" t="s">
        <v>303</v>
      </c>
      <c r="H88">
        <v>4133921000</v>
      </c>
      <c r="I88" t="s">
        <v>126</v>
      </c>
      <c r="J88" t="s">
        <v>38</v>
      </c>
      <c r="K88" t="s">
        <v>37</v>
      </c>
      <c r="L88" t="s">
        <v>38</v>
      </c>
      <c r="M88" t="s">
        <v>37</v>
      </c>
      <c r="N88" t="s">
        <v>37</v>
      </c>
      <c r="O88" t="s">
        <v>38</v>
      </c>
      <c r="P88" t="s">
        <v>39</v>
      </c>
      <c r="Q88" s="55">
        <v>45968</v>
      </c>
      <c r="R88" t="s">
        <v>5432</v>
      </c>
      <c r="S88" t="s">
        <v>5432</v>
      </c>
      <c r="T88" t="s">
        <v>5432</v>
      </c>
      <c r="U88" t="s">
        <v>5432</v>
      </c>
      <c r="W88" s="55"/>
    </row>
    <row r="89" spans="1:26">
      <c r="A89" s="55">
        <v>45902</v>
      </c>
      <c r="B89" t="s">
        <v>493</v>
      </c>
      <c r="C89" t="s">
        <v>333</v>
      </c>
      <c r="D89" t="s">
        <v>63</v>
      </c>
      <c r="E89">
        <v>85009</v>
      </c>
      <c r="F89" t="s">
        <v>31</v>
      </c>
      <c r="G89" t="s">
        <v>303</v>
      </c>
      <c r="H89">
        <v>6230194725</v>
      </c>
      <c r="I89" t="s">
        <v>36</v>
      </c>
      <c r="J89" t="s">
        <v>37</v>
      </c>
      <c r="K89" t="s">
        <v>37</v>
      </c>
      <c r="L89" t="s">
        <v>38</v>
      </c>
      <c r="M89" t="s">
        <v>38</v>
      </c>
      <c r="N89">
        <v>942.59</v>
      </c>
      <c r="O89" t="s">
        <v>38</v>
      </c>
      <c r="P89" t="s">
        <v>5432</v>
      </c>
      <c r="Q89" s="55">
        <v>45968</v>
      </c>
      <c r="R89" t="s">
        <v>495</v>
      </c>
      <c r="S89" t="s">
        <v>5432</v>
      </c>
      <c r="T89" t="s">
        <v>5432</v>
      </c>
      <c r="U89" t="s">
        <v>5432</v>
      </c>
      <c r="V89" t="s">
        <v>5433</v>
      </c>
      <c r="W89" s="55">
        <v>46011</v>
      </c>
      <c r="X89" t="s">
        <v>5405</v>
      </c>
      <c r="Y89" t="s">
        <v>5461</v>
      </c>
      <c r="Z89" t="s">
        <v>5462</v>
      </c>
    </row>
    <row r="90" spans="1:26">
      <c r="A90" s="55">
        <v>45903</v>
      </c>
      <c r="B90" t="s">
        <v>499</v>
      </c>
      <c r="C90" t="s">
        <v>334</v>
      </c>
      <c r="D90" t="s">
        <v>30</v>
      </c>
      <c r="E90" t="s">
        <v>30</v>
      </c>
      <c r="F90" t="s">
        <v>31</v>
      </c>
      <c r="G90" t="s">
        <v>500</v>
      </c>
      <c r="H90">
        <v>2806465032</v>
      </c>
      <c r="I90" t="s">
        <v>36</v>
      </c>
      <c r="J90" t="s">
        <v>37</v>
      </c>
      <c r="K90" t="s">
        <v>37</v>
      </c>
      <c r="L90" t="s">
        <v>38</v>
      </c>
      <c r="M90" t="s">
        <v>37</v>
      </c>
      <c r="N90" t="s">
        <v>37</v>
      </c>
      <c r="O90" t="s">
        <v>38</v>
      </c>
      <c r="P90" t="s">
        <v>39</v>
      </c>
      <c r="Q90" s="55">
        <v>45968</v>
      </c>
      <c r="R90" t="s">
        <v>5432</v>
      </c>
      <c r="S90" t="s">
        <v>5432</v>
      </c>
      <c r="T90" t="s">
        <v>5432</v>
      </c>
      <c r="U90" t="s">
        <v>5432</v>
      </c>
      <c r="W90" s="55"/>
    </row>
    <row r="91" spans="1:26">
      <c r="A91" s="55">
        <v>45903</v>
      </c>
      <c r="B91" t="s">
        <v>502</v>
      </c>
      <c r="C91" t="s">
        <v>503</v>
      </c>
      <c r="D91" t="s">
        <v>504</v>
      </c>
      <c r="E91">
        <v>86001</v>
      </c>
      <c r="F91" t="s">
        <v>505</v>
      </c>
      <c r="G91" t="s">
        <v>506</v>
      </c>
      <c r="H91">
        <v>4871279597</v>
      </c>
      <c r="I91" t="s">
        <v>73</v>
      </c>
      <c r="J91" t="s">
        <v>37</v>
      </c>
      <c r="K91" t="s">
        <v>37</v>
      </c>
      <c r="L91" t="s">
        <v>38</v>
      </c>
      <c r="M91" t="s">
        <v>37</v>
      </c>
      <c r="N91" t="s">
        <v>37</v>
      </c>
      <c r="O91" t="s">
        <v>38</v>
      </c>
      <c r="P91" t="s">
        <v>39</v>
      </c>
      <c r="Q91" s="55">
        <v>45968</v>
      </c>
      <c r="R91" t="s">
        <v>5432</v>
      </c>
      <c r="S91" t="s">
        <v>5432</v>
      </c>
      <c r="T91" t="s">
        <v>5432</v>
      </c>
      <c r="U91" t="s">
        <v>5432</v>
      </c>
      <c r="W91" s="55"/>
    </row>
    <row r="92" spans="1:26">
      <c r="A92" s="55">
        <v>45903</v>
      </c>
      <c r="B92" t="s">
        <v>508</v>
      </c>
      <c r="C92" t="s">
        <v>509</v>
      </c>
      <c r="D92" t="s">
        <v>24</v>
      </c>
      <c r="E92">
        <v>85308</v>
      </c>
      <c r="F92" t="s">
        <v>31</v>
      </c>
      <c r="G92" t="s">
        <v>506</v>
      </c>
      <c r="H92">
        <v>4436732938</v>
      </c>
      <c r="I92" t="s">
        <v>196</v>
      </c>
      <c r="J92" t="s">
        <v>37</v>
      </c>
      <c r="K92" t="s">
        <v>37</v>
      </c>
      <c r="L92" t="s">
        <v>511</v>
      </c>
      <c r="M92" t="s">
        <v>37</v>
      </c>
      <c r="N92" t="s">
        <v>37</v>
      </c>
      <c r="O92" t="s">
        <v>38</v>
      </c>
      <c r="P92">
        <v>45932</v>
      </c>
      <c r="Q92" s="55">
        <v>45968</v>
      </c>
      <c r="R92" t="s">
        <v>512</v>
      </c>
      <c r="S92" t="s">
        <v>5432</v>
      </c>
      <c r="T92" t="s">
        <v>5432</v>
      </c>
      <c r="U92" t="s">
        <v>5432</v>
      </c>
      <c r="V92" t="s">
        <v>5433</v>
      </c>
      <c r="W92" s="55">
        <v>46011</v>
      </c>
      <c r="X92" t="s">
        <v>5434</v>
      </c>
    </row>
    <row r="93" spans="1:26">
      <c r="A93" s="55">
        <v>45903</v>
      </c>
      <c r="B93" t="s">
        <v>513</v>
      </c>
      <c r="C93" t="s">
        <v>369</v>
      </c>
      <c r="D93" t="s">
        <v>63</v>
      </c>
      <c r="E93">
        <v>85024</v>
      </c>
      <c r="F93" t="s">
        <v>310</v>
      </c>
      <c r="G93" t="s">
        <v>506</v>
      </c>
      <c r="H93">
        <v>5172470768</v>
      </c>
      <c r="I93" t="s">
        <v>126</v>
      </c>
      <c r="J93" t="s">
        <v>37</v>
      </c>
      <c r="K93" t="s">
        <v>37</v>
      </c>
      <c r="L93" t="s">
        <v>38</v>
      </c>
      <c r="M93" t="s">
        <v>37</v>
      </c>
      <c r="N93" t="s">
        <v>37</v>
      </c>
      <c r="O93" t="s">
        <v>38</v>
      </c>
      <c r="P93" t="s">
        <v>39</v>
      </c>
      <c r="Q93" s="55">
        <v>45968</v>
      </c>
      <c r="R93" t="s">
        <v>5432</v>
      </c>
      <c r="S93" t="s">
        <v>5432</v>
      </c>
      <c r="T93" t="s">
        <v>5432</v>
      </c>
      <c r="U93" t="s">
        <v>5432</v>
      </c>
      <c r="W93" s="55"/>
    </row>
    <row r="94" spans="1:26">
      <c r="A94" s="55">
        <v>45903</v>
      </c>
      <c r="B94" t="s">
        <v>515</v>
      </c>
      <c r="C94" t="s">
        <v>516</v>
      </c>
      <c r="D94" t="s">
        <v>202</v>
      </c>
      <c r="E94">
        <v>85383</v>
      </c>
      <c r="F94" t="s">
        <v>517</v>
      </c>
      <c r="G94" t="s">
        <v>506</v>
      </c>
      <c r="H94">
        <v>4073651000</v>
      </c>
      <c r="I94" t="s">
        <v>196</v>
      </c>
      <c r="J94" t="s">
        <v>37</v>
      </c>
      <c r="K94" t="s">
        <v>37</v>
      </c>
      <c r="L94" t="s">
        <v>519</v>
      </c>
      <c r="M94" t="s">
        <v>37</v>
      </c>
      <c r="N94" t="s">
        <v>37</v>
      </c>
      <c r="O94" t="s">
        <v>38</v>
      </c>
      <c r="P94">
        <v>45932</v>
      </c>
      <c r="Q94" s="55">
        <v>45968</v>
      </c>
      <c r="R94" t="s">
        <v>520</v>
      </c>
      <c r="S94" t="s">
        <v>5432</v>
      </c>
      <c r="T94" t="s">
        <v>5432</v>
      </c>
      <c r="U94" t="s">
        <v>5432</v>
      </c>
      <c r="V94" t="s">
        <v>5433</v>
      </c>
      <c r="W94" s="55">
        <v>46011</v>
      </c>
      <c r="X94" t="s">
        <v>5405</v>
      </c>
      <c r="Y94" t="s">
        <v>5463</v>
      </c>
      <c r="Z94" t="s">
        <v>5464</v>
      </c>
    </row>
    <row r="95" spans="1:26">
      <c r="A95" s="55">
        <v>45903</v>
      </c>
      <c r="B95" t="s">
        <v>521</v>
      </c>
      <c r="C95" t="s">
        <v>522</v>
      </c>
      <c r="D95" t="s">
        <v>523</v>
      </c>
      <c r="E95">
        <v>85392</v>
      </c>
      <c r="F95" t="s">
        <v>31</v>
      </c>
      <c r="G95" t="s">
        <v>506</v>
      </c>
      <c r="H95">
        <v>6354570000</v>
      </c>
      <c r="I95" t="s">
        <v>36</v>
      </c>
      <c r="J95" t="s">
        <v>37</v>
      </c>
      <c r="K95" t="s">
        <v>37</v>
      </c>
      <c r="L95" t="s">
        <v>38</v>
      </c>
      <c r="M95" t="s">
        <v>37</v>
      </c>
      <c r="N95" t="s">
        <v>37</v>
      </c>
      <c r="O95" t="s">
        <v>38</v>
      </c>
      <c r="P95" t="s">
        <v>39</v>
      </c>
      <c r="Q95" s="55">
        <v>45968</v>
      </c>
      <c r="R95" t="s">
        <v>525</v>
      </c>
      <c r="S95" t="s">
        <v>5432</v>
      </c>
      <c r="T95" t="s">
        <v>5432</v>
      </c>
      <c r="U95" t="s">
        <v>5432</v>
      </c>
      <c r="W95" s="55"/>
    </row>
    <row r="96" spans="1:26">
      <c r="A96" s="55">
        <v>45903</v>
      </c>
      <c r="B96" t="s">
        <v>528</v>
      </c>
      <c r="C96" t="s">
        <v>529</v>
      </c>
      <c r="D96" t="s">
        <v>24</v>
      </c>
      <c r="E96">
        <v>85310</v>
      </c>
      <c r="F96" t="s">
        <v>310</v>
      </c>
      <c r="G96" t="s">
        <v>506</v>
      </c>
      <c r="H96">
        <v>1541553890</v>
      </c>
      <c r="I96" t="s">
        <v>196</v>
      </c>
      <c r="J96" t="s">
        <v>37</v>
      </c>
      <c r="K96" t="s">
        <v>37</v>
      </c>
      <c r="L96" t="s">
        <v>38</v>
      </c>
      <c r="M96" t="s">
        <v>37</v>
      </c>
      <c r="N96" t="s">
        <v>37</v>
      </c>
      <c r="O96" t="s">
        <v>38</v>
      </c>
      <c r="P96" t="s">
        <v>39</v>
      </c>
      <c r="Q96" s="55">
        <v>45968</v>
      </c>
      <c r="R96" t="s">
        <v>5432</v>
      </c>
      <c r="S96" t="s">
        <v>5432</v>
      </c>
      <c r="T96" t="s">
        <v>5432</v>
      </c>
      <c r="U96" t="s">
        <v>5432</v>
      </c>
      <c r="W96" s="55"/>
    </row>
    <row r="97" spans="1:26">
      <c r="A97" s="55">
        <v>45903</v>
      </c>
      <c r="B97" t="s">
        <v>531</v>
      </c>
      <c r="C97" t="s">
        <v>532</v>
      </c>
      <c r="D97" t="s">
        <v>169</v>
      </c>
      <c r="E97">
        <v>85395</v>
      </c>
      <c r="F97" t="s">
        <v>31</v>
      </c>
      <c r="G97" t="s">
        <v>506</v>
      </c>
      <c r="H97">
        <v>9149301000</v>
      </c>
      <c r="I97" t="s">
        <v>36</v>
      </c>
      <c r="J97" t="s">
        <v>37</v>
      </c>
      <c r="K97" t="s">
        <v>37</v>
      </c>
      <c r="L97" t="s">
        <v>38</v>
      </c>
      <c r="M97" t="s">
        <v>37</v>
      </c>
      <c r="N97" t="s">
        <v>37</v>
      </c>
      <c r="O97" t="s">
        <v>38</v>
      </c>
      <c r="P97" t="s">
        <v>39</v>
      </c>
      <c r="Q97" s="55">
        <v>45968</v>
      </c>
      <c r="R97" t="s">
        <v>5432</v>
      </c>
      <c r="S97" t="s">
        <v>5432</v>
      </c>
      <c r="T97" t="s">
        <v>5432</v>
      </c>
      <c r="U97" t="s">
        <v>5432</v>
      </c>
      <c r="W97" s="55"/>
    </row>
    <row r="98" spans="1:26">
      <c r="A98" s="55">
        <v>45903</v>
      </c>
      <c r="B98" t="s">
        <v>534</v>
      </c>
      <c r="C98" t="s">
        <v>535</v>
      </c>
      <c r="D98" t="s">
        <v>523</v>
      </c>
      <c r="E98">
        <v>85392</v>
      </c>
      <c r="F98" t="s">
        <v>31</v>
      </c>
      <c r="G98" t="s">
        <v>506</v>
      </c>
      <c r="H98">
        <v>8789670000</v>
      </c>
      <c r="I98" t="s">
        <v>418</v>
      </c>
      <c r="J98" t="s">
        <v>37</v>
      </c>
      <c r="K98" t="s">
        <v>37</v>
      </c>
      <c r="L98" t="s">
        <v>389</v>
      </c>
      <c r="M98" t="s">
        <v>37</v>
      </c>
      <c r="N98" t="s">
        <v>37</v>
      </c>
      <c r="O98" t="s">
        <v>38</v>
      </c>
      <c r="P98" t="s">
        <v>39</v>
      </c>
      <c r="Q98" s="55">
        <v>45968</v>
      </c>
      <c r="R98" t="s">
        <v>5432</v>
      </c>
      <c r="S98" t="s">
        <v>5432</v>
      </c>
      <c r="T98" t="s">
        <v>5432</v>
      </c>
      <c r="U98" t="s">
        <v>5432</v>
      </c>
      <c r="W98" s="55"/>
    </row>
    <row r="99" spans="1:26">
      <c r="A99" s="55">
        <v>45903</v>
      </c>
      <c r="B99" t="s">
        <v>537</v>
      </c>
      <c r="C99" t="s">
        <v>538</v>
      </c>
      <c r="D99" t="s">
        <v>539</v>
      </c>
      <c r="E99">
        <v>85194</v>
      </c>
      <c r="F99" t="s">
        <v>310</v>
      </c>
      <c r="G99" t="s">
        <v>506</v>
      </c>
      <c r="H99">
        <v>4665180000</v>
      </c>
      <c r="I99" t="s">
        <v>541</v>
      </c>
      <c r="J99" t="s">
        <v>37</v>
      </c>
      <c r="K99" t="s">
        <v>37</v>
      </c>
      <c r="L99" t="s">
        <v>389</v>
      </c>
      <c r="M99" t="s">
        <v>37</v>
      </c>
      <c r="N99" t="s">
        <v>37</v>
      </c>
      <c r="O99" t="s">
        <v>38</v>
      </c>
      <c r="P99" t="s">
        <v>39</v>
      </c>
      <c r="Q99" s="55">
        <v>45968</v>
      </c>
      <c r="R99" t="s">
        <v>5432</v>
      </c>
      <c r="S99" t="s">
        <v>5432</v>
      </c>
      <c r="T99" t="s">
        <v>5432</v>
      </c>
      <c r="U99" t="s">
        <v>5432</v>
      </c>
      <c r="W99" s="55"/>
    </row>
    <row r="100" spans="1:26">
      <c r="A100" s="55">
        <v>45903</v>
      </c>
      <c r="B100" t="s">
        <v>542</v>
      </c>
      <c r="C100" t="s">
        <v>543</v>
      </c>
      <c r="D100" t="s">
        <v>63</v>
      </c>
      <c r="E100">
        <v>85050</v>
      </c>
      <c r="F100" t="s">
        <v>310</v>
      </c>
      <c r="G100" t="s">
        <v>506</v>
      </c>
      <c r="H100">
        <v>9867756348</v>
      </c>
      <c r="I100" t="s">
        <v>36</v>
      </c>
      <c r="J100" t="s">
        <v>37</v>
      </c>
      <c r="K100" t="s">
        <v>37</v>
      </c>
      <c r="L100" t="s">
        <v>38</v>
      </c>
      <c r="M100" t="s">
        <v>37</v>
      </c>
      <c r="N100" t="s">
        <v>37</v>
      </c>
      <c r="O100" t="s">
        <v>38</v>
      </c>
      <c r="P100" t="s">
        <v>39</v>
      </c>
      <c r="Q100" s="55">
        <v>45968</v>
      </c>
      <c r="R100" t="s">
        <v>5432</v>
      </c>
      <c r="S100" t="s">
        <v>5432</v>
      </c>
      <c r="T100" t="s">
        <v>5432</v>
      </c>
      <c r="U100" t="s">
        <v>5432</v>
      </c>
      <c r="W100" s="55"/>
    </row>
    <row r="101" spans="1:26">
      <c r="A101" s="55">
        <v>45903</v>
      </c>
      <c r="B101" t="s">
        <v>549</v>
      </c>
      <c r="C101" t="s">
        <v>550</v>
      </c>
      <c r="D101" t="s">
        <v>169</v>
      </c>
      <c r="E101">
        <v>85338</v>
      </c>
      <c r="F101" t="s">
        <v>31</v>
      </c>
      <c r="G101" t="s">
        <v>506</v>
      </c>
      <c r="H101">
        <v>4619651000</v>
      </c>
      <c r="I101" t="s">
        <v>36</v>
      </c>
      <c r="J101" t="s">
        <v>37</v>
      </c>
      <c r="K101" t="s">
        <v>37</v>
      </c>
      <c r="L101" t="s">
        <v>38</v>
      </c>
      <c r="M101" t="s">
        <v>37</v>
      </c>
      <c r="N101" t="s">
        <v>37</v>
      </c>
      <c r="O101" t="s">
        <v>38</v>
      </c>
      <c r="P101" t="s">
        <v>39</v>
      </c>
      <c r="Q101" s="55">
        <v>45968</v>
      </c>
      <c r="R101" t="s">
        <v>5432</v>
      </c>
      <c r="S101" t="s">
        <v>5432</v>
      </c>
      <c r="T101" t="s">
        <v>5432</v>
      </c>
      <c r="U101" t="s">
        <v>5432</v>
      </c>
      <c r="W101" s="55"/>
    </row>
    <row r="102" spans="1:26">
      <c r="A102" s="55">
        <v>45903</v>
      </c>
      <c r="B102" t="s">
        <v>552</v>
      </c>
      <c r="C102" t="s">
        <v>553</v>
      </c>
      <c r="D102" t="s">
        <v>63</v>
      </c>
      <c r="E102">
        <v>85012</v>
      </c>
      <c r="F102" t="s">
        <v>310</v>
      </c>
      <c r="G102" t="s">
        <v>506</v>
      </c>
      <c r="H102">
        <v>66499647</v>
      </c>
      <c r="I102" t="s">
        <v>36</v>
      </c>
      <c r="J102" t="s">
        <v>37</v>
      </c>
      <c r="K102" t="s">
        <v>37</v>
      </c>
      <c r="L102" t="s">
        <v>38</v>
      </c>
      <c r="M102" t="s">
        <v>37</v>
      </c>
      <c r="N102" t="s">
        <v>37</v>
      </c>
      <c r="O102" t="s">
        <v>38</v>
      </c>
      <c r="P102" t="s">
        <v>39</v>
      </c>
      <c r="Q102" s="55">
        <v>45968</v>
      </c>
      <c r="R102" t="s">
        <v>5432</v>
      </c>
      <c r="S102" t="s">
        <v>5432</v>
      </c>
      <c r="T102" t="s">
        <v>5432</v>
      </c>
      <c r="U102" t="s">
        <v>5432</v>
      </c>
      <c r="W102" s="55"/>
    </row>
    <row r="103" spans="1:26">
      <c r="A103" s="55">
        <v>45903</v>
      </c>
      <c r="B103" t="s">
        <v>557</v>
      </c>
      <c r="C103" t="s">
        <v>558</v>
      </c>
      <c r="D103" t="s">
        <v>63</v>
      </c>
      <c r="E103">
        <v>85020</v>
      </c>
      <c r="F103" t="s">
        <v>310</v>
      </c>
      <c r="G103" t="s">
        <v>506</v>
      </c>
      <c r="H103">
        <v>4983424677</v>
      </c>
      <c r="I103" t="s">
        <v>126</v>
      </c>
      <c r="J103" t="s">
        <v>37</v>
      </c>
      <c r="K103" t="s">
        <v>37</v>
      </c>
      <c r="L103" t="s">
        <v>560</v>
      </c>
      <c r="M103" t="s">
        <v>37</v>
      </c>
      <c r="N103" t="s">
        <v>37</v>
      </c>
      <c r="O103" t="s">
        <v>38</v>
      </c>
      <c r="P103">
        <v>45933</v>
      </c>
      <c r="Q103" s="55">
        <v>45968</v>
      </c>
      <c r="R103" t="s">
        <v>561</v>
      </c>
      <c r="S103" t="s">
        <v>5432</v>
      </c>
      <c r="T103" t="s">
        <v>5432</v>
      </c>
      <c r="U103" t="s">
        <v>5432</v>
      </c>
      <c r="V103" t="s">
        <v>5433</v>
      </c>
      <c r="W103" s="55">
        <v>46011</v>
      </c>
      <c r="X103" t="s">
        <v>5434</v>
      </c>
      <c r="Z103" t="s">
        <v>5465</v>
      </c>
    </row>
    <row r="104" spans="1:26">
      <c r="A104" s="55">
        <v>45903</v>
      </c>
      <c r="B104" t="s">
        <v>562</v>
      </c>
      <c r="C104" t="s">
        <v>363</v>
      </c>
      <c r="D104" t="s">
        <v>63</v>
      </c>
      <c r="E104">
        <v>85023</v>
      </c>
      <c r="F104" t="s">
        <v>563</v>
      </c>
      <c r="G104" t="s">
        <v>506</v>
      </c>
      <c r="H104">
        <v>5273951000</v>
      </c>
      <c r="I104" t="s">
        <v>36</v>
      </c>
      <c r="J104" t="s">
        <v>37</v>
      </c>
      <c r="K104" t="s">
        <v>37</v>
      </c>
      <c r="L104" t="s">
        <v>38</v>
      </c>
      <c r="M104" t="s">
        <v>37</v>
      </c>
      <c r="N104" t="s">
        <v>37</v>
      </c>
      <c r="O104" t="s">
        <v>38</v>
      </c>
      <c r="P104" t="s">
        <v>39</v>
      </c>
      <c r="Q104" s="55">
        <v>45968</v>
      </c>
      <c r="R104" t="s">
        <v>5432</v>
      </c>
      <c r="S104" t="s">
        <v>5432</v>
      </c>
      <c r="T104" t="s">
        <v>5432</v>
      </c>
      <c r="U104" t="s">
        <v>5432</v>
      </c>
      <c r="W104" s="55"/>
    </row>
    <row r="105" spans="1:26">
      <c r="A105" s="55">
        <v>45903</v>
      </c>
      <c r="B105" t="s">
        <v>565</v>
      </c>
      <c r="C105" t="s">
        <v>256</v>
      </c>
      <c r="D105" t="s">
        <v>63</v>
      </c>
      <c r="E105">
        <v>85020</v>
      </c>
      <c r="F105" t="s">
        <v>310</v>
      </c>
      <c r="G105" t="s">
        <v>506</v>
      </c>
      <c r="H105">
        <v>2204984346</v>
      </c>
      <c r="I105" t="s">
        <v>196</v>
      </c>
      <c r="J105" t="s">
        <v>37</v>
      </c>
      <c r="K105" t="s">
        <v>37</v>
      </c>
      <c r="L105" t="s">
        <v>38</v>
      </c>
      <c r="M105" t="s">
        <v>37</v>
      </c>
      <c r="N105" t="s">
        <v>37</v>
      </c>
      <c r="O105" t="s">
        <v>38</v>
      </c>
      <c r="P105" t="s">
        <v>39</v>
      </c>
      <c r="Q105" s="55">
        <v>45968</v>
      </c>
      <c r="R105" t="s">
        <v>5432</v>
      </c>
      <c r="S105" t="s">
        <v>5432</v>
      </c>
      <c r="T105" t="s">
        <v>5432</v>
      </c>
      <c r="U105" t="s">
        <v>5432</v>
      </c>
      <c r="W105" s="55"/>
    </row>
    <row r="106" spans="1:26">
      <c r="A106" s="55">
        <v>45903</v>
      </c>
      <c r="B106" t="s">
        <v>569</v>
      </c>
      <c r="C106" t="s">
        <v>570</v>
      </c>
      <c r="D106" t="s">
        <v>202</v>
      </c>
      <c r="E106">
        <v>85383</v>
      </c>
      <c r="F106" t="s">
        <v>310</v>
      </c>
      <c r="G106" t="s">
        <v>506</v>
      </c>
      <c r="H106">
        <v>5930390000</v>
      </c>
      <c r="I106" t="s">
        <v>36</v>
      </c>
      <c r="J106" t="s">
        <v>37</v>
      </c>
      <c r="K106" t="s">
        <v>37</v>
      </c>
      <c r="L106" t="s">
        <v>38</v>
      </c>
      <c r="M106" t="s">
        <v>37</v>
      </c>
      <c r="N106" t="s">
        <v>37</v>
      </c>
      <c r="O106" t="s">
        <v>38</v>
      </c>
      <c r="P106" t="s">
        <v>39</v>
      </c>
      <c r="Q106" s="55">
        <v>45968</v>
      </c>
      <c r="R106" t="s">
        <v>5432</v>
      </c>
      <c r="S106" t="s">
        <v>5432</v>
      </c>
      <c r="T106" t="s">
        <v>5432</v>
      </c>
      <c r="U106" t="s">
        <v>5432</v>
      </c>
      <c r="W106" s="55"/>
    </row>
    <row r="107" spans="1:26">
      <c r="A107" s="55">
        <v>45903</v>
      </c>
      <c r="B107" t="s">
        <v>572</v>
      </c>
      <c r="C107" t="s">
        <v>573</v>
      </c>
      <c r="D107" t="s">
        <v>63</v>
      </c>
      <c r="E107">
        <v>85024</v>
      </c>
      <c r="F107" t="s">
        <v>310</v>
      </c>
      <c r="G107" t="s">
        <v>506</v>
      </c>
      <c r="H107">
        <v>1742331189</v>
      </c>
      <c r="I107" t="s">
        <v>196</v>
      </c>
      <c r="J107" t="s">
        <v>37</v>
      </c>
      <c r="K107" t="s">
        <v>37</v>
      </c>
      <c r="L107" t="s">
        <v>38</v>
      </c>
      <c r="M107" t="s">
        <v>37</v>
      </c>
      <c r="N107" t="s">
        <v>37</v>
      </c>
      <c r="O107" t="s">
        <v>38</v>
      </c>
      <c r="P107" t="s">
        <v>39</v>
      </c>
      <c r="Q107" s="55">
        <v>45968</v>
      </c>
      <c r="R107" t="s">
        <v>5432</v>
      </c>
      <c r="S107" t="s">
        <v>5432</v>
      </c>
      <c r="T107" t="s">
        <v>5432</v>
      </c>
      <c r="U107" t="s">
        <v>5432</v>
      </c>
      <c r="V107" t="s">
        <v>117</v>
      </c>
      <c r="W107" s="55">
        <v>45997</v>
      </c>
      <c r="X107" t="s">
        <v>5434</v>
      </c>
      <c r="Z107" t="s">
        <v>5466</v>
      </c>
    </row>
    <row r="108" spans="1:26">
      <c r="A108" s="55">
        <v>45903</v>
      </c>
      <c r="B108" t="s">
        <v>575</v>
      </c>
      <c r="C108" t="s">
        <v>134</v>
      </c>
      <c r="D108" t="s">
        <v>63</v>
      </c>
      <c r="E108">
        <v>85004</v>
      </c>
      <c r="F108" t="s">
        <v>310</v>
      </c>
      <c r="G108" t="s">
        <v>506</v>
      </c>
      <c r="H108">
        <v>9268845654</v>
      </c>
      <c r="I108" t="s">
        <v>73</v>
      </c>
      <c r="J108" t="s">
        <v>37</v>
      </c>
      <c r="K108" t="s">
        <v>37</v>
      </c>
      <c r="L108" t="s">
        <v>38</v>
      </c>
      <c r="M108" t="s">
        <v>37</v>
      </c>
      <c r="N108" t="s">
        <v>37</v>
      </c>
      <c r="O108" t="s">
        <v>38</v>
      </c>
      <c r="P108" t="s">
        <v>39</v>
      </c>
      <c r="Q108" s="55">
        <v>45968</v>
      </c>
      <c r="R108" t="s">
        <v>5432</v>
      </c>
      <c r="S108" t="s">
        <v>5432</v>
      </c>
      <c r="T108" t="s">
        <v>5432</v>
      </c>
      <c r="U108" t="s">
        <v>5432</v>
      </c>
      <c r="W108" s="55"/>
    </row>
    <row r="109" spans="1:26">
      <c r="A109" s="55">
        <v>45903</v>
      </c>
      <c r="B109" t="s">
        <v>577</v>
      </c>
      <c r="C109" t="s">
        <v>578</v>
      </c>
      <c r="D109" t="s">
        <v>125</v>
      </c>
      <c r="E109">
        <v>85260</v>
      </c>
      <c r="F109" t="s">
        <v>579</v>
      </c>
      <c r="G109" t="s">
        <v>506</v>
      </c>
      <c r="H109">
        <v>5872670000</v>
      </c>
      <c r="I109" t="s">
        <v>196</v>
      </c>
      <c r="J109" t="s">
        <v>37</v>
      </c>
      <c r="K109" t="s">
        <v>37</v>
      </c>
      <c r="L109" t="s">
        <v>38</v>
      </c>
      <c r="M109" t="s">
        <v>37</v>
      </c>
      <c r="N109" t="s">
        <v>37</v>
      </c>
      <c r="O109" t="s">
        <v>38</v>
      </c>
      <c r="P109" t="s">
        <v>39</v>
      </c>
      <c r="Q109" s="55">
        <v>45968</v>
      </c>
      <c r="R109" t="s">
        <v>5432</v>
      </c>
      <c r="S109" t="s">
        <v>5432</v>
      </c>
      <c r="T109" t="s">
        <v>5432</v>
      </c>
      <c r="U109" t="s">
        <v>5432</v>
      </c>
      <c r="W109" s="55"/>
    </row>
    <row r="110" spans="1:26">
      <c r="A110" s="55">
        <v>45903</v>
      </c>
      <c r="B110" t="s">
        <v>581</v>
      </c>
      <c r="C110" t="s">
        <v>550</v>
      </c>
      <c r="D110" t="s">
        <v>63</v>
      </c>
      <c r="E110">
        <v>85015</v>
      </c>
      <c r="F110" t="s">
        <v>310</v>
      </c>
      <c r="G110" t="s">
        <v>506</v>
      </c>
      <c r="H110">
        <v>1567963536</v>
      </c>
      <c r="I110" t="s">
        <v>57</v>
      </c>
      <c r="J110" t="s">
        <v>37</v>
      </c>
      <c r="K110" t="s">
        <v>37</v>
      </c>
      <c r="L110" t="s">
        <v>583</v>
      </c>
      <c r="M110" t="s">
        <v>37</v>
      </c>
      <c r="N110" t="s">
        <v>37</v>
      </c>
      <c r="O110" t="s">
        <v>38</v>
      </c>
      <c r="P110" t="s">
        <v>39</v>
      </c>
      <c r="Q110" s="55">
        <v>45968</v>
      </c>
      <c r="R110" t="s">
        <v>5432</v>
      </c>
      <c r="S110" t="s">
        <v>5432</v>
      </c>
      <c r="T110" t="s">
        <v>5432</v>
      </c>
      <c r="U110" t="s">
        <v>5432</v>
      </c>
      <c r="V110" t="s">
        <v>5433</v>
      </c>
      <c r="W110" s="55">
        <v>46011</v>
      </c>
      <c r="X110" t="s">
        <v>5434</v>
      </c>
      <c r="Z110" t="s">
        <v>5446</v>
      </c>
    </row>
    <row r="111" spans="1:26">
      <c r="A111" s="55">
        <v>45903</v>
      </c>
      <c r="B111" t="s">
        <v>586</v>
      </c>
      <c r="C111" t="s">
        <v>587</v>
      </c>
      <c r="D111" t="s">
        <v>63</v>
      </c>
      <c r="E111">
        <v>85028</v>
      </c>
      <c r="F111" t="s">
        <v>588</v>
      </c>
      <c r="G111" t="s">
        <v>506</v>
      </c>
      <c r="H111">
        <v>7770645738</v>
      </c>
      <c r="I111" t="s">
        <v>36</v>
      </c>
      <c r="J111" t="s">
        <v>37</v>
      </c>
      <c r="K111" t="s">
        <v>37</v>
      </c>
      <c r="L111" t="s">
        <v>38</v>
      </c>
      <c r="M111" t="s">
        <v>37</v>
      </c>
      <c r="N111" t="s">
        <v>37</v>
      </c>
      <c r="O111" t="s">
        <v>38</v>
      </c>
      <c r="P111" t="s">
        <v>39</v>
      </c>
      <c r="Q111" s="55">
        <v>45968</v>
      </c>
      <c r="R111" t="s">
        <v>5432</v>
      </c>
      <c r="S111" t="s">
        <v>5432</v>
      </c>
      <c r="T111" t="s">
        <v>5432</v>
      </c>
      <c r="U111" t="s">
        <v>5432</v>
      </c>
      <c r="W111" s="55"/>
    </row>
    <row r="112" spans="1:26">
      <c r="A112" s="55">
        <v>45903</v>
      </c>
      <c r="B112" t="s">
        <v>590</v>
      </c>
      <c r="C112" t="s">
        <v>591</v>
      </c>
      <c r="D112" t="s">
        <v>240</v>
      </c>
      <c r="E112">
        <v>85340</v>
      </c>
      <c r="F112" t="s">
        <v>31</v>
      </c>
      <c r="G112" t="s">
        <v>506</v>
      </c>
      <c r="H112">
        <v>2931588244</v>
      </c>
      <c r="I112" t="s">
        <v>36</v>
      </c>
      <c r="J112" t="s">
        <v>37</v>
      </c>
      <c r="K112" t="s">
        <v>37</v>
      </c>
      <c r="L112" t="s">
        <v>38</v>
      </c>
      <c r="M112" t="s">
        <v>37</v>
      </c>
      <c r="N112" t="s">
        <v>37</v>
      </c>
      <c r="O112" t="s">
        <v>38</v>
      </c>
      <c r="P112" t="s">
        <v>39</v>
      </c>
      <c r="Q112" s="55">
        <v>45968</v>
      </c>
      <c r="R112" t="s">
        <v>5432</v>
      </c>
      <c r="S112" t="s">
        <v>5432</v>
      </c>
      <c r="T112" t="s">
        <v>5432</v>
      </c>
      <c r="U112" t="s">
        <v>5432</v>
      </c>
      <c r="W112" s="55"/>
    </row>
    <row r="113" spans="1:26">
      <c r="A113" s="55">
        <v>45903</v>
      </c>
      <c r="B113" t="s">
        <v>593</v>
      </c>
      <c r="C113" t="s">
        <v>594</v>
      </c>
      <c r="D113" t="s">
        <v>63</v>
      </c>
      <c r="E113">
        <v>85024</v>
      </c>
      <c r="F113" t="s">
        <v>310</v>
      </c>
      <c r="G113" t="s">
        <v>506</v>
      </c>
      <c r="H113">
        <v>5428778750</v>
      </c>
      <c r="I113" t="s">
        <v>36</v>
      </c>
      <c r="J113" t="s">
        <v>37</v>
      </c>
      <c r="K113" t="s">
        <v>37</v>
      </c>
      <c r="L113" t="s">
        <v>38</v>
      </c>
      <c r="M113" t="s">
        <v>37</v>
      </c>
      <c r="N113" t="s">
        <v>37</v>
      </c>
      <c r="O113" t="s">
        <v>38</v>
      </c>
      <c r="P113" t="s">
        <v>39</v>
      </c>
      <c r="Q113" s="55">
        <v>45968</v>
      </c>
      <c r="R113" t="s">
        <v>5432</v>
      </c>
      <c r="S113" t="s">
        <v>5432</v>
      </c>
      <c r="T113" t="s">
        <v>5432</v>
      </c>
      <c r="U113" t="s">
        <v>5432</v>
      </c>
      <c r="W113" s="55"/>
    </row>
    <row r="114" spans="1:26">
      <c r="A114" s="55">
        <v>45903</v>
      </c>
      <c r="B114" t="s">
        <v>596</v>
      </c>
      <c r="C114" t="s">
        <v>597</v>
      </c>
      <c r="D114" t="s">
        <v>240</v>
      </c>
      <c r="E114">
        <v>85340</v>
      </c>
      <c r="F114" t="s">
        <v>598</v>
      </c>
      <c r="G114" t="s">
        <v>506</v>
      </c>
      <c r="H114">
        <v>9593560000</v>
      </c>
      <c r="I114" t="s">
        <v>126</v>
      </c>
      <c r="J114" t="s">
        <v>37</v>
      </c>
      <c r="K114" t="s">
        <v>37</v>
      </c>
      <c r="L114" t="s">
        <v>38</v>
      </c>
      <c r="M114" t="s">
        <v>37</v>
      </c>
      <c r="N114" t="s">
        <v>37</v>
      </c>
      <c r="O114" t="s">
        <v>38</v>
      </c>
      <c r="P114" t="s">
        <v>39</v>
      </c>
      <c r="Q114" s="55">
        <v>45968</v>
      </c>
      <c r="R114" t="s">
        <v>5432</v>
      </c>
      <c r="S114" t="s">
        <v>5432</v>
      </c>
      <c r="T114" t="s">
        <v>5432</v>
      </c>
      <c r="U114" t="s">
        <v>5432</v>
      </c>
      <c r="W114" s="55"/>
    </row>
    <row r="115" spans="1:26">
      <c r="A115" s="55">
        <v>45903</v>
      </c>
      <c r="B115" t="s">
        <v>600</v>
      </c>
      <c r="C115" t="s">
        <v>601</v>
      </c>
      <c r="D115" t="s">
        <v>63</v>
      </c>
      <c r="E115">
        <v>85022</v>
      </c>
      <c r="F115" t="s">
        <v>310</v>
      </c>
      <c r="G115" t="s">
        <v>506</v>
      </c>
      <c r="H115">
        <v>3405320000</v>
      </c>
      <c r="I115" t="s">
        <v>196</v>
      </c>
      <c r="J115" t="s">
        <v>37</v>
      </c>
      <c r="K115" t="s">
        <v>37</v>
      </c>
      <c r="L115" t="s">
        <v>603</v>
      </c>
      <c r="M115" t="s">
        <v>37</v>
      </c>
      <c r="N115" t="s">
        <v>37</v>
      </c>
      <c r="O115" t="s">
        <v>38</v>
      </c>
      <c r="P115">
        <v>45933</v>
      </c>
      <c r="Q115" s="55">
        <v>45968</v>
      </c>
      <c r="R115" t="s">
        <v>561</v>
      </c>
      <c r="S115" t="s">
        <v>5432</v>
      </c>
      <c r="T115" t="s">
        <v>5432</v>
      </c>
      <c r="U115" t="s">
        <v>5432</v>
      </c>
      <c r="V115" t="s">
        <v>5433</v>
      </c>
      <c r="W115" s="55">
        <v>46011</v>
      </c>
      <c r="X115" t="s">
        <v>5434</v>
      </c>
      <c r="Z115" t="s">
        <v>5446</v>
      </c>
    </row>
    <row r="116" spans="1:26">
      <c r="A116" s="55">
        <v>45903</v>
      </c>
      <c r="B116" t="s">
        <v>604</v>
      </c>
      <c r="C116" t="s">
        <v>420</v>
      </c>
      <c r="D116" t="s">
        <v>24</v>
      </c>
      <c r="E116">
        <v>85308</v>
      </c>
      <c r="F116" t="s">
        <v>310</v>
      </c>
      <c r="G116" t="s">
        <v>506</v>
      </c>
      <c r="H116">
        <v>8043001000</v>
      </c>
      <c r="I116" t="s">
        <v>73</v>
      </c>
      <c r="J116" t="s">
        <v>37</v>
      </c>
      <c r="K116" t="s">
        <v>5432</v>
      </c>
      <c r="L116" t="s">
        <v>38</v>
      </c>
      <c r="M116" t="s">
        <v>5432</v>
      </c>
      <c r="N116" t="s">
        <v>5432</v>
      </c>
      <c r="O116" t="s">
        <v>38</v>
      </c>
      <c r="P116" t="s">
        <v>39</v>
      </c>
      <c r="Q116" s="55"/>
      <c r="R116" t="s">
        <v>5432</v>
      </c>
      <c r="S116" t="s">
        <v>5432</v>
      </c>
      <c r="T116" t="s">
        <v>5432</v>
      </c>
      <c r="U116" t="s">
        <v>5432</v>
      </c>
      <c r="W116" s="55"/>
    </row>
    <row r="117" spans="1:26">
      <c r="A117" s="55">
        <v>45903</v>
      </c>
      <c r="B117" t="s">
        <v>605</v>
      </c>
      <c r="C117" t="s">
        <v>606</v>
      </c>
      <c r="D117" t="s">
        <v>63</v>
      </c>
      <c r="E117">
        <v>85022</v>
      </c>
      <c r="F117" t="s">
        <v>607</v>
      </c>
      <c r="G117" t="s">
        <v>506</v>
      </c>
      <c r="H117">
        <v>7477798096</v>
      </c>
      <c r="I117" t="s">
        <v>57</v>
      </c>
      <c r="J117" t="s">
        <v>37</v>
      </c>
      <c r="K117" t="s">
        <v>37</v>
      </c>
      <c r="L117" t="s">
        <v>609</v>
      </c>
      <c r="M117" t="s">
        <v>37</v>
      </c>
      <c r="N117" t="s">
        <v>37</v>
      </c>
      <c r="O117" t="s">
        <v>38</v>
      </c>
      <c r="P117">
        <v>45933</v>
      </c>
      <c r="Q117" s="55">
        <v>45968</v>
      </c>
      <c r="R117" t="s">
        <v>610</v>
      </c>
      <c r="S117" t="s">
        <v>5432</v>
      </c>
      <c r="T117" t="s">
        <v>5432</v>
      </c>
      <c r="U117" t="s">
        <v>5432</v>
      </c>
      <c r="W117" s="55"/>
    </row>
    <row r="118" spans="1:26">
      <c r="A118" s="55">
        <v>45903</v>
      </c>
      <c r="B118" t="s">
        <v>447</v>
      </c>
      <c r="C118" t="s">
        <v>611</v>
      </c>
      <c r="D118" t="s">
        <v>504</v>
      </c>
      <c r="E118">
        <v>86001</v>
      </c>
      <c r="F118" t="s">
        <v>31</v>
      </c>
      <c r="G118" t="s">
        <v>506</v>
      </c>
      <c r="H118">
        <v>2605161000</v>
      </c>
      <c r="I118" t="s">
        <v>126</v>
      </c>
      <c r="J118" t="s">
        <v>37</v>
      </c>
      <c r="K118" t="s">
        <v>37</v>
      </c>
      <c r="L118" t="s">
        <v>613</v>
      </c>
      <c r="M118" t="s">
        <v>37</v>
      </c>
      <c r="N118" t="s">
        <v>37</v>
      </c>
      <c r="O118" t="s">
        <v>38</v>
      </c>
      <c r="P118">
        <v>45933</v>
      </c>
      <c r="Q118" s="55">
        <v>45968</v>
      </c>
      <c r="R118" t="s">
        <v>561</v>
      </c>
      <c r="S118" t="s">
        <v>5432</v>
      </c>
      <c r="T118" t="s">
        <v>5432</v>
      </c>
      <c r="U118" t="s">
        <v>5432</v>
      </c>
      <c r="W118" s="55"/>
    </row>
    <row r="119" spans="1:26">
      <c r="A119" s="55">
        <v>45903</v>
      </c>
      <c r="B119" t="s">
        <v>614</v>
      </c>
      <c r="C119" t="s">
        <v>553</v>
      </c>
      <c r="D119" t="s">
        <v>63</v>
      </c>
      <c r="E119">
        <v>85014</v>
      </c>
      <c r="F119" t="s">
        <v>615</v>
      </c>
      <c r="G119" t="s">
        <v>506</v>
      </c>
      <c r="H119">
        <v>9938175305</v>
      </c>
      <c r="I119" t="s">
        <v>73</v>
      </c>
      <c r="J119" t="s">
        <v>37</v>
      </c>
      <c r="K119" t="s">
        <v>37</v>
      </c>
      <c r="L119" t="s">
        <v>38</v>
      </c>
      <c r="M119" t="s">
        <v>37</v>
      </c>
      <c r="N119" t="s">
        <v>37</v>
      </c>
      <c r="O119" t="s">
        <v>38</v>
      </c>
      <c r="P119" t="s">
        <v>39</v>
      </c>
      <c r="Q119" s="55">
        <v>45968</v>
      </c>
      <c r="R119" t="s">
        <v>5432</v>
      </c>
      <c r="S119" t="s">
        <v>5432</v>
      </c>
      <c r="T119" t="s">
        <v>5432</v>
      </c>
      <c r="U119" t="s">
        <v>5432</v>
      </c>
      <c r="W119" s="55"/>
    </row>
    <row r="120" spans="1:26">
      <c r="A120" s="55">
        <v>45903</v>
      </c>
      <c r="B120" t="s">
        <v>617</v>
      </c>
      <c r="C120" t="s">
        <v>618</v>
      </c>
      <c r="D120" t="s">
        <v>619</v>
      </c>
      <c r="E120">
        <v>85365</v>
      </c>
      <c r="F120" t="s">
        <v>310</v>
      </c>
      <c r="G120" t="s">
        <v>506</v>
      </c>
      <c r="H120">
        <v>1560131000</v>
      </c>
      <c r="I120" t="s">
        <v>196</v>
      </c>
      <c r="J120" t="s">
        <v>37</v>
      </c>
      <c r="K120" t="s">
        <v>37</v>
      </c>
      <c r="L120" t="s">
        <v>621</v>
      </c>
      <c r="M120" t="s">
        <v>37</v>
      </c>
      <c r="N120" t="s">
        <v>37</v>
      </c>
      <c r="O120" t="s">
        <v>38</v>
      </c>
      <c r="P120" t="s">
        <v>39</v>
      </c>
      <c r="Q120" s="55">
        <v>45968</v>
      </c>
      <c r="R120" t="s">
        <v>622</v>
      </c>
      <c r="S120" t="s">
        <v>5432</v>
      </c>
      <c r="T120" t="s">
        <v>5432</v>
      </c>
      <c r="U120" t="s">
        <v>5432</v>
      </c>
      <c r="W120" s="55"/>
    </row>
    <row r="121" spans="1:26">
      <c r="A121" s="55">
        <v>45903</v>
      </c>
      <c r="B121" t="s">
        <v>625</v>
      </c>
      <c r="C121" t="s">
        <v>626</v>
      </c>
      <c r="D121" t="s">
        <v>63</v>
      </c>
      <c r="E121">
        <v>85085</v>
      </c>
      <c r="F121" t="s">
        <v>627</v>
      </c>
      <c r="G121" t="s">
        <v>506</v>
      </c>
      <c r="H121">
        <v>9679340000</v>
      </c>
      <c r="I121" t="s">
        <v>36</v>
      </c>
      <c r="J121" t="s">
        <v>37</v>
      </c>
      <c r="K121" t="s">
        <v>37</v>
      </c>
      <c r="L121" t="s">
        <v>38</v>
      </c>
      <c r="M121" t="s">
        <v>37</v>
      </c>
      <c r="N121" t="s">
        <v>37</v>
      </c>
      <c r="O121" t="s">
        <v>38</v>
      </c>
      <c r="P121" t="s">
        <v>39</v>
      </c>
      <c r="Q121" s="55">
        <v>45968</v>
      </c>
      <c r="R121" t="s">
        <v>5432</v>
      </c>
      <c r="S121" t="s">
        <v>5432</v>
      </c>
      <c r="T121" t="s">
        <v>5432</v>
      </c>
      <c r="U121" t="s">
        <v>5432</v>
      </c>
      <c r="W121" s="55"/>
    </row>
    <row r="122" spans="1:26">
      <c r="A122" s="55">
        <v>45903</v>
      </c>
      <c r="B122" t="s">
        <v>629</v>
      </c>
      <c r="C122" t="s">
        <v>630</v>
      </c>
      <c r="D122" t="s">
        <v>523</v>
      </c>
      <c r="E122">
        <v>85392</v>
      </c>
      <c r="F122" t="s">
        <v>631</v>
      </c>
      <c r="G122" t="s">
        <v>506</v>
      </c>
      <c r="H122">
        <v>5347487924</v>
      </c>
      <c r="I122" t="s">
        <v>126</v>
      </c>
      <c r="J122" t="s">
        <v>37</v>
      </c>
      <c r="K122" t="s">
        <v>37</v>
      </c>
      <c r="L122" t="s">
        <v>38</v>
      </c>
      <c r="M122" t="s">
        <v>37</v>
      </c>
      <c r="N122" t="s">
        <v>37</v>
      </c>
      <c r="O122" t="s">
        <v>38</v>
      </c>
      <c r="P122" t="s">
        <v>39</v>
      </c>
      <c r="Q122" s="55">
        <v>45968</v>
      </c>
      <c r="R122" t="s">
        <v>5432</v>
      </c>
      <c r="S122" t="s">
        <v>5432</v>
      </c>
      <c r="T122" t="s">
        <v>5432</v>
      </c>
      <c r="U122" t="s">
        <v>5432</v>
      </c>
      <c r="W122" s="55"/>
    </row>
    <row r="123" spans="1:26">
      <c r="A123" s="55">
        <v>45903</v>
      </c>
      <c r="B123" t="s">
        <v>636</v>
      </c>
      <c r="C123" t="s">
        <v>529</v>
      </c>
      <c r="D123" t="s">
        <v>504</v>
      </c>
      <c r="E123">
        <v>86001</v>
      </c>
      <c r="F123" t="s">
        <v>310</v>
      </c>
      <c r="G123" t="s">
        <v>506</v>
      </c>
      <c r="H123">
        <v>9687504618</v>
      </c>
      <c r="I123" t="s">
        <v>73</v>
      </c>
      <c r="J123" t="s">
        <v>37</v>
      </c>
      <c r="K123" t="s">
        <v>37</v>
      </c>
      <c r="L123" t="s">
        <v>38</v>
      </c>
      <c r="M123" t="s">
        <v>37</v>
      </c>
      <c r="N123" t="s">
        <v>37</v>
      </c>
      <c r="O123" t="s">
        <v>38</v>
      </c>
      <c r="P123" t="s">
        <v>39</v>
      </c>
      <c r="Q123" s="55">
        <v>45968</v>
      </c>
      <c r="R123" t="s">
        <v>5432</v>
      </c>
      <c r="S123" t="s">
        <v>5432</v>
      </c>
      <c r="T123" t="s">
        <v>5432</v>
      </c>
      <c r="U123" t="s">
        <v>5432</v>
      </c>
      <c r="W123" s="55"/>
    </row>
    <row r="124" spans="1:26">
      <c r="A124" s="55">
        <v>45903</v>
      </c>
      <c r="B124" t="s">
        <v>638</v>
      </c>
      <c r="C124" t="s">
        <v>639</v>
      </c>
      <c r="D124" t="s">
        <v>202</v>
      </c>
      <c r="E124">
        <v>85383</v>
      </c>
      <c r="F124" t="s">
        <v>310</v>
      </c>
      <c r="G124" t="s">
        <v>506</v>
      </c>
      <c r="H124">
        <v>4557041000</v>
      </c>
      <c r="I124" t="s">
        <v>196</v>
      </c>
      <c r="J124" t="s">
        <v>37</v>
      </c>
      <c r="K124" t="s">
        <v>37</v>
      </c>
      <c r="L124" t="s">
        <v>641</v>
      </c>
      <c r="M124" t="s">
        <v>37</v>
      </c>
      <c r="N124" t="s">
        <v>37</v>
      </c>
      <c r="O124" t="s">
        <v>38</v>
      </c>
      <c r="P124">
        <v>45933</v>
      </c>
      <c r="Q124" s="55">
        <v>45968</v>
      </c>
      <c r="R124" t="s">
        <v>561</v>
      </c>
      <c r="S124" t="s">
        <v>5432</v>
      </c>
      <c r="T124" t="s">
        <v>5432</v>
      </c>
      <c r="U124" t="s">
        <v>5432</v>
      </c>
      <c r="W124" s="55"/>
    </row>
    <row r="125" spans="1:26">
      <c r="A125" s="55">
        <v>45903</v>
      </c>
      <c r="B125" t="s">
        <v>642</v>
      </c>
      <c r="C125" t="s">
        <v>643</v>
      </c>
      <c r="D125" t="s">
        <v>125</v>
      </c>
      <c r="E125">
        <v>85255</v>
      </c>
      <c r="F125" t="s">
        <v>310</v>
      </c>
      <c r="G125" t="s">
        <v>506</v>
      </c>
      <c r="H125">
        <v>3105621000</v>
      </c>
      <c r="I125" t="s">
        <v>36</v>
      </c>
      <c r="J125" t="s">
        <v>37</v>
      </c>
      <c r="K125" t="s">
        <v>37</v>
      </c>
      <c r="L125" t="s">
        <v>38</v>
      </c>
      <c r="M125" t="s">
        <v>37</v>
      </c>
      <c r="N125" t="s">
        <v>37</v>
      </c>
      <c r="O125" t="s">
        <v>38</v>
      </c>
      <c r="P125" t="s">
        <v>39</v>
      </c>
      <c r="Q125" s="55">
        <v>45968</v>
      </c>
      <c r="R125" t="s">
        <v>5432</v>
      </c>
      <c r="S125" t="s">
        <v>5432</v>
      </c>
      <c r="T125" t="s">
        <v>5432</v>
      </c>
      <c r="U125" t="s">
        <v>5432</v>
      </c>
      <c r="W125" s="55"/>
    </row>
    <row r="126" spans="1:26">
      <c r="A126" s="55">
        <v>45903</v>
      </c>
      <c r="B126" t="s">
        <v>647</v>
      </c>
      <c r="C126" t="s">
        <v>648</v>
      </c>
      <c r="D126" t="s">
        <v>63</v>
      </c>
      <c r="E126">
        <v>85022</v>
      </c>
      <c r="F126" t="s">
        <v>310</v>
      </c>
      <c r="G126" t="s">
        <v>506</v>
      </c>
      <c r="H126">
        <v>49371600000</v>
      </c>
      <c r="I126" t="s">
        <v>73</v>
      </c>
      <c r="J126" t="s">
        <v>37</v>
      </c>
      <c r="K126" t="s">
        <v>37</v>
      </c>
      <c r="L126" t="s">
        <v>38</v>
      </c>
      <c r="M126" t="s">
        <v>37</v>
      </c>
      <c r="N126" t="s">
        <v>37</v>
      </c>
      <c r="O126" t="s">
        <v>38</v>
      </c>
      <c r="P126" t="s">
        <v>39</v>
      </c>
      <c r="Q126" s="55">
        <v>45968</v>
      </c>
      <c r="R126" t="s">
        <v>5432</v>
      </c>
      <c r="S126" t="s">
        <v>5432</v>
      </c>
      <c r="T126" t="s">
        <v>5432</v>
      </c>
      <c r="U126" t="s">
        <v>5432</v>
      </c>
      <c r="W126" s="55"/>
    </row>
    <row r="127" spans="1:26">
      <c r="A127" s="55">
        <v>45903</v>
      </c>
      <c r="B127" t="s">
        <v>654</v>
      </c>
      <c r="C127" t="s">
        <v>655</v>
      </c>
      <c r="D127" t="s">
        <v>30</v>
      </c>
      <c r="E127">
        <v>85254</v>
      </c>
      <c r="F127" t="s">
        <v>310</v>
      </c>
      <c r="G127" t="s">
        <v>506</v>
      </c>
      <c r="H127">
        <v>8701977261</v>
      </c>
      <c r="I127" t="s">
        <v>126</v>
      </c>
      <c r="J127" t="s">
        <v>37</v>
      </c>
      <c r="K127" t="s">
        <v>37</v>
      </c>
      <c r="L127" t="s">
        <v>38</v>
      </c>
      <c r="M127" t="s">
        <v>38</v>
      </c>
      <c r="N127">
        <v>664.06</v>
      </c>
      <c r="O127" t="s">
        <v>38</v>
      </c>
      <c r="P127" t="s">
        <v>5432</v>
      </c>
      <c r="Q127" s="55">
        <v>45968</v>
      </c>
      <c r="R127" t="s">
        <v>5432</v>
      </c>
      <c r="S127" t="s">
        <v>5432</v>
      </c>
      <c r="T127" t="s">
        <v>5432</v>
      </c>
      <c r="U127" t="s">
        <v>5432</v>
      </c>
      <c r="W127" s="55"/>
    </row>
    <row r="128" spans="1:26">
      <c r="A128" s="55">
        <v>45903</v>
      </c>
      <c r="B128" t="s">
        <v>665</v>
      </c>
      <c r="C128" t="s">
        <v>666</v>
      </c>
      <c r="D128" t="s">
        <v>169</v>
      </c>
      <c r="E128">
        <v>85338</v>
      </c>
      <c r="F128" t="s">
        <v>667</v>
      </c>
      <c r="G128" t="s">
        <v>506</v>
      </c>
      <c r="H128">
        <v>5411325149</v>
      </c>
      <c r="I128" t="s">
        <v>57</v>
      </c>
      <c r="J128" t="s">
        <v>38</v>
      </c>
      <c r="K128" t="s">
        <v>37</v>
      </c>
      <c r="L128" t="s">
        <v>669</v>
      </c>
      <c r="M128" t="s">
        <v>38</v>
      </c>
      <c r="N128">
        <v>3681.83</v>
      </c>
      <c r="O128" t="s">
        <v>38</v>
      </c>
      <c r="P128">
        <v>45933</v>
      </c>
      <c r="Q128" s="55">
        <v>45968</v>
      </c>
      <c r="R128" t="s">
        <v>5425</v>
      </c>
      <c r="S128" t="s">
        <v>5432</v>
      </c>
      <c r="T128" t="s">
        <v>5432</v>
      </c>
      <c r="U128" t="s">
        <v>5432</v>
      </c>
      <c r="W128" s="55"/>
    </row>
    <row r="129" spans="1:23">
      <c r="A129" s="55">
        <v>45903</v>
      </c>
      <c r="B129" t="s">
        <v>672</v>
      </c>
      <c r="C129" t="s">
        <v>673</v>
      </c>
      <c r="D129" t="s">
        <v>202</v>
      </c>
      <c r="E129">
        <v>85382</v>
      </c>
      <c r="F129" t="s">
        <v>31</v>
      </c>
      <c r="G129" t="s">
        <v>506</v>
      </c>
      <c r="H129">
        <v>4664521000</v>
      </c>
      <c r="I129" t="s">
        <v>73</v>
      </c>
      <c r="J129" t="s">
        <v>37</v>
      </c>
      <c r="K129" t="s">
        <v>37</v>
      </c>
      <c r="L129" t="s">
        <v>38</v>
      </c>
      <c r="M129" t="s">
        <v>37</v>
      </c>
      <c r="N129" t="s">
        <v>37</v>
      </c>
      <c r="O129" t="s">
        <v>38</v>
      </c>
      <c r="P129" t="s">
        <v>39</v>
      </c>
      <c r="Q129" s="55">
        <v>45968</v>
      </c>
      <c r="R129" t="s">
        <v>5432</v>
      </c>
      <c r="S129" t="s">
        <v>5432</v>
      </c>
      <c r="T129" t="s">
        <v>5432</v>
      </c>
      <c r="U129" t="s">
        <v>5432</v>
      </c>
      <c r="W129" s="55"/>
    </row>
    <row r="130" spans="1:23">
      <c r="A130" s="55">
        <v>45903</v>
      </c>
      <c r="B130" t="s">
        <v>675</v>
      </c>
      <c r="C130" t="s">
        <v>676</v>
      </c>
      <c r="D130" t="s">
        <v>523</v>
      </c>
      <c r="E130">
        <v>85392</v>
      </c>
      <c r="F130" t="s">
        <v>677</v>
      </c>
      <c r="G130" t="s">
        <v>506</v>
      </c>
      <c r="H130">
        <v>1037080000</v>
      </c>
      <c r="I130" t="s">
        <v>36</v>
      </c>
      <c r="J130" t="s">
        <v>37</v>
      </c>
      <c r="K130" t="s">
        <v>37</v>
      </c>
      <c r="L130" t="s">
        <v>38</v>
      </c>
      <c r="M130" t="s">
        <v>37</v>
      </c>
      <c r="N130" t="s">
        <v>37</v>
      </c>
      <c r="O130" t="s">
        <v>38</v>
      </c>
      <c r="P130" t="s">
        <v>39</v>
      </c>
      <c r="Q130" s="55">
        <v>45968</v>
      </c>
      <c r="R130" t="s">
        <v>5432</v>
      </c>
      <c r="S130" t="s">
        <v>5432</v>
      </c>
      <c r="T130" t="s">
        <v>5432</v>
      </c>
      <c r="U130" t="s">
        <v>5432</v>
      </c>
      <c r="W130" s="55"/>
    </row>
    <row r="131" spans="1:23">
      <c r="A131" s="55">
        <v>45903</v>
      </c>
      <c r="B131" t="s">
        <v>679</v>
      </c>
      <c r="C131" t="s">
        <v>680</v>
      </c>
      <c r="D131" t="s">
        <v>202</v>
      </c>
      <c r="E131">
        <v>85383</v>
      </c>
      <c r="F131" t="s">
        <v>310</v>
      </c>
      <c r="G131" t="s">
        <v>506</v>
      </c>
      <c r="H131">
        <v>7246270000</v>
      </c>
      <c r="I131" t="s">
        <v>36</v>
      </c>
      <c r="J131" t="s">
        <v>37</v>
      </c>
      <c r="K131" t="s">
        <v>37</v>
      </c>
      <c r="L131" t="s">
        <v>38</v>
      </c>
      <c r="M131" t="s">
        <v>37</v>
      </c>
      <c r="N131" t="s">
        <v>37</v>
      </c>
      <c r="O131" t="s">
        <v>38</v>
      </c>
      <c r="P131" t="s">
        <v>39</v>
      </c>
      <c r="Q131" s="55">
        <v>45968</v>
      </c>
      <c r="R131" t="s">
        <v>5432</v>
      </c>
      <c r="S131" t="s">
        <v>5432</v>
      </c>
      <c r="T131" t="s">
        <v>5432</v>
      </c>
      <c r="U131" t="s">
        <v>5432</v>
      </c>
      <c r="W131" s="55"/>
    </row>
    <row r="132" spans="1:23">
      <c r="A132" s="55">
        <v>45903</v>
      </c>
      <c r="B132" t="s">
        <v>692</v>
      </c>
      <c r="C132" t="s">
        <v>693</v>
      </c>
      <c r="D132" t="s">
        <v>202</v>
      </c>
      <c r="E132">
        <v>85383</v>
      </c>
      <c r="F132" t="s">
        <v>310</v>
      </c>
      <c r="G132" t="s">
        <v>506</v>
      </c>
      <c r="H132">
        <v>7001761000</v>
      </c>
      <c r="I132" t="s">
        <v>196</v>
      </c>
      <c r="J132" t="s">
        <v>37</v>
      </c>
      <c r="K132" t="s">
        <v>37</v>
      </c>
      <c r="L132" t="s">
        <v>695</v>
      </c>
      <c r="M132" t="s">
        <v>37</v>
      </c>
      <c r="N132" t="s">
        <v>37</v>
      </c>
      <c r="O132" t="s">
        <v>38</v>
      </c>
      <c r="P132">
        <v>45933</v>
      </c>
      <c r="Q132" s="55">
        <v>45968</v>
      </c>
      <c r="R132" t="s">
        <v>561</v>
      </c>
      <c r="S132" t="s">
        <v>5432</v>
      </c>
      <c r="T132" t="s">
        <v>5432</v>
      </c>
      <c r="U132" t="s">
        <v>5432</v>
      </c>
      <c r="W132" s="55"/>
    </row>
    <row r="133" spans="1:23">
      <c r="A133" s="55">
        <v>45903</v>
      </c>
      <c r="B133" t="s">
        <v>696</v>
      </c>
      <c r="C133" t="s">
        <v>697</v>
      </c>
      <c r="D133" t="s">
        <v>698</v>
      </c>
      <c r="E133">
        <v>85375</v>
      </c>
      <c r="F133" t="s">
        <v>699</v>
      </c>
      <c r="G133" t="s">
        <v>506</v>
      </c>
      <c r="H133">
        <v>7345723859</v>
      </c>
      <c r="I133" t="s">
        <v>73</v>
      </c>
      <c r="J133" t="s">
        <v>37</v>
      </c>
      <c r="K133" t="s">
        <v>37</v>
      </c>
      <c r="L133" t="s">
        <v>38</v>
      </c>
      <c r="M133" t="s">
        <v>37</v>
      </c>
      <c r="N133" t="s">
        <v>37</v>
      </c>
      <c r="O133" t="s">
        <v>38</v>
      </c>
      <c r="P133" t="s">
        <v>39</v>
      </c>
      <c r="Q133" s="55">
        <v>45968</v>
      </c>
      <c r="R133" t="s">
        <v>5432</v>
      </c>
      <c r="S133" t="s">
        <v>5432</v>
      </c>
      <c r="T133" t="s">
        <v>5432</v>
      </c>
      <c r="U133" t="s">
        <v>5432</v>
      </c>
      <c r="W133" s="55"/>
    </row>
    <row r="134" spans="1:23">
      <c r="A134" s="55">
        <v>45903</v>
      </c>
      <c r="B134" t="s">
        <v>706</v>
      </c>
      <c r="C134" t="s">
        <v>707</v>
      </c>
      <c r="D134" t="s">
        <v>112</v>
      </c>
      <c r="E134">
        <v>85388</v>
      </c>
      <c r="F134" t="s">
        <v>708</v>
      </c>
      <c r="G134" t="s">
        <v>506</v>
      </c>
      <c r="H134">
        <v>9712385989</v>
      </c>
      <c r="I134" t="s">
        <v>36</v>
      </c>
      <c r="J134" t="s">
        <v>37</v>
      </c>
      <c r="K134" t="s">
        <v>37</v>
      </c>
      <c r="L134" t="s">
        <v>38</v>
      </c>
      <c r="M134" t="s">
        <v>37</v>
      </c>
      <c r="N134" t="s">
        <v>37</v>
      </c>
      <c r="O134" t="s">
        <v>38</v>
      </c>
      <c r="P134" t="s">
        <v>39</v>
      </c>
      <c r="Q134" s="55">
        <v>45968</v>
      </c>
      <c r="R134" t="s">
        <v>5432</v>
      </c>
      <c r="S134" t="s">
        <v>5432</v>
      </c>
      <c r="T134" t="s">
        <v>5432</v>
      </c>
      <c r="U134" t="s">
        <v>5432</v>
      </c>
      <c r="W134" s="55"/>
    </row>
    <row r="135" spans="1:23">
      <c r="A135" s="55">
        <v>45903</v>
      </c>
      <c r="B135" t="s">
        <v>713</v>
      </c>
      <c r="C135" t="s">
        <v>714</v>
      </c>
      <c r="D135" t="s">
        <v>63</v>
      </c>
      <c r="E135">
        <v>85085</v>
      </c>
      <c r="F135" t="s">
        <v>310</v>
      </c>
      <c r="G135" t="s">
        <v>506</v>
      </c>
      <c r="H135">
        <v>6558990000</v>
      </c>
      <c r="I135" t="s">
        <v>36</v>
      </c>
      <c r="J135" t="s">
        <v>37</v>
      </c>
      <c r="K135" t="s">
        <v>37</v>
      </c>
      <c r="L135" t="s">
        <v>38</v>
      </c>
      <c r="M135" t="s">
        <v>37</v>
      </c>
      <c r="N135" t="s">
        <v>37</v>
      </c>
      <c r="O135" t="s">
        <v>38</v>
      </c>
      <c r="P135" t="s">
        <v>39</v>
      </c>
      <c r="Q135" s="55">
        <v>45968</v>
      </c>
      <c r="R135" t="s">
        <v>5432</v>
      </c>
      <c r="S135" t="s">
        <v>5432</v>
      </c>
      <c r="T135" t="s">
        <v>5432</v>
      </c>
      <c r="U135" t="s">
        <v>5432</v>
      </c>
      <c r="W135" s="55"/>
    </row>
    <row r="136" spans="1:23">
      <c r="A136" s="55">
        <v>45903</v>
      </c>
      <c r="B136" t="s">
        <v>686</v>
      </c>
      <c r="C136" t="s">
        <v>722</v>
      </c>
      <c r="D136" t="s">
        <v>370</v>
      </c>
      <c r="E136">
        <v>85225</v>
      </c>
      <c r="F136" t="s">
        <v>310</v>
      </c>
      <c r="G136" t="s">
        <v>506</v>
      </c>
      <c r="H136">
        <v>8773518025</v>
      </c>
      <c r="I136" t="s">
        <v>36</v>
      </c>
      <c r="J136" t="s">
        <v>37</v>
      </c>
      <c r="K136" t="s">
        <v>37</v>
      </c>
      <c r="L136" t="s">
        <v>38</v>
      </c>
      <c r="M136" t="s">
        <v>37</v>
      </c>
      <c r="N136" t="s">
        <v>37</v>
      </c>
      <c r="O136" t="s">
        <v>38</v>
      </c>
      <c r="P136" t="s">
        <v>39</v>
      </c>
      <c r="Q136" s="55">
        <v>45968</v>
      </c>
      <c r="R136" t="s">
        <v>5432</v>
      </c>
      <c r="S136" t="s">
        <v>5432</v>
      </c>
      <c r="T136" t="s">
        <v>5432</v>
      </c>
      <c r="U136" t="s">
        <v>724</v>
      </c>
      <c r="W136" s="55"/>
    </row>
    <row r="137" spans="1:23">
      <c r="A137" s="55">
        <v>45903</v>
      </c>
      <c r="B137" t="s">
        <v>725</v>
      </c>
      <c r="C137" t="s">
        <v>153</v>
      </c>
      <c r="D137" t="s">
        <v>63</v>
      </c>
      <c r="E137">
        <v>85051</v>
      </c>
      <c r="F137" t="s">
        <v>310</v>
      </c>
      <c r="G137" t="s">
        <v>506</v>
      </c>
      <c r="H137">
        <v>5425180000</v>
      </c>
      <c r="I137" t="s">
        <v>73</v>
      </c>
      <c r="J137" t="s">
        <v>37</v>
      </c>
      <c r="K137" t="s">
        <v>37</v>
      </c>
      <c r="L137" t="s">
        <v>38</v>
      </c>
      <c r="M137" t="s">
        <v>37</v>
      </c>
      <c r="N137" t="s">
        <v>37</v>
      </c>
      <c r="O137" t="s">
        <v>38</v>
      </c>
      <c r="P137" t="s">
        <v>39</v>
      </c>
      <c r="Q137" s="55">
        <v>45968</v>
      </c>
      <c r="R137" t="s">
        <v>5432</v>
      </c>
      <c r="S137" t="s">
        <v>5432</v>
      </c>
      <c r="T137" t="s">
        <v>5432</v>
      </c>
      <c r="U137" t="s">
        <v>5432</v>
      </c>
      <c r="W137" s="55"/>
    </row>
    <row r="138" spans="1:23">
      <c r="A138" s="55">
        <v>45903</v>
      </c>
      <c r="B138" t="s">
        <v>729</v>
      </c>
      <c r="C138" t="s">
        <v>690</v>
      </c>
      <c r="D138" t="s">
        <v>112</v>
      </c>
      <c r="E138">
        <v>85388</v>
      </c>
      <c r="F138" t="s">
        <v>730</v>
      </c>
      <c r="G138" t="s">
        <v>506</v>
      </c>
      <c r="H138">
        <v>726041000</v>
      </c>
      <c r="I138" t="s">
        <v>46</v>
      </c>
      <c r="J138" t="s">
        <v>37</v>
      </c>
      <c r="K138" t="s">
        <v>37</v>
      </c>
      <c r="L138" t="s">
        <v>38</v>
      </c>
      <c r="M138" t="s">
        <v>37</v>
      </c>
      <c r="N138" t="s">
        <v>37</v>
      </c>
      <c r="O138" t="s">
        <v>38</v>
      </c>
      <c r="P138" t="s">
        <v>39</v>
      </c>
      <c r="Q138" s="55">
        <v>45968</v>
      </c>
      <c r="R138" t="s">
        <v>5432</v>
      </c>
      <c r="S138" t="s">
        <v>5432</v>
      </c>
      <c r="T138" t="s">
        <v>5432</v>
      </c>
      <c r="U138" t="s">
        <v>5432</v>
      </c>
      <c r="W138" s="55"/>
    </row>
    <row r="139" spans="1:23">
      <c r="A139" s="55">
        <v>45903</v>
      </c>
      <c r="B139" t="s">
        <v>732</v>
      </c>
      <c r="C139" t="s">
        <v>733</v>
      </c>
      <c r="D139" t="s">
        <v>169</v>
      </c>
      <c r="E139">
        <v>85338</v>
      </c>
      <c r="F139" t="s">
        <v>734</v>
      </c>
      <c r="G139" t="s">
        <v>506</v>
      </c>
      <c r="H139">
        <v>2439620000</v>
      </c>
      <c r="I139" t="s">
        <v>73</v>
      </c>
      <c r="J139" t="s">
        <v>37</v>
      </c>
      <c r="K139" t="s">
        <v>37</v>
      </c>
      <c r="L139" t="s">
        <v>38</v>
      </c>
      <c r="M139" t="s">
        <v>37</v>
      </c>
      <c r="N139" t="s">
        <v>37</v>
      </c>
      <c r="O139" t="s">
        <v>38</v>
      </c>
      <c r="P139" t="s">
        <v>39</v>
      </c>
      <c r="Q139" s="55">
        <v>45968</v>
      </c>
      <c r="R139" t="s">
        <v>5432</v>
      </c>
      <c r="S139" t="s">
        <v>5432</v>
      </c>
      <c r="T139" t="s">
        <v>5432</v>
      </c>
      <c r="U139" t="s">
        <v>5432</v>
      </c>
      <c r="W139" s="55"/>
    </row>
    <row r="140" spans="1:23">
      <c r="A140" s="55">
        <v>45903</v>
      </c>
      <c r="B140" t="s">
        <v>736</v>
      </c>
      <c r="C140" t="s">
        <v>411</v>
      </c>
      <c r="D140" t="s">
        <v>737</v>
      </c>
      <c r="E140">
        <v>86326</v>
      </c>
      <c r="F140" t="s">
        <v>738</v>
      </c>
      <c r="G140" t="s">
        <v>506</v>
      </c>
      <c r="H140">
        <v>217135178</v>
      </c>
      <c r="I140" t="s">
        <v>541</v>
      </c>
      <c r="J140" t="s">
        <v>37</v>
      </c>
      <c r="K140" t="s">
        <v>37</v>
      </c>
      <c r="L140" t="s">
        <v>389</v>
      </c>
      <c r="M140" t="s">
        <v>37</v>
      </c>
      <c r="N140" t="s">
        <v>37</v>
      </c>
      <c r="O140" t="s">
        <v>38</v>
      </c>
      <c r="P140" t="s">
        <v>39</v>
      </c>
      <c r="Q140" s="55">
        <v>45968</v>
      </c>
      <c r="R140" t="s">
        <v>5432</v>
      </c>
      <c r="S140" t="s">
        <v>5432</v>
      </c>
      <c r="T140" t="s">
        <v>5432</v>
      </c>
      <c r="U140" t="s">
        <v>5432</v>
      </c>
      <c r="W140" s="55"/>
    </row>
    <row r="141" spans="1:23">
      <c r="A141" s="55">
        <v>45903</v>
      </c>
      <c r="B141" t="s">
        <v>740</v>
      </c>
      <c r="C141" t="s">
        <v>597</v>
      </c>
      <c r="D141" t="s">
        <v>169</v>
      </c>
      <c r="E141">
        <v>85338</v>
      </c>
      <c r="F141" t="s">
        <v>741</v>
      </c>
      <c r="G141" t="s">
        <v>506</v>
      </c>
      <c r="H141">
        <v>110711000</v>
      </c>
      <c r="I141" t="s">
        <v>541</v>
      </c>
      <c r="J141" t="s">
        <v>37</v>
      </c>
      <c r="K141" t="s">
        <v>37</v>
      </c>
      <c r="L141" t="s">
        <v>389</v>
      </c>
      <c r="M141" t="s">
        <v>37</v>
      </c>
      <c r="N141" t="s">
        <v>37</v>
      </c>
      <c r="O141" t="s">
        <v>38</v>
      </c>
      <c r="P141" t="s">
        <v>39</v>
      </c>
      <c r="Q141" s="55">
        <v>45968</v>
      </c>
      <c r="R141" t="s">
        <v>5432</v>
      </c>
      <c r="S141" t="s">
        <v>5432</v>
      </c>
      <c r="T141" t="s">
        <v>5432</v>
      </c>
      <c r="U141" t="s">
        <v>5432</v>
      </c>
      <c r="W141" s="55"/>
    </row>
    <row r="142" spans="1:23">
      <c r="A142" s="55">
        <v>45903</v>
      </c>
      <c r="B142" t="s">
        <v>743</v>
      </c>
      <c r="C142" t="s">
        <v>744</v>
      </c>
      <c r="D142" t="s">
        <v>63</v>
      </c>
      <c r="E142">
        <v>85023</v>
      </c>
      <c r="F142" t="s">
        <v>310</v>
      </c>
      <c r="G142" t="s">
        <v>506</v>
      </c>
      <c r="H142">
        <v>8799324553</v>
      </c>
      <c r="I142" t="s">
        <v>36</v>
      </c>
      <c r="J142" t="s">
        <v>37</v>
      </c>
      <c r="K142" t="s">
        <v>37</v>
      </c>
      <c r="L142" t="s">
        <v>38</v>
      </c>
      <c r="M142" t="s">
        <v>37</v>
      </c>
      <c r="N142" t="s">
        <v>37</v>
      </c>
      <c r="O142" t="s">
        <v>38</v>
      </c>
      <c r="P142" t="s">
        <v>39</v>
      </c>
      <c r="Q142" s="55">
        <v>45968</v>
      </c>
      <c r="R142" t="s">
        <v>5432</v>
      </c>
      <c r="S142" t="s">
        <v>5432</v>
      </c>
      <c r="T142" t="s">
        <v>5432</v>
      </c>
      <c r="U142" t="s">
        <v>5432</v>
      </c>
      <c r="W142" s="55"/>
    </row>
    <row r="143" spans="1:23">
      <c r="A143" s="55">
        <v>45903</v>
      </c>
      <c r="B143" t="s">
        <v>746</v>
      </c>
      <c r="C143" t="s">
        <v>747</v>
      </c>
      <c r="D143" t="s">
        <v>202</v>
      </c>
      <c r="E143">
        <v>85383</v>
      </c>
      <c r="F143" t="s">
        <v>748</v>
      </c>
      <c r="G143" t="s">
        <v>506</v>
      </c>
      <c r="H143">
        <v>72923417</v>
      </c>
      <c r="I143" t="s">
        <v>126</v>
      </c>
      <c r="J143" t="s">
        <v>37</v>
      </c>
      <c r="K143" t="s">
        <v>37</v>
      </c>
      <c r="L143" t="s">
        <v>38</v>
      </c>
      <c r="M143" t="s">
        <v>37</v>
      </c>
      <c r="N143" t="s">
        <v>37</v>
      </c>
      <c r="O143" t="s">
        <v>38</v>
      </c>
      <c r="P143" t="s">
        <v>39</v>
      </c>
      <c r="Q143" s="55">
        <v>45968</v>
      </c>
      <c r="R143" t="s">
        <v>5432</v>
      </c>
      <c r="S143" t="s">
        <v>5432</v>
      </c>
      <c r="T143" t="s">
        <v>5432</v>
      </c>
      <c r="U143" t="s">
        <v>5432</v>
      </c>
      <c r="W143" s="55"/>
    </row>
    <row r="144" spans="1:23">
      <c r="A144" s="55">
        <v>45903</v>
      </c>
      <c r="B144" t="s">
        <v>752</v>
      </c>
      <c r="C144" t="s">
        <v>411</v>
      </c>
      <c r="D144" t="s">
        <v>63</v>
      </c>
      <c r="E144">
        <v>85085</v>
      </c>
      <c r="F144" t="s">
        <v>310</v>
      </c>
      <c r="G144" t="s">
        <v>506</v>
      </c>
      <c r="H144">
        <v>6591717645</v>
      </c>
      <c r="I144" t="s">
        <v>73</v>
      </c>
      <c r="J144" t="s">
        <v>37</v>
      </c>
      <c r="K144" t="s">
        <v>37</v>
      </c>
      <c r="L144" t="s">
        <v>38</v>
      </c>
      <c r="M144" t="s">
        <v>37</v>
      </c>
      <c r="N144" t="s">
        <v>37</v>
      </c>
      <c r="O144" t="s">
        <v>38</v>
      </c>
      <c r="P144" t="s">
        <v>39</v>
      </c>
      <c r="Q144" s="55">
        <v>45968</v>
      </c>
      <c r="R144" t="s">
        <v>5432</v>
      </c>
      <c r="S144" t="s">
        <v>5432</v>
      </c>
      <c r="T144" t="s">
        <v>5432</v>
      </c>
      <c r="U144" t="s">
        <v>5432</v>
      </c>
      <c r="W144" s="55"/>
    </row>
    <row r="145" spans="1:23">
      <c r="A145" s="55">
        <v>45903</v>
      </c>
      <c r="B145" t="s">
        <v>756</v>
      </c>
      <c r="C145" t="s">
        <v>757</v>
      </c>
      <c r="D145" t="s">
        <v>24</v>
      </c>
      <c r="E145">
        <v>85310</v>
      </c>
      <c r="F145" t="s">
        <v>758</v>
      </c>
      <c r="G145" t="s">
        <v>506</v>
      </c>
      <c r="H145">
        <v>7297283438</v>
      </c>
      <c r="I145" t="s">
        <v>36</v>
      </c>
      <c r="J145" t="s">
        <v>37</v>
      </c>
      <c r="K145" t="s">
        <v>37</v>
      </c>
      <c r="L145" t="s">
        <v>38</v>
      </c>
      <c r="M145" t="s">
        <v>37</v>
      </c>
      <c r="N145" t="s">
        <v>37</v>
      </c>
      <c r="O145" t="s">
        <v>38</v>
      </c>
      <c r="P145" t="s">
        <v>39</v>
      </c>
      <c r="Q145" s="55">
        <v>45968</v>
      </c>
      <c r="R145" t="s">
        <v>5432</v>
      </c>
      <c r="S145" t="s">
        <v>5432</v>
      </c>
      <c r="T145" t="s">
        <v>5432</v>
      </c>
      <c r="U145" t="s">
        <v>5432</v>
      </c>
      <c r="W145" s="55"/>
    </row>
    <row r="146" spans="1:23">
      <c r="A146" s="55">
        <v>45903</v>
      </c>
      <c r="B146" t="s">
        <v>762</v>
      </c>
      <c r="C146" t="s">
        <v>763</v>
      </c>
      <c r="D146" t="s">
        <v>63</v>
      </c>
      <c r="E146">
        <v>85006</v>
      </c>
      <c r="F146" t="s">
        <v>310</v>
      </c>
      <c r="G146" t="s">
        <v>506</v>
      </c>
      <c r="H146">
        <v>5849875191</v>
      </c>
      <c r="I146" t="s">
        <v>196</v>
      </c>
      <c r="J146" t="s">
        <v>37</v>
      </c>
      <c r="K146" t="s">
        <v>37</v>
      </c>
      <c r="L146" t="s">
        <v>765</v>
      </c>
      <c r="M146" t="s">
        <v>37</v>
      </c>
      <c r="N146" t="s">
        <v>37</v>
      </c>
      <c r="O146" t="s">
        <v>38</v>
      </c>
      <c r="P146">
        <v>45933</v>
      </c>
      <c r="Q146" s="55">
        <v>45968</v>
      </c>
      <c r="R146" t="s">
        <v>766</v>
      </c>
      <c r="S146" t="s">
        <v>5432</v>
      </c>
      <c r="T146" t="s">
        <v>5432</v>
      </c>
      <c r="U146" t="s">
        <v>5432</v>
      </c>
      <c r="W146" s="55"/>
    </row>
    <row r="147" spans="1:23">
      <c r="A147" s="55">
        <v>45903</v>
      </c>
      <c r="B147" t="s">
        <v>767</v>
      </c>
      <c r="C147" t="s">
        <v>768</v>
      </c>
      <c r="D147" t="s">
        <v>125</v>
      </c>
      <c r="E147">
        <v>85254</v>
      </c>
      <c r="F147" t="s">
        <v>310</v>
      </c>
      <c r="G147" t="s">
        <v>506</v>
      </c>
      <c r="H147">
        <v>8720343919</v>
      </c>
      <c r="I147" t="s">
        <v>196</v>
      </c>
      <c r="J147" t="s">
        <v>37</v>
      </c>
      <c r="K147" t="s">
        <v>37</v>
      </c>
      <c r="L147" t="s">
        <v>38</v>
      </c>
      <c r="M147" t="s">
        <v>37</v>
      </c>
      <c r="N147" t="s">
        <v>37</v>
      </c>
      <c r="O147" t="s">
        <v>38</v>
      </c>
      <c r="P147" t="s">
        <v>39</v>
      </c>
      <c r="Q147" s="55">
        <v>45968</v>
      </c>
      <c r="R147" t="s">
        <v>5432</v>
      </c>
      <c r="S147" t="s">
        <v>5432</v>
      </c>
      <c r="T147" t="s">
        <v>5432</v>
      </c>
      <c r="U147" t="s">
        <v>5432</v>
      </c>
      <c r="W147" s="55"/>
    </row>
    <row r="148" spans="1:23">
      <c r="A148" s="55">
        <v>45903</v>
      </c>
      <c r="B148" t="s">
        <v>770</v>
      </c>
      <c r="C148" t="s">
        <v>771</v>
      </c>
      <c r="D148" t="s">
        <v>202</v>
      </c>
      <c r="E148">
        <v>85383</v>
      </c>
      <c r="F148" t="s">
        <v>772</v>
      </c>
      <c r="G148" t="s">
        <v>506</v>
      </c>
      <c r="H148">
        <v>7849027455</v>
      </c>
      <c r="I148" t="s">
        <v>196</v>
      </c>
      <c r="J148" t="s">
        <v>38</v>
      </c>
      <c r="K148" t="s">
        <v>37</v>
      </c>
      <c r="L148" t="s">
        <v>38</v>
      </c>
      <c r="M148" t="s">
        <v>37</v>
      </c>
      <c r="N148" t="s">
        <v>37</v>
      </c>
      <c r="O148" t="s">
        <v>38</v>
      </c>
      <c r="P148" t="s">
        <v>39</v>
      </c>
      <c r="Q148" s="55">
        <v>45968</v>
      </c>
      <c r="R148" t="s">
        <v>5432</v>
      </c>
      <c r="S148" t="s">
        <v>5432</v>
      </c>
      <c r="T148" t="s">
        <v>5432</v>
      </c>
      <c r="U148" t="s">
        <v>5432</v>
      </c>
      <c r="W148" s="55"/>
    </row>
    <row r="149" spans="1:23">
      <c r="A149" s="55">
        <v>45903</v>
      </c>
      <c r="B149" t="s">
        <v>774</v>
      </c>
      <c r="C149" t="s">
        <v>320</v>
      </c>
      <c r="D149" t="s">
        <v>428</v>
      </c>
      <c r="E149">
        <v>85335</v>
      </c>
      <c r="F149" t="s">
        <v>310</v>
      </c>
      <c r="G149" t="s">
        <v>506</v>
      </c>
      <c r="H149">
        <v>4225001000</v>
      </c>
      <c r="I149" t="s">
        <v>36</v>
      </c>
      <c r="J149" t="s">
        <v>37</v>
      </c>
      <c r="K149" t="s">
        <v>37</v>
      </c>
      <c r="L149" t="s">
        <v>38</v>
      </c>
      <c r="M149" t="s">
        <v>37</v>
      </c>
      <c r="N149" t="s">
        <v>37</v>
      </c>
      <c r="O149" t="s">
        <v>38</v>
      </c>
      <c r="P149" t="s">
        <v>39</v>
      </c>
      <c r="Q149" s="55">
        <v>45968</v>
      </c>
      <c r="R149" t="s">
        <v>5432</v>
      </c>
      <c r="S149" t="s">
        <v>5432</v>
      </c>
      <c r="T149" t="s">
        <v>5432</v>
      </c>
      <c r="U149" t="s">
        <v>5432</v>
      </c>
      <c r="W149" s="55"/>
    </row>
    <row r="150" spans="1:23">
      <c r="A150" s="55">
        <v>45903</v>
      </c>
      <c r="B150" t="s">
        <v>776</v>
      </c>
      <c r="C150" t="s">
        <v>777</v>
      </c>
      <c r="D150" t="s">
        <v>174</v>
      </c>
      <c r="E150">
        <v>85326</v>
      </c>
      <c r="F150" t="s">
        <v>310</v>
      </c>
      <c r="G150" t="s">
        <v>506</v>
      </c>
      <c r="H150">
        <v>9240700000</v>
      </c>
      <c r="I150" t="s">
        <v>36</v>
      </c>
      <c r="J150" t="s">
        <v>37</v>
      </c>
      <c r="K150" t="s">
        <v>37</v>
      </c>
      <c r="L150" t="s">
        <v>38</v>
      </c>
      <c r="M150" t="s">
        <v>37</v>
      </c>
      <c r="N150" t="s">
        <v>37</v>
      </c>
      <c r="O150" t="s">
        <v>38</v>
      </c>
      <c r="P150" t="s">
        <v>39</v>
      </c>
      <c r="Q150" s="55">
        <v>45968</v>
      </c>
      <c r="R150" t="s">
        <v>5432</v>
      </c>
      <c r="S150" t="s">
        <v>5432</v>
      </c>
      <c r="T150" t="s">
        <v>5432</v>
      </c>
      <c r="U150" t="s">
        <v>5432</v>
      </c>
      <c r="W150" s="55"/>
    </row>
    <row r="151" spans="1:23">
      <c r="A151" s="55">
        <v>45903</v>
      </c>
      <c r="B151" t="s">
        <v>786</v>
      </c>
      <c r="C151" t="s">
        <v>787</v>
      </c>
      <c r="D151" t="s">
        <v>313</v>
      </c>
      <c r="E151">
        <v>85383</v>
      </c>
      <c r="F151" t="s">
        <v>310</v>
      </c>
      <c r="G151" t="s">
        <v>506</v>
      </c>
      <c r="H151">
        <v>3462131000</v>
      </c>
      <c r="I151" t="s">
        <v>36</v>
      </c>
      <c r="J151" t="s">
        <v>37</v>
      </c>
      <c r="K151" t="s">
        <v>37</v>
      </c>
      <c r="L151" t="s">
        <v>38</v>
      </c>
      <c r="M151" t="s">
        <v>37</v>
      </c>
      <c r="N151" t="s">
        <v>37</v>
      </c>
      <c r="O151" t="s">
        <v>38</v>
      </c>
      <c r="P151" t="s">
        <v>39</v>
      </c>
      <c r="Q151" s="55">
        <v>45968</v>
      </c>
      <c r="R151" t="s">
        <v>5432</v>
      </c>
      <c r="S151" t="s">
        <v>5432</v>
      </c>
      <c r="T151" t="s">
        <v>5432</v>
      </c>
      <c r="U151" t="s">
        <v>5432</v>
      </c>
      <c r="W151" s="55"/>
    </row>
    <row r="152" spans="1:23">
      <c r="A152" s="55">
        <v>45903</v>
      </c>
      <c r="B152" t="s">
        <v>792</v>
      </c>
      <c r="C152" t="s">
        <v>793</v>
      </c>
      <c r="D152" t="s">
        <v>63</v>
      </c>
      <c r="E152">
        <v>85028</v>
      </c>
      <c r="F152" t="s">
        <v>310</v>
      </c>
      <c r="G152" t="s">
        <v>506</v>
      </c>
      <c r="H152">
        <v>4826470000</v>
      </c>
      <c r="I152" t="s">
        <v>36</v>
      </c>
      <c r="J152" t="s">
        <v>37</v>
      </c>
      <c r="K152" t="s">
        <v>37</v>
      </c>
      <c r="L152" t="s">
        <v>38</v>
      </c>
      <c r="M152" t="s">
        <v>37</v>
      </c>
      <c r="N152" t="s">
        <v>37</v>
      </c>
      <c r="O152" t="s">
        <v>38</v>
      </c>
      <c r="P152" t="s">
        <v>39</v>
      </c>
      <c r="Q152" s="55">
        <v>45968</v>
      </c>
      <c r="R152" t="s">
        <v>5432</v>
      </c>
      <c r="S152" t="s">
        <v>5432</v>
      </c>
      <c r="T152" t="s">
        <v>5432</v>
      </c>
      <c r="U152" t="s">
        <v>5432</v>
      </c>
      <c r="W152" s="55"/>
    </row>
    <row r="153" spans="1:23">
      <c r="A153" s="55">
        <v>45903</v>
      </c>
      <c r="B153" t="s">
        <v>797</v>
      </c>
      <c r="C153" t="s">
        <v>363</v>
      </c>
      <c r="D153" t="s">
        <v>125</v>
      </c>
      <c r="E153">
        <v>85258</v>
      </c>
      <c r="F153" t="s">
        <v>798</v>
      </c>
      <c r="G153" t="s">
        <v>506</v>
      </c>
      <c r="H153">
        <v>9797240000</v>
      </c>
      <c r="I153" t="s">
        <v>36</v>
      </c>
      <c r="J153" t="s">
        <v>37</v>
      </c>
      <c r="K153" t="s">
        <v>37</v>
      </c>
      <c r="L153" t="s">
        <v>38</v>
      </c>
      <c r="M153" t="s">
        <v>37</v>
      </c>
      <c r="N153" t="s">
        <v>37</v>
      </c>
      <c r="O153" t="s">
        <v>38</v>
      </c>
      <c r="P153" t="s">
        <v>39</v>
      </c>
      <c r="Q153" s="55">
        <v>45968</v>
      </c>
      <c r="R153" t="s">
        <v>5432</v>
      </c>
      <c r="S153" t="s">
        <v>5432</v>
      </c>
      <c r="T153" t="s">
        <v>5432</v>
      </c>
      <c r="U153" t="s">
        <v>5432</v>
      </c>
      <c r="W153" s="55"/>
    </row>
    <row r="154" spans="1:23">
      <c r="A154" s="55">
        <v>45903</v>
      </c>
      <c r="B154" t="s">
        <v>800</v>
      </c>
      <c r="C154" t="s">
        <v>801</v>
      </c>
      <c r="D154" t="s">
        <v>63</v>
      </c>
      <c r="E154">
        <v>85028</v>
      </c>
      <c r="F154" t="s">
        <v>310</v>
      </c>
      <c r="G154" t="s">
        <v>506</v>
      </c>
      <c r="H154">
        <v>4949150000</v>
      </c>
      <c r="I154" t="s">
        <v>73</v>
      </c>
      <c r="J154" t="s">
        <v>37</v>
      </c>
      <c r="K154" t="s">
        <v>37</v>
      </c>
      <c r="L154" t="s">
        <v>38</v>
      </c>
      <c r="M154" t="s">
        <v>37</v>
      </c>
      <c r="N154" t="s">
        <v>37</v>
      </c>
      <c r="O154" t="s">
        <v>38</v>
      </c>
      <c r="P154" t="s">
        <v>39</v>
      </c>
      <c r="Q154" s="55">
        <v>45968</v>
      </c>
      <c r="R154" t="s">
        <v>5432</v>
      </c>
      <c r="S154" t="s">
        <v>5432</v>
      </c>
      <c r="T154" t="s">
        <v>5432</v>
      </c>
      <c r="U154" t="s">
        <v>5432</v>
      </c>
      <c r="W154" s="55"/>
    </row>
    <row r="155" spans="1:23">
      <c r="A155" s="55">
        <v>45903</v>
      </c>
      <c r="B155" t="s">
        <v>803</v>
      </c>
      <c r="C155" t="s">
        <v>804</v>
      </c>
      <c r="D155" t="s">
        <v>63</v>
      </c>
      <c r="E155">
        <v>85085</v>
      </c>
      <c r="F155" t="s">
        <v>805</v>
      </c>
      <c r="G155" t="s">
        <v>506</v>
      </c>
      <c r="H155">
        <v>7700448567</v>
      </c>
      <c r="I155" t="s">
        <v>196</v>
      </c>
      <c r="J155" t="s">
        <v>37</v>
      </c>
      <c r="K155" t="s">
        <v>37</v>
      </c>
      <c r="L155" t="s">
        <v>38</v>
      </c>
      <c r="M155" t="s">
        <v>37</v>
      </c>
      <c r="N155" t="s">
        <v>37</v>
      </c>
      <c r="O155" t="s">
        <v>38</v>
      </c>
      <c r="P155" t="s">
        <v>39</v>
      </c>
      <c r="Q155" s="55">
        <v>45968</v>
      </c>
      <c r="R155" t="s">
        <v>5432</v>
      </c>
      <c r="S155" t="s">
        <v>5432</v>
      </c>
      <c r="T155" t="s">
        <v>5432</v>
      </c>
      <c r="U155" t="s">
        <v>5432</v>
      </c>
      <c r="W155" s="55"/>
    </row>
    <row r="156" spans="1:23">
      <c r="A156" s="55">
        <v>45903</v>
      </c>
      <c r="B156" t="s">
        <v>810</v>
      </c>
      <c r="C156" t="s">
        <v>811</v>
      </c>
      <c r="D156" t="s">
        <v>169</v>
      </c>
      <c r="E156">
        <v>85338</v>
      </c>
      <c r="F156" t="s">
        <v>812</v>
      </c>
      <c r="G156" t="s">
        <v>506</v>
      </c>
      <c r="H156">
        <v>6608972636</v>
      </c>
      <c r="I156" t="s">
        <v>541</v>
      </c>
      <c r="J156" t="s">
        <v>37</v>
      </c>
      <c r="K156" t="s">
        <v>37</v>
      </c>
      <c r="L156" t="s">
        <v>389</v>
      </c>
      <c r="M156" t="s">
        <v>37</v>
      </c>
      <c r="N156" t="s">
        <v>37</v>
      </c>
      <c r="O156" t="s">
        <v>38</v>
      </c>
      <c r="P156" t="s">
        <v>39</v>
      </c>
      <c r="Q156" s="55">
        <v>45968</v>
      </c>
      <c r="R156" t="s">
        <v>5432</v>
      </c>
      <c r="S156" t="s">
        <v>5432</v>
      </c>
      <c r="T156" t="s">
        <v>5432</v>
      </c>
      <c r="U156" t="s">
        <v>5432</v>
      </c>
      <c r="W156" s="55"/>
    </row>
    <row r="157" spans="1:23">
      <c r="A157" s="55">
        <v>45903</v>
      </c>
      <c r="B157" t="s">
        <v>814</v>
      </c>
      <c r="C157" t="s">
        <v>815</v>
      </c>
      <c r="D157" t="s">
        <v>816</v>
      </c>
      <c r="E157">
        <v>86303</v>
      </c>
      <c r="F157" t="s">
        <v>310</v>
      </c>
      <c r="G157" t="s">
        <v>506</v>
      </c>
      <c r="H157">
        <v>5797101000</v>
      </c>
      <c r="I157" t="s">
        <v>73</v>
      </c>
      <c r="J157" t="s">
        <v>37</v>
      </c>
      <c r="K157" t="s">
        <v>37</v>
      </c>
      <c r="L157" t="s">
        <v>38</v>
      </c>
      <c r="M157" t="s">
        <v>37</v>
      </c>
      <c r="N157" t="s">
        <v>37</v>
      </c>
      <c r="O157" t="s">
        <v>38</v>
      </c>
      <c r="P157" t="s">
        <v>39</v>
      </c>
      <c r="Q157" s="55">
        <v>45968</v>
      </c>
      <c r="R157" t="s">
        <v>5432</v>
      </c>
      <c r="S157" t="s">
        <v>5432</v>
      </c>
      <c r="T157" t="s">
        <v>5432</v>
      </c>
      <c r="U157" t="s">
        <v>5432</v>
      </c>
      <c r="W157" s="55"/>
    </row>
    <row r="158" spans="1:23">
      <c r="A158" s="55">
        <v>45903</v>
      </c>
      <c r="B158" t="s">
        <v>818</v>
      </c>
      <c r="C158" t="s">
        <v>199</v>
      </c>
      <c r="D158" t="s">
        <v>63</v>
      </c>
      <c r="E158">
        <v>85028</v>
      </c>
      <c r="F158" t="s">
        <v>310</v>
      </c>
      <c r="G158" t="s">
        <v>506</v>
      </c>
      <c r="H158">
        <v>9798231000</v>
      </c>
      <c r="I158" t="s">
        <v>36</v>
      </c>
      <c r="J158" t="s">
        <v>37</v>
      </c>
      <c r="K158" t="s">
        <v>37</v>
      </c>
      <c r="L158" t="s">
        <v>38</v>
      </c>
      <c r="M158" t="s">
        <v>37</v>
      </c>
      <c r="N158" t="s">
        <v>37</v>
      </c>
      <c r="O158" t="s">
        <v>38</v>
      </c>
      <c r="P158" t="s">
        <v>39</v>
      </c>
      <c r="Q158" s="55">
        <v>45968</v>
      </c>
      <c r="R158" t="s">
        <v>5432</v>
      </c>
      <c r="S158" t="s">
        <v>5432</v>
      </c>
      <c r="T158" t="s">
        <v>5432</v>
      </c>
      <c r="U158" t="s">
        <v>5432</v>
      </c>
      <c r="W158" s="55"/>
    </row>
    <row r="159" spans="1:23">
      <c r="A159" s="55">
        <v>45903</v>
      </c>
      <c r="B159" t="s">
        <v>820</v>
      </c>
      <c r="C159" t="s">
        <v>821</v>
      </c>
      <c r="D159" t="s">
        <v>169</v>
      </c>
      <c r="E159">
        <v>85338</v>
      </c>
      <c r="F159" t="s">
        <v>822</v>
      </c>
      <c r="G159" t="s">
        <v>506</v>
      </c>
      <c r="H159">
        <v>5733698031</v>
      </c>
      <c r="I159" t="s">
        <v>36</v>
      </c>
      <c r="J159" t="s">
        <v>37</v>
      </c>
      <c r="K159" t="s">
        <v>37</v>
      </c>
      <c r="L159" t="s">
        <v>38</v>
      </c>
      <c r="M159" t="s">
        <v>37</v>
      </c>
      <c r="N159" t="s">
        <v>37</v>
      </c>
      <c r="O159" t="s">
        <v>38</v>
      </c>
      <c r="P159" t="s">
        <v>39</v>
      </c>
      <c r="Q159" s="55">
        <v>45968</v>
      </c>
      <c r="R159" t="s">
        <v>5432</v>
      </c>
      <c r="S159" t="s">
        <v>5432</v>
      </c>
      <c r="T159" t="s">
        <v>5432</v>
      </c>
      <c r="U159" t="s">
        <v>5432</v>
      </c>
      <c r="W159" s="55"/>
    </row>
    <row r="160" spans="1:23">
      <c r="A160" s="55">
        <v>45903</v>
      </c>
      <c r="B160" t="s">
        <v>824</v>
      </c>
      <c r="C160" t="s">
        <v>825</v>
      </c>
      <c r="D160" t="s">
        <v>63</v>
      </c>
      <c r="E160">
        <v>85013</v>
      </c>
      <c r="F160" t="s">
        <v>310</v>
      </c>
      <c r="G160" t="s">
        <v>506</v>
      </c>
      <c r="H160">
        <v>1391416918</v>
      </c>
      <c r="I160" t="s">
        <v>73</v>
      </c>
      <c r="J160" t="s">
        <v>37</v>
      </c>
      <c r="K160" t="s">
        <v>37</v>
      </c>
      <c r="L160" t="s">
        <v>38</v>
      </c>
      <c r="M160" t="s">
        <v>37</v>
      </c>
      <c r="N160" t="s">
        <v>37</v>
      </c>
      <c r="O160" t="s">
        <v>38</v>
      </c>
      <c r="P160" t="s">
        <v>39</v>
      </c>
      <c r="Q160" s="55">
        <v>45968</v>
      </c>
      <c r="R160" t="s">
        <v>5432</v>
      </c>
      <c r="S160" t="s">
        <v>5432</v>
      </c>
      <c r="T160" t="s">
        <v>5432</v>
      </c>
      <c r="U160" t="s">
        <v>5432</v>
      </c>
      <c r="W160" s="55"/>
    </row>
    <row r="161" spans="1:23">
      <c r="A161" s="55">
        <v>45903</v>
      </c>
      <c r="B161" t="s">
        <v>827</v>
      </c>
      <c r="C161" t="s">
        <v>256</v>
      </c>
      <c r="D161" t="s">
        <v>63</v>
      </c>
      <c r="E161">
        <v>85083</v>
      </c>
      <c r="F161" t="s">
        <v>310</v>
      </c>
      <c r="G161" t="s">
        <v>506</v>
      </c>
      <c r="H161">
        <v>5257583600</v>
      </c>
      <c r="I161" t="s">
        <v>36</v>
      </c>
      <c r="J161" t="s">
        <v>37</v>
      </c>
      <c r="K161" t="s">
        <v>37</v>
      </c>
      <c r="L161" t="s">
        <v>829</v>
      </c>
      <c r="M161" t="s">
        <v>37</v>
      </c>
      <c r="N161" t="s">
        <v>37</v>
      </c>
      <c r="O161" t="s">
        <v>38</v>
      </c>
      <c r="P161" t="s">
        <v>39</v>
      </c>
      <c r="Q161" s="55">
        <v>45968</v>
      </c>
      <c r="R161" t="s">
        <v>5432</v>
      </c>
      <c r="S161" t="s">
        <v>5432</v>
      </c>
      <c r="T161" t="s">
        <v>5432</v>
      </c>
      <c r="U161" t="s">
        <v>5432</v>
      </c>
      <c r="W161" s="55"/>
    </row>
    <row r="162" spans="1:23">
      <c r="A162" s="55">
        <v>45903</v>
      </c>
      <c r="B162" t="s">
        <v>832</v>
      </c>
      <c r="C162" t="s">
        <v>601</v>
      </c>
      <c r="D162" t="s">
        <v>63</v>
      </c>
      <c r="E162">
        <v>85013</v>
      </c>
      <c r="F162" t="s">
        <v>310</v>
      </c>
      <c r="G162" t="s">
        <v>506</v>
      </c>
      <c r="H162">
        <v>2484289538</v>
      </c>
      <c r="I162" t="s">
        <v>73</v>
      </c>
      <c r="J162" t="s">
        <v>37</v>
      </c>
      <c r="K162" t="s">
        <v>37</v>
      </c>
      <c r="L162" t="s">
        <v>38</v>
      </c>
      <c r="M162" t="s">
        <v>37</v>
      </c>
      <c r="N162" t="s">
        <v>37</v>
      </c>
      <c r="O162" t="s">
        <v>38</v>
      </c>
      <c r="P162" t="s">
        <v>39</v>
      </c>
      <c r="Q162" s="55">
        <v>45968</v>
      </c>
      <c r="R162" t="s">
        <v>5432</v>
      </c>
      <c r="S162" t="s">
        <v>5432</v>
      </c>
      <c r="T162" t="s">
        <v>5432</v>
      </c>
      <c r="U162" t="s">
        <v>5432</v>
      </c>
      <c r="W162" s="55"/>
    </row>
    <row r="163" spans="1:23">
      <c r="A163" s="55">
        <v>45903</v>
      </c>
      <c r="B163" t="s">
        <v>834</v>
      </c>
      <c r="C163" t="s">
        <v>835</v>
      </c>
      <c r="D163" t="s">
        <v>63</v>
      </c>
      <c r="E163">
        <v>85024</v>
      </c>
      <c r="F163" t="s">
        <v>310</v>
      </c>
      <c r="G163" t="s">
        <v>506</v>
      </c>
      <c r="H163">
        <v>2318631000</v>
      </c>
      <c r="I163" t="s">
        <v>418</v>
      </c>
      <c r="J163" t="s">
        <v>37</v>
      </c>
      <c r="K163" t="s">
        <v>37</v>
      </c>
      <c r="L163" t="s">
        <v>389</v>
      </c>
      <c r="M163" t="s">
        <v>37</v>
      </c>
      <c r="N163" t="s">
        <v>37</v>
      </c>
      <c r="O163" t="s">
        <v>38</v>
      </c>
      <c r="P163" t="s">
        <v>39</v>
      </c>
      <c r="Q163" s="55">
        <v>45968</v>
      </c>
      <c r="R163" t="s">
        <v>5432</v>
      </c>
      <c r="S163" t="s">
        <v>5432</v>
      </c>
      <c r="T163" t="s">
        <v>5432</v>
      </c>
      <c r="U163" t="s">
        <v>5432</v>
      </c>
      <c r="W163" s="55"/>
    </row>
    <row r="164" spans="1:23">
      <c r="A164" s="55">
        <v>45903</v>
      </c>
      <c r="B164" t="s">
        <v>837</v>
      </c>
      <c r="C164" t="s">
        <v>838</v>
      </c>
      <c r="D164" t="s">
        <v>24</v>
      </c>
      <c r="E164">
        <v>85308</v>
      </c>
      <c r="F164" t="s">
        <v>310</v>
      </c>
      <c r="G164" t="s">
        <v>506</v>
      </c>
      <c r="H164">
        <v>2287263111</v>
      </c>
      <c r="I164" t="s">
        <v>196</v>
      </c>
      <c r="J164" t="s">
        <v>37</v>
      </c>
      <c r="K164" t="s">
        <v>37</v>
      </c>
      <c r="L164" t="s">
        <v>840</v>
      </c>
      <c r="M164" t="s">
        <v>37</v>
      </c>
      <c r="N164" t="s">
        <v>37</v>
      </c>
      <c r="O164" t="s">
        <v>38</v>
      </c>
      <c r="P164">
        <v>45933</v>
      </c>
      <c r="Q164" s="55">
        <v>45968</v>
      </c>
      <c r="R164" t="s">
        <v>561</v>
      </c>
      <c r="S164" t="s">
        <v>5432</v>
      </c>
      <c r="T164" t="s">
        <v>5432</v>
      </c>
      <c r="U164" t="s">
        <v>5432</v>
      </c>
      <c r="W164" s="55"/>
    </row>
    <row r="165" spans="1:23">
      <c r="A165" s="55">
        <v>45903</v>
      </c>
      <c r="B165" t="s">
        <v>841</v>
      </c>
      <c r="C165" t="s">
        <v>842</v>
      </c>
      <c r="D165" t="s">
        <v>63</v>
      </c>
      <c r="E165">
        <v>85050</v>
      </c>
      <c r="F165" t="s">
        <v>31</v>
      </c>
      <c r="G165" t="s">
        <v>506</v>
      </c>
      <c r="H165">
        <v>4330169654</v>
      </c>
      <c r="I165" t="s">
        <v>73</v>
      </c>
      <c r="J165" t="s">
        <v>37</v>
      </c>
      <c r="K165" t="s">
        <v>37</v>
      </c>
      <c r="L165" t="s">
        <v>38</v>
      </c>
      <c r="M165" t="s">
        <v>37</v>
      </c>
      <c r="N165" t="s">
        <v>37</v>
      </c>
      <c r="O165" t="s">
        <v>38</v>
      </c>
      <c r="P165" t="s">
        <v>39</v>
      </c>
      <c r="Q165" s="55">
        <v>45968</v>
      </c>
      <c r="R165" t="s">
        <v>5432</v>
      </c>
      <c r="S165" t="s">
        <v>5432</v>
      </c>
      <c r="T165" t="s">
        <v>5432</v>
      </c>
      <c r="U165" t="s">
        <v>5432</v>
      </c>
      <c r="W165" s="55"/>
    </row>
    <row r="166" spans="1:23">
      <c r="A166" s="55">
        <v>45903</v>
      </c>
      <c r="B166" t="s">
        <v>650</v>
      </c>
      <c r="C166" t="s">
        <v>844</v>
      </c>
      <c r="D166" t="s">
        <v>63</v>
      </c>
      <c r="E166">
        <v>85029</v>
      </c>
      <c r="F166" t="s">
        <v>31</v>
      </c>
      <c r="G166" t="s">
        <v>506</v>
      </c>
      <c r="H166">
        <v>7809411352</v>
      </c>
      <c r="I166" t="s">
        <v>36</v>
      </c>
      <c r="J166" t="s">
        <v>37</v>
      </c>
      <c r="K166" t="s">
        <v>37</v>
      </c>
      <c r="L166" t="s">
        <v>38</v>
      </c>
      <c r="M166" t="s">
        <v>37</v>
      </c>
      <c r="N166" t="s">
        <v>37</v>
      </c>
      <c r="O166" t="s">
        <v>38</v>
      </c>
      <c r="P166" t="s">
        <v>39</v>
      </c>
      <c r="Q166" s="55">
        <v>45968</v>
      </c>
      <c r="R166" t="s">
        <v>5432</v>
      </c>
      <c r="S166" t="s">
        <v>5432</v>
      </c>
      <c r="T166" t="s">
        <v>5432</v>
      </c>
      <c r="U166" t="s">
        <v>5432</v>
      </c>
      <c r="W166" s="55"/>
    </row>
    <row r="167" spans="1:23">
      <c r="A167" s="55">
        <v>45903</v>
      </c>
      <c r="B167" t="s">
        <v>846</v>
      </c>
      <c r="C167" t="s">
        <v>847</v>
      </c>
      <c r="D167" t="s">
        <v>63</v>
      </c>
      <c r="E167">
        <v>85028</v>
      </c>
      <c r="F167" t="s">
        <v>31</v>
      </c>
      <c r="G167" t="s">
        <v>506</v>
      </c>
      <c r="H167">
        <v>1901940000</v>
      </c>
      <c r="I167" t="s">
        <v>36</v>
      </c>
      <c r="J167" t="s">
        <v>38</v>
      </c>
      <c r="K167" t="s">
        <v>37</v>
      </c>
      <c r="L167" t="s">
        <v>38</v>
      </c>
      <c r="M167" t="s">
        <v>37</v>
      </c>
      <c r="N167" t="s">
        <v>37</v>
      </c>
      <c r="O167" t="s">
        <v>38</v>
      </c>
      <c r="P167" t="s">
        <v>39</v>
      </c>
      <c r="Q167" s="55">
        <v>45968</v>
      </c>
      <c r="R167" t="s">
        <v>5432</v>
      </c>
      <c r="S167" t="s">
        <v>5432</v>
      </c>
      <c r="T167" t="s">
        <v>5432</v>
      </c>
      <c r="U167" t="s">
        <v>5432</v>
      </c>
      <c r="W167" s="55"/>
    </row>
    <row r="168" spans="1:23">
      <c r="A168" s="55">
        <v>45903</v>
      </c>
      <c r="B168" t="s">
        <v>851</v>
      </c>
      <c r="C168" t="s">
        <v>852</v>
      </c>
      <c r="D168" t="s">
        <v>635</v>
      </c>
      <c r="E168">
        <v>85281</v>
      </c>
      <c r="F168" t="s">
        <v>853</v>
      </c>
      <c r="G168" t="s">
        <v>506</v>
      </c>
      <c r="H168">
        <v>2344543728</v>
      </c>
      <c r="I168" t="s">
        <v>541</v>
      </c>
      <c r="J168" t="s">
        <v>37</v>
      </c>
      <c r="K168" t="s">
        <v>37</v>
      </c>
      <c r="L168" t="s">
        <v>389</v>
      </c>
      <c r="M168" t="s">
        <v>37</v>
      </c>
      <c r="N168" t="s">
        <v>37</v>
      </c>
      <c r="O168" t="s">
        <v>38</v>
      </c>
      <c r="P168" t="s">
        <v>39</v>
      </c>
      <c r="Q168" s="55">
        <v>45968</v>
      </c>
      <c r="R168" t="s">
        <v>5432</v>
      </c>
      <c r="S168" t="s">
        <v>5432</v>
      </c>
      <c r="T168" t="s">
        <v>5432</v>
      </c>
      <c r="U168" t="s">
        <v>5432</v>
      </c>
      <c r="W168" s="55"/>
    </row>
    <row r="169" spans="1:23">
      <c r="A169" s="55">
        <v>45903</v>
      </c>
      <c r="B169" t="s">
        <v>855</v>
      </c>
      <c r="C169" t="s">
        <v>135</v>
      </c>
      <c r="D169" t="s">
        <v>169</v>
      </c>
      <c r="E169">
        <v>85338</v>
      </c>
      <c r="F169" t="s">
        <v>856</v>
      </c>
      <c r="G169" t="s">
        <v>506</v>
      </c>
      <c r="H169">
        <v>4014511000</v>
      </c>
      <c r="I169" t="s">
        <v>196</v>
      </c>
      <c r="J169" t="s">
        <v>37</v>
      </c>
      <c r="K169" t="s">
        <v>37</v>
      </c>
      <c r="L169" t="s">
        <v>858</v>
      </c>
      <c r="M169" t="s">
        <v>37</v>
      </c>
      <c r="N169" t="s">
        <v>37</v>
      </c>
      <c r="O169" t="s">
        <v>38</v>
      </c>
      <c r="P169" t="s">
        <v>39</v>
      </c>
      <c r="Q169" s="55">
        <v>45968</v>
      </c>
      <c r="R169" t="s">
        <v>859</v>
      </c>
      <c r="S169" t="s">
        <v>5432</v>
      </c>
      <c r="T169" t="s">
        <v>5432</v>
      </c>
      <c r="U169" t="s">
        <v>5432</v>
      </c>
      <c r="W169" s="55"/>
    </row>
    <row r="170" spans="1:23">
      <c r="A170" s="55">
        <v>45903</v>
      </c>
      <c r="B170" t="s">
        <v>860</v>
      </c>
      <c r="C170" t="s">
        <v>861</v>
      </c>
      <c r="D170" t="s">
        <v>63</v>
      </c>
      <c r="E170">
        <v>85016</v>
      </c>
      <c r="F170" t="s">
        <v>31</v>
      </c>
      <c r="G170" t="s">
        <v>506</v>
      </c>
      <c r="H170">
        <v>4400568112</v>
      </c>
      <c r="I170" t="s">
        <v>57</v>
      </c>
      <c r="J170" t="s">
        <v>37</v>
      </c>
      <c r="K170" t="s">
        <v>37</v>
      </c>
      <c r="L170" t="s">
        <v>863</v>
      </c>
      <c r="M170" t="s">
        <v>37</v>
      </c>
      <c r="N170" t="s">
        <v>37</v>
      </c>
      <c r="O170" t="s">
        <v>38</v>
      </c>
      <c r="P170" t="s">
        <v>39</v>
      </c>
      <c r="Q170" s="55">
        <v>45968</v>
      </c>
      <c r="R170" t="s">
        <v>5432</v>
      </c>
      <c r="S170" t="s">
        <v>5432</v>
      </c>
      <c r="T170" t="s">
        <v>5432</v>
      </c>
      <c r="U170" t="s">
        <v>5432</v>
      </c>
      <c r="W170" s="55"/>
    </row>
    <row r="171" spans="1:23">
      <c r="A171" s="55">
        <v>45903</v>
      </c>
      <c r="B171" t="s">
        <v>864</v>
      </c>
      <c r="C171" t="s">
        <v>865</v>
      </c>
      <c r="D171" t="s">
        <v>63</v>
      </c>
      <c r="E171">
        <v>85028</v>
      </c>
      <c r="F171" t="s">
        <v>310</v>
      </c>
      <c r="G171" t="s">
        <v>506</v>
      </c>
      <c r="H171">
        <v>337770119</v>
      </c>
      <c r="I171" t="s">
        <v>36</v>
      </c>
      <c r="J171" t="s">
        <v>37</v>
      </c>
      <c r="K171" t="s">
        <v>37</v>
      </c>
      <c r="L171" t="s">
        <v>38</v>
      </c>
      <c r="M171" t="s">
        <v>37</v>
      </c>
      <c r="N171" t="s">
        <v>37</v>
      </c>
      <c r="O171" t="s">
        <v>38</v>
      </c>
      <c r="P171" t="s">
        <v>39</v>
      </c>
      <c r="Q171" s="55">
        <v>45968</v>
      </c>
      <c r="R171" t="s">
        <v>5432</v>
      </c>
      <c r="S171" t="s">
        <v>5432</v>
      </c>
      <c r="T171" t="s">
        <v>5432</v>
      </c>
      <c r="U171" t="s">
        <v>5432</v>
      </c>
      <c r="W171" s="55"/>
    </row>
    <row r="172" spans="1:23">
      <c r="A172" s="55">
        <v>45903</v>
      </c>
      <c r="B172" t="s">
        <v>219</v>
      </c>
      <c r="C172" t="s">
        <v>867</v>
      </c>
      <c r="D172" t="s">
        <v>523</v>
      </c>
      <c r="E172">
        <v>85392</v>
      </c>
      <c r="F172" t="s">
        <v>868</v>
      </c>
      <c r="G172" t="s">
        <v>506</v>
      </c>
      <c r="H172">
        <v>1084589454</v>
      </c>
      <c r="I172" t="s">
        <v>196</v>
      </c>
      <c r="J172" t="s">
        <v>38</v>
      </c>
      <c r="K172" t="s">
        <v>37</v>
      </c>
      <c r="L172" t="s">
        <v>38</v>
      </c>
      <c r="M172" t="s">
        <v>37</v>
      </c>
      <c r="N172" t="s">
        <v>37</v>
      </c>
      <c r="O172" t="s">
        <v>38</v>
      </c>
      <c r="P172" t="s">
        <v>39</v>
      </c>
      <c r="Q172" s="55">
        <v>45968</v>
      </c>
      <c r="R172" t="s">
        <v>5432</v>
      </c>
      <c r="S172" t="s">
        <v>5432</v>
      </c>
      <c r="T172" t="s">
        <v>5432</v>
      </c>
      <c r="U172" t="s">
        <v>5432</v>
      </c>
      <c r="W172" s="55"/>
    </row>
    <row r="173" spans="1:23">
      <c r="A173" s="55">
        <v>45903</v>
      </c>
      <c r="B173" t="s">
        <v>870</v>
      </c>
      <c r="C173" t="s">
        <v>440</v>
      </c>
      <c r="D173" t="s">
        <v>169</v>
      </c>
      <c r="E173">
        <v>85338</v>
      </c>
      <c r="F173" t="s">
        <v>871</v>
      </c>
      <c r="G173" t="s">
        <v>506</v>
      </c>
      <c r="H173">
        <v>5131511000</v>
      </c>
      <c r="I173" t="s">
        <v>196</v>
      </c>
      <c r="J173" t="s">
        <v>37</v>
      </c>
      <c r="K173" t="s">
        <v>37</v>
      </c>
      <c r="L173" t="s">
        <v>873</v>
      </c>
      <c r="M173" t="s">
        <v>37</v>
      </c>
      <c r="N173" t="s">
        <v>37</v>
      </c>
      <c r="O173" t="s">
        <v>38</v>
      </c>
      <c r="P173" t="s">
        <v>39</v>
      </c>
      <c r="Q173" s="55">
        <v>45968</v>
      </c>
      <c r="R173" t="s">
        <v>5432</v>
      </c>
      <c r="S173" t="s">
        <v>5432</v>
      </c>
      <c r="T173" t="s">
        <v>5432</v>
      </c>
      <c r="U173" t="s">
        <v>5432</v>
      </c>
      <c r="W173" s="55"/>
    </row>
    <row r="174" spans="1:23">
      <c r="A174" s="55">
        <v>45903</v>
      </c>
      <c r="B174" t="s">
        <v>874</v>
      </c>
      <c r="C174" t="s">
        <v>875</v>
      </c>
      <c r="D174" t="s">
        <v>169</v>
      </c>
      <c r="E174">
        <v>85395</v>
      </c>
      <c r="F174" t="s">
        <v>876</v>
      </c>
      <c r="G174" t="s">
        <v>506</v>
      </c>
      <c r="H174">
        <v>8809578171</v>
      </c>
      <c r="I174" t="s">
        <v>36</v>
      </c>
      <c r="J174" t="s">
        <v>37</v>
      </c>
      <c r="K174" t="s">
        <v>37</v>
      </c>
      <c r="L174" t="s">
        <v>38</v>
      </c>
      <c r="M174" t="s">
        <v>37</v>
      </c>
      <c r="N174" t="s">
        <v>37</v>
      </c>
      <c r="O174" t="s">
        <v>38</v>
      </c>
      <c r="P174" t="s">
        <v>39</v>
      </c>
      <c r="Q174" s="55">
        <v>45968</v>
      </c>
      <c r="R174" t="s">
        <v>5432</v>
      </c>
      <c r="S174" t="s">
        <v>5432</v>
      </c>
      <c r="T174" t="s">
        <v>5432</v>
      </c>
      <c r="U174" t="s">
        <v>5432</v>
      </c>
      <c r="W174" s="55"/>
    </row>
    <row r="175" spans="1:23">
      <c r="A175" s="55">
        <v>45903</v>
      </c>
      <c r="B175" t="s">
        <v>878</v>
      </c>
      <c r="C175" t="s">
        <v>879</v>
      </c>
      <c r="D175" t="s">
        <v>880</v>
      </c>
      <c r="E175">
        <v>85086</v>
      </c>
      <c r="F175" t="s">
        <v>798</v>
      </c>
      <c r="G175" t="s">
        <v>506</v>
      </c>
      <c r="H175">
        <v>138600000</v>
      </c>
      <c r="I175" t="s">
        <v>36</v>
      </c>
      <c r="J175" t="s">
        <v>37</v>
      </c>
      <c r="K175" t="s">
        <v>37</v>
      </c>
      <c r="L175" t="s">
        <v>882</v>
      </c>
      <c r="M175" t="s">
        <v>37</v>
      </c>
      <c r="N175" t="s">
        <v>37</v>
      </c>
      <c r="O175" t="s">
        <v>38</v>
      </c>
      <c r="P175" t="s">
        <v>39</v>
      </c>
      <c r="Q175" s="55">
        <v>45968</v>
      </c>
      <c r="R175" t="s">
        <v>5432</v>
      </c>
      <c r="S175" t="s">
        <v>5432</v>
      </c>
      <c r="T175" t="s">
        <v>5432</v>
      </c>
      <c r="U175" t="s">
        <v>5432</v>
      </c>
      <c r="W175" s="55"/>
    </row>
    <row r="176" spans="1:23">
      <c r="A176" s="55">
        <v>45903</v>
      </c>
      <c r="B176" t="s">
        <v>883</v>
      </c>
      <c r="C176" t="s">
        <v>459</v>
      </c>
      <c r="D176" t="s">
        <v>63</v>
      </c>
      <c r="E176">
        <v>85024</v>
      </c>
      <c r="F176" t="s">
        <v>310</v>
      </c>
      <c r="G176" t="s">
        <v>506</v>
      </c>
      <c r="H176">
        <v>9851454126</v>
      </c>
      <c r="I176" t="s">
        <v>196</v>
      </c>
      <c r="J176" t="s">
        <v>37</v>
      </c>
      <c r="K176" t="s">
        <v>37</v>
      </c>
      <c r="L176" t="s">
        <v>885</v>
      </c>
      <c r="M176" t="s">
        <v>37</v>
      </c>
      <c r="N176" t="s">
        <v>37</v>
      </c>
      <c r="O176" t="s">
        <v>38</v>
      </c>
      <c r="P176">
        <v>45933</v>
      </c>
      <c r="Q176" s="55">
        <v>45968</v>
      </c>
      <c r="R176" t="s">
        <v>561</v>
      </c>
      <c r="S176" t="s">
        <v>5432</v>
      </c>
      <c r="T176" t="s">
        <v>5432</v>
      </c>
      <c r="U176" t="s">
        <v>5432</v>
      </c>
      <c r="W176" s="55"/>
    </row>
    <row r="177" spans="1:23">
      <c r="A177" s="55">
        <v>45903</v>
      </c>
      <c r="B177" t="s">
        <v>886</v>
      </c>
      <c r="C177" t="s">
        <v>887</v>
      </c>
      <c r="D177" t="s">
        <v>169</v>
      </c>
      <c r="E177">
        <v>85338</v>
      </c>
      <c r="F177" t="s">
        <v>888</v>
      </c>
      <c r="G177" t="s">
        <v>506</v>
      </c>
      <c r="H177">
        <v>6626729560</v>
      </c>
      <c r="I177" t="s">
        <v>73</v>
      </c>
      <c r="J177" t="s">
        <v>37</v>
      </c>
      <c r="K177" t="s">
        <v>37</v>
      </c>
      <c r="L177" t="s">
        <v>38</v>
      </c>
      <c r="M177" t="s">
        <v>37</v>
      </c>
      <c r="N177" t="s">
        <v>37</v>
      </c>
      <c r="O177" t="s">
        <v>38</v>
      </c>
      <c r="P177" t="s">
        <v>39</v>
      </c>
      <c r="Q177" s="55">
        <v>45968</v>
      </c>
      <c r="R177" t="s">
        <v>5432</v>
      </c>
      <c r="S177" t="s">
        <v>5432</v>
      </c>
      <c r="T177" t="s">
        <v>5432</v>
      </c>
      <c r="U177" t="s">
        <v>5432</v>
      </c>
      <c r="W177" s="55"/>
    </row>
    <row r="178" spans="1:23">
      <c r="A178" s="55">
        <v>45903</v>
      </c>
      <c r="B178" t="s">
        <v>889</v>
      </c>
      <c r="C178" t="s">
        <v>890</v>
      </c>
      <c r="D178" t="s">
        <v>202</v>
      </c>
      <c r="E178">
        <v>85383</v>
      </c>
      <c r="F178" t="s">
        <v>31</v>
      </c>
      <c r="G178" t="s">
        <v>506</v>
      </c>
      <c r="H178">
        <v>7113636850</v>
      </c>
      <c r="I178" t="s">
        <v>196</v>
      </c>
      <c r="J178" t="s">
        <v>37</v>
      </c>
      <c r="K178" t="s">
        <v>37</v>
      </c>
      <c r="L178" t="s">
        <v>892</v>
      </c>
      <c r="M178" t="s">
        <v>37</v>
      </c>
      <c r="N178" t="s">
        <v>37</v>
      </c>
      <c r="O178" t="s">
        <v>38</v>
      </c>
      <c r="P178" t="s">
        <v>39</v>
      </c>
      <c r="Q178" s="55">
        <v>45968</v>
      </c>
      <c r="R178" t="s">
        <v>5432</v>
      </c>
      <c r="S178" t="s">
        <v>5432</v>
      </c>
      <c r="T178" t="s">
        <v>5432</v>
      </c>
      <c r="U178" t="s">
        <v>5432</v>
      </c>
      <c r="W178" s="55"/>
    </row>
    <row r="179" spans="1:23">
      <c r="A179" s="55">
        <v>45903</v>
      </c>
      <c r="B179" t="s">
        <v>893</v>
      </c>
      <c r="C179" t="s">
        <v>777</v>
      </c>
      <c r="D179" t="s">
        <v>24</v>
      </c>
      <c r="E179">
        <v>85308</v>
      </c>
      <c r="F179" t="s">
        <v>894</v>
      </c>
      <c r="G179" t="s">
        <v>506</v>
      </c>
      <c r="H179">
        <v>8707818706</v>
      </c>
      <c r="I179" t="s">
        <v>73</v>
      </c>
      <c r="J179" t="s">
        <v>37</v>
      </c>
      <c r="K179" t="s">
        <v>37</v>
      </c>
      <c r="L179" t="s">
        <v>38</v>
      </c>
      <c r="M179" t="s">
        <v>37</v>
      </c>
      <c r="N179" t="s">
        <v>37</v>
      </c>
      <c r="O179" t="s">
        <v>38</v>
      </c>
      <c r="P179" t="s">
        <v>39</v>
      </c>
      <c r="Q179" s="55">
        <v>45968</v>
      </c>
      <c r="R179" t="s">
        <v>5432</v>
      </c>
      <c r="S179" t="s">
        <v>5432</v>
      </c>
      <c r="T179" t="s">
        <v>5432</v>
      </c>
      <c r="U179" t="s">
        <v>5432</v>
      </c>
      <c r="W179" s="55"/>
    </row>
    <row r="180" spans="1:23">
      <c r="A180" s="55">
        <v>45903</v>
      </c>
      <c r="B180" t="s">
        <v>896</v>
      </c>
      <c r="C180" t="s">
        <v>897</v>
      </c>
      <c r="D180" t="s">
        <v>240</v>
      </c>
      <c r="E180">
        <v>85340</v>
      </c>
      <c r="F180" t="s">
        <v>31</v>
      </c>
      <c r="G180" t="s">
        <v>506</v>
      </c>
      <c r="H180">
        <v>6218364523</v>
      </c>
      <c r="I180" t="s">
        <v>73</v>
      </c>
      <c r="J180" t="s">
        <v>37</v>
      </c>
      <c r="K180" t="s">
        <v>37</v>
      </c>
      <c r="L180" t="s">
        <v>38</v>
      </c>
      <c r="M180" t="s">
        <v>37</v>
      </c>
      <c r="N180" t="s">
        <v>37</v>
      </c>
      <c r="O180" t="s">
        <v>38</v>
      </c>
      <c r="P180" t="s">
        <v>39</v>
      </c>
      <c r="Q180" s="55">
        <v>45968</v>
      </c>
      <c r="R180" t="s">
        <v>5432</v>
      </c>
      <c r="S180" t="s">
        <v>5432</v>
      </c>
      <c r="T180" t="s">
        <v>5432</v>
      </c>
      <c r="U180" t="s">
        <v>5432</v>
      </c>
      <c r="W180" s="55"/>
    </row>
    <row r="181" spans="1:23">
      <c r="A181" s="55">
        <v>45903</v>
      </c>
      <c r="B181" t="s">
        <v>900</v>
      </c>
      <c r="C181" t="s">
        <v>901</v>
      </c>
      <c r="D181" t="s">
        <v>125</v>
      </c>
      <c r="E181">
        <v>85255</v>
      </c>
      <c r="F181" t="s">
        <v>310</v>
      </c>
      <c r="G181" t="s">
        <v>506</v>
      </c>
      <c r="H181">
        <v>14802989</v>
      </c>
      <c r="I181" t="s">
        <v>36</v>
      </c>
      <c r="J181" t="s">
        <v>37</v>
      </c>
      <c r="K181" t="s">
        <v>37</v>
      </c>
      <c r="L181" t="s">
        <v>38</v>
      </c>
      <c r="M181" t="s">
        <v>37</v>
      </c>
      <c r="N181" t="s">
        <v>37</v>
      </c>
      <c r="O181" t="s">
        <v>38</v>
      </c>
      <c r="P181" t="s">
        <v>39</v>
      </c>
      <c r="Q181" s="55">
        <v>45968</v>
      </c>
      <c r="R181" t="s">
        <v>5432</v>
      </c>
      <c r="S181" t="s">
        <v>5432</v>
      </c>
      <c r="T181" t="s">
        <v>5432</v>
      </c>
      <c r="U181" t="s">
        <v>5432</v>
      </c>
      <c r="W181" s="55"/>
    </row>
    <row r="182" spans="1:23">
      <c r="A182" s="55">
        <v>45903</v>
      </c>
      <c r="B182" t="s">
        <v>903</v>
      </c>
      <c r="C182" t="s">
        <v>904</v>
      </c>
      <c r="D182" t="s">
        <v>240</v>
      </c>
      <c r="E182">
        <v>85340</v>
      </c>
      <c r="F182" t="s">
        <v>905</v>
      </c>
      <c r="G182" t="s">
        <v>506</v>
      </c>
      <c r="H182">
        <v>8729590000</v>
      </c>
      <c r="I182" t="s">
        <v>36</v>
      </c>
      <c r="J182" t="s">
        <v>37</v>
      </c>
      <c r="K182" t="s">
        <v>37</v>
      </c>
      <c r="L182" t="s">
        <v>38</v>
      </c>
      <c r="M182" t="s">
        <v>37</v>
      </c>
      <c r="N182" t="s">
        <v>37</v>
      </c>
      <c r="O182" t="s">
        <v>38</v>
      </c>
      <c r="P182" t="s">
        <v>39</v>
      </c>
      <c r="Q182" s="55">
        <v>45968</v>
      </c>
      <c r="R182" t="s">
        <v>5432</v>
      </c>
      <c r="S182" t="s">
        <v>5432</v>
      </c>
      <c r="T182" t="s">
        <v>5432</v>
      </c>
      <c r="U182" t="s">
        <v>5432</v>
      </c>
      <c r="W182" s="55"/>
    </row>
    <row r="183" spans="1:23">
      <c r="A183" s="55">
        <v>45903</v>
      </c>
      <c r="B183" t="s">
        <v>910</v>
      </c>
      <c r="C183" t="s">
        <v>911</v>
      </c>
      <c r="D183" t="s">
        <v>24</v>
      </c>
      <c r="E183">
        <v>85301</v>
      </c>
      <c r="F183" t="s">
        <v>310</v>
      </c>
      <c r="G183" t="s">
        <v>506</v>
      </c>
      <c r="H183">
        <v>5144511000</v>
      </c>
      <c r="I183" t="s">
        <v>196</v>
      </c>
      <c r="J183" t="s">
        <v>37</v>
      </c>
      <c r="K183" t="s">
        <v>37</v>
      </c>
      <c r="L183" t="s">
        <v>38</v>
      </c>
      <c r="M183" t="s">
        <v>37</v>
      </c>
      <c r="N183" t="s">
        <v>37</v>
      </c>
      <c r="O183" t="s">
        <v>38</v>
      </c>
      <c r="P183" t="s">
        <v>39</v>
      </c>
      <c r="Q183" s="55">
        <v>45968</v>
      </c>
      <c r="R183" t="s">
        <v>5432</v>
      </c>
      <c r="S183" t="s">
        <v>5432</v>
      </c>
      <c r="T183" t="s">
        <v>5432</v>
      </c>
      <c r="U183" t="s">
        <v>5432</v>
      </c>
      <c r="W183" s="55"/>
    </row>
    <row r="184" spans="1:23">
      <c r="A184" s="55">
        <v>45903</v>
      </c>
      <c r="B184" t="s">
        <v>913</v>
      </c>
      <c r="C184" t="s">
        <v>914</v>
      </c>
      <c r="D184" t="s">
        <v>112</v>
      </c>
      <c r="E184">
        <v>85388</v>
      </c>
      <c r="F184" t="s">
        <v>310</v>
      </c>
      <c r="G184" t="s">
        <v>506</v>
      </c>
      <c r="H184">
        <v>4233804978</v>
      </c>
      <c r="I184" t="s">
        <v>36</v>
      </c>
      <c r="J184" t="s">
        <v>37</v>
      </c>
      <c r="K184" t="s">
        <v>37</v>
      </c>
      <c r="L184" t="s">
        <v>38</v>
      </c>
      <c r="M184" t="s">
        <v>37</v>
      </c>
      <c r="N184" t="s">
        <v>37</v>
      </c>
      <c r="O184" t="s">
        <v>38</v>
      </c>
      <c r="P184" t="s">
        <v>39</v>
      </c>
      <c r="Q184" s="55">
        <v>45968</v>
      </c>
      <c r="R184" t="s">
        <v>5432</v>
      </c>
      <c r="S184" t="s">
        <v>5432</v>
      </c>
      <c r="T184" t="s">
        <v>5432</v>
      </c>
      <c r="U184" t="s">
        <v>5432</v>
      </c>
      <c r="W184" s="55"/>
    </row>
    <row r="185" spans="1:23">
      <c r="A185" s="55">
        <v>45903</v>
      </c>
      <c r="B185" t="s">
        <v>916</v>
      </c>
      <c r="C185" t="s">
        <v>917</v>
      </c>
      <c r="D185" t="s">
        <v>24</v>
      </c>
      <c r="E185">
        <v>85301</v>
      </c>
      <c r="F185" t="s">
        <v>31</v>
      </c>
      <c r="G185" t="s">
        <v>506</v>
      </c>
      <c r="H185">
        <v>3352572159</v>
      </c>
      <c r="I185" t="s">
        <v>73</v>
      </c>
      <c r="J185" t="s">
        <v>37</v>
      </c>
      <c r="K185" t="s">
        <v>37</v>
      </c>
      <c r="L185" t="s">
        <v>38</v>
      </c>
      <c r="M185" t="s">
        <v>37</v>
      </c>
      <c r="N185" t="s">
        <v>37</v>
      </c>
      <c r="O185" t="s">
        <v>38</v>
      </c>
      <c r="P185" t="s">
        <v>39</v>
      </c>
      <c r="Q185" s="55">
        <v>45968</v>
      </c>
      <c r="R185" t="s">
        <v>5432</v>
      </c>
      <c r="S185" t="s">
        <v>5432</v>
      </c>
      <c r="T185" t="s">
        <v>5432</v>
      </c>
      <c r="U185" t="s">
        <v>5432</v>
      </c>
      <c r="W185" s="55"/>
    </row>
    <row r="186" spans="1:23">
      <c r="A186" s="55">
        <v>45903</v>
      </c>
      <c r="B186" t="s">
        <v>921</v>
      </c>
      <c r="C186" t="s">
        <v>922</v>
      </c>
      <c r="D186" t="s">
        <v>923</v>
      </c>
      <c r="E186">
        <v>85501</v>
      </c>
      <c r="F186" t="s">
        <v>31</v>
      </c>
      <c r="G186" t="s">
        <v>506</v>
      </c>
      <c r="H186">
        <v>3487507055</v>
      </c>
      <c r="I186" t="s">
        <v>196</v>
      </c>
      <c r="J186" t="s">
        <v>37</v>
      </c>
      <c r="K186" t="s">
        <v>37</v>
      </c>
      <c r="L186" t="s">
        <v>925</v>
      </c>
      <c r="M186" t="s">
        <v>37</v>
      </c>
      <c r="N186" t="s">
        <v>37</v>
      </c>
      <c r="O186" t="s">
        <v>38</v>
      </c>
      <c r="P186" t="s">
        <v>39</v>
      </c>
      <c r="Q186" s="55">
        <v>45968</v>
      </c>
      <c r="R186" t="s">
        <v>5432</v>
      </c>
      <c r="S186" t="s">
        <v>5432</v>
      </c>
      <c r="T186" t="s">
        <v>5432</v>
      </c>
      <c r="U186" t="s">
        <v>5432</v>
      </c>
      <c r="W186" s="55"/>
    </row>
    <row r="187" spans="1:23">
      <c r="A187" s="55">
        <v>45903</v>
      </c>
      <c r="B187" t="s">
        <v>926</v>
      </c>
      <c r="C187" t="s">
        <v>927</v>
      </c>
      <c r="D187" t="s">
        <v>63</v>
      </c>
      <c r="E187">
        <v>85013</v>
      </c>
      <c r="F187" t="s">
        <v>310</v>
      </c>
      <c r="G187" t="s">
        <v>506</v>
      </c>
      <c r="H187">
        <v>1028298226</v>
      </c>
      <c r="I187" t="s">
        <v>126</v>
      </c>
      <c r="J187" t="s">
        <v>37</v>
      </c>
      <c r="K187" t="s">
        <v>37</v>
      </c>
      <c r="L187" t="s">
        <v>929</v>
      </c>
      <c r="M187" t="s">
        <v>37</v>
      </c>
      <c r="N187" t="s">
        <v>37</v>
      </c>
      <c r="O187" t="s">
        <v>38</v>
      </c>
      <c r="P187" t="s">
        <v>39</v>
      </c>
      <c r="Q187" s="55">
        <v>45968</v>
      </c>
      <c r="R187" t="s">
        <v>5432</v>
      </c>
      <c r="S187" t="s">
        <v>5432</v>
      </c>
      <c r="T187" t="s">
        <v>5432</v>
      </c>
      <c r="U187" t="s">
        <v>5432</v>
      </c>
      <c r="W187" s="55"/>
    </row>
    <row r="188" spans="1:23">
      <c r="A188" s="55">
        <v>45903</v>
      </c>
      <c r="B188" t="s">
        <v>930</v>
      </c>
      <c r="C188" t="s">
        <v>931</v>
      </c>
      <c r="D188" t="s">
        <v>169</v>
      </c>
      <c r="E188">
        <v>85395</v>
      </c>
      <c r="F188" t="s">
        <v>31</v>
      </c>
      <c r="G188" t="s">
        <v>506</v>
      </c>
      <c r="H188">
        <v>3000474278</v>
      </c>
      <c r="I188" t="s">
        <v>36</v>
      </c>
      <c r="J188" t="s">
        <v>37</v>
      </c>
      <c r="K188" t="s">
        <v>37</v>
      </c>
      <c r="L188" t="s">
        <v>933</v>
      </c>
      <c r="M188" t="s">
        <v>37</v>
      </c>
      <c r="N188" t="s">
        <v>37</v>
      </c>
      <c r="O188" t="s">
        <v>38</v>
      </c>
      <c r="P188" t="s">
        <v>39</v>
      </c>
      <c r="Q188" s="55">
        <v>45968</v>
      </c>
      <c r="R188" t="s">
        <v>5432</v>
      </c>
      <c r="S188" t="s">
        <v>5432</v>
      </c>
      <c r="T188" t="s">
        <v>5432</v>
      </c>
      <c r="U188" t="s">
        <v>5432</v>
      </c>
      <c r="W188" s="55"/>
    </row>
    <row r="189" spans="1:23">
      <c r="A189" s="55">
        <v>45903</v>
      </c>
      <c r="B189" t="s">
        <v>934</v>
      </c>
      <c r="C189" t="s">
        <v>935</v>
      </c>
      <c r="D189" t="s">
        <v>202</v>
      </c>
      <c r="E189">
        <v>85383</v>
      </c>
      <c r="F189" t="s">
        <v>310</v>
      </c>
      <c r="G189" t="s">
        <v>506</v>
      </c>
      <c r="H189">
        <v>9689247354</v>
      </c>
      <c r="I189" t="s">
        <v>541</v>
      </c>
      <c r="J189" t="s">
        <v>37</v>
      </c>
      <c r="K189" t="s">
        <v>37</v>
      </c>
      <c r="L189" t="s">
        <v>389</v>
      </c>
      <c r="M189" t="s">
        <v>37</v>
      </c>
      <c r="N189" t="s">
        <v>37</v>
      </c>
      <c r="O189" t="s">
        <v>38</v>
      </c>
      <c r="P189" t="s">
        <v>39</v>
      </c>
      <c r="Q189" s="55">
        <v>45968</v>
      </c>
      <c r="R189" t="s">
        <v>5432</v>
      </c>
      <c r="S189" t="s">
        <v>5432</v>
      </c>
      <c r="T189" t="s">
        <v>5432</v>
      </c>
      <c r="U189" t="s">
        <v>5432</v>
      </c>
      <c r="W189" s="55"/>
    </row>
    <row r="190" spans="1:23">
      <c r="A190" s="55">
        <v>45903</v>
      </c>
      <c r="B190" t="s">
        <v>937</v>
      </c>
      <c r="C190" t="s">
        <v>938</v>
      </c>
      <c r="D190" t="s">
        <v>63</v>
      </c>
      <c r="E190">
        <v>85083</v>
      </c>
      <c r="F190" t="s">
        <v>31</v>
      </c>
      <c r="G190" t="s">
        <v>506</v>
      </c>
      <c r="H190">
        <v>4535728753</v>
      </c>
      <c r="I190" t="s">
        <v>73</v>
      </c>
      <c r="J190" t="s">
        <v>37</v>
      </c>
      <c r="K190" t="s">
        <v>37</v>
      </c>
      <c r="L190" t="s">
        <v>401</v>
      </c>
      <c r="M190" t="s">
        <v>37</v>
      </c>
      <c r="N190" t="s">
        <v>37</v>
      </c>
      <c r="O190" t="s">
        <v>38</v>
      </c>
      <c r="P190" t="s">
        <v>39</v>
      </c>
      <c r="Q190" s="55">
        <v>45968</v>
      </c>
      <c r="R190" t="s">
        <v>5432</v>
      </c>
      <c r="S190" t="s">
        <v>5432</v>
      </c>
      <c r="T190" t="s">
        <v>5432</v>
      </c>
      <c r="U190" t="s">
        <v>5432</v>
      </c>
      <c r="W190" s="55"/>
    </row>
    <row r="191" spans="1:23">
      <c r="A191" s="55">
        <v>45903</v>
      </c>
      <c r="B191" t="s">
        <v>940</v>
      </c>
      <c r="C191" t="s">
        <v>941</v>
      </c>
      <c r="D191" t="s">
        <v>63</v>
      </c>
      <c r="E191">
        <v>85014</v>
      </c>
      <c r="F191" t="s">
        <v>310</v>
      </c>
      <c r="G191" t="s">
        <v>506</v>
      </c>
      <c r="H191">
        <v>6477491967</v>
      </c>
      <c r="I191" t="s">
        <v>73</v>
      </c>
      <c r="J191" t="s">
        <v>37</v>
      </c>
      <c r="K191" t="s">
        <v>37</v>
      </c>
      <c r="L191" t="s">
        <v>38</v>
      </c>
      <c r="M191" t="s">
        <v>37</v>
      </c>
      <c r="N191" t="s">
        <v>37</v>
      </c>
      <c r="O191" t="s">
        <v>38</v>
      </c>
      <c r="P191" t="s">
        <v>39</v>
      </c>
      <c r="Q191" s="55">
        <v>45968</v>
      </c>
      <c r="R191" t="s">
        <v>5432</v>
      </c>
      <c r="S191" t="s">
        <v>5432</v>
      </c>
      <c r="T191" t="s">
        <v>5432</v>
      </c>
      <c r="U191" t="s">
        <v>5432</v>
      </c>
      <c r="W191" s="55"/>
    </row>
    <row r="192" spans="1:23">
      <c r="A192" s="55">
        <v>45903</v>
      </c>
      <c r="B192" t="s">
        <v>943</v>
      </c>
      <c r="C192" t="s">
        <v>944</v>
      </c>
      <c r="D192" t="s">
        <v>202</v>
      </c>
      <c r="E192">
        <v>85382</v>
      </c>
      <c r="F192" t="s">
        <v>310</v>
      </c>
      <c r="G192" t="s">
        <v>506</v>
      </c>
      <c r="H192">
        <v>487982450</v>
      </c>
      <c r="I192" t="s">
        <v>36</v>
      </c>
      <c r="J192" t="s">
        <v>37</v>
      </c>
      <c r="K192" t="s">
        <v>37</v>
      </c>
      <c r="L192" t="s">
        <v>946</v>
      </c>
      <c r="M192" t="s">
        <v>37</v>
      </c>
      <c r="N192" t="s">
        <v>37</v>
      </c>
      <c r="O192" t="s">
        <v>38</v>
      </c>
      <c r="P192" t="s">
        <v>39</v>
      </c>
      <c r="Q192" s="55">
        <v>45968</v>
      </c>
      <c r="R192" t="s">
        <v>5432</v>
      </c>
      <c r="S192" t="s">
        <v>5432</v>
      </c>
      <c r="T192" t="s">
        <v>5432</v>
      </c>
      <c r="U192" t="s">
        <v>5432</v>
      </c>
      <c r="W192" s="55"/>
    </row>
    <row r="193" spans="1:23">
      <c r="A193" s="55">
        <v>45903</v>
      </c>
      <c r="B193" t="s">
        <v>947</v>
      </c>
      <c r="C193" t="s">
        <v>948</v>
      </c>
      <c r="D193" t="s">
        <v>125</v>
      </c>
      <c r="E193">
        <v>85251</v>
      </c>
      <c r="F193" t="s">
        <v>310</v>
      </c>
      <c r="G193" t="s">
        <v>506</v>
      </c>
      <c r="H193">
        <v>1080436652</v>
      </c>
      <c r="I193" t="s">
        <v>73</v>
      </c>
      <c r="J193" t="s">
        <v>37</v>
      </c>
      <c r="K193" t="s">
        <v>37</v>
      </c>
      <c r="L193" t="s">
        <v>38</v>
      </c>
      <c r="M193" t="s">
        <v>37</v>
      </c>
      <c r="N193" t="s">
        <v>37</v>
      </c>
      <c r="O193" t="s">
        <v>38</v>
      </c>
      <c r="P193" t="s">
        <v>39</v>
      </c>
      <c r="Q193" s="55">
        <v>45968</v>
      </c>
      <c r="R193" t="s">
        <v>5432</v>
      </c>
      <c r="S193" t="s">
        <v>5432</v>
      </c>
      <c r="T193" t="s">
        <v>5432</v>
      </c>
      <c r="U193" t="s">
        <v>5432</v>
      </c>
      <c r="W193" s="55"/>
    </row>
    <row r="194" spans="1:23">
      <c r="A194" s="55">
        <v>45903</v>
      </c>
      <c r="B194" t="s">
        <v>950</v>
      </c>
      <c r="C194" t="s">
        <v>835</v>
      </c>
      <c r="D194" t="s">
        <v>63</v>
      </c>
      <c r="E194">
        <v>85016</v>
      </c>
      <c r="F194" t="s">
        <v>310</v>
      </c>
      <c r="G194" t="s">
        <v>506</v>
      </c>
      <c r="H194">
        <v>9868570000</v>
      </c>
      <c r="I194" t="s">
        <v>126</v>
      </c>
      <c r="J194" t="s">
        <v>37</v>
      </c>
      <c r="K194" t="s">
        <v>37</v>
      </c>
      <c r="L194" t="s">
        <v>952</v>
      </c>
      <c r="M194" t="s">
        <v>37</v>
      </c>
      <c r="N194" t="s">
        <v>37</v>
      </c>
      <c r="O194" t="s">
        <v>38</v>
      </c>
      <c r="P194" t="s">
        <v>39</v>
      </c>
      <c r="Q194" s="55">
        <v>45968</v>
      </c>
      <c r="R194" t="s">
        <v>5432</v>
      </c>
      <c r="S194" t="s">
        <v>5432</v>
      </c>
      <c r="T194" t="s">
        <v>5432</v>
      </c>
      <c r="U194" t="s">
        <v>5432</v>
      </c>
      <c r="W194" s="55"/>
    </row>
    <row r="195" spans="1:23">
      <c r="A195" s="55">
        <v>45903</v>
      </c>
      <c r="B195" t="s">
        <v>290</v>
      </c>
      <c r="C195" t="s">
        <v>953</v>
      </c>
      <c r="D195" t="s">
        <v>63</v>
      </c>
      <c r="E195">
        <v>85013</v>
      </c>
      <c r="F195" t="s">
        <v>310</v>
      </c>
      <c r="G195" t="s">
        <v>506</v>
      </c>
      <c r="H195">
        <v>9812684449</v>
      </c>
      <c r="I195" t="s">
        <v>73</v>
      </c>
      <c r="J195" t="s">
        <v>37</v>
      </c>
      <c r="K195" t="s">
        <v>37</v>
      </c>
      <c r="L195" t="s">
        <v>38</v>
      </c>
      <c r="M195" t="s">
        <v>37</v>
      </c>
      <c r="N195" t="s">
        <v>37</v>
      </c>
      <c r="O195" t="s">
        <v>38</v>
      </c>
      <c r="P195" t="s">
        <v>39</v>
      </c>
      <c r="Q195" s="55">
        <v>45968</v>
      </c>
      <c r="R195" t="s">
        <v>5432</v>
      </c>
      <c r="S195" t="s">
        <v>5432</v>
      </c>
      <c r="T195" t="s">
        <v>5432</v>
      </c>
      <c r="U195" t="s">
        <v>5432</v>
      </c>
      <c r="W195" s="55"/>
    </row>
    <row r="196" spans="1:23">
      <c r="A196" s="55">
        <v>45903</v>
      </c>
      <c r="B196" t="s">
        <v>955</v>
      </c>
      <c r="C196" t="s">
        <v>956</v>
      </c>
      <c r="D196" t="s">
        <v>63</v>
      </c>
      <c r="E196">
        <v>85028</v>
      </c>
      <c r="F196" t="s">
        <v>310</v>
      </c>
      <c r="G196" t="s">
        <v>506</v>
      </c>
      <c r="H196">
        <v>7263223413</v>
      </c>
      <c r="I196" t="s">
        <v>196</v>
      </c>
      <c r="J196" t="s">
        <v>37</v>
      </c>
      <c r="K196" t="s">
        <v>37</v>
      </c>
      <c r="L196" t="s">
        <v>958</v>
      </c>
      <c r="M196" t="s">
        <v>37</v>
      </c>
      <c r="N196" t="s">
        <v>37</v>
      </c>
      <c r="O196" t="s">
        <v>38</v>
      </c>
      <c r="P196" t="s">
        <v>39</v>
      </c>
      <c r="Q196" s="55">
        <v>45968</v>
      </c>
      <c r="R196" t="s">
        <v>5432</v>
      </c>
      <c r="S196" t="s">
        <v>5432</v>
      </c>
      <c r="T196" t="s">
        <v>5432</v>
      </c>
      <c r="U196" t="s">
        <v>5432</v>
      </c>
      <c r="W196" s="55"/>
    </row>
    <row r="197" spans="1:23">
      <c r="A197" s="55">
        <v>45903</v>
      </c>
      <c r="B197" t="s">
        <v>959</v>
      </c>
      <c r="C197" t="s">
        <v>228</v>
      </c>
      <c r="D197" t="s">
        <v>202</v>
      </c>
      <c r="E197">
        <v>85381</v>
      </c>
      <c r="F197" t="s">
        <v>31</v>
      </c>
      <c r="G197" t="s">
        <v>506</v>
      </c>
      <c r="H197">
        <v>5323810000</v>
      </c>
      <c r="I197" t="s">
        <v>36</v>
      </c>
      <c r="J197" t="s">
        <v>37</v>
      </c>
      <c r="K197" t="s">
        <v>37</v>
      </c>
      <c r="L197" t="s">
        <v>38</v>
      </c>
      <c r="M197" t="s">
        <v>37</v>
      </c>
      <c r="N197" t="s">
        <v>37</v>
      </c>
      <c r="O197" t="s">
        <v>38</v>
      </c>
      <c r="P197" t="s">
        <v>39</v>
      </c>
      <c r="Q197" s="55">
        <v>45968</v>
      </c>
      <c r="R197" t="s">
        <v>5432</v>
      </c>
      <c r="S197" t="s">
        <v>5432</v>
      </c>
      <c r="T197" t="s">
        <v>5432</v>
      </c>
      <c r="U197" t="s">
        <v>5432</v>
      </c>
      <c r="W197" s="55"/>
    </row>
    <row r="198" spans="1:23">
      <c r="A198" s="55">
        <v>45903</v>
      </c>
      <c r="B198" t="s">
        <v>961</v>
      </c>
      <c r="C198" t="s">
        <v>962</v>
      </c>
      <c r="D198" t="s">
        <v>112</v>
      </c>
      <c r="E198">
        <v>85388</v>
      </c>
      <c r="F198" t="s">
        <v>310</v>
      </c>
      <c r="G198" t="s">
        <v>506</v>
      </c>
      <c r="H198">
        <v>6377618578</v>
      </c>
      <c r="I198" t="s">
        <v>418</v>
      </c>
      <c r="J198" t="s">
        <v>37</v>
      </c>
      <c r="K198" t="s">
        <v>37</v>
      </c>
      <c r="L198" t="s">
        <v>389</v>
      </c>
      <c r="M198" t="s">
        <v>37</v>
      </c>
      <c r="N198" t="s">
        <v>37</v>
      </c>
      <c r="O198" t="s">
        <v>38</v>
      </c>
      <c r="P198" t="s">
        <v>39</v>
      </c>
      <c r="Q198" s="55">
        <v>45968</v>
      </c>
      <c r="R198" t="s">
        <v>5432</v>
      </c>
      <c r="S198" t="s">
        <v>5432</v>
      </c>
      <c r="T198" t="s">
        <v>5432</v>
      </c>
      <c r="U198" t="s">
        <v>5432</v>
      </c>
      <c r="W198" s="55"/>
    </row>
    <row r="199" spans="1:23">
      <c r="A199" s="55">
        <v>45903</v>
      </c>
      <c r="B199" t="s">
        <v>964</v>
      </c>
      <c r="C199" t="s">
        <v>965</v>
      </c>
      <c r="D199" t="s">
        <v>125</v>
      </c>
      <c r="E199">
        <v>85254</v>
      </c>
      <c r="F199" t="s">
        <v>31</v>
      </c>
      <c r="G199" t="s">
        <v>506</v>
      </c>
      <c r="H199">
        <v>5100177684</v>
      </c>
      <c r="I199" t="s">
        <v>196</v>
      </c>
      <c r="J199" t="s">
        <v>37</v>
      </c>
      <c r="K199" t="s">
        <v>37</v>
      </c>
      <c r="L199" t="s">
        <v>38</v>
      </c>
      <c r="M199" t="s">
        <v>37</v>
      </c>
      <c r="N199" t="s">
        <v>37</v>
      </c>
      <c r="O199" t="s">
        <v>38</v>
      </c>
      <c r="P199" t="s">
        <v>39</v>
      </c>
      <c r="Q199" s="55">
        <v>45968</v>
      </c>
      <c r="R199" t="s">
        <v>5432</v>
      </c>
      <c r="S199" t="s">
        <v>5432</v>
      </c>
      <c r="T199" t="s">
        <v>5432</v>
      </c>
      <c r="U199" t="s">
        <v>5432</v>
      </c>
      <c r="W199" s="55"/>
    </row>
    <row r="200" spans="1:23">
      <c r="A200" s="55">
        <v>45903</v>
      </c>
      <c r="B200" t="s">
        <v>970</v>
      </c>
      <c r="C200" t="s">
        <v>355</v>
      </c>
      <c r="D200" t="s">
        <v>202</v>
      </c>
      <c r="E200">
        <v>85382</v>
      </c>
      <c r="F200" t="s">
        <v>971</v>
      </c>
      <c r="G200" t="s">
        <v>506</v>
      </c>
      <c r="H200">
        <v>2213731000</v>
      </c>
      <c r="I200" t="s">
        <v>541</v>
      </c>
      <c r="J200" t="s">
        <v>37</v>
      </c>
      <c r="K200" t="s">
        <v>37</v>
      </c>
      <c r="L200" t="s">
        <v>389</v>
      </c>
      <c r="M200" t="s">
        <v>37</v>
      </c>
      <c r="N200" t="s">
        <v>37</v>
      </c>
      <c r="O200" t="s">
        <v>38</v>
      </c>
      <c r="P200" t="s">
        <v>39</v>
      </c>
      <c r="Q200" s="55">
        <v>45968</v>
      </c>
      <c r="R200" t="s">
        <v>5432</v>
      </c>
      <c r="S200" t="s">
        <v>5432</v>
      </c>
      <c r="T200" t="s">
        <v>5432</v>
      </c>
      <c r="U200" t="s">
        <v>5432</v>
      </c>
      <c r="W200" s="55"/>
    </row>
    <row r="201" spans="1:23">
      <c r="A201" s="55">
        <v>45903</v>
      </c>
      <c r="B201" t="s">
        <v>134</v>
      </c>
      <c r="C201" t="s">
        <v>789</v>
      </c>
      <c r="D201" t="s">
        <v>240</v>
      </c>
      <c r="E201">
        <v>85340</v>
      </c>
      <c r="F201" t="s">
        <v>31</v>
      </c>
      <c r="G201" t="s">
        <v>506</v>
      </c>
      <c r="H201">
        <v>7194070000</v>
      </c>
      <c r="I201" t="s">
        <v>418</v>
      </c>
      <c r="J201" t="s">
        <v>37</v>
      </c>
      <c r="K201" t="s">
        <v>37</v>
      </c>
      <c r="L201" t="s">
        <v>389</v>
      </c>
      <c r="M201" t="s">
        <v>37</v>
      </c>
      <c r="N201" t="s">
        <v>37</v>
      </c>
      <c r="O201" t="s">
        <v>38</v>
      </c>
      <c r="P201" t="s">
        <v>39</v>
      </c>
      <c r="Q201" s="55">
        <v>45968</v>
      </c>
      <c r="R201" t="s">
        <v>5432</v>
      </c>
      <c r="S201" t="s">
        <v>5432</v>
      </c>
      <c r="T201" t="s">
        <v>5432</v>
      </c>
      <c r="U201" t="s">
        <v>5432</v>
      </c>
      <c r="W201" s="55"/>
    </row>
    <row r="202" spans="1:23">
      <c r="A202" s="55">
        <v>45903</v>
      </c>
      <c r="B202" t="s">
        <v>974</v>
      </c>
      <c r="C202" t="s">
        <v>975</v>
      </c>
      <c r="D202" t="s">
        <v>125</v>
      </c>
      <c r="E202">
        <v>85251</v>
      </c>
      <c r="F202" t="s">
        <v>310</v>
      </c>
      <c r="G202" t="s">
        <v>506</v>
      </c>
      <c r="H202">
        <v>3556070925</v>
      </c>
      <c r="I202" t="s">
        <v>126</v>
      </c>
      <c r="J202" t="s">
        <v>37</v>
      </c>
      <c r="K202" t="s">
        <v>37</v>
      </c>
      <c r="L202" t="s">
        <v>977</v>
      </c>
      <c r="M202" t="s">
        <v>37</v>
      </c>
      <c r="N202" t="s">
        <v>37</v>
      </c>
      <c r="O202" t="s">
        <v>38</v>
      </c>
      <c r="P202">
        <v>45933</v>
      </c>
      <c r="Q202" s="55">
        <v>45967</v>
      </c>
      <c r="R202" t="s">
        <v>978</v>
      </c>
      <c r="S202" t="s">
        <v>5432</v>
      </c>
      <c r="T202" t="s">
        <v>5432</v>
      </c>
      <c r="U202" t="s">
        <v>5432</v>
      </c>
      <c r="W202" s="55"/>
    </row>
    <row r="203" spans="1:23">
      <c r="A203" s="55">
        <v>45903</v>
      </c>
      <c r="B203" t="s">
        <v>979</v>
      </c>
      <c r="C203" t="s">
        <v>673</v>
      </c>
      <c r="D203" t="s">
        <v>202</v>
      </c>
      <c r="E203">
        <v>85383</v>
      </c>
      <c r="F203" t="s">
        <v>310</v>
      </c>
      <c r="G203" t="s">
        <v>506</v>
      </c>
      <c r="H203">
        <v>9646530000</v>
      </c>
      <c r="I203" t="s">
        <v>36</v>
      </c>
      <c r="J203" t="s">
        <v>37</v>
      </c>
      <c r="K203" t="s">
        <v>37</v>
      </c>
      <c r="L203" t="s">
        <v>38</v>
      </c>
      <c r="M203" t="s">
        <v>37</v>
      </c>
      <c r="N203" t="s">
        <v>37</v>
      </c>
      <c r="O203" t="s">
        <v>38</v>
      </c>
      <c r="P203" t="s">
        <v>39</v>
      </c>
      <c r="Q203" s="55">
        <v>45967</v>
      </c>
      <c r="R203" t="s">
        <v>5432</v>
      </c>
      <c r="S203" t="s">
        <v>5432</v>
      </c>
      <c r="T203" t="s">
        <v>5432</v>
      </c>
      <c r="U203" t="s">
        <v>5432</v>
      </c>
      <c r="W203" s="55"/>
    </row>
    <row r="204" spans="1:23">
      <c r="A204" s="55">
        <v>45903</v>
      </c>
      <c r="B204" t="s">
        <v>981</v>
      </c>
      <c r="C204" t="s">
        <v>208</v>
      </c>
      <c r="D204" t="s">
        <v>261</v>
      </c>
      <c r="E204">
        <v>86314</v>
      </c>
      <c r="F204" t="s">
        <v>31</v>
      </c>
      <c r="G204" t="s">
        <v>506</v>
      </c>
      <c r="H204">
        <v>9467621419</v>
      </c>
      <c r="I204" t="s">
        <v>126</v>
      </c>
      <c r="J204" t="s">
        <v>37</v>
      </c>
      <c r="K204" t="s">
        <v>37</v>
      </c>
      <c r="L204" t="s">
        <v>983</v>
      </c>
      <c r="M204" t="s">
        <v>37</v>
      </c>
      <c r="N204" t="s">
        <v>37</v>
      </c>
      <c r="O204" t="s">
        <v>38</v>
      </c>
      <c r="P204" t="s">
        <v>39</v>
      </c>
      <c r="Q204" s="55">
        <v>45967</v>
      </c>
      <c r="R204" t="s">
        <v>984</v>
      </c>
      <c r="S204" t="s">
        <v>5432</v>
      </c>
      <c r="T204" t="s">
        <v>5432</v>
      </c>
      <c r="U204" t="s">
        <v>5432</v>
      </c>
      <c r="W204" s="55"/>
    </row>
    <row r="205" spans="1:23">
      <c r="A205" s="55">
        <v>45903</v>
      </c>
      <c r="B205" t="s">
        <v>985</v>
      </c>
      <c r="C205" t="s">
        <v>263</v>
      </c>
      <c r="D205" t="s">
        <v>169</v>
      </c>
      <c r="E205">
        <v>85395</v>
      </c>
      <c r="F205" t="s">
        <v>986</v>
      </c>
      <c r="G205" t="s">
        <v>506</v>
      </c>
      <c r="H205">
        <v>4222480000</v>
      </c>
      <c r="I205" t="s">
        <v>196</v>
      </c>
      <c r="J205" t="s">
        <v>37</v>
      </c>
      <c r="K205" t="s">
        <v>37</v>
      </c>
      <c r="L205" t="s">
        <v>38</v>
      </c>
      <c r="M205" t="s">
        <v>37</v>
      </c>
      <c r="N205" t="s">
        <v>37</v>
      </c>
      <c r="O205" t="s">
        <v>38</v>
      </c>
      <c r="P205" t="s">
        <v>39</v>
      </c>
      <c r="Q205" s="55">
        <v>45967</v>
      </c>
      <c r="R205" t="s">
        <v>5432</v>
      </c>
      <c r="S205" t="s">
        <v>5432</v>
      </c>
      <c r="T205" t="s">
        <v>5432</v>
      </c>
      <c r="U205" t="s">
        <v>5432</v>
      </c>
      <c r="W205" s="55"/>
    </row>
    <row r="206" spans="1:23">
      <c r="A206" s="55">
        <v>45903</v>
      </c>
      <c r="B206" t="s">
        <v>134</v>
      </c>
      <c r="C206" t="s">
        <v>777</v>
      </c>
      <c r="D206" t="s">
        <v>240</v>
      </c>
      <c r="E206">
        <v>85340</v>
      </c>
      <c r="F206" t="s">
        <v>31</v>
      </c>
      <c r="G206" t="s">
        <v>506</v>
      </c>
      <c r="H206">
        <v>8800511000</v>
      </c>
      <c r="I206" t="s">
        <v>243</v>
      </c>
      <c r="J206" t="s">
        <v>37</v>
      </c>
      <c r="K206" t="s">
        <v>37</v>
      </c>
      <c r="L206" t="s">
        <v>389</v>
      </c>
      <c r="M206" t="s">
        <v>37</v>
      </c>
      <c r="N206" t="s">
        <v>37</v>
      </c>
      <c r="O206" t="s">
        <v>38</v>
      </c>
      <c r="P206" t="s">
        <v>39</v>
      </c>
      <c r="Q206" s="55">
        <v>45967</v>
      </c>
      <c r="R206" t="s">
        <v>5432</v>
      </c>
      <c r="S206" t="s">
        <v>5432</v>
      </c>
      <c r="T206" t="s">
        <v>5432</v>
      </c>
      <c r="U206" t="s">
        <v>5432</v>
      </c>
      <c r="W206" s="55"/>
    </row>
    <row r="207" spans="1:23">
      <c r="A207" s="55">
        <v>45903</v>
      </c>
      <c r="B207" t="s">
        <v>990</v>
      </c>
      <c r="C207" t="s">
        <v>991</v>
      </c>
      <c r="D207" t="s">
        <v>169</v>
      </c>
      <c r="E207">
        <v>85338</v>
      </c>
      <c r="F207" t="s">
        <v>992</v>
      </c>
      <c r="G207" t="s">
        <v>506</v>
      </c>
      <c r="H207">
        <v>6965120000</v>
      </c>
      <c r="I207" t="s">
        <v>418</v>
      </c>
      <c r="J207" t="s">
        <v>37</v>
      </c>
      <c r="K207" t="s">
        <v>37</v>
      </c>
      <c r="L207" t="s">
        <v>389</v>
      </c>
      <c r="M207" t="s">
        <v>37</v>
      </c>
      <c r="N207" t="s">
        <v>37</v>
      </c>
      <c r="O207" t="s">
        <v>38</v>
      </c>
      <c r="P207" t="s">
        <v>39</v>
      </c>
      <c r="Q207" s="55">
        <v>45967</v>
      </c>
      <c r="R207" t="s">
        <v>5432</v>
      </c>
      <c r="S207" t="s">
        <v>5432</v>
      </c>
      <c r="T207" t="s">
        <v>5432</v>
      </c>
      <c r="U207" t="s">
        <v>5432</v>
      </c>
      <c r="W207" s="55"/>
    </row>
    <row r="208" spans="1:23">
      <c r="A208" s="55">
        <v>45903</v>
      </c>
      <c r="B208" t="s">
        <v>657</v>
      </c>
      <c r="C208" t="s">
        <v>42</v>
      </c>
      <c r="D208" t="s">
        <v>169</v>
      </c>
      <c r="E208">
        <v>85395</v>
      </c>
      <c r="F208" t="s">
        <v>31</v>
      </c>
      <c r="G208" t="s">
        <v>506</v>
      </c>
      <c r="H208">
        <v>4144330000</v>
      </c>
      <c r="I208" t="s">
        <v>541</v>
      </c>
      <c r="J208" t="s">
        <v>37</v>
      </c>
      <c r="K208" t="s">
        <v>37</v>
      </c>
      <c r="L208" t="s">
        <v>389</v>
      </c>
      <c r="M208" t="s">
        <v>37</v>
      </c>
      <c r="N208" t="s">
        <v>37</v>
      </c>
      <c r="O208" t="s">
        <v>38</v>
      </c>
      <c r="P208" t="s">
        <v>39</v>
      </c>
      <c r="Q208" s="55">
        <v>45967</v>
      </c>
      <c r="R208" t="s">
        <v>5432</v>
      </c>
      <c r="S208" t="s">
        <v>5432</v>
      </c>
      <c r="T208" t="s">
        <v>5432</v>
      </c>
      <c r="U208" t="s">
        <v>5432</v>
      </c>
      <c r="W208" s="55"/>
    </row>
    <row r="209" spans="1:23">
      <c r="A209" s="55">
        <v>45903</v>
      </c>
      <c r="B209" t="s">
        <v>998</v>
      </c>
      <c r="C209" t="s">
        <v>920</v>
      </c>
      <c r="D209" t="s">
        <v>63</v>
      </c>
      <c r="E209">
        <v>85004</v>
      </c>
      <c r="F209" t="s">
        <v>310</v>
      </c>
      <c r="G209" t="s">
        <v>506</v>
      </c>
      <c r="H209">
        <v>7638863637</v>
      </c>
      <c r="I209" t="s">
        <v>126</v>
      </c>
      <c r="J209" t="s">
        <v>38</v>
      </c>
      <c r="K209" t="s">
        <v>37</v>
      </c>
      <c r="L209" t="s">
        <v>38</v>
      </c>
      <c r="M209" t="s">
        <v>37</v>
      </c>
      <c r="N209" t="s">
        <v>37</v>
      </c>
      <c r="O209" t="s">
        <v>38</v>
      </c>
      <c r="P209" t="s">
        <v>39</v>
      </c>
      <c r="Q209" s="55">
        <v>45967</v>
      </c>
      <c r="R209" t="s">
        <v>5432</v>
      </c>
      <c r="S209" t="s">
        <v>5432</v>
      </c>
      <c r="T209" t="s">
        <v>5432</v>
      </c>
      <c r="U209" t="s">
        <v>5432</v>
      </c>
      <c r="W209" s="55"/>
    </row>
    <row r="210" spans="1:23">
      <c r="A210" s="55">
        <v>45903</v>
      </c>
      <c r="B210" t="s">
        <v>1000</v>
      </c>
      <c r="C210" t="s">
        <v>1001</v>
      </c>
      <c r="D210" t="s">
        <v>63</v>
      </c>
      <c r="E210">
        <v>85012</v>
      </c>
      <c r="F210" t="s">
        <v>1002</v>
      </c>
      <c r="G210" t="s">
        <v>506</v>
      </c>
      <c r="H210">
        <v>8212166884</v>
      </c>
      <c r="I210" t="s">
        <v>36</v>
      </c>
      <c r="J210" t="s">
        <v>37</v>
      </c>
      <c r="K210" t="s">
        <v>37</v>
      </c>
      <c r="L210" t="s">
        <v>1004</v>
      </c>
      <c r="M210" t="s">
        <v>37</v>
      </c>
      <c r="N210" t="s">
        <v>37</v>
      </c>
      <c r="O210" t="s">
        <v>38</v>
      </c>
      <c r="P210" t="s">
        <v>39</v>
      </c>
      <c r="Q210" s="55">
        <v>45967</v>
      </c>
      <c r="R210" t="s">
        <v>5432</v>
      </c>
      <c r="S210" t="s">
        <v>5432</v>
      </c>
      <c r="T210" t="s">
        <v>5432</v>
      </c>
      <c r="U210" t="s">
        <v>5432</v>
      </c>
      <c r="W210" s="55"/>
    </row>
    <row r="211" spans="1:23">
      <c r="A211" s="55">
        <v>45903</v>
      </c>
      <c r="B211" t="s">
        <v>1006</v>
      </c>
      <c r="C211" t="s">
        <v>1007</v>
      </c>
      <c r="D211" t="s">
        <v>63</v>
      </c>
      <c r="E211">
        <v>85085</v>
      </c>
      <c r="F211" t="s">
        <v>31</v>
      </c>
      <c r="G211" t="s">
        <v>506</v>
      </c>
      <c r="H211">
        <v>9811726626</v>
      </c>
      <c r="I211" t="s">
        <v>36</v>
      </c>
      <c r="J211" t="s">
        <v>37</v>
      </c>
      <c r="K211" t="s">
        <v>37</v>
      </c>
      <c r="L211" t="s">
        <v>38</v>
      </c>
      <c r="M211" t="s">
        <v>37</v>
      </c>
      <c r="N211" t="s">
        <v>37</v>
      </c>
      <c r="O211" t="s">
        <v>38</v>
      </c>
      <c r="P211" t="s">
        <v>39</v>
      </c>
      <c r="Q211" s="55">
        <v>45967</v>
      </c>
      <c r="R211" t="s">
        <v>5432</v>
      </c>
      <c r="S211" t="s">
        <v>5432</v>
      </c>
      <c r="T211" t="s">
        <v>5432</v>
      </c>
      <c r="U211" t="s">
        <v>1009</v>
      </c>
      <c r="W211" s="55"/>
    </row>
    <row r="212" spans="1:23">
      <c r="A212" s="55">
        <v>45903</v>
      </c>
      <c r="B212" t="s">
        <v>1010</v>
      </c>
      <c r="C212" t="s">
        <v>1011</v>
      </c>
      <c r="D212" t="s">
        <v>63</v>
      </c>
      <c r="E212">
        <v>85024</v>
      </c>
      <c r="F212" t="s">
        <v>310</v>
      </c>
      <c r="G212" t="s">
        <v>506</v>
      </c>
      <c r="H212">
        <v>2143830000</v>
      </c>
      <c r="I212" t="s">
        <v>196</v>
      </c>
      <c r="J212" t="s">
        <v>37</v>
      </c>
      <c r="K212" t="s">
        <v>37</v>
      </c>
      <c r="L212" t="s">
        <v>38</v>
      </c>
      <c r="M212" t="s">
        <v>37</v>
      </c>
      <c r="N212" t="s">
        <v>37</v>
      </c>
      <c r="O212" t="s">
        <v>38</v>
      </c>
      <c r="P212" t="s">
        <v>39</v>
      </c>
      <c r="Q212" s="55">
        <v>45967</v>
      </c>
      <c r="R212" t="s">
        <v>5432</v>
      </c>
      <c r="S212" t="s">
        <v>5432</v>
      </c>
      <c r="T212" t="s">
        <v>5432</v>
      </c>
      <c r="U212" t="s">
        <v>5432</v>
      </c>
      <c r="W212" s="55"/>
    </row>
    <row r="213" spans="1:23">
      <c r="A213" s="55">
        <v>45903</v>
      </c>
      <c r="B213" t="s">
        <v>779</v>
      </c>
      <c r="C213" t="s">
        <v>479</v>
      </c>
      <c r="D213" t="s">
        <v>63</v>
      </c>
      <c r="E213">
        <v>85023</v>
      </c>
      <c r="F213" t="s">
        <v>31</v>
      </c>
      <c r="G213" t="s">
        <v>506</v>
      </c>
      <c r="H213">
        <v>3322263490</v>
      </c>
      <c r="I213" t="s">
        <v>541</v>
      </c>
      <c r="J213" t="s">
        <v>38</v>
      </c>
      <c r="K213" t="s">
        <v>37</v>
      </c>
      <c r="L213" t="s">
        <v>389</v>
      </c>
      <c r="M213" t="s">
        <v>37</v>
      </c>
      <c r="N213" t="s">
        <v>37</v>
      </c>
      <c r="O213" t="s">
        <v>38</v>
      </c>
      <c r="P213" t="s">
        <v>39</v>
      </c>
      <c r="Q213" s="55">
        <v>45967</v>
      </c>
      <c r="R213" t="s">
        <v>5432</v>
      </c>
      <c r="S213" t="s">
        <v>5432</v>
      </c>
      <c r="T213" t="s">
        <v>5432</v>
      </c>
      <c r="U213" t="s">
        <v>5432</v>
      </c>
      <c r="W213" s="55"/>
    </row>
    <row r="214" spans="1:23">
      <c r="A214" s="55">
        <v>45903</v>
      </c>
      <c r="B214" t="s">
        <v>1016</v>
      </c>
      <c r="C214" t="s">
        <v>1017</v>
      </c>
      <c r="D214" t="s">
        <v>112</v>
      </c>
      <c r="E214">
        <v>85387</v>
      </c>
      <c r="F214" t="s">
        <v>310</v>
      </c>
      <c r="G214" t="s">
        <v>506</v>
      </c>
      <c r="H214">
        <v>9099805696</v>
      </c>
      <c r="I214" t="s">
        <v>126</v>
      </c>
      <c r="J214" t="s">
        <v>37</v>
      </c>
      <c r="K214" t="s">
        <v>37</v>
      </c>
      <c r="L214" t="s">
        <v>38</v>
      </c>
      <c r="M214" t="s">
        <v>37</v>
      </c>
      <c r="N214" t="s">
        <v>37</v>
      </c>
      <c r="O214" t="s">
        <v>38</v>
      </c>
      <c r="P214" t="s">
        <v>39</v>
      </c>
      <c r="Q214" s="55">
        <v>45967</v>
      </c>
      <c r="R214" t="s">
        <v>5432</v>
      </c>
      <c r="S214" t="s">
        <v>5432</v>
      </c>
      <c r="T214" t="s">
        <v>5432</v>
      </c>
      <c r="U214" t="s">
        <v>5432</v>
      </c>
      <c r="W214" s="55"/>
    </row>
    <row r="215" spans="1:23">
      <c r="A215" s="55">
        <v>45903</v>
      </c>
      <c r="B215" t="s">
        <v>1021</v>
      </c>
      <c r="C215" t="s">
        <v>771</v>
      </c>
      <c r="D215" t="s">
        <v>125</v>
      </c>
      <c r="E215">
        <v>85258</v>
      </c>
      <c r="F215" t="s">
        <v>310</v>
      </c>
      <c r="G215" t="s">
        <v>506</v>
      </c>
      <c r="H215">
        <v>7750680041</v>
      </c>
      <c r="I215" t="s">
        <v>36</v>
      </c>
      <c r="J215" t="s">
        <v>37</v>
      </c>
      <c r="K215" t="s">
        <v>37</v>
      </c>
      <c r="L215" t="s">
        <v>1023</v>
      </c>
      <c r="M215" t="s">
        <v>37</v>
      </c>
      <c r="N215" t="s">
        <v>37</v>
      </c>
      <c r="O215" t="s">
        <v>38</v>
      </c>
      <c r="P215" t="s">
        <v>39</v>
      </c>
      <c r="Q215" s="55">
        <v>45967</v>
      </c>
      <c r="R215" t="s">
        <v>1024</v>
      </c>
      <c r="S215" t="s">
        <v>5432</v>
      </c>
      <c r="T215" t="s">
        <v>5432</v>
      </c>
      <c r="U215" t="s">
        <v>5432</v>
      </c>
      <c r="W215" s="55"/>
    </row>
    <row r="216" spans="1:23">
      <c r="A216" s="55">
        <v>45903</v>
      </c>
      <c r="B216" t="s">
        <v>1025</v>
      </c>
      <c r="C216" t="s">
        <v>1026</v>
      </c>
      <c r="D216" t="s">
        <v>202</v>
      </c>
      <c r="E216">
        <v>85383</v>
      </c>
      <c r="F216" t="s">
        <v>31</v>
      </c>
      <c r="G216" t="s">
        <v>506</v>
      </c>
      <c r="H216">
        <v>7639960000</v>
      </c>
      <c r="I216" t="s">
        <v>126</v>
      </c>
      <c r="J216" t="s">
        <v>37</v>
      </c>
      <c r="K216" t="s">
        <v>37</v>
      </c>
      <c r="L216" t="s">
        <v>1028</v>
      </c>
      <c r="M216" t="s">
        <v>37</v>
      </c>
      <c r="N216" t="s">
        <v>37</v>
      </c>
      <c r="O216" t="s">
        <v>38</v>
      </c>
      <c r="P216" t="s">
        <v>39</v>
      </c>
      <c r="Q216" s="55">
        <v>45967</v>
      </c>
      <c r="R216" t="s">
        <v>1029</v>
      </c>
      <c r="S216" t="s">
        <v>5432</v>
      </c>
      <c r="T216" t="s">
        <v>5432</v>
      </c>
      <c r="U216" t="s">
        <v>5432</v>
      </c>
      <c r="W216" s="55"/>
    </row>
    <row r="217" spans="1:23">
      <c r="A217" s="55">
        <v>45903</v>
      </c>
      <c r="B217" t="s">
        <v>818</v>
      </c>
      <c r="C217" t="s">
        <v>135</v>
      </c>
      <c r="D217" t="s">
        <v>63</v>
      </c>
      <c r="E217">
        <v>85028</v>
      </c>
      <c r="F217" t="s">
        <v>31</v>
      </c>
      <c r="G217" t="s">
        <v>506</v>
      </c>
      <c r="H217">
        <v>9798231000</v>
      </c>
      <c r="I217" t="s">
        <v>36</v>
      </c>
      <c r="J217" t="s">
        <v>37</v>
      </c>
      <c r="K217" t="s">
        <v>37</v>
      </c>
      <c r="L217" t="s">
        <v>38</v>
      </c>
      <c r="M217" t="s">
        <v>37</v>
      </c>
      <c r="N217" t="s">
        <v>37</v>
      </c>
      <c r="O217" t="s">
        <v>38</v>
      </c>
      <c r="P217" t="s">
        <v>39</v>
      </c>
      <c r="Q217" s="55">
        <v>45967</v>
      </c>
      <c r="R217" t="s">
        <v>5432</v>
      </c>
      <c r="S217" t="s">
        <v>5432</v>
      </c>
      <c r="T217" t="s">
        <v>5432</v>
      </c>
      <c r="U217" t="s">
        <v>724</v>
      </c>
      <c r="W217" s="55"/>
    </row>
    <row r="218" spans="1:23">
      <c r="A218" s="55">
        <v>45903</v>
      </c>
      <c r="B218" t="s">
        <v>1031</v>
      </c>
      <c r="C218" t="s">
        <v>652</v>
      </c>
      <c r="D218" t="s">
        <v>63</v>
      </c>
      <c r="E218">
        <v>85016</v>
      </c>
      <c r="F218" t="s">
        <v>310</v>
      </c>
      <c r="G218" t="s">
        <v>506</v>
      </c>
      <c r="H218">
        <v>4834742574</v>
      </c>
      <c r="I218" t="s">
        <v>36</v>
      </c>
      <c r="J218" t="s">
        <v>37</v>
      </c>
      <c r="K218" t="s">
        <v>37</v>
      </c>
      <c r="L218" t="s">
        <v>38</v>
      </c>
      <c r="M218" t="s">
        <v>37</v>
      </c>
      <c r="N218" t="s">
        <v>37</v>
      </c>
      <c r="O218" t="s">
        <v>38</v>
      </c>
      <c r="P218" t="s">
        <v>39</v>
      </c>
      <c r="Q218" s="55">
        <v>45967</v>
      </c>
      <c r="R218" t="s">
        <v>5432</v>
      </c>
      <c r="S218" t="s">
        <v>5432</v>
      </c>
      <c r="T218" t="s">
        <v>5432</v>
      </c>
      <c r="U218" t="s">
        <v>5432</v>
      </c>
      <c r="W218" s="55"/>
    </row>
    <row r="219" spans="1:23">
      <c r="A219" s="55">
        <v>45903</v>
      </c>
      <c r="B219" t="s">
        <v>1033</v>
      </c>
      <c r="C219" t="s">
        <v>784</v>
      </c>
      <c r="D219" t="s">
        <v>169</v>
      </c>
      <c r="E219">
        <v>85395</v>
      </c>
      <c r="F219" t="s">
        <v>1034</v>
      </c>
      <c r="G219" t="s">
        <v>506</v>
      </c>
      <c r="H219">
        <v>3713921000</v>
      </c>
      <c r="I219" t="s">
        <v>36</v>
      </c>
      <c r="J219" t="s">
        <v>37</v>
      </c>
      <c r="K219" t="s">
        <v>37</v>
      </c>
      <c r="L219" t="s">
        <v>38</v>
      </c>
      <c r="M219" t="s">
        <v>37</v>
      </c>
      <c r="N219" t="s">
        <v>37</v>
      </c>
      <c r="O219" t="s">
        <v>38</v>
      </c>
      <c r="P219" t="s">
        <v>39</v>
      </c>
      <c r="Q219" s="55">
        <v>45967</v>
      </c>
      <c r="R219" t="s">
        <v>5432</v>
      </c>
      <c r="S219" t="s">
        <v>5432</v>
      </c>
      <c r="T219" t="s">
        <v>5432</v>
      </c>
      <c r="U219" t="s">
        <v>5432</v>
      </c>
      <c r="W219" s="55"/>
    </row>
    <row r="220" spans="1:23">
      <c r="A220" s="55">
        <v>45903</v>
      </c>
      <c r="B220" t="s">
        <v>1037</v>
      </c>
      <c r="C220" t="s">
        <v>1038</v>
      </c>
      <c r="D220" t="s">
        <v>202</v>
      </c>
      <c r="E220">
        <v>85383</v>
      </c>
      <c r="F220" t="s">
        <v>31</v>
      </c>
      <c r="G220" t="s">
        <v>506</v>
      </c>
      <c r="H220">
        <v>8169892620</v>
      </c>
      <c r="I220" t="s">
        <v>1040</v>
      </c>
      <c r="J220" t="s">
        <v>37</v>
      </c>
      <c r="K220" t="s">
        <v>37</v>
      </c>
      <c r="L220" t="s">
        <v>401</v>
      </c>
      <c r="M220" t="s">
        <v>37</v>
      </c>
      <c r="N220" t="s">
        <v>37</v>
      </c>
      <c r="O220" t="s">
        <v>38</v>
      </c>
      <c r="P220" t="s">
        <v>39</v>
      </c>
      <c r="Q220" s="55">
        <v>45967</v>
      </c>
      <c r="R220" t="s">
        <v>5432</v>
      </c>
      <c r="S220" t="s">
        <v>5432</v>
      </c>
      <c r="T220" t="s">
        <v>5432</v>
      </c>
      <c r="U220" t="s">
        <v>5432</v>
      </c>
      <c r="W220" s="55"/>
    </row>
    <row r="221" spans="1:23">
      <c r="A221" s="55">
        <v>45903</v>
      </c>
      <c r="B221" t="s">
        <v>1041</v>
      </c>
      <c r="C221" t="s">
        <v>1042</v>
      </c>
      <c r="D221" t="s">
        <v>202</v>
      </c>
      <c r="E221">
        <v>85483</v>
      </c>
      <c r="F221" t="s">
        <v>310</v>
      </c>
      <c r="G221" t="s">
        <v>506</v>
      </c>
      <c r="H221">
        <v>539435347</v>
      </c>
      <c r="I221" t="s">
        <v>36</v>
      </c>
      <c r="J221" t="s">
        <v>37</v>
      </c>
      <c r="K221" t="s">
        <v>37</v>
      </c>
      <c r="L221" t="s">
        <v>38</v>
      </c>
      <c r="M221" t="s">
        <v>37</v>
      </c>
      <c r="N221" t="s">
        <v>37</v>
      </c>
      <c r="O221" t="s">
        <v>38</v>
      </c>
      <c r="P221" t="s">
        <v>39</v>
      </c>
      <c r="Q221" s="55">
        <v>45967</v>
      </c>
      <c r="R221" t="s">
        <v>5432</v>
      </c>
      <c r="S221" t="s">
        <v>5432</v>
      </c>
      <c r="T221" t="s">
        <v>5432</v>
      </c>
      <c r="U221" t="s">
        <v>5432</v>
      </c>
      <c r="W221" s="55"/>
    </row>
    <row r="222" spans="1:23">
      <c r="A222" s="55">
        <v>45903</v>
      </c>
      <c r="B222" t="s">
        <v>1044</v>
      </c>
      <c r="C222" t="s">
        <v>597</v>
      </c>
      <c r="D222" t="s">
        <v>63</v>
      </c>
      <c r="E222">
        <v>85015</v>
      </c>
      <c r="F222" t="s">
        <v>310</v>
      </c>
      <c r="G222" t="s">
        <v>506</v>
      </c>
      <c r="H222">
        <v>5702540000</v>
      </c>
      <c r="I222" t="s">
        <v>196</v>
      </c>
      <c r="J222" t="s">
        <v>37</v>
      </c>
      <c r="K222" t="s">
        <v>37</v>
      </c>
      <c r="L222" t="s">
        <v>38</v>
      </c>
      <c r="M222" t="s">
        <v>37</v>
      </c>
      <c r="N222" t="s">
        <v>37</v>
      </c>
      <c r="O222" t="s">
        <v>38</v>
      </c>
      <c r="P222" t="s">
        <v>39</v>
      </c>
      <c r="Q222" s="55">
        <v>45967</v>
      </c>
      <c r="R222" t="s">
        <v>5432</v>
      </c>
      <c r="S222" t="s">
        <v>5432</v>
      </c>
      <c r="T222" t="s">
        <v>5432</v>
      </c>
      <c r="U222" t="s">
        <v>5432</v>
      </c>
      <c r="W222" s="55"/>
    </row>
    <row r="223" spans="1:23">
      <c r="A223" s="55">
        <v>45903</v>
      </c>
      <c r="B223" t="s">
        <v>1046</v>
      </c>
      <c r="C223" t="s">
        <v>1047</v>
      </c>
      <c r="D223" t="s">
        <v>125</v>
      </c>
      <c r="E223">
        <v>85260</v>
      </c>
      <c r="F223" t="s">
        <v>310</v>
      </c>
      <c r="G223" t="s">
        <v>506</v>
      </c>
      <c r="H223">
        <v>2813530000</v>
      </c>
      <c r="I223" t="s">
        <v>36</v>
      </c>
      <c r="J223" t="s">
        <v>37</v>
      </c>
      <c r="K223" t="s">
        <v>37</v>
      </c>
      <c r="L223" t="s">
        <v>38</v>
      </c>
      <c r="M223" t="s">
        <v>37</v>
      </c>
      <c r="N223" t="s">
        <v>37</v>
      </c>
      <c r="O223" t="s">
        <v>38</v>
      </c>
      <c r="P223" t="s">
        <v>39</v>
      </c>
      <c r="Q223" s="55">
        <v>45967</v>
      </c>
      <c r="R223" t="s">
        <v>5432</v>
      </c>
      <c r="S223" t="s">
        <v>5432</v>
      </c>
      <c r="T223" t="s">
        <v>5432</v>
      </c>
      <c r="U223" t="s">
        <v>5432</v>
      </c>
      <c r="W223" s="55"/>
    </row>
    <row r="224" spans="1:23">
      <c r="A224" s="55">
        <v>45903</v>
      </c>
      <c r="B224" t="s">
        <v>1049</v>
      </c>
      <c r="C224" t="s">
        <v>1050</v>
      </c>
      <c r="D224" t="s">
        <v>63</v>
      </c>
      <c r="E224">
        <v>85085</v>
      </c>
      <c r="F224" t="s">
        <v>310</v>
      </c>
      <c r="G224" t="s">
        <v>506</v>
      </c>
      <c r="H224">
        <v>4260226461</v>
      </c>
      <c r="I224" t="s">
        <v>36</v>
      </c>
      <c r="J224" t="s">
        <v>37</v>
      </c>
      <c r="K224" t="s">
        <v>37</v>
      </c>
      <c r="L224" t="s">
        <v>38</v>
      </c>
      <c r="M224" t="s">
        <v>37</v>
      </c>
      <c r="N224" t="s">
        <v>37</v>
      </c>
      <c r="O224" t="s">
        <v>38</v>
      </c>
      <c r="P224" t="s">
        <v>39</v>
      </c>
      <c r="Q224" s="55">
        <v>45967</v>
      </c>
      <c r="R224" t="s">
        <v>5432</v>
      </c>
      <c r="S224" t="s">
        <v>5432</v>
      </c>
      <c r="T224" t="s">
        <v>5432</v>
      </c>
      <c r="U224" t="s">
        <v>5432</v>
      </c>
      <c r="W224" s="55"/>
    </row>
    <row r="225" spans="1:23">
      <c r="A225" s="55">
        <v>45903</v>
      </c>
      <c r="B225" t="s">
        <v>1056</v>
      </c>
      <c r="C225" t="s">
        <v>757</v>
      </c>
      <c r="D225" t="s">
        <v>63</v>
      </c>
      <c r="E225">
        <v>85024</v>
      </c>
      <c r="F225" t="s">
        <v>31</v>
      </c>
      <c r="G225" t="s">
        <v>506</v>
      </c>
      <c r="H225">
        <v>7175791215</v>
      </c>
      <c r="I225" t="s">
        <v>196</v>
      </c>
      <c r="J225" t="s">
        <v>37</v>
      </c>
      <c r="K225" t="s">
        <v>37</v>
      </c>
      <c r="L225" t="s">
        <v>1058</v>
      </c>
      <c r="M225" t="s">
        <v>37</v>
      </c>
      <c r="N225" t="s">
        <v>37</v>
      </c>
      <c r="O225" t="s">
        <v>38</v>
      </c>
      <c r="P225">
        <v>45936</v>
      </c>
      <c r="Q225" s="55">
        <v>45967</v>
      </c>
      <c r="R225" t="s">
        <v>1059</v>
      </c>
      <c r="S225" t="s">
        <v>5432</v>
      </c>
      <c r="T225" t="s">
        <v>5432</v>
      </c>
      <c r="U225" t="s">
        <v>5432</v>
      </c>
      <c r="W225" s="55"/>
    </row>
    <row r="226" spans="1:23">
      <c r="A226" s="55">
        <v>45903</v>
      </c>
      <c r="B226" t="s">
        <v>1060</v>
      </c>
      <c r="C226" t="s">
        <v>135</v>
      </c>
      <c r="D226" t="s">
        <v>169</v>
      </c>
      <c r="E226">
        <v>85338</v>
      </c>
      <c r="F226" t="s">
        <v>1061</v>
      </c>
      <c r="G226" t="s">
        <v>506</v>
      </c>
      <c r="H226">
        <v>4884885514</v>
      </c>
      <c r="I226" t="s">
        <v>36</v>
      </c>
      <c r="J226" t="s">
        <v>37</v>
      </c>
      <c r="K226" t="s">
        <v>37</v>
      </c>
      <c r="L226" t="s">
        <v>38</v>
      </c>
      <c r="M226" t="s">
        <v>37</v>
      </c>
      <c r="N226" t="s">
        <v>37</v>
      </c>
      <c r="O226" t="s">
        <v>38</v>
      </c>
      <c r="P226" t="s">
        <v>39</v>
      </c>
      <c r="Q226" s="55">
        <v>45967</v>
      </c>
      <c r="R226" t="s">
        <v>5432</v>
      </c>
      <c r="S226" t="s">
        <v>5432</v>
      </c>
      <c r="T226" t="s">
        <v>5432</v>
      </c>
      <c r="U226" t="s">
        <v>5432</v>
      </c>
      <c r="W226" s="55"/>
    </row>
    <row r="227" spans="1:23">
      <c r="A227" s="55">
        <v>45903</v>
      </c>
      <c r="B227" t="s">
        <v>1063</v>
      </c>
      <c r="C227" t="s">
        <v>1064</v>
      </c>
      <c r="D227" t="s">
        <v>202</v>
      </c>
      <c r="E227">
        <v>85345</v>
      </c>
      <c r="F227" t="s">
        <v>310</v>
      </c>
      <c r="G227" t="s">
        <v>506</v>
      </c>
      <c r="H227">
        <v>6673831000</v>
      </c>
      <c r="I227" t="s">
        <v>36</v>
      </c>
      <c r="J227" t="s">
        <v>37</v>
      </c>
      <c r="K227" t="s">
        <v>37</v>
      </c>
      <c r="L227" t="s">
        <v>38</v>
      </c>
      <c r="M227" t="s">
        <v>37</v>
      </c>
      <c r="N227" t="s">
        <v>37</v>
      </c>
      <c r="O227" t="s">
        <v>38</v>
      </c>
      <c r="P227" t="s">
        <v>39</v>
      </c>
      <c r="Q227" s="55">
        <v>45967</v>
      </c>
      <c r="R227" t="s">
        <v>5432</v>
      </c>
      <c r="S227" t="s">
        <v>5432</v>
      </c>
      <c r="T227" t="s">
        <v>5432</v>
      </c>
      <c r="U227" t="s">
        <v>5432</v>
      </c>
      <c r="W227" s="55"/>
    </row>
    <row r="228" spans="1:23">
      <c r="A228" s="55">
        <v>45903</v>
      </c>
      <c r="B228" t="s">
        <v>1066</v>
      </c>
      <c r="C228" t="s">
        <v>1067</v>
      </c>
      <c r="D228" t="s">
        <v>202</v>
      </c>
      <c r="E228">
        <v>85383</v>
      </c>
      <c r="F228" t="s">
        <v>310</v>
      </c>
      <c r="G228" t="s">
        <v>506</v>
      </c>
      <c r="H228">
        <v>7999643303</v>
      </c>
      <c r="I228" t="s">
        <v>196</v>
      </c>
      <c r="J228" t="s">
        <v>37</v>
      </c>
      <c r="K228" t="s">
        <v>37</v>
      </c>
      <c r="L228" t="s">
        <v>38</v>
      </c>
      <c r="M228" t="s">
        <v>37</v>
      </c>
      <c r="N228" t="s">
        <v>37</v>
      </c>
      <c r="O228" t="s">
        <v>38</v>
      </c>
      <c r="P228" t="s">
        <v>39</v>
      </c>
      <c r="Q228" s="55">
        <v>45967</v>
      </c>
      <c r="R228" t="s">
        <v>5432</v>
      </c>
      <c r="S228" t="s">
        <v>5432</v>
      </c>
      <c r="T228" t="s">
        <v>5432</v>
      </c>
      <c r="U228" t="s">
        <v>5432</v>
      </c>
      <c r="W228" s="55"/>
    </row>
    <row r="229" spans="1:23">
      <c r="A229" s="55">
        <v>45903</v>
      </c>
      <c r="B229" t="s">
        <v>1069</v>
      </c>
      <c r="C229" t="s">
        <v>1070</v>
      </c>
      <c r="D229" t="s">
        <v>202</v>
      </c>
      <c r="E229">
        <v>85383</v>
      </c>
      <c r="F229" t="s">
        <v>310</v>
      </c>
      <c r="G229" t="s">
        <v>506</v>
      </c>
      <c r="H229">
        <v>5909021014</v>
      </c>
      <c r="I229" t="s">
        <v>196</v>
      </c>
      <c r="J229" t="s">
        <v>37</v>
      </c>
      <c r="K229" t="s">
        <v>37</v>
      </c>
      <c r="L229" t="s">
        <v>1072</v>
      </c>
      <c r="M229" t="s">
        <v>37</v>
      </c>
      <c r="N229" t="s">
        <v>37</v>
      </c>
      <c r="O229" t="s">
        <v>38</v>
      </c>
      <c r="P229">
        <v>45936</v>
      </c>
      <c r="Q229" s="55">
        <v>45967</v>
      </c>
      <c r="R229" t="s">
        <v>1073</v>
      </c>
      <c r="S229" t="s">
        <v>5432</v>
      </c>
      <c r="T229" t="s">
        <v>5432</v>
      </c>
      <c r="U229" t="s">
        <v>5432</v>
      </c>
      <c r="W229" s="55"/>
    </row>
    <row r="230" spans="1:23">
      <c r="A230" s="55">
        <v>45903</v>
      </c>
      <c r="B230" t="s">
        <v>1074</v>
      </c>
      <c r="C230" t="s">
        <v>1075</v>
      </c>
      <c r="D230" t="s">
        <v>202</v>
      </c>
      <c r="E230">
        <v>85383</v>
      </c>
      <c r="F230" t="s">
        <v>310</v>
      </c>
      <c r="G230" t="s">
        <v>506</v>
      </c>
      <c r="H230">
        <v>1040821177</v>
      </c>
      <c r="I230" t="s">
        <v>36</v>
      </c>
      <c r="J230" t="s">
        <v>37</v>
      </c>
      <c r="K230" t="s">
        <v>37</v>
      </c>
      <c r="L230" t="s">
        <v>38</v>
      </c>
      <c r="M230" t="s">
        <v>37</v>
      </c>
      <c r="N230" t="s">
        <v>37</v>
      </c>
      <c r="O230" t="s">
        <v>38</v>
      </c>
      <c r="P230" t="s">
        <v>39</v>
      </c>
      <c r="Q230" s="55">
        <v>45967</v>
      </c>
      <c r="R230" t="s">
        <v>1077</v>
      </c>
      <c r="S230" t="s">
        <v>5432</v>
      </c>
      <c r="T230" t="s">
        <v>5432</v>
      </c>
      <c r="U230" t="s">
        <v>5432</v>
      </c>
      <c r="W230" s="55"/>
    </row>
    <row r="231" spans="1:23">
      <c r="A231" s="55">
        <v>45903</v>
      </c>
      <c r="B231" t="s">
        <v>1078</v>
      </c>
      <c r="C231" t="s">
        <v>1079</v>
      </c>
      <c r="D231" t="s">
        <v>169</v>
      </c>
      <c r="E231">
        <v>85338</v>
      </c>
      <c r="F231" t="s">
        <v>31</v>
      </c>
      <c r="G231" t="s">
        <v>506</v>
      </c>
      <c r="H231">
        <v>6593130000</v>
      </c>
      <c r="I231" t="s">
        <v>418</v>
      </c>
      <c r="J231" t="s">
        <v>37</v>
      </c>
      <c r="K231" t="s">
        <v>37</v>
      </c>
      <c r="L231" t="s">
        <v>389</v>
      </c>
      <c r="M231" t="s">
        <v>37</v>
      </c>
      <c r="N231" t="s">
        <v>37</v>
      </c>
      <c r="O231" t="s">
        <v>38</v>
      </c>
      <c r="P231" t="s">
        <v>39</v>
      </c>
      <c r="Q231" s="55">
        <v>45967</v>
      </c>
      <c r="R231" t="s">
        <v>5432</v>
      </c>
      <c r="S231" t="s">
        <v>5432</v>
      </c>
      <c r="T231" t="s">
        <v>5432</v>
      </c>
      <c r="U231" t="s">
        <v>5432</v>
      </c>
      <c r="W231" s="55"/>
    </row>
    <row r="232" spans="1:23">
      <c r="A232" s="55">
        <v>45903</v>
      </c>
      <c r="B232" t="s">
        <v>1081</v>
      </c>
      <c r="C232" t="s">
        <v>1082</v>
      </c>
      <c r="D232" t="s">
        <v>523</v>
      </c>
      <c r="E232">
        <v>85392</v>
      </c>
      <c r="F232" t="s">
        <v>310</v>
      </c>
      <c r="G232" t="s">
        <v>506</v>
      </c>
      <c r="H232">
        <v>3151454631</v>
      </c>
      <c r="I232" t="s">
        <v>36</v>
      </c>
      <c r="J232" t="s">
        <v>37</v>
      </c>
      <c r="K232" t="s">
        <v>37</v>
      </c>
      <c r="L232" t="s">
        <v>38</v>
      </c>
      <c r="M232" t="s">
        <v>37</v>
      </c>
      <c r="N232" t="s">
        <v>37</v>
      </c>
      <c r="O232" t="s">
        <v>38</v>
      </c>
      <c r="P232" t="s">
        <v>39</v>
      </c>
      <c r="Q232" s="55">
        <v>45967</v>
      </c>
      <c r="R232" t="s">
        <v>5432</v>
      </c>
      <c r="S232" t="s">
        <v>5432</v>
      </c>
      <c r="T232" t="s">
        <v>5432</v>
      </c>
      <c r="U232" t="s">
        <v>5432</v>
      </c>
      <c r="W232" s="55"/>
    </row>
    <row r="233" spans="1:23">
      <c r="A233" s="55">
        <v>45903</v>
      </c>
      <c r="B233" t="s">
        <v>1084</v>
      </c>
      <c r="C233" t="s">
        <v>1085</v>
      </c>
      <c r="D233" t="s">
        <v>169</v>
      </c>
      <c r="E233">
        <v>85395</v>
      </c>
      <c r="F233" t="s">
        <v>1086</v>
      </c>
      <c r="G233" t="s">
        <v>506</v>
      </c>
      <c r="H233">
        <v>5982620000</v>
      </c>
      <c r="I233" t="s">
        <v>36</v>
      </c>
      <c r="J233" t="s">
        <v>37</v>
      </c>
      <c r="K233" t="s">
        <v>37</v>
      </c>
      <c r="L233" t="s">
        <v>38</v>
      </c>
      <c r="M233" t="s">
        <v>37</v>
      </c>
      <c r="N233" t="s">
        <v>37</v>
      </c>
      <c r="O233" t="s">
        <v>38</v>
      </c>
      <c r="P233" t="s">
        <v>39</v>
      </c>
      <c r="Q233" s="55">
        <v>45967</v>
      </c>
      <c r="R233" t="s">
        <v>5432</v>
      </c>
      <c r="S233" t="s">
        <v>5432</v>
      </c>
      <c r="T233" t="s">
        <v>5432</v>
      </c>
      <c r="U233" t="s">
        <v>5432</v>
      </c>
      <c r="W233" s="55"/>
    </row>
    <row r="234" spans="1:23">
      <c r="A234" s="55">
        <v>45903</v>
      </c>
      <c r="B234" t="s">
        <v>1088</v>
      </c>
      <c r="C234" t="s">
        <v>1089</v>
      </c>
      <c r="D234" t="s">
        <v>169</v>
      </c>
      <c r="E234">
        <v>85338</v>
      </c>
      <c r="F234" t="s">
        <v>761</v>
      </c>
      <c r="G234" t="s">
        <v>506</v>
      </c>
      <c r="H234">
        <v>9823890000</v>
      </c>
      <c r="I234" t="s">
        <v>36</v>
      </c>
      <c r="J234" t="s">
        <v>37</v>
      </c>
      <c r="K234" t="s">
        <v>37</v>
      </c>
      <c r="L234" t="s">
        <v>38</v>
      </c>
      <c r="M234" t="s">
        <v>38</v>
      </c>
      <c r="N234">
        <v>2144.27</v>
      </c>
      <c r="O234" t="s">
        <v>38</v>
      </c>
      <c r="P234" t="s">
        <v>5432</v>
      </c>
      <c r="Q234" s="55">
        <v>45967</v>
      </c>
      <c r="R234" t="s">
        <v>495</v>
      </c>
      <c r="S234" t="s">
        <v>5432</v>
      </c>
      <c r="T234" t="s">
        <v>5432</v>
      </c>
      <c r="U234" t="s">
        <v>5432</v>
      </c>
      <c r="W234" s="55"/>
    </row>
    <row r="235" spans="1:23">
      <c r="A235" s="55">
        <v>45903</v>
      </c>
      <c r="B235" t="s">
        <v>1092</v>
      </c>
      <c r="C235" t="s">
        <v>1093</v>
      </c>
      <c r="D235" t="s">
        <v>202</v>
      </c>
      <c r="E235">
        <v>85383</v>
      </c>
      <c r="F235" t="s">
        <v>310</v>
      </c>
      <c r="G235" t="s">
        <v>506</v>
      </c>
      <c r="H235">
        <v>5408340000</v>
      </c>
      <c r="I235" t="s">
        <v>36</v>
      </c>
      <c r="J235" t="s">
        <v>37</v>
      </c>
      <c r="K235" t="s">
        <v>37</v>
      </c>
      <c r="L235" t="s">
        <v>38</v>
      </c>
      <c r="M235" t="s">
        <v>37</v>
      </c>
      <c r="N235" t="s">
        <v>37</v>
      </c>
      <c r="O235" t="s">
        <v>38</v>
      </c>
      <c r="P235" t="s">
        <v>39</v>
      </c>
      <c r="Q235" s="55">
        <v>45967</v>
      </c>
      <c r="R235" t="s">
        <v>5432</v>
      </c>
      <c r="S235" t="s">
        <v>5432</v>
      </c>
      <c r="T235" t="s">
        <v>5432</v>
      </c>
      <c r="U235" t="s">
        <v>5432</v>
      </c>
      <c r="W235" s="55"/>
    </row>
    <row r="236" spans="1:23">
      <c r="A236" s="55">
        <v>45903</v>
      </c>
      <c r="B236" t="s">
        <v>1095</v>
      </c>
      <c r="C236" t="s">
        <v>156</v>
      </c>
      <c r="D236" t="s">
        <v>24</v>
      </c>
      <c r="E236">
        <v>85308</v>
      </c>
      <c r="F236" t="s">
        <v>310</v>
      </c>
      <c r="G236" t="s">
        <v>506</v>
      </c>
      <c r="H236">
        <v>5195558690</v>
      </c>
      <c r="I236" t="s">
        <v>196</v>
      </c>
      <c r="J236" t="s">
        <v>37</v>
      </c>
      <c r="K236" t="s">
        <v>37</v>
      </c>
      <c r="L236" t="s">
        <v>1097</v>
      </c>
      <c r="M236" t="s">
        <v>37</v>
      </c>
      <c r="N236" t="s">
        <v>37</v>
      </c>
      <c r="O236" t="s">
        <v>38</v>
      </c>
      <c r="P236" t="s">
        <v>39</v>
      </c>
      <c r="Q236" s="55">
        <v>45967</v>
      </c>
      <c r="R236" t="s">
        <v>5432</v>
      </c>
      <c r="S236" t="s">
        <v>5432</v>
      </c>
      <c r="T236" t="s">
        <v>5432</v>
      </c>
      <c r="U236" t="s">
        <v>5432</v>
      </c>
      <c r="W236" s="55"/>
    </row>
    <row r="237" spans="1:23">
      <c r="A237" s="55">
        <v>45903</v>
      </c>
      <c r="B237" t="s">
        <v>1098</v>
      </c>
      <c r="C237" t="s">
        <v>1099</v>
      </c>
      <c r="D237" t="s">
        <v>125</v>
      </c>
      <c r="E237">
        <v>85251</v>
      </c>
      <c r="F237" t="s">
        <v>310</v>
      </c>
      <c r="G237" t="s">
        <v>506</v>
      </c>
      <c r="H237">
        <v>8384335318</v>
      </c>
      <c r="I237" t="s">
        <v>126</v>
      </c>
      <c r="J237" t="s">
        <v>37</v>
      </c>
      <c r="K237" t="s">
        <v>37</v>
      </c>
      <c r="L237" t="s">
        <v>1101</v>
      </c>
      <c r="M237" t="s">
        <v>37</v>
      </c>
      <c r="N237" t="s">
        <v>37</v>
      </c>
      <c r="O237" t="s">
        <v>38</v>
      </c>
      <c r="P237" t="s">
        <v>39</v>
      </c>
      <c r="Q237" s="55">
        <v>45967</v>
      </c>
      <c r="R237" t="s">
        <v>5432</v>
      </c>
      <c r="S237" t="s">
        <v>5432</v>
      </c>
      <c r="T237" t="s">
        <v>5432</v>
      </c>
      <c r="U237" t="s">
        <v>5432</v>
      </c>
      <c r="W237" s="55"/>
    </row>
    <row r="238" spans="1:23">
      <c r="A238" s="55">
        <v>45903</v>
      </c>
      <c r="B238" t="s">
        <v>1102</v>
      </c>
      <c r="C238" t="s">
        <v>1103</v>
      </c>
      <c r="D238" t="s">
        <v>125</v>
      </c>
      <c r="E238">
        <v>85266</v>
      </c>
      <c r="F238" t="s">
        <v>31</v>
      </c>
      <c r="G238" t="s">
        <v>506</v>
      </c>
      <c r="H238">
        <v>6177370000</v>
      </c>
      <c r="I238" t="s">
        <v>36</v>
      </c>
      <c r="J238" t="s">
        <v>37</v>
      </c>
      <c r="K238" t="s">
        <v>37</v>
      </c>
      <c r="L238" t="s">
        <v>38</v>
      </c>
      <c r="M238" t="s">
        <v>37</v>
      </c>
      <c r="N238" t="s">
        <v>37</v>
      </c>
      <c r="O238" t="s">
        <v>38</v>
      </c>
      <c r="P238" t="s">
        <v>39</v>
      </c>
      <c r="Q238" s="55">
        <v>45967</v>
      </c>
      <c r="R238" t="s">
        <v>5432</v>
      </c>
      <c r="S238" t="s">
        <v>5432</v>
      </c>
      <c r="T238" t="s">
        <v>5432</v>
      </c>
      <c r="U238" t="s">
        <v>5432</v>
      </c>
      <c r="W238" s="55"/>
    </row>
    <row r="239" spans="1:23">
      <c r="A239" s="55">
        <v>45903</v>
      </c>
      <c r="B239" t="s">
        <v>1107</v>
      </c>
      <c r="C239" t="s">
        <v>1108</v>
      </c>
      <c r="D239" t="s">
        <v>63</v>
      </c>
      <c r="E239">
        <v>85085</v>
      </c>
      <c r="F239" t="s">
        <v>310</v>
      </c>
      <c r="G239" t="s">
        <v>506</v>
      </c>
      <c r="H239">
        <v>4708815097</v>
      </c>
      <c r="I239" t="s">
        <v>73</v>
      </c>
      <c r="J239" t="s">
        <v>37</v>
      </c>
      <c r="K239" t="s">
        <v>37</v>
      </c>
      <c r="L239" t="s">
        <v>38</v>
      </c>
      <c r="M239" t="s">
        <v>37</v>
      </c>
      <c r="N239" t="s">
        <v>37</v>
      </c>
      <c r="O239" t="s">
        <v>38</v>
      </c>
      <c r="P239" t="s">
        <v>39</v>
      </c>
      <c r="Q239" s="55">
        <v>45967</v>
      </c>
      <c r="R239" t="s">
        <v>5432</v>
      </c>
      <c r="S239" t="s">
        <v>5432</v>
      </c>
      <c r="T239" t="s">
        <v>5432</v>
      </c>
      <c r="U239" t="s">
        <v>5432</v>
      </c>
      <c r="W239" s="55"/>
    </row>
    <row r="240" spans="1:23">
      <c r="A240" s="55">
        <v>45903</v>
      </c>
      <c r="B240" t="s">
        <v>1112</v>
      </c>
      <c r="C240" t="s">
        <v>1113</v>
      </c>
      <c r="D240" t="s">
        <v>523</v>
      </c>
      <c r="E240">
        <v>85392</v>
      </c>
      <c r="F240" t="s">
        <v>31</v>
      </c>
      <c r="G240" t="s">
        <v>506</v>
      </c>
      <c r="H240">
        <v>3066335881</v>
      </c>
      <c r="I240" t="s">
        <v>196</v>
      </c>
      <c r="J240" t="s">
        <v>37</v>
      </c>
      <c r="K240" t="s">
        <v>37</v>
      </c>
      <c r="L240" t="s">
        <v>38</v>
      </c>
      <c r="M240" t="s">
        <v>37</v>
      </c>
      <c r="N240" t="s">
        <v>37</v>
      </c>
      <c r="O240" t="s">
        <v>38</v>
      </c>
      <c r="P240" t="s">
        <v>39</v>
      </c>
      <c r="Q240" s="55">
        <v>45967</v>
      </c>
      <c r="R240" t="s">
        <v>5432</v>
      </c>
      <c r="S240" t="s">
        <v>5432</v>
      </c>
      <c r="T240" t="s">
        <v>5432</v>
      </c>
      <c r="U240" t="s">
        <v>5432</v>
      </c>
      <c r="W240" s="55"/>
    </row>
    <row r="241" spans="1:23">
      <c r="A241" s="55">
        <v>45903</v>
      </c>
      <c r="B241" t="s">
        <v>1116</v>
      </c>
      <c r="C241" t="s">
        <v>1117</v>
      </c>
      <c r="D241" t="s">
        <v>63</v>
      </c>
      <c r="E241">
        <v>85020</v>
      </c>
      <c r="F241" t="s">
        <v>310</v>
      </c>
      <c r="G241" t="s">
        <v>506</v>
      </c>
      <c r="H241">
        <v>3555354916</v>
      </c>
      <c r="I241" t="s">
        <v>36</v>
      </c>
      <c r="J241" t="s">
        <v>37</v>
      </c>
      <c r="K241" t="s">
        <v>37</v>
      </c>
      <c r="L241" t="s">
        <v>38</v>
      </c>
      <c r="M241" t="s">
        <v>37</v>
      </c>
      <c r="N241" t="s">
        <v>37</v>
      </c>
      <c r="O241" t="s">
        <v>38</v>
      </c>
      <c r="P241" t="s">
        <v>39</v>
      </c>
      <c r="Q241" s="55">
        <v>45967</v>
      </c>
      <c r="R241" t="s">
        <v>5432</v>
      </c>
      <c r="S241" t="s">
        <v>5432</v>
      </c>
      <c r="T241" t="s">
        <v>5432</v>
      </c>
      <c r="U241" t="s">
        <v>5432</v>
      </c>
      <c r="W241" s="55"/>
    </row>
    <row r="242" spans="1:23">
      <c r="A242" s="55">
        <v>45903</v>
      </c>
      <c r="B242" t="s">
        <v>1119</v>
      </c>
      <c r="C242" t="s">
        <v>1120</v>
      </c>
      <c r="D242" t="s">
        <v>63</v>
      </c>
      <c r="E242">
        <v>85050</v>
      </c>
      <c r="F242" t="s">
        <v>1121</v>
      </c>
      <c r="G242" t="s">
        <v>506</v>
      </c>
      <c r="H242">
        <v>1516066562</v>
      </c>
      <c r="I242" t="s">
        <v>36</v>
      </c>
      <c r="J242" t="s">
        <v>37</v>
      </c>
      <c r="K242" t="s">
        <v>37</v>
      </c>
      <c r="L242" t="s">
        <v>38</v>
      </c>
      <c r="M242" t="s">
        <v>37</v>
      </c>
      <c r="N242" t="s">
        <v>37</v>
      </c>
      <c r="O242" t="s">
        <v>38</v>
      </c>
      <c r="P242" t="s">
        <v>39</v>
      </c>
      <c r="Q242" s="55">
        <v>45967</v>
      </c>
      <c r="R242" t="s">
        <v>5432</v>
      </c>
      <c r="S242" t="s">
        <v>5432</v>
      </c>
      <c r="T242" t="s">
        <v>5432</v>
      </c>
      <c r="U242" t="s">
        <v>5432</v>
      </c>
      <c r="W242" s="55"/>
    </row>
    <row r="243" spans="1:23">
      <c r="A243" s="55">
        <v>45903</v>
      </c>
      <c r="B243" t="s">
        <v>1123</v>
      </c>
      <c r="C243" t="s">
        <v>1124</v>
      </c>
      <c r="D243" t="s">
        <v>24</v>
      </c>
      <c r="E243">
        <v>85307</v>
      </c>
      <c r="F243" t="s">
        <v>31</v>
      </c>
      <c r="G243" t="s">
        <v>506</v>
      </c>
      <c r="H243">
        <v>2602229474</v>
      </c>
      <c r="I243" t="s">
        <v>36</v>
      </c>
      <c r="J243" t="s">
        <v>37</v>
      </c>
      <c r="K243" t="s">
        <v>37</v>
      </c>
      <c r="L243" t="s">
        <v>38</v>
      </c>
      <c r="M243" t="s">
        <v>37</v>
      </c>
      <c r="N243" t="s">
        <v>37</v>
      </c>
      <c r="O243" t="s">
        <v>38</v>
      </c>
      <c r="P243" t="s">
        <v>39</v>
      </c>
      <c r="Q243" s="55">
        <v>45967</v>
      </c>
      <c r="R243" t="s">
        <v>5432</v>
      </c>
      <c r="S243" t="s">
        <v>5432</v>
      </c>
      <c r="T243" t="s">
        <v>5432</v>
      </c>
      <c r="U243" t="s">
        <v>5432</v>
      </c>
      <c r="W243" s="55"/>
    </row>
    <row r="244" spans="1:23">
      <c r="A244" s="55">
        <v>45903</v>
      </c>
      <c r="B244" t="s">
        <v>1126</v>
      </c>
      <c r="C244" t="s">
        <v>1127</v>
      </c>
      <c r="D244" t="s">
        <v>24</v>
      </c>
      <c r="E244">
        <v>85308</v>
      </c>
      <c r="F244" t="s">
        <v>310</v>
      </c>
      <c r="G244" t="s">
        <v>506</v>
      </c>
      <c r="H244">
        <v>4830007876</v>
      </c>
      <c r="I244" t="s">
        <v>36</v>
      </c>
      <c r="J244" t="s">
        <v>37</v>
      </c>
      <c r="K244" t="s">
        <v>37</v>
      </c>
      <c r="L244" t="s">
        <v>38</v>
      </c>
      <c r="M244" t="s">
        <v>37</v>
      </c>
      <c r="N244" t="s">
        <v>37</v>
      </c>
      <c r="O244" t="s">
        <v>38</v>
      </c>
      <c r="P244" t="s">
        <v>39</v>
      </c>
      <c r="Q244" s="55">
        <v>45967</v>
      </c>
      <c r="R244" t="s">
        <v>5432</v>
      </c>
      <c r="S244" t="s">
        <v>5432</v>
      </c>
      <c r="T244" t="s">
        <v>5432</v>
      </c>
      <c r="U244" t="s">
        <v>5432</v>
      </c>
      <c r="W244" s="55"/>
    </row>
    <row r="245" spans="1:23">
      <c r="A245" s="55">
        <v>45903</v>
      </c>
      <c r="B245" t="s">
        <v>1129</v>
      </c>
      <c r="C245" t="s">
        <v>1130</v>
      </c>
      <c r="D245" t="s">
        <v>63</v>
      </c>
      <c r="E245">
        <v>85050</v>
      </c>
      <c r="F245" t="s">
        <v>31</v>
      </c>
      <c r="G245" t="s">
        <v>506</v>
      </c>
      <c r="H245">
        <v>9391573388</v>
      </c>
      <c r="I245" t="s">
        <v>196</v>
      </c>
      <c r="J245" t="s">
        <v>37</v>
      </c>
      <c r="K245" t="s">
        <v>37</v>
      </c>
      <c r="L245" t="s">
        <v>38</v>
      </c>
      <c r="M245" t="s">
        <v>37</v>
      </c>
      <c r="N245" t="s">
        <v>37</v>
      </c>
      <c r="O245" t="s">
        <v>38</v>
      </c>
      <c r="P245" t="s">
        <v>39</v>
      </c>
      <c r="Q245" s="55">
        <v>45967</v>
      </c>
      <c r="R245" t="s">
        <v>5432</v>
      </c>
      <c r="S245" t="s">
        <v>5432</v>
      </c>
      <c r="T245" t="s">
        <v>5432</v>
      </c>
      <c r="U245" t="s">
        <v>5432</v>
      </c>
      <c r="W245" s="55"/>
    </row>
    <row r="246" spans="1:23">
      <c r="A246" s="55">
        <v>45903</v>
      </c>
      <c r="B246" t="s">
        <v>1132</v>
      </c>
      <c r="C246" t="s">
        <v>1133</v>
      </c>
      <c r="D246" t="s">
        <v>63</v>
      </c>
      <c r="E246">
        <v>85024</v>
      </c>
      <c r="F246" t="s">
        <v>310</v>
      </c>
      <c r="G246" t="s">
        <v>506</v>
      </c>
      <c r="H246">
        <v>6430651000</v>
      </c>
      <c r="I246" t="s">
        <v>196</v>
      </c>
      <c r="J246" t="s">
        <v>37</v>
      </c>
      <c r="K246" t="s">
        <v>37</v>
      </c>
      <c r="L246" t="s">
        <v>38</v>
      </c>
      <c r="M246" t="s">
        <v>37</v>
      </c>
      <c r="N246" t="s">
        <v>37</v>
      </c>
      <c r="O246" t="s">
        <v>38</v>
      </c>
      <c r="P246" t="s">
        <v>39</v>
      </c>
      <c r="Q246" s="55">
        <v>45967</v>
      </c>
      <c r="R246" t="s">
        <v>5432</v>
      </c>
      <c r="S246" t="s">
        <v>5432</v>
      </c>
      <c r="T246" t="s">
        <v>5432</v>
      </c>
      <c r="U246" t="s">
        <v>5432</v>
      </c>
      <c r="W246" s="55"/>
    </row>
    <row r="247" spans="1:23">
      <c r="A247" s="55">
        <v>45903</v>
      </c>
      <c r="B247" t="s">
        <v>1136</v>
      </c>
      <c r="C247" t="s">
        <v>177</v>
      </c>
      <c r="D247" t="s">
        <v>169</v>
      </c>
      <c r="E247">
        <v>85338</v>
      </c>
      <c r="F247" t="s">
        <v>1137</v>
      </c>
      <c r="G247" t="s">
        <v>506</v>
      </c>
      <c r="H247">
        <v>1731130049</v>
      </c>
      <c r="I247" t="s">
        <v>36</v>
      </c>
      <c r="J247" t="s">
        <v>38</v>
      </c>
      <c r="K247" t="s">
        <v>37</v>
      </c>
      <c r="L247" t="s">
        <v>38</v>
      </c>
      <c r="M247" t="s">
        <v>37</v>
      </c>
      <c r="N247" t="s">
        <v>37</v>
      </c>
      <c r="O247" t="s">
        <v>38</v>
      </c>
      <c r="P247" t="s">
        <v>39</v>
      </c>
      <c r="Q247" s="55">
        <v>45967</v>
      </c>
      <c r="R247" t="s">
        <v>5432</v>
      </c>
      <c r="S247" t="s">
        <v>5432</v>
      </c>
      <c r="T247" t="s">
        <v>5432</v>
      </c>
      <c r="U247" t="s">
        <v>5432</v>
      </c>
      <c r="W247" s="55"/>
    </row>
    <row r="248" spans="1:23">
      <c r="A248" s="55">
        <v>45903</v>
      </c>
      <c r="B248" t="s">
        <v>1139</v>
      </c>
      <c r="C248" t="s">
        <v>1140</v>
      </c>
      <c r="D248" t="s">
        <v>169</v>
      </c>
      <c r="E248">
        <v>85395</v>
      </c>
      <c r="F248" t="s">
        <v>1141</v>
      </c>
      <c r="G248" t="s">
        <v>506</v>
      </c>
      <c r="H248">
        <v>1370139140</v>
      </c>
      <c r="I248" t="s">
        <v>36</v>
      </c>
      <c r="J248" t="s">
        <v>37</v>
      </c>
      <c r="K248" t="s">
        <v>37</v>
      </c>
      <c r="L248" t="s">
        <v>38</v>
      </c>
      <c r="M248" t="s">
        <v>37</v>
      </c>
      <c r="N248" t="s">
        <v>37</v>
      </c>
      <c r="O248" t="s">
        <v>38</v>
      </c>
      <c r="P248" t="s">
        <v>39</v>
      </c>
      <c r="Q248" s="55">
        <v>45967</v>
      </c>
      <c r="R248" t="s">
        <v>5432</v>
      </c>
      <c r="S248" t="s">
        <v>5432</v>
      </c>
      <c r="T248" t="s">
        <v>5432</v>
      </c>
      <c r="U248" t="s">
        <v>5432</v>
      </c>
      <c r="W248" s="55"/>
    </row>
    <row r="249" spans="1:23">
      <c r="A249" s="55">
        <v>45903</v>
      </c>
      <c r="B249" t="s">
        <v>1142</v>
      </c>
      <c r="C249" t="s">
        <v>1143</v>
      </c>
      <c r="D249" t="s">
        <v>125</v>
      </c>
      <c r="E249">
        <v>85266</v>
      </c>
      <c r="F249" t="s">
        <v>310</v>
      </c>
      <c r="G249" t="s">
        <v>506</v>
      </c>
      <c r="H249">
        <v>5498445656</v>
      </c>
      <c r="I249" t="s">
        <v>36</v>
      </c>
      <c r="J249" t="s">
        <v>37</v>
      </c>
      <c r="K249" t="s">
        <v>37</v>
      </c>
      <c r="L249" t="s">
        <v>38</v>
      </c>
      <c r="M249" t="s">
        <v>37</v>
      </c>
      <c r="N249" t="s">
        <v>37</v>
      </c>
      <c r="O249" t="s">
        <v>38</v>
      </c>
      <c r="P249" t="s">
        <v>39</v>
      </c>
      <c r="Q249" s="55">
        <v>45967</v>
      </c>
      <c r="R249" t="s">
        <v>5432</v>
      </c>
      <c r="S249" t="s">
        <v>5432</v>
      </c>
      <c r="T249" t="s">
        <v>5432</v>
      </c>
      <c r="U249" t="s">
        <v>5432</v>
      </c>
      <c r="W249" s="55"/>
    </row>
    <row r="250" spans="1:23">
      <c r="A250" s="55">
        <v>45903</v>
      </c>
      <c r="B250" t="s">
        <v>1151</v>
      </c>
      <c r="C250" t="s">
        <v>1152</v>
      </c>
      <c r="D250" t="s">
        <v>202</v>
      </c>
      <c r="E250">
        <v>85383</v>
      </c>
      <c r="F250" t="s">
        <v>310</v>
      </c>
      <c r="G250" t="s">
        <v>506</v>
      </c>
      <c r="H250">
        <v>3401570000</v>
      </c>
      <c r="I250" t="s">
        <v>541</v>
      </c>
      <c r="J250" t="s">
        <v>37</v>
      </c>
      <c r="K250" t="s">
        <v>37</v>
      </c>
      <c r="L250" t="s">
        <v>389</v>
      </c>
      <c r="M250" t="s">
        <v>37</v>
      </c>
      <c r="N250" t="s">
        <v>37</v>
      </c>
      <c r="O250" t="s">
        <v>38</v>
      </c>
      <c r="P250" t="s">
        <v>39</v>
      </c>
      <c r="Q250" s="55">
        <v>45967</v>
      </c>
      <c r="R250" t="s">
        <v>5432</v>
      </c>
      <c r="S250" t="s">
        <v>5432</v>
      </c>
      <c r="T250" t="s">
        <v>5432</v>
      </c>
      <c r="U250" t="s">
        <v>5432</v>
      </c>
      <c r="W250" s="55"/>
    </row>
    <row r="251" spans="1:23">
      <c r="A251" s="55">
        <v>45903</v>
      </c>
      <c r="B251" t="s">
        <v>1153</v>
      </c>
      <c r="C251" t="s">
        <v>1154</v>
      </c>
      <c r="D251" t="s">
        <v>63</v>
      </c>
      <c r="E251">
        <v>85024</v>
      </c>
      <c r="F251" t="s">
        <v>1155</v>
      </c>
      <c r="G251" t="s">
        <v>506</v>
      </c>
      <c r="H251">
        <v>8225159115</v>
      </c>
      <c r="I251" t="s">
        <v>196</v>
      </c>
      <c r="J251" t="s">
        <v>37</v>
      </c>
      <c r="K251" t="s">
        <v>37</v>
      </c>
      <c r="L251" t="s">
        <v>1157</v>
      </c>
      <c r="M251" t="s">
        <v>37</v>
      </c>
      <c r="N251" t="s">
        <v>37</v>
      </c>
      <c r="O251" t="s">
        <v>38</v>
      </c>
      <c r="P251">
        <v>45936</v>
      </c>
      <c r="Q251" s="55">
        <v>45967</v>
      </c>
      <c r="R251" t="s">
        <v>1158</v>
      </c>
      <c r="S251" t="s">
        <v>5432</v>
      </c>
      <c r="T251" t="s">
        <v>5432</v>
      </c>
      <c r="U251" t="s">
        <v>5432</v>
      </c>
      <c r="W251" s="55"/>
    </row>
    <row r="252" spans="1:23">
      <c r="A252" s="55">
        <v>45903</v>
      </c>
      <c r="B252" t="s">
        <v>1159</v>
      </c>
      <c r="C252" t="s">
        <v>1160</v>
      </c>
      <c r="D252" t="s">
        <v>202</v>
      </c>
      <c r="E252">
        <v>85383</v>
      </c>
      <c r="F252" t="s">
        <v>310</v>
      </c>
      <c r="G252" t="s">
        <v>506</v>
      </c>
      <c r="H252">
        <v>4160660000</v>
      </c>
      <c r="I252" t="s">
        <v>36</v>
      </c>
      <c r="J252" t="s">
        <v>37</v>
      </c>
      <c r="K252" t="s">
        <v>37</v>
      </c>
      <c r="L252" t="s">
        <v>38</v>
      </c>
      <c r="M252" t="s">
        <v>37</v>
      </c>
      <c r="N252" t="s">
        <v>37</v>
      </c>
      <c r="O252" t="s">
        <v>38</v>
      </c>
      <c r="P252" t="s">
        <v>39</v>
      </c>
      <c r="Q252" s="55">
        <v>45967</v>
      </c>
      <c r="R252" t="s">
        <v>5432</v>
      </c>
      <c r="S252" t="s">
        <v>5432</v>
      </c>
      <c r="T252" t="s">
        <v>5432</v>
      </c>
      <c r="U252" t="s">
        <v>5432</v>
      </c>
      <c r="W252" s="55"/>
    </row>
    <row r="253" spans="1:23">
      <c r="A253" s="55">
        <v>45903</v>
      </c>
      <c r="B253" t="s">
        <v>1162</v>
      </c>
      <c r="C253" t="s">
        <v>1163</v>
      </c>
      <c r="D253" t="s">
        <v>63</v>
      </c>
      <c r="E253">
        <v>85085</v>
      </c>
      <c r="F253" t="s">
        <v>310</v>
      </c>
      <c r="G253" t="s">
        <v>506</v>
      </c>
      <c r="H253">
        <v>6149005878</v>
      </c>
      <c r="I253" t="s">
        <v>36</v>
      </c>
      <c r="J253" t="s">
        <v>37</v>
      </c>
      <c r="K253" t="s">
        <v>37</v>
      </c>
      <c r="L253" t="s">
        <v>38</v>
      </c>
      <c r="M253" t="s">
        <v>37</v>
      </c>
      <c r="N253" t="s">
        <v>37</v>
      </c>
      <c r="O253" t="s">
        <v>38</v>
      </c>
      <c r="P253" t="s">
        <v>39</v>
      </c>
      <c r="Q253" s="55">
        <v>45967</v>
      </c>
      <c r="R253" t="s">
        <v>5432</v>
      </c>
      <c r="S253" t="s">
        <v>5432</v>
      </c>
      <c r="T253" t="s">
        <v>5432</v>
      </c>
      <c r="U253" t="s">
        <v>5432</v>
      </c>
      <c r="W253" s="55"/>
    </row>
    <row r="254" spans="1:23">
      <c r="A254" s="55">
        <v>45903</v>
      </c>
      <c r="B254" t="s">
        <v>1165</v>
      </c>
      <c r="C254" t="s">
        <v>1166</v>
      </c>
      <c r="D254" t="s">
        <v>240</v>
      </c>
      <c r="E254">
        <v>85340</v>
      </c>
      <c r="F254" t="s">
        <v>1167</v>
      </c>
      <c r="G254" t="s">
        <v>506</v>
      </c>
      <c r="H254">
        <v>9366820000</v>
      </c>
      <c r="I254" t="s">
        <v>126</v>
      </c>
      <c r="J254" t="s">
        <v>38</v>
      </c>
      <c r="K254" t="s">
        <v>37</v>
      </c>
      <c r="L254" t="s">
        <v>1169</v>
      </c>
      <c r="M254" t="s">
        <v>37</v>
      </c>
      <c r="N254" t="s">
        <v>37</v>
      </c>
      <c r="O254" t="s">
        <v>38</v>
      </c>
      <c r="P254" t="s">
        <v>39</v>
      </c>
      <c r="Q254" s="55">
        <v>45967</v>
      </c>
      <c r="R254" t="s">
        <v>5432</v>
      </c>
      <c r="S254" t="s">
        <v>5432</v>
      </c>
      <c r="T254" t="s">
        <v>5432</v>
      </c>
      <c r="U254" t="s">
        <v>5432</v>
      </c>
      <c r="W254" s="55"/>
    </row>
    <row r="255" spans="1:23">
      <c r="A255" s="55">
        <v>45903</v>
      </c>
      <c r="B255" t="s">
        <v>1170</v>
      </c>
      <c r="C255" t="s">
        <v>1171</v>
      </c>
      <c r="D255" t="s">
        <v>63</v>
      </c>
      <c r="E255">
        <v>85050</v>
      </c>
      <c r="F255" t="s">
        <v>1172</v>
      </c>
      <c r="G255" t="s">
        <v>506</v>
      </c>
      <c r="H255">
        <v>1735662106</v>
      </c>
      <c r="I255" t="s">
        <v>1040</v>
      </c>
      <c r="J255" t="s">
        <v>37</v>
      </c>
      <c r="K255" t="s">
        <v>37</v>
      </c>
      <c r="L255" t="s">
        <v>1174</v>
      </c>
      <c r="M255" t="s">
        <v>37</v>
      </c>
      <c r="N255" t="s">
        <v>37</v>
      </c>
      <c r="O255" t="s">
        <v>38</v>
      </c>
      <c r="P255">
        <v>45936</v>
      </c>
      <c r="Q255" s="55">
        <v>45967</v>
      </c>
      <c r="R255" t="s">
        <v>1175</v>
      </c>
      <c r="S255" t="s">
        <v>5432</v>
      </c>
      <c r="T255" t="s">
        <v>5432</v>
      </c>
      <c r="U255" t="s">
        <v>5432</v>
      </c>
      <c r="W255" s="55"/>
    </row>
    <row r="256" spans="1:23">
      <c r="A256" s="55">
        <v>45903</v>
      </c>
      <c r="B256" t="s">
        <v>1178</v>
      </c>
      <c r="C256" t="s">
        <v>1179</v>
      </c>
      <c r="D256" t="s">
        <v>30</v>
      </c>
      <c r="E256">
        <v>85085</v>
      </c>
      <c r="F256" t="s">
        <v>310</v>
      </c>
      <c r="G256" t="s">
        <v>506</v>
      </c>
      <c r="H256">
        <v>7495690000</v>
      </c>
      <c r="I256" t="s">
        <v>196</v>
      </c>
      <c r="J256" t="s">
        <v>37</v>
      </c>
      <c r="K256" t="s">
        <v>37</v>
      </c>
      <c r="L256" t="s">
        <v>1181</v>
      </c>
      <c r="M256" t="s">
        <v>37</v>
      </c>
      <c r="N256" t="s">
        <v>37</v>
      </c>
      <c r="O256" t="s">
        <v>38</v>
      </c>
      <c r="P256" t="s">
        <v>39</v>
      </c>
      <c r="Q256" s="55">
        <v>45967</v>
      </c>
      <c r="R256" t="s">
        <v>5432</v>
      </c>
      <c r="S256" t="s">
        <v>5432</v>
      </c>
      <c r="T256" t="s">
        <v>5432</v>
      </c>
      <c r="U256" t="s">
        <v>5432</v>
      </c>
      <c r="W256" s="55"/>
    </row>
    <row r="257" spans="1:23">
      <c r="A257" s="55">
        <v>45903</v>
      </c>
      <c r="B257" t="s">
        <v>1185</v>
      </c>
      <c r="C257" t="s">
        <v>312</v>
      </c>
      <c r="D257" t="s">
        <v>523</v>
      </c>
      <c r="E257">
        <v>85323</v>
      </c>
      <c r="F257" t="s">
        <v>1186</v>
      </c>
      <c r="G257" t="s">
        <v>506</v>
      </c>
      <c r="H257">
        <v>1165327687</v>
      </c>
      <c r="I257" t="s">
        <v>73</v>
      </c>
      <c r="J257" t="s">
        <v>37</v>
      </c>
      <c r="K257" t="s">
        <v>37</v>
      </c>
      <c r="L257" t="s">
        <v>38</v>
      </c>
      <c r="M257" t="s">
        <v>37</v>
      </c>
      <c r="N257" t="s">
        <v>37</v>
      </c>
      <c r="O257" t="s">
        <v>38</v>
      </c>
      <c r="P257" t="s">
        <v>39</v>
      </c>
      <c r="Q257" s="55">
        <v>45967</v>
      </c>
      <c r="R257" t="s">
        <v>5432</v>
      </c>
      <c r="S257" t="s">
        <v>5432</v>
      </c>
      <c r="T257" t="s">
        <v>5432</v>
      </c>
      <c r="U257" t="s">
        <v>5432</v>
      </c>
      <c r="W257" s="55"/>
    </row>
    <row r="258" spans="1:23">
      <c r="A258" s="55">
        <v>45903</v>
      </c>
      <c r="B258" t="s">
        <v>1190</v>
      </c>
      <c r="C258" t="s">
        <v>1191</v>
      </c>
      <c r="D258" t="s">
        <v>523</v>
      </c>
      <c r="E258">
        <v>85392</v>
      </c>
      <c r="F258" t="s">
        <v>1186</v>
      </c>
      <c r="G258" t="s">
        <v>506</v>
      </c>
      <c r="H258">
        <v>4057601000</v>
      </c>
      <c r="I258" t="s">
        <v>196</v>
      </c>
      <c r="J258" t="s">
        <v>37</v>
      </c>
      <c r="K258" t="s">
        <v>37</v>
      </c>
      <c r="L258" t="s">
        <v>38</v>
      </c>
      <c r="M258" t="s">
        <v>37</v>
      </c>
      <c r="N258" t="s">
        <v>37</v>
      </c>
      <c r="O258" t="s">
        <v>38</v>
      </c>
      <c r="P258" t="s">
        <v>39</v>
      </c>
      <c r="Q258" s="55">
        <v>45967</v>
      </c>
      <c r="R258" t="s">
        <v>5432</v>
      </c>
      <c r="S258" t="s">
        <v>5432</v>
      </c>
      <c r="T258" t="s">
        <v>5432</v>
      </c>
      <c r="U258" t="s">
        <v>5432</v>
      </c>
      <c r="W258" s="55"/>
    </row>
    <row r="259" spans="1:23">
      <c r="A259" s="55">
        <v>45903</v>
      </c>
      <c r="B259" t="s">
        <v>1195</v>
      </c>
      <c r="C259" t="s">
        <v>558</v>
      </c>
      <c r="D259" t="s">
        <v>63</v>
      </c>
      <c r="E259">
        <v>85050</v>
      </c>
      <c r="F259" t="s">
        <v>310</v>
      </c>
      <c r="G259" t="s">
        <v>506</v>
      </c>
      <c r="H259">
        <v>4421402302</v>
      </c>
      <c r="I259" t="s">
        <v>36</v>
      </c>
      <c r="J259" t="s">
        <v>37</v>
      </c>
      <c r="K259" t="s">
        <v>37</v>
      </c>
      <c r="L259" t="s">
        <v>38</v>
      </c>
      <c r="M259" t="s">
        <v>37</v>
      </c>
      <c r="N259" t="s">
        <v>37</v>
      </c>
      <c r="O259" t="s">
        <v>38</v>
      </c>
      <c r="P259" t="s">
        <v>39</v>
      </c>
      <c r="Q259" s="55">
        <v>45967</v>
      </c>
      <c r="R259" t="s">
        <v>5432</v>
      </c>
      <c r="S259" t="s">
        <v>5432</v>
      </c>
      <c r="T259" t="s">
        <v>5432</v>
      </c>
      <c r="U259" t="s">
        <v>5432</v>
      </c>
      <c r="W259" s="55"/>
    </row>
    <row r="260" spans="1:23">
      <c r="A260" s="55">
        <v>45903</v>
      </c>
      <c r="B260" t="s">
        <v>1197</v>
      </c>
      <c r="C260" t="s">
        <v>1198</v>
      </c>
      <c r="D260" t="s">
        <v>63</v>
      </c>
      <c r="E260">
        <v>85050</v>
      </c>
      <c r="F260" t="s">
        <v>1199</v>
      </c>
      <c r="G260" t="s">
        <v>506</v>
      </c>
      <c r="H260">
        <v>6442661000</v>
      </c>
      <c r="I260" t="s">
        <v>196</v>
      </c>
      <c r="J260" t="s">
        <v>37</v>
      </c>
      <c r="K260" t="s">
        <v>37</v>
      </c>
      <c r="L260" t="s">
        <v>38</v>
      </c>
      <c r="M260" t="s">
        <v>37</v>
      </c>
      <c r="N260" t="s">
        <v>37</v>
      </c>
      <c r="O260" t="s">
        <v>38</v>
      </c>
      <c r="P260" t="s">
        <v>39</v>
      </c>
      <c r="Q260" s="55">
        <v>45967</v>
      </c>
      <c r="R260" t="s">
        <v>5432</v>
      </c>
      <c r="S260" t="s">
        <v>5432</v>
      </c>
      <c r="T260" t="s">
        <v>5432</v>
      </c>
      <c r="U260" t="s">
        <v>5432</v>
      </c>
      <c r="W260" s="55"/>
    </row>
    <row r="261" spans="1:23">
      <c r="A261" s="55">
        <v>45903</v>
      </c>
      <c r="B261" t="s">
        <v>1202</v>
      </c>
      <c r="C261" t="s">
        <v>1203</v>
      </c>
      <c r="D261" t="s">
        <v>1204</v>
      </c>
      <c r="E261">
        <v>85355</v>
      </c>
      <c r="F261" t="s">
        <v>1205</v>
      </c>
      <c r="G261" t="s">
        <v>506</v>
      </c>
      <c r="H261">
        <v>9399510000</v>
      </c>
      <c r="I261" t="s">
        <v>36</v>
      </c>
      <c r="J261" t="s">
        <v>37</v>
      </c>
      <c r="K261" t="s">
        <v>37</v>
      </c>
      <c r="L261" t="s">
        <v>38</v>
      </c>
      <c r="M261" t="s">
        <v>37</v>
      </c>
      <c r="N261" t="s">
        <v>37</v>
      </c>
      <c r="O261" t="s">
        <v>38</v>
      </c>
      <c r="P261" t="s">
        <v>39</v>
      </c>
      <c r="Q261" s="55">
        <v>45967</v>
      </c>
      <c r="R261" t="s">
        <v>5432</v>
      </c>
      <c r="S261" t="s">
        <v>5432</v>
      </c>
      <c r="T261" t="s">
        <v>5432</v>
      </c>
      <c r="U261" t="s">
        <v>5432</v>
      </c>
      <c r="W261" s="55"/>
    </row>
    <row r="262" spans="1:23">
      <c r="A262" s="55">
        <v>45903</v>
      </c>
      <c r="B262" t="s">
        <v>824</v>
      </c>
      <c r="C262" t="s">
        <v>328</v>
      </c>
      <c r="D262" t="s">
        <v>112</v>
      </c>
      <c r="E262">
        <v>85379</v>
      </c>
      <c r="F262" t="s">
        <v>310</v>
      </c>
      <c r="G262" t="s">
        <v>506</v>
      </c>
      <c r="H262">
        <v>4029770000</v>
      </c>
      <c r="I262" t="s">
        <v>36</v>
      </c>
      <c r="J262" t="s">
        <v>37</v>
      </c>
      <c r="K262" t="s">
        <v>37</v>
      </c>
      <c r="L262" t="s">
        <v>38</v>
      </c>
      <c r="M262" t="s">
        <v>37</v>
      </c>
      <c r="N262" t="s">
        <v>37</v>
      </c>
      <c r="O262" t="s">
        <v>38</v>
      </c>
      <c r="P262" t="s">
        <v>39</v>
      </c>
      <c r="Q262" s="55">
        <v>45967</v>
      </c>
      <c r="R262" t="s">
        <v>5432</v>
      </c>
      <c r="S262" t="s">
        <v>5432</v>
      </c>
      <c r="T262" t="s">
        <v>5432</v>
      </c>
      <c r="U262" t="s">
        <v>5432</v>
      </c>
      <c r="W262" s="55"/>
    </row>
    <row r="263" spans="1:23">
      <c r="A263" s="55">
        <v>45903</v>
      </c>
      <c r="B263" t="s">
        <v>1210</v>
      </c>
      <c r="C263" t="s">
        <v>115</v>
      </c>
      <c r="D263" t="s">
        <v>169</v>
      </c>
      <c r="E263">
        <v>85338</v>
      </c>
      <c r="F263" t="s">
        <v>1211</v>
      </c>
      <c r="G263" t="s">
        <v>506</v>
      </c>
      <c r="H263">
        <v>8289821000</v>
      </c>
      <c r="I263" t="s">
        <v>36</v>
      </c>
      <c r="J263" t="s">
        <v>37</v>
      </c>
      <c r="K263" t="s">
        <v>37</v>
      </c>
      <c r="L263" t="s">
        <v>38</v>
      </c>
      <c r="M263" t="s">
        <v>37</v>
      </c>
      <c r="N263" t="s">
        <v>37</v>
      </c>
      <c r="O263" t="s">
        <v>38</v>
      </c>
      <c r="P263" t="s">
        <v>39</v>
      </c>
      <c r="Q263" s="55">
        <v>45967</v>
      </c>
      <c r="R263" t="s">
        <v>5432</v>
      </c>
      <c r="S263" t="s">
        <v>5432</v>
      </c>
      <c r="T263" t="s">
        <v>5432</v>
      </c>
      <c r="U263" t="s">
        <v>5432</v>
      </c>
      <c r="W263" s="55"/>
    </row>
    <row r="264" spans="1:23">
      <c r="A264" s="55">
        <v>45903</v>
      </c>
      <c r="B264" t="s">
        <v>1213</v>
      </c>
      <c r="C264" t="s">
        <v>1214</v>
      </c>
      <c r="D264" t="s">
        <v>169</v>
      </c>
      <c r="E264">
        <v>85338</v>
      </c>
      <c r="F264" t="s">
        <v>1215</v>
      </c>
      <c r="G264" t="s">
        <v>506</v>
      </c>
      <c r="H264">
        <v>4197620114</v>
      </c>
      <c r="I264" t="s">
        <v>46</v>
      </c>
      <c r="J264" t="s">
        <v>37</v>
      </c>
      <c r="K264" t="s">
        <v>37</v>
      </c>
      <c r="L264" t="s">
        <v>1217</v>
      </c>
      <c r="M264" t="s">
        <v>37</v>
      </c>
      <c r="N264" t="s">
        <v>37</v>
      </c>
      <c r="O264" t="s">
        <v>38</v>
      </c>
      <c r="P264">
        <v>46301</v>
      </c>
      <c r="Q264" s="55">
        <v>45967</v>
      </c>
      <c r="R264" t="s">
        <v>1218</v>
      </c>
      <c r="S264" t="s">
        <v>5432</v>
      </c>
      <c r="T264" t="s">
        <v>5432</v>
      </c>
      <c r="U264" t="s">
        <v>5432</v>
      </c>
      <c r="W264" s="55"/>
    </row>
    <row r="265" spans="1:23">
      <c r="A265" s="55">
        <v>45903</v>
      </c>
      <c r="B265" t="s">
        <v>1219</v>
      </c>
      <c r="C265" t="s">
        <v>1220</v>
      </c>
      <c r="D265" t="s">
        <v>240</v>
      </c>
      <c r="E265">
        <v>85340</v>
      </c>
      <c r="F265" t="s">
        <v>31</v>
      </c>
      <c r="G265" t="s">
        <v>506</v>
      </c>
      <c r="H265">
        <v>5575896939</v>
      </c>
      <c r="I265" t="s">
        <v>36</v>
      </c>
      <c r="J265" t="s">
        <v>37</v>
      </c>
      <c r="K265" t="s">
        <v>37</v>
      </c>
      <c r="L265" t="s">
        <v>38</v>
      </c>
      <c r="M265" t="s">
        <v>37</v>
      </c>
      <c r="N265" t="s">
        <v>37</v>
      </c>
      <c r="O265" t="s">
        <v>38</v>
      </c>
      <c r="P265" t="s">
        <v>39</v>
      </c>
      <c r="Q265" s="55">
        <v>45967</v>
      </c>
      <c r="R265" t="s">
        <v>5432</v>
      </c>
      <c r="S265" t="s">
        <v>5432</v>
      </c>
      <c r="T265" t="s">
        <v>5432</v>
      </c>
      <c r="U265" t="s">
        <v>5432</v>
      </c>
      <c r="W265" s="55"/>
    </row>
    <row r="266" spans="1:23">
      <c r="A266" s="55">
        <v>45903</v>
      </c>
      <c r="B266" t="s">
        <v>1222</v>
      </c>
      <c r="C266" t="s">
        <v>1223</v>
      </c>
      <c r="D266" t="s">
        <v>169</v>
      </c>
      <c r="E266">
        <v>85395</v>
      </c>
      <c r="F266" t="s">
        <v>1224</v>
      </c>
      <c r="G266" t="s">
        <v>506</v>
      </c>
      <c r="H266">
        <v>3482449172</v>
      </c>
      <c r="I266" t="s">
        <v>46</v>
      </c>
      <c r="J266" t="s">
        <v>37</v>
      </c>
      <c r="K266" t="s">
        <v>37</v>
      </c>
      <c r="L266" t="s">
        <v>38</v>
      </c>
      <c r="M266" t="s">
        <v>37</v>
      </c>
      <c r="N266" t="s">
        <v>37</v>
      </c>
      <c r="O266" t="s">
        <v>38</v>
      </c>
      <c r="P266" t="s">
        <v>39</v>
      </c>
      <c r="Q266" s="55">
        <v>45967</v>
      </c>
      <c r="R266" t="s">
        <v>5432</v>
      </c>
      <c r="S266" t="s">
        <v>5432</v>
      </c>
      <c r="T266" t="s">
        <v>5432</v>
      </c>
      <c r="U266" t="s">
        <v>5432</v>
      </c>
      <c r="W266" s="55"/>
    </row>
    <row r="267" spans="1:23">
      <c r="A267" s="55">
        <v>45903</v>
      </c>
      <c r="B267" t="s">
        <v>1226</v>
      </c>
      <c r="C267" t="s">
        <v>1227</v>
      </c>
      <c r="D267" t="s">
        <v>112</v>
      </c>
      <c r="E267">
        <v>85387</v>
      </c>
      <c r="F267" t="s">
        <v>31</v>
      </c>
      <c r="G267" t="s">
        <v>506</v>
      </c>
      <c r="H267">
        <v>7095896229</v>
      </c>
      <c r="I267" t="s">
        <v>196</v>
      </c>
      <c r="J267" t="s">
        <v>37</v>
      </c>
      <c r="K267" t="s">
        <v>37</v>
      </c>
      <c r="L267" t="s">
        <v>1229</v>
      </c>
      <c r="M267" t="s">
        <v>37</v>
      </c>
      <c r="N267" t="s">
        <v>37</v>
      </c>
      <c r="O267" t="s">
        <v>38</v>
      </c>
      <c r="P267" t="s">
        <v>39</v>
      </c>
      <c r="Q267" s="55">
        <v>45967</v>
      </c>
      <c r="R267" t="s">
        <v>1230</v>
      </c>
      <c r="S267" t="s">
        <v>5432</v>
      </c>
      <c r="T267" t="s">
        <v>5432</v>
      </c>
      <c r="U267" t="s">
        <v>5432</v>
      </c>
      <c r="W267" s="55"/>
    </row>
    <row r="268" spans="1:23">
      <c r="A268" s="55">
        <v>45903</v>
      </c>
      <c r="B268" t="s">
        <v>1233</v>
      </c>
      <c r="C268" t="s">
        <v>359</v>
      </c>
      <c r="D268" t="s">
        <v>169</v>
      </c>
      <c r="E268">
        <v>85338</v>
      </c>
      <c r="F268" t="s">
        <v>310</v>
      </c>
      <c r="G268" t="s">
        <v>506</v>
      </c>
      <c r="H268">
        <v>6996682837</v>
      </c>
      <c r="I268" t="s">
        <v>196</v>
      </c>
      <c r="J268" t="s">
        <v>37</v>
      </c>
      <c r="K268" t="s">
        <v>37</v>
      </c>
      <c r="L268" t="s">
        <v>1235</v>
      </c>
      <c r="M268" t="s">
        <v>37</v>
      </c>
      <c r="N268" t="s">
        <v>37</v>
      </c>
      <c r="O268" t="s">
        <v>38</v>
      </c>
      <c r="P268">
        <v>45936</v>
      </c>
      <c r="Q268" s="55">
        <v>45967</v>
      </c>
      <c r="R268" t="s">
        <v>1236</v>
      </c>
      <c r="S268" t="s">
        <v>5432</v>
      </c>
      <c r="T268" t="s">
        <v>5432</v>
      </c>
      <c r="U268" t="s">
        <v>5432</v>
      </c>
      <c r="W268" s="55"/>
    </row>
    <row r="269" spans="1:23">
      <c r="A269" s="55">
        <v>45903</v>
      </c>
      <c r="B269" t="s">
        <v>1237</v>
      </c>
      <c r="C269" t="s">
        <v>1238</v>
      </c>
      <c r="D269" t="s">
        <v>169</v>
      </c>
      <c r="E269">
        <v>85338</v>
      </c>
      <c r="F269" t="s">
        <v>1239</v>
      </c>
      <c r="G269" t="s">
        <v>506</v>
      </c>
      <c r="H269">
        <v>8783763808</v>
      </c>
      <c r="I269" t="s">
        <v>243</v>
      </c>
      <c r="J269" t="s">
        <v>38</v>
      </c>
      <c r="K269" t="s">
        <v>37</v>
      </c>
      <c r="L269" t="s">
        <v>389</v>
      </c>
      <c r="M269" t="s">
        <v>38</v>
      </c>
      <c r="N269">
        <v>520.65</v>
      </c>
      <c r="O269" t="s">
        <v>38</v>
      </c>
      <c r="P269" t="s">
        <v>5432</v>
      </c>
      <c r="Q269" s="55">
        <v>45967</v>
      </c>
      <c r="R269" t="s">
        <v>495</v>
      </c>
      <c r="S269" t="s">
        <v>5432</v>
      </c>
      <c r="T269" t="s">
        <v>5432</v>
      </c>
      <c r="U269" t="s">
        <v>5432</v>
      </c>
      <c r="W269" s="55"/>
    </row>
    <row r="270" spans="1:23">
      <c r="A270" s="55">
        <v>45903</v>
      </c>
      <c r="B270" t="s">
        <v>1241</v>
      </c>
      <c r="C270" t="s">
        <v>1242</v>
      </c>
      <c r="D270" t="s">
        <v>169</v>
      </c>
      <c r="E270">
        <v>85338</v>
      </c>
      <c r="F270" t="s">
        <v>31</v>
      </c>
      <c r="G270" t="s">
        <v>506</v>
      </c>
      <c r="H270">
        <v>4613459862</v>
      </c>
      <c r="I270" t="s">
        <v>196</v>
      </c>
      <c r="J270" t="s">
        <v>37</v>
      </c>
      <c r="K270" t="s">
        <v>37</v>
      </c>
      <c r="L270" t="s">
        <v>1244</v>
      </c>
      <c r="M270" t="s">
        <v>37</v>
      </c>
      <c r="N270" t="s">
        <v>37</v>
      </c>
      <c r="O270" t="s">
        <v>38</v>
      </c>
      <c r="P270">
        <v>45936</v>
      </c>
      <c r="Q270" s="55">
        <v>45967</v>
      </c>
      <c r="R270" t="s">
        <v>1245</v>
      </c>
      <c r="S270" t="s">
        <v>5432</v>
      </c>
      <c r="T270" t="s">
        <v>5432</v>
      </c>
      <c r="U270" t="s">
        <v>5432</v>
      </c>
      <c r="W270" s="55"/>
    </row>
    <row r="271" spans="1:23">
      <c r="A271" s="55">
        <v>45903</v>
      </c>
      <c r="B271" t="s">
        <v>1247</v>
      </c>
      <c r="C271" t="s">
        <v>1248</v>
      </c>
      <c r="D271" t="s">
        <v>370</v>
      </c>
      <c r="E271">
        <v>85225</v>
      </c>
      <c r="F271" t="s">
        <v>310</v>
      </c>
      <c r="G271" t="s">
        <v>506</v>
      </c>
      <c r="H271">
        <v>8501883965</v>
      </c>
      <c r="I271" t="s">
        <v>36</v>
      </c>
      <c r="J271" t="s">
        <v>37</v>
      </c>
      <c r="K271" t="s">
        <v>37</v>
      </c>
      <c r="L271" t="s">
        <v>38</v>
      </c>
      <c r="M271" t="s">
        <v>37</v>
      </c>
      <c r="N271" t="s">
        <v>37</v>
      </c>
      <c r="O271" t="s">
        <v>38</v>
      </c>
      <c r="P271" t="s">
        <v>39</v>
      </c>
      <c r="Q271" s="55">
        <v>45967</v>
      </c>
      <c r="R271" t="s">
        <v>5432</v>
      </c>
      <c r="S271" t="s">
        <v>5432</v>
      </c>
      <c r="T271" t="s">
        <v>5432</v>
      </c>
      <c r="U271" t="s">
        <v>5432</v>
      </c>
      <c r="W271" s="55"/>
    </row>
    <row r="272" spans="1:23">
      <c r="A272" s="55">
        <v>45903</v>
      </c>
      <c r="B272" t="s">
        <v>1250</v>
      </c>
      <c r="C272" t="s">
        <v>156</v>
      </c>
      <c r="D272" t="s">
        <v>63</v>
      </c>
      <c r="E272">
        <v>85032</v>
      </c>
      <c r="F272" t="s">
        <v>310</v>
      </c>
      <c r="G272" t="s">
        <v>506</v>
      </c>
      <c r="H272">
        <v>3248157690</v>
      </c>
      <c r="I272" t="s">
        <v>196</v>
      </c>
      <c r="J272" t="s">
        <v>37</v>
      </c>
      <c r="K272" t="s">
        <v>37</v>
      </c>
      <c r="L272" t="s">
        <v>1252</v>
      </c>
      <c r="M272" t="s">
        <v>37</v>
      </c>
      <c r="N272" t="s">
        <v>37</v>
      </c>
      <c r="O272" t="s">
        <v>38</v>
      </c>
      <c r="P272">
        <v>45936</v>
      </c>
      <c r="Q272" s="55">
        <v>45967</v>
      </c>
      <c r="R272" t="s">
        <v>1245</v>
      </c>
      <c r="S272" t="s">
        <v>5432</v>
      </c>
      <c r="T272" t="s">
        <v>5432</v>
      </c>
      <c r="U272" t="s">
        <v>5432</v>
      </c>
      <c r="W272" s="55"/>
    </row>
    <row r="273" spans="1:23">
      <c r="A273" s="55">
        <v>45903</v>
      </c>
      <c r="B273" t="s">
        <v>134</v>
      </c>
      <c r="C273" t="s">
        <v>456</v>
      </c>
      <c r="D273" t="s">
        <v>24</v>
      </c>
      <c r="E273">
        <v>85306</v>
      </c>
      <c r="F273" t="s">
        <v>310</v>
      </c>
      <c r="G273" t="s">
        <v>506</v>
      </c>
      <c r="H273">
        <v>8215139884</v>
      </c>
      <c r="I273" t="s">
        <v>196</v>
      </c>
      <c r="J273" t="s">
        <v>37</v>
      </c>
      <c r="K273" t="s">
        <v>37</v>
      </c>
      <c r="L273" t="s">
        <v>1254</v>
      </c>
      <c r="M273" t="s">
        <v>37</v>
      </c>
      <c r="N273" t="s">
        <v>37</v>
      </c>
      <c r="O273" t="s">
        <v>38</v>
      </c>
      <c r="P273" t="s">
        <v>39</v>
      </c>
      <c r="Q273" s="55">
        <v>45967</v>
      </c>
      <c r="R273" t="s">
        <v>5432</v>
      </c>
      <c r="S273" t="s">
        <v>5432</v>
      </c>
      <c r="T273" t="s">
        <v>5432</v>
      </c>
      <c r="U273" t="s">
        <v>5432</v>
      </c>
      <c r="W273" s="55"/>
    </row>
    <row r="274" spans="1:23">
      <c r="A274" s="55">
        <v>45903</v>
      </c>
      <c r="B274" t="s">
        <v>1255</v>
      </c>
      <c r="C274" t="s">
        <v>1092</v>
      </c>
      <c r="D274" t="s">
        <v>169</v>
      </c>
      <c r="E274">
        <v>85338</v>
      </c>
      <c r="F274" t="s">
        <v>761</v>
      </c>
      <c r="G274" t="s">
        <v>506</v>
      </c>
      <c r="H274">
        <v>5372451122</v>
      </c>
      <c r="I274" t="s">
        <v>196</v>
      </c>
      <c r="J274" t="s">
        <v>37</v>
      </c>
      <c r="K274" t="s">
        <v>37</v>
      </c>
      <c r="L274" t="s">
        <v>1257</v>
      </c>
      <c r="M274" t="s">
        <v>37</v>
      </c>
      <c r="N274" t="s">
        <v>37</v>
      </c>
      <c r="O274" t="s">
        <v>38</v>
      </c>
      <c r="P274" t="s">
        <v>39</v>
      </c>
      <c r="Q274" s="55">
        <v>45967</v>
      </c>
      <c r="R274" t="s">
        <v>5432</v>
      </c>
      <c r="S274" t="s">
        <v>5432</v>
      </c>
      <c r="T274" t="s">
        <v>5432</v>
      </c>
      <c r="U274" t="s">
        <v>5432</v>
      </c>
      <c r="W274" s="55"/>
    </row>
    <row r="275" spans="1:23">
      <c r="A275" s="55">
        <v>45903</v>
      </c>
      <c r="B275" t="s">
        <v>1258</v>
      </c>
      <c r="C275" t="s">
        <v>1259</v>
      </c>
      <c r="D275" t="s">
        <v>136</v>
      </c>
      <c r="E275">
        <v>85377</v>
      </c>
      <c r="F275" t="s">
        <v>1260</v>
      </c>
      <c r="G275" t="s">
        <v>506</v>
      </c>
      <c r="H275">
        <v>3204790000</v>
      </c>
      <c r="I275" t="s">
        <v>36</v>
      </c>
      <c r="J275" t="s">
        <v>37</v>
      </c>
      <c r="K275" t="s">
        <v>37</v>
      </c>
      <c r="L275" t="s">
        <v>38</v>
      </c>
      <c r="M275" t="s">
        <v>37</v>
      </c>
      <c r="N275" t="s">
        <v>37</v>
      </c>
      <c r="O275" t="s">
        <v>38</v>
      </c>
      <c r="P275" t="s">
        <v>39</v>
      </c>
      <c r="Q275" s="55">
        <v>45967</v>
      </c>
      <c r="R275" t="s">
        <v>1262</v>
      </c>
      <c r="S275" t="s">
        <v>5432</v>
      </c>
      <c r="T275" t="s">
        <v>5432</v>
      </c>
      <c r="U275" t="s">
        <v>5432</v>
      </c>
      <c r="W275" s="55"/>
    </row>
    <row r="276" spans="1:23">
      <c r="A276" s="55">
        <v>45903</v>
      </c>
      <c r="B276" t="s">
        <v>1185</v>
      </c>
      <c r="C276" t="s">
        <v>1268</v>
      </c>
      <c r="D276" t="s">
        <v>169</v>
      </c>
      <c r="E276">
        <v>85338</v>
      </c>
      <c r="F276" t="s">
        <v>1269</v>
      </c>
      <c r="G276" t="s">
        <v>506</v>
      </c>
      <c r="H276">
        <v>6591101000</v>
      </c>
      <c r="I276" t="s">
        <v>418</v>
      </c>
      <c r="J276" t="s">
        <v>37</v>
      </c>
      <c r="K276" t="s">
        <v>37</v>
      </c>
      <c r="L276" t="s">
        <v>389</v>
      </c>
      <c r="M276" t="s">
        <v>37</v>
      </c>
      <c r="N276" t="s">
        <v>37</v>
      </c>
      <c r="O276" t="s">
        <v>38</v>
      </c>
      <c r="P276" t="s">
        <v>39</v>
      </c>
      <c r="Q276" s="55">
        <v>45967</v>
      </c>
      <c r="R276" t="s">
        <v>5432</v>
      </c>
      <c r="S276" t="s">
        <v>5432</v>
      </c>
      <c r="T276" t="s">
        <v>5432</v>
      </c>
      <c r="U276" t="s">
        <v>5432</v>
      </c>
      <c r="W276" s="55"/>
    </row>
    <row r="277" spans="1:23">
      <c r="A277" s="55">
        <v>45903</v>
      </c>
      <c r="B277" t="s">
        <v>1271</v>
      </c>
      <c r="C277" t="s">
        <v>75</v>
      </c>
      <c r="D277" t="s">
        <v>169</v>
      </c>
      <c r="E277">
        <v>85338</v>
      </c>
      <c r="F277" t="s">
        <v>1272</v>
      </c>
      <c r="G277" t="s">
        <v>506</v>
      </c>
      <c r="H277">
        <v>7295561000</v>
      </c>
      <c r="I277" t="s">
        <v>36</v>
      </c>
      <c r="J277" t="s">
        <v>37</v>
      </c>
      <c r="K277" t="s">
        <v>37</v>
      </c>
      <c r="L277" t="s">
        <v>38</v>
      </c>
      <c r="M277" t="s">
        <v>37</v>
      </c>
      <c r="N277" t="s">
        <v>37</v>
      </c>
      <c r="O277" t="s">
        <v>38</v>
      </c>
      <c r="P277" t="s">
        <v>39</v>
      </c>
      <c r="Q277" s="55">
        <v>45967</v>
      </c>
      <c r="R277" t="s">
        <v>5432</v>
      </c>
      <c r="S277" t="s">
        <v>5432</v>
      </c>
      <c r="T277" t="s">
        <v>5432</v>
      </c>
      <c r="U277" t="s">
        <v>5432</v>
      </c>
      <c r="W277" s="55"/>
    </row>
    <row r="278" spans="1:23">
      <c r="A278" s="55">
        <v>45903</v>
      </c>
      <c r="B278" t="s">
        <v>1274</v>
      </c>
      <c r="C278" t="s">
        <v>1275</v>
      </c>
      <c r="D278" t="s">
        <v>125</v>
      </c>
      <c r="E278">
        <v>85260</v>
      </c>
      <c r="F278" t="s">
        <v>310</v>
      </c>
      <c r="G278" t="s">
        <v>506</v>
      </c>
      <c r="H278">
        <v>6697601000</v>
      </c>
      <c r="I278" t="s">
        <v>36</v>
      </c>
      <c r="J278" t="s">
        <v>37</v>
      </c>
      <c r="K278" t="s">
        <v>37</v>
      </c>
      <c r="L278" t="s">
        <v>38</v>
      </c>
      <c r="M278" t="s">
        <v>37</v>
      </c>
      <c r="N278" t="s">
        <v>37</v>
      </c>
      <c r="O278" t="s">
        <v>38</v>
      </c>
      <c r="P278" t="s">
        <v>39</v>
      </c>
      <c r="Q278" s="55">
        <v>45967</v>
      </c>
      <c r="R278" t="s">
        <v>5432</v>
      </c>
      <c r="S278" t="s">
        <v>5432</v>
      </c>
      <c r="T278" t="s">
        <v>5432</v>
      </c>
      <c r="U278" t="s">
        <v>5432</v>
      </c>
      <c r="W278" s="55"/>
    </row>
    <row r="279" spans="1:23">
      <c r="A279" s="55">
        <v>45903</v>
      </c>
      <c r="B279" t="s">
        <v>1280</v>
      </c>
      <c r="C279" t="s">
        <v>911</v>
      </c>
      <c r="D279" t="s">
        <v>112</v>
      </c>
      <c r="E279">
        <v>85374</v>
      </c>
      <c r="F279" t="s">
        <v>31</v>
      </c>
      <c r="G279" t="s">
        <v>506</v>
      </c>
      <c r="H279">
        <v>8065380000</v>
      </c>
      <c r="I279" t="s">
        <v>36</v>
      </c>
      <c r="J279" t="s">
        <v>37</v>
      </c>
      <c r="K279" t="s">
        <v>37</v>
      </c>
      <c r="L279" t="s">
        <v>38</v>
      </c>
      <c r="M279" t="s">
        <v>37</v>
      </c>
      <c r="N279" t="s">
        <v>37</v>
      </c>
      <c r="O279" t="s">
        <v>38</v>
      </c>
      <c r="P279" t="s">
        <v>39</v>
      </c>
      <c r="Q279" s="55">
        <v>45967</v>
      </c>
      <c r="R279" t="s">
        <v>5432</v>
      </c>
      <c r="S279" t="s">
        <v>5432</v>
      </c>
      <c r="T279" t="s">
        <v>5432</v>
      </c>
      <c r="U279" t="s">
        <v>5432</v>
      </c>
      <c r="W279" s="55"/>
    </row>
    <row r="280" spans="1:23">
      <c r="A280" s="55">
        <v>45903</v>
      </c>
      <c r="B280" t="s">
        <v>1282</v>
      </c>
      <c r="C280" t="s">
        <v>471</v>
      </c>
      <c r="D280" t="s">
        <v>619</v>
      </c>
      <c r="E280">
        <v>85365</v>
      </c>
      <c r="F280" t="s">
        <v>1283</v>
      </c>
      <c r="G280" t="s">
        <v>506</v>
      </c>
      <c r="H280">
        <v>5257261000</v>
      </c>
      <c r="I280" t="s">
        <v>36</v>
      </c>
      <c r="J280" t="s">
        <v>37</v>
      </c>
      <c r="K280" t="s">
        <v>37</v>
      </c>
      <c r="L280" t="s">
        <v>38</v>
      </c>
      <c r="M280" t="s">
        <v>37</v>
      </c>
      <c r="N280" t="s">
        <v>37</v>
      </c>
      <c r="O280" t="s">
        <v>38</v>
      </c>
      <c r="P280" t="s">
        <v>39</v>
      </c>
      <c r="Q280" s="55">
        <v>45967</v>
      </c>
      <c r="R280" t="s">
        <v>5432</v>
      </c>
      <c r="S280" t="s">
        <v>5432</v>
      </c>
      <c r="T280" t="s">
        <v>5432</v>
      </c>
      <c r="U280" t="s">
        <v>5432</v>
      </c>
      <c r="W280" s="55"/>
    </row>
    <row r="281" spans="1:23">
      <c r="A281" s="55">
        <v>45903</v>
      </c>
      <c r="B281" t="s">
        <v>1285</v>
      </c>
      <c r="C281" t="s">
        <v>597</v>
      </c>
      <c r="D281" t="s">
        <v>523</v>
      </c>
      <c r="E281">
        <v>85323</v>
      </c>
      <c r="F281" t="s">
        <v>1286</v>
      </c>
      <c r="G281" t="s">
        <v>506</v>
      </c>
      <c r="H281">
        <v>1461856288</v>
      </c>
      <c r="I281" t="s">
        <v>196</v>
      </c>
      <c r="J281" t="s">
        <v>37</v>
      </c>
      <c r="K281" t="s">
        <v>37</v>
      </c>
      <c r="L281" t="s">
        <v>38</v>
      </c>
      <c r="M281" t="s">
        <v>37</v>
      </c>
      <c r="N281" t="s">
        <v>37</v>
      </c>
      <c r="O281" t="s">
        <v>38</v>
      </c>
      <c r="P281" t="s">
        <v>39</v>
      </c>
      <c r="Q281" s="55">
        <v>45967</v>
      </c>
      <c r="R281" t="s">
        <v>5432</v>
      </c>
      <c r="S281" t="s">
        <v>5432</v>
      </c>
      <c r="T281" t="s">
        <v>5432</v>
      </c>
      <c r="U281" t="s">
        <v>5432</v>
      </c>
      <c r="W281" s="55"/>
    </row>
    <row r="282" spans="1:23">
      <c r="A282" s="55">
        <v>45903</v>
      </c>
      <c r="B282" t="s">
        <v>1290</v>
      </c>
      <c r="C282" t="s">
        <v>312</v>
      </c>
      <c r="D282" t="s">
        <v>169</v>
      </c>
      <c r="E282">
        <v>85338</v>
      </c>
      <c r="F282" t="s">
        <v>31</v>
      </c>
      <c r="G282" t="s">
        <v>506</v>
      </c>
      <c r="H282">
        <v>9378830912</v>
      </c>
      <c r="I282" t="s">
        <v>250</v>
      </c>
      <c r="J282" t="s">
        <v>37</v>
      </c>
      <c r="K282" t="s">
        <v>37</v>
      </c>
      <c r="L282" t="s">
        <v>38</v>
      </c>
      <c r="M282" t="s">
        <v>37</v>
      </c>
      <c r="N282" t="s">
        <v>37</v>
      </c>
      <c r="O282" t="s">
        <v>38</v>
      </c>
      <c r="P282" t="s">
        <v>39</v>
      </c>
      <c r="Q282" s="55">
        <v>45967</v>
      </c>
      <c r="R282" t="s">
        <v>5432</v>
      </c>
      <c r="S282" t="s">
        <v>5432</v>
      </c>
      <c r="T282" t="s">
        <v>5432</v>
      </c>
      <c r="U282" t="s">
        <v>5432</v>
      </c>
      <c r="W282" s="55"/>
    </row>
    <row r="283" spans="1:23">
      <c r="A283" s="55">
        <v>45903</v>
      </c>
      <c r="B283" t="s">
        <v>1292</v>
      </c>
      <c r="C283" t="s">
        <v>1293</v>
      </c>
      <c r="D283" t="s">
        <v>63</v>
      </c>
      <c r="E283">
        <v>85085</v>
      </c>
      <c r="F283" t="s">
        <v>310</v>
      </c>
      <c r="G283" t="s">
        <v>506</v>
      </c>
      <c r="H283">
        <v>5843594786</v>
      </c>
      <c r="I283" t="s">
        <v>196</v>
      </c>
      <c r="J283" t="s">
        <v>37</v>
      </c>
      <c r="K283" t="s">
        <v>37</v>
      </c>
      <c r="L283" t="s">
        <v>1295</v>
      </c>
      <c r="M283" t="s">
        <v>37</v>
      </c>
      <c r="N283" t="s">
        <v>37</v>
      </c>
      <c r="O283" t="s">
        <v>38</v>
      </c>
      <c r="P283">
        <v>45936</v>
      </c>
      <c r="Q283" s="55">
        <v>45967</v>
      </c>
      <c r="R283" t="s">
        <v>1296</v>
      </c>
      <c r="S283" t="s">
        <v>5432</v>
      </c>
      <c r="T283" t="s">
        <v>5432</v>
      </c>
      <c r="U283" t="s">
        <v>5432</v>
      </c>
      <c r="W283" s="55"/>
    </row>
    <row r="284" spans="1:23">
      <c r="A284" s="55">
        <v>45903</v>
      </c>
      <c r="B284" t="s">
        <v>1300</v>
      </c>
      <c r="C284" t="s">
        <v>1301</v>
      </c>
      <c r="D284" t="s">
        <v>1302</v>
      </c>
      <c r="E284">
        <v>85390</v>
      </c>
      <c r="F284" t="s">
        <v>31</v>
      </c>
      <c r="G284" t="s">
        <v>506</v>
      </c>
      <c r="H284">
        <v>7667970000</v>
      </c>
      <c r="I284" t="s">
        <v>196</v>
      </c>
      <c r="J284" t="s">
        <v>37</v>
      </c>
      <c r="K284" t="s">
        <v>37</v>
      </c>
      <c r="L284" t="s">
        <v>38</v>
      </c>
      <c r="M284" t="s">
        <v>37</v>
      </c>
      <c r="N284" t="s">
        <v>37</v>
      </c>
      <c r="O284" t="s">
        <v>38</v>
      </c>
      <c r="P284" t="s">
        <v>39</v>
      </c>
      <c r="Q284" s="55">
        <v>45967</v>
      </c>
      <c r="R284" t="s">
        <v>495</v>
      </c>
      <c r="S284" t="s">
        <v>5432</v>
      </c>
      <c r="T284" t="s">
        <v>5432</v>
      </c>
      <c r="U284" t="s">
        <v>5432</v>
      </c>
      <c r="W284" s="55"/>
    </row>
    <row r="285" spans="1:23">
      <c r="A285" s="55">
        <v>45903</v>
      </c>
      <c r="B285" t="s">
        <v>1305</v>
      </c>
      <c r="C285" t="s">
        <v>1306</v>
      </c>
      <c r="D285" t="s">
        <v>428</v>
      </c>
      <c r="E285">
        <v>85335</v>
      </c>
      <c r="F285" t="s">
        <v>31</v>
      </c>
      <c r="G285" t="s">
        <v>506</v>
      </c>
      <c r="H285">
        <v>6947951000</v>
      </c>
      <c r="I285" t="s">
        <v>36</v>
      </c>
      <c r="J285" t="s">
        <v>37</v>
      </c>
      <c r="K285" t="s">
        <v>37</v>
      </c>
      <c r="L285" t="s">
        <v>38</v>
      </c>
      <c r="M285" t="s">
        <v>38</v>
      </c>
      <c r="N285">
        <v>1191.03</v>
      </c>
      <c r="O285" t="s">
        <v>38</v>
      </c>
      <c r="P285" t="s">
        <v>5432</v>
      </c>
      <c r="Q285" s="55">
        <v>45967</v>
      </c>
      <c r="R285" t="s">
        <v>495</v>
      </c>
      <c r="S285" t="s">
        <v>5432</v>
      </c>
      <c r="T285" t="s">
        <v>5432</v>
      </c>
      <c r="U285" t="s">
        <v>1308</v>
      </c>
      <c r="W285" s="55"/>
    </row>
    <row r="286" spans="1:23">
      <c r="A286" s="55">
        <v>45903</v>
      </c>
      <c r="B286" t="s">
        <v>528</v>
      </c>
      <c r="C286" t="s">
        <v>1311</v>
      </c>
      <c r="D286" t="s">
        <v>63</v>
      </c>
      <c r="E286">
        <v>85014</v>
      </c>
      <c r="F286" t="s">
        <v>310</v>
      </c>
      <c r="G286" t="s">
        <v>506</v>
      </c>
      <c r="H286">
        <v>3660458784</v>
      </c>
      <c r="I286" t="s">
        <v>57</v>
      </c>
      <c r="J286" t="s">
        <v>37</v>
      </c>
      <c r="K286" t="s">
        <v>37</v>
      </c>
      <c r="L286" t="s">
        <v>1313</v>
      </c>
      <c r="M286" t="s">
        <v>37</v>
      </c>
      <c r="N286" t="s">
        <v>37</v>
      </c>
      <c r="O286" t="s">
        <v>38</v>
      </c>
      <c r="P286" t="s">
        <v>39</v>
      </c>
      <c r="Q286" s="55">
        <v>45967</v>
      </c>
      <c r="R286" t="s">
        <v>5432</v>
      </c>
      <c r="S286" t="s">
        <v>5432</v>
      </c>
      <c r="T286" t="s">
        <v>5432</v>
      </c>
      <c r="U286" t="s">
        <v>5432</v>
      </c>
      <c r="W286" s="55"/>
    </row>
    <row r="287" spans="1:23">
      <c r="A287" s="55">
        <v>45903</v>
      </c>
      <c r="B287" t="s">
        <v>1314</v>
      </c>
      <c r="C287" t="s">
        <v>225</v>
      </c>
      <c r="D287" t="s">
        <v>169</v>
      </c>
      <c r="E287">
        <v>85395</v>
      </c>
      <c r="F287" t="s">
        <v>1315</v>
      </c>
      <c r="G287" t="s">
        <v>506</v>
      </c>
      <c r="H287">
        <v>519511958</v>
      </c>
      <c r="I287" t="s">
        <v>73</v>
      </c>
      <c r="J287" t="s">
        <v>37</v>
      </c>
      <c r="K287" t="s">
        <v>37</v>
      </c>
      <c r="L287" t="s">
        <v>38</v>
      </c>
      <c r="M287" t="s">
        <v>37</v>
      </c>
      <c r="N287" t="s">
        <v>37</v>
      </c>
      <c r="O287" t="s">
        <v>38</v>
      </c>
      <c r="P287" t="s">
        <v>39</v>
      </c>
      <c r="Q287" s="55">
        <v>45967</v>
      </c>
      <c r="R287" t="s">
        <v>5432</v>
      </c>
      <c r="S287" t="s">
        <v>5432</v>
      </c>
      <c r="T287" t="s">
        <v>5432</v>
      </c>
      <c r="U287" t="s">
        <v>5432</v>
      </c>
      <c r="W287" s="55"/>
    </row>
    <row r="288" spans="1:23">
      <c r="A288" s="55">
        <v>45903</v>
      </c>
      <c r="B288" t="s">
        <v>1317</v>
      </c>
      <c r="C288" t="s">
        <v>548</v>
      </c>
      <c r="D288" t="s">
        <v>112</v>
      </c>
      <c r="E288">
        <v>85388</v>
      </c>
      <c r="F288" t="s">
        <v>310</v>
      </c>
      <c r="G288" t="s">
        <v>506</v>
      </c>
      <c r="H288">
        <v>9840231734</v>
      </c>
      <c r="I288" t="s">
        <v>46</v>
      </c>
      <c r="J288" t="s">
        <v>37</v>
      </c>
      <c r="K288" t="s">
        <v>37</v>
      </c>
      <c r="L288" t="s">
        <v>38</v>
      </c>
      <c r="M288" t="s">
        <v>37</v>
      </c>
      <c r="N288" t="s">
        <v>37</v>
      </c>
      <c r="O288" t="s">
        <v>38</v>
      </c>
      <c r="P288" t="s">
        <v>39</v>
      </c>
      <c r="Q288" s="55">
        <v>45967</v>
      </c>
      <c r="R288" t="s">
        <v>1319</v>
      </c>
      <c r="S288" t="s">
        <v>5432</v>
      </c>
      <c r="T288" t="s">
        <v>5432</v>
      </c>
      <c r="U288" t="s">
        <v>5432</v>
      </c>
      <c r="W288" s="55"/>
    </row>
    <row r="289" spans="1:23">
      <c r="A289" s="55">
        <v>45903</v>
      </c>
      <c r="B289" t="s">
        <v>1322</v>
      </c>
      <c r="C289" t="s">
        <v>1323</v>
      </c>
      <c r="D289" t="s">
        <v>63</v>
      </c>
      <c r="E289">
        <v>85013</v>
      </c>
      <c r="F289" t="s">
        <v>1324</v>
      </c>
      <c r="G289" t="s">
        <v>506</v>
      </c>
      <c r="H289">
        <v>6393049300</v>
      </c>
      <c r="I289" t="s">
        <v>541</v>
      </c>
      <c r="J289" t="s">
        <v>38</v>
      </c>
      <c r="K289" t="s">
        <v>37</v>
      </c>
      <c r="L289" t="s">
        <v>389</v>
      </c>
      <c r="M289" t="s">
        <v>37</v>
      </c>
      <c r="N289" t="s">
        <v>37</v>
      </c>
      <c r="O289" t="s">
        <v>38</v>
      </c>
      <c r="P289" t="s">
        <v>39</v>
      </c>
      <c r="Q289" s="55">
        <v>45967</v>
      </c>
      <c r="R289" t="s">
        <v>5432</v>
      </c>
      <c r="S289" t="s">
        <v>5432</v>
      </c>
      <c r="T289" t="s">
        <v>5432</v>
      </c>
      <c r="U289" t="s">
        <v>5432</v>
      </c>
      <c r="W289" s="55"/>
    </row>
    <row r="290" spans="1:23">
      <c r="A290" s="55">
        <v>45903</v>
      </c>
      <c r="B290" t="s">
        <v>1326</v>
      </c>
      <c r="C290" t="s">
        <v>1327</v>
      </c>
      <c r="D290" t="s">
        <v>880</v>
      </c>
      <c r="E290">
        <v>85086</v>
      </c>
      <c r="F290" t="s">
        <v>31</v>
      </c>
      <c r="G290" t="s">
        <v>506</v>
      </c>
      <c r="H290">
        <v>5751430000</v>
      </c>
      <c r="I290" t="s">
        <v>541</v>
      </c>
      <c r="J290" t="s">
        <v>37</v>
      </c>
      <c r="K290" t="s">
        <v>37</v>
      </c>
      <c r="L290" t="s">
        <v>389</v>
      </c>
      <c r="M290" t="s">
        <v>37</v>
      </c>
      <c r="N290" t="s">
        <v>37</v>
      </c>
      <c r="O290" t="s">
        <v>38</v>
      </c>
      <c r="P290" t="s">
        <v>39</v>
      </c>
      <c r="Q290" s="55">
        <v>45967</v>
      </c>
      <c r="R290" t="s">
        <v>5432</v>
      </c>
      <c r="S290" t="s">
        <v>5432</v>
      </c>
      <c r="T290" t="s">
        <v>5432</v>
      </c>
      <c r="U290" t="s">
        <v>5432</v>
      </c>
      <c r="W290" s="55"/>
    </row>
    <row r="291" spans="1:23">
      <c r="A291" s="55">
        <v>45903</v>
      </c>
      <c r="B291" t="s">
        <v>985</v>
      </c>
      <c r="C291" t="s">
        <v>263</v>
      </c>
      <c r="D291" t="s">
        <v>169</v>
      </c>
      <c r="E291">
        <v>85395</v>
      </c>
      <c r="F291" t="s">
        <v>986</v>
      </c>
      <c r="G291" t="s">
        <v>1329</v>
      </c>
      <c r="H291">
        <v>4222480000</v>
      </c>
      <c r="I291" t="s">
        <v>46</v>
      </c>
      <c r="J291" t="s">
        <v>37</v>
      </c>
      <c r="K291" t="s">
        <v>37</v>
      </c>
      <c r="L291" t="s">
        <v>38</v>
      </c>
      <c r="M291" t="s">
        <v>37</v>
      </c>
      <c r="N291" t="s">
        <v>37</v>
      </c>
      <c r="O291" t="s">
        <v>38</v>
      </c>
      <c r="P291" t="s">
        <v>39</v>
      </c>
      <c r="Q291" s="55">
        <v>45967</v>
      </c>
      <c r="R291" t="s">
        <v>5432</v>
      </c>
      <c r="S291" t="s">
        <v>5432</v>
      </c>
      <c r="T291" t="s">
        <v>5432</v>
      </c>
      <c r="U291" t="s">
        <v>5432</v>
      </c>
      <c r="W291" s="55"/>
    </row>
    <row r="292" spans="1:23">
      <c r="A292" s="55">
        <v>45903</v>
      </c>
      <c r="B292" t="s">
        <v>1333</v>
      </c>
      <c r="C292" t="s">
        <v>1334</v>
      </c>
      <c r="D292" t="s">
        <v>523</v>
      </c>
      <c r="E292">
        <v>85392</v>
      </c>
      <c r="F292" t="s">
        <v>1335</v>
      </c>
      <c r="G292" t="s">
        <v>1329</v>
      </c>
      <c r="H292">
        <v>2964440000</v>
      </c>
      <c r="I292" t="s">
        <v>418</v>
      </c>
      <c r="J292" t="s">
        <v>37</v>
      </c>
      <c r="K292" t="s">
        <v>37</v>
      </c>
      <c r="L292" t="s">
        <v>389</v>
      </c>
      <c r="M292" t="s">
        <v>37</v>
      </c>
      <c r="N292" t="s">
        <v>37</v>
      </c>
      <c r="O292" t="s">
        <v>38</v>
      </c>
      <c r="P292" t="s">
        <v>39</v>
      </c>
      <c r="Q292" s="55">
        <v>45967</v>
      </c>
      <c r="R292" t="s">
        <v>5432</v>
      </c>
      <c r="S292" t="s">
        <v>5432</v>
      </c>
      <c r="T292" t="s">
        <v>5432</v>
      </c>
      <c r="U292" t="s">
        <v>5432</v>
      </c>
      <c r="W292" s="55"/>
    </row>
    <row r="293" spans="1:23">
      <c r="A293" s="55">
        <v>45903</v>
      </c>
      <c r="B293" t="s">
        <v>1337</v>
      </c>
      <c r="C293" t="s">
        <v>359</v>
      </c>
      <c r="D293" t="s">
        <v>112</v>
      </c>
      <c r="E293">
        <v>85379</v>
      </c>
      <c r="F293" t="s">
        <v>31</v>
      </c>
      <c r="G293" t="s">
        <v>1329</v>
      </c>
      <c r="H293">
        <v>3208550000</v>
      </c>
      <c r="I293" t="s">
        <v>541</v>
      </c>
      <c r="J293" t="s">
        <v>37</v>
      </c>
      <c r="K293" t="s">
        <v>37</v>
      </c>
      <c r="L293" t="s">
        <v>389</v>
      </c>
      <c r="M293" t="s">
        <v>38</v>
      </c>
      <c r="N293">
        <v>1773.15</v>
      </c>
      <c r="O293" t="s">
        <v>38</v>
      </c>
      <c r="P293" t="s">
        <v>5432</v>
      </c>
      <c r="Q293" s="55">
        <v>45967</v>
      </c>
      <c r="R293" t="s">
        <v>495</v>
      </c>
      <c r="S293" t="s">
        <v>5432</v>
      </c>
      <c r="T293" t="s">
        <v>5432</v>
      </c>
      <c r="U293" t="s">
        <v>5432</v>
      </c>
      <c r="W293" s="55"/>
    </row>
    <row r="294" spans="1:23">
      <c r="A294" s="55">
        <v>45903</v>
      </c>
      <c r="B294" t="s">
        <v>1339</v>
      </c>
      <c r="C294" t="s">
        <v>777</v>
      </c>
      <c r="D294" t="s">
        <v>169</v>
      </c>
      <c r="E294">
        <v>85338</v>
      </c>
      <c r="F294" t="s">
        <v>31</v>
      </c>
      <c r="G294" t="s">
        <v>1329</v>
      </c>
      <c r="H294">
        <v>4748252186</v>
      </c>
      <c r="I294" t="s">
        <v>541</v>
      </c>
      <c r="J294" t="s">
        <v>38</v>
      </c>
      <c r="K294" t="s">
        <v>37</v>
      </c>
      <c r="L294" t="s">
        <v>389</v>
      </c>
      <c r="M294" t="s">
        <v>38</v>
      </c>
      <c r="N294">
        <v>3130.07</v>
      </c>
      <c r="O294" t="s">
        <v>38</v>
      </c>
      <c r="P294" t="s">
        <v>5432</v>
      </c>
      <c r="Q294" s="55">
        <v>45967</v>
      </c>
      <c r="R294" t="s">
        <v>495</v>
      </c>
      <c r="S294" t="s">
        <v>5432</v>
      </c>
      <c r="T294" t="s">
        <v>5432</v>
      </c>
      <c r="U294" t="s">
        <v>5432</v>
      </c>
      <c r="W294" s="55"/>
    </row>
    <row r="295" spans="1:23">
      <c r="A295" s="55">
        <v>45903</v>
      </c>
      <c r="B295" t="s">
        <v>1341</v>
      </c>
      <c r="C295" t="s">
        <v>1342</v>
      </c>
      <c r="D295" t="s">
        <v>24</v>
      </c>
      <c r="E295">
        <v>85310</v>
      </c>
      <c r="F295" t="s">
        <v>31</v>
      </c>
      <c r="G295" t="s">
        <v>1329</v>
      </c>
      <c r="H295">
        <v>6860890000</v>
      </c>
      <c r="I295" t="s">
        <v>36</v>
      </c>
      <c r="J295" t="s">
        <v>38</v>
      </c>
      <c r="K295" t="s">
        <v>37</v>
      </c>
      <c r="L295" t="s">
        <v>38</v>
      </c>
      <c r="M295" t="s">
        <v>37</v>
      </c>
      <c r="N295" t="s">
        <v>37</v>
      </c>
      <c r="O295" t="s">
        <v>38</v>
      </c>
      <c r="P295" t="s">
        <v>39</v>
      </c>
      <c r="Q295" s="55">
        <v>45967</v>
      </c>
      <c r="R295" t="s">
        <v>5432</v>
      </c>
      <c r="S295" t="s">
        <v>5432</v>
      </c>
      <c r="T295" t="s">
        <v>5432</v>
      </c>
      <c r="U295" t="s">
        <v>5432</v>
      </c>
      <c r="W295" s="55"/>
    </row>
    <row r="296" spans="1:23">
      <c r="A296" s="55">
        <v>45903</v>
      </c>
      <c r="B296" t="s">
        <v>1344</v>
      </c>
      <c r="C296" t="s">
        <v>1345</v>
      </c>
      <c r="D296" t="s">
        <v>63</v>
      </c>
      <c r="E296">
        <v>85053</v>
      </c>
      <c r="F296" t="s">
        <v>1346</v>
      </c>
      <c r="G296" t="s">
        <v>1329</v>
      </c>
      <c r="H296">
        <v>5790100875</v>
      </c>
      <c r="I296" t="s">
        <v>36</v>
      </c>
      <c r="J296" t="s">
        <v>37</v>
      </c>
      <c r="K296" t="s">
        <v>37</v>
      </c>
      <c r="L296" t="s">
        <v>38</v>
      </c>
      <c r="M296" t="s">
        <v>37</v>
      </c>
      <c r="N296" t="s">
        <v>37</v>
      </c>
      <c r="O296" t="s">
        <v>38</v>
      </c>
      <c r="P296" t="s">
        <v>39</v>
      </c>
      <c r="Q296" s="55">
        <v>45967</v>
      </c>
      <c r="R296" t="s">
        <v>5432</v>
      </c>
      <c r="S296" t="s">
        <v>5432</v>
      </c>
      <c r="T296" t="s">
        <v>5432</v>
      </c>
      <c r="U296" t="s">
        <v>5432</v>
      </c>
      <c r="W296" s="55"/>
    </row>
    <row r="297" spans="1:23">
      <c r="A297" s="55">
        <v>45903</v>
      </c>
      <c r="B297" t="s">
        <v>1348</v>
      </c>
      <c r="C297" t="s">
        <v>1198</v>
      </c>
      <c r="D297" t="s">
        <v>89</v>
      </c>
      <c r="E297">
        <v>86336</v>
      </c>
      <c r="F297" t="s">
        <v>31</v>
      </c>
      <c r="G297" t="s">
        <v>1329</v>
      </c>
      <c r="H297">
        <v>7818070439</v>
      </c>
      <c r="I297" t="s">
        <v>73</v>
      </c>
      <c r="J297" t="s">
        <v>37</v>
      </c>
      <c r="K297" t="s">
        <v>37</v>
      </c>
      <c r="L297" t="s">
        <v>38</v>
      </c>
      <c r="M297" t="s">
        <v>37</v>
      </c>
      <c r="N297" t="s">
        <v>37</v>
      </c>
      <c r="O297" t="s">
        <v>38</v>
      </c>
      <c r="P297" t="s">
        <v>39</v>
      </c>
      <c r="Q297" s="55">
        <v>45967</v>
      </c>
      <c r="R297" t="s">
        <v>5432</v>
      </c>
      <c r="S297" t="s">
        <v>5432</v>
      </c>
      <c r="T297" t="s">
        <v>5432</v>
      </c>
      <c r="U297" t="s">
        <v>5432</v>
      </c>
      <c r="W297" s="55"/>
    </row>
    <row r="298" spans="1:23">
      <c r="A298" s="55">
        <v>45903</v>
      </c>
      <c r="B298" t="s">
        <v>1352</v>
      </c>
      <c r="C298" t="s">
        <v>392</v>
      </c>
      <c r="D298" t="s">
        <v>125</v>
      </c>
      <c r="E298">
        <v>85255</v>
      </c>
      <c r="F298" t="s">
        <v>31</v>
      </c>
      <c r="G298" t="s">
        <v>1329</v>
      </c>
      <c r="H298">
        <v>7464750000</v>
      </c>
      <c r="I298" t="s">
        <v>418</v>
      </c>
      <c r="J298" t="s">
        <v>37</v>
      </c>
      <c r="K298" t="s">
        <v>37</v>
      </c>
      <c r="L298" t="s">
        <v>389</v>
      </c>
      <c r="M298" t="s">
        <v>37</v>
      </c>
      <c r="N298" t="s">
        <v>37</v>
      </c>
      <c r="O298" t="s">
        <v>38</v>
      </c>
      <c r="P298" t="s">
        <v>39</v>
      </c>
      <c r="Q298" s="55">
        <v>45967</v>
      </c>
      <c r="R298" t="s">
        <v>5432</v>
      </c>
      <c r="S298" t="s">
        <v>5432</v>
      </c>
      <c r="T298" t="s">
        <v>5432</v>
      </c>
      <c r="U298" t="s">
        <v>5432</v>
      </c>
      <c r="W298" s="55"/>
    </row>
    <row r="299" spans="1:23">
      <c r="A299" s="55">
        <v>45903</v>
      </c>
      <c r="B299" t="s">
        <v>558</v>
      </c>
      <c r="C299" t="s">
        <v>1354</v>
      </c>
      <c r="D299" t="s">
        <v>523</v>
      </c>
      <c r="E299">
        <v>85392</v>
      </c>
      <c r="F299" t="s">
        <v>31</v>
      </c>
      <c r="G299" t="s">
        <v>1329</v>
      </c>
      <c r="H299">
        <v>6497921796</v>
      </c>
      <c r="I299" t="s">
        <v>36</v>
      </c>
      <c r="J299" t="s">
        <v>37</v>
      </c>
      <c r="K299" t="s">
        <v>37</v>
      </c>
      <c r="L299" t="s">
        <v>38</v>
      </c>
      <c r="M299" t="s">
        <v>38</v>
      </c>
      <c r="N299">
        <v>870.88</v>
      </c>
      <c r="O299" t="s">
        <v>38</v>
      </c>
      <c r="P299" t="s">
        <v>5432</v>
      </c>
      <c r="Q299" s="55">
        <v>45967</v>
      </c>
      <c r="R299" t="s">
        <v>495</v>
      </c>
      <c r="S299" t="s">
        <v>5432</v>
      </c>
      <c r="T299" t="s">
        <v>5432</v>
      </c>
      <c r="U299" t="s">
        <v>5432</v>
      </c>
      <c r="W299" s="55"/>
    </row>
    <row r="300" spans="1:23">
      <c r="A300" s="55">
        <v>45903</v>
      </c>
      <c r="B300" t="s">
        <v>1357</v>
      </c>
      <c r="C300" t="s">
        <v>199</v>
      </c>
      <c r="D300" t="s">
        <v>169</v>
      </c>
      <c r="E300">
        <v>85395</v>
      </c>
      <c r="F300" t="s">
        <v>31</v>
      </c>
      <c r="G300" t="s">
        <v>1329</v>
      </c>
      <c r="H300">
        <v>5132068013</v>
      </c>
      <c r="I300" t="s">
        <v>418</v>
      </c>
      <c r="J300" t="s">
        <v>37</v>
      </c>
      <c r="K300" t="s">
        <v>37</v>
      </c>
      <c r="L300" t="s">
        <v>389</v>
      </c>
      <c r="M300" t="s">
        <v>37</v>
      </c>
      <c r="N300" t="s">
        <v>37</v>
      </c>
      <c r="O300" t="s">
        <v>38</v>
      </c>
      <c r="P300" t="s">
        <v>39</v>
      </c>
      <c r="Q300" s="55">
        <v>45967</v>
      </c>
      <c r="R300" t="s">
        <v>5432</v>
      </c>
      <c r="S300" t="s">
        <v>5432</v>
      </c>
      <c r="T300" t="s">
        <v>5432</v>
      </c>
      <c r="U300" t="s">
        <v>5432</v>
      </c>
      <c r="W300" s="55"/>
    </row>
    <row r="301" spans="1:23">
      <c r="A301" s="55">
        <v>45903</v>
      </c>
      <c r="B301" t="s">
        <v>1359</v>
      </c>
      <c r="C301" t="s">
        <v>1050</v>
      </c>
      <c r="D301" t="s">
        <v>125</v>
      </c>
      <c r="E301">
        <v>85254</v>
      </c>
      <c r="F301" t="s">
        <v>31</v>
      </c>
      <c r="G301" t="s">
        <v>1329</v>
      </c>
      <c r="H301">
        <v>3455401000</v>
      </c>
      <c r="I301" t="s">
        <v>36</v>
      </c>
      <c r="J301" t="s">
        <v>37</v>
      </c>
      <c r="K301" t="s">
        <v>37</v>
      </c>
      <c r="L301" t="s">
        <v>38</v>
      </c>
      <c r="M301" t="s">
        <v>37</v>
      </c>
      <c r="N301" t="s">
        <v>37</v>
      </c>
      <c r="O301" t="s">
        <v>38</v>
      </c>
      <c r="P301" t="s">
        <v>39</v>
      </c>
      <c r="Q301" s="55">
        <v>45967</v>
      </c>
      <c r="R301" t="s">
        <v>5432</v>
      </c>
      <c r="S301" t="s">
        <v>5432</v>
      </c>
      <c r="T301" t="s">
        <v>5432</v>
      </c>
      <c r="U301" t="s">
        <v>5432</v>
      </c>
      <c r="W301" s="55"/>
    </row>
    <row r="302" spans="1:23">
      <c r="A302" s="55">
        <v>45903</v>
      </c>
      <c r="B302" t="s">
        <v>1361</v>
      </c>
      <c r="C302" t="s">
        <v>1362</v>
      </c>
      <c r="D302" t="s">
        <v>63</v>
      </c>
      <c r="E302">
        <v>85032</v>
      </c>
      <c r="F302" t="s">
        <v>310</v>
      </c>
      <c r="G302" t="s">
        <v>1329</v>
      </c>
      <c r="H302">
        <v>7983231354</v>
      </c>
      <c r="I302" t="s">
        <v>73</v>
      </c>
      <c r="J302" t="s">
        <v>37</v>
      </c>
      <c r="K302" t="s">
        <v>37</v>
      </c>
      <c r="L302" t="s">
        <v>38</v>
      </c>
      <c r="M302" t="s">
        <v>37</v>
      </c>
      <c r="N302" t="s">
        <v>37</v>
      </c>
      <c r="O302" t="s">
        <v>38</v>
      </c>
      <c r="P302" t="s">
        <v>39</v>
      </c>
      <c r="Q302" s="55">
        <v>45967</v>
      </c>
      <c r="R302" t="s">
        <v>5432</v>
      </c>
      <c r="S302" t="s">
        <v>5432</v>
      </c>
      <c r="T302" t="s">
        <v>5432</v>
      </c>
      <c r="U302" t="s">
        <v>5432</v>
      </c>
      <c r="W302" s="55"/>
    </row>
    <row r="303" spans="1:23">
      <c r="A303" s="55">
        <v>45903</v>
      </c>
      <c r="B303" t="s">
        <v>1364</v>
      </c>
      <c r="C303" t="s">
        <v>821</v>
      </c>
      <c r="D303" t="s">
        <v>169</v>
      </c>
      <c r="E303">
        <v>85395</v>
      </c>
      <c r="F303" t="s">
        <v>31</v>
      </c>
      <c r="G303" t="s">
        <v>1329</v>
      </c>
      <c r="H303">
        <v>2243371013</v>
      </c>
      <c r="I303" t="s">
        <v>541</v>
      </c>
      <c r="J303" t="s">
        <v>37</v>
      </c>
      <c r="K303" t="s">
        <v>37</v>
      </c>
      <c r="L303" t="s">
        <v>389</v>
      </c>
      <c r="M303" t="s">
        <v>37</v>
      </c>
      <c r="N303" t="s">
        <v>37</v>
      </c>
      <c r="O303" t="s">
        <v>38</v>
      </c>
      <c r="P303" t="s">
        <v>39</v>
      </c>
      <c r="Q303" s="55">
        <v>45967</v>
      </c>
      <c r="R303" t="s">
        <v>5432</v>
      </c>
      <c r="S303" t="s">
        <v>5432</v>
      </c>
      <c r="T303" t="s">
        <v>5432</v>
      </c>
      <c r="U303" t="s">
        <v>5432</v>
      </c>
      <c r="W303" s="55"/>
    </row>
    <row r="304" spans="1:23">
      <c r="A304" s="55">
        <v>45903</v>
      </c>
      <c r="B304" t="s">
        <v>1366</v>
      </c>
      <c r="C304" t="s">
        <v>597</v>
      </c>
      <c r="D304" t="s">
        <v>169</v>
      </c>
      <c r="E304">
        <v>85395</v>
      </c>
      <c r="F304" t="s">
        <v>1367</v>
      </c>
      <c r="G304" t="s">
        <v>1329</v>
      </c>
      <c r="H304">
        <v>9340408913</v>
      </c>
      <c r="I304" t="s">
        <v>36</v>
      </c>
      <c r="J304" t="s">
        <v>37</v>
      </c>
      <c r="K304" t="s">
        <v>37</v>
      </c>
      <c r="L304" t="s">
        <v>38</v>
      </c>
      <c r="M304" t="s">
        <v>37</v>
      </c>
      <c r="N304" t="s">
        <v>37</v>
      </c>
      <c r="O304" t="s">
        <v>38</v>
      </c>
      <c r="P304" t="s">
        <v>39</v>
      </c>
      <c r="Q304" s="55">
        <v>45967</v>
      </c>
      <c r="R304" t="s">
        <v>5432</v>
      </c>
      <c r="S304" t="s">
        <v>5432</v>
      </c>
      <c r="T304" t="s">
        <v>5432</v>
      </c>
      <c r="U304" t="s">
        <v>5432</v>
      </c>
      <c r="W304" s="55"/>
    </row>
    <row r="305" spans="1:23">
      <c r="A305" s="55">
        <v>45903</v>
      </c>
      <c r="B305" t="s">
        <v>1371</v>
      </c>
      <c r="C305" t="s">
        <v>1372</v>
      </c>
      <c r="D305" t="s">
        <v>619</v>
      </c>
      <c r="E305">
        <v>85365</v>
      </c>
      <c r="F305" t="s">
        <v>31</v>
      </c>
      <c r="G305" t="s">
        <v>1329</v>
      </c>
      <c r="H305">
        <v>5986916429</v>
      </c>
      <c r="I305" t="s">
        <v>541</v>
      </c>
      <c r="J305" t="s">
        <v>37</v>
      </c>
      <c r="K305" t="s">
        <v>37</v>
      </c>
      <c r="L305" t="s">
        <v>389</v>
      </c>
      <c r="M305" t="s">
        <v>37</v>
      </c>
      <c r="N305" t="s">
        <v>37</v>
      </c>
      <c r="O305" t="s">
        <v>38</v>
      </c>
      <c r="P305" t="s">
        <v>39</v>
      </c>
      <c r="Q305" s="55">
        <v>45967</v>
      </c>
      <c r="R305" t="s">
        <v>5432</v>
      </c>
      <c r="S305" t="s">
        <v>5432</v>
      </c>
      <c r="T305" t="s">
        <v>5432</v>
      </c>
      <c r="U305" t="s">
        <v>5432</v>
      </c>
      <c r="W305" s="55"/>
    </row>
    <row r="306" spans="1:23">
      <c r="A306" s="55">
        <v>45903</v>
      </c>
      <c r="B306" t="s">
        <v>1383</v>
      </c>
      <c r="C306" t="s">
        <v>1384</v>
      </c>
      <c r="D306" t="s">
        <v>63</v>
      </c>
      <c r="E306">
        <v>85024</v>
      </c>
      <c r="F306" t="s">
        <v>31</v>
      </c>
      <c r="G306" t="s">
        <v>1329</v>
      </c>
      <c r="H306">
        <v>9875751000</v>
      </c>
      <c r="I306" t="s">
        <v>250</v>
      </c>
      <c r="J306" t="s">
        <v>37</v>
      </c>
      <c r="K306" t="s">
        <v>37</v>
      </c>
      <c r="L306" t="s">
        <v>1386</v>
      </c>
      <c r="M306" t="s">
        <v>37</v>
      </c>
      <c r="N306" t="s">
        <v>37</v>
      </c>
      <c r="O306" t="s">
        <v>38</v>
      </c>
      <c r="P306">
        <v>45936</v>
      </c>
      <c r="Q306" s="55">
        <v>45967</v>
      </c>
      <c r="R306" t="s">
        <v>1387</v>
      </c>
      <c r="S306" t="s">
        <v>5432</v>
      </c>
      <c r="T306" t="s">
        <v>5432</v>
      </c>
      <c r="U306" t="s">
        <v>5432</v>
      </c>
      <c r="W306" s="55"/>
    </row>
    <row r="307" spans="1:23">
      <c r="A307" s="55">
        <v>45903</v>
      </c>
      <c r="B307" t="s">
        <v>1170</v>
      </c>
      <c r="C307" t="s">
        <v>1388</v>
      </c>
      <c r="D307" t="s">
        <v>24</v>
      </c>
      <c r="E307">
        <v>85306</v>
      </c>
      <c r="F307" t="s">
        <v>310</v>
      </c>
      <c r="G307" t="s">
        <v>1329</v>
      </c>
      <c r="H307">
        <v>4425211190</v>
      </c>
      <c r="I307" t="s">
        <v>36</v>
      </c>
      <c r="J307" t="s">
        <v>37</v>
      </c>
      <c r="K307" t="s">
        <v>37</v>
      </c>
      <c r="L307" t="s">
        <v>38</v>
      </c>
      <c r="M307" t="s">
        <v>37</v>
      </c>
      <c r="N307" t="s">
        <v>37</v>
      </c>
      <c r="O307" t="s">
        <v>38</v>
      </c>
      <c r="P307" t="s">
        <v>39</v>
      </c>
      <c r="Q307" s="55">
        <v>45967</v>
      </c>
      <c r="R307" t="s">
        <v>5432</v>
      </c>
      <c r="S307" t="s">
        <v>5432</v>
      </c>
      <c r="T307" t="s">
        <v>5432</v>
      </c>
      <c r="U307" t="s">
        <v>5432</v>
      </c>
      <c r="W307" s="55"/>
    </row>
    <row r="308" spans="1:23">
      <c r="A308" s="55">
        <v>45903</v>
      </c>
      <c r="B308" t="s">
        <v>1392</v>
      </c>
      <c r="C308" t="s">
        <v>1393</v>
      </c>
      <c r="D308" t="s">
        <v>202</v>
      </c>
      <c r="E308">
        <v>85382</v>
      </c>
      <c r="F308" t="s">
        <v>31</v>
      </c>
      <c r="G308" t="s">
        <v>1329</v>
      </c>
      <c r="H308">
        <v>6079940000</v>
      </c>
      <c r="I308" t="s">
        <v>1040</v>
      </c>
      <c r="J308" t="s">
        <v>37</v>
      </c>
      <c r="K308" t="s">
        <v>37</v>
      </c>
      <c r="L308" t="s">
        <v>1395</v>
      </c>
      <c r="M308" t="s">
        <v>37</v>
      </c>
      <c r="N308" t="s">
        <v>37</v>
      </c>
      <c r="O308" t="s">
        <v>38</v>
      </c>
      <c r="P308" t="s">
        <v>5432</v>
      </c>
      <c r="Q308" s="55">
        <v>45967</v>
      </c>
      <c r="R308" t="s">
        <v>5432</v>
      </c>
      <c r="S308" t="s">
        <v>5432</v>
      </c>
      <c r="T308" t="s">
        <v>5432</v>
      </c>
      <c r="U308" t="s">
        <v>5432</v>
      </c>
      <c r="W308" s="55"/>
    </row>
    <row r="309" spans="1:23">
      <c r="A309" s="55">
        <v>45903</v>
      </c>
      <c r="B309" t="s">
        <v>1396</v>
      </c>
      <c r="C309" t="s">
        <v>1397</v>
      </c>
      <c r="D309" t="s">
        <v>63</v>
      </c>
      <c r="E309">
        <v>85085</v>
      </c>
      <c r="F309" t="s">
        <v>310</v>
      </c>
      <c r="G309" t="s">
        <v>1329</v>
      </c>
      <c r="H309">
        <v>4878430000</v>
      </c>
      <c r="I309" t="s">
        <v>541</v>
      </c>
      <c r="J309" t="s">
        <v>37</v>
      </c>
      <c r="K309" t="s">
        <v>37</v>
      </c>
      <c r="L309" t="s">
        <v>389</v>
      </c>
      <c r="M309" t="s">
        <v>37</v>
      </c>
      <c r="N309" t="s">
        <v>37</v>
      </c>
      <c r="O309" t="s">
        <v>38</v>
      </c>
      <c r="P309" t="s">
        <v>39</v>
      </c>
      <c r="Q309" s="55">
        <v>45967</v>
      </c>
      <c r="R309" t="s">
        <v>5432</v>
      </c>
      <c r="S309" t="s">
        <v>5432</v>
      </c>
      <c r="T309" t="s">
        <v>5432</v>
      </c>
      <c r="U309" t="s">
        <v>5432</v>
      </c>
      <c r="W309" s="55"/>
    </row>
    <row r="310" spans="1:23">
      <c r="A310" s="55">
        <v>45903</v>
      </c>
      <c r="B310" t="s">
        <v>1403</v>
      </c>
      <c r="C310" t="s">
        <v>1404</v>
      </c>
      <c r="D310" t="s">
        <v>112</v>
      </c>
      <c r="E310">
        <v>85387</v>
      </c>
      <c r="F310" t="s">
        <v>310</v>
      </c>
      <c r="G310" t="s">
        <v>1329</v>
      </c>
      <c r="H310">
        <v>5835127577</v>
      </c>
      <c r="I310" t="s">
        <v>36</v>
      </c>
      <c r="J310" t="s">
        <v>37</v>
      </c>
      <c r="K310" t="s">
        <v>37</v>
      </c>
      <c r="L310" t="s">
        <v>38</v>
      </c>
      <c r="M310" t="s">
        <v>37</v>
      </c>
      <c r="N310" t="s">
        <v>37</v>
      </c>
      <c r="O310" t="s">
        <v>38</v>
      </c>
      <c r="P310" t="s">
        <v>39</v>
      </c>
      <c r="Q310" s="55">
        <v>45967</v>
      </c>
      <c r="R310" t="s">
        <v>5432</v>
      </c>
      <c r="S310" t="s">
        <v>5432</v>
      </c>
      <c r="T310" t="s">
        <v>5432</v>
      </c>
      <c r="U310" t="s">
        <v>5432</v>
      </c>
      <c r="W310" s="55"/>
    </row>
    <row r="311" spans="1:23">
      <c r="A311" s="55">
        <v>45903</v>
      </c>
      <c r="B311" t="s">
        <v>1406</v>
      </c>
      <c r="C311" t="s">
        <v>1407</v>
      </c>
      <c r="D311" t="s">
        <v>202</v>
      </c>
      <c r="E311">
        <v>85383</v>
      </c>
      <c r="F311" t="s">
        <v>310</v>
      </c>
      <c r="G311" t="s">
        <v>1329</v>
      </c>
      <c r="H311">
        <v>9757441000</v>
      </c>
      <c r="I311" t="s">
        <v>1040</v>
      </c>
      <c r="J311" t="s">
        <v>37</v>
      </c>
      <c r="K311" t="s">
        <v>37</v>
      </c>
      <c r="L311" t="s">
        <v>1409</v>
      </c>
      <c r="M311" t="s">
        <v>37</v>
      </c>
      <c r="N311" t="s">
        <v>37</v>
      </c>
      <c r="O311" t="s">
        <v>38</v>
      </c>
      <c r="P311" t="s">
        <v>39</v>
      </c>
      <c r="Q311" s="55">
        <v>45967</v>
      </c>
      <c r="R311" t="s">
        <v>1410</v>
      </c>
      <c r="S311" t="s">
        <v>5432</v>
      </c>
      <c r="T311" t="s">
        <v>5432</v>
      </c>
      <c r="U311" t="s">
        <v>5432</v>
      </c>
      <c r="W311" s="55"/>
    </row>
    <row r="312" spans="1:23">
      <c r="A312" s="55">
        <v>45903</v>
      </c>
      <c r="B312" t="s">
        <v>1413</v>
      </c>
      <c r="C312" t="s">
        <v>355</v>
      </c>
      <c r="D312" t="s">
        <v>63</v>
      </c>
      <c r="E312">
        <v>85027</v>
      </c>
      <c r="F312" t="s">
        <v>310</v>
      </c>
      <c r="G312" t="s">
        <v>1329</v>
      </c>
      <c r="H312">
        <v>7502531000</v>
      </c>
      <c r="I312" t="s">
        <v>196</v>
      </c>
      <c r="J312" t="s">
        <v>37</v>
      </c>
      <c r="K312" t="s">
        <v>37</v>
      </c>
      <c r="L312" t="s">
        <v>1415</v>
      </c>
      <c r="M312" t="s">
        <v>37</v>
      </c>
      <c r="N312" t="s">
        <v>37</v>
      </c>
      <c r="O312" t="s">
        <v>38</v>
      </c>
      <c r="P312" t="s">
        <v>39</v>
      </c>
      <c r="Q312" s="55">
        <v>45967</v>
      </c>
      <c r="R312" t="s">
        <v>5432</v>
      </c>
      <c r="S312" t="s">
        <v>5432</v>
      </c>
      <c r="T312" t="s">
        <v>5432</v>
      </c>
      <c r="U312" t="s">
        <v>5432</v>
      </c>
      <c r="W312" s="55"/>
    </row>
    <row r="313" spans="1:23">
      <c r="A313" s="55">
        <v>45903</v>
      </c>
      <c r="B313" t="s">
        <v>1418</v>
      </c>
      <c r="C313" t="s">
        <v>1265</v>
      </c>
      <c r="D313" t="s">
        <v>63</v>
      </c>
      <c r="E313">
        <v>85086</v>
      </c>
      <c r="F313" t="s">
        <v>310</v>
      </c>
      <c r="G313" t="s">
        <v>1329</v>
      </c>
      <c r="H313">
        <v>6050230000</v>
      </c>
      <c r="I313" t="s">
        <v>46</v>
      </c>
      <c r="J313" t="s">
        <v>37</v>
      </c>
      <c r="K313" t="s">
        <v>37</v>
      </c>
      <c r="L313" t="s">
        <v>1420</v>
      </c>
      <c r="M313" t="s">
        <v>37</v>
      </c>
      <c r="N313" t="s">
        <v>37</v>
      </c>
      <c r="O313" t="s">
        <v>38</v>
      </c>
      <c r="P313" t="s">
        <v>39</v>
      </c>
      <c r="Q313" s="55">
        <v>45967</v>
      </c>
      <c r="R313" t="s">
        <v>1421</v>
      </c>
      <c r="S313" t="s">
        <v>5432</v>
      </c>
      <c r="T313" t="s">
        <v>5432</v>
      </c>
      <c r="U313" t="s">
        <v>5432</v>
      </c>
      <c r="W313" s="55"/>
    </row>
    <row r="314" spans="1:23">
      <c r="A314" s="55">
        <v>45903</v>
      </c>
      <c r="B314" t="s">
        <v>1422</v>
      </c>
      <c r="C314" t="s">
        <v>1423</v>
      </c>
      <c r="D314" t="s">
        <v>523</v>
      </c>
      <c r="E314">
        <v>85392</v>
      </c>
      <c r="F314" t="s">
        <v>31</v>
      </c>
      <c r="G314" t="s">
        <v>1329</v>
      </c>
      <c r="H314">
        <v>5719941000</v>
      </c>
      <c r="I314" t="s">
        <v>418</v>
      </c>
      <c r="J314" t="s">
        <v>37</v>
      </c>
      <c r="K314" t="s">
        <v>37</v>
      </c>
      <c r="L314" t="s">
        <v>389</v>
      </c>
      <c r="M314" t="s">
        <v>37</v>
      </c>
      <c r="N314" t="s">
        <v>37</v>
      </c>
      <c r="O314" t="s">
        <v>38</v>
      </c>
      <c r="P314" t="s">
        <v>39</v>
      </c>
      <c r="Q314" s="55">
        <v>45967</v>
      </c>
      <c r="R314" t="s">
        <v>5432</v>
      </c>
      <c r="S314" t="s">
        <v>5432</v>
      </c>
      <c r="T314" t="s">
        <v>5432</v>
      </c>
      <c r="U314" t="s">
        <v>5432</v>
      </c>
      <c r="W314" s="55"/>
    </row>
    <row r="315" spans="1:23">
      <c r="A315" s="55">
        <v>45903</v>
      </c>
      <c r="B315" t="s">
        <v>1425</v>
      </c>
      <c r="C315" t="s">
        <v>1426</v>
      </c>
      <c r="D315" t="s">
        <v>63</v>
      </c>
      <c r="E315">
        <v>85021</v>
      </c>
      <c r="F315" t="s">
        <v>310</v>
      </c>
      <c r="G315" t="s">
        <v>1329</v>
      </c>
      <c r="H315">
        <v>987457107</v>
      </c>
      <c r="I315" t="s">
        <v>196</v>
      </c>
      <c r="J315" t="s">
        <v>37</v>
      </c>
      <c r="K315" t="s">
        <v>37</v>
      </c>
      <c r="L315" t="s">
        <v>1428</v>
      </c>
      <c r="M315" t="s">
        <v>37</v>
      </c>
      <c r="N315" t="s">
        <v>37</v>
      </c>
      <c r="O315" t="s">
        <v>38</v>
      </c>
      <c r="P315">
        <v>45936</v>
      </c>
      <c r="Q315" s="55">
        <v>45967</v>
      </c>
      <c r="R315" t="s">
        <v>1429</v>
      </c>
      <c r="S315" t="s">
        <v>5432</v>
      </c>
      <c r="T315" t="s">
        <v>5432</v>
      </c>
      <c r="U315" t="s">
        <v>5432</v>
      </c>
      <c r="W315" s="55"/>
    </row>
    <row r="316" spans="1:23">
      <c r="A316" s="55">
        <v>45903</v>
      </c>
      <c r="B316" t="s">
        <v>1431</v>
      </c>
      <c r="C316" t="s">
        <v>1432</v>
      </c>
      <c r="D316" t="s">
        <v>63</v>
      </c>
      <c r="E316">
        <v>85024</v>
      </c>
      <c r="F316" t="s">
        <v>310</v>
      </c>
      <c r="G316" t="s">
        <v>1329</v>
      </c>
      <c r="H316">
        <v>3043741000</v>
      </c>
      <c r="I316" t="s">
        <v>36</v>
      </c>
      <c r="J316" t="s">
        <v>37</v>
      </c>
      <c r="K316" t="s">
        <v>37</v>
      </c>
      <c r="L316" t="s">
        <v>38</v>
      </c>
      <c r="M316" t="s">
        <v>37</v>
      </c>
      <c r="N316" t="s">
        <v>37</v>
      </c>
      <c r="O316" t="s">
        <v>38</v>
      </c>
      <c r="P316" t="s">
        <v>39</v>
      </c>
      <c r="Q316" s="55">
        <v>45967</v>
      </c>
      <c r="R316" t="s">
        <v>5432</v>
      </c>
      <c r="S316" t="s">
        <v>5432</v>
      </c>
      <c r="T316" t="s">
        <v>5432</v>
      </c>
      <c r="U316" t="s">
        <v>5432</v>
      </c>
      <c r="W316" s="55"/>
    </row>
    <row r="317" spans="1:23">
      <c r="A317" s="55">
        <v>45903</v>
      </c>
      <c r="B317" t="s">
        <v>1434</v>
      </c>
      <c r="C317" t="s">
        <v>1435</v>
      </c>
      <c r="D317" t="s">
        <v>169</v>
      </c>
      <c r="E317">
        <v>85338</v>
      </c>
      <c r="F317" t="s">
        <v>31</v>
      </c>
      <c r="G317" t="s">
        <v>1329</v>
      </c>
      <c r="H317">
        <v>1316621000</v>
      </c>
      <c r="I317" t="s">
        <v>126</v>
      </c>
      <c r="J317" t="s">
        <v>38</v>
      </c>
      <c r="K317" t="s">
        <v>37</v>
      </c>
      <c r="L317" t="s">
        <v>1437</v>
      </c>
      <c r="M317" t="s">
        <v>37</v>
      </c>
      <c r="N317" t="s">
        <v>37</v>
      </c>
      <c r="O317" t="s">
        <v>38</v>
      </c>
      <c r="P317">
        <v>45936</v>
      </c>
      <c r="Q317" s="55">
        <v>45967</v>
      </c>
      <c r="R317" t="s">
        <v>1429</v>
      </c>
      <c r="S317" t="s">
        <v>5432</v>
      </c>
      <c r="T317" t="s">
        <v>5432</v>
      </c>
      <c r="U317" t="s">
        <v>5432</v>
      </c>
      <c r="W317" s="55"/>
    </row>
    <row r="318" spans="1:23">
      <c r="A318" s="55">
        <v>45903</v>
      </c>
      <c r="B318" t="s">
        <v>1438</v>
      </c>
      <c r="C318" t="s">
        <v>1439</v>
      </c>
      <c r="D318" t="s">
        <v>112</v>
      </c>
      <c r="E318">
        <v>85379</v>
      </c>
      <c r="F318" t="s">
        <v>31</v>
      </c>
      <c r="G318" t="s">
        <v>1329</v>
      </c>
      <c r="H318">
        <v>7992160000</v>
      </c>
      <c r="I318" t="s">
        <v>36</v>
      </c>
      <c r="J318" t="s">
        <v>37</v>
      </c>
      <c r="K318" t="s">
        <v>37</v>
      </c>
      <c r="L318" t="s">
        <v>38</v>
      </c>
      <c r="M318" t="s">
        <v>37</v>
      </c>
      <c r="N318" t="s">
        <v>37</v>
      </c>
      <c r="O318" t="s">
        <v>38</v>
      </c>
      <c r="P318" t="s">
        <v>39</v>
      </c>
      <c r="Q318" s="55">
        <v>45967</v>
      </c>
      <c r="R318" t="s">
        <v>5432</v>
      </c>
      <c r="S318" t="s">
        <v>5432</v>
      </c>
      <c r="T318" t="s">
        <v>5432</v>
      </c>
      <c r="U318" t="s">
        <v>5432</v>
      </c>
      <c r="W318" s="55"/>
    </row>
    <row r="319" spans="1:23">
      <c r="A319" s="55">
        <v>45903</v>
      </c>
      <c r="B319" t="s">
        <v>1441</v>
      </c>
      <c r="C319" t="s">
        <v>1372</v>
      </c>
      <c r="D319" t="s">
        <v>169</v>
      </c>
      <c r="E319">
        <v>85338</v>
      </c>
      <c r="F319" t="s">
        <v>310</v>
      </c>
      <c r="G319" t="s">
        <v>1329</v>
      </c>
      <c r="H319">
        <v>4026025798</v>
      </c>
      <c r="I319" t="s">
        <v>57</v>
      </c>
      <c r="J319" t="s">
        <v>37</v>
      </c>
      <c r="K319" t="s">
        <v>37</v>
      </c>
      <c r="L319" t="s">
        <v>1443</v>
      </c>
      <c r="M319" t="s">
        <v>37</v>
      </c>
      <c r="N319" t="s">
        <v>37</v>
      </c>
      <c r="O319" t="s">
        <v>38</v>
      </c>
      <c r="P319" t="s">
        <v>39</v>
      </c>
      <c r="Q319" s="55">
        <v>45967</v>
      </c>
      <c r="R319" t="s">
        <v>5432</v>
      </c>
      <c r="S319" t="s">
        <v>5432</v>
      </c>
      <c r="T319" t="s">
        <v>5432</v>
      </c>
      <c r="U319" t="s">
        <v>5432</v>
      </c>
      <c r="W319" s="55"/>
    </row>
    <row r="320" spans="1:23">
      <c r="A320" s="55">
        <v>45903</v>
      </c>
      <c r="B320" t="s">
        <v>363</v>
      </c>
      <c r="C320" t="s">
        <v>1444</v>
      </c>
      <c r="D320" t="s">
        <v>63</v>
      </c>
      <c r="E320">
        <v>85085</v>
      </c>
      <c r="F320" t="s">
        <v>31</v>
      </c>
      <c r="G320" t="s">
        <v>1329</v>
      </c>
      <c r="H320">
        <v>6379311000</v>
      </c>
      <c r="I320" t="s">
        <v>250</v>
      </c>
      <c r="J320" t="s">
        <v>37</v>
      </c>
      <c r="K320" t="s">
        <v>37</v>
      </c>
      <c r="L320" t="s">
        <v>38</v>
      </c>
      <c r="M320" t="s">
        <v>37</v>
      </c>
      <c r="N320" t="s">
        <v>37</v>
      </c>
      <c r="O320" t="s">
        <v>38</v>
      </c>
      <c r="P320" t="s">
        <v>39</v>
      </c>
      <c r="Q320" s="55">
        <v>45967</v>
      </c>
      <c r="R320" t="s">
        <v>5432</v>
      </c>
      <c r="S320" t="s">
        <v>5432</v>
      </c>
      <c r="T320" t="s">
        <v>5432</v>
      </c>
      <c r="U320" t="s">
        <v>5432</v>
      </c>
      <c r="W320" s="55"/>
    </row>
    <row r="321" spans="1:26">
      <c r="A321" s="55">
        <v>45903</v>
      </c>
      <c r="B321" t="s">
        <v>1446</v>
      </c>
      <c r="C321" t="s">
        <v>1447</v>
      </c>
      <c r="D321" t="s">
        <v>63</v>
      </c>
      <c r="E321">
        <v>85053</v>
      </c>
      <c r="F321" t="s">
        <v>31</v>
      </c>
      <c r="G321" t="s">
        <v>1329</v>
      </c>
      <c r="H321">
        <v>843128737</v>
      </c>
      <c r="I321" t="s">
        <v>250</v>
      </c>
      <c r="J321" t="s">
        <v>37</v>
      </c>
      <c r="K321" t="s">
        <v>37</v>
      </c>
      <c r="L321" t="s">
        <v>38</v>
      </c>
      <c r="M321" t="s">
        <v>37</v>
      </c>
      <c r="N321" t="s">
        <v>37</v>
      </c>
      <c r="O321" t="s">
        <v>38</v>
      </c>
      <c r="P321" t="s">
        <v>39</v>
      </c>
      <c r="Q321" s="55">
        <v>45967</v>
      </c>
      <c r="R321" t="s">
        <v>5432</v>
      </c>
      <c r="S321" t="s">
        <v>5432</v>
      </c>
      <c r="T321" t="s">
        <v>5432</v>
      </c>
      <c r="U321" t="s">
        <v>5432</v>
      </c>
      <c r="W321" s="55"/>
    </row>
    <row r="322" spans="1:26">
      <c r="A322" s="55">
        <v>45903</v>
      </c>
      <c r="B322" t="s">
        <v>1449</v>
      </c>
      <c r="C322" t="s">
        <v>1450</v>
      </c>
      <c r="D322" t="s">
        <v>169</v>
      </c>
      <c r="E322">
        <v>85395</v>
      </c>
      <c r="F322" t="s">
        <v>31</v>
      </c>
      <c r="G322" t="s">
        <v>1329</v>
      </c>
      <c r="H322">
        <v>3675324926</v>
      </c>
      <c r="I322" t="s">
        <v>243</v>
      </c>
      <c r="J322" t="s">
        <v>37</v>
      </c>
      <c r="K322" t="s">
        <v>37</v>
      </c>
      <c r="L322" t="s">
        <v>389</v>
      </c>
      <c r="M322" t="s">
        <v>37</v>
      </c>
      <c r="N322" t="s">
        <v>37</v>
      </c>
      <c r="O322" t="s">
        <v>38</v>
      </c>
      <c r="P322" t="s">
        <v>39</v>
      </c>
      <c r="Q322" s="55">
        <v>45967</v>
      </c>
      <c r="R322" t="s">
        <v>5432</v>
      </c>
      <c r="S322" t="s">
        <v>5432</v>
      </c>
      <c r="T322" t="s">
        <v>5432</v>
      </c>
      <c r="U322" t="s">
        <v>5432</v>
      </c>
      <c r="W322" s="55"/>
    </row>
    <row r="323" spans="1:26">
      <c r="A323" s="55">
        <v>45903</v>
      </c>
      <c r="B323" t="s">
        <v>1452</v>
      </c>
      <c r="C323" t="s">
        <v>206</v>
      </c>
      <c r="D323" t="s">
        <v>539</v>
      </c>
      <c r="E323">
        <v>85123</v>
      </c>
      <c r="F323" t="s">
        <v>31</v>
      </c>
      <c r="G323" t="s">
        <v>1329</v>
      </c>
      <c r="H323">
        <v>3143419434</v>
      </c>
      <c r="I323" t="s">
        <v>126</v>
      </c>
      <c r="J323" t="s">
        <v>37</v>
      </c>
      <c r="K323" t="s">
        <v>37</v>
      </c>
      <c r="L323" t="s">
        <v>38</v>
      </c>
      <c r="M323" t="s">
        <v>37</v>
      </c>
      <c r="N323" t="s">
        <v>37</v>
      </c>
      <c r="O323" t="s">
        <v>38</v>
      </c>
      <c r="P323" t="s">
        <v>39</v>
      </c>
      <c r="Q323" s="55">
        <v>45967</v>
      </c>
      <c r="R323" t="s">
        <v>5432</v>
      </c>
      <c r="S323" t="s">
        <v>5432</v>
      </c>
      <c r="T323" t="s">
        <v>5432</v>
      </c>
      <c r="U323" t="s">
        <v>5432</v>
      </c>
      <c r="W323" s="55"/>
    </row>
    <row r="324" spans="1:26">
      <c r="A324" s="55">
        <v>45903</v>
      </c>
      <c r="B324" t="s">
        <v>1458</v>
      </c>
      <c r="C324" t="s">
        <v>1459</v>
      </c>
      <c r="D324" t="s">
        <v>63</v>
      </c>
      <c r="E324">
        <v>85085</v>
      </c>
      <c r="F324" t="s">
        <v>31</v>
      </c>
      <c r="G324" t="s">
        <v>1329</v>
      </c>
      <c r="H324">
        <v>2624811000</v>
      </c>
      <c r="I324" t="s">
        <v>73</v>
      </c>
      <c r="J324" t="s">
        <v>37</v>
      </c>
      <c r="K324" t="s">
        <v>37</v>
      </c>
      <c r="L324" t="s">
        <v>38</v>
      </c>
      <c r="M324" t="s">
        <v>37</v>
      </c>
      <c r="N324" t="s">
        <v>37</v>
      </c>
      <c r="O324" t="s">
        <v>38</v>
      </c>
      <c r="P324" t="s">
        <v>39</v>
      </c>
      <c r="Q324" s="55">
        <v>45967</v>
      </c>
      <c r="R324" t="s">
        <v>5432</v>
      </c>
      <c r="S324" t="s">
        <v>5432</v>
      </c>
      <c r="T324" t="s">
        <v>5432</v>
      </c>
      <c r="U324" t="s">
        <v>5432</v>
      </c>
      <c r="W324" s="55"/>
    </row>
    <row r="325" spans="1:26">
      <c r="A325" s="55">
        <v>45903</v>
      </c>
      <c r="B325" t="s">
        <v>1462</v>
      </c>
      <c r="C325" t="s">
        <v>1463</v>
      </c>
      <c r="D325" t="s">
        <v>169</v>
      </c>
      <c r="E325">
        <v>85338</v>
      </c>
      <c r="F325" t="s">
        <v>31</v>
      </c>
      <c r="G325" t="s">
        <v>1329</v>
      </c>
      <c r="H325">
        <v>4290041000</v>
      </c>
      <c r="I325" t="s">
        <v>73</v>
      </c>
      <c r="J325" t="s">
        <v>37</v>
      </c>
      <c r="K325" t="s">
        <v>37</v>
      </c>
      <c r="L325" t="s">
        <v>38</v>
      </c>
      <c r="M325" t="s">
        <v>37</v>
      </c>
      <c r="N325" t="s">
        <v>37</v>
      </c>
      <c r="O325" t="s">
        <v>38</v>
      </c>
      <c r="P325" t="s">
        <v>39</v>
      </c>
      <c r="Q325" s="55">
        <v>45967</v>
      </c>
      <c r="R325" t="s">
        <v>5432</v>
      </c>
      <c r="S325" t="s">
        <v>5432</v>
      </c>
      <c r="T325" t="s">
        <v>5432</v>
      </c>
      <c r="U325" t="s">
        <v>5432</v>
      </c>
      <c r="W325" s="55"/>
    </row>
    <row r="326" spans="1:26">
      <c r="A326" s="55">
        <v>45903</v>
      </c>
      <c r="B326" t="s">
        <v>1467</v>
      </c>
      <c r="C326" t="s">
        <v>133</v>
      </c>
      <c r="D326" t="s">
        <v>169</v>
      </c>
      <c r="E326">
        <v>85338</v>
      </c>
      <c r="F326" t="s">
        <v>31</v>
      </c>
      <c r="G326" t="s">
        <v>1329</v>
      </c>
      <c r="H326">
        <v>187524477</v>
      </c>
      <c r="I326" t="s">
        <v>46</v>
      </c>
      <c r="J326" t="s">
        <v>37</v>
      </c>
      <c r="K326" t="s">
        <v>37</v>
      </c>
      <c r="L326" t="s">
        <v>38</v>
      </c>
      <c r="M326" t="s">
        <v>37</v>
      </c>
      <c r="N326" t="s">
        <v>37</v>
      </c>
      <c r="O326" t="s">
        <v>38</v>
      </c>
      <c r="P326" t="s">
        <v>39</v>
      </c>
      <c r="Q326" s="55">
        <v>45967</v>
      </c>
      <c r="R326" t="s">
        <v>5432</v>
      </c>
      <c r="S326" t="s">
        <v>5432</v>
      </c>
      <c r="T326" t="s">
        <v>5432</v>
      </c>
      <c r="U326" t="s">
        <v>5432</v>
      </c>
      <c r="V326" t="s">
        <v>117</v>
      </c>
      <c r="W326" s="55">
        <v>45997</v>
      </c>
      <c r="X326" t="s">
        <v>5405</v>
      </c>
      <c r="Z326" t="s">
        <v>5467</v>
      </c>
    </row>
    <row r="327" spans="1:26">
      <c r="A327" s="55">
        <v>45903</v>
      </c>
      <c r="B327" t="s">
        <v>1471</v>
      </c>
      <c r="C327" t="s">
        <v>1472</v>
      </c>
      <c r="D327" t="s">
        <v>169</v>
      </c>
      <c r="E327">
        <v>85395</v>
      </c>
      <c r="F327" t="s">
        <v>31</v>
      </c>
      <c r="G327" t="s">
        <v>1329</v>
      </c>
      <c r="H327">
        <v>6966001000</v>
      </c>
      <c r="I327" t="s">
        <v>250</v>
      </c>
      <c r="J327" t="s">
        <v>37</v>
      </c>
      <c r="K327" t="s">
        <v>37</v>
      </c>
      <c r="L327" t="s">
        <v>38</v>
      </c>
      <c r="M327" t="s">
        <v>37</v>
      </c>
      <c r="N327" t="s">
        <v>37</v>
      </c>
      <c r="O327" t="s">
        <v>38</v>
      </c>
      <c r="P327" t="s">
        <v>39</v>
      </c>
      <c r="Q327" s="55">
        <v>45967</v>
      </c>
      <c r="R327" t="s">
        <v>5432</v>
      </c>
      <c r="S327" t="s">
        <v>5432</v>
      </c>
      <c r="T327" t="s">
        <v>5432</v>
      </c>
      <c r="U327" t="s">
        <v>5432</v>
      </c>
      <c r="W327" s="55"/>
    </row>
    <row r="328" spans="1:26">
      <c r="A328" s="55">
        <v>45903</v>
      </c>
      <c r="B328" t="s">
        <v>1474</v>
      </c>
      <c r="C328" t="s">
        <v>1475</v>
      </c>
      <c r="D328" t="s">
        <v>523</v>
      </c>
      <c r="E328">
        <v>85392</v>
      </c>
      <c r="F328" t="s">
        <v>31</v>
      </c>
      <c r="G328" t="s">
        <v>1329</v>
      </c>
      <c r="H328">
        <v>1842320000</v>
      </c>
      <c r="I328" t="s">
        <v>126</v>
      </c>
      <c r="J328" t="s">
        <v>37</v>
      </c>
      <c r="K328" t="s">
        <v>37</v>
      </c>
      <c r="L328" t="s">
        <v>1477</v>
      </c>
      <c r="M328" t="s">
        <v>37</v>
      </c>
      <c r="N328" t="s">
        <v>37</v>
      </c>
      <c r="O328" t="s">
        <v>38</v>
      </c>
      <c r="P328">
        <v>45936</v>
      </c>
      <c r="Q328" s="55">
        <v>45967</v>
      </c>
      <c r="R328" t="s">
        <v>1429</v>
      </c>
      <c r="S328" t="s">
        <v>5432</v>
      </c>
      <c r="T328" t="s">
        <v>5432</v>
      </c>
      <c r="U328" t="s">
        <v>5432</v>
      </c>
      <c r="W328" s="55"/>
    </row>
    <row r="329" spans="1:26">
      <c r="A329" s="55">
        <v>45903</v>
      </c>
      <c r="B329" t="s">
        <v>1478</v>
      </c>
      <c r="C329" t="s">
        <v>1479</v>
      </c>
      <c r="D329" t="s">
        <v>202</v>
      </c>
      <c r="E329">
        <v>85383</v>
      </c>
      <c r="F329" t="s">
        <v>310</v>
      </c>
      <c r="G329" t="s">
        <v>1329</v>
      </c>
      <c r="H329">
        <v>4348840000</v>
      </c>
      <c r="I329" t="s">
        <v>36</v>
      </c>
      <c r="J329" t="s">
        <v>37</v>
      </c>
      <c r="K329" t="s">
        <v>37</v>
      </c>
      <c r="L329" t="s">
        <v>38</v>
      </c>
      <c r="M329" t="s">
        <v>37</v>
      </c>
      <c r="N329" t="s">
        <v>37</v>
      </c>
      <c r="O329" t="s">
        <v>38</v>
      </c>
      <c r="P329" t="s">
        <v>39</v>
      </c>
      <c r="Q329" s="55">
        <v>45967</v>
      </c>
      <c r="R329" t="s">
        <v>5432</v>
      </c>
      <c r="S329" t="s">
        <v>5432</v>
      </c>
      <c r="T329" t="s">
        <v>5432</v>
      </c>
      <c r="U329" t="s">
        <v>5432</v>
      </c>
      <c r="W329" s="55"/>
    </row>
    <row r="330" spans="1:26">
      <c r="A330" s="55">
        <v>45903</v>
      </c>
      <c r="B330" t="s">
        <v>1481</v>
      </c>
      <c r="C330" t="s">
        <v>1482</v>
      </c>
      <c r="D330" t="s">
        <v>202</v>
      </c>
      <c r="E330">
        <v>85383</v>
      </c>
      <c r="F330" t="s">
        <v>310</v>
      </c>
      <c r="G330" t="s">
        <v>1329</v>
      </c>
      <c r="H330">
        <v>3553261000</v>
      </c>
      <c r="I330" t="s">
        <v>196</v>
      </c>
      <c r="J330" t="s">
        <v>37</v>
      </c>
      <c r="K330" t="s">
        <v>37</v>
      </c>
      <c r="L330" t="s">
        <v>1484</v>
      </c>
      <c r="M330" t="s">
        <v>37</v>
      </c>
      <c r="N330" t="s">
        <v>37</v>
      </c>
      <c r="O330" t="s">
        <v>38</v>
      </c>
      <c r="P330" t="s">
        <v>39</v>
      </c>
      <c r="Q330" s="55">
        <v>45967</v>
      </c>
      <c r="R330" t="s">
        <v>5432</v>
      </c>
      <c r="S330" t="s">
        <v>5432</v>
      </c>
      <c r="T330" t="s">
        <v>5432</v>
      </c>
      <c r="U330" t="s">
        <v>5432</v>
      </c>
      <c r="W330" s="55"/>
    </row>
    <row r="331" spans="1:26">
      <c r="A331" s="55">
        <v>45903</v>
      </c>
      <c r="B331" t="s">
        <v>1485</v>
      </c>
      <c r="C331" t="s">
        <v>1486</v>
      </c>
      <c r="D331" t="s">
        <v>202</v>
      </c>
      <c r="E331">
        <v>85383</v>
      </c>
      <c r="F331" t="s">
        <v>31</v>
      </c>
      <c r="G331" t="s">
        <v>1329</v>
      </c>
      <c r="H331">
        <v>1080850989</v>
      </c>
      <c r="I331" t="s">
        <v>1488</v>
      </c>
      <c r="J331" t="s">
        <v>37</v>
      </c>
      <c r="K331" t="s">
        <v>37</v>
      </c>
      <c r="L331" t="s">
        <v>389</v>
      </c>
      <c r="M331" t="s">
        <v>37</v>
      </c>
      <c r="N331" t="s">
        <v>37</v>
      </c>
      <c r="O331" t="s">
        <v>38</v>
      </c>
      <c r="P331" t="s">
        <v>39</v>
      </c>
      <c r="Q331" s="55">
        <v>45967</v>
      </c>
      <c r="R331" t="s">
        <v>5432</v>
      </c>
      <c r="S331" t="s">
        <v>5432</v>
      </c>
      <c r="T331" t="s">
        <v>5432</v>
      </c>
      <c r="U331" t="s">
        <v>5432</v>
      </c>
      <c r="W331" s="55"/>
    </row>
    <row r="332" spans="1:26">
      <c r="A332" s="55">
        <v>45903</v>
      </c>
      <c r="B332" t="s">
        <v>238</v>
      </c>
      <c r="C332" t="s">
        <v>256</v>
      </c>
      <c r="D332" t="s">
        <v>240</v>
      </c>
      <c r="E332">
        <v>85340</v>
      </c>
      <c r="F332" t="s">
        <v>31</v>
      </c>
      <c r="G332" t="s">
        <v>1329</v>
      </c>
      <c r="H332">
        <v>5784101000</v>
      </c>
      <c r="I332" t="s">
        <v>57</v>
      </c>
      <c r="J332" t="s">
        <v>37</v>
      </c>
      <c r="K332" t="s">
        <v>37</v>
      </c>
      <c r="L332" t="s">
        <v>1492</v>
      </c>
      <c r="M332" t="s">
        <v>37</v>
      </c>
      <c r="N332" t="s">
        <v>37</v>
      </c>
      <c r="O332" t="s">
        <v>38</v>
      </c>
      <c r="P332">
        <v>45936</v>
      </c>
      <c r="Q332" s="55">
        <v>45967</v>
      </c>
      <c r="R332" t="s">
        <v>1429</v>
      </c>
      <c r="S332" t="s">
        <v>5432</v>
      </c>
      <c r="T332" t="s">
        <v>5432</v>
      </c>
      <c r="U332" t="s">
        <v>5432</v>
      </c>
      <c r="W332" s="55"/>
    </row>
    <row r="333" spans="1:26">
      <c r="A333" s="55">
        <v>45903</v>
      </c>
      <c r="B333" t="s">
        <v>1493</v>
      </c>
      <c r="C333" t="s">
        <v>597</v>
      </c>
      <c r="D333" t="s">
        <v>1204</v>
      </c>
      <c r="E333">
        <v>85355</v>
      </c>
      <c r="F333" t="s">
        <v>31</v>
      </c>
      <c r="G333" t="s">
        <v>1329</v>
      </c>
      <c r="H333">
        <v>8302625379</v>
      </c>
      <c r="I333" t="s">
        <v>46</v>
      </c>
      <c r="J333" t="s">
        <v>37</v>
      </c>
      <c r="K333" t="s">
        <v>37</v>
      </c>
      <c r="L333" t="s">
        <v>38</v>
      </c>
      <c r="M333" t="s">
        <v>37</v>
      </c>
      <c r="N333" t="s">
        <v>37</v>
      </c>
      <c r="O333" t="s">
        <v>38</v>
      </c>
      <c r="P333" t="s">
        <v>39</v>
      </c>
      <c r="Q333" s="55">
        <v>45967</v>
      </c>
      <c r="R333" t="s">
        <v>5432</v>
      </c>
      <c r="S333" t="s">
        <v>5432</v>
      </c>
      <c r="T333" t="s">
        <v>5432</v>
      </c>
      <c r="U333" t="s">
        <v>5432</v>
      </c>
      <c r="V333" t="s">
        <v>117</v>
      </c>
      <c r="W333" s="55">
        <v>45997</v>
      </c>
      <c r="X333" t="s">
        <v>5434</v>
      </c>
      <c r="Z333" t="s">
        <v>5468</v>
      </c>
    </row>
    <row r="334" spans="1:26">
      <c r="A334" s="55">
        <v>45903</v>
      </c>
      <c r="B334" t="s">
        <v>1497</v>
      </c>
      <c r="C334" t="s">
        <v>1498</v>
      </c>
      <c r="D334" t="s">
        <v>63</v>
      </c>
      <c r="E334">
        <v>85024</v>
      </c>
      <c r="F334" t="s">
        <v>31</v>
      </c>
      <c r="G334" t="s">
        <v>1329</v>
      </c>
      <c r="H334">
        <v>364421000</v>
      </c>
      <c r="I334" t="s">
        <v>1040</v>
      </c>
      <c r="J334" t="s">
        <v>37</v>
      </c>
      <c r="K334" t="s">
        <v>37</v>
      </c>
      <c r="L334" t="s">
        <v>38</v>
      </c>
      <c r="M334" t="s">
        <v>37</v>
      </c>
      <c r="N334" t="s">
        <v>37</v>
      </c>
      <c r="O334" t="s">
        <v>38</v>
      </c>
      <c r="P334" t="s">
        <v>39</v>
      </c>
      <c r="Q334" s="55">
        <v>45967</v>
      </c>
      <c r="R334" t="s">
        <v>5432</v>
      </c>
      <c r="S334" t="s">
        <v>5432</v>
      </c>
      <c r="T334" t="s">
        <v>5432</v>
      </c>
      <c r="U334" t="s">
        <v>5432</v>
      </c>
      <c r="W334" s="55"/>
    </row>
    <row r="335" spans="1:26">
      <c r="A335" s="55">
        <v>45903</v>
      </c>
      <c r="B335" t="s">
        <v>1500</v>
      </c>
      <c r="C335" t="s">
        <v>1501</v>
      </c>
      <c r="D335" t="s">
        <v>63</v>
      </c>
      <c r="E335">
        <v>85085</v>
      </c>
      <c r="F335" t="s">
        <v>310</v>
      </c>
      <c r="G335" t="s">
        <v>1329</v>
      </c>
      <c r="H335">
        <v>2046439451</v>
      </c>
      <c r="I335" t="s">
        <v>36</v>
      </c>
      <c r="J335" t="s">
        <v>37</v>
      </c>
      <c r="K335" t="s">
        <v>37</v>
      </c>
      <c r="L335" t="s">
        <v>38</v>
      </c>
      <c r="M335" t="s">
        <v>37</v>
      </c>
      <c r="N335" t="s">
        <v>37</v>
      </c>
      <c r="O335" t="s">
        <v>38</v>
      </c>
      <c r="P335" t="s">
        <v>39</v>
      </c>
      <c r="Q335" s="55">
        <v>45967</v>
      </c>
      <c r="R335" t="s">
        <v>5432</v>
      </c>
      <c r="S335" t="s">
        <v>5432</v>
      </c>
      <c r="T335" t="s">
        <v>5432</v>
      </c>
      <c r="U335" t="s">
        <v>5432</v>
      </c>
      <c r="W335" s="55"/>
    </row>
    <row r="336" spans="1:26">
      <c r="A336" s="55">
        <v>45903</v>
      </c>
      <c r="B336" t="s">
        <v>1503</v>
      </c>
      <c r="C336" t="s">
        <v>1504</v>
      </c>
      <c r="D336" t="s">
        <v>63</v>
      </c>
      <c r="E336">
        <v>85003</v>
      </c>
      <c r="F336" t="s">
        <v>310</v>
      </c>
      <c r="G336" t="s">
        <v>1329</v>
      </c>
      <c r="H336">
        <v>3862538912</v>
      </c>
      <c r="I336" t="s">
        <v>196</v>
      </c>
      <c r="J336" t="s">
        <v>37</v>
      </c>
      <c r="K336" t="s">
        <v>37</v>
      </c>
      <c r="L336" t="s">
        <v>1506</v>
      </c>
      <c r="M336" t="s">
        <v>37</v>
      </c>
      <c r="N336" t="s">
        <v>37</v>
      </c>
      <c r="O336" t="s">
        <v>38</v>
      </c>
      <c r="P336">
        <v>45936</v>
      </c>
      <c r="Q336" s="55">
        <v>45967</v>
      </c>
      <c r="R336" t="s">
        <v>1507</v>
      </c>
      <c r="S336" t="s">
        <v>5432</v>
      </c>
      <c r="T336" t="s">
        <v>5432</v>
      </c>
      <c r="U336" t="s">
        <v>5432</v>
      </c>
      <c r="W336" s="55"/>
    </row>
    <row r="337" spans="1:23">
      <c r="A337" s="55">
        <v>45903</v>
      </c>
      <c r="B337" t="s">
        <v>1508</v>
      </c>
      <c r="C337" t="s">
        <v>291</v>
      </c>
      <c r="D337" t="s">
        <v>169</v>
      </c>
      <c r="E337">
        <v>85338</v>
      </c>
      <c r="F337" t="s">
        <v>1509</v>
      </c>
      <c r="G337" t="s">
        <v>1329</v>
      </c>
      <c r="H337">
        <v>974119043</v>
      </c>
      <c r="I337" t="s">
        <v>196</v>
      </c>
      <c r="J337" t="s">
        <v>37</v>
      </c>
      <c r="K337" t="s">
        <v>37</v>
      </c>
      <c r="L337" t="s">
        <v>1511</v>
      </c>
      <c r="M337" t="s">
        <v>37</v>
      </c>
      <c r="N337" t="s">
        <v>37</v>
      </c>
      <c r="O337" t="s">
        <v>38</v>
      </c>
      <c r="P337">
        <v>45936</v>
      </c>
      <c r="Q337" s="55">
        <v>45967</v>
      </c>
      <c r="R337" t="s">
        <v>1429</v>
      </c>
      <c r="S337" t="s">
        <v>5432</v>
      </c>
      <c r="T337" t="s">
        <v>5432</v>
      </c>
      <c r="U337" t="s">
        <v>5432</v>
      </c>
      <c r="W337" s="55"/>
    </row>
    <row r="338" spans="1:23">
      <c r="A338" s="55">
        <v>45903</v>
      </c>
      <c r="B338" t="s">
        <v>1515</v>
      </c>
      <c r="C338" t="s">
        <v>1516</v>
      </c>
      <c r="D338" t="s">
        <v>202</v>
      </c>
      <c r="E338">
        <v>85383</v>
      </c>
      <c r="F338" t="s">
        <v>310</v>
      </c>
      <c r="G338" t="s">
        <v>1329</v>
      </c>
      <c r="H338">
        <v>8849042993</v>
      </c>
      <c r="I338" t="s">
        <v>196</v>
      </c>
      <c r="J338" t="s">
        <v>37</v>
      </c>
      <c r="K338" t="s">
        <v>37</v>
      </c>
      <c r="L338" t="s">
        <v>1518</v>
      </c>
      <c r="M338" t="s">
        <v>37</v>
      </c>
      <c r="N338" t="s">
        <v>37</v>
      </c>
      <c r="O338" t="s">
        <v>38</v>
      </c>
      <c r="P338">
        <v>45936</v>
      </c>
      <c r="Q338" s="55">
        <v>45967</v>
      </c>
      <c r="R338" t="s">
        <v>1429</v>
      </c>
      <c r="S338" t="s">
        <v>5432</v>
      </c>
      <c r="T338" t="s">
        <v>5432</v>
      </c>
      <c r="U338" t="s">
        <v>5432</v>
      </c>
      <c r="W338" s="55"/>
    </row>
    <row r="339" spans="1:23">
      <c r="A339" s="55">
        <v>45903</v>
      </c>
      <c r="B339" t="s">
        <v>1519</v>
      </c>
      <c r="C339" t="s">
        <v>1520</v>
      </c>
      <c r="D339" t="s">
        <v>202</v>
      </c>
      <c r="E339">
        <v>85383</v>
      </c>
      <c r="F339" t="s">
        <v>310</v>
      </c>
      <c r="G339" t="s">
        <v>1329</v>
      </c>
      <c r="H339">
        <v>1275245123</v>
      </c>
      <c r="I339" t="s">
        <v>73</v>
      </c>
      <c r="J339" t="s">
        <v>37</v>
      </c>
      <c r="K339" t="s">
        <v>37</v>
      </c>
      <c r="L339" t="s">
        <v>38</v>
      </c>
      <c r="M339" t="s">
        <v>37</v>
      </c>
      <c r="N339" t="s">
        <v>37</v>
      </c>
      <c r="O339" t="s">
        <v>38</v>
      </c>
      <c r="P339" t="s">
        <v>39</v>
      </c>
      <c r="Q339" s="55">
        <v>45967</v>
      </c>
      <c r="R339" t="s">
        <v>5432</v>
      </c>
      <c r="S339" t="s">
        <v>5432</v>
      </c>
      <c r="T339" t="s">
        <v>5432</v>
      </c>
      <c r="U339" t="s">
        <v>5432</v>
      </c>
      <c r="W339" s="55"/>
    </row>
    <row r="340" spans="1:23">
      <c r="A340" s="55">
        <v>45903</v>
      </c>
      <c r="B340" t="s">
        <v>1522</v>
      </c>
      <c r="C340" t="s">
        <v>611</v>
      </c>
      <c r="D340" t="s">
        <v>169</v>
      </c>
      <c r="E340">
        <v>85338</v>
      </c>
      <c r="F340" t="s">
        <v>31</v>
      </c>
      <c r="G340" t="s">
        <v>1329</v>
      </c>
      <c r="H340">
        <v>4095200000</v>
      </c>
      <c r="I340" t="s">
        <v>196</v>
      </c>
      <c r="J340" t="s">
        <v>37</v>
      </c>
      <c r="K340" t="s">
        <v>37</v>
      </c>
      <c r="L340" t="s">
        <v>1524</v>
      </c>
      <c r="M340" t="s">
        <v>37</v>
      </c>
      <c r="N340" t="s">
        <v>37</v>
      </c>
      <c r="O340" t="s">
        <v>38</v>
      </c>
      <c r="P340" t="s">
        <v>39</v>
      </c>
      <c r="Q340" s="55">
        <v>45967</v>
      </c>
      <c r="R340" t="s">
        <v>1525</v>
      </c>
      <c r="S340" t="s">
        <v>5432</v>
      </c>
      <c r="T340" t="s">
        <v>5432</v>
      </c>
      <c r="U340" t="s">
        <v>5432</v>
      </c>
      <c r="W340" s="55"/>
    </row>
    <row r="341" spans="1:23">
      <c r="A341" s="55">
        <v>45903</v>
      </c>
      <c r="B341" t="s">
        <v>1526</v>
      </c>
      <c r="C341" t="s">
        <v>570</v>
      </c>
      <c r="D341" t="s">
        <v>63</v>
      </c>
      <c r="E341">
        <v>85024</v>
      </c>
      <c r="F341" t="s">
        <v>310</v>
      </c>
      <c r="G341" t="s">
        <v>1329</v>
      </c>
      <c r="H341">
        <v>616290000</v>
      </c>
      <c r="I341" t="s">
        <v>1528</v>
      </c>
      <c r="J341" t="s">
        <v>37</v>
      </c>
      <c r="K341" t="s">
        <v>37</v>
      </c>
      <c r="L341" t="s">
        <v>38</v>
      </c>
      <c r="M341" t="s">
        <v>37</v>
      </c>
      <c r="N341" t="s">
        <v>37</v>
      </c>
      <c r="O341" t="s">
        <v>38</v>
      </c>
      <c r="P341" t="s">
        <v>39</v>
      </c>
      <c r="Q341" s="55">
        <v>45967</v>
      </c>
      <c r="R341" t="s">
        <v>5432</v>
      </c>
      <c r="S341" t="s">
        <v>5432</v>
      </c>
      <c r="T341" t="s">
        <v>5432</v>
      </c>
      <c r="U341" t="s">
        <v>5432</v>
      </c>
      <c r="W341" s="55"/>
    </row>
    <row r="342" spans="1:23">
      <c r="A342" s="55">
        <v>45903</v>
      </c>
      <c r="B342" t="s">
        <v>1529</v>
      </c>
      <c r="C342" t="s">
        <v>1530</v>
      </c>
      <c r="D342" t="s">
        <v>63</v>
      </c>
      <c r="E342">
        <v>85050</v>
      </c>
      <c r="F342" t="s">
        <v>31</v>
      </c>
      <c r="G342" t="s">
        <v>1329</v>
      </c>
      <c r="H342">
        <v>2174790000</v>
      </c>
      <c r="I342" t="s">
        <v>36</v>
      </c>
      <c r="J342" t="s">
        <v>37</v>
      </c>
      <c r="K342" t="s">
        <v>37</v>
      </c>
      <c r="L342" t="s">
        <v>38</v>
      </c>
      <c r="M342" t="s">
        <v>37</v>
      </c>
      <c r="N342" t="s">
        <v>37</v>
      </c>
      <c r="O342" t="s">
        <v>38</v>
      </c>
      <c r="P342" t="s">
        <v>39</v>
      </c>
      <c r="Q342" s="55">
        <v>45966</v>
      </c>
      <c r="R342" t="s">
        <v>5432</v>
      </c>
      <c r="S342" t="s">
        <v>5432</v>
      </c>
      <c r="T342" t="s">
        <v>5432</v>
      </c>
      <c r="U342" t="s">
        <v>5432</v>
      </c>
      <c r="W342" s="55"/>
    </row>
    <row r="343" spans="1:23">
      <c r="A343" s="55">
        <v>45903</v>
      </c>
      <c r="B343" t="s">
        <v>1532</v>
      </c>
      <c r="C343" t="s">
        <v>1533</v>
      </c>
      <c r="D343" t="s">
        <v>169</v>
      </c>
      <c r="E343">
        <v>85338</v>
      </c>
      <c r="F343" t="s">
        <v>1534</v>
      </c>
      <c r="G343" t="s">
        <v>1329</v>
      </c>
      <c r="H343">
        <v>1040090000</v>
      </c>
      <c r="I343" t="s">
        <v>36</v>
      </c>
      <c r="J343" t="s">
        <v>37</v>
      </c>
      <c r="K343" t="s">
        <v>37</v>
      </c>
      <c r="L343" t="s">
        <v>38</v>
      </c>
      <c r="M343" t="s">
        <v>37</v>
      </c>
      <c r="N343" t="s">
        <v>37</v>
      </c>
      <c r="O343" t="s">
        <v>38</v>
      </c>
      <c r="P343" t="s">
        <v>39</v>
      </c>
      <c r="Q343" s="55">
        <v>45966</v>
      </c>
      <c r="R343" t="s">
        <v>5432</v>
      </c>
      <c r="S343" t="s">
        <v>5432</v>
      </c>
      <c r="T343" t="s">
        <v>5432</v>
      </c>
      <c r="U343" t="s">
        <v>5432</v>
      </c>
      <c r="W343" s="55"/>
    </row>
    <row r="344" spans="1:23">
      <c r="A344" s="55">
        <v>45903</v>
      </c>
      <c r="B344" t="s">
        <v>1536</v>
      </c>
      <c r="C344" t="s">
        <v>1537</v>
      </c>
      <c r="D344" t="s">
        <v>63</v>
      </c>
      <c r="E344">
        <v>85013</v>
      </c>
      <c r="F344" t="s">
        <v>1538</v>
      </c>
      <c r="G344" t="s">
        <v>1329</v>
      </c>
      <c r="H344">
        <v>2426870000</v>
      </c>
      <c r="I344" t="s">
        <v>73</v>
      </c>
      <c r="J344" t="s">
        <v>37</v>
      </c>
      <c r="K344" t="s">
        <v>37</v>
      </c>
      <c r="L344" t="s">
        <v>38</v>
      </c>
      <c r="M344" t="s">
        <v>37</v>
      </c>
      <c r="N344" t="s">
        <v>37</v>
      </c>
      <c r="O344" t="s">
        <v>38</v>
      </c>
      <c r="P344" t="s">
        <v>39</v>
      </c>
      <c r="Q344" s="55">
        <v>45966</v>
      </c>
      <c r="R344" t="s">
        <v>5432</v>
      </c>
      <c r="S344" t="s">
        <v>5432</v>
      </c>
      <c r="T344" t="s">
        <v>5432</v>
      </c>
      <c r="U344" t="s">
        <v>5432</v>
      </c>
      <c r="W344" s="55"/>
    </row>
    <row r="345" spans="1:23">
      <c r="A345" s="55">
        <v>45903</v>
      </c>
      <c r="B345" t="s">
        <v>1540</v>
      </c>
      <c r="C345" t="s">
        <v>624</v>
      </c>
      <c r="D345" t="s">
        <v>202</v>
      </c>
      <c r="E345">
        <v>85381</v>
      </c>
      <c r="F345" t="s">
        <v>310</v>
      </c>
      <c r="G345" t="s">
        <v>1329</v>
      </c>
      <c r="H345">
        <v>7393110000</v>
      </c>
      <c r="I345" t="s">
        <v>36</v>
      </c>
      <c r="J345" t="s">
        <v>37</v>
      </c>
      <c r="K345" t="s">
        <v>37</v>
      </c>
      <c r="L345" t="s">
        <v>38</v>
      </c>
      <c r="M345" t="s">
        <v>37</v>
      </c>
      <c r="N345" t="s">
        <v>37</v>
      </c>
      <c r="O345" t="s">
        <v>38</v>
      </c>
      <c r="P345" t="s">
        <v>39</v>
      </c>
      <c r="Q345" s="55">
        <v>45966</v>
      </c>
      <c r="R345" t="s">
        <v>5432</v>
      </c>
      <c r="S345" t="s">
        <v>5432</v>
      </c>
      <c r="T345" t="s">
        <v>5432</v>
      </c>
      <c r="U345" t="s">
        <v>5432</v>
      </c>
      <c r="W345" s="55"/>
    </row>
    <row r="346" spans="1:23">
      <c r="A346" s="55">
        <v>45903</v>
      </c>
      <c r="B346" t="s">
        <v>1542</v>
      </c>
      <c r="C346" t="s">
        <v>1543</v>
      </c>
      <c r="D346" t="s">
        <v>1544</v>
      </c>
      <c r="E346">
        <v>86332</v>
      </c>
      <c r="F346" t="s">
        <v>31</v>
      </c>
      <c r="G346" t="s">
        <v>1329</v>
      </c>
      <c r="H346">
        <v>1130640000</v>
      </c>
      <c r="I346" t="s">
        <v>243</v>
      </c>
      <c r="J346" t="s">
        <v>37</v>
      </c>
      <c r="K346" t="s">
        <v>37</v>
      </c>
      <c r="L346" t="s">
        <v>389</v>
      </c>
      <c r="M346" t="s">
        <v>37</v>
      </c>
      <c r="N346" t="s">
        <v>37</v>
      </c>
      <c r="O346" t="s">
        <v>38</v>
      </c>
      <c r="P346" t="s">
        <v>39</v>
      </c>
      <c r="Q346" s="55">
        <v>45966</v>
      </c>
      <c r="R346" t="s">
        <v>5432</v>
      </c>
      <c r="S346" t="s">
        <v>5432</v>
      </c>
      <c r="T346" t="s">
        <v>5432</v>
      </c>
      <c r="U346" t="s">
        <v>5432</v>
      </c>
      <c r="W346" s="55"/>
    </row>
    <row r="347" spans="1:23">
      <c r="A347" s="55">
        <v>45903</v>
      </c>
      <c r="B347" t="s">
        <v>1546</v>
      </c>
      <c r="C347" t="s">
        <v>1547</v>
      </c>
      <c r="D347" t="s">
        <v>169</v>
      </c>
      <c r="E347">
        <v>85395</v>
      </c>
      <c r="F347" t="s">
        <v>31</v>
      </c>
      <c r="G347" t="s">
        <v>1329</v>
      </c>
      <c r="H347">
        <v>4161750000</v>
      </c>
      <c r="I347" t="s">
        <v>46</v>
      </c>
      <c r="J347" t="s">
        <v>37</v>
      </c>
      <c r="K347" t="s">
        <v>37</v>
      </c>
      <c r="L347" t="s">
        <v>38</v>
      </c>
      <c r="M347" t="s">
        <v>37</v>
      </c>
      <c r="N347" t="s">
        <v>37</v>
      </c>
      <c r="O347" t="s">
        <v>38</v>
      </c>
      <c r="P347" t="s">
        <v>39</v>
      </c>
      <c r="Q347" s="55">
        <v>45966</v>
      </c>
      <c r="R347" t="s">
        <v>5432</v>
      </c>
      <c r="S347" t="s">
        <v>5432</v>
      </c>
      <c r="T347" t="s">
        <v>5432</v>
      </c>
      <c r="U347" t="s">
        <v>5432</v>
      </c>
      <c r="W347" s="55"/>
    </row>
    <row r="348" spans="1:23">
      <c r="A348" s="55">
        <v>45903</v>
      </c>
      <c r="B348" t="s">
        <v>1554</v>
      </c>
      <c r="C348" t="s">
        <v>1555</v>
      </c>
      <c r="D348" t="s">
        <v>169</v>
      </c>
      <c r="E348">
        <v>85395</v>
      </c>
      <c r="F348" t="s">
        <v>1556</v>
      </c>
      <c r="G348" t="s">
        <v>1329</v>
      </c>
      <c r="H348">
        <v>9230683411</v>
      </c>
      <c r="I348" t="s">
        <v>196</v>
      </c>
      <c r="J348" t="s">
        <v>37</v>
      </c>
      <c r="K348" t="s">
        <v>37</v>
      </c>
      <c r="L348" t="s">
        <v>1558</v>
      </c>
      <c r="M348" t="s">
        <v>37</v>
      </c>
      <c r="N348" t="s">
        <v>37</v>
      </c>
      <c r="O348" t="s">
        <v>38</v>
      </c>
      <c r="P348">
        <v>45936</v>
      </c>
      <c r="Q348" s="55">
        <v>45966</v>
      </c>
      <c r="R348" t="s">
        <v>1429</v>
      </c>
      <c r="S348" t="s">
        <v>5432</v>
      </c>
      <c r="T348" t="s">
        <v>5432</v>
      </c>
      <c r="U348" t="s">
        <v>5432</v>
      </c>
      <c r="W348" s="55"/>
    </row>
    <row r="349" spans="1:23">
      <c r="A349" s="55">
        <v>45903</v>
      </c>
      <c r="B349" t="s">
        <v>1559</v>
      </c>
      <c r="C349" t="s">
        <v>309</v>
      </c>
      <c r="D349" t="s">
        <v>129</v>
      </c>
      <c r="E349">
        <v>85234</v>
      </c>
      <c r="F349" t="s">
        <v>310</v>
      </c>
      <c r="G349" t="s">
        <v>1329</v>
      </c>
      <c r="H349">
        <v>8465277693</v>
      </c>
      <c r="I349" t="s">
        <v>196</v>
      </c>
      <c r="J349" t="s">
        <v>37</v>
      </c>
      <c r="K349" t="s">
        <v>37</v>
      </c>
      <c r="L349" t="s">
        <v>1561</v>
      </c>
      <c r="M349" t="s">
        <v>37</v>
      </c>
      <c r="N349" t="s">
        <v>37</v>
      </c>
      <c r="O349" t="s">
        <v>38</v>
      </c>
      <c r="P349">
        <v>45936</v>
      </c>
      <c r="Q349" s="55">
        <v>45966</v>
      </c>
      <c r="R349" t="s">
        <v>1429</v>
      </c>
      <c r="S349" t="s">
        <v>5432</v>
      </c>
      <c r="T349" t="s">
        <v>5432</v>
      </c>
      <c r="U349" t="s">
        <v>5432</v>
      </c>
      <c r="W349" s="55"/>
    </row>
    <row r="350" spans="1:23">
      <c r="A350" s="55">
        <v>45903</v>
      </c>
      <c r="B350" t="s">
        <v>1562</v>
      </c>
      <c r="C350" t="s">
        <v>1563</v>
      </c>
      <c r="D350" t="s">
        <v>816</v>
      </c>
      <c r="E350">
        <v>86304</v>
      </c>
      <c r="F350" t="s">
        <v>31</v>
      </c>
      <c r="G350" t="s">
        <v>1329</v>
      </c>
      <c r="H350">
        <v>2414554339</v>
      </c>
      <c r="I350" t="s">
        <v>73</v>
      </c>
      <c r="J350" t="s">
        <v>37</v>
      </c>
      <c r="K350" t="s">
        <v>37</v>
      </c>
      <c r="L350" t="s">
        <v>38</v>
      </c>
      <c r="M350" t="s">
        <v>37</v>
      </c>
      <c r="N350" t="s">
        <v>37</v>
      </c>
      <c r="O350" t="s">
        <v>38</v>
      </c>
      <c r="P350" t="s">
        <v>39</v>
      </c>
      <c r="Q350" s="55">
        <v>45966</v>
      </c>
      <c r="R350" t="s">
        <v>5432</v>
      </c>
      <c r="S350" t="s">
        <v>5432</v>
      </c>
      <c r="T350" t="s">
        <v>5432</v>
      </c>
      <c r="U350" t="s">
        <v>5432</v>
      </c>
      <c r="W350" s="55"/>
    </row>
    <row r="351" spans="1:23">
      <c r="A351" s="55">
        <v>45903</v>
      </c>
      <c r="B351" t="s">
        <v>1565</v>
      </c>
      <c r="C351" t="s">
        <v>1566</v>
      </c>
      <c r="D351" t="s">
        <v>169</v>
      </c>
      <c r="E351">
        <v>85395</v>
      </c>
      <c r="F351" t="s">
        <v>31</v>
      </c>
      <c r="G351" t="s">
        <v>1329</v>
      </c>
      <c r="H351">
        <v>6810195712</v>
      </c>
      <c r="I351" t="s">
        <v>73</v>
      </c>
      <c r="J351" t="s">
        <v>37</v>
      </c>
      <c r="K351" t="s">
        <v>37</v>
      </c>
      <c r="L351" t="s">
        <v>38</v>
      </c>
      <c r="M351" t="s">
        <v>37</v>
      </c>
      <c r="N351" t="s">
        <v>37</v>
      </c>
      <c r="O351" t="s">
        <v>38</v>
      </c>
      <c r="P351" t="s">
        <v>39</v>
      </c>
      <c r="Q351" s="55">
        <v>45966</v>
      </c>
      <c r="R351" t="s">
        <v>5432</v>
      </c>
      <c r="S351" t="s">
        <v>5432</v>
      </c>
      <c r="T351" t="s">
        <v>5432</v>
      </c>
      <c r="U351" t="s">
        <v>5432</v>
      </c>
      <c r="W351" s="55"/>
    </row>
    <row r="352" spans="1:23">
      <c r="A352" s="55">
        <v>45903</v>
      </c>
      <c r="B352" t="s">
        <v>1568</v>
      </c>
      <c r="C352" t="s">
        <v>1463</v>
      </c>
      <c r="D352" t="s">
        <v>659</v>
      </c>
      <c r="E352">
        <v>85350</v>
      </c>
      <c r="F352" t="s">
        <v>31</v>
      </c>
      <c r="G352" t="s">
        <v>1329</v>
      </c>
      <c r="H352">
        <v>800411000</v>
      </c>
      <c r="I352" t="s">
        <v>46</v>
      </c>
      <c r="J352" t="s">
        <v>38</v>
      </c>
      <c r="K352" t="s">
        <v>37</v>
      </c>
      <c r="L352" t="s">
        <v>38</v>
      </c>
      <c r="M352" t="s">
        <v>37</v>
      </c>
      <c r="N352" t="s">
        <v>37</v>
      </c>
      <c r="O352" t="s">
        <v>38</v>
      </c>
      <c r="P352" t="s">
        <v>39</v>
      </c>
      <c r="Q352" s="55">
        <v>45966</v>
      </c>
      <c r="R352" t="s">
        <v>5432</v>
      </c>
      <c r="S352" t="s">
        <v>5432</v>
      </c>
      <c r="T352" t="s">
        <v>5432</v>
      </c>
      <c r="U352" t="s">
        <v>5432</v>
      </c>
      <c r="W352" s="55"/>
    </row>
    <row r="353" spans="1:23">
      <c r="A353" s="55">
        <v>45903</v>
      </c>
      <c r="B353" t="s">
        <v>1570</v>
      </c>
      <c r="C353" t="s">
        <v>1571</v>
      </c>
      <c r="D353" t="s">
        <v>24</v>
      </c>
      <c r="E353">
        <v>85308</v>
      </c>
      <c r="F353" t="s">
        <v>310</v>
      </c>
      <c r="G353" t="s">
        <v>1329</v>
      </c>
      <c r="H353">
        <v>7131023762</v>
      </c>
      <c r="I353" t="s">
        <v>36</v>
      </c>
      <c r="J353" t="s">
        <v>37</v>
      </c>
      <c r="K353" t="s">
        <v>37</v>
      </c>
      <c r="L353" t="s">
        <v>1573</v>
      </c>
      <c r="M353" t="s">
        <v>37</v>
      </c>
      <c r="N353" t="s">
        <v>37</v>
      </c>
      <c r="O353" t="s">
        <v>38</v>
      </c>
      <c r="P353" t="s">
        <v>5432</v>
      </c>
      <c r="Q353" s="55">
        <v>45966</v>
      </c>
      <c r="R353" t="s">
        <v>5432</v>
      </c>
      <c r="S353" t="s">
        <v>5432</v>
      </c>
      <c r="T353" t="s">
        <v>5432</v>
      </c>
      <c r="U353" t="s">
        <v>5432</v>
      </c>
      <c r="W353" s="55"/>
    </row>
    <row r="354" spans="1:23">
      <c r="A354" s="55">
        <v>45903</v>
      </c>
      <c r="B354" t="s">
        <v>367</v>
      </c>
      <c r="C354" t="s">
        <v>1574</v>
      </c>
      <c r="D354" t="s">
        <v>169</v>
      </c>
      <c r="E354">
        <v>85395</v>
      </c>
      <c r="F354" t="s">
        <v>31</v>
      </c>
      <c r="G354" t="s">
        <v>1329</v>
      </c>
      <c r="H354">
        <v>1733200000</v>
      </c>
      <c r="I354" t="s">
        <v>1576</v>
      </c>
      <c r="J354" t="s">
        <v>37</v>
      </c>
      <c r="K354" t="s">
        <v>37</v>
      </c>
      <c r="L354" t="s">
        <v>389</v>
      </c>
      <c r="M354" t="s">
        <v>37</v>
      </c>
      <c r="N354" t="s">
        <v>37</v>
      </c>
      <c r="O354" t="s">
        <v>38</v>
      </c>
      <c r="P354" t="s">
        <v>39</v>
      </c>
      <c r="Q354" s="55">
        <v>45966</v>
      </c>
      <c r="R354" t="s">
        <v>5432</v>
      </c>
      <c r="S354" t="s">
        <v>5432</v>
      </c>
      <c r="T354" t="s">
        <v>5432</v>
      </c>
      <c r="U354" t="s">
        <v>5432</v>
      </c>
      <c r="W354" s="55"/>
    </row>
    <row r="355" spans="1:23">
      <c r="A355" s="55">
        <v>45903</v>
      </c>
      <c r="B355" t="s">
        <v>1577</v>
      </c>
      <c r="C355" t="s">
        <v>1578</v>
      </c>
      <c r="D355" t="s">
        <v>264</v>
      </c>
      <c r="E355">
        <v>85541</v>
      </c>
      <c r="F355" t="s">
        <v>310</v>
      </c>
      <c r="G355" t="s">
        <v>1329</v>
      </c>
      <c r="H355">
        <v>9697522299</v>
      </c>
      <c r="I355" t="s">
        <v>36</v>
      </c>
      <c r="J355" t="s">
        <v>37</v>
      </c>
      <c r="K355" t="s">
        <v>37</v>
      </c>
      <c r="L355" t="s">
        <v>38</v>
      </c>
      <c r="M355" t="s">
        <v>37</v>
      </c>
      <c r="N355" t="s">
        <v>37</v>
      </c>
      <c r="O355" t="s">
        <v>38</v>
      </c>
      <c r="P355" t="s">
        <v>39</v>
      </c>
      <c r="Q355" s="55">
        <v>45966</v>
      </c>
      <c r="R355" t="s">
        <v>5432</v>
      </c>
      <c r="S355" t="s">
        <v>5432</v>
      </c>
      <c r="T355" t="s">
        <v>5432</v>
      </c>
      <c r="U355" t="s">
        <v>5432</v>
      </c>
      <c r="W355" s="55"/>
    </row>
    <row r="356" spans="1:23">
      <c r="A356" s="55">
        <v>45903</v>
      </c>
      <c r="B356" t="s">
        <v>1580</v>
      </c>
      <c r="C356" t="s">
        <v>1581</v>
      </c>
      <c r="D356" t="s">
        <v>169</v>
      </c>
      <c r="E356">
        <v>85395</v>
      </c>
      <c r="F356" t="s">
        <v>1211</v>
      </c>
      <c r="G356" t="s">
        <v>1329</v>
      </c>
      <c r="H356">
        <v>1405160798</v>
      </c>
      <c r="I356" t="s">
        <v>243</v>
      </c>
      <c r="J356" t="s">
        <v>37</v>
      </c>
      <c r="K356" t="s">
        <v>37</v>
      </c>
      <c r="L356" t="s">
        <v>389</v>
      </c>
      <c r="M356" t="s">
        <v>37</v>
      </c>
      <c r="N356" t="s">
        <v>37</v>
      </c>
      <c r="O356" t="s">
        <v>38</v>
      </c>
      <c r="P356" t="s">
        <v>39</v>
      </c>
      <c r="Q356" s="55">
        <v>45966</v>
      </c>
      <c r="R356" t="s">
        <v>5432</v>
      </c>
      <c r="S356" t="s">
        <v>5432</v>
      </c>
      <c r="T356" t="s">
        <v>5432</v>
      </c>
      <c r="U356" t="s">
        <v>5432</v>
      </c>
      <c r="W356" s="55"/>
    </row>
    <row r="357" spans="1:23">
      <c r="A357" s="55">
        <v>45903</v>
      </c>
      <c r="B357" t="s">
        <v>1583</v>
      </c>
      <c r="C357" t="s">
        <v>1584</v>
      </c>
      <c r="D357" t="s">
        <v>523</v>
      </c>
      <c r="E357">
        <v>85392</v>
      </c>
      <c r="F357" t="s">
        <v>31</v>
      </c>
      <c r="G357" t="s">
        <v>1329</v>
      </c>
      <c r="H357">
        <v>4130294914</v>
      </c>
      <c r="I357" t="s">
        <v>46</v>
      </c>
      <c r="J357" t="s">
        <v>37</v>
      </c>
      <c r="K357" t="s">
        <v>37</v>
      </c>
      <c r="L357" t="s">
        <v>1586</v>
      </c>
      <c r="M357" t="s">
        <v>37</v>
      </c>
      <c r="N357" t="s">
        <v>37</v>
      </c>
      <c r="O357" t="s">
        <v>38</v>
      </c>
      <c r="P357" t="s">
        <v>39</v>
      </c>
      <c r="Q357" s="55">
        <v>45966</v>
      </c>
      <c r="R357" t="s">
        <v>5432</v>
      </c>
      <c r="S357" t="s">
        <v>5432</v>
      </c>
      <c r="T357" t="s">
        <v>5432</v>
      </c>
      <c r="U357" t="s">
        <v>5432</v>
      </c>
      <c r="W357" s="55"/>
    </row>
    <row r="358" spans="1:23">
      <c r="A358" s="55">
        <v>45903</v>
      </c>
      <c r="B358" t="s">
        <v>1587</v>
      </c>
      <c r="C358" t="s">
        <v>1588</v>
      </c>
      <c r="D358" t="s">
        <v>63</v>
      </c>
      <c r="E358">
        <v>85032</v>
      </c>
      <c r="F358" t="s">
        <v>310</v>
      </c>
      <c r="G358" t="s">
        <v>1329</v>
      </c>
      <c r="H358">
        <v>9555640000</v>
      </c>
      <c r="I358" t="s">
        <v>250</v>
      </c>
      <c r="J358" t="s">
        <v>37</v>
      </c>
      <c r="K358" t="s">
        <v>37</v>
      </c>
      <c r="L358" t="s">
        <v>1586</v>
      </c>
      <c r="M358" t="s">
        <v>37</v>
      </c>
      <c r="N358" t="s">
        <v>37</v>
      </c>
      <c r="O358" t="s">
        <v>38</v>
      </c>
      <c r="P358" t="s">
        <v>39</v>
      </c>
      <c r="Q358" s="55">
        <v>45966</v>
      </c>
      <c r="R358" t="s">
        <v>5432</v>
      </c>
      <c r="S358" t="s">
        <v>5432</v>
      </c>
      <c r="T358" t="s">
        <v>5432</v>
      </c>
      <c r="U358" t="s">
        <v>5432</v>
      </c>
      <c r="W358" s="55"/>
    </row>
    <row r="359" spans="1:23">
      <c r="A359" s="55">
        <v>45903</v>
      </c>
      <c r="B359" t="s">
        <v>1592</v>
      </c>
      <c r="C359" t="s">
        <v>333</v>
      </c>
      <c r="D359" t="s">
        <v>112</v>
      </c>
      <c r="E359">
        <v>85379</v>
      </c>
      <c r="F359" t="s">
        <v>310</v>
      </c>
      <c r="G359" t="s">
        <v>1593</v>
      </c>
      <c r="H359">
        <v>6512865567</v>
      </c>
      <c r="I359" t="s">
        <v>126</v>
      </c>
      <c r="J359" t="s">
        <v>37</v>
      </c>
      <c r="K359" t="s">
        <v>37</v>
      </c>
      <c r="L359" t="s">
        <v>38</v>
      </c>
      <c r="M359" t="s">
        <v>37</v>
      </c>
      <c r="N359" t="s">
        <v>37</v>
      </c>
      <c r="O359" t="s">
        <v>38</v>
      </c>
      <c r="P359" t="s">
        <v>39</v>
      </c>
      <c r="Q359" s="55">
        <v>45966</v>
      </c>
      <c r="R359" t="s">
        <v>5432</v>
      </c>
      <c r="S359" t="s">
        <v>5432</v>
      </c>
      <c r="T359" t="s">
        <v>5432</v>
      </c>
      <c r="U359" t="s">
        <v>5432</v>
      </c>
      <c r="W359" s="55"/>
    </row>
    <row r="360" spans="1:23">
      <c r="A360" s="55">
        <v>45903</v>
      </c>
      <c r="B360" t="s">
        <v>1595</v>
      </c>
      <c r="C360" t="s">
        <v>1596</v>
      </c>
      <c r="D360" t="s">
        <v>523</v>
      </c>
      <c r="E360">
        <v>85392</v>
      </c>
      <c r="F360" t="s">
        <v>31</v>
      </c>
      <c r="G360" t="s">
        <v>1593</v>
      </c>
      <c r="H360">
        <v>6910890000</v>
      </c>
      <c r="I360" t="s">
        <v>36</v>
      </c>
      <c r="J360" t="s">
        <v>37</v>
      </c>
      <c r="K360" t="s">
        <v>37</v>
      </c>
      <c r="L360" t="s">
        <v>38</v>
      </c>
      <c r="M360" t="s">
        <v>37</v>
      </c>
      <c r="N360" t="s">
        <v>37</v>
      </c>
      <c r="O360" t="s">
        <v>38</v>
      </c>
      <c r="P360" t="s">
        <v>39</v>
      </c>
      <c r="Q360" s="55">
        <v>45966</v>
      </c>
      <c r="R360" t="s">
        <v>5432</v>
      </c>
      <c r="S360" t="s">
        <v>5432</v>
      </c>
      <c r="T360" t="s">
        <v>5432</v>
      </c>
      <c r="U360" t="s">
        <v>5432</v>
      </c>
      <c r="W360" s="55"/>
    </row>
    <row r="361" spans="1:23">
      <c r="A361" s="55">
        <v>45903</v>
      </c>
      <c r="B361" t="s">
        <v>604</v>
      </c>
      <c r="C361" t="s">
        <v>420</v>
      </c>
      <c r="D361" t="s">
        <v>24</v>
      </c>
      <c r="E361">
        <v>85308</v>
      </c>
      <c r="F361" t="s">
        <v>310</v>
      </c>
      <c r="G361" t="s">
        <v>1593</v>
      </c>
      <c r="H361">
        <v>8043001000</v>
      </c>
      <c r="I361" t="s">
        <v>73</v>
      </c>
      <c r="J361" t="s">
        <v>37</v>
      </c>
      <c r="K361" t="s">
        <v>37</v>
      </c>
      <c r="L361" t="s">
        <v>38</v>
      </c>
      <c r="M361" t="s">
        <v>37</v>
      </c>
      <c r="N361" t="s">
        <v>37</v>
      </c>
      <c r="O361" t="s">
        <v>38</v>
      </c>
      <c r="P361" t="s">
        <v>39</v>
      </c>
      <c r="Q361" s="55">
        <v>45966</v>
      </c>
      <c r="R361" t="s">
        <v>5432</v>
      </c>
      <c r="S361" t="s">
        <v>5432</v>
      </c>
      <c r="T361" t="s">
        <v>5432</v>
      </c>
      <c r="U361" t="s">
        <v>5432</v>
      </c>
      <c r="W361" s="55"/>
    </row>
    <row r="362" spans="1:23">
      <c r="A362" s="55">
        <v>45903</v>
      </c>
      <c r="B362" t="s">
        <v>1599</v>
      </c>
      <c r="C362" t="s">
        <v>1600</v>
      </c>
      <c r="D362" t="s">
        <v>63</v>
      </c>
      <c r="E362">
        <v>85345</v>
      </c>
      <c r="F362" t="s">
        <v>31</v>
      </c>
      <c r="G362" t="s">
        <v>1593</v>
      </c>
      <c r="H362">
        <v>3995860000</v>
      </c>
      <c r="I362" t="s">
        <v>73</v>
      </c>
      <c r="J362" t="s">
        <v>37</v>
      </c>
      <c r="K362" t="s">
        <v>37</v>
      </c>
      <c r="L362" t="s">
        <v>1602</v>
      </c>
      <c r="M362" t="s">
        <v>37</v>
      </c>
      <c r="N362" t="s">
        <v>37</v>
      </c>
      <c r="O362" t="s">
        <v>38</v>
      </c>
      <c r="P362" t="s">
        <v>39</v>
      </c>
      <c r="Q362" s="55">
        <v>45966</v>
      </c>
      <c r="R362" t="s">
        <v>5432</v>
      </c>
      <c r="S362" t="s">
        <v>5432</v>
      </c>
      <c r="T362" t="s">
        <v>5432</v>
      </c>
      <c r="U362" t="s">
        <v>5432</v>
      </c>
      <c r="W362" s="55"/>
    </row>
    <row r="363" spans="1:23">
      <c r="A363" s="55">
        <v>45903</v>
      </c>
      <c r="B363" t="s">
        <v>1603</v>
      </c>
      <c r="C363" t="s">
        <v>117</v>
      </c>
      <c r="D363" t="s">
        <v>169</v>
      </c>
      <c r="E363">
        <v>85338</v>
      </c>
      <c r="F363" t="s">
        <v>1604</v>
      </c>
      <c r="G363" t="s">
        <v>1593</v>
      </c>
      <c r="H363">
        <v>7251710000</v>
      </c>
      <c r="I363" t="s">
        <v>36</v>
      </c>
      <c r="J363" t="s">
        <v>37</v>
      </c>
      <c r="K363" t="s">
        <v>37</v>
      </c>
      <c r="L363" t="s">
        <v>38</v>
      </c>
      <c r="M363" t="s">
        <v>37</v>
      </c>
      <c r="N363" t="s">
        <v>37</v>
      </c>
      <c r="O363" t="s">
        <v>38</v>
      </c>
      <c r="P363" t="s">
        <v>39</v>
      </c>
      <c r="Q363" s="55">
        <v>45966</v>
      </c>
      <c r="R363" t="s">
        <v>5432</v>
      </c>
      <c r="S363" t="s">
        <v>5432</v>
      </c>
      <c r="T363" t="s">
        <v>5432</v>
      </c>
      <c r="U363" t="s">
        <v>5432</v>
      </c>
      <c r="W363" s="55"/>
    </row>
    <row r="364" spans="1:23">
      <c r="A364" s="55">
        <v>45903</v>
      </c>
      <c r="B364" t="s">
        <v>1607</v>
      </c>
      <c r="C364" t="s">
        <v>1501</v>
      </c>
      <c r="D364" t="s">
        <v>125</v>
      </c>
      <c r="E364">
        <v>85254</v>
      </c>
      <c r="F364" t="s">
        <v>1608</v>
      </c>
      <c r="G364" t="s">
        <v>1593</v>
      </c>
      <c r="H364">
        <v>1346040000</v>
      </c>
      <c r="I364" t="s">
        <v>46</v>
      </c>
      <c r="J364" t="s">
        <v>37</v>
      </c>
      <c r="K364" t="s">
        <v>37</v>
      </c>
      <c r="L364" t="s">
        <v>38</v>
      </c>
      <c r="M364" t="s">
        <v>37</v>
      </c>
      <c r="N364" t="s">
        <v>37</v>
      </c>
      <c r="O364" t="s">
        <v>38</v>
      </c>
      <c r="P364" t="s">
        <v>39</v>
      </c>
      <c r="Q364" s="55">
        <v>45966</v>
      </c>
      <c r="R364" t="s">
        <v>5432</v>
      </c>
      <c r="S364" t="s">
        <v>5432</v>
      </c>
      <c r="T364" t="s">
        <v>5432</v>
      </c>
      <c r="U364" t="s">
        <v>5432</v>
      </c>
      <c r="W364" s="55"/>
    </row>
    <row r="365" spans="1:23">
      <c r="A365" s="55">
        <v>45903</v>
      </c>
      <c r="B365" t="s">
        <v>1610</v>
      </c>
      <c r="C365" t="s">
        <v>1127</v>
      </c>
      <c r="D365" t="s">
        <v>816</v>
      </c>
      <c r="E365">
        <v>86305</v>
      </c>
      <c r="F365" t="s">
        <v>31</v>
      </c>
      <c r="G365" t="s">
        <v>1593</v>
      </c>
      <c r="H365">
        <v>4329109684</v>
      </c>
      <c r="I365" t="s">
        <v>196</v>
      </c>
      <c r="J365" t="s">
        <v>37</v>
      </c>
      <c r="K365" t="s">
        <v>37</v>
      </c>
      <c r="L365" t="s">
        <v>1612</v>
      </c>
      <c r="M365" t="s">
        <v>37</v>
      </c>
      <c r="N365" t="s">
        <v>37</v>
      </c>
      <c r="O365" t="s">
        <v>38</v>
      </c>
      <c r="P365" t="s">
        <v>39</v>
      </c>
      <c r="Q365" s="55">
        <v>45966</v>
      </c>
      <c r="R365" t="s">
        <v>5432</v>
      </c>
      <c r="S365" t="s">
        <v>5432</v>
      </c>
      <c r="T365" t="s">
        <v>5432</v>
      </c>
      <c r="U365" t="s">
        <v>5432</v>
      </c>
      <c r="W365" s="55"/>
    </row>
    <row r="366" spans="1:23">
      <c r="A366" s="55">
        <v>45903</v>
      </c>
      <c r="B366" t="s">
        <v>1616</v>
      </c>
      <c r="C366" t="s">
        <v>1617</v>
      </c>
      <c r="D366" t="s">
        <v>816</v>
      </c>
      <c r="E366">
        <v>86303</v>
      </c>
      <c r="F366" t="s">
        <v>310</v>
      </c>
      <c r="G366" t="s">
        <v>1593</v>
      </c>
      <c r="H366">
        <v>8400273014</v>
      </c>
      <c r="I366" t="s">
        <v>73</v>
      </c>
      <c r="J366" t="s">
        <v>37</v>
      </c>
      <c r="K366" t="s">
        <v>37</v>
      </c>
      <c r="L366" t="s">
        <v>38</v>
      </c>
      <c r="M366" t="s">
        <v>37</v>
      </c>
      <c r="N366" t="s">
        <v>37</v>
      </c>
      <c r="O366" t="s">
        <v>38</v>
      </c>
      <c r="P366" t="s">
        <v>39</v>
      </c>
      <c r="Q366" s="55">
        <v>45966</v>
      </c>
      <c r="R366" t="s">
        <v>5432</v>
      </c>
      <c r="S366" t="s">
        <v>5432</v>
      </c>
      <c r="T366" t="s">
        <v>5432</v>
      </c>
      <c r="U366" t="s">
        <v>5432</v>
      </c>
      <c r="W366" s="55"/>
    </row>
    <row r="367" spans="1:23">
      <c r="A367" s="55">
        <v>45903</v>
      </c>
      <c r="B367" t="s">
        <v>1619</v>
      </c>
      <c r="C367" t="s">
        <v>117</v>
      </c>
      <c r="D367" t="s">
        <v>63</v>
      </c>
      <c r="E367">
        <v>85020</v>
      </c>
      <c r="F367" t="s">
        <v>31</v>
      </c>
      <c r="G367" t="s">
        <v>1593</v>
      </c>
      <c r="H367">
        <v>7835950000</v>
      </c>
      <c r="I367" t="s">
        <v>196</v>
      </c>
      <c r="J367" t="s">
        <v>37</v>
      </c>
      <c r="K367" t="s">
        <v>37</v>
      </c>
      <c r="L367" t="s">
        <v>1620</v>
      </c>
      <c r="M367" t="s">
        <v>37</v>
      </c>
      <c r="N367" t="s">
        <v>37</v>
      </c>
      <c r="O367" t="s">
        <v>38</v>
      </c>
      <c r="P367">
        <v>45940</v>
      </c>
      <c r="Q367" s="55">
        <v>45966</v>
      </c>
      <c r="R367" t="s">
        <v>1621</v>
      </c>
      <c r="S367" t="s">
        <v>5432</v>
      </c>
      <c r="T367" t="s">
        <v>5432</v>
      </c>
      <c r="U367" t="s">
        <v>5432</v>
      </c>
      <c r="W367" s="55"/>
    </row>
    <row r="368" spans="1:23">
      <c r="A368" s="55">
        <v>45903</v>
      </c>
      <c r="B368" t="s">
        <v>1622</v>
      </c>
      <c r="C368" t="s">
        <v>1623</v>
      </c>
      <c r="D368" t="s">
        <v>63</v>
      </c>
      <c r="E368">
        <v>85029</v>
      </c>
      <c r="F368" t="s">
        <v>1624</v>
      </c>
      <c r="G368" t="s">
        <v>1593</v>
      </c>
      <c r="H368">
        <v>4420690000</v>
      </c>
      <c r="I368" t="s">
        <v>418</v>
      </c>
      <c r="J368" t="s">
        <v>37</v>
      </c>
      <c r="K368" t="s">
        <v>37</v>
      </c>
      <c r="L368" t="s">
        <v>389</v>
      </c>
      <c r="M368" t="s">
        <v>37</v>
      </c>
      <c r="N368" t="s">
        <v>37</v>
      </c>
      <c r="O368" t="s">
        <v>38</v>
      </c>
      <c r="P368" t="s">
        <v>39</v>
      </c>
      <c r="Q368" s="55">
        <v>45966</v>
      </c>
      <c r="R368" t="s">
        <v>5432</v>
      </c>
      <c r="S368" t="s">
        <v>5432</v>
      </c>
      <c r="T368" t="s">
        <v>5432</v>
      </c>
      <c r="U368" t="s">
        <v>5432</v>
      </c>
      <c r="W368" s="55"/>
    </row>
    <row r="369" spans="1:23">
      <c r="A369" s="55">
        <v>45903</v>
      </c>
      <c r="B369" t="s">
        <v>1627</v>
      </c>
      <c r="C369" t="s">
        <v>1628</v>
      </c>
      <c r="D369" t="s">
        <v>63</v>
      </c>
      <c r="E369">
        <v>85014</v>
      </c>
      <c r="F369" t="s">
        <v>31</v>
      </c>
      <c r="G369" t="s">
        <v>1593</v>
      </c>
      <c r="H369">
        <v>6594526342</v>
      </c>
      <c r="I369" t="s">
        <v>541</v>
      </c>
      <c r="J369" t="s">
        <v>37</v>
      </c>
      <c r="K369" t="s">
        <v>37</v>
      </c>
      <c r="L369" t="s">
        <v>389</v>
      </c>
      <c r="M369" t="s">
        <v>37</v>
      </c>
      <c r="N369" t="s">
        <v>37</v>
      </c>
      <c r="O369" t="s">
        <v>38</v>
      </c>
      <c r="P369" t="s">
        <v>39</v>
      </c>
      <c r="Q369" s="55">
        <v>45966</v>
      </c>
      <c r="R369" t="s">
        <v>5432</v>
      </c>
      <c r="S369" t="s">
        <v>5432</v>
      </c>
      <c r="T369" t="s">
        <v>5432</v>
      </c>
      <c r="U369" t="s">
        <v>5432</v>
      </c>
      <c r="W369" s="55"/>
    </row>
    <row r="370" spans="1:23">
      <c r="A370" s="55">
        <v>45903</v>
      </c>
      <c r="B370" t="s">
        <v>1629</v>
      </c>
      <c r="C370" t="s">
        <v>1140</v>
      </c>
      <c r="D370" t="s">
        <v>63</v>
      </c>
      <c r="E370">
        <v>85053</v>
      </c>
      <c r="F370" t="s">
        <v>1630</v>
      </c>
      <c r="G370" t="s">
        <v>1593</v>
      </c>
      <c r="H370">
        <v>1367611000</v>
      </c>
      <c r="I370" t="s">
        <v>36</v>
      </c>
      <c r="J370" t="s">
        <v>37</v>
      </c>
      <c r="K370" t="s">
        <v>37</v>
      </c>
      <c r="L370" t="s">
        <v>1632</v>
      </c>
      <c r="M370" t="s">
        <v>37</v>
      </c>
      <c r="N370" t="s">
        <v>37</v>
      </c>
      <c r="O370" t="s">
        <v>38</v>
      </c>
      <c r="P370" t="s">
        <v>39</v>
      </c>
      <c r="Q370" s="55">
        <v>45966</v>
      </c>
      <c r="R370" t="s">
        <v>5432</v>
      </c>
      <c r="S370" t="s">
        <v>5432</v>
      </c>
      <c r="T370" t="s">
        <v>5432</v>
      </c>
      <c r="U370" t="s">
        <v>5432</v>
      </c>
      <c r="W370" s="55"/>
    </row>
    <row r="371" spans="1:23">
      <c r="A371" s="55">
        <v>45903</v>
      </c>
      <c r="B371" t="s">
        <v>1638</v>
      </c>
      <c r="C371" t="s">
        <v>1639</v>
      </c>
      <c r="D371" t="s">
        <v>63</v>
      </c>
      <c r="E371">
        <v>85085</v>
      </c>
      <c r="F371" t="s">
        <v>31</v>
      </c>
      <c r="G371" t="s">
        <v>1593</v>
      </c>
      <c r="H371">
        <v>2508401000</v>
      </c>
      <c r="I371" t="s">
        <v>418</v>
      </c>
      <c r="J371" t="s">
        <v>37</v>
      </c>
      <c r="K371" t="s">
        <v>37</v>
      </c>
      <c r="L371" t="s">
        <v>389</v>
      </c>
      <c r="M371" t="s">
        <v>37</v>
      </c>
      <c r="N371" t="s">
        <v>37</v>
      </c>
      <c r="O371" t="s">
        <v>38</v>
      </c>
      <c r="P371" t="s">
        <v>39</v>
      </c>
      <c r="Q371" s="55">
        <v>45966</v>
      </c>
      <c r="R371" t="s">
        <v>5432</v>
      </c>
      <c r="S371" t="s">
        <v>5432</v>
      </c>
      <c r="T371" t="s">
        <v>5432</v>
      </c>
      <c r="U371" t="s">
        <v>5432</v>
      </c>
      <c r="W371" s="55"/>
    </row>
    <row r="372" spans="1:23">
      <c r="A372" s="55">
        <v>45903</v>
      </c>
      <c r="B372" t="s">
        <v>480</v>
      </c>
      <c r="C372" t="s">
        <v>481</v>
      </c>
      <c r="D372" t="s">
        <v>63</v>
      </c>
      <c r="E372">
        <v>85083</v>
      </c>
      <c r="F372" t="s">
        <v>31</v>
      </c>
      <c r="G372" t="s">
        <v>1593</v>
      </c>
      <c r="H372">
        <v>4048489946</v>
      </c>
      <c r="I372" t="s">
        <v>46</v>
      </c>
      <c r="J372" t="s">
        <v>37</v>
      </c>
      <c r="K372" t="s">
        <v>37</v>
      </c>
      <c r="L372" t="s">
        <v>483</v>
      </c>
      <c r="M372" t="s">
        <v>37</v>
      </c>
      <c r="N372" t="s">
        <v>37</v>
      </c>
      <c r="O372" t="s">
        <v>38</v>
      </c>
      <c r="P372" t="s">
        <v>39</v>
      </c>
      <c r="Q372" s="55">
        <v>45966</v>
      </c>
      <c r="R372" t="s">
        <v>5432</v>
      </c>
      <c r="S372" t="s">
        <v>5432</v>
      </c>
      <c r="T372" t="s">
        <v>5432</v>
      </c>
      <c r="U372" t="s">
        <v>5432</v>
      </c>
      <c r="W372" s="55"/>
    </row>
    <row r="373" spans="1:23">
      <c r="A373" s="55">
        <v>45903</v>
      </c>
      <c r="B373" t="s">
        <v>1134</v>
      </c>
      <c r="C373" t="s">
        <v>1642</v>
      </c>
      <c r="D373" t="s">
        <v>240</v>
      </c>
      <c r="E373">
        <v>85340</v>
      </c>
      <c r="F373" t="s">
        <v>741</v>
      </c>
      <c r="G373" t="s">
        <v>1593</v>
      </c>
      <c r="H373">
        <v>5865680000</v>
      </c>
      <c r="I373" t="s">
        <v>36</v>
      </c>
      <c r="J373" t="s">
        <v>37</v>
      </c>
      <c r="K373" t="s">
        <v>37</v>
      </c>
      <c r="L373" t="s">
        <v>38</v>
      </c>
      <c r="M373" t="s">
        <v>37</v>
      </c>
      <c r="N373" t="s">
        <v>37</v>
      </c>
      <c r="O373" t="s">
        <v>38</v>
      </c>
      <c r="P373" t="s">
        <v>39</v>
      </c>
      <c r="Q373" s="55">
        <v>45966</v>
      </c>
      <c r="R373" t="s">
        <v>5432</v>
      </c>
      <c r="S373" t="s">
        <v>5432</v>
      </c>
      <c r="T373" t="s">
        <v>5432</v>
      </c>
      <c r="U373" t="s">
        <v>5432</v>
      </c>
      <c r="W373" s="55"/>
    </row>
    <row r="374" spans="1:23">
      <c r="A374" s="55">
        <v>45903</v>
      </c>
      <c r="B374" t="s">
        <v>1644</v>
      </c>
      <c r="C374" t="s">
        <v>135</v>
      </c>
      <c r="D374" t="s">
        <v>169</v>
      </c>
      <c r="E374">
        <v>85338</v>
      </c>
      <c r="F374" t="s">
        <v>31</v>
      </c>
      <c r="G374" t="s">
        <v>1593</v>
      </c>
      <c r="H374">
        <v>5145361000</v>
      </c>
      <c r="I374" t="s">
        <v>418</v>
      </c>
      <c r="J374" t="s">
        <v>37</v>
      </c>
      <c r="K374" t="s">
        <v>37</v>
      </c>
      <c r="L374" t="s">
        <v>389</v>
      </c>
      <c r="M374" t="s">
        <v>38</v>
      </c>
      <c r="N374">
        <v>102.79</v>
      </c>
      <c r="O374" t="s">
        <v>38</v>
      </c>
      <c r="P374" t="s">
        <v>39</v>
      </c>
      <c r="Q374" s="55">
        <v>45966</v>
      </c>
      <c r="R374" t="s">
        <v>5432</v>
      </c>
      <c r="S374" t="s">
        <v>5432</v>
      </c>
      <c r="T374" t="s">
        <v>5432</v>
      </c>
      <c r="U374" t="s">
        <v>5432</v>
      </c>
      <c r="W374" s="55"/>
    </row>
    <row r="375" spans="1:23">
      <c r="A375" s="55">
        <v>45903</v>
      </c>
      <c r="B375" t="s">
        <v>1646</v>
      </c>
      <c r="C375" t="s">
        <v>1647</v>
      </c>
      <c r="D375" t="s">
        <v>63</v>
      </c>
      <c r="E375">
        <v>85028</v>
      </c>
      <c r="F375" t="s">
        <v>310</v>
      </c>
      <c r="G375" t="s">
        <v>1593</v>
      </c>
      <c r="H375">
        <v>2236812917</v>
      </c>
      <c r="I375" t="s">
        <v>418</v>
      </c>
      <c r="J375" t="s">
        <v>37</v>
      </c>
      <c r="K375" t="s">
        <v>37</v>
      </c>
      <c r="L375" t="s">
        <v>389</v>
      </c>
      <c r="M375" t="s">
        <v>37</v>
      </c>
      <c r="N375" t="s">
        <v>37</v>
      </c>
      <c r="O375" t="s">
        <v>38</v>
      </c>
      <c r="P375" t="s">
        <v>39</v>
      </c>
      <c r="Q375" s="55">
        <v>45966</v>
      </c>
      <c r="R375" t="s">
        <v>5432</v>
      </c>
      <c r="S375" t="s">
        <v>5432</v>
      </c>
      <c r="T375" t="s">
        <v>5432</v>
      </c>
      <c r="U375" t="s">
        <v>5432</v>
      </c>
      <c r="W375" s="55"/>
    </row>
    <row r="376" spans="1:23">
      <c r="A376" s="55">
        <v>45903</v>
      </c>
      <c r="B376" t="s">
        <v>135</v>
      </c>
      <c r="C376" t="s">
        <v>1649</v>
      </c>
      <c r="D376" t="s">
        <v>125</v>
      </c>
      <c r="E376">
        <v>85260</v>
      </c>
      <c r="F376" t="s">
        <v>31</v>
      </c>
      <c r="G376" t="s">
        <v>1593</v>
      </c>
      <c r="H376">
        <v>3472511000</v>
      </c>
      <c r="I376" t="s">
        <v>36</v>
      </c>
      <c r="J376" t="s">
        <v>37</v>
      </c>
      <c r="K376" t="s">
        <v>37</v>
      </c>
      <c r="L376" t="s">
        <v>38</v>
      </c>
      <c r="M376" t="s">
        <v>37</v>
      </c>
      <c r="N376" t="s">
        <v>37</v>
      </c>
      <c r="O376" t="s">
        <v>38</v>
      </c>
      <c r="P376" t="s">
        <v>39</v>
      </c>
      <c r="Q376" s="55">
        <v>45966</v>
      </c>
      <c r="R376" t="s">
        <v>5432</v>
      </c>
      <c r="S376" t="s">
        <v>5432</v>
      </c>
      <c r="T376" t="s">
        <v>5432</v>
      </c>
      <c r="U376" t="s">
        <v>5432</v>
      </c>
      <c r="W376" s="55"/>
    </row>
    <row r="377" spans="1:23">
      <c r="A377" s="55">
        <v>45903</v>
      </c>
      <c r="B377" t="s">
        <v>1651</v>
      </c>
      <c r="C377" t="s">
        <v>1652</v>
      </c>
      <c r="D377" t="s">
        <v>202</v>
      </c>
      <c r="E377">
        <v>85383</v>
      </c>
      <c r="F377" t="s">
        <v>310</v>
      </c>
      <c r="G377" t="s">
        <v>1593</v>
      </c>
      <c r="H377">
        <v>5649900000</v>
      </c>
      <c r="I377" t="s">
        <v>57</v>
      </c>
      <c r="J377" t="s">
        <v>37</v>
      </c>
      <c r="K377" t="s">
        <v>37</v>
      </c>
      <c r="L377" t="s">
        <v>1654</v>
      </c>
      <c r="M377" t="s">
        <v>37</v>
      </c>
      <c r="N377" t="s">
        <v>37</v>
      </c>
      <c r="O377" t="s">
        <v>38</v>
      </c>
      <c r="P377" t="s">
        <v>39</v>
      </c>
      <c r="Q377" s="55">
        <v>45966</v>
      </c>
      <c r="R377" t="s">
        <v>1655</v>
      </c>
      <c r="S377" t="s">
        <v>5432</v>
      </c>
      <c r="T377" t="s">
        <v>5432</v>
      </c>
      <c r="U377" t="s">
        <v>5432</v>
      </c>
      <c r="W377" s="55"/>
    </row>
    <row r="378" spans="1:23">
      <c r="A378" s="55">
        <v>45903</v>
      </c>
      <c r="B378" t="s">
        <v>1657</v>
      </c>
      <c r="C378" t="s">
        <v>1658</v>
      </c>
      <c r="D378" t="s">
        <v>202</v>
      </c>
      <c r="E378">
        <v>85382</v>
      </c>
      <c r="F378" t="s">
        <v>310</v>
      </c>
      <c r="G378" t="s">
        <v>1593</v>
      </c>
      <c r="H378">
        <v>5729136090</v>
      </c>
      <c r="I378" t="s">
        <v>73</v>
      </c>
      <c r="J378" t="s">
        <v>37</v>
      </c>
      <c r="K378" t="s">
        <v>37</v>
      </c>
      <c r="L378" t="s">
        <v>38</v>
      </c>
      <c r="M378" t="s">
        <v>37</v>
      </c>
      <c r="N378" t="s">
        <v>37</v>
      </c>
      <c r="O378" t="s">
        <v>38</v>
      </c>
      <c r="P378" t="s">
        <v>39</v>
      </c>
      <c r="Q378" s="55">
        <v>45966</v>
      </c>
      <c r="R378" t="s">
        <v>5432</v>
      </c>
      <c r="S378" t="s">
        <v>5432</v>
      </c>
      <c r="T378" t="s">
        <v>5432</v>
      </c>
      <c r="U378" t="s">
        <v>5432</v>
      </c>
      <c r="W378" s="55"/>
    </row>
    <row r="379" spans="1:23">
      <c r="A379" s="55">
        <v>45903</v>
      </c>
      <c r="B379" t="s">
        <v>1660</v>
      </c>
      <c r="C379" t="s">
        <v>1661</v>
      </c>
      <c r="D379" t="s">
        <v>202</v>
      </c>
      <c r="E379">
        <v>85345</v>
      </c>
      <c r="F379" t="s">
        <v>31</v>
      </c>
      <c r="G379" t="s">
        <v>1593</v>
      </c>
      <c r="H379">
        <v>4235588313</v>
      </c>
      <c r="I379" t="s">
        <v>36</v>
      </c>
      <c r="J379" t="s">
        <v>37</v>
      </c>
      <c r="K379" t="s">
        <v>37</v>
      </c>
      <c r="L379" t="s">
        <v>38</v>
      </c>
      <c r="M379" t="s">
        <v>37</v>
      </c>
      <c r="N379" t="s">
        <v>37</v>
      </c>
      <c r="O379" t="s">
        <v>38</v>
      </c>
      <c r="P379" t="s">
        <v>39</v>
      </c>
      <c r="Q379" s="55">
        <v>45966</v>
      </c>
      <c r="R379" t="s">
        <v>5432</v>
      </c>
      <c r="S379" t="s">
        <v>5432</v>
      </c>
      <c r="T379" t="s">
        <v>5432</v>
      </c>
      <c r="U379" t="s">
        <v>5432</v>
      </c>
      <c r="W379" s="55"/>
    </row>
    <row r="380" spans="1:23">
      <c r="A380" s="55">
        <v>45903</v>
      </c>
      <c r="B380" t="s">
        <v>1663</v>
      </c>
      <c r="C380" t="s">
        <v>135</v>
      </c>
      <c r="D380" t="s">
        <v>261</v>
      </c>
      <c r="E380">
        <v>86315</v>
      </c>
      <c r="F380" t="s">
        <v>31</v>
      </c>
      <c r="G380" t="s">
        <v>1593</v>
      </c>
      <c r="H380">
        <v>2531312124</v>
      </c>
      <c r="I380" t="s">
        <v>46</v>
      </c>
      <c r="J380" t="s">
        <v>37</v>
      </c>
      <c r="K380" t="s">
        <v>37</v>
      </c>
      <c r="L380" t="s">
        <v>38</v>
      </c>
      <c r="M380" t="s">
        <v>38</v>
      </c>
      <c r="N380">
        <v>105.18</v>
      </c>
      <c r="O380" t="s">
        <v>38</v>
      </c>
      <c r="P380" t="s">
        <v>39</v>
      </c>
      <c r="Q380" s="55">
        <v>45966</v>
      </c>
      <c r="R380" t="s">
        <v>5432</v>
      </c>
      <c r="S380" t="s">
        <v>5432</v>
      </c>
      <c r="T380" t="s">
        <v>5432</v>
      </c>
      <c r="U380" t="s">
        <v>5432</v>
      </c>
      <c r="W380" s="55"/>
    </row>
    <row r="381" spans="1:23">
      <c r="A381" s="55">
        <v>45904</v>
      </c>
      <c r="B381" t="s">
        <v>1665</v>
      </c>
      <c r="C381" t="s">
        <v>1666</v>
      </c>
      <c r="D381" t="s">
        <v>125</v>
      </c>
      <c r="E381">
        <v>85251</v>
      </c>
      <c r="F381" t="s">
        <v>1604</v>
      </c>
      <c r="G381" t="s">
        <v>1593</v>
      </c>
      <c r="H381">
        <v>1657964605</v>
      </c>
      <c r="I381" t="s">
        <v>73</v>
      </c>
      <c r="J381" t="s">
        <v>37</v>
      </c>
      <c r="K381" t="s">
        <v>37</v>
      </c>
      <c r="L381" t="s">
        <v>38</v>
      </c>
      <c r="M381" t="s">
        <v>37</v>
      </c>
      <c r="N381" t="s">
        <v>37</v>
      </c>
      <c r="O381" t="s">
        <v>38</v>
      </c>
      <c r="P381" t="s">
        <v>39</v>
      </c>
      <c r="Q381" s="55">
        <v>45966</v>
      </c>
      <c r="R381" t="s">
        <v>5432</v>
      </c>
      <c r="S381" t="s">
        <v>5432</v>
      </c>
      <c r="T381" t="s">
        <v>5432</v>
      </c>
      <c r="U381" t="s">
        <v>5432</v>
      </c>
      <c r="W381" s="55"/>
    </row>
    <row r="382" spans="1:23">
      <c r="A382" s="55">
        <v>45904</v>
      </c>
      <c r="B382" t="s">
        <v>1668</v>
      </c>
      <c r="C382" t="s">
        <v>1232</v>
      </c>
      <c r="D382" t="s">
        <v>112</v>
      </c>
      <c r="E382">
        <v>85387</v>
      </c>
      <c r="F382" t="s">
        <v>31</v>
      </c>
      <c r="G382" t="s">
        <v>1593</v>
      </c>
      <c r="H382">
        <v>7283731000</v>
      </c>
      <c r="I382" t="s">
        <v>541</v>
      </c>
      <c r="J382" t="s">
        <v>37</v>
      </c>
      <c r="K382" t="s">
        <v>37</v>
      </c>
      <c r="L382" t="s">
        <v>389</v>
      </c>
      <c r="M382" t="s">
        <v>37</v>
      </c>
      <c r="N382" t="s">
        <v>37</v>
      </c>
      <c r="O382" t="s">
        <v>38</v>
      </c>
      <c r="P382" t="s">
        <v>39</v>
      </c>
      <c r="Q382" s="55">
        <v>45966</v>
      </c>
      <c r="R382" t="s">
        <v>5432</v>
      </c>
      <c r="S382" t="s">
        <v>5432</v>
      </c>
      <c r="T382" t="s">
        <v>5432</v>
      </c>
      <c r="U382" t="s">
        <v>5432</v>
      </c>
      <c r="W382" s="55"/>
    </row>
    <row r="383" spans="1:23">
      <c r="A383" s="55">
        <v>45904</v>
      </c>
      <c r="B383" t="s">
        <v>1670</v>
      </c>
      <c r="C383" t="s">
        <v>1671</v>
      </c>
      <c r="D383" t="s">
        <v>261</v>
      </c>
      <c r="E383">
        <v>86314</v>
      </c>
      <c r="F383" t="s">
        <v>310</v>
      </c>
      <c r="G383" t="s">
        <v>1593</v>
      </c>
      <c r="H383">
        <v>1772154718</v>
      </c>
      <c r="I383" t="s">
        <v>73</v>
      </c>
      <c r="J383" t="s">
        <v>37</v>
      </c>
      <c r="K383" t="s">
        <v>37</v>
      </c>
      <c r="L383" t="s">
        <v>38</v>
      </c>
      <c r="M383" t="s">
        <v>37</v>
      </c>
      <c r="N383" t="s">
        <v>37</v>
      </c>
      <c r="O383" t="s">
        <v>38</v>
      </c>
      <c r="P383" t="s">
        <v>39</v>
      </c>
      <c r="Q383" s="55">
        <v>45966</v>
      </c>
      <c r="R383" t="s">
        <v>5432</v>
      </c>
      <c r="S383" t="s">
        <v>5432</v>
      </c>
      <c r="T383" t="s">
        <v>5432</v>
      </c>
      <c r="U383" t="s">
        <v>5432</v>
      </c>
      <c r="W383" s="55"/>
    </row>
    <row r="384" spans="1:23">
      <c r="A384" s="55">
        <v>45904</v>
      </c>
      <c r="B384" t="s">
        <v>1675</v>
      </c>
      <c r="C384" t="s">
        <v>1007</v>
      </c>
      <c r="D384" t="s">
        <v>240</v>
      </c>
      <c r="E384">
        <v>85340</v>
      </c>
      <c r="F384" t="s">
        <v>31</v>
      </c>
      <c r="G384" t="s">
        <v>1593</v>
      </c>
      <c r="H384">
        <v>5106490000</v>
      </c>
      <c r="I384" t="s">
        <v>541</v>
      </c>
      <c r="J384" t="s">
        <v>38</v>
      </c>
      <c r="K384" t="s">
        <v>37</v>
      </c>
      <c r="L384" t="s">
        <v>389</v>
      </c>
      <c r="M384" t="s">
        <v>38</v>
      </c>
      <c r="N384">
        <v>1106.1300000000001</v>
      </c>
      <c r="O384" t="s">
        <v>38</v>
      </c>
      <c r="P384" t="s">
        <v>5432</v>
      </c>
      <c r="Q384" s="55">
        <v>45966</v>
      </c>
      <c r="R384" t="s">
        <v>1677</v>
      </c>
      <c r="S384" t="s">
        <v>5432</v>
      </c>
      <c r="T384" t="s">
        <v>5432</v>
      </c>
      <c r="U384" t="s">
        <v>5432</v>
      </c>
      <c r="W384" s="55"/>
    </row>
    <row r="385" spans="1:26">
      <c r="A385" s="55">
        <v>45904</v>
      </c>
      <c r="B385" t="s">
        <v>1679</v>
      </c>
      <c r="C385" t="s">
        <v>194</v>
      </c>
      <c r="D385" t="s">
        <v>370</v>
      </c>
      <c r="E385">
        <v>85225</v>
      </c>
      <c r="F385" t="s">
        <v>310</v>
      </c>
      <c r="G385" t="s">
        <v>1593</v>
      </c>
      <c r="H385">
        <v>9474035507</v>
      </c>
      <c r="I385" t="s">
        <v>36</v>
      </c>
      <c r="J385" t="s">
        <v>37</v>
      </c>
      <c r="K385" t="s">
        <v>37</v>
      </c>
      <c r="L385" t="s">
        <v>1681</v>
      </c>
      <c r="M385" t="s">
        <v>37</v>
      </c>
      <c r="N385" t="s">
        <v>37</v>
      </c>
      <c r="O385" t="s">
        <v>38</v>
      </c>
      <c r="P385">
        <v>45936</v>
      </c>
      <c r="Q385" s="55">
        <v>45966</v>
      </c>
      <c r="R385" t="s">
        <v>1429</v>
      </c>
      <c r="S385" t="s">
        <v>5432</v>
      </c>
      <c r="T385" t="s">
        <v>5432</v>
      </c>
      <c r="U385" t="s">
        <v>5432</v>
      </c>
      <c r="V385" t="s">
        <v>117</v>
      </c>
      <c r="W385" s="55">
        <v>45997</v>
      </c>
      <c r="X385" t="s">
        <v>5434</v>
      </c>
      <c r="Z385" t="s">
        <v>5469</v>
      </c>
    </row>
    <row r="386" spans="1:26">
      <c r="A386" s="55">
        <v>45904</v>
      </c>
      <c r="B386" t="s">
        <v>1682</v>
      </c>
      <c r="C386" t="s">
        <v>503</v>
      </c>
      <c r="D386" t="s">
        <v>125</v>
      </c>
      <c r="E386">
        <v>85260</v>
      </c>
      <c r="F386" t="s">
        <v>31</v>
      </c>
      <c r="G386" t="s">
        <v>1593</v>
      </c>
      <c r="H386">
        <v>7135590000</v>
      </c>
      <c r="I386" t="s">
        <v>1684</v>
      </c>
      <c r="J386" t="s">
        <v>37</v>
      </c>
      <c r="K386" t="s">
        <v>37</v>
      </c>
      <c r="L386" t="s">
        <v>38</v>
      </c>
      <c r="M386" t="s">
        <v>37</v>
      </c>
      <c r="N386" t="s">
        <v>37</v>
      </c>
      <c r="O386" t="s">
        <v>38</v>
      </c>
      <c r="P386" t="s">
        <v>39</v>
      </c>
      <c r="Q386" s="55">
        <v>45966</v>
      </c>
      <c r="R386" t="s">
        <v>5432</v>
      </c>
      <c r="S386" t="s">
        <v>5432</v>
      </c>
      <c r="T386" t="s">
        <v>5432</v>
      </c>
      <c r="U386" t="s">
        <v>5432</v>
      </c>
      <c r="W386" s="55"/>
    </row>
    <row r="387" spans="1:26">
      <c r="A387" s="55">
        <v>45904</v>
      </c>
      <c r="B387" t="s">
        <v>1685</v>
      </c>
      <c r="C387" t="s">
        <v>1686</v>
      </c>
      <c r="D387" t="s">
        <v>169</v>
      </c>
      <c r="E387">
        <v>85338</v>
      </c>
      <c r="F387" t="s">
        <v>31</v>
      </c>
      <c r="G387" t="s">
        <v>1593</v>
      </c>
      <c r="H387">
        <v>4997806847</v>
      </c>
      <c r="I387" t="s">
        <v>57</v>
      </c>
      <c r="J387" t="s">
        <v>37</v>
      </c>
      <c r="K387" t="s">
        <v>37</v>
      </c>
      <c r="L387" t="s">
        <v>1688</v>
      </c>
      <c r="M387" t="s">
        <v>37</v>
      </c>
      <c r="N387" t="s">
        <v>37</v>
      </c>
      <c r="O387" t="s">
        <v>38</v>
      </c>
      <c r="P387" t="s">
        <v>39</v>
      </c>
      <c r="Q387" s="55">
        <v>45966</v>
      </c>
      <c r="R387" t="s">
        <v>5432</v>
      </c>
      <c r="S387" t="s">
        <v>5432</v>
      </c>
      <c r="T387" t="s">
        <v>5432</v>
      </c>
      <c r="U387" t="s">
        <v>5432</v>
      </c>
      <c r="W387" s="55"/>
    </row>
    <row r="388" spans="1:26">
      <c r="A388" s="55">
        <v>45904</v>
      </c>
      <c r="B388" t="s">
        <v>1689</v>
      </c>
      <c r="C388" t="s">
        <v>1690</v>
      </c>
      <c r="D388" t="s">
        <v>63</v>
      </c>
      <c r="E388">
        <v>85016</v>
      </c>
      <c r="F388" t="s">
        <v>310</v>
      </c>
      <c r="G388" t="s">
        <v>1593</v>
      </c>
      <c r="H388">
        <v>3244078434</v>
      </c>
      <c r="I388" t="s">
        <v>46</v>
      </c>
      <c r="J388" t="s">
        <v>37</v>
      </c>
      <c r="K388" t="s">
        <v>38</v>
      </c>
      <c r="L388" t="s">
        <v>38</v>
      </c>
      <c r="M388" t="s">
        <v>37</v>
      </c>
      <c r="N388" t="s">
        <v>37</v>
      </c>
      <c r="O388" t="s">
        <v>38</v>
      </c>
      <c r="P388" t="s">
        <v>39</v>
      </c>
      <c r="Q388" s="55">
        <v>45966</v>
      </c>
      <c r="R388" t="s">
        <v>5432</v>
      </c>
      <c r="S388" t="s">
        <v>5432</v>
      </c>
      <c r="T388" t="s">
        <v>5432</v>
      </c>
      <c r="U388" t="s">
        <v>5432</v>
      </c>
      <c r="W388" s="55"/>
    </row>
    <row r="389" spans="1:26">
      <c r="A389" s="55">
        <v>45904</v>
      </c>
      <c r="B389" t="s">
        <v>1694</v>
      </c>
      <c r="C389" t="s">
        <v>1486</v>
      </c>
      <c r="D389" t="s">
        <v>63</v>
      </c>
      <c r="E389">
        <v>85020</v>
      </c>
      <c r="F389" t="s">
        <v>310</v>
      </c>
      <c r="G389" t="s">
        <v>1593</v>
      </c>
      <c r="H389">
        <v>8166327537</v>
      </c>
      <c r="I389" t="s">
        <v>73</v>
      </c>
      <c r="J389" t="s">
        <v>37</v>
      </c>
      <c r="K389" t="s">
        <v>37</v>
      </c>
      <c r="L389" t="s">
        <v>38</v>
      </c>
      <c r="M389" t="s">
        <v>37</v>
      </c>
      <c r="N389" t="s">
        <v>37</v>
      </c>
      <c r="O389" t="s">
        <v>38</v>
      </c>
      <c r="P389" t="s">
        <v>39</v>
      </c>
      <c r="Q389" s="55">
        <v>45966</v>
      </c>
      <c r="R389" t="s">
        <v>5432</v>
      </c>
      <c r="S389" t="s">
        <v>5432</v>
      </c>
      <c r="T389" t="s">
        <v>5432</v>
      </c>
      <c r="U389" t="s">
        <v>5432</v>
      </c>
      <c r="W389" s="55"/>
    </row>
    <row r="390" spans="1:26">
      <c r="A390" s="55">
        <v>45904</v>
      </c>
      <c r="B390" t="s">
        <v>1696</v>
      </c>
      <c r="C390" t="s">
        <v>1686</v>
      </c>
      <c r="D390" t="s">
        <v>1693</v>
      </c>
      <c r="E390">
        <v>85373</v>
      </c>
      <c r="F390" t="s">
        <v>310</v>
      </c>
      <c r="G390" t="s">
        <v>1593</v>
      </c>
      <c r="H390">
        <v>4308401000</v>
      </c>
      <c r="I390" t="s">
        <v>418</v>
      </c>
      <c r="J390" t="s">
        <v>37</v>
      </c>
      <c r="K390" t="s">
        <v>37</v>
      </c>
      <c r="L390" t="s">
        <v>389</v>
      </c>
      <c r="M390" t="s">
        <v>37</v>
      </c>
      <c r="N390" t="s">
        <v>37</v>
      </c>
      <c r="O390" t="s">
        <v>38</v>
      </c>
      <c r="P390" t="s">
        <v>39</v>
      </c>
      <c r="Q390" s="55">
        <v>45966</v>
      </c>
      <c r="R390" t="s">
        <v>5432</v>
      </c>
      <c r="S390" t="s">
        <v>5432</v>
      </c>
      <c r="T390" t="s">
        <v>5432</v>
      </c>
      <c r="U390" t="s">
        <v>5432</v>
      </c>
      <c r="W390" s="55"/>
    </row>
    <row r="391" spans="1:26">
      <c r="A391" s="55">
        <v>45904</v>
      </c>
      <c r="B391" t="s">
        <v>1195</v>
      </c>
      <c r="C391" t="s">
        <v>789</v>
      </c>
      <c r="D391" t="s">
        <v>24</v>
      </c>
      <c r="E391">
        <v>85306</v>
      </c>
      <c r="F391" t="s">
        <v>1698</v>
      </c>
      <c r="G391" t="s">
        <v>1593</v>
      </c>
      <c r="H391">
        <v>2166343167</v>
      </c>
      <c r="I391" t="s">
        <v>57</v>
      </c>
      <c r="J391" t="s">
        <v>37</v>
      </c>
      <c r="K391" t="s">
        <v>37</v>
      </c>
      <c r="L391" t="s">
        <v>1700</v>
      </c>
      <c r="M391" t="s">
        <v>37</v>
      </c>
      <c r="N391" t="s">
        <v>37</v>
      </c>
      <c r="O391" t="s">
        <v>38</v>
      </c>
      <c r="P391">
        <v>45936</v>
      </c>
      <c r="Q391" s="55">
        <v>45966</v>
      </c>
      <c r="R391" t="s">
        <v>1429</v>
      </c>
      <c r="S391" t="s">
        <v>5432</v>
      </c>
      <c r="T391" t="s">
        <v>5432</v>
      </c>
      <c r="U391" t="s">
        <v>5432</v>
      </c>
      <c r="W391" s="55"/>
    </row>
    <row r="392" spans="1:26">
      <c r="A392" s="55">
        <v>45904</v>
      </c>
      <c r="B392" t="s">
        <v>1701</v>
      </c>
      <c r="C392" t="s">
        <v>838</v>
      </c>
      <c r="D392" t="s">
        <v>125</v>
      </c>
      <c r="E392">
        <v>85258</v>
      </c>
      <c r="F392" t="s">
        <v>31</v>
      </c>
      <c r="G392" t="s">
        <v>1702</v>
      </c>
      <c r="H392">
        <v>3485675279</v>
      </c>
      <c r="I392" t="s">
        <v>126</v>
      </c>
      <c r="J392" t="s">
        <v>37</v>
      </c>
      <c r="K392" t="s">
        <v>37</v>
      </c>
      <c r="L392" t="s">
        <v>38</v>
      </c>
      <c r="M392" t="s">
        <v>37</v>
      </c>
      <c r="N392" t="s">
        <v>37</v>
      </c>
      <c r="O392" t="s">
        <v>38</v>
      </c>
      <c r="P392" t="s">
        <v>39</v>
      </c>
      <c r="Q392" s="55">
        <v>45966</v>
      </c>
      <c r="R392" t="s">
        <v>5432</v>
      </c>
      <c r="S392" t="s">
        <v>5432</v>
      </c>
      <c r="T392" t="s">
        <v>5432</v>
      </c>
      <c r="U392" t="s">
        <v>5432</v>
      </c>
      <c r="W392" s="55"/>
    </row>
    <row r="393" spans="1:26">
      <c r="A393" s="55">
        <v>45904</v>
      </c>
      <c r="B393" t="s">
        <v>1710</v>
      </c>
      <c r="C393" t="s">
        <v>1711</v>
      </c>
      <c r="D393" t="s">
        <v>125</v>
      </c>
      <c r="E393">
        <v>85258</v>
      </c>
      <c r="F393" t="s">
        <v>31</v>
      </c>
      <c r="G393" t="s">
        <v>1705</v>
      </c>
      <c r="H393">
        <v>6907731000</v>
      </c>
      <c r="I393" t="s">
        <v>196</v>
      </c>
      <c r="J393" t="s">
        <v>37</v>
      </c>
      <c r="K393" t="s">
        <v>37</v>
      </c>
      <c r="L393" t="s">
        <v>1712</v>
      </c>
      <c r="M393" t="s">
        <v>37</v>
      </c>
      <c r="N393" t="s">
        <v>37</v>
      </c>
      <c r="O393" t="s">
        <v>38</v>
      </c>
      <c r="P393">
        <v>45936</v>
      </c>
      <c r="Q393" s="55">
        <v>45966</v>
      </c>
      <c r="R393" t="s">
        <v>1429</v>
      </c>
      <c r="S393" t="s">
        <v>5432</v>
      </c>
      <c r="T393" t="s">
        <v>5432</v>
      </c>
      <c r="U393" t="s">
        <v>5432</v>
      </c>
      <c r="W393" s="55"/>
    </row>
    <row r="394" spans="1:26">
      <c r="A394" s="55">
        <v>45904</v>
      </c>
      <c r="B394" t="s">
        <v>1718</v>
      </c>
      <c r="C394" t="s">
        <v>650</v>
      </c>
      <c r="D394" t="s">
        <v>1719</v>
      </c>
      <c r="E394">
        <v>85615</v>
      </c>
      <c r="F394" t="s">
        <v>31</v>
      </c>
      <c r="G394" t="s">
        <v>1705</v>
      </c>
      <c r="H394">
        <v>1710517819</v>
      </c>
      <c r="I394" t="s">
        <v>541</v>
      </c>
      <c r="J394" t="s">
        <v>38</v>
      </c>
      <c r="K394" t="s">
        <v>37</v>
      </c>
      <c r="L394" t="s">
        <v>389</v>
      </c>
      <c r="M394" t="s">
        <v>37</v>
      </c>
      <c r="N394" t="s">
        <v>37</v>
      </c>
      <c r="O394" t="s">
        <v>38</v>
      </c>
      <c r="P394" t="s">
        <v>39</v>
      </c>
      <c r="Q394" s="55">
        <v>45966</v>
      </c>
      <c r="R394" t="s">
        <v>5432</v>
      </c>
      <c r="S394" t="s">
        <v>5432</v>
      </c>
      <c r="T394" t="s">
        <v>5432</v>
      </c>
      <c r="U394" t="s">
        <v>5432</v>
      </c>
      <c r="W394" s="55"/>
    </row>
    <row r="395" spans="1:26">
      <c r="A395" s="55">
        <v>45905</v>
      </c>
      <c r="B395" t="s">
        <v>1722</v>
      </c>
      <c r="C395" t="s">
        <v>194</v>
      </c>
      <c r="D395" t="s">
        <v>240</v>
      </c>
      <c r="E395">
        <v>85340</v>
      </c>
      <c r="F395" t="s">
        <v>31</v>
      </c>
      <c r="G395" t="s">
        <v>1723</v>
      </c>
      <c r="H395">
        <v>6218364523</v>
      </c>
      <c r="I395" t="s">
        <v>73</v>
      </c>
      <c r="J395" t="s">
        <v>37</v>
      </c>
      <c r="K395" t="s">
        <v>37</v>
      </c>
      <c r="L395" t="s">
        <v>38</v>
      </c>
      <c r="M395" t="s">
        <v>37</v>
      </c>
      <c r="N395" t="s">
        <v>37</v>
      </c>
      <c r="O395" t="s">
        <v>38</v>
      </c>
      <c r="P395" t="s">
        <v>39</v>
      </c>
      <c r="Q395" s="55">
        <v>45966</v>
      </c>
      <c r="R395" t="s">
        <v>5432</v>
      </c>
      <c r="S395" t="s">
        <v>5432</v>
      </c>
      <c r="T395" t="s">
        <v>5432</v>
      </c>
      <c r="U395" t="s">
        <v>5432</v>
      </c>
      <c r="W395" s="55"/>
    </row>
    <row r="396" spans="1:26">
      <c r="A396" s="55">
        <v>45905</v>
      </c>
      <c r="B396" t="s">
        <v>1725</v>
      </c>
      <c r="C396" t="s">
        <v>1726</v>
      </c>
      <c r="D396" t="s">
        <v>169</v>
      </c>
      <c r="E396">
        <v>85395</v>
      </c>
      <c r="F396" t="s">
        <v>1727</v>
      </c>
      <c r="G396" t="s">
        <v>1723</v>
      </c>
      <c r="H396">
        <v>40730000</v>
      </c>
      <c r="I396" t="s">
        <v>418</v>
      </c>
      <c r="J396" t="s">
        <v>37</v>
      </c>
      <c r="K396" t="s">
        <v>37</v>
      </c>
      <c r="L396" t="s">
        <v>389</v>
      </c>
      <c r="M396" t="s">
        <v>37</v>
      </c>
      <c r="N396" t="s">
        <v>37</v>
      </c>
      <c r="O396" t="s">
        <v>38</v>
      </c>
      <c r="P396" t="s">
        <v>39</v>
      </c>
      <c r="Q396" s="55">
        <v>45966</v>
      </c>
      <c r="R396" t="s">
        <v>5432</v>
      </c>
      <c r="S396" t="s">
        <v>5432</v>
      </c>
      <c r="T396" t="s">
        <v>5432</v>
      </c>
      <c r="U396" t="s">
        <v>5432</v>
      </c>
      <c r="W396" s="55"/>
    </row>
    <row r="397" spans="1:26">
      <c r="A397" s="55">
        <v>45905</v>
      </c>
      <c r="B397" t="s">
        <v>1729</v>
      </c>
      <c r="C397" t="s">
        <v>177</v>
      </c>
      <c r="D397" t="s">
        <v>63</v>
      </c>
      <c r="E397">
        <v>85028</v>
      </c>
      <c r="F397" t="s">
        <v>310</v>
      </c>
      <c r="G397" t="s">
        <v>1723</v>
      </c>
      <c r="H397">
        <v>555026441</v>
      </c>
      <c r="I397" t="s">
        <v>196</v>
      </c>
      <c r="J397" t="s">
        <v>37</v>
      </c>
      <c r="K397" t="s">
        <v>37</v>
      </c>
      <c r="L397" t="s">
        <v>1731</v>
      </c>
      <c r="M397" t="s">
        <v>37</v>
      </c>
      <c r="N397" t="s">
        <v>37</v>
      </c>
      <c r="O397" t="s">
        <v>38</v>
      </c>
      <c r="P397">
        <v>45936</v>
      </c>
      <c r="Q397" s="55">
        <v>45966</v>
      </c>
      <c r="R397" t="s">
        <v>1732</v>
      </c>
      <c r="S397" t="s">
        <v>5432</v>
      </c>
      <c r="T397" t="s">
        <v>5432</v>
      </c>
      <c r="U397" t="s">
        <v>5432</v>
      </c>
      <c r="W397" s="55"/>
    </row>
    <row r="398" spans="1:26">
      <c r="A398" s="55">
        <v>45905</v>
      </c>
      <c r="B398" t="s">
        <v>1733</v>
      </c>
      <c r="C398" t="s">
        <v>328</v>
      </c>
      <c r="D398" t="s">
        <v>63</v>
      </c>
      <c r="E398">
        <v>85008</v>
      </c>
      <c r="F398" t="s">
        <v>310</v>
      </c>
      <c r="G398" t="s">
        <v>1723</v>
      </c>
      <c r="H398">
        <v>5372102528</v>
      </c>
      <c r="I398" t="s">
        <v>36</v>
      </c>
      <c r="J398" t="s">
        <v>38</v>
      </c>
      <c r="K398" t="s">
        <v>37</v>
      </c>
      <c r="L398" t="s">
        <v>1735</v>
      </c>
      <c r="M398" t="s">
        <v>38</v>
      </c>
      <c r="N398">
        <v>487.48</v>
      </c>
      <c r="O398" t="s">
        <v>38</v>
      </c>
      <c r="P398" t="s">
        <v>5432</v>
      </c>
      <c r="Q398" s="55">
        <v>45966</v>
      </c>
      <c r="R398" t="s">
        <v>495</v>
      </c>
      <c r="S398" t="s">
        <v>5432</v>
      </c>
      <c r="T398" t="s">
        <v>5432</v>
      </c>
      <c r="U398" t="s">
        <v>5432</v>
      </c>
      <c r="W398" s="55"/>
    </row>
    <row r="399" spans="1:26">
      <c r="A399" s="55">
        <v>45905</v>
      </c>
      <c r="B399" t="s">
        <v>1736</v>
      </c>
      <c r="C399" t="s">
        <v>1737</v>
      </c>
      <c r="D399" t="s">
        <v>125</v>
      </c>
      <c r="E399">
        <v>85260</v>
      </c>
      <c r="F399" t="s">
        <v>310</v>
      </c>
      <c r="G399" t="s">
        <v>1723</v>
      </c>
      <c r="H399">
        <v>3305713016</v>
      </c>
      <c r="I399" t="s">
        <v>196</v>
      </c>
      <c r="J399" t="s">
        <v>37</v>
      </c>
      <c r="K399" t="s">
        <v>37</v>
      </c>
      <c r="L399" t="s">
        <v>1739</v>
      </c>
      <c r="M399" t="s">
        <v>37</v>
      </c>
      <c r="N399" t="s">
        <v>37</v>
      </c>
      <c r="O399" t="s">
        <v>38</v>
      </c>
      <c r="P399" t="s">
        <v>39</v>
      </c>
      <c r="Q399" s="55">
        <v>45966</v>
      </c>
      <c r="R399" t="s">
        <v>5432</v>
      </c>
      <c r="S399" t="s">
        <v>5432</v>
      </c>
      <c r="T399" t="s">
        <v>5432</v>
      </c>
      <c r="U399" t="s">
        <v>5432</v>
      </c>
      <c r="W399" s="55"/>
    </row>
    <row r="400" spans="1:26">
      <c r="A400" s="55">
        <v>45905</v>
      </c>
      <c r="B400" t="s">
        <v>1740</v>
      </c>
      <c r="C400" t="s">
        <v>1741</v>
      </c>
      <c r="D400" t="s">
        <v>63</v>
      </c>
      <c r="E400">
        <v>85013</v>
      </c>
      <c r="F400" t="s">
        <v>1742</v>
      </c>
      <c r="G400" t="s">
        <v>1723</v>
      </c>
      <c r="H400">
        <v>8801331688</v>
      </c>
      <c r="I400" t="s">
        <v>36</v>
      </c>
      <c r="J400" t="s">
        <v>37</v>
      </c>
      <c r="K400" t="s">
        <v>37</v>
      </c>
      <c r="L400" t="s">
        <v>38</v>
      </c>
      <c r="M400" t="s">
        <v>37</v>
      </c>
      <c r="N400" t="s">
        <v>37</v>
      </c>
      <c r="O400" t="s">
        <v>38</v>
      </c>
      <c r="P400" t="s">
        <v>39</v>
      </c>
      <c r="Q400" s="55">
        <v>45966</v>
      </c>
      <c r="R400" t="s">
        <v>5432</v>
      </c>
      <c r="S400" t="s">
        <v>5432</v>
      </c>
      <c r="T400" t="s">
        <v>5432</v>
      </c>
      <c r="U400" t="s">
        <v>5432</v>
      </c>
      <c r="W400" s="55"/>
    </row>
    <row r="401" spans="1:23">
      <c r="A401" s="55">
        <v>45905</v>
      </c>
      <c r="B401" t="s">
        <v>1744</v>
      </c>
      <c r="C401" t="s">
        <v>1745</v>
      </c>
      <c r="D401" t="s">
        <v>635</v>
      </c>
      <c r="E401">
        <v>85281</v>
      </c>
      <c r="F401" t="s">
        <v>310</v>
      </c>
      <c r="G401" t="s">
        <v>1723</v>
      </c>
      <c r="H401">
        <v>1687826451</v>
      </c>
      <c r="I401" t="s">
        <v>196</v>
      </c>
      <c r="J401" t="s">
        <v>37</v>
      </c>
      <c r="K401" t="s">
        <v>37</v>
      </c>
      <c r="L401" t="s">
        <v>1747</v>
      </c>
      <c r="M401" t="s">
        <v>37</v>
      </c>
      <c r="N401" t="s">
        <v>37</v>
      </c>
      <c r="O401" t="s">
        <v>38</v>
      </c>
      <c r="P401" t="s">
        <v>39</v>
      </c>
      <c r="Q401" s="55">
        <v>45966</v>
      </c>
      <c r="R401" t="s">
        <v>5432</v>
      </c>
      <c r="S401" t="s">
        <v>5432</v>
      </c>
      <c r="T401" t="s">
        <v>5432</v>
      </c>
      <c r="U401" t="s">
        <v>5432</v>
      </c>
      <c r="W401" s="55"/>
    </row>
    <row r="402" spans="1:23">
      <c r="A402" s="55">
        <v>45905</v>
      </c>
      <c r="B402" t="s">
        <v>1748</v>
      </c>
      <c r="C402" t="s">
        <v>1749</v>
      </c>
      <c r="D402" t="s">
        <v>63</v>
      </c>
      <c r="E402">
        <v>85083</v>
      </c>
      <c r="F402" t="s">
        <v>31</v>
      </c>
      <c r="G402" t="s">
        <v>1723</v>
      </c>
      <c r="H402">
        <v>185829085</v>
      </c>
      <c r="I402" t="s">
        <v>250</v>
      </c>
      <c r="J402" t="s">
        <v>37</v>
      </c>
      <c r="K402" t="s">
        <v>37</v>
      </c>
      <c r="L402" t="s">
        <v>38</v>
      </c>
      <c r="M402" t="s">
        <v>37</v>
      </c>
      <c r="N402" t="s">
        <v>37</v>
      </c>
      <c r="O402" t="s">
        <v>38</v>
      </c>
      <c r="P402" t="s">
        <v>39</v>
      </c>
      <c r="Q402" s="55">
        <v>45966</v>
      </c>
      <c r="R402" t="s">
        <v>5432</v>
      </c>
      <c r="S402" t="s">
        <v>5432</v>
      </c>
      <c r="T402" t="s">
        <v>5432</v>
      </c>
      <c r="U402" t="s">
        <v>5432</v>
      </c>
      <c r="W402" s="55"/>
    </row>
    <row r="403" spans="1:23">
      <c r="A403" s="55">
        <v>45905</v>
      </c>
      <c r="B403" t="s">
        <v>1703</v>
      </c>
      <c r="C403" t="s">
        <v>705</v>
      </c>
      <c r="D403" t="s">
        <v>63</v>
      </c>
      <c r="E403">
        <v>85032</v>
      </c>
      <c r="F403" t="s">
        <v>310</v>
      </c>
      <c r="G403" t="s">
        <v>1723</v>
      </c>
      <c r="H403">
        <v>6640329915</v>
      </c>
      <c r="I403" t="s">
        <v>196</v>
      </c>
      <c r="J403" t="s">
        <v>37</v>
      </c>
      <c r="K403" t="s">
        <v>37</v>
      </c>
      <c r="L403" t="s">
        <v>38</v>
      </c>
      <c r="M403" t="s">
        <v>37</v>
      </c>
      <c r="N403" t="s">
        <v>37</v>
      </c>
      <c r="O403" t="s">
        <v>38</v>
      </c>
      <c r="P403" t="s">
        <v>39</v>
      </c>
      <c r="Q403" s="55">
        <v>45966</v>
      </c>
      <c r="R403" t="s">
        <v>5432</v>
      </c>
      <c r="S403" t="s">
        <v>5432</v>
      </c>
      <c r="T403" t="s">
        <v>5432</v>
      </c>
      <c r="U403" t="s">
        <v>5432</v>
      </c>
      <c r="W403" s="55"/>
    </row>
    <row r="404" spans="1:23">
      <c r="A404" s="55">
        <v>45905</v>
      </c>
      <c r="B404" t="s">
        <v>1754</v>
      </c>
      <c r="C404" t="s">
        <v>1755</v>
      </c>
      <c r="D404" t="s">
        <v>112</v>
      </c>
      <c r="E404">
        <v>85388</v>
      </c>
      <c r="F404" t="s">
        <v>310</v>
      </c>
      <c r="G404" t="s">
        <v>1723</v>
      </c>
      <c r="H404">
        <v>8993658310</v>
      </c>
      <c r="I404" t="s">
        <v>36</v>
      </c>
      <c r="J404" t="s">
        <v>37</v>
      </c>
      <c r="K404" t="s">
        <v>37</v>
      </c>
      <c r="L404" t="s">
        <v>38</v>
      </c>
      <c r="M404" t="s">
        <v>37</v>
      </c>
      <c r="N404" t="s">
        <v>37</v>
      </c>
      <c r="O404" t="s">
        <v>38</v>
      </c>
      <c r="P404" t="s">
        <v>39</v>
      </c>
      <c r="Q404" s="55">
        <v>45966</v>
      </c>
      <c r="R404" t="s">
        <v>5432</v>
      </c>
      <c r="S404" t="s">
        <v>5432</v>
      </c>
      <c r="T404" t="s">
        <v>5432</v>
      </c>
      <c r="U404" t="s">
        <v>5432</v>
      </c>
      <c r="W404" s="55"/>
    </row>
    <row r="405" spans="1:23">
      <c r="A405" s="55">
        <v>45905</v>
      </c>
      <c r="B405" t="s">
        <v>1759</v>
      </c>
      <c r="C405" t="s">
        <v>1760</v>
      </c>
      <c r="D405" t="s">
        <v>129</v>
      </c>
      <c r="E405">
        <v>85233</v>
      </c>
      <c r="F405" t="s">
        <v>31</v>
      </c>
      <c r="G405" t="s">
        <v>1723</v>
      </c>
      <c r="H405">
        <v>2550279335</v>
      </c>
      <c r="I405" t="s">
        <v>36</v>
      </c>
      <c r="J405" t="s">
        <v>37</v>
      </c>
      <c r="K405" t="s">
        <v>37</v>
      </c>
      <c r="L405" t="s">
        <v>38</v>
      </c>
      <c r="M405" t="s">
        <v>37</v>
      </c>
      <c r="N405" t="s">
        <v>37</v>
      </c>
      <c r="O405" t="s">
        <v>38</v>
      </c>
      <c r="P405" t="s">
        <v>39</v>
      </c>
      <c r="Q405" s="55">
        <v>45966</v>
      </c>
      <c r="R405" t="s">
        <v>5432</v>
      </c>
      <c r="S405" t="s">
        <v>5432</v>
      </c>
      <c r="T405" t="s">
        <v>5432</v>
      </c>
      <c r="U405" t="s">
        <v>5432</v>
      </c>
      <c r="W405" s="55"/>
    </row>
    <row r="406" spans="1:23">
      <c r="A406" s="55">
        <v>45905</v>
      </c>
      <c r="B406" t="s">
        <v>1762</v>
      </c>
      <c r="C406" t="s">
        <v>771</v>
      </c>
      <c r="D406" t="s">
        <v>63</v>
      </c>
      <c r="E406">
        <v>85020</v>
      </c>
      <c r="F406" t="s">
        <v>310</v>
      </c>
      <c r="G406" t="s">
        <v>1723</v>
      </c>
      <c r="H406">
        <v>5718650660</v>
      </c>
      <c r="I406" t="s">
        <v>196</v>
      </c>
      <c r="J406" t="s">
        <v>37</v>
      </c>
      <c r="K406" t="s">
        <v>37</v>
      </c>
      <c r="L406" t="s">
        <v>1764</v>
      </c>
      <c r="M406" t="s">
        <v>37</v>
      </c>
      <c r="N406" t="s">
        <v>37</v>
      </c>
      <c r="O406" t="s">
        <v>38</v>
      </c>
      <c r="P406" t="s">
        <v>39</v>
      </c>
      <c r="Q406" s="55">
        <v>45966</v>
      </c>
      <c r="R406" t="s">
        <v>5432</v>
      </c>
      <c r="S406" t="s">
        <v>5432</v>
      </c>
      <c r="T406" t="s">
        <v>5432</v>
      </c>
      <c r="U406" t="s">
        <v>5432</v>
      </c>
      <c r="W406" s="55"/>
    </row>
    <row r="407" spans="1:23">
      <c r="A407" s="55">
        <v>45905</v>
      </c>
      <c r="B407" t="s">
        <v>1766</v>
      </c>
      <c r="C407" t="s">
        <v>550</v>
      </c>
      <c r="D407" t="s">
        <v>112</v>
      </c>
      <c r="E407">
        <v>85387</v>
      </c>
      <c r="F407" t="s">
        <v>310</v>
      </c>
      <c r="G407" t="s">
        <v>1723</v>
      </c>
      <c r="H407">
        <v>9800380431</v>
      </c>
      <c r="I407" t="s">
        <v>196</v>
      </c>
      <c r="J407" t="s">
        <v>37</v>
      </c>
      <c r="K407" t="s">
        <v>37</v>
      </c>
      <c r="L407" t="s">
        <v>1768</v>
      </c>
      <c r="M407" t="s">
        <v>37</v>
      </c>
      <c r="N407" t="s">
        <v>37</v>
      </c>
      <c r="O407" t="s">
        <v>38</v>
      </c>
      <c r="P407">
        <v>45936</v>
      </c>
      <c r="Q407" s="55">
        <v>45966</v>
      </c>
      <c r="R407" t="s">
        <v>1769</v>
      </c>
      <c r="S407" t="s">
        <v>5432</v>
      </c>
      <c r="T407" t="s">
        <v>5432</v>
      </c>
      <c r="U407" t="s">
        <v>5432</v>
      </c>
      <c r="W407" s="55"/>
    </row>
    <row r="408" spans="1:23">
      <c r="A408" s="55">
        <v>45905</v>
      </c>
      <c r="B408" t="s">
        <v>1770</v>
      </c>
      <c r="C408" t="s">
        <v>922</v>
      </c>
      <c r="D408" t="s">
        <v>63</v>
      </c>
      <c r="E408">
        <v>85024</v>
      </c>
      <c r="F408" t="s">
        <v>310</v>
      </c>
      <c r="G408" t="s">
        <v>1723</v>
      </c>
      <c r="H408">
        <v>3505331000</v>
      </c>
      <c r="I408" t="s">
        <v>36</v>
      </c>
      <c r="J408" t="s">
        <v>37</v>
      </c>
      <c r="K408" t="s">
        <v>37</v>
      </c>
      <c r="L408" t="s">
        <v>38</v>
      </c>
      <c r="M408" t="s">
        <v>37</v>
      </c>
      <c r="N408" t="s">
        <v>37</v>
      </c>
      <c r="O408" t="s">
        <v>38</v>
      </c>
      <c r="P408" t="s">
        <v>39</v>
      </c>
      <c r="Q408" s="55">
        <v>45966</v>
      </c>
      <c r="R408" t="s">
        <v>5432</v>
      </c>
      <c r="S408" t="s">
        <v>5432</v>
      </c>
      <c r="T408" t="s">
        <v>5432</v>
      </c>
      <c r="U408" t="s">
        <v>5432</v>
      </c>
      <c r="W408" s="55"/>
    </row>
    <row r="409" spans="1:23">
      <c r="A409" s="55">
        <v>45905</v>
      </c>
      <c r="B409" t="s">
        <v>1772</v>
      </c>
      <c r="C409" t="s">
        <v>597</v>
      </c>
      <c r="D409" t="s">
        <v>523</v>
      </c>
      <c r="E409">
        <v>85392</v>
      </c>
      <c r="F409" t="s">
        <v>31</v>
      </c>
      <c r="G409" t="s">
        <v>1723</v>
      </c>
      <c r="H409">
        <v>3207210000</v>
      </c>
      <c r="I409" t="s">
        <v>196</v>
      </c>
      <c r="J409" t="s">
        <v>37</v>
      </c>
      <c r="K409" t="s">
        <v>37</v>
      </c>
      <c r="L409" t="s">
        <v>1774</v>
      </c>
      <c r="M409" t="s">
        <v>37</v>
      </c>
      <c r="N409" t="s">
        <v>37</v>
      </c>
      <c r="O409" t="s">
        <v>38</v>
      </c>
      <c r="P409">
        <v>45936</v>
      </c>
      <c r="Q409" s="55">
        <v>45966</v>
      </c>
      <c r="R409" t="s">
        <v>1732</v>
      </c>
      <c r="S409" t="s">
        <v>5432</v>
      </c>
      <c r="T409" t="s">
        <v>5432</v>
      </c>
      <c r="U409" t="s">
        <v>5432</v>
      </c>
      <c r="W409" s="55"/>
    </row>
    <row r="410" spans="1:23">
      <c r="A410" s="55">
        <v>45905</v>
      </c>
      <c r="B410" t="s">
        <v>1776</v>
      </c>
      <c r="C410" t="s">
        <v>821</v>
      </c>
      <c r="D410" t="s">
        <v>169</v>
      </c>
      <c r="E410">
        <v>85338</v>
      </c>
      <c r="F410" t="s">
        <v>1777</v>
      </c>
      <c r="G410" t="s">
        <v>1723</v>
      </c>
      <c r="H410">
        <v>7114611000</v>
      </c>
      <c r="I410" t="s">
        <v>36</v>
      </c>
      <c r="J410" t="s">
        <v>37</v>
      </c>
      <c r="K410" t="s">
        <v>37</v>
      </c>
      <c r="L410" t="s">
        <v>38</v>
      </c>
      <c r="M410" t="s">
        <v>37</v>
      </c>
      <c r="N410" t="s">
        <v>37</v>
      </c>
      <c r="O410" t="s">
        <v>38</v>
      </c>
      <c r="P410" t="s">
        <v>39</v>
      </c>
      <c r="Q410" s="55">
        <v>45966</v>
      </c>
      <c r="R410" t="s">
        <v>5432</v>
      </c>
      <c r="S410" t="s">
        <v>5432</v>
      </c>
      <c r="T410" t="s">
        <v>5432</v>
      </c>
      <c r="U410" t="s">
        <v>5432</v>
      </c>
      <c r="W410" s="55"/>
    </row>
    <row r="411" spans="1:23">
      <c r="A411" s="55">
        <v>45905</v>
      </c>
      <c r="B411" t="s">
        <v>1779</v>
      </c>
      <c r="C411" t="s">
        <v>1780</v>
      </c>
      <c r="D411" t="s">
        <v>169</v>
      </c>
      <c r="E411">
        <v>85338</v>
      </c>
      <c r="F411" t="s">
        <v>1556</v>
      </c>
      <c r="G411" t="s">
        <v>1723</v>
      </c>
      <c r="H411">
        <v>2942450000</v>
      </c>
      <c r="I411" t="s">
        <v>418</v>
      </c>
      <c r="J411" t="s">
        <v>37</v>
      </c>
      <c r="K411" t="s">
        <v>37</v>
      </c>
      <c r="L411" t="s">
        <v>389</v>
      </c>
      <c r="M411" t="s">
        <v>37</v>
      </c>
      <c r="N411" t="s">
        <v>37</v>
      </c>
      <c r="O411" t="s">
        <v>38</v>
      </c>
      <c r="P411" t="s">
        <v>39</v>
      </c>
      <c r="Q411" s="55">
        <v>45966</v>
      </c>
      <c r="R411" t="s">
        <v>5432</v>
      </c>
      <c r="S411" t="s">
        <v>5432</v>
      </c>
      <c r="T411" t="s">
        <v>5432</v>
      </c>
      <c r="U411" t="s">
        <v>5432</v>
      </c>
      <c r="W411" s="55"/>
    </row>
    <row r="412" spans="1:23">
      <c r="A412" s="55">
        <v>45905</v>
      </c>
      <c r="B412" t="s">
        <v>1782</v>
      </c>
      <c r="C412" t="s">
        <v>1574</v>
      </c>
      <c r="D412" t="s">
        <v>370</v>
      </c>
      <c r="E412">
        <v>85225</v>
      </c>
      <c r="F412" t="s">
        <v>310</v>
      </c>
      <c r="G412" t="s">
        <v>1723</v>
      </c>
      <c r="H412">
        <v>998552497</v>
      </c>
      <c r="I412" t="s">
        <v>36</v>
      </c>
      <c r="J412" t="s">
        <v>38</v>
      </c>
      <c r="K412" t="s">
        <v>37</v>
      </c>
      <c r="L412" t="s">
        <v>1784</v>
      </c>
      <c r="M412" t="s">
        <v>37</v>
      </c>
      <c r="N412" t="s">
        <v>37</v>
      </c>
      <c r="O412" t="s">
        <v>38</v>
      </c>
      <c r="P412" t="s">
        <v>39</v>
      </c>
      <c r="Q412" s="55">
        <v>45966</v>
      </c>
      <c r="R412" t="s">
        <v>5432</v>
      </c>
      <c r="S412" t="s">
        <v>5432</v>
      </c>
      <c r="T412" t="s">
        <v>5432</v>
      </c>
      <c r="U412" t="s">
        <v>5432</v>
      </c>
      <c r="W412" s="55"/>
    </row>
    <row r="413" spans="1:23">
      <c r="A413" s="55">
        <v>45905</v>
      </c>
      <c r="B413" t="s">
        <v>1703</v>
      </c>
      <c r="C413" t="s">
        <v>1444</v>
      </c>
      <c r="D413" t="s">
        <v>125</v>
      </c>
      <c r="E413">
        <v>85254</v>
      </c>
      <c r="F413" t="s">
        <v>310</v>
      </c>
      <c r="G413" t="s">
        <v>1723</v>
      </c>
      <c r="H413">
        <v>1440430000</v>
      </c>
      <c r="I413" t="s">
        <v>36</v>
      </c>
      <c r="J413" t="s">
        <v>37</v>
      </c>
      <c r="K413" t="s">
        <v>37</v>
      </c>
      <c r="L413" t="s">
        <v>38</v>
      </c>
      <c r="M413" t="s">
        <v>37</v>
      </c>
      <c r="N413" t="s">
        <v>37</v>
      </c>
      <c r="O413" t="s">
        <v>38</v>
      </c>
      <c r="P413" t="s">
        <v>39</v>
      </c>
      <c r="Q413" s="55">
        <v>45966</v>
      </c>
      <c r="R413" t="s">
        <v>5432</v>
      </c>
      <c r="S413" t="s">
        <v>5432</v>
      </c>
      <c r="T413" t="s">
        <v>5432</v>
      </c>
      <c r="U413" t="s">
        <v>5432</v>
      </c>
      <c r="W413" s="55"/>
    </row>
    <row r="414" spans="1:23">
      <c r="A414" s="55">
        <v>45905</v>
      </c>
      <c r="B414" t="s">
        <v>1787</v>
      </c>
      <c r="C414" t="s">
        <v>491</v>
      </c>
      <c r="D414" t="s">
        <v>169</v>
      </c>
      <c r="E414">
        <v>85395</v>
      </c>
      <c r="F414" t="s">
        <v>31</v>
      </c>
      <c r="G414" t="s">
        <v>1723</v>
      </c>
      <c r="H414">
        <v>4490163832</v>
      </c>
      <c r="I414" t="s">
        <v>73</v>
      </c>
      <c r="J414" t="s">
        <v>37</v>
      </c>
      <c r="K414" t="s">
        <v>37</v>
      </c>
      <c r="L414" t="s">
        <v>38</v>
      </c>
      <c r="M414" t="s">
        <v>37</v>
      </c>
      <c r="N414" t="s">
        <v>37</v>
      </c>
      <c r="O414" t="s">
        <v>38</v>
      </c>
      <c r="P414" t="s">
        <v>39</v>
      </c>
      <c r="Q414" s="55">
        <v>45966</v>
      </c>
      <c r="R414" t="s">
        <v>5432</v>
      </c>
      <c r="S414" t="s">
        <v>5432</v>
      </c>
      <c r="T414" t="s">
        <v>5432</v>
      </c>
      <c r="U414" t="s">
        <v>5432</v>
      </c>
      <c r="W414" s="55"/>
    </row>
    <row r="415" spans="1:23">
      <c r="A415" s="55">
        <v>45905</v>
      </c>
      <c r="B415" t="s">
        <v>1789</v>
      </c>
      <c r="C415" t="s">
        <v>962</v>
      </c>
      <c r="D415" t="s">
        <v>63</v>
      </c>
      <c r="E415">
        <v>85028</v>
      </c>
      <c r="F415" t="s">
        <v>1790</v>
      </c>
      <c r="G415" t="s">
        <v>1723</v>
      </c>
      <c r="H415">
        <v>1880001294</v>
      </c>
      <c r="I415" t="s">
        <v>36</v>
      </c>
      <c r="J415" t="s">
        <v>38</v>
      </c>
      <c r="K415" t="s">
        <v>37</v>
      </c>
      <c r="L415" t="s">
        <v>38</v>
      </c>
      <c r="M415" t="s">
        <v>38</v>
      </c>
      <c r="N415">
        <v>414.43</v>
      </c>
      <c r="O415" t="s">
        <v>38</v>
      </c>
      <c r="P415" t="s">
        <v>5432</v>
      </c>
      <c r="Q415" s="55">
        <v>45966</v>
      </c>
      <c r="R415" t="s">
        <v>495</v>
      </c>
      <c r="S415" t="s">
        <v>5432</v>
      </c>
      <c r="T415" t="s">
        <v>5432</v>
      </c>
      <c r="U415" t="s">
        <v>5432</v>
      </c>
      <c r="W415" s="55"/>
    </row>
    <row r="416" spans="1:23">
      <c r="A416" s="55">
        <v>45905</v>
      </c>
      <c r="B416" t="s">
        <v>1792</v>
      </c>
      <c r="C416" t="s">
        <v>1793</v>
      </c>
      <c r="D416" t="s">
        <v>169</v>
      </c>
      <c r="E416">
        <v>85395</v>
      </c>
      <c r="F416" t="s">
        <v>1794</v>
      </c>
      <c r="G416" t="s">
        <v>1723</v>
      </c>
      <c r="H416">
        <v>8806340000</v>
      </c>
      <c r="I416" t="s">
        <v>196</v>
      </c>
      <c r="J416" t="s">
        <v>37</v>
      </c>
      <c r="K416" t="s">
        <v>37</v>
      </c>
      <c r="L416" t="s">
        <v>38</v>
      </c>
      <c r="M416" t="s">
        <v>37</v>
      </c>
      <c r="N416" t="s">
        <v>37</v>
      </c>
      <c r="O416" t="s">
        <v>38</v>
      </c>
      <c r="P416" t="s">
        <v>39</v>
      </c>
      <c r="Q416" s="55">
        <v>45966</v>
      </c>
      <c r="R416" t="s">
        <v>5432</v>
      </c>
      <c r="S416" t="s">
        <v>5432</v>
      </c>
      <c r="T416" t="s">
        <v>5432</v>
      </c>
      <c r="U416" t="s">
        <v>5432</v>
      </c>
      <c r="W416" s="55"/>
    </row>
    <row r="417" spans="1:23">
      <c r="A417" s="55">
        <v>45905</v>
      </c>
      <c r="B417" t="s">
        <v>1796</v>
      </c>
      <c r="C417" t="s">
        <v>1797</v>
      </c>
      <c r="D417" t="s">
        <v>63</v>
      </c>
      <c r="E417">
        <v>85032</v>
      </c>
      <c r="F417" t="s">
        <v>310</v>
      </c>
      <c r="G417" t="s">
        <v>1723</v>
      </c>
      <c r="H417">
        <v>7096364439</v>
      </c>
      <c r="I417" t="s">
        <v>36</v>
      </c>
      <c r="J417" t="s">
        <v>37</v>
      </c>
      <c r="K417" t="s">
        <v>37</v>
      </c>
      <c r="L417" t="s">
        <v>38</v>
      </c>
      <c r="M417" t="s">
        <v>37</v>
      </c>
      <c r="N417" t="s">
        <v>37</v>
      </c>
      <c r="O417" t="s">
        <v>38</v>
      </c>
      <c r="P417" t="s">
        <v>39</v>
      </c>
      <c r="Q417" s="55">
        <v>45966</v>
      </c>
      <c r="R417" t="s">
        <v>5432</v>
      </c>
      <c r="S417" t="s">
        <v>5432</v>
      </c>
      <c r="T417" t="s">
        <v>5432</v>
      </c>
      <c r="U417" t="s">
        <v>5432</v>
      </c>
      <c r="W417" s="55"/>
    </row>
    <row r="418" spans="1:23">
      <c r="A418" s="55">
        <v>45905</v>
      </c>
      <c r="B418" t="s">
        <v>1799</v>
      </c>
      <c r="C418" t="s">
        <v>690</v>
      </c>
      <c r="D418" t="s">
        <v>169</v>
      </c>
      <c r="E418">
        <v>85395</v>
      </c>
      <c r="F418" t="s">
        <v>31</v>
      </c>
      <c r="G418" t="s">
        <v>1723</v>
      </c>
      <c r="H418">
        <v>2746863</v>
      </c>
      <c r="I418" t="s">
        <v>36</v>
      </c>
      <c r="J418" t="s">
        <v>37</v>
      </c>
      <c r="K418" t="s">
        <v>37</v>
      </c>
      <c r="L418" t="s">
        <v>38</v>
      </c>
      <c r="M418" t="s">
        <v>37</v>
      </c>
      <c r="N418" t="s">
        <v>37</v>
      </c>
      <c r="O418" t="s">
        <v>38</v>
      </c>
      <c r="P418" t="s">
        <v>39</v>
      </c>
      <c r="Q418" s="55">
        <v>45966</v>
      </c>
      <c r="R418" t="s">
        <v>5432</v>
      </c>
      <c r="S418" t="s">
        <v>5432</v>
      </c>
      <c r="T418" t="s">
        <v>5432</v>
      </c>
      <c r="U418" t="s">
        <v>5432</v>
      </c>
      <c r="W418" s="55"/>
    </row>
    <row r="419" spans="1:23">
      <c r="A419" s="55">
        <v>45905</v>
      </c>
      <c r="B419" t="s">
        <v>1803</v>
      </c>
      <c r="C419" t="s">
        <v>1804</v>
      </c>
      <c r="D419" t="s">
        <v>125</v>
      </c>
      <c r="E419">
        <v>85254</v>
      </c>
      <c r="F419" t="s">
        <v>31</v>
      </c>
      <c r="G419" t="s">
        <v>1723</v>
      </c>
      <c r="H419">
        <v>2122958371</v>
      </c>
      <c r="I419" t="s">
        <v>36</v>
      </c>
      <c r="J419" t="s">
        <v>37</v>
      </c>
      <c r="K419" t="s">
        <v>37</v>
      </c>
      <c r="L419" t="s">
        <v>38</v>
      </c>
      <c r="M419" t="s">
        <v>37</v>
      </c>
      <c r="N419" t="s">
        <v>37</v>
      </c>
      <c r="O419" t="s">
        <v>38</v>
      </c>
      <c r="P419" t="s">
        <v>39</v>
      </c>
      <c r="Q419" s="55">
        <v>45966</v>
      </c>
      <c r="R419" t="s">
        <v>5432</v>
      </c>
      <c r="S419" t="s">
        <v>5432</v>
      </c>
      <c r="T419" t="s">
        <v>5432</v>
      </c>
      <c r="U419" t="s">
        <v>5432</v>
      </c>
      <c r="W419" s="55"/>
    </row>
    <row r="420" spans="1:23">
      <c r="A420" s="55">
        <v>45905</v>
      </c>
      <c r="B420" t="s">
        <v>604</v>
      </c>
      <c r="C420" t="s">
        <v>1806</v>
      </c>
      <c r="D420" t="s">
        <v>169</v>
      </c>
      <c r="E420">
        <v>85395</v>
      </c>
      <c r="F420" t="s">
        <v>31</v>
      </c>
      <c r="G420" t="s">
        <v>1723</v>
      </c>
      <c r="H420">
        <v>5769060000</v>
      </c>
      <c r="I420" t="s">
        <v>81</v>
      </c>
      <c r="J420" t="s">
        <v>37</v>
      </c>
      <c r="K420" t="s">
        <v>37</v>
      </c>
      <c r="L420" t="s">
        <v>389</v>
      </c>
      <c r="M420" t="s">
        <v>37</v>
      </c>
      <c r="N420" t="s">
        <v>37</v>
      </c>
      <c r="O420" t="s">
        <v>38</v>
      </c>
      <c r="P420" t="s">
        <v>39</v>
      </c>
      <c r="Q420" s="55">
        <v>45966</v>
      </c>
      <c r="R420" t="s">
        <v>5432</v>
      </c>
      <c r="S420" t="s">
        <v>5432</v>
      </c>
      <c r="T420" t="s">
        <v>5432</v>
      </c>
      <c r="U420" t="s">
        <v>5432</v>
      </c>
      <c r="W420" s="55"/>
    </row>
    <row r="421" spans="1:23">
      <c r="A421" s="55">
        <v>45905</v>
      </c>
      <c r="B421" t="s">
        <v>1808</v>
      </c>
      <c r="C421" t="s">
        <v>1809</v>
      </c>
      <c r="D421" t="s">
        <v>125</v>
      </c>
      <c r="E421">
        <v>85255</v>
      </c>
      <c r="F421" t="s">
        <v>31</v>
      </c>
      <c r="G421" t="s">
        <v>1723</v>
      </c>
      <c r="H421">
        <v>5214610000</v>
      </c>
      <c r="I421" t="s">
        <v>36</v>
      </c>
      <c r="J421" t="s">
        <v>37</v>
      </c>
      <c r="K421" t="s">
        <v>37</v>
      </c>
      <c r="L421" t="s">
        <v>38</v>
      </c>
      <c r="M421" t="s">
        <v>37</v>
      </c>
      <c r="N421" t="s">
        <v>37</v>
      </c>
      <c r="O421" t="s">
        <v>38</v>
      </c>
      <c r="P421" t="s">
        <v>39</v>
      </c>
      <c r="Q421" s="55">
        <v>45966</v>
      </c>
      <c r="R421" t="s">
        <v>5432</v>
      </c>
      <c r="S421" t="s">
        <v>5432</v>
      </c>
      <c r="T421" t="s">
        <v>5432</v>
      </c>
      <c r="U421" t="s">
        <v>5432</v>
      </c>
      <c r="W421" s="55"/>
    </row>
    <row r="422" spans="1:23">
      <c r="A422" s="55">
        <v>45905</v>
      </c>
      <c r="B422" t="s">
        <v>1812</v>
      </c>
      <c r="C422" t="s">
        <v>1813</v>
      </c>
      <c r="D422" t="s">
        <v>63</v>
      </c>
      <c r="E422">
        <v>85018</v>
      </c>
      <c r="F422" t="s">
        <v>310</v>
      </c>
      <c r="G422" t="s">
        <v>1723</v>
      </c>
      <c r="H422">
        <v>9294235852</v>
      </c>
      <c r="I422" t="s">
        <v>36</v>
      </c>
      <c r="J422" t="s">
        <v>37</v>
      </c>
      <c r="K422" t="s">
        <v>37</v>
      </c>
      <c r="L422" t="s">
        <v>38</v>
      </c>
      <c r="M422" t="s">
        <v>37</v>
      </c>
      <c r="N422" t="s">
        <v>37</v>
      </c>
      <c r="O422" t="s">
        <v>38</v>
      </c>
      <c r="P422" t="s">
        <v>39</v>
      </c>
      <c r="Q422" s="55">
        <v>45966</v>
      </c>
      <c r="R422" t="s">
        <v>5432</v>
      </c>
      <c r="S422" t="s">
        <v>5432</v>
      </c>
      <c r="T422" t="s">
        <v>5432</v>
      </c>
      <c r="U422" t="s">
        <v>5432</v>
      </c>
      <c r="W422" s="55"/>
    </row>
    <row r="423" spans="1:23">
      <c r="A423" s="55">
        <v>45905</v>
      </c>
      <c r="B423" t="s">
        <v>358</v>
      </c>
      <c r="C423" t="s">
        <v>1815</v>
      </c>
      <c r="D423" t="s">
        <v>63</v>
      </c>
      <c r="E423">
        <v>85007</v>
      </c>
      <c r="F423" t="s">
        <v>310</v>
      </c>
      <c r="G423" t="s">
        <v>1723</v>
      </c>
      <c r="H423">
        <v>9660984623</v>
      </c>
      <c r="I423" t="s">
        <v>196</v>
      </c>
      <c r="J423" t="s">
        <v>37</v>
      </c>
      <c r="K423" t="s">
        <v>37</v>
      </c>
      <c r="L423" t="s">
        <v>1817</v>
      </c>
      <c r="M423" t="s">
        <v>37</v>
      </c>
      <c r="N423" t="s">
        <v>37</v>
      </c>
      <c r="O423" t="s">
        <v>38</v>
      </c>
      <c r="P423" t="s">
        <v>39</v>
      </c>
      <c r="Q423" s="55">
        <v>45966</v>
      </c>
      <c r="R423" t="s">
        <v>5432</v>
      </c>
      <c r="S423" t="s">
        <v>5432</v>
      </c>
      <c r="T423" t="s">
        <v>5432</v>
      </c>
      <c r="U423" t="s">
        <v>5432</v>
      </c>
      <c r="W423" s="55"/>
    </row>
    <row r="424" spans="1:23">
      <c r="A424" s="55">
        <v>45905</v>
      </c>
      <c r="B424" t="s">
        <v>1818</v>
      </c>
      <c r="C424" t="s">
        <v>1819</v>
      </c>
      <c r="D424" t="s">
        <v>619</v>
      </c>
      <c r="E424">
        <v>85365</v>
      </c>
      <c r="F424" t="s">
        <v>310</v>
      </c>
      <c r="G424" t="s">
        <v>1723</v>
      </c>
      <c r="H424">
        <v>887574779</v>
      </c>
      <c r="I424" t="s">
        <v>126</v>
      </c>
      <c r="J424" t="s">
        <v>37</v>
      </c>
      <c r="K424" t="s">
        <v>37</v>
      </c>
      <c r="L424" t="s">
        <v>38</v>
      </c>
      <c r="M424" t="s">
        <v>37</v>
      </c>
      <c r="N424" t="s">
        <v>37</v>
      </c>
      <c r="O424" t="s">
        <v>38</v>
      </c>
      <c r="P424" t="s">
        <v>39</v>
      </c>
      <c r="Q424" s="55">
        <v>45966</v>
      </c>
      <c r="R424" t="s">
        <v>5432</v>
      </c>
      <c r="S424" t="s">
        <v>5432</v>
      </c>
      <c r="T424" t="s">
        <v>5432</v>
      </c>
      <c r="U424" t="s">
        <v>5432</v>
      </c>
      <c r="W424" s="55"/>
    </row>
    <row r="425" spans="1:23">
      <c r="A425" s="55">
        <v>45905</v>
      </c>
      <c r="B425" t="s">
        <v>208</v>
      </c>
      <c r="C425" t="s">
        <v>1099</v>
      </c>
      <c r="D425" t="s">
        <v>264</v>
      </c>
      <c r="E425">
        <v>85541</v>
      </c>
      <c r="F425" t="s">
        <v>31</v>
      </c>
      <c r="G425" t="s">
        <v>1723</v>
      </c>
      <c r="H425">
        <v>5278430000</v>
      </c>
      <c r="I425" t="s">
        <v>196</v>
      </c>
      <c r="J425" t="s">
        <v>37</v>
      </c>
      <c r="K425" t="s">
        <v>37</v>
      </c>
      <c r="L425" t="s">
        <v>1822</v>
      </c>
      <c r="M425" t="s">
        <v>37</v>
      </c>
      <c r="N425" t="s">
        <v>37</v>
      </c>
      <c r="O425" t="s">
        <v>38</v>
      </c>
      <c r="P425" t="s">
        <v>39</v>
      </c>
      <c r="Q425" s="55">
        <v>45966</v>
      </c>
      <c r="R425" t="s">
        <v>5432</v>
      </c>
      <c r="S425" t="s">
        <v>5432</v>
      </c>
      <c r="T425" t="s">
        <v>5432</v>
      </c>
      <c r="U425" t="s">
        <v>5432</v>
      </c>
      <c r="W425" s="55"/>
    </row>
    <row r="426" spans="1:23">
      <c r="A426" s="55">
        <v>45905</v>
      </c>
      <c r="B426" t="s">
        <v>1823</v>
      </c>
      <c r="C426" t="s">
        <v>1824</v>
      </c>
      <c r="D426" t="s">
        <v>63</v>
      </c>
      <c r="E426">
        <v>85028</v>
      </c>
      <c r="F426" t="s">
        <v>310</v>
      </c>
      <c r="G426" t="s">
        <v>1723</v>
      </c>
      <c r="H426">
        <v>3884451846</v>
      </c>
      <c r="I426" t="s">
        <v>541</v>
      </c>
      <c r="J426" t="s">
        <v>37</v>
      </c>
      <c r="K426" t="s">
        <v>37</v>
      </c>
      <c r="L426" t="s">
        <v>389</v>
      </c>
      <c r="M426" t="s">
        <v>37</v>
      </c>
      <c r="N426" t="s">
        <v>37</v>
      </c>
      <c r="O426" t="s">
        <v>38</v>
      </c>
      <c r="P426" t="s">
        <v>39</v>
      </c>
      <c r="Q426" s="55">
        <v>45966</v>
      </c>
      <c r="R426" t="s">
        <v>5432</v>
      </c>
      <c r="S426" t="s">
        <v>5432</v>
      </c>
      <c r="T426" t="s">
        <v>5432</v>
      </c>
      <c r="U426" t="s">
        <v>5432</v>
      </c>
      <c r="W426" s="55"/>
    </row>
    <row r="427" spans="1:23">
      <c r="A427" s="55">
        <v>45905</v>
      </c>
      <c r="B427" t="s">
        <v>1826</v>
      </c>
      <c r="C427" t="s">
        <v>920</v>
      </c>
      <c r="D427" t="s">
        <v>63</v>
      </c>
      <c r="E427">
        <v>85083</v>
      </c>
      <c r="F427" t="s">
        <v>310</v>
      </c>
      <c r="G427" t="s">
        <v>1723</v>
      </c>
      <c r="H427">
        <v>9575044862</v>
      </c>
      <c r="I427" t="s">
        <v>57</v>
      </c>
      <c r="J427" t="s">
        <v>37</v>
      </c>
      <c r="K427" t="s">
        <v>37</v>
      </c>
      <c r="L427" t="s">
        <v>38</v>
      </c>
      <c r="M427" t="s">
        <v>37</v>
      </c>
      <c r="N427" t="s">
        <v>37</v>
      </c>
      <c r="O427" t="s">
        <v>38</v>
      </c>
      <c r="P427" t="s">
        <v>39</v>
      </c>
      <c r="Q427" s="55">
        <v>45966</v>
      </c>
      <c r="R427" t="s">
        <v>5432</v>
      </c>
      <c r="S427" t="s">
        <v>5432</v>
      </c>
      <c r="T427" t="s">
        <v>5432</v>
      </c>
      <c r="U427" t="s">
        <v>5432</v>
      </c>
      <c r="W427" s="55"/>
    </row>
    <row r="428" spans="1:23">
      <c r="A428" s="55">
        <v>45905</v>
      </c>
      <c r="B428" t="s">
        <v>1828</v>
      </c>
      <c r="C428" t="s">
        <v>1829</v>
      </c>
      <c r="D428" t="s">
        <v>63</v>
      </c>
      <c r="E428">
        <v>85032</v>
      </c>
      <c r="F428" t="s">
        <v>31</v>
      </c>
      <c r="G428" t="s">
        <v>1723</v>
      </c>
      <c r="H428">
        <v>362190628</v>
      </c>
      <c r="I428" t="s">
        <v>126</v>
      </c>
      <c r="J428" t="s">
        <v>37</v>
      </c>
      <c r="K428" t="s">
        <v>37</v>
      </c>
      <c r="L428" t="s">
        <v>38</v>
      </c>
      <c r="M428" t="s">
        <v>37</v>
      </c>
      <c r="N428" t="s">
        <v>37</v>
      </c>
      <c r="O428" t="s">
        <v>38</v>
      </c>
      <c r="P428" t="s">
        <v>39</v>
      </c>
      <c r="Q428" s="55">
        <v>45966</v>
      </c>
      <c r="R428" t="s">
        <v>5432</v>
      </c>
      <c r="S428" t="s">
        <v>5432</v>
      </c>
      <c r="T428" t="s">
        <v>5432</v>
      </c>
      <c r="U428" t="s">
        <v>5432</v>
      </c>
      <c r="W428" s="55"/>
    </row>
    <row r="429" spans="1:23">
      <c r="A429" s="55">
        <v>45905</v>
      </c>
      <c r="B429" t="s">
        <v>1831</v>
      </c>
      <c r="C429" t="s">
        <v>1832</v>
      </c>
      <c r="D429" t="s">
        <v>169</v>
      </c>
      <c r="E429">
        <v>85395</v>
      </c>
      <c r="F429" t="s">
        <v>31</v>
      </c>
      <c r="G429" t="s">
        <v>1723</v>
      </c>
      <c r="H429">
        <v>9651100000</v>
      </c>
      <c r="I429" t="s">
        <v>418</v>
      </c>
      <c r="J429" t="s">
        <v>37</v>
      </c>
      <c r="K429" t="s">
        <v>37</v>
      </c>
      <c r="L429" t="s">
        <v>389</v>
      </c>
      <c r="M429" t="s">
        <v>37</v>
      </c>
      <c r="N429" t="s">
        <v>37</v>
      </c>
      <c r="O429" t="s">
        <v>38</v>
      </c>
      <c r="P429" t="s">
        <v>39</v>
      </c>
      <c r="Q429" s="55">
        <v>45966</v>
      </c>
      <c r="R429" t="s">
        <v>5432</v>
      </c>
      <c r="S429" t="s">
        <v>5432</v>
      </c>
      <c r="T429" t="s">
        <v>5432</v>
      </c>
      <c r="U429" t="s">
        <v>5432</v>
      </c>
      <c r="W429" s="55"/>
    </row>
    <row r="430" spans="1:23">
      <c r="A430" s="55">
        <v>45905</v>
      </c>
      <c r="B430" t="s">
        <v>1834</v>
      </c>
      <c r="C430" t="s">
        <v>780</v>
      </c>
      <c r="D430" t="s">
        <v>370</v>
      </c>
      <c r="E430">
        <v>85225</v>
      </c>
      <c r="F430" t="s">
        <v>310</v>
      </c>
      <c r="G430" t="s">
        <v>1723</v>
      </c>
      <c r="H430">
        <v>5622315139</v>
      </c>
      <c r="I430" t="s">
        <v>73</v>
      </c>
      <c r="J430" t="s">
        <v>37</v>
      </c>
      <c r="K430" t="s">
        <v>37</v>
      </c>
      <c r="L430" t="s">
        <v>38</v>
      </c>
      <c r="M430" t="s">
        <v>37</v>
      </c>
      <c r="N430" t="s">
        <v>37</v>
      </c>
      <c r="O430" t="s">
        <v>38</v>
      </c>
      <c r="P430" t="s">
        <v>39</v>
      </c>
      <c r="Q430" s="55">
        <v>45966</v>
      </c>
      <c r="R430" t="s">
        <v>5432</v>
      </c>
      <c r="S430" t="s">
        <v>5432</v>
      </c>
      <c r="T430" t="s">
        <v>5432</v>
      </c>
      <c r="U430" t="s">
        <v>5432</v>
      </c>
      <c r="W430" s="55"/>
    </row>
    <row r="431" spans="1:23">
      <c r="A431" s="55">
        <v>45905</v>
      </c>
      <c r="B431" t="s">
        <v>1836</v>
      </c>
      <c r="C431" t="s">
        <v>75</v>
      </c>
      <c r="D431" t="s">
        <v>539</v>
      </c>
      <c r="E431">
        <v>85194</v>
      </c>
      <c r="F431" t="s">
        <v>25</v>
      </c>
      <c r="G431" t="s">
        <v>1723</v>
      </c>
      <c r="H431">
        <v>6031103650</v>
      </c>
      <c r="I431" t="s">
        <v>36</v>
      </c>
      <c r="J431" t="s">
        <v>37</v>
      </c>
      <c r="K431" t="s">
        <v>37</v>
      </c>
      <c r="L431" t="s">
        <v>38</v>
      </c>
      <c r="M431" t="s">
        <v>37</v>
      </c>
      <c r="N431" t="s">
        <v>37</v>
      </c>
      <c r="O431" t="s">
        <v>38</v>
      </c>
      <c r="P431" t="s">
        <v>39</v>
      </c>
      <c r="Q431" s="55">
        <v>45966</v>
      </c>
      <c r="R431" t="s">
        <v>5432</v>
      </c>
      <c r="S431" t="s">
        <v>5432</v>
      </c>
      <c r="T431" t="s">
        <v>5432</v>
      </c>
      <c r="U431" t="s">
        <v>5432</v>
      </c>
      <c r="W431" s="55"/>
    </row>
    <row r="432" spans="1:23">
      <c r="A432" s="55">
        <v>45905</v>
      </c>
      <c r="B432" t="s">
        <v>1839</v>
      </c>
      <c r="C432" t="s">
        <v>1840</v>
      </c>
      <c r="D432" t="s">
        <v>63</v>
      </c>
      <c r="E432">
        <v>85024</v>
      </c>
      <c r="F432" t="s">
        <v>1841</v>
      </c>
      <c r="G432" t="s">
        <v>1723</v>
      </c>
      <c r="H432">
        <v>7532070000</v>
      </c>
      <c r="I432" t="s">
        <v>36</v>
      </c>
      <c r="J432" t="s">
        <v>37</v>
      </c>
      <c r="K432" t="s">
        <v>37</v>
      </c>
      <c r="L432" t="s">
        <v>38</v>
      </c>
      <c r="M432" t="s">
        <v>37</v>
      </c>
      <c r="N432" t="s">
        <v>37</v>
      </c>
      <c r="O432" t="s">
        <v>38</v>
      </c>
      <c r="P432" t="s">
        <v>39</v>
      </c>
      <c r="Q432" s="55">
        <v>45966</v>
      </c>
      <c r="R432" t="s">
        <v>5432</v>
      </c>
      <c r="S432" t="s">
        <v>5432</v>
      </c>
      <c r="T432" t="s">
        <v>5432</v>
      </c>
      <c r="U432" t="s">
        <v>5432</v>
      </c>
      <c r="W432" s="55"/>
    </row>
    <row r="433" spans="1:23">
      <c r="A433" s="55">
        <v>45905</v>
      </c>
      <c r="B433" t="s">
        <v>1846</v>
      </c>
      <c r="C433" t="s">
        <v>1847</v>
      </c>
      <c r="D433" t="s">
        <v>63</v>
      </c>
      <c r="E433">
        <v>85022</v>
      </c>
      <c r="F433" t="s">
        <v>310</v>
      </c>
      <c r="G433" t="s">
        <v>1723</v>
      </c>
      <c r="H433">
        <v>5526300000</v>
      </c>
      <c r="I433" t="s">
        <v>36</v>
      </c>
      <c r="J433" t="s">
        <v>37</v>
      </c>
      <c r="K433" t="s">
        <v>37</v>
      </c>
      <c r="L433" t="s">
        <v>38</v>
      </c>
      <c r="M433" t="s">
        <v>37</v>
      </c>
      <c r="N433" t="s">
        <v>37</v>
      </c>
      <c r="O433" t="s">
        <v>38</v>
      </c>
      <c r="P433" t="s">
        <v>39</v>
      </c>
      <c r="Q433" s="55">
        <v>45966</v>
      </c>
      <c r="R433" t="s">
        <v>5432</v>
      </c>
      <c r="S433" t="s">
        <v>5432</v>
      </c>
      <c r="T433" t="s">
        <v>5432</v>
      </c>
      <c r="U433" t="s">
        <v>5432</v>
      </c>
      <c r="W433" s="55"/>
    </row>
    <row r="434" spans="1:23">
      <c r="A434" s="55">
        <v>45905</v>
      </c>
      <c r="B434" t="s">
        <v>1849</v>
      </c>
      <c r="C434" t="s">
        <v>1850</v>
      </c>
      <c r="D434" t="s">
        <v>202</v>
      </c>
      <c r="E434">
        <v>85383</v>
      </c>
      <c r="F434" t="s">
        <v>310</v>
      </c>
      <c r="G434" t="s">
        <v>1723</v>
      </c>
      <c r="H434">
        <v>8251801000</v>
      </c>
      <c r="I434" t="s">
        <v>196</v>
      </c>
      <c r="J434" t="s">
        <v>37</v>
      </c>
      <c r="K434" t="s">
        <v>37</v>
      </c>
      <c r="L434" t="s">
        <v>38</v>
      </c>
      <c r="M434" t="s">
        <v>37</v>
      </c>
      <c r="N434" t="s">
        <v>37</v>
      </c>
      <c r="O434" t="s">
        <v>38</v>
      </c>
      <c r="P434" t="s">
        <v>39</v>
      </c>
      <c r="Q434" s="55">
        <v>45966</v>
      </c>
      <c r="R434" t="s">
        <v>5432</v>
      </c>
      <c r="S434" t="s">
        <v>5432</v>
      </c>
      <c r="T434" t="s">
        <v>5432</v>
      </c>
      <c r="U434" t="s">
        <v>5432</v>
      </c>
      <c r="W434" s="55"/>
    </row>
    <row r="435" spans="1:23">
      <c r="A435" s="55">
        <v>45905</v>
      </c>
      <c r="B435" t="s">
        <v>1136</v>
      </c>
      <c r="C435" t="s">
        <v>1852</v>
      </c>
      <c r="D435" t="s">
        <v>63</v>
      </c>
      <c r="E435">
        <v>85007</v>
      </c>
      <c r="F435" t="s">
        <v>310</v>
      </c>
      <c r="G435" t="s">
        <v>1723</v>
      </c>
      <c r="H435">
        <v>3135361000</v>
      </c>
      <c r="I435" t="s">
        <v>36</v>
      </c>
      <c r="J435" t="s">
        <v>37</v>
      </c>
      <c r="K435" t="s">
        <v>37</v>
      </c>
      <c r="L435" t="s">
        <v>38</v>
      </c>
      <c r="M435" t="s">
        <v>37</v>
      </c>
      <c r="N435" t="s">
        <v>37</v>
      </c>
      <c r="O435" t="s">
        <v>38</v>
      </c>
      <c r="P435" t="s">
        <v>39</v>
      </c>
      <c r="Q435" s="55">
        <v>45966</v>
      </c>
      <c r="R435" t="s">
        <v>5432</v>
      </c>
      <c r="S435" t="s">
        <v>5432</v>
      </c>
      <c r="T435" t="s">
        <v>5432</v>
      </c>
      <c r="U435" t="s">
        <v>5432</v>
      </c>
      <c r="W435" s="55"/>
    </row>
    <row r="436" spans="1:23">
      <c r="A436" s="55">
        <v>45905</v>
      </c>
      <c r="B436" t="s">
        <v>1854</v>
      </c>
      <c r="C436" t="s">
        <v>1855</v>
      </c>
      <c r="D436" t="s">
        <v>112</v>
      </c>
      <c r="E436">
        <v>85379</v>
      </c>
      <c r="F436" t="s">
        <v>310</v>
      </c>
      <c r="G436" t="s">
        <v>1723</v>
      </c>
      <c r="H436">
        <v>5579377804</v>
      </c>
      <c r="I436" t="s">
        <v>196</v>
      </c>
      <c r="J436" t="s">
        <v>37</v>
      </c>
      <c r="K436" t="s">
        <v>37</v>
      </c>
      <c r="L436" t="s">
        <v>38</v>
      </c>
      <c r="M436" t="s">
        <v>38</v>
      </c>
      <c r="N436">
        <v>436.03</v>
      </c>
      <c r="O436" t="s">
        <v>38</v>
      </c>
      <c r="P436" t="s">
        <v>39</v>
      </c>
      <c r="Q436" s="55">
        <v>45966</v>
      </c>
      <c r="R436" t="s">
        <v>5432</v>
      </c>
      <c r="S436" t="s">
        <v>5432</v>
      </c>
      <c r="T436" t="s">
        <v>5432</v>
      </c>
      <c r="U436" t="s">
        <v>5432</v>
      </c>
      <c r="W436" s="55"/>
    </row>
    <row r="437" spans="1:23">
      <c r="A437" s="55">
        <v>45905</v>
      </c>
      <c r="B437" t="s">
        <v>1857</v>
      </c>
      <c r="C437" t="s">
        <v>211</v>
      </c>
      <c r="D437" t="s">
        <v>169</v>
      </c>
      <c r="E437">
        <v>85395</v>
      </c>
      <c r="F437" t="s">
        <v>31</v>
      </c>
      <c r="G437" t="s">
        <v>1723</v>
      </c>
      <c r="H437">
        <v>869170000</v>
      </c>
      <c r="I437" t="s">
        <v>36</v>
      </c>
      <c r="J437" t="s">
        <v>37</v>
      </c>
      <c r="K437" t="s">
        <v>37</v>
      </c>
      <c r="L437" t="s">
        <v>38</v>
      </c>
      <c r="M437" t="s">
        <v>37</v>
      </c>
      <c r="N437" t="s">
        <v>37</v>
      </c>
      <c r="O437" t="s">
        <v>38</v>
      </c>
      <c r="P437" t="s">
        <v>39</v>
      </c>
      <c r="Q437" s="55">
        <v>45966</v>
      </c>
      <c r="R437" t="s">
        <v>5432</v>
      </c>
      <c r="S437" t="s">
        <v>5432</v>
      </c>
      <c r="T437" t="s">
        <v>5432</v>
      </c>
      <c r="U437" t="s">
        <v>5432</v>
      </c>
      <c r="W437" s="55"/>
    </row>
    <row r="438" spans="1:23">
      <c r="A438" s="55">
        <v>45905</v>
      </c>
      <c r="B438" t="s">
        <v>1859</v>
      </c>
      <c r="C438" t="s">
        <v>550</v>
      </c>
      <c r="D438" t="s">
        <v>635</v>
      </c>
      <c r="E438">
        <v>85288</v>
      </c>
      <c r="F438" t="s">
        <v>310</v>
      </c>
      <c r="G438" t="s">
        <v>1723</v>
      </c>
      <c r="H438">
        <v>4875496471</v>
      </c>
      <c r="I438" t="s">
        <v>73</v>
      </c>
      <c r="J438" t="s">
        <v>37</v>
      </c>
      <c r="K438" t="s">
        <v>37</v>
      </c>
      <c r="L438" t="s">
        <v>38</v>
      </c>
      <c r="M438" t="s">
        <v>37</v>
      </c>
      <c r="N438" t="s">
        <v>37</v>
      </c>
      <c r="O438" t="s">
        <v>38</v>
      </c>
      <c r="P438" t="s">
        <v>39</v>
      </c>
      <c r="Q438" s="55">
        <v>45966</v>
      </c>
      <c r="R438" t="s">
        <v>5432</v>
      </c>
      <c r="S438" t="s">
        <v>5432</v>
      </c>
      <c r="T438" t="s">
        <v>5432</v>
      </c>
      <c r="U438" t="s">
        <v>5432</v>
      </c>
      <c r="W438" s="55"/>
    </row>
    <row r="439" spans="1:23">
      <c r="A439" s="55">
        <v>45905</v>
      </c>
      <c r="B439" t="s">
        <v>1861</v>
      </c>
      <c r="C439" t="s">
        <v>1862</v>
      </c>
      <c r="D439" t="s">
        <v>63</v>
      </c>
      <c r="E439">
        <v>85053</v>
      </c>
      <c r="F439" t="s">
        <v>310</v>
      </c>
      <c r="G439" t="s">
        <v>1723</v>
      </c>
      <c r="H439">
        <v>4100903949</v>
      </c>
      <c r="I439" t="s">
        <v>73</v>
      </c>
      <c r="J439" t="s">
        <v>37</v>
      </c>
      <c r="K439" t="s">
        <v>37</v>
      </c>
      <c r="L439" t="s">
        <v>38</v>
      </c>
      <c r="M439" t="s">
        <v>37</v>
      </c>
      <c r="N439" t="s">
        <v>37</v>
      </c>
      <c r="O439" t="s">
        <v>38</v>
      </c>
      <c r="P439" t="s">
        <v>39</v>
      </c>
      <c r="Q439" s="55">
        <v>45966</v>
      </c>
      <c r="R439" t="s">
        <v>5432</v>
      </c>
      <c r="S439" t="s">
        <v>5432</v>
      </c>
      <c r="T439" t="s">
        <v>5432</v>
      </c>
      <c r="U439" t="s">
        <v>5432</v>
      </c>
      <c r="W439" s="55"/>
    </row>
    <row r="440" spans="1:23">
      <c r="A440" s="55">
        <v>45905</v>
      </c>
      <c r="B440" t="s">
        <v>1864</v>
      </c>
      <c r="C440" t="s">
        <v>1865</v>
      </c>
      <c r="D440" t="s">
        <v>737</v>
      </c>
      <c r="E440">
        <v>86326</v>
      </c>
      <c r="F440" t="s">
        <v>1866</v>
      </c>
      <c r="G440" t="s">
        <v>1723</v>
      </c>
      <c r="H440">
        <v>6747966884</v>
      </c>
      <c r="I440" t="s">
        <v>73</v>
      </c>
      <c r="J440" t="s">
        <v>38</v>
      </c>
      <c r="K440" t="s">
        <v>37</v>
      </c>
      <c r="L440" t="s">
        <v>38</v>
      </c>
      <c r="M440" t="s">
        <v>37</v>
      </c>
      <c r="N440" t="s">
        <v>37</v>
      </c>
      <c r="O440" t="s">
        <v>38</v>
      </c>
      <c r="P440" t="s">
        <v>39</v>
      </c>
      <c r="Q440" s="55">
        <v>45966</v>
      </c>
      <c r="R440" t="s">
        <v>5432</v>
      </c>
      <c r="S440" t="s">
        <v>5432</v>
      </c>
      <c r="T440" t="s">
        <v>5432</v>
      </c>
      <c r="U440" t="s">
        <v>5432</v>
      </c>
      <c r="W440" s="55"/>
    </row>
    <row r="441" spans="1:23">
      <c r="A441" s="55">
        <v>45905</v>
      </c>
      <c r="B441" t="s">
        <v>1872</v>
      </c>
      <c r="C441" t="s">
        <v>1873</v>
      </c>
      <c r="D441" t="s">
        <v>63</v>
      </c>
      <c r="E441">
        <v>85083</v>
      </c>
      <c r="F441" t="s">
        <v>310</v>
      </c>
      <c r="G441" t="s">
        <v>1723</v>
      </c>
      <c r="H441">
        <v>6940323949</v>
      </c>
      <c r="I441" t="s">
        <v>196</v>
      </c>
      <c r="J441" t="s">
        <v>37</v>
      </c>
      <c r="K441" t="s">
        <v>37</v>
      </c>
      <c r="L441" t="s">
        <v>1874</v>
      </c>
      <c r="M441" t="s">
        <v>37</v>
      </c>
      <c r="N441" t="s">
        <v>37</v>
      </c>
      <c r="O441" t="s">
        <v>38</v>
      </c>
      <c r="P441" t="s">
        <v>39</v>
      </c>
      <c r="Q441" s="55">
        <v>45966</v>
      </c>
      <c r="R441" t="s">
        <v>5432</v>
      </c>
      <c r="S441" t="s">
        <v>5432</v>
      </c>
      <c r="T441" t="s">
        <v>5432</v>
      </c>
      <c r="U441" t="s">
        <v>5432</v>
      </c>
      <c r="W441" s="55"/>
    </row>
    <row r="442" spans="1:23">
      <c r="A442" s="55">
        <v>45905</v>
      </c>
      <c r="B442" t="s">
        <v>1875</v>
      </c>
      <c r="C442" t="s">
        <v>1876</v>
      </c>
      <c r="D442" t="s">
        <v>169</v>
      </c>
      <c r="E442">
        <v>85395</v>
      </c>
      <c r="F442" t="s">
        <v>1877</v>
      </c>
      <c r="G442" t="s">
        <v>1723</v>
      </c>
      <c r="H442">
        <v>9756846766</v>
      </c>
      <c r="I442" t="s">
        <v>1684</v>
      </c>
      <c r="J442" t="s">
        <v>37</v>
      </c>
      <c r="K442" t="s">
        <v>37</v>
      </c>
      <c r="L442" t="s">
        <v>38</v>
      </c>
      <c r="M442" t="s">
        <v>37</v>
      </c>
      <c r="N442" t="s">
        <v>37</v>
      </c>
      <c r="O442" t="s">
        <v>38</v>
      </c>
      <c r="P442" t="s">
        <v>39</v>
      </c>
      <c r="Q442" s="55">
        <v>45966</v>
      </c>
      <c r="R442" t="s">
        <v>5432</v>
      </c>
      <c r="S442" t="s">
        <v>5432</v>
      </c>
      <c r="T442" t="s">
        <v>5432</v>
      </c>
      <c r="U442" t="s">
        <v>5432</v>
      </c>
      <c r="W442" s="55"/>
    </row>
    <row r="443" spans="1:23">
      <c r="A443" s="55">
        <v>45905</v>
      </c>
      <c r="B443" t="s">
        <v>1879</v>
      </c>
      <c r="C443" t="s">
        <v>1310</v>
      </c>
      <c r="D443" t="s">
        <v>169</v>
      </c>
      <c r="E443">
        <v>85395</v>
      </c>
      <c r="F443" t="s">
        <v>31</v>
      </c>
      <c r="G443" t="s">
        <v>1723</v>
      </c>
      <c r="H443">
        <v>3718280000</v>
      </c>
      <c r="I443" t="s">
        <v>243</v>
      </c>
      <c r="J443" t="s">
        <v>37</v>
      </c>
      <c r="K443" t="s">
        <v>37</v>
      </c>
      <c r="L443" t="s">
        <v>389</v>
      </c>
      <c r="M443" t="s">
        <v>37</v>
      </c>
      <c r="N443" t="s">
        <v>37</v>
      </c>
      <c r="O443" t="s">
        <v>38</v>
      </c>
      <c r="P443" t="s">
        <v>39</v>
      </c>
      <c r="Q443" s="55">
        <v>45966</v>
      </c>
      <c r="R443" t="s">
        <v>5432</v>
      </c>
      <c r="S443" t="s">
        <v>5432</v>
      </c>
      <c r="T443" t="s">
        <v>5432</v>
      </c>
      <c r="U443" t="s">
        <v>5432</v>
      </c>
      <c r="W443" s="55"/>
    </row>
    <row r="444" spans="1:23">
      <c r="A444" s="55">
        <v>45905</v>
      </c>
      <c r="B444" t="s">
        <v>1881</v>
      </c>
      <c r="C444" t="s">
        <v>1755</v>
      </c>
      <c r="D444" t="s">
        <v>24</v>
      </c>
      <c r="E444">
        <v>85308</v>
      </c>
      <c r="F444" t="s">
        <v>310</v>
      </c>
      <c r="G444" t="s">
        <v>1723</v>
      </c>
      <c r="H444">
        <v>2290331000</v>
      </c>
      <c r="I444" t="s">
        <v>196</v>
      </c>
      <c r="J444" t="s">
        <v>37</v>
      </c>
      <c r="K444" t="s">
        <v>37</v>
      </c>
      <c r="L444" t="s">
        <v>1883</v>
      </c>
      <c r="M444" t="s">
        <v>37</v>
      </c>
      <c r="N444" t="s">
        <v>37</v>
      </c>
      <c r="O444" t="s">
        <v>38</v>
      </c>
      <c r="P444" t="s">
        <v>39</v>
      </c>
      <c r="Q444" s="55">
        <v>45966</v>
      </c>
      <c r="R444" t="s">
        <v>5432</v>
      </c>
      <c r="S444" t="s">
        <v>5432</v>
      </c>
      <c r="T444" t="s">
        <v>5432</v>
      </c>
      <c r="U444" t="s">
        <v>5432</v>
      </c>
      <c r="W444" s="55"/>
    </row>
    <row r="445" spans="1:23">
      <c r="A445" s="55">
        <v>45905</v>
      </c>
      <c r="B445" t="s">
        <v>1884</v>
      </c>
      <c r="C445" t="s">
        <v>1666</v>
      </c>
      <c r="D445" t="s">
        <v>619</v>
      </c>
      <c r="E445">
        <v>85365</v>
      </c>
      <c r="F445" t="s">
        <v>1556</v>
      </c>
      <c r="G445" t="s">
        <v>1723</v>
      </c>
      <c r="H445">
        <v>4333270000</v>
      </c>
      <c r="I445" t="s">
        <v>57</v>
      </c>
      <c r="J445" t="s">
        <v>37</v>
      </c>
      <c r="K445" t="s">
        <v>37</v>
      </c>
      <c r="L445" t="s">
        <v>1886</v>
      </c>
      <c r="M445" t="s">
        <v>37</v>
      </c>
      <c r="N445" t="s">
        <v>37</v>
      </c>
      <c r="O445" t="s">
        <v>38</v>
      </c>
      <c r="P445" t="s">
        <v>5432</v>
      </c>
      <c r="Q445" s="55">
        <v>45966</v>
      </c>
      <c r="R445" t="s">
        <v>1887</v>
      </c>
      <c r="S445" t="s">
        <v>5432</v>
      </c>
      <c r="T445" t="s">
        <v>5432</v>
      </c>
      <c r="U445" t="s">
        <v>5432</v>
      </c>
      <c r="W445" s="55"/>
    </row>
    <row r="446" spans="1:23">
      <c r="A446" s="55">
        <v>45905</v>
      </c>
      <c r="B446" t="s">
        <v>1890</v>
      </c>
      <c r="C446" t="s">
        <v>747</v>
      </c>
      <c r="D446" t="s">
        <v>202</v>
      </c>
      <c r="E446">
        <v>85383</v>
      </c>
      <c r="F446" t="s">
        <v>31</v>
      </c>
      <c r="G446" t="s">
        <v>1723</v>
      </c>
      <c r="H446">
        <v>2216771581</v>
      </c>
      <c r="I446" t="s">
        <v>1892</v>
      </c>
      <c r="J446" t="s">
        <v>37</v>
      </c>
      <c r="K446" t="s">
        <v>37</v>
      </c>
      <c r="L446" t="s">
        <v>38</v>
      </c>
      <c r="M446" t="s">
        <v>37</v>
      </c>
      <c r="N446" t="s">
        <v>37</v>
      </c>
      <c r="O446" t="s">
        <v>38</v>
      </c>
      <c r="P446" t="s">
        <v>39</v>
      </c>
      <c r="Q446" s="55">
        <v>45966</v>
      </c>
      <c r="R446" t="s">
        <v>5432</v>
      </c>
      <c r="S446" t="s">
        <v>5432</v>
      </c>
      <c r="T446" t="s">
        <v>5432</v>
      </c>
      <c r="U446" t="s">
        <v>5432</v>
      </c>
      <c r="W446" s="55"/>
    </row>
    <row r="447" spans="1:23">
      <c r="A447" s="55">
        <v>45905</v>
      </c>
      <c r="B447" t="s">
        <v>1893</v>
      </c>
      <c r="C447" t="s">
        <v>1894</v>
      </c>
      <c r="D447" t="s">
        <v>63</v>
      </c>
      <c r="E447">
        <v>85024</v>
      </c>
      <c r="F447" t="s">
        <v>1895</v>
      </c>
      <c r="G447" t="s">
        <v>1723</v>
      </c>
      <c r="H447">
        <v>9214141000</v>
      </c>
      <c r="I447" t="s">
        <v>46</v>
      </c>
      <c r="J447" t="s">
        <v>37</v>
      </c>
      <c r="K447" t="s">
        <v>37</v>
      </c>
      <c r="L447" t="s">
        <v>38</v>
      </c>
      <c r="M447" t="s">
        <v>37</v>
      </c>
      <c r="N447" t="s">
        <v>37</v>
      </c>
      <c r="O447" t="s">
        <v>38</v>
      </c>
      <c r="P447" t="s">
        <v>39</v>
      </c>
      <c r="Q447" s="55">
        <v>45966</v>
      </c>
      <c r="R447" t="s">
        <v>5432</v>
      </c>
      <c r="S447" t="s">
        <v>5432</v>
      </c>
      <c r="T447" t="s">
        <v>5432</v>
      </c>
      <c r="U447" t="s">
        <v>5432</v>
      </c>
      <c r="W447" s="55"/>
    </row>
    <row r="448" spans="1:23">
      <c r="A448" s="55">
        <v>45905</v>
      </c>
      <c r="B448" t="s">
        <v>1897</v>
      </c>
      <c r="C448" t="s">
        <v>1898</v>
      </c>
      <c r="D448" t="s">
        <v>169</v>
      </c>
      <c r="E448">
        <v>85395</v>
      </c>
      <c r="F448" t="s">
        <v>1899</v>
      </c>
      <c r="G448" t="s">
        <v>1723</v>
      </c>
      <c r="H448">
        <v>4328013004</v>
      </c>
      <c r="I448" t="s">
        <v>541</v>
      </c>
      <c r="J448" t="s">
        <v>37</v>
      </c>
      <c r="K448" t="s">
        <v>37</v>
      </c>
      <c r="L448" t="s">
        <v>389</v>
      </c>
      <c r="M448" t="s">
        <v>37</v>
      </c>
      <c r="N448" t="s">
        <v>37</v>
      </c>
      <c r="O448" t="s">
        <v>38</v>
      </c>
      <c r="P448" t="s">
        <v>39</v>
      </c>
      <c r="Q448" s="55">
        <v>45966</v>
      </c>
      <c r="R448" t="s">
        <v>5432</v>
      </c>
      <c r="S448" t="s">
        <v>5432</v>
      </c>
      <c r="T448" t="s">
        <v>5432</v>
      </c>
      <c r="U448" t="s">
        <v>5432</v>
      </c>
      <c r="W448" s="55"/>
    </row>
    <row r="449" spans="1:26">
      <c r="A449" s="55">
        <v>45905</v>
      </c>
      <c r="B449" t="s">
        <v>1901</v>
      </c>
      <c r="C449" t="s">
        <v>790</v>
      </c>
      <c r="D449" t="s">
        <v>635</v>
      </c>
      <c r="E449">
        <v>85281</v>
      </c>
      <c r="F449" t="s">
        <v>310</v>
      </c>
      <c r="G449" t="s">
        <v>1723</v>
      </c>
      <c r="H449">
        <v>4789794091</v>
      </c>
      <c r="I449" t="s">
        <v>126</v>
      </c>
      <c r="J449" t="s">
        <v>37</v>
      </c>
      <c r="K449" t="s">
        <v>37</v>
      </c>
      <c r="L449" t="s">
        <v>1903</v>
      </c>
      <c r="M449" t="s">
        <v>37</v>
      </c>
      <c r="N449" t="s">
        <v>37</v>
      </c>
      <c r="O449" t="s">
        <v>38</v>
      </c>
      <c r="P449" t="s">
        <v>39</v>
      </c>
      <c r="Q449" s="55">
        <v>45966</v>
      </c>
      <c r="R449" t="s">
        <v>5432</v>
      </c>
      <c r="S449" t="s">
        <v>5432</v>
      </c>
      <c r="T449" t="s">
        <v>5432</v>
      </c>
      <c r="U449" t="s">
        <v>5432</v>
      </c>
      <c r="W449" s="55"/>
    </row>
    <row r="450" spans="1:26">
      <c r="A450" s="55">
        <v>45905</v>
      </c>
      <c r="B450" t="s">
        <v>1904</v>
      </c>
      <c r="C450" t="s">
        <v>1905</v>
      </c>
      <c r="D450" t="s">
        <v>63</v>
      </c>
      <c r="E450">
        <v>85007</v>
      </c>
      <c r="F450" t="s">
        <v>31</v>
      </c>
      <c r="G450" t="s">
        <v>1723</v>
      </c>
      <c r="H450">
        <v>8551601000</v>
      </c>
      <c r="I450" t="s">
        <v>36</v>
      </c>
      <c r="J450" t="s">
        <v>37</v>
      </c>
      <c r="K450" t="s">
        <v>37</v>
      </c>
      <c r="L450" t="s">
        <v>38</v>
      </c>
      <c r="M450" t="s">
        <v>37</v>
      </c>
      <c r="N450" t="s">
        <v>37</v>
      </c>
      <c r="O450" t="s">
        <v>38</v>
      </c>
      <c r="P450" t="s">
        <v>39</v>
      </c>
      <c r="Q450" s="55">
        <v>45966</v>
      </c>
      <c r="R450" t="s">
        <v>5432</v>
      </c>
      <c r="S450" t="s">
        <v>5432</v>
      </c>
      <c r="T450" t="s">
        <v>5432</v>
      </c>
      <c r="U450" t="s">
        <v>5432</v>
      </c>
      <c r="W450" s="55"/>
    </row>
    <row r="451" spans="1:26">
      <c r="A451" s="55">
        <v>45905</v>
      </c>
      <c r="B451" t="s">
        <v>1907</v>
      </c>
      <c r="C451" t="s">
        <v>131</v>
      </c>
      <c r="D451" t="s">
        <v>635</v>
      </c>
      <c r="E451">
        <v>85288</v>
      </c>
      <c r="F451" t="s">
        <v>31</v>
      </c>
      <c r="G451" t="s">
        <v>1723</v>
      </c>
      <c r="H451">
        <v>5582530000</v>
      </c>
      <c r="I451" t="s">
        <v>196</v>
      </c>
      <c r="J451" t="s">
        <v>37</v>
      </c>
      <c r="K451" t="s">
        <v>37</v>
      </c>
      <c r="L451" t="s">
        <v>1909</v>
      </c>
      <c r="M451" t="s">
        <v>37</v>
      </c>
      <c r="N451" t="s">
        <v>37</v>
      </c>
      <c r="O451" t="s">
        <v>38</v>
      </c>
      <c r="P451">
        <v>45936</v>
      </c>
      <c r="Q451" s="55">
        <v>45966</v>
      </c>
      <c r="R451" t="s">
        <v>1732</v>
      </c>
      <c r="S451" t="s">
        <v>5432</v>
      </c>
      <c r="T451" t="s">
        <v>5432</v>
      </c>
      <c r="U451" t="s">
        <v>5432</v>
      </c>
      <c r="W451" s="55"/>
    </row>
    <row r="452" spans="1:26">
      <c r="A452" s="55">
        <v>45905</v>
      </c>
      <c r="B452" t="s">
        <v>1910</v>
      </c>
      <c r="C452" t="s">
        <v>139</v>
      </c>
      <c r="D452" t="s">
        <v>63</v>
      </c>
      <c r="E452">
        <v>85032</v>
      </c>
      <c r="F452" t="s">
        <v>1911</v>
      </c>
      <c r="G452" t="s">
        <v>1723</v>
      </c>
      <c r="H452">
        <v>4220132529</v>
      </c>
      <c r="I452" t="s">
        <v>73</v>
      </c>
      <c r="J452" t="s">
        <v>37</v>
      </c>
      <c r="K452" t="s">
        <v>37</v>
      </c>
      <c r="L452" t="s">
        <v>38</v>
      </c>
      <c r="M452" t="s">
        <v>37</v>
      </c>
      <c r="N452" t="s">
        <v>37</v>
      </c>
      <c r="O452" t="s">
        <v>38</v>
      </c>
      <c r="P452" t="s">
        <v>39</v>
      </c>
      <c r="Q452" s="55">
        <v>45966</v>
      </c>
      <c r="R452" t="s">
        <v>5432</v>
      </c>
      <c r="S452" t="s">
        <v>5432</v>
      </c>
      <c r="T452" t="s">
        <v>5432</v>
      </c>
      <c r="U452" t="s">
        <v>5432</v>
      </c>
      <c r="V452" t="s">
        <v>117</v>
      </c>
      <c r="W452" s="55">
        <v>45997</v>
      </c>
      <c r="X452" t="s">
        <v>5434</v>
      </c>
      <c r="Z452" t="s">
        <v>5470</v>
      </c>
    </row>
    <row r="453" spans="1:26">
      <c r="A453" s="55">
        <v>45905</v>
      </c>
      <c r="B453" t="s">
        <v>391</v>
      </c>
      <c r="C453" t="s">
        <v>920</v>
      </c>
      <c r="D453" t="s">
        <v>85</v>
      </c>
      <c r="E453">
        <v>86323</v>
      </c>
      <c r="F453" t="s">
        <v>31</v>
      </c>
      <c r="G453" t="s">
        <v>1723</v>
      </c>
      <c r="H453">
        <v>5703576714</v>
      </c>
      <c r="I453" t="s">
        <v>36</v>
      </c>
      <c r="J453" t="s">
        <v>37</v>
      </c>
      <c r="K453" t="s">
        <v>37</v>
      </c>
      <c r="L453" t="s">
        <v>38</v>
      </c>
      <c r="M453" t="s">
        <v>37</v>
      </c>
      <c r="N453" t="s">
        <v>37</v>
      </c>
      <c r="O453" t="s">
        <v>38</v>
      </c>
      <c r="P453" t="s">
        <v>39</v>
      </c>
      <c r="Q453" s="55">
        <v>45966</v>
      </c>
      <c r="R453" t="s">
        <v>5432</v>
      </c>
      <c r="S453" t="s">
        <v>5432</v>
      </c>
      <c r="T453" t="s">
        <v>5432</v>
      </c>
      <c r="U453" t="s">
        <v>5432</v>
      </c>
      <c r="W453" s="55"/>
    </row>
    <row r="454" spans="1:26">
      <c r="A454" s="55">
        <v>45905</v>
      </c>
      <c r="B454" t="s">
        <v>431</v>
      </c>
      <c r="C454" t="s">
        <v>329</v>
      </c>
      <c r="D454" t="s">
        <v>63</v>
      </c>
      <c r="E454">
        <v>85032</v>
      </c>
      <c r="F454" t="s">
        <v>310</v>
      </c>
      <c r="G454" t="s">
        <v>1723</v>
      </c>
      <c r="H454">
        <v>448028030</v>
      </c>
      <c r="I454" t="s">
        <v>73</v>
      </c>
      <c r="J454" t="s">
        <v>37</v>
      </c>
      <c r="K454" t="s">
        <v>37</v>
      </c>
      <c r="L454" t="s">
        <v>38</v>
      </c>
      <c r="M454" t="s">
        <v>37</v>
      </c>
      <c r="N454" t="s">
        <v>37</v>
      </c>
      <c r="O454" t="s">
        <v>38</v>
      </c>
      <c r="P454" t="s">
        <v>39</v>
      </c>
      <c r="Q454" s="55">
        <v>45966</v>
      </c>
      <c r="R454" t="s">
        <v>5432</v>
      </c>
      <c r="S454" t="s">
        <v>5432</v>
      </c>
      <c r="T454" t="s">
        <v>5432</v>
      </c>
      <c r="U454" t="s">
        <v>5432</v>
      </c>
      <c r="W454" s="55"/>
    </row>
    <row r="455" spans="1:26">
      <c r="A455" s="55">
        <v>45905</v>
      </c>
      <c r="B455" t="s">
        <v>1920</v>
      </c>
      <c r="C455" t="s">
        <v>1921</v>
      </c>
      <c r="D455" t="s">
        <v>63</v>
      </c>
      <c r="E455">
        <v>85012</v>
      </c>
      <c r="F455" t="s">
        <v>310</v>
      </c>
      <c r="G455" t="s">
        <v>1723</v>
      </c>
      <c r="H455">
        <v>5780730097</v>
      </c>
      <c r="I455" t="s">
        <v>73</v>
      </c>
      <c r="J455" t="s">
        <v>37</v>
      </c>
      <c r="K455" t="s">
        <v>37</v>
      </c>
      <c r="L455" t="s">
        <v>38</v>
      </c>
      <c r="M455" t="s">
        <v>37</v>
      </c>
      <c r="N455" t="s">
        <v>37</v>
      </c>
      <c r="O455" t="s">
        <v>38</v>
      </c>
      <c r="P455" t="s">
        <v>39</v>
      </c>
      <c r="Q455" s="55">
        <v>45966</v>
      </c>
      <c r="R455" t="s">
        <v>5432</v>
      </c>
      <c r="S455" t="s">
        <v>5432</v>
      </c>
      <c r="T455" t="s">
        <v>5432</v>
      </c>
      <c r="U455" t="s">
        <v>5432</v>
      </c>
      <c r="W455" s="55"/>
    </row>
    <row r="456" spans="1:26">
      <c r="A456" s="55">
        <v>45905</v>
      </c>
      <c r="B456" t="s">
        <v>1923</v>
      </c>
      <c r="C456" t="s">
        <v>1924</v>
      </c>
      <c r="D456" t="s">
        <v>63</v>
      </c>
      <c r="E456">
        <v>85086</v>
      </c>
      <c r="F456" t="s">
        <v>31</v>
      </c>
      <c r="G456" t="s">
        <v>1723</v>
      </c>
      <c r="H456">
        <v>8651110000</v>
      </c>
      <c r="I456" t="s">
        <v>36</v>
      </c>
      <c r="J456" t="s">
        <v>37</v>
      </c>
      <c r="K456" t="s">
        <v>37</v>
      </c>
      <c r="L456" t="s">
        <v>38</v>
      </c>
      <c r="M456" t="s">
        <v>37</v>
      </c>
      <c r="N456" t="s">
        <v>37</v>
      </c>
      <c r="O456" t="s">
        <v>38</v>
      </c>
      <c r="P456" t="s">
        <v>39</v>
      </c>
      <c r="Q456" s="55">
        <v>45966</v>
      </c>
      <c r="R456" t="s">
        <v>5432</v>
      </c>
      <c r="S456" t="s">
        <v>5432</v>
      </c>
      <c r="T456" t="s">
        <v>5432</v>
      </c>
      <c r="U456" t="s">
        <v>5432</v>
      </c>
      <c r="W456" s="55"/>
    </row>
    <row r="457" spans="1:26">
      <c r="A457" s="55">
        <v>45905</v>
      </c>
      <c r="B457" t="s">
        <v>1926</v>
      </c>
      <c r="C457" t="s">
        <v>399</v>
      </c>
      <c r="D457" t="s">
        <v>504</v>
      </c>
      <c r="E457">
        <v>86001</v>
      </c>
      <c r="F457" t="s">
        <v>31</v>
      </c>
      <c r="G457" t="s">
        <v>1723</v>
      </c>
      <c r="H457">
        <v>2697623904</v>
      </c>
      <c r="I457" t="s">
        <v>196</v>
      </c>
      <c r="J457" t="s">
        <v>37</v>
      </c>
      <c r="K457" t="s">
        <v>37</v>
      </c>
      <c r="L457" t="s">
        <v>1928</v>
      </c>
      <c r="M457" t="s">
        <v>37</v>
      </c>
      <c r="N457" t="s">
        <v>37</v>
      </c>
      <c r="O457" t="s">
        <v>38</v>
      </c>
      <c r="P457" t="s">
        <v>39</v>
      </c>
      <c r="Q457" s="55">
        <v>45966</v>
      </c>
      <c r="R457" t="s">
        <v>5432</v>
      </c>
      <c r="S457" t="s">
        <v>5432</v>
      </c>
      <c r="T457" t="s">
        <v>5432</v>
      </c>
      <c r="U457" t="s">
        <v>5432</v>
      </c>
      <c r="W457" s="55"/>
    </row>
    <row r="458" spans="1:26">
      <c r="A458" s="55">
        <v>45905</v>
      </c>
      <c r="B458" t="s">
        <v>1929</v>
      </c>
      <c r="C458" t="s">
        <v>1930</v>
      </c>
      <c r="D458" t="s">
        <v>63</v>
      </c>
      <c r="E458">
        <v>85020</v>
      </c>
      <c r="F458" t="s">
        <v>310</v>
      </c>
      <c r="G458" t="s">
        <v>1723</v>
      </c>
      <c r="H458">
        <v>86465467</v>
      </c>
      <c r="I458" t="s">
        <v>73</v>
      </c>
      <c r="J458" t="s">
        <v>37</v>
      </c>
      <c r="K458" t="s">
        <v>37</v>
      </c>
      <c r="L458" t="s">
        <v>38</v>
      </c>
      <c r="M458" t="s">
        <v>37</v>
      </c>
      <c r="N458" t="s">
        <v>37</v>
      </c>
      <c r="O458" t="s">
        <v>38</v>
      </c>
      <c r="P458" t="s">
        <v>39</v>
      </c>
      <c r="Q458" s="55">
        <v>45966</v>
      </c>
      <c r="R458" t="s">
        <v>5432</v>
      </c>
      <c r="S458" t="s">
        <v>5432</v>
      </c>
      <c r="T458" t="s">
        <v>5432</v>
      </c>
      <c r="U458" t="s">
        <v>5432</v>
      </c>
      <c r="W458" s="55"/>
    </row>
    <row r="459" spans="1:26">
      <c r="A459" s="55">
        <v>45905</v>
      </c>
      <c r="B459" t="s">
        <v>1932</v>
      </c>
      <c r="C459" t="s">
        <v>1614</v>
      </c>
      <c r="D459" t="s">
        <v>63</v>
      </c>
      <c r="E459">
        <v>85020</v>
      </c>
      <c r="F459" t="s">
        <v>1933</v>
      </c>
      <c r="G459" t="s">
        <v>1723</v>
      </c>
      <c r="H459">
        <v>7036097429</v>
      </c>
      <c r="I459" t="s">
        <v>36</v>
      </c>
      <c r="J459" t="s">
        <v>37</v>
      </c>
      <c r="K459" t="s">
        <v>37</v>
      </c>
      <c r="L459" t="s">
        <v>1935</v>
      </c>
      <c r="M459" t="s">
        <v>37</v>
      </c>
      <c r="N459" t="s">
        <v>37</v>
      </c>
      <c r="O459" t="s">
        <v>38</v>
      </c>
      <c r="P459" t="s">
        <v>39</v>
      </c>
      <c r="Q459" s="55">
        <v>45966</v>
      </c>
      <c r="R459" t="s">
        <v>1936</v>
      </c>
      <c r="S459" t="s">
        <v>5432</v>
      </c>
      <c r="T459" t="s">
        <v>5432</v>
      </c>
      <c r="U459" t="s">
        <v>5432</v>
      </c>
      <c r="W459" s="55"/>
    </row>
    <row r="460" spans="1:26">
      <c r="A460" s="55">
        <v>45905</v>
      </c>
      <c r="B460" t="s">
        <v>1937</v>
      </c>
      <c r="C460" t="s">
        <v>194</v>
      </c>
      <c r="D460" t="s">
        <v>63</v>
      </c>
      <c r="E460">
        <v>85023</v>
      </c>
      <c r="F460" t="s">
        <v>1938</v>
      </c>
      <c r="G460" t="s">
        <v>1723</v>
      </c>
      <c r="H460">
        <v>9890161000</v>
      </c>
      <c r="I460" t="s">
        <v>243</v>
      </c>
      <c r="J460" t="s">
        <v>37</v>
      </c>
      <c r="K460" t="s">
        <v>37</v>
      </c>
      <c r="L460" t="s">
        <v>389</v>
      </c>
      <c r="M460" t="s">
        <v>37</v>
      </c>
      <c r="N460" t="s">
        <v>37</v>
      </c>
      <c r="O460" t="s">
        <v>38</v>
      </c>
      <c r="P460" t="s">
        <v>39</v>
      </c>
      <c r="Q460" s="55">
        <v>45966</v>
      </c>
      <c r="R460" t="s">
        <v>5432</v>
      </c>
      <c r="S460" t="s">
        <v>5432</v>
      </c>
      <c r="T460" t="s">
        <v>5432</v>
      </c>
      <c r="U460" t="s">
        <v>5432</v>
      </c>
      <c r="W460" s="55"/>
    </row>
    <row r="461" spans="1:26">
      <c r="A461" s="55">
        <v>45905</v>
      </c>
      <c r="B461" t="s">
        <v>1940</v>
      </c>
      <c r="C461" t="s">
        <v>1941</v>
      </c>
      <c r="D461" t="s">
        <v>63</v>
      </c>
      <c r="E461">
        <v>85020</v>
      </c>
      <c r="F461" t="s">
        <v>310</v>
      </c>
      <c r="G461" t="s">
        <v>1723</v>
      </c>
      <c r="H461">
        <v>947385737</v>
      </c>
      <c r="I461" t="s">
        <v>196</v>
      </c>
      <c r="J461" t="s">
        <v>37</v>
      </c>
      <c r="K461" t="s">
        <v>37</v>
      </c>
      <c r="L461" t="s">
        <v>1943</v>
      </c>
      <c r="M461" t="s">
        <v>37</v>
      </c>
      <c r="N461" t="s">
        <v>37</v>
      </c>
      <c r="O461" t="s">
        <v>38</v>
      </c>
      <c r="P461" t="s">
        <v>39</v>
      </c>
      <c r="Q461" s="55">
        <v>45966</v>
      </c>
      <c r="R461" t="s">
        <v>1944</v>
      </c>
      <c r="S461" t="s">
        <v>5432</v>
      </c>
      <c r="T461" t="s">
        <v>5432</v>
      </c>
      <c r="U461" t="s">
        <v>5432</v>
      </c>
      <c r="W461" s="55"/>
    </row>
    <row r="462" spans="1:26">
      <c r="A462" s="55">
        <v>45905</v>
      </c>
      <c r="B462" t="s">
        <v>1945</v>
      </c>
      <c r="C462" t="s">
        <v>284</v>
      </c>
      <c r="D462" t="s">
        <v>169</v>
      </c>
      <c r="E462">
        <v>85395</v>
      </c>
      <c r="F462" t="s">
        <v>31</v>
      </c>
      <c r="G462" t="s">
        <v>1723</v>
      </c>
      <c r="H462">
        <v>9738604563</v>
      </c>
      <c r="I462" t="s">
        <v>126</v>
      </c>
      <c r="J462" t="s">
        <v>37</v>
      </c>
      <c r="K462" t="s">
        <v>37</v>
      </c>
      <c r="L462" t="s">
        <v>38</v>
      </c>
      <c r="M462" t="s">
        <v>37</v>
      </c>
      <c r="N462" t="s">
        <v>37</v>
      </c>
      <c r="O462" t="s">
        <v>38</v>
      </c>
      <c r="P462" t="s">
        <v>39</v>
      </c>
      <c r="Q462" s="55">
        <v>45966</v>
      </c>
      <c r="R462" t="s">
        <v>5432</v>
      </c>
      <c r="S462" t="s">
        <v>5432</v>
      </c>
      <c r="T462" t="s">
        <v>5432</v>
      </c>
      <c r="U462" t="s">
        <v>5432</v>
      </c>
      <c r="W462" s="55"/>
    </row>
    <row r="463" spans="1:26">
      <c r="A463" s="55">
        <v>45905</v>
      </c>
      <c r="B463" t="s">
        <v>1947</v>
      </c>
      <c r="C463" t="s">
        <v>145</v>
      </c>
      <c r="D463" t="s">
        <v>1615</v>
      </c>
      <c r="E463">
        <v>85131</v>
      </c>
      <c r="F463" t="s">
        <v>310</v>
      </c>
      <c r="G463" t="s">
        <v>1723</v>
      </c>
      <c r="H463">
        <v>6892964511</v>
      </c>
      <c r="I463" t="s">
        <v>541</v>
      </c>
      <c r="J463" t="s">
        <v>37</v>
      </c>
      <c r="K463" t="s">
        <v>37</v>
      </c>
      <c r="L463" t="s">
        <v>389</v>
      </c>
      <c r="M463" t="s">
        <v>37</v>
      </c>
      <c r="N463" t="s">
        <v>37</v>
      </c>
      <c r="O463" t="s">
        <v>38</v>
      </c>
      <c r="P463" t="s">
        <v>39</v>
      </c>
      <c r="Q463" s="55">
        <v>45966</v>
      </c>
      <c r="R463" t="s">
        <v>5432</v>
      </c>
      <c r="S463" t="s">
        <v>5432</v>
      </c>
      <c r="T463" t="s">
        <v>5432</v>
      </c>
      <c r="U463" t="s">
        <v>5432</v>
      </c>
      <c r="W463" s="55"/>
    </row>
    <row r="464" spans="1:26">
      <c r="A464" s="55">
        <v>45905</v>
      </c>
      <c r="B464" t="s">
        <v>1949</v>
      </c>
      <c r="C464" t="s">
        <v>1950</v>
      </c>
      <c r="D464" t="s">
        <v>125</v>
      </c>
      <c r="E464">
        <v>85254</v>
      </c>
      <c r="F464" t="s">
        <v>310</v>
      </c>
      <c r="G464" t="s">
        <v>1723</v>
      </c>
      <c r="H464">
        <v>8233981790</v>
      </c>
      <c r="I464" t="s">
        <v>36</v>
      </c>
      <c r="J464" t="s">
        <v>37</v>
      </c>
      <c r="K464" t="s">
        <v>37</v>
      </c>
      <c r="L464" t="s">
        <v>38</v>
      </c>
      <c r="M464" t="s">
        <v>37</v>
      </c>
      <c r="N464" t="s">
        <v>37</v>
      </c>
      <c r="O464" t="s">
        <v>38</v>
      </c>
      <c r="P464" t="s">
        <v>39</v>
      </c>
      <c r="Q464" s="55">
        <v>45966</v>
      </c>
      <c r="R464" t="s">
        <v>5432</v>
      </c>
      <c r="S464" t="s">
        <v>5432</v>
      </c>
      <c r="T464" t="s">
        <v>5432</v>
      </c>
      <c r="U464" t="s">
        <v>5432</v>
      </c>
      <c r="W464" s="55"/>
    </row>
    <row r="465" spans="1:23">
      <c r="A465" s="55">
        <v>45905</v>
      </c>
      <c r="B465" t="s">
        <v>1952</v>
      </c>
      <c r="C465" t="s">
        <v>1953</v>
      </c>
      <c r="D465" t="s">
        <v>63</v>
      </c>
      <c r="E465">
        <v>85022</v>
      </c>
      <c r="F465" t="s">
        <v>31</v>
      </c>
      <c r="G465" t="s">
        <v>1723</v>
      </c>
      <c r="H465">
        <v>7482519669</v>
      </c>
      <c r="I465" t="s">
        <v>36</v>
      </c>
      <c r="J465" t="s">
        <v>37</v>
      </c>
      <c r="K465" t="s">
        <v>37</v>
      </c>
      <c r="L465" t="s">
        <v>38</v>
      </c>
      <c r="M465" t="s">
        <v>37</v>
      </c>
      <c r="N465" t="s">
        <v>37</v>
      </c>
      <c r="O465" t="s">
        <v>38</v>
      </c>
      <c r="P465" t="s">
        <v>39</v>
      </c>
      <c r="Q465" s="55">
        <v>45966</v>
      </c>
      <c r="R465" t="s">
        <v>5432</v>
      </c>
      <c r="S465" t="s">
        <v>5432</v>
      </c>
      <c r="T465" t="s">
        <v>5432</v>
      </c>
      <c r="U465" t="s">
        <v>5432</v>
      </c>
      <c r="W465" s="55"/>
    </row>
    <row r="466" spans="1:23">
      <c r="A466" s="55">
        <v>45905</v>
      </c>
      <c r="B466" t="s">
        <v>1955</v>
      </c>
      <c r="C466" t="s">
        <v>1956</v>
      </c>
      <c r="D466" t="s">
        <v>169</v>
      </c>
      <c r="E466">
        <v>85338</v>
      </c>
      <c r="F466" t="s">
        <v>1957</v>
      </c>
      <c r="G466" t="s">
        <v>1723</v>
      </c>
      <c r="H466">
        <v>4321958928</v>
      </c>
      <c r="I466" t="s">
        <v>36</v>
      </c>
      <c r="J466" t="s">
        <v>37</v>
      </c>
      <c r="K466" t="s">
        <v>37</v>
      </c>
      <c r="L466" t="s">
        <v>38</v>
      </c>
      <c r="M466" t="s">
        <v>37</v>
      </c>
      <c r="N466" t="s">
        <v>37</v>
      </c>
      <c r="O466" t="s">
        <v>38</v>
      </c>
      <c r="P466" t="s">
        <v>39</v>
      </c>
      <c r="Q466" s="55">
        <v>45966</v>
      </c>
      <c r="R466" t="s">
        <v>5432</v>
      </c>
      <c r="S466" t="s">
        <v>5432</v>
      </c>
      <c r="T466" t="s">
        <v>5432</v>
      </c>
      <c r="U466" t="s">
        <v>5432</v>
      </c>
      <c r="W466" s="55"/>
    </row>
    <row r="467" spans="1:23">
      <c r="A467" s="55">
        <v>45905</v>
      </c>
      <c r="B467" t="s">
        <v>1959</v>
      </c>
      <c r="C467" t="s">
        <v>206</v>
      </c>
      <c r="D467" t="s">
        <v>169</v>
      </c>
      <c r="E467">
        <v>85395</v>
      </c>
      <c r="F467" t="s">
        <v>1960</v>
      </c>
      <c r="G467" t="s">
        <v>1723</v>
      </c>
      <c r="H467">
        <v>9277734775</v>
      </c>
      <c r="I467" t="s">
        <v>36</v>
      </c>
      <c r="J467" t="s">
        <v>37</v>
      </c>
      <c r="K467" t="s">
        <v>37</v>
      </c>
      <c r="L467" t="s">
        <v>38</v>
      </c>
      <c r="M467" t="s">
        <v>37</v>
      </c>
      <c r="N467" t="s">
        <v>37</v>
      </c>
      <c r="O467" t="s">
        <v>38</v>
      </c>
      <c r="P467" t="s">
        <v>39</v>
      </c>
      <c r="Q467" s="55">
        <v>45966</v>
      </c>
      <c r="R467" t="s">
        <v>5432</v>
      </c>
      <c r="S467" t="s">
        <v>5432</v>
      </c>
      <c r="T467" t="s">
        <v>5432</v>
      </c>
      <c r="U467" t="s">
        <v>5432</v>
      </c>
      <c r="W467" s="55"/>
    </row>
    <row r="468" spans="1:23">
      <c r="A468" s="55">
        <v>45905</v>
      </c>
      <c r="B468" t="s">
        <v>747</v>
      </c>
      <c r="C468" t="s">
        <v>1962</v>
      </c>
      <c r="D468" t="s">
        <v>63</v>
      </c>
      <c r="E468">
        <v>85027</v>
      </c>
      <c r="F468" t="s">
        <v>1957</v>
      </c>
      <c r="G468" t="s">
        <v>1723</v>
      </c>
      <c r="H468">
        <v>5786437888</v>
      </c>
      <c r="I468" t="s">
        <v>126</v>
      </c>
      <c r="J468" t="s">
        <v>38</v>
      </c>
      <c r="K468" t="s">
        <v>37</v>
      </c>
      <c r="L468" t="s">
        <v>38</v>
      </c>
      <c r="M468" t="s">
        <v>38</v>
      </c>
      <c r="N468">
        <v>349.29</v>
      </c>
      <c r="O468" t="s">
        <v>38</v>
      </c>
      <c r="P468" t="s">
        <v>39</v>
      </c>
      <c r="Q468" s="55">
        <v>45966</v>
      </c>
      <c r="R468" t="s">
        <v>495</v>
      </c>
      <c r="S468" t="s">
        <v>5432</v>
      </c>
      <c r="T468" t="s">
        <v>5432</v>
      </c>
      <c r="U468" t="s">
        <v>5432</v>
      </c>
      <c r="W468" s="55"/>
    </row>
    <row r="469" spans="1:23">
      <c r="A469" s="55">
        <v>45905</v>
      </c>
      <c r="B469" t="s">
        <v>49</v>
      </c>
      <c r="C469" t="s">
        <v>624</v>
      </c>
      <c r="D469" t="s">
        <v>63</v>
      </c>
      <c r="E469">
        <v>85027</v>
      </c>
      <c r="F469" t="s">
        <v>31</v>
      </c>
      <c r="G469" t="s">
        <v>1723</v>
      </c>
      <c r="H469">
        <v>3530497128</v>
      </c>
      <c r="I469" t="s">
        <v>73</v>
      </c>
      <c r="J469" t="s">
        <v>37</v>
      </c>
      <c r="K469" t="s">
        <v>37</v>
      </c>
      <c r="L469" t="s">
        <v>38</v>
      </c>
      <c r="M469" t="s">
        <v>37</v>
      </c>
      <c r="N469" t="s">
        <v>37</v>
      </c>
      <c r="O469" t="s">
        <v>38</v>
      </c>
      <c r="P469" t="s">
        <v>39</v>
      </c>
      <c r="Q469" s="55">
        <v>45966</v>
      </c>
      <c r="R469" t="s">
        <v>5432</v>
      </c>
      <c r="S469" t="s">
        <v>5432</v>
      </c>
      <c r="T469" t="s">
        <v>5432</v>
      </c>
      <c r="U469" t="s">
        <v>5432</v>
      </c>
      <c r="W469" s="55"/>
    </row>
    <row r="470" spans="1:23">
      <c r="A470" s="55">
        <v>45905</v>
      </c>
      <c r="B470" t="s">
        <v>1967</v>
      </c>
      <c r="C470" t="s">
        <v>1968</v>
      </c>
      <c r="D470" t="s">
        <v>174</v>
      </c>
      <c r="E470">
        <v>85396</v>
      </c>
      <c r="F470" t="s">
        <v>31</v>
      </c>
      <c r="G470" t="s">
        <v>1723</v>
      </c>
      <c r="H470">
        <v>240641000</v>
      </c>
      <c r="I470" t="s">
        <v>196</v>
      </c>
      <c r="J470" t="s">
        <v>37</v>
      </c>
      <c r="K470" t="s">
        <v>37</v>
      </c>
      <c r="L470" t="s">
        <v>38</v>
      </c>
      <c r="M470" t="s">
        <v>37</v>
      </c>
      <c r="N470" t="s">
        <v>37</v>
      </c>
      <c r="O470" t="s">
        <v>38</v>
      </c>
      <c r="P470" t="s">
        <v>39</v>
      </c>
      <c r="Q470" s="55">
        <v>45966</v>
      </c>
      <c r="R470" t="s">
        <v>5432</v>
      </c>
      <c r="S470" t="s">
        <v>5432</v>
      </c>
      <c r="T470" t="s">
        <v>5432</v>
      </c>
      <c r="U470" t="s">
        <v>5432</v>
      </c>
      <c r="W470" s="55"/>
    </row>
    <row r="471" spans="1:23">
      <c r="A471" s="55">
        <v>45905</v>
      </c>
      <c r="B471" t="s">
        <v>1970</v>
      </c>
      <c r="C471" t="s">
        <v>1971</v>
      </c>
      <c r="D471" t="s">
        <v>63</v>
      </c>
      <c r="E471">
        <v>85083</v>
      </c>
      <c r="F471" t="s">
        <v>310</v>
      </c>
      <c r="G471" t="s">
        <v>1723</v>
      </c>
      <c r="H471">
        <v>1560882175</v>
      </c>
      <c r="I471" t="s">
        <v>46</v>
      </c>
      <c r="J471" t="s">
        <v>37</v>
      </c>
      <c r="K471" t="s">
        <v>37</v>
      </c>
      <c r="L471" t="s">
        <v>38</v>
      </c>
      <c r="M471" t="s">
        <v>37</v>
      </c>
      <c r="N471" t="s">
        <v>37</v>
      </c>
      <c r="O471" t="s">
        <v>38</v>
      </c>
      <c r="P471" t="s">
        <v>39</v>
      </c>
      <c r="Q471" s="55">
        <v>45966</v>
      </c>
      <c r="R471" t="s">
        <v>5432</v>
      </c>
      <c r="S471" t="s">
        <v>5432</v>
      </c>
      <c r="T471" t="s">
        <v>5432</v>
      </c>
      <c r="U471" t="s">
        <v>5432</v>
      </c>
      <c r="W471" s="55"/>
    </row>
    <row r="472" spans="1:23">
      <c r="A472" s="55">
        <v>45905</v>
      </c>
      <c r="B472" t="s">
        <v>1973</v>
      </c>
      <c r="C472" t="s">
        <v>597</v>
      </c>
      <c r="D472" t="s">
        <v>63</v>
      </c>
      <c r="E472">
        <v>85083</v>
      </c>
      <c r="F472" t="s">
        <v>31</v>
      </c>
      <c r="G472" t="s">
        <v>1723</v>
      </c>
      <c r="H472">
        <v>189241000</v>
      </c>
      <c r="I472" t="s">
        <v>36</v>
      </c>
      <c r="J472" t="s">
        <v>37</v>
      </c>
      <c r="K472" t="s">
        <v>37</v>
      </c>
      <c r="L472" t="s">
        <v>1975</v>
      </c>
      <c r="M472" t="s">
        <v>37</v>
      </c>
      <c r="N472" t="s">
        <v>37</v>
      </c>
      <c r="O472" t="s">
        <v>38</v>
      </c>
      <c r="P472" t="s">
        <v>39</v>
      </c>
      <c r="Q472" s="55">
        <v>45966</v>
      </c>
      <c r="R472" t="s">
        <v>1976</v>
      </c>
      <c r="S472" t="s">
        <v>5432</v>
      </c>
      <c r="T472" t="s">
        <v>5432</v>
      </c>
      <c r="U472" t="s">
        <v>5432</v>
      </c>
      <c r="W472" s="55"/>
    </row>
    <row r="473" spans="1:23">
      <c r="A473" s="55">
        <v>45905</v>
      </c>
      <c r="B473" t="s">
        <v>1977</v>
      </c>
      <c r="C473" t="s">
        <v>1824</v>
      </c>
      <c r="D473" t="s">
        <v>63</v>
      </c>
      <c r="E473">
        <v>85028</v>
      </c>
      <c r="F473" t="s">
        <v>1978</v>
      </c>
      <c r="G473" t="s">
        <v>1723</v>
      </c>
      <c r="H473">
        <v>2815878027</v>
      </c>
      <c r="I473" t="s">
        <v>126</v>
      </c>
      <c r="J473" t="s">
        <v>37</v>
      </c>
      <c r="K473" t="s">
        <v>37</v>
      </c>
      <c r="L473" t="s">
        <v>38</v>
      </c>
      <c r="M473" t="s">
        <v>37</v>
      </c>
      <c r="N473" t="s">
        <v>37</v>
      </c>
      <c r="O473" t="s">
        <v>38</v>
      </c>
      <c r="P473" t="s">
        <v>39</v>
      </c>
      <c r="Q473" s="55">
        <v>45966</v>
      </c>
      <c r="R473" t="s">
        <v>5432</v>
      </c>
      <c r="S473" t="s">
        <v>5432</v>
      </c>
      <c r="T473" t="s">
        <v>5432</v>
      </c>
      <c r="U473" t="s">
        <v>5432</v>
      </c>
      <c r="W473" s="55"/>
    </row>
    <row r="474" spans="1:23">
      <c r="A474" s="55">
        <v>45905</v>
      </c>
      <c r="B474" t="s">
        <v>424</v>
      </c>
      <c r="C474" t="s">
        <v>497</v>
      </c>
      <c r="D474" t="s">
        <v>63</v>
      </c>
      <c r="E474">
        <v>85022</v>
      </c>
      <c r="F474" t="s">
        <v>1980</v>
      </c>
      <c r="G474" t="s">
        <v>1723</v>
      </c>
      <c r="H474">
        <v>5976850000</v>
      </c>
      <c r="I474" t="s">
        <v>196</v>
      </c>
      <c r="J474" t="s">
        <v>37</v>
      </c>
      <c r="K474" t="s">
        <v>37</v>
      </c>
      <c r="L474" t="s">
        <v>1982</v>
      </c>
      <c r="M474" t="s">
        <v>37</v>
      </c>
      <c r="N474" t="s">
        <v>37</v>
      </c>
      <c r="O474" t="s">
        <v>38</v>
      </c>
      <c r="P474">
        <v>45936</v>
      </c>
      <c r="Q474" s="55">
        <v>45966</v>
      </c>
      <c r="R474" t="s">
        <v>1983</v>
      </c>
      <c r="S474" t="s">
        <v>5432</v>
      </c>
      <c r="T474" t="s">
        <v>5432</v>
      </c>
      <c r="U474" t="s">
        <v>5432</v>
      </c>
      <c r="W474" s="55"/>
    </row>
    <row r="475" spans="1:23">
      <c r="A475" s="55">
        <v>45905</v>
      </c>
      <c r="B475" t="s">
        <v>1986</v>
      </c>
      <c r="C475" t="s">
        <v>1987</v>
      </c>
      <c r="D475" t="s">
        <v>202</v>
      </c>
      <c r="E475">
        <v>85383</v>
      </c>
      <c r="F475" t="s">
        <v>310</v>
      </c>
      <c r="G475" t="s">
        <v>1723</v>
      </c>
      <c r="H475">
        <v>208180000</v>
      </c>
      <c r="I475" t="s">
        <v>418</v>
      </c>
      <c r="J475" t="s">
        <v>37</v>
      </c>
      <c r="K475" t="s">
        <v>37</v>
      </c>
      <c r="L475" t="s">
        <v>389</v>
      </c>
      <c r="M475" t="s">
        <v>37</v>
      </c>
      <c r="N475" t="s">
        <v>37</v>
      </c>
      <c r="O475" t="s">
        <v>38</v>
      </c>
      <c r="P475" t="s">
        <v>39</v>
      </c>
      <c r="Q475" s="55">
        <v>45966</v>
      </c>
      <c r="R475" t="s">
        <v>5432</v>
      </c>
      <c r="S475" t="s">
        <v>5432</v>
      </c>
      <c r="T475" t="s">
        <v>5432</v>
      </c>
      <c r="U475" t="s">
        <v>5432</v>
      </c>
      <c r="W475" s="55"/>
    </row>
    <row r="476" spans="1:23">
      <c r="A476" s="55">
        <v>45905</v>
      </c>
      <c r="B476" t="s">
        <v>1989</v>
      </c>
      <c r="C476" t="s">
        <v>1127</v>
      </c>
      <c r="D476" t="s">
        <v>112</v>
      </c>
      <c r="E476">
        <v>85388</v>
      </c>
      <c r="F476" t="s">
        <v>1990</v>
      </c>
      <c r="G476" t="s">
        <v>1723</v>
      </c>
      <c r="H476">
        <v>9504901000</v>
      </c>
      <c r="I476" t="s">
        <v>196</v>
      </c>
      <c r="J476" t="s">
        <v>37</v>
      </c>
      <c r="K476" t="s">
        <v>37</v>
      </c>
      <c r="L476" t="s">
        <v>1992</v>
      </c>
      <c r="M476" t="s">
        <v>37</v>
      </c>
      <c r="N476" t="s">
        <v>37</v>
      </c>
      <c r="O476" t="s">
        <v>38</v>
      </c>
      <c r="P476">
        <v>45936</v>
      </c>
      <c r="Q476" s="55">
        <v>45966</v>
      </c>
      <c r="R476" t="s">
        <v>1993</v>
      </c>
      <c r="S476" t="s">
        <v>5432</v>
      </c>
      <c r="T476" t="s">
        <v>5432</v>
      </c>
      <c r="U476" t="s">
        <v>5432</v>
      </c>
      <c r="W476" s="55"/>
    </row>
    <row r="477" spans="1:23">
      <c r="A477" s="55">
        <v>45905</v>
      </c>
      <c r="B477" t="s">
        <v>1994</v>
      </c>
      <c r="C477" t="s">
        <v>1995</v>
      </c>
      <c r="D477" t="s">
        <v>63</v>
      </c>
      <c r="E477">
        <v>85021</v>
      </c>
      <c r="F477" t="s">
        <v>1996</v>
      </c>
      <c r="G477" t="s">
        <v>1723</v>
      </c>
      <c r="H477">
        <v>8950883553</v>
      </c>
      <c r="I477" t="s">
        <v>46</v>
      </c>
      <c r="J477" t="s">
        <v>37</v>
      </c>
      <c r="K477" t="s">
        <v>37</v>
      </c>
      <c r="L477" t="s">
        <v>38</v>
      </c>
      <c r="M477" t="s">
        <v>37</v>
      </c>
      <c r="N477" t="s">
        <v>37</v>
      </c>
      <c r="O477" t="s">
        <v>38</v>
      </c>
      <c r="P477" t="s">
        <v>39</v>
      </c>
      <c r="Q477" s="55">
        <v>45966</v>
      </c>
      <c r="R477" t="s">
        <v>5432</v>
      </c>
      <c r="S477" t="s">
        <v>5432</v>
      </c>
      <c r="T477" t="s">
        <v>5432</v>
      </c>
      <c r="U477" t="s">
        <v>5432</v>
      </c>
      <c r="W477" s="55"/>
    </row>
    <row r="478" spans="1:23">
      <c r="A478" s="55">
        <v>45905</v>
      </c>
      <c r="B478" t="s">
        <v>1998</v>
      </c>
      <c r="C478" t="s">
        <v>312</v>
      </c>
      <c r="D478" t="s">
        <v>125</v>
      </c>
      <c r="E478">
        <v>85255</v>
      </c>
      <c r="F478" t="s">
        <v>310</v>
      </c>
      <c r="G478" t="s">
        <v>1723</v>
      </c>
      <c r="H478">
        <v>9467156300</v>
      </c>
      <c r="I478" t="s">
        <v>196</v>
      </c>
      <c r="J478" t="s">
        <v>37</v>
      </c>
      <c r="K478" t="s">
        <v>37</v>
      </c>
      <c r="L478" t="s">
        <v>2000</v>
      </c>
      <c r="M478" t="s">
        <v>37</v>
      </c>
      <c r="N478" t="s">
        <v>37</v>
      </c>
      <c r="O478" t="s">
        <v>38</v>
      </c>
      <c r="P478">
        <v>45936</v>
      </c>
      <c r="Q478" s="55">
        <v>45966</v>
      </c>
      <c r="R478" t="s">
        <v>2001</v>
      </c>
      <c r="S478" t="s">
        <v>5432</v>
      </c>
      <c r="T478" t="s">
        <v>5432</v>
      </c>
      <c r="U478" t="s">
        <v>5432</v>
      </c>
      <c r="W478" s="55"/>
    </row>
    <row r="479" spans="1:23">
      <c r="A479" s="55">
        <v>45905</v>
      </c>
      <c r="B479" t="s">
        <v>2002</v>
      </c>
      <c r="C479" t="s">
        <v>899</v>
      </c>
      <c r="D479" t="s">
        <v>63</v>
      </c>
      <c r="E479">
        <v>85016</v>
      </c>
      <c r="F479" t="s">
        <v>2003</v>
      </c>
      <c r="G479" t="s">
        <v>1723</v>
      </c>
      <c r="H479">
        <v>6677040000</v>
      </c>
      <c r="I479" t="s">
        <v>36</v>
      </c>
      <c r="J479" t="s">
        <v>37</v>
      </c>
      <c r="K479" t="s">
        <v>37</v>
      </c>
      <c r="L479" t="s">
        <v>38</v>
      </c>
      <c r="M479" t="s">
        <v>37</v>
      </c>
      <c r="N479" t="s">
        <v>37</v>
      </c>
      <c r="O479" t="s">
        <v>38</v>
      </c>
      <c r="P479" t="s">
        <v>39</v>
      </c>
      <c r="Q479" s="55">
        <v>45966</v>
      </c>
      <c r="R479" t="s">
        <v>5432</v>
      </c>
      <c r="S479" t="s">
        <v>5432</v>
      </c>
      <c r="T479" t="s">
        <v>5432</v>
      </c>
      <c r="U479" t="s">
        <v>5432</v>
      </c>
      <c r="W479" s="55"/>
    </row>
    <row r="480" spans="1:23">
      <c r="A480" s="55">
        <v>45905</v>
      </c>
      <c r="B480" t="s">
        <v>2005</v>
      </c>
      <c r="C480" t="s">
        <v>2006</v>
      </c>
      <c r="D480" t="s">
        <v>202</v>
      </c>
      <c r="E480">
        <v>85383</v>
      </c>
      <c r="F480" t="s">
        <v>31</v>
      </c>
      <c r="G480" t="s">
        <v>1723</v>
      </c>
      <c r="H480">
        <v>1876163520</v>
      </c>
      <c r="I480" t="s">
        <v>196</v>
      </c>
      <c r="J480" t="s">
        <v>37</v>
      </c>
      <c r="K480" t="s">
        <v>37</v>
      </c>
      <c r="L480" t="s">
        <v>2008</v>
      </c>
      <c r="M480" t="s">
        <v>37</v>
      </c>
      <c r="N480" t="s">
        <v>37</v>
      </c>
      <c r="O480" t="s">
        <v>38</v>
      </c>
      <c r="P480">
        <v>45936</v>
      </c>
      <c r="Q480" s="55">
        <v>45966</v>
      </c>
      <c r="R480" t="s">
        <v>2009</v>
      </c>
      <c r="S480" t="s">
        <v>5432</v>
      </c>
      <c r="T480" t="s">
        <v>5432</v>
      </c>
      <c r="U480" t="s">
        <v>5432</v>
      </c>
      <c r="W480" s="55"/>
    </row>
    <row r="481" spans="1:23">
      <c r="A481" s="55">
        <v>45905</v>
      </c>
      <c r="B481" t="s">
        <v>2010</v>
      </c>
      <c r="C481" t="s">
        <v>324</v>
      </c>
      <c r="D481" t="s">
        <v>63</v>
      </c>
      <c r="E481">
        <v>85003</v>
      </c>
      <c r="F481" t="s">
        <v>2011</v>
      </c>
      <c r="G481" t="s">
        <v>1723</v>
      </c>
      <c r="H481">
        <v>901196121</v>
      </c>
      <c r="I481" t="s">
        <v>196</v>
      </c>
      <c r="J481" t="s">
        <v>38</v>
      </c>
      <c r="K481" t="s">
        <v>37</v>
      </c>
      <c r="L481" t="s">
        <v>2013</v>
      </c>
      <c r="M481" t="s">
        <v>37</v>
      </c>
      <c r="N481" t="s">
        <v>37</v>
      </c>
      <c r="O481" t="s">
        <v>38</v>
      </c>
      <c r="P481" t="s">
        <v>39</v>
      </c>
      <c r="Q481" s="55">
        <v>45966</v>
      </c>
      <c r="R481" t="s">
        <v>5432</v>
      </c>
      <c r="S481" t="s">
        <v>5432</v>
      </c>
      <c r="T481" t="s">
        <v>5432</v>
      </c>
      <c r="U481" t="s">
        <v>5432</v>
      </c>
      <c r="W481" s="55"/>
    </row>
    <row r="482" spans="1:23">
      <c r="A482" s="55">
        <v>45905</v>
      </c>
      <c r="B482" t="s">
        <v>2014</v>
      </c>
      <c r="C482" t="s">
        <v>747</v>
      </c>
      <c r="D482" t="s">
        <v>202</v>
      </c>
      <c r="E482">
        <v>85383</v>
      </c>
      <c r="F482" t="s">
        <v>310</v>
      </c>
      <c r="G482" t="s">
        <v>1723</v>
      </c>
      <c r="H482">
        <v>1714040979</v>
      </c>
      <c r="I482" t="s">
        <v>46</v>
      </c>
      <c r="J482" t="s">
        <v>37</v>
      </c>
      <c r="K482" t="s">
        <v>37</v>
      </c>
      <c r="L482" t="s">
        <v>38</v>
      </c>
      <c r="M482" t="s">
        <v>37</v>
      </c>
      <c r="N482" t="s">
        <v>37</v>
      </c>
      <c r="O482" t="s">
        <v>38</v>
      </c>
      <c r="P482" t="s">
        <v>39</v>
      </c>
      <c r="Q482" s="55">
        <v>45966</v>
      </c>
      <c r="R482" t="s">
        <v>5432</v>
      </c>
      <c r="S482" t="s">
        <v>5432</v>
      </c>
      <c r="T482" t="s">
        <v>5432</v>
      </c>
      <c r="U482" t="s">
        <v>5432</v>
      </c>
      <c r="W482" s="55"/>
    </row>
    <row r="483" spans="1:23">
      <c r="A483" s="55">
        <v>45905</v>
      </c>
      <c r="B483" t="s">
        <v>2016</v>
      </c>
      <c r="C483" t="s">
        <v>911</v>
      </c>
      <c r="D483" t="s">
        <v>125</v>
      </c>
      <c r="E483">
        <v>85255</v>
      </c>
      <c r="F483" t="s">
        <v>31</v>
      </c>
      <c r="G483" t="s">
        <v>1723</v>
      </c>
      <c r="H483">
        <v>3106790000</v>
      </c>
      <c r="I483" t="s">
        <v>250</v>
      </c>
      <c r="J483" t="s">
        <v>37</v>
      </c>
      <c r="K483" t="s">
        <v>37</v>
      </c>
      <c r="L483" t="s">
        <v>38</v>
      </c>
      <c r="M483" t="s">
        <v>37</v>
      </c>
      <c r="N483" t="s">
        <v>37</v>
      </c>
      <c r="O483" t="s">
        <v>38</v>
      </c>
      <c r="P483" t="s">
        <v>39</v>
      </c>
      <c r="Q483" s="55">
        <v>45966</v>
      </c>
      <c r="R483" t="s">
        <v>5432</v>
      </c>
      <c r="S483" t="s">
        <v>5432</v>
      </c>
      <c r="T483" t="s">
        <v>5432</v>
      </c>
      <c r="U483" t="s">
        <v>5432</v>
      </c>
      <c r="W483" s="55"/>
    </row>
    <row r="484" spans="1:23">
      <c r="A484" s="55">
        <v>45905</v>
      </c>
      <c r="B484" t="s">
        <v>2018</v>
      </c>
      <c r="C484" t="s">
        <v>2019</v>
      </c>
      <c r="D484" t="s">
        <v>635</v>
      </c>
      <c r="E484">
        <v>85288</v>
      </c>
      <c r="F484" t="s">
        <v>310</v>
      </c>
      <c r="G484" t="s">
        <v>1723</v>
      </c>
      <c r="H484">
        <v>363441000</v>
      </c>
      <c r="I484" t="s">
        <v>196</v>
      </c>
      <c r="J484" t="s">
        <v>37</v>
      </c>
      <c r="K484" t="s">
        <v>37</v>
      </c>
      <c r="L484" t="s">
        <v>2021</v>
      </c>
      <c r="M484" t="s">
        <v>37</v>
      </c>
      <c r="N484" t="s">
        <v>37</v>
      </c>
      <c r="O484" t="s">
        <v>38</v>
      </c>
      <c r="P484">
        <v>45936</v>
      </c>
      <c r="Q484" s="55">
        <v>45966</v>
      </c>
      <c r="R484" t="s">
        <v>2022</v>
      </c>
      <c r="S484" t="s">
        <v>5432</v>
      </c>
      <c r="T484" t="s">
        <v>5432</v>
      </c>
      <c r="U484" t="s">
        <v>5432</v>
      </c>
      <c r="W484" s="55"/>
    </row>
    <row r="485" spans="1:23">
      <c r="A485" s="55">
        <v>45905</v>
      </c>
      <c r="B485" t="s">
        <v>2023</v>
      </c>
      <c r="C485" t="s">
        <v>333</v>
      </c>
      <c r="D485" t="s">
        <v>63</v>
      </c>
      <c r="E485">
        <v>85024</v>
      </c>
      <c r="F485" t="s">
        <v>310</v>
      </c>
      <c r="G485" t="s">
        <v>1723</v>
      </c>
      <c r="H485">
        <v>8098420000</v>
      </c>
      <c r="I485" t="s">
        <v>196</v>
      </c>
      <c r="J485" t="s">
        <v>37</v>
      </c>
      <c r="K485" t="s">
        <v>37</v>
      </c>
      <c r="L485" t="s">
        <v>38</v>
      </c>
      <c r="M485" t="s">
        <v>37</v>
      </c>
      <c r="N485" t="s">
        <v>37</v>
      </c>
      <c r="O485" t="s">
        <v>38</v>
      </c>
      <c r="P485" t="s">
        <v>39</v>
      </c>
      <c r="Q485" s="55">
        <v>45966</v>
      </c>
      <c r="R485" t="s">
        <v>5432</v>
      </c>
      <c r="S485" t="s">
        <v>5432</v>
      </c>
      <c r="T485" t="s">
        <v>5432</v>
      </c>
      <c r="U485" t="s">
        <v>5432</v>
      </c>
      <c r="W485" s="55"/>
    </row>
    <row r="486" spans="1:23">
      <c r="A486" s="55">
        <v>45905</v>
      </c>
      <c r="B486" t="s">
        <v>2025</v>
      </c>
      <c r="C486" t="s">
        <v>225</v>
      </c>
      <c r="D486" t="s">
        <v>428</v>
      </c>
      <c r="E486">
        <v>85335</v>
      </c>
      <c r="F486" t="s">
        <v>2026</v>
      </c>
      <c r="G486" t="s">
        <v>1723</v>
      </c>
      <c r="H486">
        <v>225558656</v>
      </c>
      <c r="I486" t="s">
        <v>46</v>
      </c>
      <c r="J486" t="s">
        <v>37</v>
      </c>
      <c r="K486" t="s">
        <v>37</v>
      </c>
      <c r="L486" t="s">
        <v>38</v>
      </c>
      <c r="M486" t="s">
        <v>37</v>
      </c>
      <c r="N486" t="s">
        <v>37</v>
      </c>
      <c r="O486" t="s">
        <v>38</v>
      </c>
      <c r="P486" t="s">
        <v>39</v>
      </c>
      <c r="Q486" s="55">
        <v>45966</v>
      </c>
      <c r="R486" t="s">
        <v>5432</v>
      </c>
      <c r="S486" t="s">
        <v>5432</v>
      </c>
      <c r="T486" t="s">
        <v>5432</v>
      </c>
      <c r="U486" t="s">
        <v>5432</v>
      </c>
      <c r="W486" s="55"/>
    </row>
    <row r="487" spans="1:23">
      <c r="A487" s="55">
        <v>45905</v>
      </c>
      <c r="B487" t="s">
        <v>2028</v>
      </c>
      <c r="C487" t="s">
        <v>705</v>
      </c>
      <c r="D487" t="s">
        <v>169</v>
      </c>
      <c r="E487">
        <v>85338</v>
      </c>
      <c r="F487" t="s">
        <v>31</v>
      </c>
      <c r="G487" t="s">
        <v>1723</v>
      </c>
      <c r="H487">
        <v>3472796278</v>
      </c>
      <c r="I487" t="s">
        <v>36</v>
      </c>
      <c r="J487" t="s">
        <v>38</v>
      </c>
      <c r="K487" t="s">
        <v>37</v>
      </c>
      <c r="L487" t="s">
        <v>38</v>
      </c>
      <c r="M487" t="s">
        <v>37</v>
      </c>
      <c r="N487" t="s">
        <v>37</v>
      </c>
      <c r="O487" t="s">
        <v>38</v>
      </c>
      <c r="P487" t="s">
        <v>39</v>
      </c>
      <c r="Q487" s="55">
        <v>45966</v>
      </c>
      <c r="R487" t="s">
        <v>5432</v>
      </c>
      <c r="S487" t="s">
        <v>5432</v>
      </c>
      <c r="T487" t="s">
        <v>5432</v>
      </c>
      <c r="U487" t="s">
        <v>5432</v>
      </c>
      <c r="W487" s="55"/>
    </row>
    <row r="488" spans="1:23">
      <c r="A488" s="55">
        <v>45905</v>
      </c>
      <c r="B488" t="s">
        <v>2030</v>
      </c>
      <c r="C488" t="s">
        <v>548</v>
      </c>
      <c r="D488" t="s">
        <v>202</v>
      </c>
      <c r="E488">
        <v>85383</v>
      </c>
      <c r="F488" t="s">
        <v>310</v>
      </c>
      <c r="G488" t="s">
        <v>1723</v>
      </c>
      <c r="H488">
        <v>9986232210</v>
      </c>
      <c r="I488" t="s">
        <v>196</v>
      </c>
      <c r="J488" t="s">
        <v>37</v>
      </c>
      <c r="K488" t="s">
        <v>37</v>
      </c>
      <c r="L488" t="s">
        <v>2032</v>
      </c>
      <c r="M488" t="s">
        <v>37</v>
      </c>
      <c r="N488" t="s">
        <v>37</v>
      </c>
      <c r="O488" t="s">
        <v>38</v>
      </c>
      <c r="P488">
        <v>45936</v>
      </c>
      <c r="Q488" s="55">
        <v>45966</v>
      </c>
      <c r="R488" t="s">
        <v>1732</v>
      </c>
      <c r="S488" t="s">
        <v>5432</v>
      </c>
      <c r="T488" t="s">
        <v>5432</v>
      </c>
      <c r="U488" t="s">
        <v>5432</v>
      </c>
      <c r="W488" s="55"/>
    </row>
    <row r="489" spans="1:23">
      <c r="A489" s="55">
        <v>45905</v>
      </c>
      <c r="B489" t="s">
        <v>1202</v>
      </c>
      <c r="C489" t="s">
        <v>1711</v>
      </c>
      <c r="D489" t="s">
        <v>112</v>
      </c>
      <c r="E489">
        <v>85379</v>
      </c>
      <c r="F489" t="s">
        <v>310</v>
      </c>
      <c r="G489" t="s">
        <v>1723</v>
      </c>
      <c r="H489">
        <v>3240422325</v>
      </c>
      <c r="I489" t="s">
        <v>250</v>
      </c>
      <c r="J489" t="s">
        <v>37</v>
      </c>
      <c r="K489" t="s">
        <v>37</v>
      </c>
      <c r="L489" t="s">
        <v>38</v>
      </c>
      <c r="M489" t="s">
        <v>37</v>
      </c>
      <c r="N489" t="s">
        <v>37</v>
      </c>
      <c r="O489" t="s">
        <v>38</v>
      </c>
      <c r="P489" t="s">
        <v>39</v>
      </c>
      <c r="Q489" s="55">
        <v>45966</v>
      </c>
      <c r="R489" t="s">
        <v>5432</v>
      </c>
      <c r="S489" t="s">
        <v>5432</v>
      </c>
      <c r="T489" t="s">
        <v>5432</v>
      </c>
      <c r="U489" t="s">
        <v>5432</v>
      </c>
      <c r="W489" s="55"/>
    </row>
    <row r="490" spans="1:23">
      <c r="A490" s="55">
        <v>45905</v>
      </c>
      <c r="B490" t="s">
        <v>2030</v>
      </c>
      <c r="C490" t="s">
        <v>1894</v>
      </c>
      <c r="D490" t="s">
        <v>202</v>
      </c>
      <c r="E490">
        <v>85383</v>
      </c>
      <c r="F490" t="s">
        <v>310</v>
      </c>
      <c r="G490" t="s">
        <v>1723</v>
      </c>
      <c r="H490">
        <v>9986232210</v>
      </c>
      <c r="I490" t="s">
        <v>196</v>
      </c>
      <c r="J490" t="s">
        <v>37</v>
      </c>
      <c r="K490" t="s">
        <v>37</v>
      </c>
      <c r="L490" t="s">
        <v>2032</v>
      </c>
      <c r="M490" t="s">
        <v>37</v>
      </c>
      <c r="N490" t="s">
        <v>37</v>
      </c>
      <c r="O490" t="s">
        <v>38</v>
      </c>
      <c r="P490">
        <v>45936</v>
      </c>
      <c r="Q490" s="55">
        <v>45966</v>
      </c>
      <c r="R490" t="s">
        <v>1732</v>
      </c>
      <c r="S490" t="s">
        <v>5432</v>
      </c>
      <c r="T490" t="s">
        <v>5432</v>
      </c>
      <c r="U490" t="s">
        <v>5432</v>
      </c>
      <c r="W490" s="55"/>
    </row>
    <row r="491" spans="1:23">
      <c r="A491" s="55">
        <v>45905</v>
      </c>
      <c r="B491" t="s">
        <v>2036</v>
      </c>
      <c r="C491" t="s">
        <v>680</v>
      </c>
      <c r="D491" t="s">
        <v>63</v>
      </c>
      <c r="E491">
        <v>85020</v>
      </c>
      <c r="F491" t="s">
        <v>31</v>
      </c>
      <c r="G491" t="s">
        <v>1723</v>
      </c>
      <c r="H491">
        <v>7036097429</v>
      </c>
      <c r="I491" t="s">
        <v>36</v>
      </c>
      <c r="J491" t="s">
        <v>37</v>
      </c>
      <c r="K491" t="s">
        <v>37</v>
      </c>
      <c r="L491" t="s">
        <v>2037</v>
      </c>
      <c r="M491" t="s">
        <v>37</v>
      </c>
      <c r="N491" t="s">
        <v>37</v>
      </c>
      <c r="O491" t="s">
        <v>38</v>
      </c>
      <c r="P491">
        <v>45936</v>
      </c>
      <c r="Q491" s="55">
        <v>45966</v>
      </c>
      <c r="R491" t="s">
        <v>2038</v>
      </c>
      <c r="S491" t="s">
        <v>5432</v>
      </c>
      <c r="T491" t="s">
        <v>5432</v>
      </c>
      <c r="U491" t="s">
        <v>5432</v>
      </c>
      <c r="W491" s="55"/>
    </row>
    <row r="492" spans="1:23">
      <c r="A492" s="55">
        <v>45905</v>
      </c>
      <c r="B492" t="s">
        <v>2041</v>
      </c>
      <c r="C492" t="s">
        <v>821</v>
      </c>
      <c r="D492" t="s">
        <v>125</v>
      </c>
      <c r="E492">
        <v>85258</v>
      </c>
      <c r="F492" t="s">
        <v>31</v>
      </c>
      <c r="G492" t="s">
        <v>1723</v>
      </c>
      <c r="H492">
        <v>8493970000</v>
      </c>
      <c r="I492" t="s">
        <v>541</v>
      </c>
      <c r="J492" t="s">
        <v>37</v>
      </c>
      <c r="K492" t="s">
        <v>37</v>
      </c>
      <c r="L492" t="s">
        <v>389</v>
      </c>
      <c r="M492" t="s">
        <v>37</v>
      </c>
      <c r="N492" t="s">
        <v>37</v>
      </c>
      <c r="O492" t="s">
        <v>38</v>
      </c>
      <c r="P492" t="s">
        <v>39</v>
      </c>
      <c r="Q492" s="55">
        <v>45966</v>
      </c>
      <c r="R492" t="s">
        <v>5432</v>
      </c>
      <c r="S492" t="s">
        <v>5432</v>
      </c>
      <c r="T492" t="s">
        <v>5432</v>
      </c>
      <c r="U492" t="s">
        <v>5432</v>
      </c>
      <c r="W492" s="55"/>
    </row>
    <row r="493" spans="1:23">
      <c r="A493" s="55">
        <v>45905</v>
      </c>
      <c r="B493" t="s">
        <v>2043</v>
      </c>
      <c r="C493" t="s">
        <v>328</v>
      </c>
      <c r="D493" t="s">
        <v>112</v>
      </c>
      <c r="E493">
        <v>85388</v>
      </c>
      <c r="F493" t="s">
        <v>310</v>
      </c>
      <c r="G493" t="s">
        <v>1723</v>
      </c>
      <c r="H493">
        <v>7248154783</v>
      </c>
      <c r="I493" t="s">
        <v>36</v>
      </c>
      <c r="J493" t="s">
        <v>37</v>
      </c>
      <c r="K493" t="s">
        <v>37</v>
      </c>
      <c r="L493" t="s">
        <v>38</v>
      </c>
      <c r="M493" t="s">
        <v>37</v>
      </c>
      <c r="N493" t="s">
        <v>37</v>
      </c>
      <c r="O493" t="s">
        <v>38</v>
      </c>
      <c r="P493" t="s">
        <v>39</v>
      </c>
      <c r="Q493" s="55">
        <v>45966</v>
      </c>
      <c r="R493" t="s">
        <v>5432</v>
      </c>
      <c r="S493" t="s">
        <v>5432</v>
      </c>
      <c r="T493" t="s">
        <v>5432</v>
      </c>
      <c r="U493" t="s">
        <v>5432</v>
      </c>
      <c r="W493" s="55"/>
    </row>
    <row r="494" spans="1:23">
      <c r="A494" s="55">
        <v>45905</v>
      </c>
      <c r="B494" t="s">
        <v>2045</v>
      </c>
      <c r="C494" t="s">
        <v>2046</v>
      </c>
      <c r="D494" t="s">
        <v>63</v>
      </c>
      <c r="E494">
        <v>85014</v>
      </c>
      <c r="F494" t="s">
        <v>31</v>
      </c>
      <c r="G494" t="s">
        <v>1723</v>
      </c>
      <c r="H494">
        <v>4586872061</v>
      </c>
      <c r="I494" t="s">
        <v>36</v>
      </c>
      <c r="J494" t="s">
        <v>37</v>
      </c>
      <c r="K494" t="s">
        <v>37</v>
      </c>
      <c r="L494" t="s">
        <v>2048</v>
      </c>
      <c r="M494" t="s">
        <v>37</v>
      </c>
      <c r="N494" t="s">
        <v>37</v>
      </c>
      <c r="O494" t="s">
        <v>38</v>
      </c>
      <c r="P494">
        <v>45936</v>
      </c>
      <c r="Q494" s="55">
        <v>45966</v>
      </c>
      <c r="R494" t="s">
        <v>2022</v>
      </c>
      <c r="S494" t="s">
        <v>5432</v>
      </c>
      <c r="T494" t="s">
        <v>5432</v>
      </c>
      <c r="U494" t="s">
        <v>5432</v>
      </c>
      <c r="W494" s="55"/>
    </row>
    <row r="495" spans="1:23">
      <c r="A495" s="55">
        <v>45905</v>
      </c>
      <c r="B495" t="s">
        <v>2049</v>
      </c>
      <c r="C495" t="s">
        <v>2050</v>
      </c>
      <c r="D495" t="s">
        <v>2051</v>
      </c>
      <c r="E495">
        <v>86333</v>
      </c>
      <c r="F495" t="s">
        <v>31</v>
      </c>
      <c r="G495" t="s">
        <v>1723</v>
      </c>
      <c r="H495">
        <v>1975660000</v>
      </c>
      <c r="I495" t="s">
        <v>36</v>
      </c>
      <c r="J495" t="s">
        <v>37</v>
      </c>
      <c r="K495" t="s">
        <v>37</v>
      </c>
      <c r="L495" t="s">
        <v>38</v>
      </c>
      <c r="M495" t="s">
        <v>37</v>
      </c>
      <c r="N495" t="s">
        <v>37</v>
      </c>
      <c r="O495" t="s">
        <v>38</v>
      </c>
      <c r="P495" t="s">
        <v>39</v>
      </c>
      <c r="Q495" s="55">
        <v>45966</v>
      </c>
      <c r="R495" t="s">
        <v>5432</v>
      </c>
      <c r="S495" t="s">
        <v>5432</v>
      </c>
      <c r="T495" t="s">
        <v>5432</v>
      </c>
      <c r="U495" t="s">
        <v>724</v>
      </c>
      <c r="W495" s="55"/>
    </row>
    <row r="496" spans="1:23">
      <c r="A496" s="55">
        <v>45905</v>
      </c>
      <c r="B496" t="s">
        <v>2053</v>
      </c>
      <c r="C496" t="s">
        <v>117</v>
      </c>
      <c r="D496" t="s">
        <v>539</v>
      </c>
      <c r="E496">
        <v>85122</v>
      </c>
      <c r="F496" t="s">
        <v>2054</v>
      </c>
      <c r="G496" t="s">
        <v>1723</v>
      </c>
      <c r="H496">
        <v>5137610000</v>
      </c>
      <c r="I496" t="s">
        <v>196</v>
      </c>
      <c r="J496" t="s">
        <v>38</v>
      </c>
      <c r="K496" t="s">
        <v>37</v>
      </c>
      <c r="L496" t="s">
        <v>2056</v>
      </c>
      <c r="M496" t="s">
        <v>37</v>
      </c>
      <c r="N496" t="s">
        <v>37</v>
      </c>
      <c r="O496" t="s">
        <v>38</v>
      </c>
      <c r="P496" t="s">
        <v>39</v>
      </c>
      <c r="Q496" s="55">
        <v>45966</v>
      </c>
      <c r="R496" t="s">
        <v>5432</v>
      </c>
      <c r="S496" t="s">
        <v>5432</v>
      </c>
      <c r="T496" t="s">
        <v>5432</v>
      </c>
      <c r="U496" t="s">
        <v>5432</v>
      </c>
      <c r="W496" s="55"/>
    </row>
    <row r="497" spans="1:23">
      <c r="A497" s="55">
        <v>45905</v>
      </c>
      <c r="B497" t="s">
        <v>2058</v>
      </c>
      <c r="C497" t="s">
        <v>2059</v>
      </c>
      <c r="D497" t="s">
        <v>63</v>
      </c>
      <c r="E497">
        <v>85032</v>
      </c>
      <c r="F497" t="s">
        <v>310</v>
      </c>
      <c r="G497" t="s">
        <v>1723</v>
      </c>
      <c r="H497">
        <v>2398680000</v>
      </c>
      <c r="I497" t="s">
        <v>541</v>
      </c>
      <c r="J497" t="s">
        <v>37</v>
      </c>
      <c r="K497" t="s">
        <v>37</v>
      </c>
      <c r="L497" t="s">
        <v>389</v>
      </c>
      <c r="M497" t="s">
        <v>37</v>
      </c>
      <c r="N497" t="s">
        <v>37</v>
      </c>
      <c r="O497" t="s">
        <v>38</v>
      </c>
      <c r="P497" t="s">
        <v>39</v>
      </c>
      <c r="Q497" s="55">
        <v>45966</v>
      </c>
      <c r="R497" t="s">
        <v>5432</v>
      </c>
      <c r="S497" t="s">
        <v>5432</v>
      </c>
      <c r="T497" t="s">
        <v>5432</v>
      </c>
      <c r="U497" t="s">
        <v>5432</v>
      </c>
      <c r="W497" s="55"/>
    </row>
    <row r="498" spans="1:23">
      <c r="A498" s="55">
        <v>45905</v>
      </c>
      <c r="B498" t="s">
        <v>2064</v>
      </c>
      <c r="C498" t="s">
        <v>2065</v>
      </c>
      <c r="D498" t="s">
        <v>63</v>
      </c>
      <c r="E498">
        <v>85007</v>
      </c>
      <c r="F498" t="s">
        <v>2066</v>
      </c>
      <c r="G498" t="s">
        <v>1723</v>
      </c>
      <c r="H498">
        <v>9093518390</v>
      </c>
      <c r="I498" t="s">
        <v>196</v>
      </c>
      <c r="J498" t="s">
        <v>37</v>
      </c>
      <c r="K498" t="s">
        <v>37</v>
      </c>
      <c r="L498" t="s">
        <v>2068</v>
      </c>
      <c r="M498" t="s">
        <v>37</v>
      </c>
      <c r="N498" t="s">
        <v>37</v>
      </c>
      <c r="O498" t="s">
        <v>38</v>
      </c>
      <c r="P498">
        <v>45936</v>
      </c>
      <c r="Q498" s="55">
        <v>45966</v>
      </c>
      <c r="R498" t="s">
        <v>2069</v>
      </c>
      <c r="S498" t="s">
        <v>5432</v>
      </c>
      <c r="T498" t="s">
        <v>5432</v>
      </c>
      <c r="U498" t="s">
        <v>5432</v>
      </c>
      <c r="W498" s="55"/>
    </row>
    <row r="499" spans="1:23">
      <c r="A499" s="55">
        <v>45905</v>
      </c>
      <c r="B499" t="s">
        <v>2071</v>
      </c>
      <c r="C499" t="s">
        <v>597</v>
      </c>
      <c r="D499" t="s">
        <v>169</v>
      </c>
      <c r="E499">
        <v>85395</v>
      </c>
      <c r="F499" t="s">
        <v>2072</v>
      </c>
      <c r="G499" t="s">
        <v>1723</v>
      </c>
      <c r="H499">
        <v>8365380635</v>
      </c>
      <c r="I499" t="s">
        <v>36</v>
      </c>
      <c r="J499" t="s">
        <v>37</v>
      </c>
      <c r="K499" t="s">
        <v>37</v>
      </c>
      <c r="L499" t="s">
        <v>38</v>
      </c>
      <c r="M499" t="s">
        <v>37</v>
      </c>
      <c r="N499" t="s">
        <v>37</v>
      </c>
      <c r="O499" t="s">
        <v>38</v>
      </c>
      <c r="P499" t="s">
        <v>39</v>
      </c>
      <c r="Q499" s="55">
        <v>45966</v>
      </c>
      <c r="R499" t="s">
        <v>5432</v>
      </c>
      <c r="S499" t="s">
        <v>5432</v>
      </c>
      <c r="T499" t="s">
        <v>5432</v>
      </c>
      <c r="U499" t="s">
        <v>5432</v>
      </c>
      <c r="W499" s="55"/>
    </row>
    <row r="500" spans="1:23">
      <c r="A500" s="55">
        <v>45905</v>
      </c>
      <c r="B500" t="s">
        <v>2074</v>
      </c>
      <c r="C500" t="s">
        <v>2075</v>
      </c>
      <c r="D500" t="s">
        <v>202</v>
      </c>
      <c r="E500">
        <v>85383</v>
      </c>
      <c r="F500" t="s">
        <v>310</v>
      </c>
      <c r="G500" t="s">
        <v>1723</v>
      </c>
      <c r="H500">
        <v>2557440000</v>
      </c>
      <c r="I500" t="s">
        <v>243</v>
      </c>
      <c r="J500" t="s">
        <v>37</v>
      </c>
      <c r="K500" t="s">
        <v>37</v>
      </c>
      <c r="L500" t="s">
        <v>389</v>
      </c>
      <c r="M500" t="s">
        <v>37</v>
      </c>
      <c r="N500" t="s">
        <v>37</v>
      </c>
      <c r="O500" t="s">
        <v>38</v>
      </c>
      <c r="P500" t="s">
        <v>39</v>
      </c>
      <c r="Q500" s="55">
        <v>45966</v>
      </c>
      <c r="R500" t="s">
        <v>5432</v>
      </c>
      <c r="S500" t="s">
        <v>5432</v>
      </c>
      <c r="T500" t="s">
        <v>5432</v>
      </c>
      <c r="U500" t="s">
        <v>5432</v>
      </c>
      <c r="W500" s="55"/>
    </row>
    <row r="501" spans="1:23">
      <c r="A501" s="55">
        <v>45905</v>
      </c>
      <c r="B501" t="s">
        <v>2077</v>
      </c>
      <c r="C501" t="s">
        <v>2078</v>
      </c>
      <c r="D501" t="s">
        <v>63</v>
      </c>
      <c r="E501">
        <v>85012</v>
      </c>
      <c r="F501" t="s">
        <v>2079</v>
      </c>
      <c r="G501" t="s">
        <v>1723</v>
      </c>
      <c r="H501">
        <v>6098358533</v>
      </c>
      <c r="I501" t="s">
        <v>73</v>
      </c>
      <c r="J501" t="s">
        <v>37</v>
      </c>
      <c r="K501" t="s">
        <v>37</v>
      </c>
      <c r="L501" t="s">
        <v>38</v>
      </c>
      <c r="M501" t="s">
        <v>37</v>
      </c>
      <c r="N501" t="s">
        <v>37</v>
      </c>
      <c r="O501" t="s">
        <v>38</v>
      </c>
      <c r="P501" t="s">
        <v>39</v>
      </c>
      <c r="Q501" s="55">
        <v>45966</v>
      </c>
      <c r="R501" t="s">
        <v>5432</v>
      </c>
      <c r="S501" t="s">
        <v>5432</v>
      </c>
      <c r="T501" t="s">
        <v>5432</v>
      </c>
      <c r="U501" t="s">
        <v>5432</v>
      </c>
      <c r="W501" s="55"/>
    </row>
    <row r="502" spans="1:23">
      <c r="A502" s="55">
        <v>45905</v>
      </c>
      <c r="B502" t="s">
        <v>2081</v>
      </c>
      <c r="C502" t="s">
        <v>835</v>
      </c>
      <c r="D502" t="s">
        <v>125</v>
      </c>
      <c r="E502">
        <v>85259</v>
      </c>
      <c r="F502" t="s">
        <v>31</v>
      </c>
      <c r="G502" t="s">
        <v>1723</v>
      </c>
      <c r="H502">
        <v>2160086156</v>
      </c>
      <c r="I502" t="s">
        <v>36</v>
      </c>
      <c r="J502" t="s">
        <v>37</v>
      </c>
      <c r="K502" t="s">
        <v>37</v>
      </c>
      <c r="L502" t="s">
        <v>38</v>
      </c>
      <c r="M502" t="s">
        <v>37</v>
      </c>
      <c r="N502" t="s">
        <v>37</v>
      </c>
      <c r="O502" t="s">
        <v>38</v>
      </c>
      <c r="P502" t="s">
        <v>39</v>
      </c>
      <c r="Q502" s="55">
        <v>45966</v>
      </c>
      <c r="R502" t="s">
        <v>2083</v>
      </c>
      <c r="S502" t="s">
        <v>5432</v>
      </c>
      <c r="T502" t="s">
        <v>5432</v>
      </c>
      <c r="U502" t="s">
        <v>5432</v>
      </c>
      <c r="W502" s="55"/>
    </row>
    <row r="503" spans="1:23">
      <c r="A503" s="55">
        <v>45905</v>
      </c>
      <c r="B503" t="s">
        <v>1134</v>
      </c>
      <c r="C503" t="s">
        <v>2084</v>
      </c>
      <c r="D503" t="s">
        <v>63</v>
      </c>
      <c r="E503">
        <v>85028</v>
      </c>
      <c r="F503" t="s">
        <v>31</v>
      </c>
      <c r="G503" t="s">
        <v>1723</v>
      </c>
      <c r="H503">
        <v>5161972296</v>
      </c>
      <c r="I503" t="s">
        <v>57</v>
      </c>
      <c r="J503" t="s">
        <v>37</v>
      </c>
      <c r="K503" t="s">
        <v>37</v>
      </c>
      <c r="L503" t="s">
        <v>2086</v>
      </c>
      <c r="M503" t="s">
        <v>37</v>
      </c>
      <c r="N503" t="s">
        <v>37</v>
      </c>
      <c r="O503" t="s">
        <v>38</v>
      </c>
      <c r="P503">
        <v>45936</v>
      </c>
      <c r="Q503" s="55">
        <v>45966</v>
      </c>
      <c r="R503" t="s">
        <v>2022</v>
      </c>
      <c r="S503" t="s">
        <v>5432</v>
      </c>
      <c r="T503" t="s">
        <v>5432</v>
      </c>
      <c r="U503" t="s">
        <v>5432</v>
      </c>
      <c r="W503" s="55"/>
    </row>
    <row r="504" spans="1:23">
      <c r="A504" s="55">
        <v>45905</v>
      </c>
      <c r="B504" t="s">
        <v>2089</v>
      </c>
      <c r="C504" t="s">
        <v>2090</v>
      </c>
      <c r="D504" t="s">
        <v>63</v>
      </c>
      <c r="E504">
        <v>85027</v>
      </c>
      <c r="F504" t="s">
        <v>310</v>
      </c>
      <c r="G504" t="s">
        <v>1723</v>
      </c>
      <c r="H504">
        <v>8133906758</v>
      </c>
      <c r="I504" t="s">
        <v>126</v>
      </c>
      <c r="J504" t="s">
        <v>37</v>
      </c>
      <c r="K504" t="s">
        <v>37</v>
      </c>
      <c r="L504" t="s">
        <v>38</v>
      </c>
      <c r="M504" t="s">
        <v>37</v>
      </c>
      <c r="N504" t="s">
        <v>37</v>
      </c>
      <c r="O504" t="s">
        <v>38</v>
      </c>
      <c r="P504" t="s">
        <v>39</v>
      </c>
      <c r="Q504" s="55">
        <v>45966</v>
      </c>
      <c r="R504" t="s">
        <v>5432</v>
      </c>
      <c r="S504" t="s">
        <v>5432</v>
      </c>
      <c r="T504" t="s">
        <v>5432</v>
      </c>
      <c r="U504" t="s">
        <v>5432</v>
      </c>
      <c r="W504" s="55"/>
    </row>
    <row r="505" spans="1:23">
      <c r="A505" s="55">
        <v>45905</v>
      </c>
      <c r="B505" t="s">
        <v>316</v>
      </c>
      <c r="C505" t="s">
        <v>317</v>
      </c>
      <c r="D505" t="s">
        <v>174</v>
      </c>
      <c r="E505">
        <v>85326</v>
      </c>
      <c r="F505" t="s">
        <v>1957</v>
      </c>
      <c r="G505" t="s">
        <v>1723</v>
      </c>
      <c r="H505">
        <v>6062541000</v>
      </c>
      <c r="I505" t="s">
        <v>36</v>
      </c>
      <c r="J505" t="s">
        <v>37</v>
      </c>
      <c r="K505" t="s">
        <v>37</v>
      </c>
      <c r="L505" t="s">
        <v>38</v>
      </c>
      <c r="M505" t="s">
        <v>37</v>
      </c>
      <c r="N505" t="s">
        <v>37</v>
      </c>
      <c r="O505" t="s">
        <v>38</v>
      </c>
      <c r="P505" t="s">
        <v>39</v>
      </c>
      <c r="Q505" s="55">
        <v>45966</v>
      </c>
      <c r="R505" t="s">
        <v>5432</v>
      </c>
      <c r="S505" t="s">
        <v>5432</v>
      </c>
      <c r="T505" t="s">
        <v>5432</v>
      </c>
      <c r="U505" t="s">
        <v>5432</v>
      </c>
      <c r="W505" s="55"/>
    </row>
    <row r="506" spans="1:23">
      <c r="A506" s="55">
        <v>45905</v>
      </c>
      <c r="B506" t="s">
        <v>2093</v>
      </c>
      <c r="C506" t="s">
        <v>550</v>
      </c>
      <c r="D506" t="s">
        <v>63</v>
      </c>
      <c r="E506">
        <v>85029</v>
      </c>
      <c r="F506" t="s">
        <v>310</v>
      </c>
      <c r="G506" t="s">
        <v>1723</v>
      </c>
      <c r="H506">
        <v>4386253597</v>
      </c>
      <c r="I506" t="s">
        <v>196</v>
      </c>
      <c r="J506" t="s">
        <v>37</v>
      </c>
      <c r="K506" t="s">
        <v>37</v>
      </c>
      <c r="L506" t="s">
        <v>38</v>
      </c>
      <c r="M506" t="s">
        <v>37</v>
      </c>
      <c r="N506" t="s">
        <v>37</v>
      </c>
      <c r="O506" t="s">
        <v>38</v>
      </c>
      <c r="P506" t="s">
        <v>39</v>
      </c>
      <c r="Q506" s="55">
        <v>45966</v>
      </c>
      <c r="R506" t="s">
        <v>2095</v>
      </c>
      <c r="S506" t="s">
        <v>5432</v>
      </c>
      <c r="T506" t="s">
        <v>5432</v>
      </c>
      <c r="U506" t="s">
        <v>5432</v>
      </c>
      <c r="W506" s="55"/>
    </row>
    <row r="507" spans="1:23">
      <c r="A507" s="55">
        <v>45905</v>
      </c>
      <c r="B507" t="s">
        <v>2096</v>
      </c>
      <c r="C507" t="s">
        <v>2097</v>
      </c>
      <c r="D507" t="s">
        <v>125</v>
      </c>
      <c r="E507">
        <v>85251</v>
      </c>
      <c r="F507" t="s">
        <v>2098</v>
      </c>
      <c r="G507" t="s">
        <v>1723</v>
      </c>
      <c r="H507">
        <v>6017698985</v>
      </c>
      <c r="I507" t="s">
        <v>126</v>
      </c>
      <c r="J507" t="s">
        <v>37</v>
      </c>
      <c r="K507" t="s">
        <v>37</v>
      </c>
      <c r="L507" t="s">
        <v>2100</v>
      </c>
      <c r="M507" t="s">
        <v>37</v>
      </c>
      <c r="N507" t="s">
        <v>37</v>
      </c>
      <c r="O507" t="s">
        <v>38</v>
      </c>
      <c r="P507" t="s">
        <v>39</v>
      </c>
      <c r="Q507" s="55">
        <v>45966</v>
      </c>
      <c r="R507" t="s">
        <v>5432</v>
      </c>
      <c r="S507" t="s">
        <v>5432</v>
      </c>
      <c r="T507" t="s">
        <v>5432</v>
      </c>
      <c r="U507" t="s">
        <v>5432</v>
      </c>
      <c r="W507" s="55"/>
    </row>
    <row r="508" spans="1:23">
      <c r="A508" s="55">
        <v>45905</v>
      </c>
      <c r="B508" t="s">
        <v>323</v>
      </c>
      <c r="C508" t="s">
        <v>705</v>
      </c>
      <c r="D508" t="s">
        <v>63</v>
      </c>
      <c r="E508">
        <v>85085</v>
      </c>
      <c r="F508" t="s">
        <v>2101</v>
      </c>
      <c r="G508" t="s">
        <v>1723</v>
      </c>
      <c r="H508">
        <v>8168993129</v>
      </c>
      <c r="I508" t="s">
        <v>36</v>
      </c>
      <c r="J508" t="s">
        <v>37</v>
      </c>
      <c r="K508" t="s">
        <v>37</v>
      </c>
      <c r="L508" t="s">
        <v>38</v>
      </c>
      <c r="M508" t="s">
        <v>37</v>
      </c>
      <c r="N508" t="s">
        <v>37</v>
      </c>
      <c r="O508" t="s">
        <v>38</v>
      </c>
      <c r="P508" t="s">
        <v>39</v>
      </c>
      <c r="Q508" s="55">
        <v>45966</v>
      </c>
      <c r="R508" t="s">
        <v>5432</v>
      </c>
      <c r="S508" t="s">
        <v>5432</v>
      </c>
      <c r="T508" t="s">
        <v>5432</v>
      </c>
      <c r="U508" t="s">
        <v>5432</v>
      </c>
      <c r="W508" s="55"/>
    </row>
    <row r="509" spans="1:23">
      <c r="A509" s="55">
        <v>45905</v>
      </c>
      <c r="B509" t="s">
        <v>2103</v>
      </c>
      <c r="C509" t="s">
        <v>2104</v>
      </c>
      <c r="D509" t="s">
        <v>2105</v>
      </c>
      <c r="E509">
        <v>85128</v>
      </c>
      <c r="F509" t="s">
        <v>2106</v>
      </c>
      <c r="G509" t="s">
        <v>1723</v>
      </c>
      <c r="H509">
        <v>8830066687</v>
      </c>
      <c r="I509" t="s">
        <v>46</v>
      </c>
      <c r="J509" t="s">
        <v>37</v>
      </c>
      <c r="K509" t="s">
        <v>37</v>
      </c>
      <c r="L509" t="s">
        <v>38</v>
      </c>
      <c r="M509" t="s">
        <v>37</v>
      </c>
      <c r="N509" t="s">
        <v>37</v>
      </c>
      <c r="O509" t="s">
        <v>38</v>
      </c>
      <c r="P509" t="s">
        <v>39</v>
      </c>
      <c r="Q509" s="55">
        <v>45966</v>
      </c>
      <c r="R509" t="s">
        <v>5432</v>
      </c>
      <c r="S509" t="s">
        <v>5432</v>
      </c>
      <c r="T509" t="s">
        <v>5432</v>
      </c>
      <c r="U509" t="s">
        <v>5432</v>
      </c>
      <c r="W509" s="55"/>
    </row>
    <row r="510" spans="1:23">
      <c r="A510" s="55">
        <v>45905</v>
      </c>
      <c r="B510" t="s">
        <v>2108</v>
      </c>
      <c r="C510" t="s">
        <v>747</v>
      </c>
      <c r="D510" t="s">
        <v>2109</v>
      </c>
      <c r="E510">
        <v>86327</v>
      </c>
      <c r="F510" t="s">
        <v>31</v>
      </c>
      <c r="G510" t="s">
        <v>1723</v>
      </c>
      <c r="H510">
        <v>5377231000</v>
      </c>
      <c r="I510" t="s">
        <v>126</v>
      </c>
      <c r="J510" t="s">
        <v>37</v>
      </c>
      <c r="K510" t="s">
        <v>37</v>
      </c>
      <c r="L510" t="s">
        <v>38</v>
      </c>
      <c r="M510" t="s">
        <v>37</v>
      </c>
      <c r="N510" t="s">
        <v>37</v>
      </c>
      <c r="O510" t="s">
        <v>38</v>
      </c>
      <c r="P510" t="s">
        <v>39</v>
      </c>
      <c r="Q510" s="55">
        <v>45966</v>
      </c>
      <c r="R510" t="s">
        <v>5432</v>
      </c>
      <c r="S510" t="s">
        <v>5432</v>
      </c>
      <c r="T510" t="s">
        <v>5432</v>
      </c>
      <c r="U510" t="s">
        <v>5432</v>
      </c>
      <c r="W510" s="55"/>
    </row>
    <row r="511" spans="1:23">
      <c r="A511" s="55">
        <v>45905</v>
      </c>
      <c r="B511" t="s">
        <v>1952</v>
      </c>
      <c r="C511" t="s">
        <v>780</v>
      </c>
      <c r="D511" t="s">
        <v>112</v>
      </c>
      <c r="E511">
        <v>85388</v>
      </c>
      <c r="F511" t="s">
        <v>2111</v>
      </c>
      <c r="G511" t="s">
        <v>1723</v>
      </c>
      <c r="H511">
        <v>6228956660</v>
      </c>
      <c r="I511" t="s">
        <v>196</v>
      </c>
      <c r="J511" t="s">
        <v>37</v>
      </c>
      <c r="K511" t="s">
        <v>37</v>
      </c>
      <c r="L511" t="s">
        <v>2113</v>
      </c>
      <c r="M511" t="s">
        <v>37</v>
      </c>
      <c r="N511" t="s">
        <v>37</v>
      </c>
      <c r="O511" t="s">
        <v>38</v>
      </c>
      <c r="P511">
        <v>45936</v>
      </c>
      <c r="Q511" s="55">
        <v>45966</v>
      </c>
      <c r="R511" t="s">
        <v>2114</v>
      </c>
      <c r="S511" t="s">
        <v>5432</v>
      </c>
      <c r="T511" t="s">
        <v>5432</v>
      </c>
      <c r="U511" t="s">
        <v>5432</v>
      </c>
      <c r="W511" s="55"/>
    </row>
    <row r="512" spans="1:23">
      <c r="A512" s="55">
        <v>45905</v>
      </c>
      <c r="B512" t="s">
        <v>2118</v>
      </c>
      <c r="C512" t="s">
        <v>2019</v>
      </c>
      <c r="D512" t="s">
        <v>539</v>
      </c>
      <c r="E512">
        <v>85122</v>
      </c>
      <c r="F512" t="s">
        <v>31</v>
      </c>
      <c r="G512" t="s">
        <v>1723</v>
      </c>
      <c r="H512">
        <v>980512306</v>
      </c>
      <c r="I512" t="s">
        <v>73</v>
      </c>
      <c r="J512" t="s">
        <v>37</v>
      </c>
      <c r="K512" t="s">
        <v>37</v>
      </c>
      <c r="L512" t="s">
        <v>38</v>
      </c>
      <c r="M512" t="s">
        <v>37</v>
      </c>
      <c r="N512" t="s">
        <v>37</v>
      </c>
      <c r="O512" t="s">
        <v>38</v>
      </c>
      <c r="P512" t="s">
        <v>39</v>
      </c>
      <c r="Q512" s="55">
        <v>45966</v>
      </c>
      <c r="R512" t="s">
        <v>5432</v>
      </c>
      <c r="S512" t="s">
        <v>5432</v>
      </c>
      <c r="T512" t="s">
        <v>5432</v>
      </c>
      <c r="U512" t="s">
        <v>5432</v>
      </c>
      <c r="W512" s="55"/>
    </row>
    <row r="513" spans="1:23">
      <c r="A513" s="55">
        <v>45905</v>
      </c>
      <c r="B513" t="s">
        <v>2120</v>
      </c>
      <c r="C513" t="s">
        <v>479</v>
      </c>
      <c r="D513" t="s">
        <v>202</v>
      </c>
      <c r="E513">
        <v>85383</v>
      </c>
      <c r="F513" t="s">
        <v>2121</v>
      </c>
      <c r="G513" t="s">
        <v>1723</v>
      </c>
      <c r="H513">
        <v>9746250000</v>
      </c>
      <c r="I513" t="s">
        <v>57</v>
      </c>
      <c r="J513" t="s">
        <v>38</v>
      </c>
      <c r="K513" t="s">
        <v>37</v>
      </c>
      <c r="L513" t="s">
        <v>2123</v>
      </c>
      <c r="M513" t="s">
        <v>37</v>
      </c>
      <c r="N513" t="s">
        <v>37</v>
      </c>
      <c r="O513" t="s">
        <v>38</v>
      </c>
      <c r="P513" t="s">
        <v>39</v>
      </c>
      <c r="Q513" s="55">
        <v>45966</v>
      </c>
      <c r="R513" t="s">
        <v>2124</v>
      </c>
      <c r="S513" t="s">
        <v>5432</v>
      </c>
      <c r="T513" t="s">
        <v>5432</v>
      </c>
      <c r="U513" t="s">
        <v>5432</v>
      </c>
      <c r="W513" s="55"/>
    </row>
    <row r="514" spans="1:23">
      <c r="A514" s="55">
        <v>45905</v>
      </c>
      <c r="B514" t="s">
        <v>1361</v>
      </c>
      <c r="C514" t="s">
        <v>2125</v>
      </c>
      <c r="D514" t="s">
        <v>24</v>
      </c>
      <c r="E514">
        <v>85308</v>
      </c>
      <c r="F514" t="s">
        <v>310</v>
      </c>
      <c r="G514" t="s">
        <v>1723</v>
      </c>
      <c r="H514">
        <v>4022467820</v>
      </c>
      <c r="I514" t="s">
        <v>196</v>
      </c>
      <c r="J514" t="s">
        <v>38</v>
      </c>
      <c r="K514" t="s">
        <v>37</v>
      </c>
      <c r="L514" t="s">
        <v>2127</v>
      </c>
      <c r="M514" t="s">
        <v>37</v>
      </c>
      <c r="N514" t="s">
        <v>37</v>
      </c>
      <c r="O514" t="s">
        <v>38</v>
      </c>
      <c r="P514" t="s">
        <v>39</v>
      </c>
      <c r="Q514" s="55">
        <v>45966</v>
      </c>
      <c r="R514" t="s">
        <v>5432</v>
      </c>
      <c r="S514" t="s">
        <v>5432</v>
      </c>
      <c r="T514" t="s">
        <v>5432</v>
      </c>
      <c r="U514" t="s">
        <v>5432</v>
      </c>
      <c r="W514" s="55"/>
    </row>
    <row r="515" spans="1:23">
      <c r="A515" s="55">
        <v>45905</v>
      </c>
      <c r="B515" t="s">
        <v>49</v>
      </c>
      <c r="C515" t="s">
        <v>2128</v>
      </c>
      <c r="D515" t="s">
        <v>539</v>
      </c>
      <c r="E515">
        <v>85122</v>
      </c>
      <c r="F515" t="s">
        <v>2129</v>
      </c>
      <c r="G515" t="s">
        <v>2130</v>
      </c>
      <c r="H515">
        <v>2800620000</v>
      </c>
      <c r="I515" t="s">
        <v>541</v>
      </c>
      <c r="J515" t="s">
        <v>37</v>
      </c>
      <c r="K515" t="s">
        <v>37</v>
      </c>
      <c r="L515" t="s">
        <v>389</v>
      </c>
      <c r="M515" t="s">
        <v>37</v>
      </c>
      <c r="N515" t="s">
        <v>37</v>
      </c>
      <c r="O515" t="s">
        <v>38</v>
      </c>
      <c r="P515" t="s">
        <v>39</v>
      </c>
      <c r="Q515" s="55">
        <v>45966</v>
      </c>
      <c r="R515" t="s">
        <v>5432</v>
      </c>
      <c r="S515" t="s">
        <v>5432</v>
      </c>
      <c r="T515" t="s">
        <v>5432</v>
      </c>
      <c r="U515" t="s">
        <v>5432</v>
      </c>
      <c r="W515" s="55"/>
    </row>
    <row r="516" spans="1:23">
      <c r="A516" s="55">
        <v>45905</v>
      </c>
      <c r="B516" t="s">
        <v>2132</v>
      </c>
      <c r="C516" t="s">
        <v>133</v>
      </c>
      <c r="D516" t="s">
        <v>125</v>
      </c>
      <c r="E516">
        <v>85255</v>
      </c>
      <c r="F516" t="s">
        <v>310</v>
      </c>
      <c r="G516" t="s">
        <v>2130</v>
      </c>
      <c r="H516">
        <v>3957802541</v>
      </c>
      <c r="I516" t="s">
        <v>541</v>
      </c>
      <c r="J516" t="s">
        <v>37</v>
      </c>
      <c r="K516" t="s">
        <v>37</v>
      </c>
      <c r="L516" t="s">
        <v>389</v>
      </c>
      <c r="M516" t="s">
        <v>37</v>
      </c>
      <c r="N516" t="s">
        <v>37</v>
      </c>
      <c r="O516" t="s">
        <v>38</v>
      </c>
      <c r="P516" t="s">
        <v>39</v>
      </c>
      <c r="Q516" s="55">
        <v>45966</v>
      </c>
      <c r="R516" t="s">
        <v>5432</v>
      </c>
      <c r="S516" t="s">
        <v>5432</v>
      </c>
      <c r="T516" t="s">
        <v>5432</v>
      </c>
      <c r="U516" t="s">
        <v>5432</v>
      </c>
      <c r="W516" s="55"/>
    </row>
    <row r="517" spans="1:23">
      <c r="A517" s="55">
        <v>45905</v>
      </c>
      <c r="B517" t="s">
        <v>2134</v>
      </c>
      <c r="C517" t="s">
        <v>2135</v>
      </c>
      <c r="D517" t="s">
        <v>240</v>
      </c>
      <c r="E517">
        <v>85340</v>
      </c>
      <c r="F517" t="s">
        <v>31</v>
      </c>
      <c r="G517" t="s">
        <v>2130</v>
      </c>
      <c r="H517">
        <v>747358204</v>
      </c>
      <c r="I517" t="s">
        <v>243</v>
      </c>
      <c r="J517" t="s">
        <v>37</v>
      </c>
      <c r="K517" t="s">
        <v>37</v>
      </c>
      <c r="L517" t="s">
        <v>389</v>
      </c>
      <c r="M517" t="s">
        <v>37</v>
      </c>
      <c r="N517" t="s">
        <v>37</v>
      </c>
      <c r="O517" t="s">
        <v>38</v>
      </c>
      <c r="P517" t="s">
        <v>39</v>
      </c>
      <c r="Q517" s="55">
        <v>45966</v>
      </c>
      <c r="R517" t="s">
        <v>5432</v>
      </c>
      <c r="S517" t="s">
        <v>5432</v>
      </c>
      <c r="T517" t="s">
        <v>5432</v>
      </c>
      <c r="U517" t="s">
        <v>5432</v>
      </c>
      <c r="W517" s="55"/>
    </row>
    <row r="518" spans="1:23">
      <c r="A518" s="55">
        <v>45905</v>
      </c>
      <c r="B518" t="s">
        <v>1876</v>
      </c>
      <c r="C518" t="s">
        <v>145</v>
      </c>
      <c r="D518" t="s">
        <v>129</v>
      </c>
      <c r="E518">
        <v>85296</v>
      </c>
      <c r="F518" t="s">
        <v>310</v>
      </c>
      <c r="G518" t="s">
        <v>2130</v>
      </c>
      <c r="H518">
        <v>4860597868</v>
      </c>
      <c r="I518" t="s">
        <v>126</v>
      </c>
      <c r="J518" t="s">
        <v>37</v>
      </c>
      <c r="K518" t="s">
        <v>37</v>
      </c>
      <c r="L518" t="s">
        <v>38</v>
      </c>
      <c r="M518" t="s">
        <v>37</v>
      </c>
      <c r="N518" t="s">
        <v>37</v>
      </c>
      <c r="O518" t="s">
        <v>38</v>
      </c>
      <c r="P518" t="s">
        <v>39</v>
      </c>
      <c r="Q518" s="55">
        <v>45966</v>
      </c>
      <c r="R518" t="s">
        <v>5432</v>
      </c>
      <c r="S518" t="s">
        <v>5432</v>
      </c>
      <c r="T518" t="s">
        <v>5432</v>
      </c>
      <c r="U518" t="s">
        <v>5432</v>
      </c>
      <c r="W518" s="55"/>
    </row>
    <row r="519" spans="1:23">
      <c r="A519" s="55">
        <v>45905</v>
      </c>
      <c r="B519" t="s">
        <v>2138</v>
      </c>
      <c r="C519" t="s">
        <v>2139</v>
      </c>
      <c r="D519" t="s">
        <v>635</v>
      </c>
      <c r="E519">
        <v>85281</v>
      </c>
      <c r="F519" t="s">
        <v>310</v>
      </c>
      <c r="G519" t="s">
        <v>2130</v>
      </c>
      <c r="H519">
        <v>8125471475</v>
      </c>
      <c r="I519" t="s">
        <v>196</v>
      </c>
      <c r="J519" t="s">
        <v>37</v>
      </c>
      <c r="K519" t="s">
        <v>37</v>
      </c>
      <c r="L519" t="s">
        <v>38</v>
      </c>
      <c r="M519" t="s">
        <v>38</v>
      </c>
      <c r="N519">
        <v>422.52</v>
      </c>
      <c r="O519" t="s">
        <v>38</v>
      </c>
      <c r="P519" t="s">
        <v>39</v>
      </c>
      <c r="Q519" s="55">
        <v>45966</v>
      </c>
      <c r="R519" t="s">
        <v>5432</v>
      </c>
      <c r="S519" t="s">
        <v>5432</v>
      </c>
      <c r="T519" t="s">
        <v>5432</v>
      </c>
      <c r="U519" t="s">
        <v>5432</v>
      </c>
      <c r="W519" s="55"/>
    </row>
    <row r="520" spans="1:23">
      <c r="A520" s="55">
        <v>45905</v>
      </c>
      <c r="B520" t="s">
        <v>2141</v>
      </c>
      <c r="C520" t="s">
        <v>1444</v>
      </c>
      <c r="D520" t="s">
        <v>370</v>
      </c>
      <c r="E520">
        <v>85225</v>
      </c>
      <c r="F520" t="s">
        <v>310</v>
      </c>
      <c r="G520" t="s">
        <v>2130</v>
      </c>
      <c r="H520">
        <v>7247493303</v>
      </c>
      <c r="I520" t="s">
        <v>36</v>
      </c>
      <c r="J520" t="s">
        <v>37</v>
      </c>
      <c r="K520" t="s">
        <v>37</v>
      </c>
      <c r="L520" t="s">
        <v>38</v>
      </c>
      <c r="M520" t="s">
        <v>37</v>
      </c>
      <c r="N520" t="s">
        <v>37</v>
      </c>
      <c r="O520" t="s">
        <v>38</v>
      </c>
      <c r="P520" t="s">
        <v>39</v>
      </c>
      <c r="Q520" s="55">
        <v>45966</v>
      </c>
      <c r="R520" t="s">
        <v>5432</v>
      </c>
      <c r="S520" t="s">
        <v>5432</v>
      </c>
      <c r="T520" t="s">
        <v>5432</v>
      </c>
      <c r="U520" t="s">
        <v>5432</v>
      </c>
      <c r="W520" s="55"/>
    </row>
    <row r="521" spans="1:23">
      <c r="A521" s="55">
        <v>45905</v>
      </c>
      <c r="B521" t="s">
        <v>2143</v>
      </c>
      <c r="C521" t="s">
        <v>2144</v>
      </c>
      <c r="D521" t="s">
        <v>63</v>
      </c>
      <c r="E521">
        <v>85032</v>
      </c>
      <c r="F521" t="s">
        <v>310</v>
      </c>
      <c r="G521" t="s">
        <v>2130</v>
      </c>
      <c r="H521">
        <v>3852813845</v>
      </c>
      <c r="I521" t="s">
        <v>57</v>
      </c>
      <c r="J521" t="s">
        <v>37</v>
      </c>
      <c r="K521" t="s">
        <v>37</v>
      </c>
      <c r="L521" t="s">
        <v>401</v>
      </c>
      <c r="M521" t="s">
        <v>37</v>
      </c>
      <c r="N521" t="s">
        <v>37</v>
      </c>
      <c r="O521" t="s">
        <v>38</v>
      </c>
      <c r="P521" t="s">
        <v>39</v>
      </c>
      <c r="Q521" s="55">
        <v>45966</v>
      </c>
      <c r="R521" t="s">
        <v>5432</v>
      </c>
      <c r="S521" t="s">
        <v>5432</v>
      </c>
      <c r="T521" t="s">
        <v>5432</v>
      </c>
      <c r="U521" t="s">
        <v>5432</v>
      </c>
      <c r="W521" s="55"/>
    </row>
    <row r="522" spans="1:23">
      <c r="A522" s="55">
        <v>45905</v>
      </c>
      <c r="B522" t="s">
        <v>2146</v>
      </c>
      <c r="C522" t="s">
        <v>120</v>
      </c>
      <c r="D522" t="s">
        <v>63</v>
      </c>
      <c r="E522">
        <v>85032</v>
      </c>
      <c r="F522" t="s">
        <v>310</v>
      </c>
      <c r="G522" t="s">
        <v>2130</v>
      </c>
      <c r="H522">
        <v>7042751772</v>
      </c>
      <c r="I522" t="s">
        <v>196</v>
      </c>
      <c r="J522" t="s">
        <v>37</v>
      </c>
      <c r="K522" t="s">
        <v>37</v>
      </c>
      <c r="L522" t="s">
        <v>2148</v>
      </c>
      <c r="M522" t="s">
        <v>37</v>
      </c>
      <c r="N522" t="s">
        <v>37</v>
      </c>
      <c r="O522" t="s">
        <v>38</v>
      </c>
      <c r="P522" t="s">
        <v>39</v>
      </c>
      <c r="Q522" s="55">
        <v>45966</v>
      </c>
      <c r="R522" t="s">
        <v>5432</v>
      </c>
      <c r="S522" t="s">
        <v>5432</v>
      </c>
      <c r="T522" t="s">
        <v>5432</v>
      </c>
      <c r="U522" t="s">
        <v>5432</v>
      </c>
      <c r="W522" s="55"/>
    </row>
    <row r="523" spans="1:23">
      <c r="A523" s="55">
        <v>45905</v>
      </c>
      <c r="B523" t="s">
        <v>225</v>
      </c>
      <c r="C523" t="s">
        <v>2149</v>
      </c>
      <c r="D523" t="s">
        <v>63</v>
      </c>
      <c r="E523">
        <v>85006</v>
      </c>
      <c r="F523" t="s">
        <v>310</v>
      </c>
      <c r="G523" t="s">
        <v>2130</v>
      </c>
      <c r="H523">
        <v>2698642394</v>
      </c>
      <c r="I523" t="s">
        <v>73</v>
      </c>
      <c r="J523" t="s">
        <v>37</v>
      </c>
      <c r="K523" t="s">
        <v>37</v>
      </c>
      <c r="L523" t="s">
        <v>38</v>
      </c>
      <c r="M523" t="s">
        <v>37</v>
      </c>
      <c r="N523" t="s">
        <v>37</v>
      </c>
      <c r="O523" t="s">
        <v>38</v>
      </c>
      <c r="P523" t="s">
        <v>39</v>
      </c>
      <c r="Q523" s="55">
        <v>45966</v>
      </c>
      <c r="R523" t="s">
        <v>5432</v>
      </c>
      <c r="S523" t="s">
        <v>5432</v>
      </c>
      <c r="T523" t="s">
        <v>5432</v>
      </c>
      <c r="U523" t="s">
        <v>5432</v>
      </c>
      <c r="W523" s="55"/>
    </row>
    <row r="524" spans="1:23">
      <c r="A524" s="55">
        <v>45905</v>
      </c>
      <c r="B524" t="s">
        <v>2151</v>
      </c>
      <c r="C524" t="s">
        <v>2152</v>
      </c>
      <c r="D524" t="s">
        <v>737</v>
      </c>
      <c r="E524">
        <v>86326</v>
      </c>
      <c r="F524" t="s">
        <v>1957</v>
      </c>
      <c r="G524" t="s">
        <v>2130</v>
      </c>
      <c r="H524">
        <v>871451000</v>
      </c>
      <c r="I524" t="s">
        <v>46</v>
      </c>
      <c r="J524" t="s">
        <v>37</v>
      </c>
      <c r="K524" t="s">
        <v>37</v>
      </c>
      <c r="L524" t="s">
        <v>38</v>
      </c>
      <c r="M524" t="s">
        <v>37</v>
      </c>
      <c r="N524" t="s">
        <v>37</v>
      </c>
      <c r="O524" t="s">
        <v>38</v>
      </c>
      <c r="P524" t="s">
        <v>39</v>
      </c>
      <c r="Q524" s="55">
        <v>45966</v>
      </c>
      <c r="R524" t="s">
        <v>5432</v>
      </c>
      <c r="S524" t="s">
        <v>5432</v>
      </c>
      <c r="T524" t="s">
        <v>5432</v>
      </c>
      <c r="U524" t="s">
        <v>5432</v>
      </c>
      <c r="W524" s="55"/>
    </row>
    <row r="525" spans="1:23">
      <c r="A525" s="55">
        <v>45905</v>
      </c>
      <c r="B525" t="s">
        <v>2154</v>
      </c>
      <c r="C525" t="s">
        <v>1862</v>
      </c>
      <c r="D525" t="s">
        <v>63</v>
      </c>
      <c r="E525">
        <v>85032</v>
      </c>
      <c r="F525" t="s">
        <v>310</v>
      </c>
      <c r="G525" t="s">
        <v>2130</v>
      </c>
      <c r="H525">
        <v>8085100837</v>
      </c>
      <c r="I525" t="s">
        <v>126</v>
      </c>
      <c r="J525" t="s">
        <v>37</v>
      </c>
      <c r="K525" t="s">
        <v>37</v>
      </c>
      <c r="L525" t="s">
        <v>38</v>
      </c>
      <c r="M525" t="s">
        <v>37</v>
      </c>
      <c r="N525" t="s">
        <v>37</v>
      </c>
      <c r="O525" t="s">
        <v>38</v>
      </c>
      <c r="P525" t="s">
        <v>39</v>
      </c>
      <c r="Q525" s="55">
        <v>45966</v>
      </c>
      <c r="R525" t="s">
        <v>5432</v>
      </c>
      <c r="S525" t="s">
        <v>5432</v>
      </c>
      <c r="T525" t="s">
        <v>5432</v>
      </c>
      <c r="U525" t="s">
        <v>5432</v>
      </c>
      <c r="W525" s="55"/>
    </row>
    <row r="526" spans="1:23">
      <c r="A526" s="55">
        <v>45905</v>
      </c>
      <c r="B526" t="s">
        <v>2156</v>
      </c>
      <c r="C526" t="s">
        <v>411</v>
      </c>
      <c r="D526" t="s">
        <v>63</v>
      </c>
      <c r="E526">
        <v>85032</v>
      </c>
      <c r="F526" t="s">
        <v>310</v>
      </c>
      <c r="G526" t="s">
        <v>2130</v>
      </c>
      <c r="H526">
        <v>6040546107</v>
      </c>
      <c r="I526" t="s">
        <v>36</v>
      </c>
      <c r="J526" t="s">
        <v>37</v>
      </c>
      <c r="K526" t="s">
        <v>37</v>
      </c>
      <c r="L526" t="s">
        <v>38</v>
      </c>
      <c r="M526" t="s">
        <v>37</v>
      </c>
      <c r="N526" t="s">
        <v>37</v>
      </c>
      <c r="O526" t="s">
        <v>38</v>
      </c>
      <c r="P526" t="s">
        <v>39</v>
      </c>
      <c r="Q526" s="55">
        <v>45966</v>
      </c>
      <c r="R526" t="s">
        <v>5432</v>
      </c>
      <c r="S526" t="s">
        <v>5432</v>
      </c>
      <c r="T526" t="s">
        <v>5432</v>
      </c>
      <c r="U526" t="s">
        <v>5432</v>
      </c>
      <c r="W526" s="55"/>
    </row>
    <row r="527" spans="1:23">
      <c r="A527" s="55">
        <v>45905</v>
      </c>
      <c r="B527" t="s">
        <v>1839</v>
      </c>
      <c r="C527" t="s">
        <v>2158</v>
      </c>
      <c r="D527" t="s">
        <v>63</v>
      </c>
      <c r="E527">
        <v>85024</v>
      </c>
      <c r="F527" t="s">
        <v>310</v>
      </c>
      <c r="G527" t="s">
        <v>2130</v>
      </c>
      <c r="H527">
        <v>1459950257</v>
      </c>
      <c r="I527" t="s">
        <v>36</v>
      </c>
      <c r="J527" t="s">
        <v>37</v>
      </c>
      <c r="K527" t="s">
        <v>37</v>
      </c>
      <c r="L527" t="s">
        <v>38</v>
      </c>
      <c r="M527" t="s">
        <v>37</v>
      </c>
      <c r="N527" t="s">
        <v>37</v>
      </c>
      <c r="O527" t="s">
        <v>38</v>
      </c>
      <c r="P527" t="s">
        <v>39</v>
      </c>
      <c r="Q527" s="55">
        <v>45966</v>
      </c>
      <c r="R527" t="s">
        <v>5432</v>
      </c>
      <c r="S527" t="s">
        <v>5432</v>
      </c>
      <c r="T527" t="s">
        <v>5432</v>
      </c>
      <c r="U527" t="s">
        <v>5432</v>
      </c>
      <c r="W527" s="55"/>
    </row>
    <row r="528" spans="1:23">
      <c r="A528" s="55">
        <v>45905</v>
      </c>
      <c r="B528" t="s">
        <v>2162</v>
      </c>
      <c r="C528" t="s">
        <v>705</v>
      </c>
      <c r="D528" t="s">
        <v>63</v>
      </c>
      <c r="E528">
        <v>85020</v>
      </c>
      <c r="F528" t="s">
        <v>2163</v>
      </c>
      <c r="G528" t="s">
        <v>2130</v>
      </c>
      <c r="H528">
        <v>2445041000</v>
      </c>
      <c r="I528" t="s">
        <v>36</v>
      </c>
      <c r="J528" t="s">
        <v>37</v>
      </c>
      <c r="K528" t="s">
        <v>37</v>
      </c>
      <c r="L528" t="s">
        <v>38</v>
      </c>
      <c r="M528" t="s">
        <v>37</v>
      </c>
      <c r="N528" t="s">
        <v>37</v>
      </c>
      <c r="O528" t="s">
        <v>38</v>
      </c>
      <c r="P528" t="s">
        <v>39</v>
      </c>
      <c r="Q528" s="55">
        <v>45966</v>
      </c>
      <c r="R528" t="s">
        <v>5432</v>
      </c>
      <c r="S528" t="s">
        <v>5432</v>
      </c>
      <c r="T528" t="s">
        <v>5432</v>
      </c>
      <c r="U528" t="s">
        <v>5432</v>
      </c>
      <c r="W528" s="55"/>
    </row>
    <row r="529" spans="1:26">
      <c r="A529" s="55">
        <v>45905</v>
      </c>
      <c r="B529" t="s">
        <v>2165</v>
      </c>
      <c r="C529" t="s">
        <v>835</v>
      </c>
      <c r="D529" t="s">
        <v>63</v>
      </c>
      <c r="E529">
        <v>85003</v>
      </c>
      <c r="F529" t="s">
        <v>2166</v>
      </c>
      <c r="G529" t="s">
        <v>2130</v>
      </c>
      <c r="H529">
        <v>126527094</v>
      </c>
      <c r="I529" t="s">
        <v>46</v>
      </c>
      <c r="J529" t="s">
        <v>37</v>
      </c>
      <c r="K529" t="s">
        <v>37</v>
      </c>
      <c r="L529" t="s">
        <v>38</v>
      </c>
      <c r="M529" t="s">
        <v>37</v>
      </c>
      <c r="N529" t="s">
        <v>37</v>
      </c>
      <c r="O529" t="s">
        <v>38</v>
      </c>
      <c r="P529" t="s">
        <v>39</v>
      </c>
      <c r="Q529" s="55">
        <v>45966</v>
      </c>
      <c r="R529" t="s">
        <v>5432</v>
      </c>
      <c r="S529" t="s">
        <v>5432</v>
      </c>
      <c r="T529" t="s">
        <v>5432</v>
      </c>
      <c r="U529" t="s">
        <v>5432</v>
      </c>
      <c r="W529" s="55"/>
    </row>
    <row r="530" spans="1:26">
      <c r="A530" s="55">
        <v>45905</v>
      </c>
      <c r="B530" t="s">
        <v>2168</v>
      </c>
      <c r="C530" t="s">
        <v>2169</v>
      </c>
      <c r="D530" t="s">
        <v>68</v>
      </c>
      <c r="E530">
        <v>85331</v>
      </c>
      <c r="F530" t="s">
        <v>310</v>
      </c>
      <c r="G530" t="s">
        <v>2130</v>
      </c>
      <c r="H530">
        <v>4096651000</v>
      </c>
      <c r="I530" t="s">
        <v>196</v>
      </c>
      <c r="J530" t="s">
        <v>37</v>
      </c>
      <c r="K530" t="s">
        <v>37</v>
      </c>
      <c r="L530" t="s">
        <v>2171</v>
      </c>
      <c r="M530" t="s">
        <v>37</v>
      </c>
      <c r="N530" t="s">
        <v>37</v>
      </c>
      <c r="O530" t="s">
        <v>38</v>
      </c>
      <c r="P530">
        <v>45971</v>
      </c>
      <c r="Q530" s="55">
        <v>45966</v>
      </c>
      <c r="R530" t="s">
        <v>2172</v>
      </c>
      <c r="S530" t="s">
        <v>5432</v>
      </c>
      <c r="T530" t="s">
        <v>5432</v>
      </c>
      <c r="U530" t="s">
        <v>5432</v>
      </c>
      <c r="W530" s="55"/>
    </row>
    <row r="531" spans="1:26">
      <c r="A531" s="55">
        <v>45905</v>
      </c>
      <c r="B531" t="s">
        <v>2173</v>
      </c>
      <c r="C531" t="s">
        <v>471</v>
      </c>
      <c r="D531" t="s">
        <v>24</v>
      </c>
      <c r="E531">
        <v>85308</v>
      </c>
      <c r="F531" t="s">
        <v>310</v>
      </c>
      <c r="G531" t="s">
        <v>2130</v>
      </c>
      <c r="H531">
        <v>3920858144</v>
      </c>
      <c r="I531" t="s">
        <v>36</v>
      </c>
      <c r="J531" t="s">
        <v>37</v>
      </c>
      <c r="K531" t="s">
        <v>37</v>
      </c>
      <c r="L531" t="s">
        <v>38</v>
      </c>
      <c r="M531" t="s">
        <v>37</v>
      </c>
      <c r="N531" t="s">
        <v>37</v>
      </c>
      <c r="O531" t="s">
        <v>38</v>
      </c>
      <c r="P531" t="s">
        <v>39</v>
      </c>
      <c r="Q531" s="55">
        <v>45966</v>
      </c>
      <c r="R531" t="s">
        <v>5432</v>
      </c>
      <c r="S531" t="s">
        <v>5432</v>
      </c>
      <c r="T531" t="s">
        <v>5432</v>
      </c>
      <c r="U531" t="s">
        <v>5432</v>
      </c>
      <c r="W531" s="55"/>
    </row>
    <row r="532" spans="1:26">
      <c r="A532" s="55">
        <v>45905</v>
      </c>
      <c r="B532" t="s">
        <v>2178</v>
      </c>
      <c r="C532" t="s">
        <v>2179</v>
      </c>
      <c r="D532" t="s">
        <v>169</v>
      </c>
      <c r="E532">
        <v>85338</v>
      </c>
      <c r="F532" t="s">
        <v>310</v>
      </c>
      <c r="G532" t="s">
        <v>2130</v>
      </c>
      <c r="H532">
        <v>8764120000</v>
      </c>
      <c r="I532" t="s">
        <v>126</v>
      </c>
      <c r="J532" t="s">
        <v>37</v>
      </c>
      <c r="K532" t="s">
        <v>37</v>
      </c>
      <c r="L532" t="s">
        <v>38</v>
      </c>
      <c r="M532" t="s">
        <v>37</v>
      </c>
      <c r="N532" t="s">
        <v>37</v>
      </c>
      <c r="O532" t="s">
        <v>38</v>
      </c>
      <c r="P532" t="s">
        <v>39</v>
      </c>
      <c r="Q532" s="55">
        <v>45966</v>
      </c>
      <c r="R532" t="s">
        <v>5432</v>
      </c>
      <c r="S532" t="s">
        <v>5432</v>
      </c>
      <c r="T532" t="s">
        <v>5432</v>
      </c>
      <c r="U532" t="s">
        <v>5432</v>
      </c>
      <c r="W532" s="55"/>
    </row>
    <row r="533" spans="1:26">
      <c r="A533" s="55">
        <v>45905</v>
      </c>
      <c r="B533" t="s">
        <v>2181</v>
      </c>
      <c r="C533" t="s">
        <v>75</v>
      </c>
      <c r="D533" t="s">
        <v>63</v>
      </c>
      <c r="E533">
        <v>85050</v>
      </c>
      <c r="F533" t="s">
        <v>310</v>
      </c>
      <c r="G533" t="s">
        <v>2130</v>
      </c>
      <c r="H533">
        <v>1567183764</v>
      </c>
      <c r="I533" t="s">
        <v>36</v>
      </c>
      <c r="J533" t="s">
        <v>37</v>
      </c>
      <c r="K533" t="s">
        <v>37</v>
      </c>
      <c r="L533" t="s">
        <v>38</v>
      </c>
      <c r="M533" t="s">
        <v>37</v>
      </c>
      <c r="N533" t="s">
        <v>37</v>
      </c>
      <c r="O533" t="s">
        <v>38</v>
      </c>
      <c r="P533" t="s">
        <v>39</v>
      </c>
      <c r="Q533" s="55">
        <v>45966</v>
      </c>
      <c r="R533" t="s">
        <v>5432</v>
      </c>
      <c r="S533" t="s">
        <v>5432</v>
      </c>
      <c r="T533" t="s">
        <v>5432</v>
      </c>
      <c r="U533" t="s">
        <v>5432</v>
      </c>
      <c r="W533" s="55"/>
    </row>
    <row r="534" spans="1:26">
      <c r="A534" s="55">
        <v>45905</v>
      </c>
      <c r="B534" t="s">
        <v>2183</v>
      </c>
      <c r="C534" t="s">
        <v>2184</v>
      </c>
      <c r="D534" t="s">
        <v>125</v>
      </c>
      <c r="E534">
        <v>85260</v>
      </c>
      <c r="F534" t="s">
        <v>2185</v>
      </c>
      <c r="G534" t="s">
        <v>2130</v>
      </c>
      <c r="H534">
        <v>6206172265</v>
      </c>
      <c r="I534" t="s">
        <v>36</v>
      </c>
      <c r="J534" t="s">
        <v>37</v>
      </c>
      <c r="K534" t="s">
        <v>37</v>
      </c>
      <c r="L534" t="s">
        <v>38</v>
      </c>
      <c r="M534" t="s">
        <v>37</v>
      </c>
      <c r="N534" t="s">
        <v>37</v>
      </c>
      <c r="O534" t="s">
        <v>38</v>
      </c>
      <c r="P534" t="s">
        <v>39</v>
      </c>
      <c r="Q534" s="55">
        <v>45966</v>
      </c>
      <c r="R534" t="s">
        <v>5432</v>
      </c>
      <c r="S534" t="s">
        <v>5432</v>
      </c>
      <c r="T534" t="s">
        <v>5432</v>
      </c>
      <c r="U534" t="s">
        <v>5432</v>
      </c>
      <c r="W534" s="55"/>
    </row>
    <row r="535" spans="1:26">
      <c r="A535" s="55">
        <v>45905</v>
      </c>
      <c r="B535" t="s">
        <v>2187</v>
      </c>
      <c r="C535" t="s">
        <v>2188</v>
      </c>
      <c r="D535" t="s">
        <v>63</v>
      </c>
      <c r="E535">
        <v>85024</v>
      </c>
      <c r="F535" t="s">
        <v>2189</v>
      </c>
      <c r="G535" t="s">
        <v>2130</v>
      </c>
      <c r="H535">
        <v>4300170000</v>
      </c>
      <c r="I535" t="s">
        <v>196</v>
      </c>
      <c r="J535" t="s">
        <v>37</v>
      </c>
      <c r="K535" t="s">
        <v>37</v>
      </c>
      <c r="L535" t="s">
        <v>2191</v>
      </c>
      <c r="M535" t="s">
        <v>38</v>
      </c>
      <c r="N535">
        <v>470.06</v>
      </c>
      <c r="O535" t="s">
        <v>38</v>
      </c>
      <c r="P535" t="s">
        <v>39</v>
      </c>
      <c r="Q535" s="55">
        <v>45966</v>
      </c>
      <c r="R535" t="s">
        <v>5432</v>
      </c>
      <c r="S535" t="s">
        <v>5432</v>
      </c>
      <c r="T535" t="s">
        <v>5432</v>
      </c>
      <c r="U535" t="s">
        <v>5432</v>
      </c>
      <c r="W535" s="55"/>
    </row>
    <row r="536" spans="1:26">
      <c r="A536" s="55">
        <v>45905</v>
      </c>
      <c r="B536" t="s">
        <v>2192</v>
      </c>
      <c r="C536" t="s">
        <v>835</v>
      </c>
      <c r="D536" t="s">
        <v>63</v>
      </c>
      <c r="E536">
        <v>85016</v>
      </c>
      <c r="F536" t="s">
        <v>310</v>
      </c>
      <c r="G536" t="s">
        <v>2130</v>
      </c>
      <c r="H536">
        <v>3300419615</v>
      </c>
      <c r="I536" t="s">
        <v>126</v>
      </c>
      <c r="J536" t="s">
        <v>37</v>
      </c>
      <c r="K536" t="s">
        <v>37</v>
      </c>
      <c r="L536" t="s">
        <v>38</v>
      </c>
      <c r="M536" t="s">
        <v>37</v>
      </c>
      <c r="N536" t="s">
        <v>37</v>
      </c>
      <c r="O536" t="s">
        <v>38</v>
      </c>
      <c r="P536" t="s">
        <v>39</v>
      </c>
      <c r="Q536" s="55">
        <v>45966</v>
      </c>
      <c r="R536" t="s">
        <v>5432</v>
      </c>
      <c r="S536" t="s">
        <v>5432</v>
      </c>
      <c r="T536" t="s">
        <v>5432</v>
      </c>
      <c r="U536" t="s">
        <v>5432</v>
      </c>
      <c r="W536" s="55"/>
    </row>
    <row r="537" spans="1:26">
      <c r="A537" s="55">
        <v>45905</v>
      </c>
      <c r="B537" t="s">
        <v>2194</v>
      </c>
      <c r="C537" t="s">
        <v>206</v>
      </c>
      <c r="D537" t="s">
        <v>125</v>
      </c>
      <c r="E537">
        <v>85258</v>
      </c>
      <c r="F537" t="s">
        <v>2195</v>
      </c>
      <c r="G537" t="s">
        <v>2130</v>
      </c>
      <c r="H537">
        <v>5127241787</v>
      </c>
      <c r="I537" t="s">
        <v>36</v>
      </c>
      <c r="J537" t="s">
        <v>37</v>
      </c>
      <c r="K537" t="s">
        <v>37</v>
      </c>
      <c r="L537" t="s">
        <v>2197</v>
      </c>
      <c r="M537" t="s">
        <v>37</v>
      </c>
      <c r="N537" t="s">
        <v>37</v>
      </c>
      <c r="O537" t="s">
        <v>38</v>
      </c>
      <c r="P537" t="s">
        <v>39</v>
      </c>
      <c r="Q537" s="55">
        <v>45966</v>
      </c>
      <c r="R537" t="s">
        <v>1421</v>
      </c>
      <c r="S537" t="s">
        <v>5432</v>
      </c>
      <c r="T537" t="s">
        <v>5432</v>
      </c>
      <c r="U537" t="s">
        <v>5432</v>
      </c>
      <c r="W537" s="55"/>
    </row>
    <row r="538" spans="1:26">
      <c r="A538" s="55">
        <v>45905</v>
      </c>
      <c r="B538" t="s">
        <v>2198</v>
      </c>
      <c r="C538" t="s">
        <v>705</v>
      </c>
      <c r="D538" t="s">
        <v>63</v>
      </c>
      <c r="E538">
        <v>85022</v>
      </c>
      <c r="F538" t="s">
        <v>310</v>
      </c>
      <c r="G538" t="s">
        <v>2130</v>
      </c>
      <c r="H538">
        <v>3567250984</v>
      </c>
      <c r="I538" t="s">
        <v>73</v>
      </c>
      <c r="J538" t="s">
        <v>37</v>
      </c>
      <c r="K538" t="s">
        <v>37</v>
      </c>
      <c r="L538" t="s">
        <v>38</v>
      </c>
      <c r="M538" t="s">
        <v>37</v>
      </c>
      <c r="N538" t="s">
        <v>37</v>
      </c>
      <c r="O538" t="s">
        <v>38</v>
      </c>
      <c r="P538" t="s">
        <v>39</v>
      </c>
      <c r="Q538" s="55">
        <v>45966</v>
      </c>
      <c r="R538" t="s">
        <v>5432</v>
      </c>
      <c r="S538" t="s">
        <v>5432</v>
      </c>
      <c r="T538" t="s">
        <v>5432</v>
      </c>
      <c r="U538" t="s">
        <v>5432</v>
      </c>
      <c r="V538" t="s">
        <v>117</v>
      </c>
      <c r="W538" s="55">
        <v>45997</v>
      </c>
      <c r="X538" t="s">
        <v>5405</v>
      </c>
      <c r="Z538" t="s">
        <v>5471</v>
      </c>
    </row>
    <row r="539" spans="1:26">
      <c r="A539" s="55">
        <v>45905</v>
      </c>
      <c r="B539" t="s">
        <v>2200</v>
      </c>
      <c r="C539" t="s">
        <v>2201</v>
      </c>
      <c r="D539" t="s">
        <v>24</v>
      </c>
      <c r="E539">
        <v>85308</v>
      </c>
      <c r="F539" t="s">
        <v>310</v>
      </c>
      <c r="G539" t="s">
        <v>2130</v>
      </c>
      <c r="H539">
        <v>7298780000</v>
      </c>
      <c r="I539" t="s">
        <v>36</v>
      </c>
      <c r="J539" t="s">
        <v>37</v>
      </c>
      <c r="K539" t="s">
        <v>37</v>
      </c>
      <c r="L539" t="s">
        <v>38</v>
      </c>
      <c r="M539" t="s">
        <v>37</v>
      </c>
      <c r="N539" t="s">
        <v>37</v>
      </c>
      <c r="O539" t="s">
        <v>38</v>
      </c>
      <c r="P539" t="s">
        <v>39</v>
      </c>
      <c r="Q539" s="55">
        <v>45966</v>
      </c>
      <c r="R539" t="s">
        <v>5432</v>
      </c>
      <c r="S539" t="s">
        <v>5432</v>
      </c>
      <c r="T539" t="s">
        <v>5432</v>
      </c>
      <c r="U539" t="s">
        <v>5432</v>
      </c>
      <c r="W539" s="55"/>
    </row>
    <row r="540" spans="1:26">
      <c r="A540" s="55">
        <v>45905</v>
      </c>
      <c r="B540" t="s">
        <v>2203</v>
      </c>
      <c r="C540" t="s">
        <v>329</v>
      </c>
      <c r="D540" t="s">
        <v>174</v>
      </c>
      <c r="E540">
        <v>85396</v>
      </c>
      <c r="F540" t="s">
        <v>310</v>
      </c>
      <c r="G540" t="s">
        <v>2130</v>
      </c>
      <c r="H540">
        <v>4409132093</v>
      </c>
      <c r="I540" t="s">
        <v>36</v>
      </c>
      <c r="J540" t="s">
        <v>37</v>
      </c>
      <c r="K540" t="s">
        <v>37</v>
      </c>
      <c r="L540" t="s">
        <v>38</v>
      </c>
      <c r="M540" t="s">
        <v>37</v>
      </c>
      <c r="N540" t="s">
        <v>37</v>
      </c>
      <c r="O540" t="s">
        <v>38</v>
      </c>
      <c r="P540" t="s">
        <v>39</v>
      </c>
      <c r="Q540" s="55">
        <v>45966</v>
      </c>
      <c r="R540" t="s">
        <v>5432</v>
      </c>
      <c r="S540" t="s">
        <v>5432</v>
      </c>
      <c r="T540" t="s">
        <v>5432</v>
      </c>
      <c r="U540" t="s">
        <v>5432</v>
      </c>
      <c r="W540" s="55"/>
    </row>
    <row r="541" spans="1:26">
      <c r="A541" s="55">
        <v>45905</v>
      </c>
      <c r="B541" t="s">
        <v>2205</v>
      </c>
      <c r="C541" t="s">
        <v>965</v>
      </c>
      <c r="D541" t="s">
        <v>1693</v>
      </c>
      <c r="E541">
        <v>85351</v>
      </c>
      <c r="F541" t="s">
        <v>2206</v>
      </c>
      <c r="G541" t="s">
        <v>2130</v>
      </c>
      <c r="H541">
        <v>6085118737</v>
      </c>
      <c r="I541" t="s">
        <v>541</v>
      </c>
      <c r="J541" t="s">
        <v>37</v>
      </c>
      <c r="K541" t="s">
        <v>37</v>
      </c>
      <c r="L541" t="s">
        <v>389</v>
      </c>
      <c r="M541" t="s">
        <v>37</v>
      </c>
      <c r="N541" t="s">
        <v>37</v>
      </c>
      <c r="O541" t="s">
        <v>38</v>
      </c>
      <c r="P541" t="s">
        <v>39</v>
      </c>
      <c r="Q541" s="55">
        <v>45966</v>
      </c>
      <c r="R541" t="s">
        <v>5432</v>
      </c>
      <c r="S541" t="s">
        <v>5432</v>
      </c>
      <c r="T541" t="s">
        <v>5432</v>
      </c>
      <c r="U541" t="s">
        <v>5432</v>
      </c>
      <c r="W541" s="55"/>
    </row>
    <row r="542" spans="1:26">
      <c r="A542" s="55">
        <v>45905</v>
      </c>
      <c r="B542" t="s">
        <v>2208</v>
      </c>
      <c r="C542" t="s">
        <v>145</v>
      </c>
      <c r="D542" t="s">
        <v>63</v>
      </c>
      <c r="E542">
        <v>85014</v>
      </c>
      <c r="F542" t="s">
        <v>31</v>
      </c>
      <c r="G542" t="s">
        <v>2130</v>
      </c>
      <c r="H542">
        <v>4864054917</v>
      </c>
      <c r="I542" t="s">
        <v>126</v>
      </c>
      <c r="J542" t="s">
        <v>37</v>
      </c>
      <c r="K542" t="s">
        <v>37</v>
      </c>
      <c r="L542" t="s">
        <v>2210</v>
      </c>
      <c r="M542" t="s">
        <v>37</v>
      </c>
      <c r="N542" t="s">
        <v>37</v>
      </c>
      <c r="O542" t="s">
        <v>38</v>
      </c>
      <c r="P542" t="s">
        <v>39</v>
      </c>
      <c r="Q542" s="55">
        <v>45966</v>
      </c>
      <c r="R542" t="s">
        <v>5432</v>
      </c>
      <c r="S542" t="s">
        <v>5432</v>
      </c>
      <c r="T542" t="s">
        <v>5432</v>
      </c>
      <c r="U542" t="s">
        <v>5432</v>
      </c>
      <c r="W542" s="55"/>
    </row>
    <row r="543" spans="1:26">
      <c r="A543" s="55">
        <v>45905</v>
      </c>
      <c r="B543" t="s">
        <v>2211</v>
      </c>
      <c r="C543" t="s">
        <v>2212</v>
      </c>
      <c r="D543" t="s">
        <v>202</v>
      </c>
      <c r="E543">
        <v>85383</v>
      </c>
      <c r="F543" t="s">
        <v>310</v>
      </c>
      <c r="G543" t="s">
        <v>2130</v>
      </c>
      <c r="H543">
        <v>228851000</v>
      </c>
      <c r="I543" t="s">
        <v>46</v>
      </c>
      <c r="J543" t="s">
        <v>37</v>
      </c>
      <c r="K543" t="s">
        <v>37</v>
      </c>
      <c r="L543" t="s">
        <v>2214</v>
      </c>
      <c r="M543" t="s">
        <v>37</v>
      </c>
      <c r="N543" t="s">
        <v>37</v>
      </c>
      <c r="O543" t="s">
        <v>38</v>
      </c>
      <c r="P543" t="s">
        <v>39</v>
      </c>
      <c r="Q543" s="55">
        <v>45966</v>
      </c>
      <c r="R543" t="s">
        <v>5432</v>
      </c>
      <c r="S543" t="s">
        <v>5432</v>
      </c>
      <c r="T543" t="s">
        <v>5432</v>
      </c>
      <c r="U543" t="s">
        <v>2215</v>
      </c>
      <c r="W543" s="55"/>
    </row>
    <row r="544" spans="1:26">
      <c r="A544" s="55">
        <v>45905</v>
      </c>
      <c r="B544" t="s">
        <v>2216</v>
      </c>
      <c r="C544" t="s">
        <v>312</v>
      </c>
      <c r="D544" t="s">
        <v>63</v>
      </c>
      <c r="E544">
        <v>85023</v>
      </c>
      <c r="F544" t="s">
        <v>310</v>
      </c>
      <c r="G544" t="s">
        <v>2130</v>
      </c>
      <c r="H544">
        <v>7209213637</v>
      </c>
      <c r="I544" t="s">
        <v>73</v>
      </c>
      <c r="J544" t="s">
        <v>37</v>
      </c>
      <c r="K544" t="s">
        <v>37</v>
      </c>
      <c r="L544" t="s">
        <v>38</v>
      </c>
      <c r="M544" t="s">
        <v>37</v>
      </c>
      <c r="N544" t="s">
        <v>37</v>
      </c>
      <c r="O544" t="s">
        <v>38</v>
      </c>
      <c r="P544" t="s">
        <v>39</v>
      </c>
      <c r="Q544" s="55">
        <v>45966</v>
      </c>
      <c r="R544" t="s">
        <v>5432</v>
      </c>
      <c r="S544" t="s">
        <v>5432</v>
      </c>
      <c r="T544" t="s">
        <v>5432</v>
      </c>
      <c r="U544" t="s">
        <v>5432</v>
      </c>
      <c r="W544" s="55"/>
    </row>
    <row r="545" spans="1:23">
      <c r="A545" s="55">
        <v>45905</v>
      </c>
      <c r="B545" t="s">
        <v>2218</v>
      </c>
      <c r="C545" t="s">
        <v>2219</v>
      </c>
      <c r="D545" t="s">
        <v>174</v>
      </c>
      <c r="E545">
        <v>85396</v>
      </c>
      <c r="F545" t="s">
        <v>31</v>
      </c>
      <c r="G545" t="s">
        <v>2130</v>
      </c>
      <c r="H545">
        <v>20521000</v>
      </c>
      <c r="I545" t="s">
        <v>418</v>
      </c>
      <c r="J545" t="s">
        <v>37</v>
      </c>
      <c r="K545" t="s">
        <v>37</v>
      </c>
      <c r="L545" t="s">
        <v>389</v>
      </c>
      <c r="M545" t="s">
        <v>37</v>
      </c>
      <c r="N545" t="s">
        <v>37</v>
      </c>
      <c r="O545" t="s">
        <v>38</v>
      </c>
      <c r="P545" t="s">
        <v>39</v>
      </c>
      <c r="Q545" s="55">
        <v>45966</v>
      </c>
      <c r="R545" t="s">
        <v>5432</v>
      </c>
      <c r="S545" t="s">
        <v>5432</v>
      </c>
      <c r="T545" t="s">
        <v>5432</v>
      </c>
      <c r="U545" t="s">
        <v>5432</v>
      </c>
      <c r="W545" s="55"/>
    </row>
    <row r="546" spans="1:23">
      <c r="A546" s="55">
        <v>45905</v>
      </c>
      <c r="B546" t="s">
        <v>2222</v>
      </c>
      <c r="C546" t="s">
        <v>392</v>
      </c>
      <c r="D546" t="s">
        <v>169</v>
      </c>
      <c r="E546">
        <v>85448</v>
      </c>
      <c r="F546" t="s">
        <v>1777</v>
      </c>
      <c r="G546" t="s">
        <v>2130</v>
      </c>
      <c r="H546">
        <v>7447867552</v>
      </c>
      <c r="I546" t="s">
        <v>418</v>
      </c>
      <c r="J546" t="s">
        <v>37</v>
      </c>
      <c r="K546" t="s">
        <v>37</v>
      </c>
      <c r="L546" t="s">
        <v>389</v>
      </c>
      <c r="M546" t="s">
        <v>37</v>
      </c>
      <c r="N546" t="s">
        <v>37</v>
      </c>
      <c r="O546" t="s">
        <v>38</v>
      </c>
      <c r="P546" t="s">
        <v>39</v>
      </c>
      <c r="Q546" s="55">
        <v>45966</v>
      </c>
      <c r="R546" t="s">
        <v>5432</v>
      </c>
      <c r="S546" t="s">
        <v>5432</v>
      </c>
      <c r="T546" t="s">
        <v>5432</v>
      </c>
      <c r="U546" t="s">
        <v>5432</v>
      </c>
      <c r="W546" s="55"/>
    </row>
    <row r="547" spans="1:23">
      <c r="A547" s="55">
        <v>45905</v>
      </c>
      <c r="B547" t="s">
        <v>2224</v>
      </c>
      <c r="C547" t="s">
        <v>956</v>
      </c>
      <c r="D547" t="s">
        <v>112</v>
      </c>
      <c r="E547">
        <v>85387</v>
      </c>
      <c r="F547" t="s">
        <v>310</v>
      </c>
      <c r="G547" t="s">
        <v>2130</v>
      </c>
      <c r="H547">
        <v>356005964</v>
      </c>
      <c r="I547" t="s">
        <v>196</v>
      </c>
      <c r="J547" t="s">
        <v>37</v>
      </c>
      <c r="K547" t="s">
        <v>37</v>
      </c>
      <c r="L547" t="s">
        <v>2226</v>
      </c>
      <c r="M547" t="s">
        <v>1586</v>
      </c>
      <c r="N547">
        <v>1278.31</v>
      </c>
      <c r="O547" t="s">
        <v>38</v>
      </c>
      <c r="P547">
        <v>45936</v>
      </c>
      <c r="Q547" s="55">
        <v>45966</v>
      </c>
      <c r="R547" t="s">
        <v>5426</v>
      </c>
      <c r="S547" t="s">
        <v>5432</v>
      </c>
      <c r="T547" t="s">
        <v>5432</v>
      </c>
      <c r="U547" t="s">
        <v>5432</v>
      </c>
      <c r="W547" s="55"/>
    </row>
    <row r="548" spans="1:23">
      <c r="A548" s="55">
        <v>45905</v>
      </c>
      <c r="B548" t="s">
        <v>2228</v>
      </c>
      <c r="C548" t="s">
        <v>395</v>
      </c>
      <c r="D548" t="s">
        <v>2229</v>
      </c>
      <c r="E548">
        <v>85321</v>
      </c>
      <c r="F548" t="s">
        <v>310</v>
      </c>
      <c r="G548" t="s">
        <v>2130</v>
      </c>
      <c r="H548">
        <v>7898944772</v>
      </c>
      <c r="I548" t="s">
        <v>46</v>
      </c>
      <c r="J548" t="s">
        <v>37</v>
      </c>
      <c r="K548" t="s">
        <v>37</v>
      </c>
      <c r="L548" t="s">
        <v>38</v>
      </c>
      <c r="M548" t="s">
        <v>37</v>
      </c>
      <c r="N548" t="s">
        <v>37</v>
      </c>
      <c r="O548" t="s">
        <v>38</v>
      </c>
      <c r="P548" t="s">
        <v>39</v>
      </c>
      <c r="Q548" s="55">
        <v>45966</v>
      </c>
      <c r="R548" t="s">
        <v>5432</v>
      </c>
      <c r="S548" t="s">
        <v>5432</v>
      </c>
      <c r="T548" t="s">
        <v>5432</v>
      </c>
      <c r="U548" t="s">
        <v>5432</v>
      </c>
      <c r="W548" s="55"/>
    </row>
    <row r="549" spans="1:23">
      <c r="A549" s="55">
        <v>45905</v>
      </c>
      <c r="B549" t="s">
        <v>2232</v>
      </c>
      <c r="C549" t="s">
        <v>376</v>
      </c>
      <c r="D549" t="s">
        <v>169</v>
      </c>
      <c r="E549">
        <v>85338</v>
      </c>
      <c r="F549" t="s">
        <v>2233</v>
      </c>
      <c r="G549" t="s">
        <v>2130</v>
      </c>
      <c r="H549">
        <v>849482490</v>
      </c>
      <c r="I549" t="s">
        <v>46</v>
      </c>
      <c r="J549" t="s">
        <v>37</v>
      </c>
      <c r="K549" t="s">
        <v>37</v>
      </c>
      <c r="L549" t="s">
        <v>38</v>
      </c>
      <c r="M549" t="s">
        <v>37</v>
      </c>
      <c r="N549" t="s">
        <v>37</v>
      </c>
      <c r="O549" t="s">
        <v>38</v>
      </c>
      <c r="P549" t="s">
        <v>39</v>
      </c>
      <c r="Q549" s="55">
        <v>45966</v>
      </c>
      <c r="R549" t="s">
        <v>5432</v>
      </c>
      <c r="S549" t="s">
        <v>5432</v>
      </c>
      <c r="T549" t="s">
        <v>5432</v>
      </c>
      <c r="U549" t="s">
        <v>5432</v>
      </c>
      <c r="W549" s="55"/>
    </row>
    <row r="550" spans="1:23">
      <c r="A550" s="55">
        <v>45905</v>
      </c>
      <c r="B550" t="s">
        <v>2235</v>
      </c>
      <c r="C550" t="s">
        <v>2236</v>
      </c>
      <c r="D550" t="s">
        <v>63</v>
      </c>
      <c r="E550">
        <v>85006</v>
      </c>
      <c r="F550" t="s">
        <v>31</v>
      </c>
      <c r="G550" t="s">
        <v>2130</v>
      </c>
      <c r="H550">
        <v>7370951000</v>
      </c>
      <c r="I550" t="s">
        <v>57</v>
      </c>
      <c r="J550" t="s">
        <v>37</v>
      </c>
      <c r="K550" t="s">
        <v>37</v>
      </c>
      <c r="L550" t="s">
        <v>2238</v>
      </c>
      <c r="M550" t="s">
        <v>37</v>
      </c>
      <c r="N550" t="s">
        <v>37</v>
      </c>
      <c r="O550" t="s">
        <v>38</v>
      </c>
      <c r="P550">
        <v>45937</v>
      </c>
      <c r="Q550" s="55">
        <v>45966</v>
      </c>
      <c r="R550" t="s">
        <v>2239</v>
      </c>
      <c r="S550" t="s">
        <v>5432</v>
      </c>
      <c r="T550" t="s">
        <v>5432</v>
      </c>
      <c r="U550" t="s">
        <v>5432</v>
      </c>
      <c r="W550" s="55"/>
    </row>
    <row r="551" spans="1:23">
      <c r="A551" s="55">
        <v>45905</v>
      </c>
      <c r="B551" t="s">
        <v>2240</v>
      </c>
      <c r="C551" t="s">
        <v>911</v>
      </c>
      <c r="D551" t="s">
        <v>125</v>
      </c>
      <c r="E551">
        <v>85258</v>
      </c>
      <c r="F551" t="s">
        <v>310</v>
      </c>
      <c r="G551" t="s">
        <v>2130</v>
      </c>
      <c r="H551">
        <v>4650100233</v>
      </c>
      <c r="I551" t="s">
        <v>541</v>
      </c>
      <c r="J551" t="s">
        <v>37</v>
      </c>
      <c r="K551" t="s">
        <v>37</v>
      </c>
      <c r="L551" t="s">
        <v>389</v>
      </c>
      <c r="M551" t="s">
        <v>37</v>
      </c>
      <c r="N551" t="s">
        <v>37</v>
      </c>
      <c r="O551" t="s">
        <v>38</v>
      </c>
      <c r="P551" t="s">
        <v>39</v>
      </c>
      <c r="Q551" s="55">
        <v>45966</v>
      </c>
      <c r="R551" t="s">
        <v>5432</v>
      </c>
      <c r="S551" t="s">
        <v>5432</v>
      </c>
      <c r="T551" t="s">
        <v>5432</v>
      </c>
      <c r="U551" t="s">
        <v>5432</v>
      </c>
      <c r="W551" s="55"/>
    </row>
    <row r="552" spans="1:23">
      <c r="A552" s="55">
        <v>45905</v>
      </c>
      <c r="B552" t="s">
        <v>2242</v>
      </c>
      <c r="C552" t="s">
        <v>2034</v>
      </c>
      <c r="D552" t="s">
        <v>125</v>
      </c>
      <c r="E552">
        <v>85258</v>
      </c>
      <c r="F552" t="s">
        <v>31</v>
      </c>
      <c r="G552" t="s">
        <v>2130</v>
      </c>
      <c r="H552">
        <v>2090761111</v>
      </c>
      <c r="I552" t="s">
        <v>36</v>
      </c>
      <c r="J552" t="s">
        <v>37</v>
      </c>
      <c r="K552" t="s">
        <v>37</v>
      </c>
      <c r="L552" t="s">
        <v>38</v>
      </c>
      <c r="M552" t="s">
        <v>37</v>
      </c>
      <c r="N552" t="s">
        <v>37</v>
      </c>
      <c r="O552" t="s">
        <v>38</v>
      </c>
      <c r="P552" t="s">
        <v>39</v>
      </c>
      <c r="Q552" s="55">
        <v>45966</v>
      </c>
      <c r="R552" t="s">
        <v>5432</v>
      </c>
      <c r="S552" t="s">
        <v>5432</v>
      </c>
      <c r="T552" t="s">
        <v>5432</v>
      </c>
      <c r="U552" t="s">
        <v>5432</v>
      </c>
      <c r="W552" s="55"/>
    </row>
    <row r="553" spans="1:23">
      <c r="A553" s="55">
        <v>45905</v>
      </c>
      <c r="B553" t="s">
        <v>2244</v>
      </c>
      <c r="C553" t="s">
        <v>965</v>
      </c>
      <c r="D553" t="s">
        <v>63</v>
      </c>
      <c r="E553">
        <v>85085</v>
      </c>
      <c r="F553" t="s">
        <v>2245</v>
      </c>
      <c r="G553" t="s">
        <v>2130</v>
      </c>
      <c r="H553">
        <v>7675631000</v>
      </c>
      <c r="I553" t="s">
        <v>36</v>
      </c>
      <c r="J553" t="s">
        <v>37</v>
      </c>
      <c r="K553" t="s">
        <v>37</v>
      </c>
      <c r="L553" t="s">
        <v>38</v>
      </c>
      <c r="M553" t="s">
        <v>37</v>
      </c>
      <c r="N553" t="s">
        <v>37</v>
      </c>
      <c r="O553" t="s">
        <v>38</v>
      </c>
      <c r="P553" t="s">
        <v>39</v>
      </c>
      <c r="Q553" s="55">
        <v>45966</v>
      </c>
      <c r="R553" t="s">
        <v>5432</v>
      </c>
      <c r="S553" t="s">
        <v>5432</v>
      </c>
      <c r="T553" t="s">
        <v>5432</v>
      </c>
      <c r="U553" t="s">
        <v>5432</v>
      </c>
      <c r="W553" s="55"/>
    </row>
    <row r="554" spans="1:23">
      <c r="A554" s="55">
        <v>45905</v>
      </c>
      <c r="B554" t="s">
        <v>686</v>
      </c>
      <c r="C554" t="s">
        <v>443</v>
      </c>
      <c r="D554" t="s">
        <v>63</v>
      </c>
      <c r="E554">
        <v>85014</v>
      </c>
      <c r="F554" t="s">
        <v>310</v>
      </c>
      <c r="G554" t="s">
        <v>2130</v>
      </c>
      <c r="H554">
        <v>9779470098</v>
      </c>
      <c r="I554" t="s">
        <v>73</v>
      </c>
      <c r="J554" t="s">
        <v>37</v>
      </c>
      <c r="K554" t="s">
        <v>37</v>
      </c>
      <c r="L554" t="s">
        <v>38</v>
      </c>
      <c r="M554" t="s">
        <v>37</v>
      </c>
      <c r="N554" t="s">
        <v>37</v>
      </c>
      <c r="O554" t="s">
        <v>38</v>
      </c>
      <c r="P554" t="s">
        <v>39</v>
      </c>
      <c r="Q554" s="55">
        <v>45966</v>
      </c>
      <c r="R554" t="s">
        <v>5432</v>
      </c>
      <c r="S554" t="s">
        <v>5432</v>
      </c>
      <c r="T554" t="s">
        <v>5432</v>
      </c>
      <c r="U554" t="s">
        <v>5432</v>
      </c>
      <c r="W554" s="55"/>
    </row>
    <row r="555" spans="1:23">
      <c r="A555" s="55">
        <v>45905</v>
      </c>
      <c r="B555" t="s">
        <v>2248</v>
      </c>
      <c r="C555" t="s">
        <v>225</v>
      </c>
      <c r="D555" t="s">
        <v>63</v>
      </c>
      <c r="E555">
        <v>85016</v>
      </c>
      <c r="F555" t="s">
        <v>310</v>
      </c>
      <c r="G555" t="s">
        <v>2130</v>
      </c>
      <c r="H555">
        <v>6229785331</v>
      </c>
      <c r="I555" t="s">
        <v>126</v>
      </c>
      <c r="J555" t="s">
        <v>37</v>
      </c>
      <c r="K555" t="s">
        <v>37</v>
      </c>
      <c r="L555" t="s">
        <v>38</v>
      </c>
      <c r="M555" t="s">
        <v>37</v>
      </c>
      <c r="N555" t="s">
        <v>37</v>
      </c>
      <c r="O555" t="s">
        <v>38</v>
      </c>
      <c r="P555" t="s">
        <v>39</v>
      </c>
      <c r="Q555" s="55">
        <v>45966</v>
      </c>
      <c r="R555" t="s">
        <v>5432</v>
      </c>
      <c r="S555" t="s">
        <v>5432</v>
      </c>
      <c r="T555" t="s">
        <v>5432</v>
      </c>
      <c r="U555" t="s">
        <v>5432</v>
      </c>
      <c r="W555" s="55"/>
    </row>
    <row r="556" spans="1:23">
      <c r="A556" s="55">
        <v>45905</v>
      </c>
      <c r="B556" t="s">
        <v>2250</v>
      </c>
      <c r="C556" t="s">
        <v>2019</v>
      </c>
      <c r="D556" t="s">
        <v>125</v>
      </c>
      <c r="E556">
        <v>85254</v>
      </c>
      <c r="F556" t="s">
        <v>2251</v>
      </c>
      <c r="G556" t="s">
        <v>2130</v>
      </c>
      <c r="H556">
        <v>1794260000</v>
      </c>
      <c r="I556" t="s">
        <v>243</v>
      </c>
      <c r="J556" t="s">
        <v>37</v>
      </c>
      <c r="K556" t="s">
        <v>37</v>
      </c>
      <c r="L556" t="s">
        <v>389</v>
      </c>
      <c r="M556" t="s">
        <v>37</v>
      </c>
      <c r="N556" t="s">
        <v>37</v>
      </c>
      <c r="O556" t="s">
        <v>38</v>
      </c>
      <c r="P556" t="s">
        <v>39</v>
      </c>
      <c r="Q556" s="55">
        <v>45966</v>
      </c>
      <c r="R556" t="s">
        <v>5432</v>
      </c>
      <c r="S556" t="s">
        <v>5432</v>
      </c>
      <c r="T556" t="s">
        <v>5432</v>
      </c>
      <c r="U556" t="s">
        <v>5432</v>
      </c>
      <c r="W556" s="55"/>
    </row>
    <row r="557" spans="1:23">
      <c r="A557" s="55">
        <v>45905</v>
      </c>
      <c r="B557" t="s">
        <v>2258</v>
      </c>
      <c r="C557" t="s">
        <v>658</v>
      </c>
      <c r="D557" t="s">
        <v>63</v>
      </c>
      <c r="E557">
        <v>85083</v>
      </c>
      <c r="F557" t="s">
        <v>31</v>
      </c>
      <c r="G557" t="s">
        <v>2130</v>
      </c>
      <c r="H557">
        <v>7776290000</v>
      </c>
      <c r="I557" t="s">
        <v>36</v>
      </c>
      <c r="J557" t="s">
        <v>37</v>
      </c>
      <c r="K557" t="s">
        <v>37</v>
      </c>
      <c r="L557" t="s">
        <v>38</v>
      </c>
      <c r="M557" t="s">
        <v>37</v>
      </c>
      <c r="N557" t="s">
        <v>37</v>
      </c>
      <c r="O557" t="s">
        <v>38</v>
      </c>
      <c r="P557" t="s">
        <v>39</v>
      </c>
      <c r="Q557" s="55">
        <v>45966</v>
      </c>
      <c r="R557" t="s">
        <v>5432</v>
      </c>
      <c r="S557" t="s">
        <v>5432</v>
      </c>
      <c r="T557" t="s">
        <v>5432</v>
      </c>
      <c r="U557" t="s">
        <v>5432</v>
      </c>
      <c r="W557" s="55"/>
    </row>
    <row r="558" spans="1:23">
      <c r="A558" s="55">
        <v>45905</v>
      </c>
      <c r="B558" t="s">
        <v>2260</v>
      </c>
      <c r="C558" t="s">
        <v>2261</v>
      </c>
      <c r="D558" t="s">
        <v>370</v>
      </c>
      <c r="E558">
        <v>85225</v>
      </c>
      <c r="F558" t="s">
        <v>310</v>
      </c>
      <c r="G558" t="s">
        <v>2130</v>
      </c>
      <c r="H558">
        <v>342680000</v>
      </c>
      <c r="I558" t="s">
        <v>418</v>
      </c>
      <c r="J558" t="s">
        <v>37</v>
      </c>
      <c r="K558" t="s">
        <v>37</v>
      </c>
      <c r="L558" t="s">
        <v>389</v>
      </c>
      <c r="M558" t="s">
        <v>37</v>
      </c>
      <c r="N558" t="s">
        <v>37</v>
      </c>
      <c r="O558" t="s">
        <v>38</v>
      </c>
      <c r="P558" t="s">
        <v>39</v>
      </c>
      <c r="Q558" s="55">
        <v>45966</v>
      </c>
      <c r="R558" t="s">
        <v>5432</v>
      </c>
      <c r="S558" t="s">
        <v>5432</v>
      </c>
      <c r="T558" t="s">
        <v>5432</v>
      </c>
      <c r="U558" t="s">
        <v>5432</v>
      </c>
      <c r="W558" s="55"/>
    </row>
    <row r="559" spans="1:23">
      <c r="A559" s="55">
        <v>45905</v>
      </c>
      <c r="B559" t="s">
        <v>2263</v>
      </c>
      <c r="C559" t="s">
        <v>2264</v>
      </c>
      <c r="D559" t="s">
        <v>2265</v>
      </c>
      <c r="E559">
        <v>85603</v>
      </c>
      <c r="F559" t="s">
        <v>31</v>
      </c>
      <c r="G559" t="s">
        <v>2130</v>
      </c>
      <c r="H559">
        <v>6833563852</v>
      </c>
      <c r="I559" t="s">
        <v>36</v>
      </c>
      <c r="J559" t="s">
        <v>37</v>
      </c>
      <c r="K559" t="s">
        <v>37</v>
      </c>
      <c r="L559" t="s">
        <v>38</v>
      </c>
      <c r="M559" t="s">
        <v>37</v>
      </c>
      <c r="N559" t="s">
        <v>37</v>
      </c>
      <c r="O559" t="s">
        <v>38</v>
      </c>
      <c r="P559" t="s">
        <v>39</v>
      </c>
      <c r="Q559" s="55">
        <v>45966</v>
      </c>
      <c r="R559" t="s">
        <v>5432</v>
      </c>
      <c r="S559" t="s">
        <v>5432</v>
      </c>
      <c r="T559" t="s">
        <v>5432</v>
      </c>
      <c r="U559" t="s">
        <v>5432</v>
      </c>
      <c r="W559" s="55"/>
    </row>
    <row r="560" spans="1:23">
      <c r="A560" s="55">
        <v>45905</v>
      </c>
      <c r="B560" t="s">
        <v>2269</v>
      </c>
      <c r="C560" t="s">
        <v>1815</v>
      </c>
      <c r="D560" t="s">
        <v>125</v>
      </c>
      <c r="E560">
        <v>85260</v>
      </c>
      <c r="F560" t="s">
        <v>310</v>
      </c>
      <c r="G560" t="s">
        <v>2130</v>
      </c>
      <c r="H560">
        <v>5604121000</v>
      </c>
      <c r="I560" t="s">
        <v>57</v>
      </c>
      <c r="J560" t="s">
        <v>37</v>
      </c>
      <c r="K560" t="s">
        <v>37</v>
      </c>
      <c r="L560" t="s">
        <v>2271</v>
      </c>
      <c r="M560" t="s">
        <v>37</v>
      </c>
      <c r="N560" t="s">
        <v>37</v>
      </c>
      <c r="O560" t="s">
        <v>38</v>
      </c>
      <c r="P560">
        <v>45937</v>
      </c>
      <c r="Q560" s="55">
        <v>45966</v>
      </c>
      <c r="R560" t="s">
        <v>2272</v>
      </c>
      <c r="S560" t="s">
        <v>5432</v>
      </c>
      <c r="T560" t="s">
        <v>5432</v>
      </c>
      <c r="U560" t="s">
        <v>5432</v>
      </c>
      <c r="W560" s="55"/>
    </row>
    <row r="561" spans="1:26">
      <c r="A561" s="55">
        <v>45905</v>
      </c>
      <c r="B561" t="s">
        <v>841</v>
      </c>
      <c r="C561" t="s">
        <v>2273</v>
      </c>
      <c r="D561" t="s">
        <v>112</v>
      </c>
      <c r="E561">
        <v>85388</v>
      </c>
      <c r="F561" t="s">
        <v>2274</v>
      </c>
      <c r="G561" t="s">
        <v>2130</v>
      </c>
      <c r="H561">
        <v>3856949221</v>
      </c>
      <c r="I561" t="s">
        <v>36</v>
      </c>
      <c r="J561" t="s">
        <v>37</v>
      </c>
      <c r="K561" t="s">
        <v>37</v>
      </c>
      <c r="L561" t="s">
        <v>38</v>
      </c>
      <c r="M561" t="s">
        <v>37</v>
      </c>
      <c r="N561" t="s">
        <v>37</v>
      </c>
      <c r="O561" t="s">
        <v>38</v>
      </c>
      <c r="P561" t="s">
        <v>39</v>
      </c>
      <c r="Q561" s="55">
        <v>45966</v>
      </c>
      <c r="R561" t="s">
        <v>5432</v>
      </c>
      <c r="S561" t="s">
        <v>5432</v>
      </c>
      <c r="T561" t="s">
        <v>5432</v>
      </c>
      <c r="U561" t="s">
        <v>5432</v>
      </c>
      <c r="W561" s="55"/>
    </row>
    <row r="562" spans="1:26">
      <c r="A562" s="55">
        <v>45905</v>
      </c>
      <c r="B562" t="s">
        <v>2276</v>
      </c>
      <c r="C562" t="s">
        <v>1824</v>
      </c>
      <c r="D562" t="s">
        <v>24</v>
      </c>
      <c r="E562">
        <v>85308</v>
      </c>
      <c r="F562" t="s">
        <v>31</v>
      </c>
      <c r="G562" t="s">
        <v>2130</v>
      </c>
      <c r="H562">
        <v>7671960000</v>
      </c>
      <c r="I562" t="s">
        <v>196</v>
      </c>
      <c r="J562" t="s">
        <v>37</v>
      </c>
      <c r="K562" t="s">
        <v>37</v>
      </c>
      <c r="L562" t="s">
        <v>38</v>
      </c>
      <c r="M562" t="s">
        <v>37</v>
      </c>
      <c r="N562" t="s">
        <v>37</v>
      </c>
      <c r="O562" t="s">
        <v>38</v>
      </c>
      <c r="P562" t="s">
        <v>39</v>
      </c>
      <c r="Q562" s="55">
        <v>45966</v>
      </c>
      <c r="R562" t="s">
        <v>5432</v>
      </c>
      <c r="S562" t="s">
        <v>5432</v>
      </c>
      <c r="T562" t="s">
        <v>5432</v>
      </c>
      <c r="U562" t="s">
        <v>5432</v>
      </c>
      <c r="W562" s="55"/>
    </row>
    <row r="563" spans="1:26">
      <c r="A563" s="55">
        <v>45905</v>
      </c>
      <c r="B563" t="s">
        <v>2087</v>
      </c>
      <c r="C563" t="s">
        <v>215</v>
      </c>
      <c r="D563" t="s">
        <v>63</v>
      </c>
      <c r="E563">
        <v>85028</v>
      </c>
      <c r="F563" t="s">
        <v>310</v>
      </c>
      <c r="G563" t="s">
        <v>2130</v>
      </c>
      <c r="H563">
        <v>3604131000</v>
      </c>
      <c r="I563" t="s">
        <v>46</v>
      </c>
      <c r="J563" t="s">
        <v>37</v>
      </c>
      <c r="K563" t="s">
        <v>37</v>
      </c>
      <c r="L563" t="s">
        <v>2279</v>
      </c>
      <c r="M563" t="s">
        <v>37</v>
      </c>
      <c r="N563" t="s">
        <v>37</v>
      </c>
      <c r="O563" t="s">
        <v>38</v>
      </c>
      <c r="P563">
        <v>45937</v>
      </c>
      <c r="Q563" s="55">
        <v>45966</v>
      </c>
      <c r="R563" t="s">
        <v>2280</v>
      </c>
      <c r="S563" t="s">
        <v>5432</v>
      </c>
      <c r="T563" t="s">
        <v>5432</v>
      </c>
      <c r="U563" t="s">
        <v>5432</v>
      </c>
      <c r="W563" s="55"/>
    </row>
    <row r="564" spans="1:26">
      <c r="A564" s="55">
        <v>45905</v>
      </c>
      <c r="B564" t="s">
        <v>636</v>
      </c>
      <c r="C564" t="s">
        <v>225</v>
      </c>
      <c r="D564" t="s">
        <v>63</v>
      </c>
      <c r="E564">
        <v>85050</v>
      </c>
      <c r="F564" t="s">
        <v>310</v>
      </c>
      <c r="G564" t="s">
        <v>2130</v>
      </c>
      <c r="H564">
        <v>3846098682</v>
      </c>
      <c r="I564" t="s">
        <v>36</v>
      </c>
      <c r="J564" t="s">
        <v>37</v>
      </c>
      <c r="K564" t="s">
        <v>37</v>
      </c>
      <c r="L564" t="s">
        <v>38</v>
      </c>
      <c r="M564" t="s">
        <v>37</v>
      </c>
      <c r="N564" t="s">
        <v>37</v>
      </c>
      <c r="O564" t="s">
        <v>38</v>
      </c>
      <c r="P564" t="s">
        <v>39</v>
      </c>
      <c r="Q564" s="55">
        <v>45966</v>
      </c>
      <c r="R564" t="s">
        <v>5432</v>
      </c>
      <c r="S564" t="s">
        <v>5432</v>
      </c>
      <c r="T564" t="s">
        <v>5432</v>
      </c>
      <c r="U564" t="s">
        <v>5432</v>
      </c>
      <c r="W564" s="55"/>
    </row>
    <row r="565" spans="1:26">
      <c r="A565" s="55">
        <v>45905</v>
      </c>
      <c r="B565" t="s">
        <v>2282</v>
      </c>
      <c r="C565" t="s">
        <v>131</v>
      </c>
      <c r="D565" t="s">
        <v>125</v>
      </c>
      <c r="E565">
        <v>85254</v>
      </c>
      <c r="F565" t="s">
        <v>310</v>
      </c>
      <c r="G565" t="s">
        <v>2130</v>
      </c>
      <c r="H565">
        <v>2720371841</v>
      </c>
      <c r="I565" t="s">
        <v>126</v>
      </c>
      <c r="J565" t="s">
        <v>37</v>
      </c>
      <c r="K565" t="s">
        <v>37</v>
      </c>
      <c r="L565" t="s">
        <v>2284</v>
      </c>
      <c r="M565" t="s">
        <v>37</v>
      </c>
      <c r="N565" t="s">
        <v>37</v>
      </c>
      <c r="O565" t="s">
        <v>38</v>
      </c>
      <c r="P565" t="s">
        <v>39</v>
      </c>
      <c r="Q565" s="55">
        <v>45966</v>
      </c>
      <c r="R565" t="s">
        <v>280</v>
      </c>
      <c r="S565" t="s">
        <v>5432</v>
      </c>
      <c r="T565" t="s">
        <v>5432</v>
      </c>
      <c r="U565" t="s">
        <v>5432</v>
      </c>
      <c r="W565" s="55"/>
    </row>
    <row r="566" spans="1:26">
      <c r="A566" s="55">
        <v>45905</v>
      </c>
      <c r="B566" t="s">
        <v>1828</v>
      </c>
      <c r="C566" t="s">
        <v>124</v>
      </c>
      <c r="D566" t="s">
        <v>504</v>
      </c>
      <c r="E566">
        <v>86001</v>
      </c>
      <c r="F566" t="s">
        <v>2291</v>
      </c>
      <c r="G566" t="s">
        <v>2130</v>
      </c>
      <c r="H566">
        <v>5983450000</v>
      </c>
      <c r="I566" t="s">
        <v>126</v>
      </c>
      <c r="J566" t="s">
        <v>37</v>
      </c>
      <c r="K566" t="s">
        <v>37</v>
      </c>
      <c r="L566" t="s">
        <v>2293</v>
      </c>
      <c r="M566" t="s">
        <v>37</v>
      </c>
      <c r="N566" t="s">
        <v>37</v>
      </c>
      <c r="O566" t="s">
        <v>38</v>
      </c>
      <c r="P566">
        <v>45937</v>
      </c>
      <c r="Q566" s="55">
        <v>45966</v>
      </c>
      <c r="R566" t="s">
        <v>2280</v>
      </c>
      <c r="S566" t="s">
        <v>5432</v>
      </c>
      <c r="T566" t="s">
        <v>5432</v>
      </c>
      <c r="U566" t="s">
        <v>5432</v>
      </c>
      <c r="W566" s="55"/>
    </row>
    <row r="567" spans="1:26">
      <c r="A567" s="55">
        <v>45905</v>
      </c>
      <c r="B567" t="s">
        <v>2294</v>
      </c>
      <c r="C567" t="s">
        <v>382</v>
      </c>
      <c r="D567" t="s">
        <v>240</v>
      </c>
      <c r="E567">
        <v>85340</v>
      </c>
      <c r="F567" t="s">
        <v>1990</v>
      </c>
      <c r="G567" t="s">
        <v>2130</v>
      </c>
      <c r="H567">
        <v>6393740000</v>
      </c>
      <c r="I567" t="s">
        <v>36</v>
      </c>
      <c r="J567" t="s">
        <v>37</v>
      </c>
      <c r="K567" t="s">
        <v>37</v>
      </c>
      <c r="L567" t="s">
        <v>38</v>
      </c>
      <c r="M567" t="s">
        <v>37</v>
      </c>
      <c r="N567" t="s">
        <v>37</v>
      </c>
      <c r="O567" t="s">
        <v>38</v>
      </c>
      <c r="P567" t="s">
        <v>39</v>
      </c>
      <c r="Q567" s="55">
        <v>45966</v>
      </c>
      <c r="R567" t="s">
        <v>5432</v>
      </c>
      <c r="S567" t="s">
        <v>5432</v>
      </c>
      <c r="T567" t="s">
        <v>5432</v>
      </c>
      <c r="U567" t="s">
        <v>5432</v>
      </c>
      <c r="W567" s="55"/>
    </row>
    <row r="568" spans="1:26">
      <c r="A568" s="55">
        <v>45905</v>
      </c>
      <c r="B568" t="s">
        <v>219</v>
      </c>
      <c r="C568" t="s">
        <v>220</v>
      </c>
      <c r="D568" t="s">
        <v>63</v>
      </c>
      <c r="E568">
        <v>85032</v>
      </c>
      <c r="F568" t="s">
        <v>31</v>
      </c>
      <c r="G568" t="s">
        <v>2130</v>
      </c>
      <c r="H568">
        <v>1164092226</v>
      </c>
      <c r="I568" t="s">
        <v>126</v>
      </c>
      <c r="J568" t="s">
        <v>37</v>
      </c>
      <c r="K568" t="s">
        <v>37</v>
      </c>
      <c r="L568" t="s">
        <v>38</v>
      </c>
      <c r="M568" t="s">
        <v>37</v>
      </c>
      <c r="N568" t="s">
        <v>37</v>
      </c>
      <c r="O568" t="s">
        <v>38</v>
      </c>
      <c r="P568" t="s">
        <v>39</v>
      </c>
      <c r="Q568" s="55">
        <v>45966</v>
      </c>
      <c r="R568" t="s">
        <v>5432</v>
      </c>
      <c r="S568" t="s">
        <v>5432</v>
      </c>
      <c r="T568" t="s">
        <v>5432</v>
      </c>
      <c r="U568" t="s">
        <v>2215</v>
      </c>
      <c r="W568" s="55"/>
    </row>
    <row r="569" spans="1:26">
      <c r="A569" s="55">
        <v>45905</v>
      </c>
      <c r="B569" t="s">
        <v>2301</v>
      </c>
      <c r="C569" t="s">
        <v>2302</v>
      </c>
      <c r="D569" t="s">
        <v>63</v>
      </c>
      <c r="E569">
        <v>85028</v>
      </c>
      <c r="F569" t="s">
        <v>310</v>
      </c>
      <c r="G569" t="s">
        <v>2130</v>
      </c>
      <c r="H569">
        <v>2356371197</v>
      </c>
      <c r="I569" t="s">
        <v>36</v>
      </c>
      <c r="J569" t="s">
        <v>37</v>
      </c>
      <c r="K569" t="s">
        <v>37</v>
      </c>
      <c r="L569" t="s">
        <v>38</v>
      </c>
      <c r="M569" t="s">
        <v>37</v>
      </c>
      <c r="N569" t="s">
        <v>37</v>
      </c>
      <c r="O569" t="s">
        <v>38</v>
      </c>
      <c r="P569" t="s">
        <v>39</v>
      </c>
      <c r="Q569" s="55">
        <v>45966</v>
      </c>
      <c r="R569" t="s">
        <v>5432</v>
      </c>
      <c r="S569" t="s">
        <v>5432</v>
      </c>
      <c r="T569" t="s">
        <v>5432</v>
      </c>
      <c r="U569" t="s">
        <v>5432</v>
      </c>
      <c r="W569" s="55"/>
    </row>
    <row r="570" spans="1:26">
      <c r="A570" s="55">
        <v>45905</v>
      </c>
      <c r="B570" t="s">
        <v>2304</v>
      </c>
      <c r="C570" t="s">
        <v>481</v>
      </c>
      <c r="D570" t="s">
        <v>112</v>
      </c>
      <c r="E570">
        <v>85374</v>
      </c>
      <c r="F570" t="s">
        <v>2305</v>
      </c>
      <c r="G570" t="s">
        <v>2130</v>
      </c>
      <c r="H570">
        <v>510900360</v>
      </c>
      <c r="I570" t="s">
        <v>36</v>
      </c>
      <c r="J570" t="s">
        <v>37</v>
      </c>
      <c r="K570" t="s">
        <v>37</v>
      </c>
      <c r="L570" t="s">
        <v>38</v>
      </c>
      <c r="M570" t="s">
        <v>37</v>
      </c>
      <c r="N570" t="s">
        <v>37</v>
      </c>
      <c r="O570" t="s">
        <v>38</v>
      </c>
      <c r="P570" t="s">
        <v>39</v>
      </c>
      <c r="Q570" s="55">
        <v>45966</v>
      </c>
      <c r="R570" t="s">
        <v>5432</v>
      </c>
      <c r="S570" t="s">
        <v>5432</v>
      </c>
      <c r="T570" t="s">
        <v>5432</v>
      </c>
      <c r="U570" t="s">
        <v>5432</v>
      </c>
      <c r="V570" t="s">
        <v>117</v>
      </c>
      <c r="W570" s="55">
        <v>45997</v>
      </c>
      <c r="X570" t="s">
        <v>5405</v>
      </c>
      <c r="Z570" t="s">
        <v>5472</v>
      </c>
    </row>
    <row r="571" spans="1:26">
      <c r="A571" s="55">
        <v>45905</v>
      </c>
      <c r="B571" t="s">
        <v>2307</v>
      </c>
      <c r="C571" t="s">
        <v>2308</v>
      </c>
      <c r="D571" t="s">
        <v>63</v>
      </c>
      <c r="E571">
        <v>85029</v>
      </c>
      <c r="F571" t="s">
        <v>310</v>
      </c>
      <c r="G571" t="s">
        <v>2130</v>
      </c>
      <c r="H571">
        <v>6346280696</v>
      </c>
      <c r="I571" t="s">
        <v>418</v>
      </c>
      <c r="J571" t="s">
        <v>37</v>
      </c>
      <c r="K571" t="s">
        <v>37</v>
      </c>
      <c r="L571" t="s">
        <v>389</v>
      </c>
      <c r="M571" t="s">
        <v>37</v>
      </c>
      <c r="N571" t="s">
        <v>37</v>
      </c>
      <c r="O571" t="s">
        <v>38</v>
      </c>
      <c r="P571" t="s">
        <v>39</v>
      </c>
      <c r="Q571" s="55">
        <v>45966</v>
      </c>
      <c r="R571" t="s">
        <v>5432</v>
      </c>
      <c r="S571" t="s">
        <v>5432</v>
      </c>
      <c r="T571" t="s">
        <v>5432</v>
      </c>
      <c r="U571" t="s">
        <v>5432</v>
      </c>
      <c r="W571" s="55"/>
    </row>
    <row r="572" spans="1:26">
      <c r="A572" s="55">
        <v>45905</v>
      </c>
      <c r="B572" t="s">
        <v>2313</v>
      </c>
      <c r="C572" t="s">
        <v>194</v>
      </c>
      <c r="D572" t="s">
        <v>63</v>
      </c>
      <c r="E572">
        <v>85013</v>
      </c>
      <c r="F572" t="s">
        <v>310</v>
      </c>
      <c r="G572" t="s">
        <v>2130</v>
      </c>
      <c r="H572">
        <v>6276745354</v>
      </c>
      <c r="I572" t="s">
        <v>36</v>
      </c>
      <c r="J572" t="s">
        <v>37</v>
      </c>
      <c r="K572" t="s">
        <v>37</v>
      </c>
      <c r="L572" t="s">
        <v>38</v>
      </c>
      <c r="M572" t="s">
        <v>37</v>
      </c>
      <c r="N572" t="s">
        <v>37</v>
      </c>
      <c r="O572" t="s">
        <v>38</v>
      </c>
      <c r="P572" t="s">
        <v>39</v>
      </c>
      <c r="Q572" s="55">
        <v>45965</v>
      </c>
      <c r="R572" t="s">
        <v>5432</v>
      </c>
      <c r="S572" t="s">
        <v>5432</v>
      </c>
      <c r="T572" t="s">
        <v>5432</v>
      </c>
      <c r="U572" t="s">
        <v>5432</v>
      </c>
      <c r="W572" s="55"/>
    </row>
    <row r="573" spans="1:26">
      <c r="A573" s="55">
        <v>45905</v>
      </c>
      <c r="B573" t="s">
        <v>2315</v>
      </c>
      <c r="C573" t="s">
        <v>2316</v>
      </c>
      <c r="D573" t="s">
        <v>370</v>
      </c>
      <c r="E573">
        <v>85225</v>
      </c>
      <c r="F573" t="s">
        <v>2317</v>
      </c>
      <c r="G573" t="s">
        <v>2130</v>
      </c>
      <c r="H573">
        <v>5730448493</v>
      </c>
      <c r="I573" t="s">
        <v>36</v>
      </c>
      <c r="J573" t="s">
        <v>38</v>
      </c>
      <c r="K573" t="s">
        <v>37</v>
      </c>
      <c r="L573" t="s">
        <v>38</v>
      </c>
      <c r="M573" t="s">
        <v>37</v>
      </c>
      <c r="N573" t="s">
        <v>37</v>
      </c>
      <c r="O573" t="s">
        <v>38</v>
      </c>
      <c r="P573" t="s">
        <v>39</v>
      </c>
      <c r="Q573" s="55">
        <v>45965</v>
      </c>
      <c r="R573" t="s">
        <v>5432</v>
      </c>
      <c r="S573" t="s">
        <v>5432</v>
      </c>
      <c r="T573" t="s">
        <v>5432</v>
      </c>
      <c r="U573" t="s">
        <v>5432</v>
      </c>
      <c r="W573" s="55"/>
    </row>
    <row r="574" spans="1:26">
      <c r="A574" s="55">
        <v>45905</v>
      </c>
      <c r="B574" t="s">
        <v>2319</v>
      </c>
      <c r="C574" t="s">
        <v>2320</v>
      </c>
      <c r="D574" t="s">
        <v>202</v>
      </c>
      <c r="E574">
        <v>85383</v>
      </c>
      <c r="F574" t="s">
        <v>310</v>
      </c>
      <c r="G574" t="s">
        <v>2130</v>
      </c>
      <c r="H574">
        <v>7866236989</v>
      </c>
      <c r="I574" t="s">
        <v>36</v>
      </c>
      <c r="J574" t="s">
        <v>37</v>
      </c>
      <c r="K574" t="s">
        <v>37</v>
      </c>
      <c r="L574" t="s">
        <v>38</v>
      </c>
      <c r="M574" t="s">
        <v>37</v>
      </c>
      <c r="N574" t="s">
        <v>37</v>
      </c>
      <c r="O574" t="s">
        <v>38</v>
      </c>
      <c r="P574" t="s">
        <v>39</v>
      </c>
      <c r="Q574" s="55">
        <v>45965</v>
      </c>
      <c r="R574" t="s">
        <v>5432</v>
      </c>
      <c r="S574" t="s">
        <v>5432</v>
      </c>
      <c r="T574" t="s">
        <v>5432</v>
      </c>
      <c r="U574" t="s">
        <v>5432</v>
      </c>
      <c r="W574" s="55"/>
    </row>
    <row r="575" spans="1:26">
      <c r="A575" s="55">
        <v>45905</v>
      </c>
      <c r="B575" t="s">
        <v>2322</v>
      </c>
      <c r="C575" t="s">
        <v>2184</v>
      </c>
      <c r="D575" t="s">
        <v>136</v>
      </c>
      <c r="E575">
        <v>85377</v>
      </c>
      <c r="F575" t="s">
        <v>2323</v>
      </c>
      <c r="G575" t="s">
        <v>2130</v>
      </c>
      <c r="H575">
        <v>3128248912</v>
      </c>
      <c r="I575" t="s">
        <v>196</v>
      </c>
      <c r="J575" t="s">
        <v>37</v>
      </c>
      <c r="K575" t="s">
        <v>37</v>
      </c>
      <c r="L575" t="s">
        <v>2325</v>
      </c>
      <c r="M575" t="s">
        <v>37</v>
      </c>
      <c r="N575" t="s">
        <v>37</v>
      </c>
      <c r="O575" t="s">
        <v>38</v>
      </c>
      <c r="P575">
        <v>45937</v>
      </c>
      <c r="Q575" s="55">
        <v>45965</v>
      </c>
      <c r="R575" t="s">
        <v>2326</v>
      </c>
      <c r="S575" t="s">
        <v>5432</v>
      </c>
      <c r="T575" t="s">
        <v>5432</v>
      </c>
      <c r="U575" t="s">
        <v>5432</v>
      </c>
      <c r="W575" s="55"/>
    </row>
    <row r="576" spans="1:26">
      <c r="A576" s="55">
        <v>45905</v>
      </c>
      <c r="B576" t="s">
        <v>2327</v>
      </c>
      <c r="C576" t="s">
        <v>2328</v>
      </c>
      <c r="D576" t="s">
        <v>63</v>
      </c>
      <c r="E576">
        <v>85006</v>
      </c>
      <c r="F576" t="s">
        <v>2329</v>
      </c>
      <c r="G576" t="s">
        <v>2130</v>
      </c>
      <c r="H576">
        <v>9775140000</v>
      </c>
      <c r="I576" t="s">
        <v>73</v>
      </c>
      <c r="J576" t="s">
        <v>37</v>
      </c>
      <c r="K576" t="s">
        <v>37</v>
      </c>
      <c r="L576" t="s">
        <v>38</v>
      </c>
      <c r="M576" t="s">
        <v>37</v>
      </c>
      <c r="N576" t="s">
        <v>37</v>
      </c>
      <c r="O576" t="s">
        <v>38</v>
      </c>
      <c r="P576" t="s">
        <v>39</v>
      </c>
      <c r="Q576" s="55">
        <v>45965</v>
      </c>
      <c r="R576" t="s">
        <v>5432</v>
      </c>
      <c r="S576" t="s">
        <v>5432</v>
      </c>
      <c r="T576" t="s">
        <v>5432</v>
      </c>
      <c r="U576" t="s">
        <v>5432</v>
      </c>
      <c r="W576" s="55"/>
    </row>
    <row r="577" spans="1:23">
      <c r="A577" s="55">
        <v>45905</v>
      </c>
      <c r="B577" t="s">
        <v>2331</v>
      </c>
      <c r="C577" t="s">
        <v>2332</v>
      </c>
      <c r="D577" t="s">
        <v>635</v>
      </c>
      <c r="E577">
        <v>85281</v>
      </c>
      <c r="F577" t="s">
        <v>310</v>
      </c>
      <c r="G577" t="s">
        <v>2130</v>
      </c>
      <c r="H577">
        <v>2655378250</v>
      </c>
      <c r="I577" t="s">
        <v>126</v>
      </c>
      <c r="J577" t="s">
        <v>37</v>
      </c>
      <c r="K577" t="s">
        <v>37</v>
      </c>
      <c r="L577" t="s">
        <v>2334</v>
      </c>
      <c r="M577" t="s">
        <v>37</v>
      </c>
      <c r="N577" t="s">
        <v>37</v>
      </c>
      <c r="O577" t="s">
        <v>38</v>
      </c>
      <c r="P577" t="s">
        <v>39</v>
      </c>
      <c r="Q577" s="55">
        <v>45965</v>
      </c>
      <c r="R577" t="s">
        <v>5432</v>
      </c>
      <c r="S577" t="s">
        <v>5432</v>
      </c>
      <c r="T577" t="s">
        <v>5432</v>
      </c>
      <c r="U577" t="s">
        <v>5432</v>
      </c>
      <c r="W577" s="55"/>
    </row>
    <row r="578" spans="1:23">
      <c r="A578" s="55">
        <v>45905</v>
      </c>
      <c r="B578" t="s">
        <v>2340</v>
      </c>
      <c r="C578" t="s">
        <v>2341</v>
      </c>
      <c r="D578" t="s">
        <v>174</v>
      </c>
      <c r="E578">
        <v>85326</v>
      </c>
      <c r="F578" t="s">
        <v>310</v>
      </c>
      <c r="G578" t="s">
        <v>2130</v>
      </c>
      <c r="H578">
        <v>1908399537</v>
      </c>
      <c r="I578" t="s">
        <v>541</v>
      </c>
      <c r="J578" t="s">
        <v>38</v>
      </c>
      <c r="K578" t="s">
        <v>37</v>
      </c>
      <c r="L578" t="s">
        <v>389</v>
      </c>
      <c r="M578" t="s">
        <v>37</v>
      </c>
      <c r="N578" t="s">
        <v>37</v>
      </c>
      <c r="O578" t="s">
        <v>38</v>
      </c>
      <c r="P578" t="s">
        <v>39</v>
      </c>
      <c r="Q578" s="55">
        <v>45965</v>
      </c>
      <c r="R578" t="s">
        <v>5432</v>
      </c>
      <c r="S578" t="s">
        <v>5432</v>
      </c>
      <c r="T578" t="s">
        <v>5432</v>
      </c>
      <c r="U578" t="s">
        <v>5432</v>
      </c>
      <c r="W578" s="55"/>
    </row>
    <row r="579" spans="1:23">
      <c r="A579" s="55">
        <v>45905</v>
      </c>
      <c r="B579" t="s">
        <v>2290</v>
      </c>
      <c r="C579" t="s">
        <v>2343</v>
      </c>
      <c r="D579" t="s">
        <v>63</v>
      </c>
      <c r="E579">
        <v>85024</v>
      </c>
      <c r="F579" t="s">
        <v>31</v>
      </c>
      <c r="G579" t="s">
        <v>2130</v>
      </c>
      <c r="H579">
        <v>7791021977</v>
      </c>
      <c r="I579" t="s">
        <v>36</v>
      </c>
      <c r="J579" t="s">
        <v>37</v>
      </c>
      <c r="K579" t="s">
        <v>37</v>
      </c>
      <c r="L579" t="s">
        <v>38</v>
      </c>
      <c r="M579" t="s">
        <v>37</v>
      </c>
      <c r="N579" t="s">
        <v>37</v>
      </c>
      <c r="O579" t="s">
        <v>38</v>
      </c>
      <c r="P579" t="s">
        <v>39</v>
      </c>
      <c r="Q579" s="55">
        <v>45965</v>
      </c>
      <c r="R579" t="s">
        <v>5432</v>
      </c>
      <c r="S579" t="s">
        <v>5432</v>
      </c>
      <c r="T579" t="s">
        <v>5432</v>
      </c>
      <c r="U579" t="s">
        <v>5432</v>
      </c>
      <c r="W579" s="55"/>
    </row>
    <row r="580" spans="1:23">
      <c r="A580" s="55">
        <v>45905</v>
      </c>
      <c r="B580" t="s">
        <v>2345</v>
      </c>
      <c r="C580" t="s">
        <v>75</v>
      </c>
      <c r="D580" t="s">
        <v>63</v>
      </c>
      <c r="E580">
        <v>85012</v>
      </c>
      <c r="F580" t="s">
        <v>310</v>
      </c>
      <c r="G580" t="s">
        <v>2130</v>
      </c>
      <c r="H580">
        <v>9065406549</v>
      </c>
      <c r="I580" t="s">
        <v>73</v>
      </c>
      <c r="J580" t="s">
        <v>37</v>
      </c>
      <c r="K580" t="s">
        <v>37</v>
      </c>
      <c r="L580" t="s">
        <v>401</v>
      </c>
      <c r="M580" t="s">
        <v>37</v>
      </c>
      <c r="N580" t="s">
        <v>37</v>
      </c>
      <c r="O580" t="s">
        <v>38</v>
      </c>
      <c r="P580" t="s">
        <v>39</v>
      </c>
      <c r="Q580" s="55">
        <v>38660</v>
      </c>
      <c r="R580" t="s">
        <v>2347</v>
      </c>
      <c r="S580" t="s">
        <v>5432</v>
      </c>
      <c r="T580" t="s">
        <v>5432</v>
      </c>
      <c r="U580" t="s">
        <v>5432</v>
      </c>
      <c r="W580" s="55"/>
    </row>
    <row r="581" spans="1:23">
      <c r="A581" s="55">
        <v>45905</v>
      </c>
      <c r="B581" t="s">
        <v>2348</v>
      </c>
      <c r="C581" t="s">
        <v>2349</v>
      </c>
      <c r="D581" t="s">
        <v>63</v>
      </c>
      <c r="E581">
        <v>85008</v>
      </c>
      <c r="F581" t="s">
        <v>31</v>
      </c>
      <c r="G581" t="s">
        <v>2130</v>
      </c>
      <c r="H581">
        <v>2649331000</v>
      </c>
      <c r="I581" t="s">
        <v>196</v>
      </c>
      <c r="J581" t="s">
        <v>37</v>
      </c>
      <c r="K581" t="s">
        <v>37</v>
      </c>
      <c r="L581" t="s">
        <v>2351</v>
      </c>
      <c r="M581" t="s">
        <v>37</v>
      </c>
      <c r="N581" t="s">
        <v>37</v>
      </c>
      <c r="O581" t="s">
        <v>38</v>
      </c>
      <c r="P581">
        <v>45937</v>
      </c>
      <c r="Q581" s="55">
        <v>45965</v>
      </c>
      <c r="R581" t="s">
        <v>2352</v>
      </c>
      <c r="S581" t="s">
        <v>5432</v>
      </c>
      <c r="T581" t="s">
        <v>5432</v>
      </c>
      <c r="U581" t="s">
        <v>5432</v>
      </c>
      <c r="W581" s="55"/>
    </row>
    <row r="582" spans="1:23">
      <c r="A582" s="55">
        <v>45905</v>
      </c>
      <c r="B582" t="s">
        <v>2353</v>
      </c>
      <c r="C582" t="s">
        <v>2354</v>
      </c>
      <c r="D582" t="s">
        <v>63</v>
      </c>
      <c r="E582">
        <v>85027</v>
      </c>
      <c r="F582" t="s">
        <v>310</v>
      </c>
      <c r="G582" t="s">
        <v>2130</v>
      </c>
      <c r="H582">
        <v>6128271693</v>
      </c>
      <c r="I582" t="s">
        <v>541</v>
      </c>
      <c r="J582" t="s">
        <v>37</v>
      </c>
      <c r="K582" t="s">
        <v>37</v>
      </c>
      <c r="L582" t="s">
        <v>389</v>
      </c>
      <c r="M582" t="s">
        <v>37</v>
      </c>
      <c r="N582" t="s">
        <v>37</v>
      </c>
      <c r="O582" t="s">
        <v>38</v>
      </c>
      <c r="P582" t="s">
        <v>39</v>
      </c>
      <c r="Q582" s="55">
        <v>45965</v>
      </c>
      <c r="R582" t="s">
        <v>5432</v>
      </c>
      <c r="S582" t="s">
        <v>5432</v>
      </c>
      <c r="T582" t="s">
        <v>5432</v>
      </c>
      <c r="U582" t="s">
        <v>5432</v>
      </c>
      <c r="W582" s="55"/>
    </row>
    <row r="583" spans="1:23">
      <c r="A583" s="55">
        <v>45905</v>
      </c>
      <c r="B583" t="s">
        <v>2356</v>
      </c>
      <c r="C583" t="s">
        <v>2219</v>
      </c>
      <c r="D583" t="s">
        <v>30</v>
      </c>
      <c r="E583" t="s">
        <v>30</v>
      </c>
      <c r="F583" t="s">
        <v>2357</v>
      </c>
      <c r="G583" t="s">
        <v>2130</v>
      </c>
      <c r="H583">
        <v>4218400000</v>
      </c>
      <c r="I583" t="s">
        <v>126</v>
      </c>
      <c r="J583" t="s">
        <v>37</v>
      </c>
      <c r="K583" t="s">
        <v>37</v>
      </c>
      <c r="L583" t="s">
        <v>38</v>
      </c>
      <c r="M583" t="s">
        <v>37</v>
      </c>
      <c r="N583" t="s">
        <v>37</v>
      </c>
      <c r="O583" t="s">
        <v>38</v>
      </c>
      <c r="P583" t="s">
        <v>39</v>
      </c>
      <c r="Q583" s="55">
        <v>45965</v>
      </c>
      <c r="R583" t="s">
        <v>5432</v>
      </c>
      <c r="S583" t="s">
        <v>5432</v>
      </c>
      <c r="T583" t="s">
        <v>5432</v>
      </c>
      <c r="U583" t="s">
        <v>5432</v>
      </c>
      <c r="W583" s="55"/>
    </row>
    <row r="584" spans="1:23">
      <c r="A584" s="55">
        <v>45906</v>
      </c>
      <c r="B584" t="s">
        <v>2365</v>
      </c>
      <c r="C584" t="s">
        <v>550</v>
      </c>
      <c r="D584" t="s">
        <v>63</v>
      </c>
      <c r="E584">
        <v>85004</v>
      </c>
      <c r="F584" t="s">
        <v>2366</v>
      </c>
      <c r="G584" t="s">
        <v>2364</v>
      </c>
      <c r="H584">
        <v>460101000</v>
      </c>
      <c r="I584" t="s">
        <v>36</v>
      </c>
      <c r="J584" t="s">
        <v>37</v>
      </c>
      <c r="K584" t="s">
        <v>37</v>
      </c>
      <c r="L584" t="s">
        <v>38</v>
      </c>
      <c r="M584" t="s">
        <v>37</v>
      </c>
      <c r="N584" t="s">
        <v>37</v>
      </c>
      <c r="O584" t="s">
        <v>38</v>
      </c>
      <c r="P584" t="s">
        <v>39</v>
      </c>
      <c r="Q584" s="55">
        <v>45965</v>
      </c>
      <c r="R584" t="s">
        <v>5432</v>
      </c>
      <c r="S584" t="s">
        <v>5432</v>
      </c>
      <c r="T584" t="s">
        <v>5432</v>
      </c>
      <c r="U584" t="s">
        <v>5432</v>
      </c>
      <c r="W584" s="55"/>
    </row>
    <row r="585" spans="1:23">
      <c r="A585" s="55">
        <v>45906</v>
      </c>
      <c r="B585" t="s">
        <v>2368</v>
      </c>
      <c r="C585" t="s">
        <v>2116</v>
      </c>
      <c r="D585" t="s">
        <v>63</v>
      </c>
      <c r="E585">
        <v>85022</v>
      </c>
      <c r="F585" t="s">
        <v>310</v>
      </c>
      <c r="G585" t="s">
        <v>2364</v>
      </c>
      <c r="H585">
        <v>8598239302</v>
      </c>
      <c r="I585" t="s">
        <v>196</v>
      </c>
      <c r="J585" t="s">
        <v>37</v>
      </c>
      <c r="K585" t="s">
        <v>37</v>
      </c>
      <c r="L585" t="s">
        <v>2370</v>
      </c>
      <c r="M585" t="s">
        <v>37</v>
      </c>
      <c r="N585" t="s">
        <v>37</v>
      </c>
      <c r="O585" t="s">
        <v>38</v>
      </c>
      <c r="P585" t="s">
        <v>39</v>
      </c>
      <c r="Q585" s="55">
        <v>45965</v>
      </c>
      <c r="R585" t="s">
        <v>5432</v>
      </c>
      <c r="S585" t="s">
        <v>5432</v>
      </c>
      <c r="T585" t="s">
        <v>5432</v>
      </c>
      <c r="U585" t="s">
        <v>5432</v>
      </c>
      <c r="W585" s="55"/>
    </row>
    <row r="586" spans="1:23">
      <c r="A586" s="55">
        <v>45906</v>
      </c>
      <c r="B586" t="s">
        <v>2371</v>
      </c>
      <c r="C586" t="s">
        <v>503</v>
      </c>
      <c r="D586" t="s">
        <v>125</v>
      </c>
      <c r="E586">
        <v>85260</v>
      </c>
      <c r="F586" t="s">
        <v>310</v>
      </c>
      <c r="G586" t="s">
        <v>2364</v>
      </c>
      <c r="H586">
        <v>5554267371</v>
      </c>
      <c r="I586" t="s">
        <v>36</v>
      </c>
      <c r="J586" t="s">
        <v>37</v>
      </c>
      <c r="K586" t="s">
        <v>37</v>
      </c>
      <c r="L586" t="s">
        <v>38</v>
      </c>
      <c r="M586" t="s">
        <v>37</v>
      </c>
      <c r="N586" t="s">
        <v>37</v>
      </c>
      <c r="O586" t="s">
        <v>38</v>
      </c>
      <c r="P586" t="s">
        <v>39</v>
      </c>
      <c r="Q586" s="55">
        <v>45965</v>
      </c>
      <c r="R586" t="s">
        <v>5432</v>
      </c>
      <c r="S586" t="s">
        <v>5432</v>
      </c>
      <c r="T586" t="s">
        <v>5432</v>
      </c>
      <c r="U586" t="s">
        <v>5432</v>
      </c>
      <c r="W586" s="55"/>
    </row>
    <row r="587" spans="1:23">
      <c r="A587" s="55">
        <v>45906</v>
      </c>
      <c r="B587" t="s">
        <v>2373</v>
      </c>
      <c r="C587" t="s">
        <v>2339</v>
      </c>
      <c r="D587" t="s">
        <v>63</v>
      </c>
      <c r="E587">
        <v>85016</v>
      </c>
      <c r="F587" t="s">
        <v>2374</v>
      </c>
      <c r="G587" t="s">
        <v>2364</v>
      </c>
      <c r="H587">
        <v>4656135575</v>
      </c>
      <c r="I587" t="s">
        <v>126</v>
      </c>
      <c r="J587" t="s">
        <v>37</v>
      </c>
      <c r="K587" t="s">
        <v>37</v>
      </c>
      <c r="L587" t="s">
        <v>38</v>
      </c>
      <c r="M587" t="s">
        <v>37</v>
      </c>
      <c r="N587" t="s">
        <v>37</v>
      </c>
      <c r="O587" t="s">
        <v>38</v>
      </c>
      <c r="P587" t="s">
        <v>39</v>
      </c>
      <c r="Q587" s="55">
        <v>45965</v>
      </c>
      <c r="R587" t="s">
        <v>5432</v>
      </c>
      <c r="S587" t="s">
        <v>5432</v>
      </c>
      <c r="T587" t="s">
        <v>5432</v>
      </c>
      <c r="U587" t="s">
        <v>5432</v>
      </c>
      <c r="W587" s="55"/>
    </row>
    <row r="588" spans="1:23">
      <c r="A588" s="55">
        <v>45906</v>
      </c>
      <c r="B588" t="s">
        <v>2379</v>
      </c>
      <c r="C588" t="s">
        <v>2380</v>
      </c>
      <c r="D588" t="s">
        <v>63</v>
      </c>
      <c r="E588">
        <v>37204</v>
      </c>
      <c r="F588" t="s">
        <v>2381</v>
      </c>
      <c r="G588" t="s">
        <v>2364</v>
      </c>
      <c r="H588">
        <v>7871459753</v>
      </c>
      <c r="I588" t="s">
        <v>541</v>
      </c>
      <c r="J588" t="s">
        <v>37</v>
      </c>
      <c r="K588" t="s">
        <v>37</v>
      </c>
      <c r="L588" t="s">
        <v>389</v>
      </c>
      <c r="M588" t="s">
        <v>37</v>
      </c>
      <c r="N588" t="s">
        <v>37</v>
      </c>
      <c r="O588" t="s">
        <v>38</v>
      </c>
      <c r="P588" t="s">
        <v>39</v>
      </c>
      <c r="Q588" s="55">
        <v>45965</v>
      </c>
      <c r="R588" t="s">
        <v>5432</v>
      </c>
      <c r="S588" t="s">
        <v>5432</v>
      </c>
      <c r="T588" t="s">
        <v>5432</v>
      </c>
      <c r="U588" t="s">
        <v>724</v>
      </c>
      <c r="W588" s="55"/>
    </row>
    <row r="589" spans="1:23">
      <c r="A589" s="55">
        <v>45906</v>
      </c>
      <c r="B589" t="s">
        <v>2383</v>
      </c>
      <c r="C589" t="s">
        <v>246</v>
      </c>
      <c r="D589" t="s">
        <v>264</v>
      </c>
      <c r="E589">
        <v>85541</v>
      </c>
      <c r="F589" t="s">
        <v>2384</v>
      </c>
      <c r="G589" t="s">
        <v>2364</v>
      </c>
      <c r="H589">
        <v>8270011000</v>
      </c>
      <c r="I589" t="s">
        <v>36</v>
      </c>
      <c r="J589" t="s">
        <v>37</v>
      </c>
      <c r="K589" t="s">
        <v>37</v>
      </c>
      <c r="L589" t="s">
        <v>38</v>
      </c>
      <c r="M589" t="s">
        <v>37</v>
      </c>
      <c r="N589" t="s">
        <v>37</v>
      </c>
      <c r="O589" t="s">
        <v>38</v>
      </c>
      <c r="P589" t="s">
        <v>39</v>
      </c>
      <c r="Q589" s="55">
        <v>45965</v>
      </c>
      <c r="R589" t="s">
        <v>5432</v>
      </c>
      <c r="S589" t="s">
        <v>5432</v>
      </c>
      <c r="T589" t="s">
        <v>5432</v>
      </c>
      <c r="U589" t="s">
        <v>5432</v>
      </c>
      <c r="W589" s="55"/>
    </row>
    <row r="590" spans="1:23">
      <c r="A590" s="55">
        <v>45906</v>
      </c>
      <c r="B590" t="s">
        <v>2386</v>
      </c>
      <c r="C590" t="s">
        <v>697</v>
      </c>
      <c r="D590" t="s">
        <v>1693</v>
      </c>
      <c r="E590">
        <v>85373</v>
      </c>
      <c r="F590" t="s">
        <v>2387</v>
      </c>
      <c r="G590" t="s">
        <v>2364</v>
      </c>
      <c r="H590">
        <v>949968967</v>
      </c>
      <c r="I590" t="s">
        <v>46</v>
      </c>
      <c r="J590" t="s">
        <v>37</v>
      </c>
      <c r="K590" t="s">
        <v>37</v>
      </c>
      <c r="L590" t="s">
        <v>38</v>
      </c>
      <c r="M590" t="s">
        <v>37</v>
      </c>
      <c r="N590" t="s">
        <v>37</v>
      </c>
      <c r="O590" t="s">
        <v>38</v>
      </c>
      <c r="P590" t="s">
        <v>39</v>
      </c>
      <c r="Q590" s="55">
        <v>45965</v>
      </c>
      <c r="R590" t="s">
        <v>5432</v>
      </c>
      <c r="S590" t="s">
        <v>5432</v>
      </c>
      <c r="T590" t="s">
        <v>5432</v>
      </c>
      <c r="U590" t="s">
        <v>5432</v>
      </c>
      <c r="W590" s="55"/>
    </row>
    <row r="591" spans="1:23">
      <c r="A591" s="55">
        <v>45906</v>
      </c>
      <c r="B591" t="s">
        <v>2391</v>
      </c>
      <c r="C591" t="s">
        <v>2392</v>
      </c>
      <c r="D591" t="s">
        <v>63</v>
      </c>
      <c r="E591">
        <v>85029</v>
      </c>
      <c r="F591" t="s">
        <v>305</v>
      </c>
      <c r="G591" t="s">
        <v>2364</v>
      </c>
      <c r="H591">
        <v>5463797477</v>
      </c>
      <c r="I591" t="s">
        <v>126</v>
      </c>
      <c r="J591" t="s">
        <v>37</v>
      </c>
      <c r="K591" t="s">
        <v>37</v>
      </c>
      <c r="L591" t="s">
        <v>38</v>
      </c>
      <c r="M591" t="s">
        <v>37</v>
      </c>
      <c r="N591" t="s">
        <v>37</v>
      </c>
      <c r="O591" t="s">
        <v>38</v>
      </c>
      <c r="P591" t="s">
        <v>39</v>
      </c>
      <c r="Q591" s="55">
        <v>45965</v>
      </c>
      <c r="R591" t="s">
        <v>5432</v>
      </c>
      <c r="S591" t="s">
        <v>5432</v>
      </c>
      <c r="T591" t="s">
        <v>5432</v>
      </c>
      <c r="U591" t="s">
        <v>5432</v>
      </c>
      <c r="W591" s="55"/>
    </row>
    <row r="592" spans="1:23">
      <c r="A592" s="55">
        <v>45906</v>
      </c>
      <c r="B592" t="s">
        <v>2394</v>
      </c>
      <c r="C592" t="s">
        <v>2395</v>
      </c>
      <c r="D592" t="s">
        <v>125</v>
      </c>
      <c r="E592">
        <v>85260</v>
      </c>
      <c r="F592" t="s">
        <v>31</v>
      </c>
      <c r="G592" t="s">
        <v>2364</v>
      </c>
      <c r="H592">
        <v>5485214420</v>
      </c>
      <c r="I592" t="s">
        <v>196</v>
      </c>
      <c r="J592" t="s">
        <v>37</v>
      </c>
      <c r="K592" t="s">
        <v>37</v>
      </c>
      <c r="L592" t="s">
        <v>2397</v>
      </c>
      <c r="M592" t="s">
        <v>37</v>
      </c>
      <c r="N592" t="s">
        <v>37</v>
      </c>
      <c r="O592" t="s">
        <v>38</v>
      </c>
      <c r="P592">
        <v>45964</v>
      </c>
      <c r="Q592" s="55">
        <v>45965</v>
      </c>
      <c r="R592" t="s">
        <v>2398</v>
      </c>
      <c r="S592" t="s">
        <v>5432</v>
      </c>
      <c r="T592" t="s">
        <v>5432</v>
      </c>
      <c r="U592" t="s">
        <v>5432</v>
      </c>
      <c r="W592" s="55"/>
    </row>
    <row r="593" spans="1:26">
      <c r="A593" s="55">
        <v>45906</v>
      </c>
      <c r="B593" t="s">
        <v>2401</v>
      </c>
      <c r="C593" t="s">
        <v>333</v>
      </c>
      <c r="D593" t="s">
        <v>63</v>
      </c>
      <c r="E593">
        <v>85012</v>
      </c>
      <c r="F593" t="s">
        <v>310</v>
      </c>
      <c r="G593" t="s">
        <v>2364</v>
      </c>
      <c r="H593">
        <v>8372996858</v>
      </c>
      <c r="I593" t="s">
        <v>73</v>
      </c>
      <c r="J593" t="s">
        <v>37</v>
      </c>
      <c r="K593" t="s">
        <v>37</v>
      </c>
      <c r="L593" t="s">
        <v>38</v>
      </c>
      <c r="M593" t="s">
        <v>37</v>
      </c>
      <c r="N593" t="s">
        <v>37</v>
      </c>
      <c r="O593" t="s">
        <v>38</v>
      </c>
      <c r="P593" t="s">
        <v>39</v>
      </c>
      <c r="Q593" s="55">
        <v>45965</v>
      </c>
      <c r="R593" t="s">
        <v>5432</v>
      </c>
      <c r="S593" t="s">
        <v>5432</v>
      </c>
      <c r="T593" t="s">
        <v>5432</v>
      </c>
      <c r="U593" t="s">
        <v>5432</v>
      </c>
      <c r="W593" s="55"/>
    </row>
    <row r="594" spans="1:26">
      <c r="A594" s="55">
        <v>45906</v>
      </c>
      <c r="B594" t="s">
        <v>2403</v>
      </c>
      <c r="C594" t="s">
        <v>2404</v>
      </c>
      <c r="D594" t="s">
        <v>125</v>
      </c>
      <c r="E594">
        <v>85251</v>
      </c>
      <c r="F594" t="s">
        <v>2405</v>
      </c>
      <c r="G594" t="s">
        <v>2364</v>
      </c>
      <c r="H594">
        <v>915272757</v>
      </c>
      <c r="I594" t="s">
        <v>36</v>
      </c>
      <c r="J594" t="s">
        <v>37</v>
      </c>
      <c r="K594" t="s">
        <v>37</v>
      </c>
      <c r="L594" t="s">
        <v>38</v>
      </c>
      <c r="M594" t="s">
        <v>37</v>
      </c>
      <c r="N594" t="s">
        <v>37</v>
      </c>
      <c r="O594" t="s">
        <v>38</v>
      </c>
      <c r="P594" t="s">
        <v>39</v>
      </c>
      <c r="Q594" s="55">
        <v>45965</v>
      </c>
      <c r="R594" t="s">
        <v>5432</v>
      </c>
      <c r="S594" t="s">
        <v>5432</v>
      </c>
      <c r="T594" t="s">
        <v>5432</v>
      </c>
      <c r="U594" t="s">
        <v>5432</v>
      </c>
      <c r="W594" s="55"/>
    </row>
    <row r="595" spans="1:26">
      <c r="A595" s="55">
        <v>45906</v>
      </c>
      <c r="B595" t="s">
        <v>2408</v>
      </c>
      <c r="C595" t="s">
        <v>355</v>
      </c>
      <c r="D595" t="s">
        <v>24</v>
      </c>
      <c r="E595">
        <v>85310</v>
      </c>
      <c r="F595" t="s">
        <v>2409</v>
      </c>
      <c r="G595" t="s">
        <v>2364</v>
      </c>
      <c r="H595">
        <v>1939300000</v>
      </c>
      <c r="I595" t="s">
        <v>126</v>
      </c>
      <c r="J595" t="s">
        <v>37</v>
      </c>
      <c r="K595" t="s">
        <v>37</v>
      </c>
      <c r="L595" t="s">
        <v>38</v>
      </c>
      <c r="M595" t="s">
        <v>37</v>
      </c>
      <c r="N595" t="s">
        <v>37</v>
      </c>
      <c r="O595" t="s">
        <v>38</v>
      </c>
      <c r="P595" t="s">
        <v>39</v>
      </c>
      <c r="Q595" s="55">
        <v>45965</v>
      </c>
      <c r="R595" t="s">
        <v>5432</v>
      </c>
      <c r="S595" t="s">
        <v>5432</v>
      </c>
      <c r="T595" t="s">
        <v>5432</v>
      </c>
      <c r="U595" t="s">
        <v>5432</v>
      </c>
      <c r="W595" s="55"/>
    </row>
    <row r="596" spans="1:26">
      <c r="A596" s="55">
        <v>45906</v>
      </c>
      <c r="B596" t="s">
        <v>2413</v>
      </c>
      <c r="C596" t="s">
        <v>427</v>
      </c>
      <c r="D596" t="s">
        <v>24</v>
      </c>
      <c r="E596">
        <v>85308</v>
      </c>
      <c r="F596" t="s">
        <v>2414</v>
      </c>
      <c r="G596" t="s">
        <v>2364</v>
      </c>
      <c r="H596">
        <v>3664029144</v>
      </c>
      <c r="I596" t="s">
        <v>36</v>
      </c>
      <c r="J596" t="s">
        <v>37</v>
      </c>
      <c r="K596" t="s">
        <v>37</v>
      </c>
      <c r="L596" t="s">
        <v>38</v>
      </c>
      <c r="M596" t="s">
        <v>37</v>
      </c>
      <c r="N596" t="s">
        <v>37</v>
      </c>
      <c r="O596" t="s">
        <v>38</v>
      </c>
      <c r="P596" t="s">
        <v>39</v>
      </c>
      <c r="Q596" s="55">
        <v>45965</v>
      </c>
      <c r="R596" t="s">
        <v>5432</v>
      </c>
      <c r="S596" t="s">
        <v>5432</v>
      </c>
      <c r="T596" t="s">
        <v>5432</v>
      </c>
      <c r="U596" t="s">
        <v>5432</v>
      </c>
      <c r="W596" s="55"/>
    </row>
    <row r="597" spans="1:26">
      <c r="A597" s="55">
        <v>45906</v>
      </c>
      <c r="B597" t="s">
        <v>2416</v>
      </c>
      <c r="C597" t="s">
        <v>717</v>
      </c>
      <c r="D597" t="s">
        <v>30</v>
      </c>
      <c r="E597" t="s">
        <v>30</v>
      </c>
      <c r="F597" t="s">
        <v>2417</v>
      </c>
      <c r="G597" t="s">
        <v>2364</v>
      </c>
      <c r="H597">
        <v>9414462931</v>
      </c>
      <c r="I597" t="s">
        <v>126</v>
      </c>
      <c r="J597" t="s">
        <v>37</v>
      </c>
      <c r="K597" t="s">
        <v>37</v>
      </c>
      <c r="L597" t="s">
        <v>2419</v>
      </c>
      <c r="M597" t="s">
        <v>37</v>
      </c>
      <c r="N597" t="s">
        <v>37</v>
      </c>
      <c r="O597" t="s">
        <v>38</v>
      </c>
      <c r="P597" t="s">
        <v>39</v>
      </c>
      <c r="Q597" s="55">
        <v>45965</v>
      </c>
      <c r="R597" t="s">
        <v>5432</v>
      </c>
      <c r="S597" t="s">
        <v>5432</v>
      </c>
      <c r="T597" t="s">
        <v>5432</v>
      </c>
      <c r="U597" t="s">
        <v>5432</v>
      </c>
      <c r="W597" s="55"/>
    </row>
    <row r="598" spans="1:26">
      <c r="A598" s="55">
        <v>45906</v>
      </c>
      <c r="B598" t="s">
        <v>2420</v>
      </c>
      <c r="C598" t="s">
        <v>611</v>
      </c>
      <c r="D598" t="s">
        <v>129</v>
      </c>
      <c r="E598">
        <v>85233</v>
      </c>
      <c r="F598" t="s">
        <v>310</v>
      </c>
      <c r="G598" t="s">
        <v>2364</v>
      </c>
      <c r="H598">
        <v>2321911932</v>
      </c>
      <c r="I598" t="s">
        <v>243</v>
      </c>
      <c r="J598" t="s">
        <v>37</v>
      </c>
      <c r="K598" t="s">
        <v>37</v>
      </c>
      <c r="L598" t="s">
        <v>389</v>
      </c>
      <c r="M598" t="s">
        <v>37</v>
      </c>
      <c r="N598" t="s">
        <v>37</v>
      </c>
      <c r="O598" t="s">
        <v>38</v>
      </c>
      <c r="P598" t="s">
        <v>39</v>
      </c>
      <c r="Q598" s="55">
        <v>45965</v>
      </c>
      <c r="R598" t="s">
        <v>5432</v>
      </c>
      <c r="S598" t="s">
        <v>5432</v>
      </c>
      <c r="T598" t="s">
        <v>5432</v>
      </c>
      <c r="U598" t="s">
        <v>5432</v>
      </c>
      <c r="W598" s="55"/>
    </row>
    <row r="599" spans="1:26">
      <c r="A599" s="55">
        <v>45906</v>
      </c>
      <c r="B599" t="s">
        <v>49</v>
      </c>
      <c r="C599" t="s">
        <v>2422</v>
      </c>
      <c r="D599" t="s">
        <v>24</v>
      </c>
      <c r="E599">
        <v>85306</v>
      </c>
      <c r="F599" t="s">
        <v>310</v>
      </c>
      <c r="G599" t="s">
        <v>2364</v>
      </c>
      <c r="H599">
        <v>9282570000</v>
      </c>
      <c r="I599" t="s">
        <v>36</v>
      </c>
      <c r="J599" t="s">
        <v>37</v>
      </c>
      <c r="K599" t="s">
        <v>37</v>
      </c>
      <c r="L599" t="s">
        <v>38</v>
      </c>
      <c r="M599" t="s">
        <v>37</v>
      </c>
      <c r="N599" t="s">
        <v>37</v>
      </c>
      <c r="O599" t="s">
        <v>38</v>
      </c>
      <c r="P599" t="s">
        <v>39</v>
      </c>
      <c r="Q599" s="55">
        <v>45965</v>
      </c>
      <c r="R599" t="s">
        <v>5432</v>
      </c>
      <c r="S599" t="s">
        <v>5432</v>
      </c>
      <c r="T599" t="s">
        <v>5432</v>
      </c>
      <c r="U599" t="s">
        <v>5432</v>
      </c>
      <c r="W599" s="55"/>
    </row>
    <row r="600" spans="1:26">
      <c r="A600" s="55">
        <v>45906</v>
      </c>
      <c r="B600" t="s">
        <v>2178</v>
      </c>
      <c r="C600" t="s">
        <v>2097</v>
      </c>
      <c r="D600" t="s">
        <v>63</v>
      </c>
      <c r="E600">
        <v>85028</v>
      </c>
      <c r="F600" t="s">
        <v>310</v>
      </c>
      <c r="G600" t="s">
        <v>2364</v>
      </c>
      <c r="H600">
        <v>7961900940</v>
      </c>
      <c r="I600" t="s">
        <v>541</v>
      </c>
      <c r="J600" t="s">
        <v>37</v>
      </c>
      <c r="K600" t="s">
        <v>37</v>
      </c>
      <c r="L600" t="s">
        <v>389</v>
      </c>
      <c r="M600" t="s">
        <v>37</v>
      </c>
      <c r="N600" t="s">
        <v>37</v>
      </c>
      <c r="O600" t="s">
        <v>38</v>
      </c>
      <c r="P600" t="s">
        <v>39</v>
      </c>
      <c r="Q600" s="55">
        <v>45965</v>
      </c>
      <c r="R600" t="s">
        <v>5432</v>
      </c>
      <c r="S600" t="s">
        <v>5432</v>
      </c>
      <c r="T600" t="s">
        <v>5432</v>
      </c>
      <c r="U600" t="s">
        <v>5432</v>
      </c>
      <c r="W600" s="55"/>
    </row>
    <row r="601" spans="1:26">
      <c r="A601" s="55">
        <v>45906</v>
      </c>
      <c r="B601" t="s">
        <v>2425</v>
      </c>
      <c r="C601" t="s">
        <v>2426</v>
      </c>
      <c r="D601" t="s">
        <v>63</v>
      </c>
      <c r="E601">
        <v>85085</v>
      </c>
      <c r="F601" t="s">
        <v>310</v>
      </c>
      <c r="G601" t="s">
        <v>2364</v>
      </c>
      <c r="H601">
        <v>2205290521</v>
      </c>
      <c r="I601" t="s">
        <v>73</v>
      </c>
      <c r="J601" t="s">
        <v>37</v>
      </c>
      <c r="K601" t="s">
        <v>37</v>
      </c>
      <c r="L601" t="s">
        <v>38</v>
      </c>
      <c r="M601" t="s">
        <v>37</v>
      </c>
      <c r="N601" t="s">
        <v>37</v>
      </c>
      <c r="O601" t="s">
        <v>38</v>
      </c>
      <c r="P601" t="s">
        <v>39</v>
      </c>
      <c r="Q601" s="55">
        <v>45965</v>
      </c>
      <c r="R601" t="s">
        <v>5432</v>
      </c>
      <c r="S601" t="s">
        <v>5432</v>
      </c>
      <c r="T601" t="s">
        <v>5432</v>
      </c>
      <c r="U601" t="s">
        <v>5432</v>
      </c>
      <c r="W601" s="55"/>
    </row>
    <row r="602" spans="1:26">
      <c r="A602" s="55">
        <v>45906</v>
      </c>
      <c r="B602" t="s">
        <v>2428</v>
      </c>
      <c r="C602" t="s">
        <v>875</v>
      </c>
      <c r="D602" t="s">
        <v>2429</v>
      </c>
      <c r="E602">
        <v>85132</v>
      </c>
      <c r="F602" t="s">
        <v>2430</v>
      </c>
      <c r="G602" t="s">
        <v>2364</v>
      </c>
      <c r="H602">
        <v>8573211000</v>
      </c>
      <c r="I602" t="s">
        <v>46</v>
      </c>
      <c r="J602" t="s">
        <v>37</v>
      </c>
      <c r="K602" t="s">
        <v>37</v>
      </c>
      <c r="L602" t="s">
        <v>38</v>
      </c>
      <c r="M602" t="s">
        <v>37</v>
      </c>
      <c r="N602" t="s">
        <v>37</v>
      </c>
      <c r="O602" t="s">
        <v>38</v>
      </c>
      <c r="P602" t="s">
        <v>39</v>
      </c>
      <c r="Q602" s="55">
        <v>45965</v>
      </c>
      <c r="R602" t="s">
        <v>5432</v>
      </c>
      <c r="S602" t="s">
        <v>5432</v>
      </c>
      <c r="T602" t="s">
        <v>5432</v>
      </c>
      <c r="U602" t="s">
        <v>5432</v>
      </c>
      <c r="W602" s="55"/>
    </row>
    <row r="603" spans="1:26">
      <c r="A603" s="55">
        <v>45906</v>
      </c>
      <c r="B603" t="s">
        <v>2432</v>
      </c>
      <c r="C603" t="s">
        <v>481</v>
      </c>
      <c r="D603" t="s">
        <v>24</v>
      </c>
      <c r="E603">
        <v>85308</v>
      </c>
      <c r="F603" t="s">
        <v>31</v>
      </c>
      <c r="G603" t="s">
        <v>2364</v>
      </c>
      <c r="H603">
        <v>6799540000</v>
      </c>
      <c r="I603" t="s">
        <v>36</v>
      </c>
      <c r="J603" t="s">
        <v>37</v>
      </c>
      <c r="K603" t="s">
        <v>37</v>
      </c>
      <c r="L603" t="s">
        <v>38</v>
      </c>
      <c r="M603" t="s">
        <v>37</v>
      </c>
      <c r="N603" t="s">
        <v>37</v>
      </c>
      <c r="O603" t="s">
        <v>38</v>
      </c>
      <c r="P603" t="s">
        <v>39</v>
      </c>
      <c r="Q603" s="55">
        <v>45965</v>
      </c>
      <c r="R603" t="s">
        <v>5432</v>
      </c>
      <c r="S603" t="s">
        <v>5432</v>
      </c>
      <c r="T603" t="s">
        <v>5432</v>
      </c>
      <c r="U603" t="s">
        <v>5432</v>
      </c>
      <c r="W603" s="55"/>
    </row>
    <row r="604" spans="1:26">
      <c r="A604" s="55">
        <v>45906</v>
      </c>
      <c r="B604" t="s">
        <v>2434</v>
      </c>
      <c r="C604" t="s">
        <v>256</v>
      </c>
      <c r="D604" t="s">
        <v>112</v>
      </c>
      <c r="E604">
        <v>85379</v>
      </c>
      <c r="F604" t="s">
        <v>31</v>
      </c>
      <c r="G604" t="s">
        <v>2364</v>
      </c>
      <c r="H604">
        <v>2372410000</v>
      </c>
      <c r="I604" t="s">
        <v>46</v>
      </c>
      <c r="J604" t="s">
        <v>37</v>
      </c>
      <c r="K604" t="s">
        <v>37</v>
      </c>
      <c r="L604" t="s">
        <v>38</v>
      </c>
      <c r="M604" t="s">
        <v>37</v>
      </c>
      <c r="N604" t="s">
        <v>37</v>
      </c>
      <c r="O604" t="s">
        <v>38</v>
      </c>
      <c r="P604" t="s">
        <v>39</v>
      </c>
      <c r="Q604" s="55">
        <v>45965</v>
      </c>
      <c r="R604" t="s">
        <v>5432</v>
      </c>
      <c r="S604" t="s">
        <v>5432</v>
      </c>
      <c r="T604" t="s">
        <v>5432</v>
      </c>
      <c r="U604" t="s">
        <v>5432</v>
      </c>
      <c r="W604" s="55"/>
    </row>
    <row r="605" spans="1:26">
      <c r="A605" s="55">
        <v>45906</v>
      </c>
      <c r="B605" t="s">
        <v>2436</v>
      </c>
      <c r="C605" t="s">
        <v>225</v>
      </c>
      <c r="D605" t="s">
        <v>125</v>
      </c>
      <c r="E605">
        <v>85260</v>
      </c>
      <c r="F605" t="s">
        <v>2437</v>
      </c>
      <c r="G605" t="s">
        <v>2364</v>
      </c>
      <c r="H605">
        <v>3850123644</v>
      </c>
      <c r="I605" t="s">
        <v>36</v>
      </c>
      <c r="J605" t="s">
        <v>37</v>
      </c>
      <c r="K605" t="s">
        <v>37</v>
      </c>
      <c r="L605" t="s">
        <v>2439</v>
      </c>
      <c r="M605" t="s">
        <v>37</v>
      </c>
      <c r="N605" t="s">
        <v>37</v>
      </c>
      <c r="O605" t="s">
        <v>38</v>
      </c>
      <c r="P605">
        <v>45945</v>
      </c>
      <c r="Q605" s="55">
        <v>45965</v>
      </c>
      <c r="R605" t="s">
        <v>2440</v>
      </c>
      <c r="S605" t="s">
        <v>5432</v>
      </c>
      <c r="T605" t="s">
        <v>5432</v>
      </c>
      <c r="U605" t="s">
        <v>5432</v>
      </c>
      <c r="W605" s="55"/>
    </row>
    <row r="606" spans="1:26">
      <c r="A606" s="55">
        <v>45906</v>
      </c>
      <c r="B606" t="s">
        <v>2441</v>
      </c>
      <c r="C606" t="s">
        <v>71</v>
      </c>
      <c r="D606" t="s">
        <v>63</v>
      </c>
      <c r="E606">
        <v>85006</v>
      </c>
      <c r="F606" t="s">
        <v>310</v>
      </c>
      <c r="G606" t="s">
        <v>2364</v>
      </c>
      <c r="H606">
        <v>2801777569</v>
      </c>
      <c r="I606" t="s">
        <v>73</v>
      </c>
      <c r="J606" t="s">
        <v>37</v>
      </c>
      <c r="K606" t="s">
        <v>37</v>
      </c>
      <c r="L606" t="s">
        <v>38</v>
      </c>
      <c r="M606" t="s">
        <v>37</v>
      </c>
      <c r="N606" t="s">
        <v>37</v>
      </c>
      <c r="O606" t="s">
        <v>38</v>
      </c>
      <c r="P606" t="s">
        <v>39</v>
      </c>
      <c r="Q606" s="55">
        <v>45965</v>
      </c>
      <c r="R606" t="s">
        <v>5432</v>
      </c>
      <c r="S606" t="s">
        <v>5432</v>
      </c>
      <c r="T606" t="s">
        <v>5432</v>
      </c>
      <c r="U606" t="s">
        <v>5432</v>
      </c>
      <c r="V606" t="s">
        <v>117</v>
      </c>
      <c r="W606" s="55">
        <v>45997</v>
      </c>
      <c r="X606" t="s">
        <v>5434</v>
      </c>
      <c r="Z606" t="s">
        <v>5473</v>
      </c>
    </row>
    <row r="607" spans="1:26">
      <c r="A607" s="55">
        <v>45906</v>
      </c>
      <c r="B607" t="s">
        <v>2443</v>
      </c>
      <c r="C607" t="s">
        <v>2444</v>
      </c>
      <c r="D607" t="s">
        <v>202</v>
      </c>
      <c r="E607">
        <v>85383</v>
      </c>
      <c r="F607" t="s">
        <v>310</v>
      </c>
      <c r="G607" t="s">
        <v>2364</v>
      </c>
      <c r="H607">
        <v>8157321000</v>
      </c>
      <c r="I607" t="s">
        <v>46</v>
      </c>
      <c r="J607" t="s">
        <v>37</v>
      </c>
      <c r="K607" t="s">
        <v>37</v>
      </c>
      <c r="L607" t="s">
        <v>2446</v>
      </c>
      <c r="M607" t="s">
        <v>37</v>
      </c>
      <c r="N607" t="s">
        <v>37</v>
      </c>
      <c r="O607" t="s">
        <v>38</v>
      </c>
      <c r="P607">
        <v>45939</v>
      </c>
      <c r="Q607" s="55">
        <v>45965</v>
      </c>
      <c r="R607" t="s">
        <v>484</v>
      </c>
      <c r="S607" t="s">
        <v>5432</v>
      </c>
      <c r="T607" t="s">
        <v>5432</v>
      </c>
      <c r="U607" t="s">
        <v>5432</v>
      </c>
      <c r="W607" s="55"/>
    </row>
    <row r="608" spans="1:26">
      <c r="A608" s="55">
        <v>45906</v>
      </c>
      <c r="B608" t="s">
        <v>2447</v>
      </c>
      <c r="C608" t="s">
        <v>334</v>
      </c>
      <c r="D608" t="s">
        <v>63</v>
      </c>
      <c r="E608">
        <v>85027</v>
      </c>
      <c r="F608" t="s">
        <v>310</v>
      </c>
      <c r="G608" t="s">
        <v>2364</v>
      </c>
      <c r="H608">
        <v>6916550547</v>
      </c>
      <c r="I608" t="s">
        <v>250</v>
      </c>
      <c r="J608" t="s">
        <v>37</v>
      </c>
      <c r="K608" t="s">
        <v>37</v>
      </c>
      <c r="L608" t="s">
        <v>38</v>
      </c>
      <c r="M608" t="s">
        <v>37</v>
      </c>
      <c r="N608" t="s">
        <v>37</v>
      </c>
      <c r="O608" t="s">
        <v>38</v>
      </c>
      <c r="P608" t="s">
        <v>39</v>
      </c>
      <c r="Q608" s="55">
        <v>45965</v>
      </c>
      <c r="R608" t="s">
        <v>5432</v>
      </c>
      <c r="S608" t="s">
        <v>5432</v>
      </c>
      <c r="T608" t="s">
        <v>5432</v>
      </c>
      <c r="U608" t="s">
        <v>5432</v>
      </c>
      <c r="W608" s="55"/>
    </row>
    <row r="609" spans="1:23">
      <c r="A609" s="55">
        <v>45906</v>
      </c>
      <c r="B609" t="s">
        <v>2449</v>
      </c>
      <c r="C609" t="s">
        <v>2450</v>
      </c>
      <c r="D609" t="s">
        <v>112</v>
      </c>
      <c r="E609">
        <v>85338</v>
      </c>
      <c r="F609" t="s">
        <v>310</v>
      </c>
      <c r="G609" t="s">
        <v>2364</v>
      </c>
      <c r="H609">
        <v>7488840436</v>
      </c>
      <c r="I609" t="s">
        <v>36</v>
      </c>
      <c r="J609" t="s">
        <v>37</v>
      </c>
      <c r="K609" t="s">
        <v>37</v>
      </c>
      <c r="L609" t="s">
        <v>38</v>
      </c>
      <c r="M609" t="s">
        <v>37</v>
      </c>
      <c r="N609" t="s">
        <v>37</v>
      </c>
      <c r="O609" t="s">
        <v>38</v>
      </c>
      <c r="P609" t="s">
        <v>39</v>
      </c>
      <c r="Q609" s="55">
        <v>45964</v>
      </c>
      <c r="R609" t="s">
        <v>5432</v>
      </c>
      <c r="S609" t="s">
        <v>5432</v>
      </c>
      <c r="T609" t="s">
        <v>5432</v>
      </c>
      <c r="U609" t="s">
        <v>5432</v>
      </c>
      <c r="W609" s="55"/>
    </row>
    <row r="610" spans="1:23">
      <c r="A610" s="55">
        <v>45906</v>
      </c>
      <c r="B610" t="s">
        <v>2453</v>
      </c>
      <c r="C610" t="s">
        <v>2454</v>
      </c>
      <c r="D610" t="s">
        <v>63</v>
      </c>
      <c r="E610">
        <v>85024</v>
      </c>
      <c r="F610" t="s">
        <v>310</v>
      </c>
      <c r="G610" t="s">
        <v>2364</v>
      </c>
      <c r="H610">
        <v>1636279128</v>
      </c>
      <c r="I610" t="s">
        <v>57</v>
      </c>
      <c r="J610" t="s">
        <v>37</v>
      </c>
      <c r="K610" t="s">
        <v>37</v>
      </c>
      <c r="L610" t="s">
        <v>2456</v>
      </c>
      <c r="M610" t="s">
        <v>37</v>
      </c>
      <c r="N610" t="s">
        <v>37</v>
      </c>
      <c r="O610" t="s">
        <v>38</v>
      </c>
      <c r="P610" t="s">
        <v>39</v>
      </c>
      <c r="Q610" s="55">
        <v>45964</v>
      </c>
      <c r="R610" t="s">
        <v>5432</v>
      </c>
      <c r="S610" t="s">
        <v>5432</v>
      </c>
      <c r="T610" t="s">
        <v>5432</v>
      </c>
      <c r="U610" t="s">
        <v>5432</v>
      </c>
      <c r="W610" s="55"/>
    </row>
    <row r="611" spans="1:23">
      <c r="A611" s="55">
        <v>45906</v>
      </c>
      <c r="B611" t="s">
        <v>2457</v>
      </c>
      <c r="C611" t="s">
        <v>2458</v>
      </c>
      <c r="D611" t="s">
        <v>635</v>
      </c>
      <c r="E611">
        <v>85281</v>
      </c>
      <c r="F611" t="s">
        <v>31</v>
      </c>
      <c r="G611" t="s">
        <v>2364</v>
      </c>
      <c r="H611">
        <v>2874030000</v>
      </c>
      <c r="I611" t="s">
        <v>196</v>
      </c>
      <c r="J611" t="s">
        <v>37</v>
      </c>
      <c r="K611" t="s">
        <v>37</v>
      </c>
      <c r="L611" t="s">
        <v>2460</v>
      </c>
      <c r="M611" t="s">
        <v>37</v>
      </c>
      <c r="N611" t="s">
        <v>37</v>
      </c>
      <c r="O611" t="s">
        <v>38</v>
      </c>
      <c r="P611" t="s">
        <v>39</v>
      </c>
      <c r="Q611" s="55">
        <v>45964</v>
      </c>
      <c r="R611" t="s">
        <v>5432</v>
      </c>
      <c r="S611" t="s">
        <v>5432</v>
      </c>
      <c r="T611" t="s">
        <v>5432</v>
      </c>
      <c r="U611" t="s">
        <v>5432</v>
      </c>
      <c r="W611" s="55"/>
    </row>
    <row r="612" spans="1:23">
      <c r="A612" s="55">
        <v>45906</v>
      </c>
      <c r="B612" t="s">
        <v>370</v>
      </c>
      <c r="C612" t="s">
        <v>768</v>
      </c>
      <c r="D612" t="s">
        <v>63</v>
      </c>
      <c r="E612">
        <v>85024</v>
      </c>
      <c r="F612" t="s">
        <v>2461</v>
      </c>
      <c r="G612" t="s">
        <v>2364</v>
      </c>
      <c r="H612">
        <v>6154479450</v>
      </c>
      <c r="I612" t="s">
        <v>57</v>
      </c>
      <c r="J612" t="s">
        <v>37</v>
      </c>
      <c r="K612" t="s">
        <v>37</v>
      </c>
      <c r="L612" t="s">
        <v>2463</v>
      </c>
      <c r="M612" t="s">
        <v>37</v>
      </c>
      <c r="N612" t="s">
        <v>37</v>
      </c>
      <c r="O612" t="s">
        <v>38</v>
      </c>
      <c r="P612" t="s">
        <v>39</v>
      </c>
      <c r="Q612" s="55">
        <v>45964</v>
      </c>
      <c r="R612" t="s">
        <v>2464</v>
      </c>
      <c r="S612" t="s">
        <v>5432</v>
      </c>
      <c r="T612" t="s">
        <v>5432</v>
      </c>
      <c r="U612" t="s">
        <v>5432</v>
      </c>
      <c r="W612" s="55"/>
    </row>
    <row r="613" spans="1:23">
      <c r="A613" s="55">
        <v>45906</v>
      </c>
      <c r="B613" t="s">
        <v>2468</v>
      </c>
      <c r="C613" t="s">
        <v>481</v>
      </c>
      <c r="D613" t="s">
        <v>504</v>
      </c>
      <c r="E613">
        <v>86005</v>
      </c>
      <c r="F613" t="s">
        <v>310</v>
      </c>
      <c r="G613" t="s">
        <v>2364</v>
      </c>
      <c r="H613">
        <v>4789087884</v>
      </c>
      <c r="I613" t="s">
        <v>73</v>
      </c>
      <c r="J613" t="s">
        <v>37</v>
      </c>
      <c r="K613" t="s">
        <v>37</v>
      </c>
      <c r="L613" t="s">
        <v>38</v>
      </c>
      <c r="M613" t="s">
        <v>37</v>
      </c>
      <c r="N613" t="s">
        <v>37</v>
      </c>
      <c r="O613" t="s">
        <v>38</v>
      </c>
      <c r="P613" t="s">
        <v>39</v>
      </c>
      <c r="Q613" s="55">
        <v>45964</v>
      </c>
      <c r="R613" t="s">
        <v>5432</v>
      </c>
      <c r="S613" t="s">
        <v>5432</v>
      </c>
      <c r="T613" t="s">
        <v>5432</v>
      </c>
      <c r="U613" t="s">
        <v>5432</v>
      </c>
      <c r="W613" s="55"/>
    </row>
    <row r="614" spans="1:23">
      <c r="A614" s="55">
        <v>45906</v>
      </c>
      <c r="B614" t="s">
        <v>262</v>
      </c>
      <c r="C614" t="s">
        <v>658</v>
      </c>
      <c r="D614" t="s">
        <v>63</v>
      </c>
      <c r="E614">
        <v>85028</v>
      </c>
      <c r="F614" t="s">
        <v>310</v>
      </c>
      <c r="G614" t="s">
        <v>2364</v>
      </c>
      <c r="H614">
        <v>9045311000</v>
      </c>
      <c r="I614" t="s">
        <v>46</v>
      </c>
      <c r="J614" t="s">
        <v>37</v>
      </c>
      <c r="K614" t="s">
        <v>37</v>
      </c>
      <c r="L614" t="s">
        <v>38</v>
      </c>
      <c r="M614" t="s">
        <v>37</v>
      </c>
      <c r="N614" t="s">
        <v>37</v>
      </c>
      <c r="O614" t="s">
        <v>38</v>
      </c>
      <c r="P614" t="s">
        <v>39</v>
      </c>
      <c r="Q614" s="55">
        <v>45964</v>
      </c>
      <c r="R614" t="s">
        <v>5432</v>
      </c>
      <c r="S614" t="s">
        <v>5432</v>
      </c>
      <c r="T614" t="s">
        <v>5432</v>
      </c>
      <c r="U614" t="s">
        <v>5432</v>
      </c>
      <c r="W614" s="55"/>
    </row>
    <row r="615" spans="1:23">
      <c r="A615" s="55">
        <v>45906</v>
      </c>
      <c r="B615" t="s">
        <v>2471</v>
      </c>
      <c r="C615" t="s">
        <v>376</v>
      </c>
      <c r="D615" t="s">
        <v>68</v>
      </c>
      <c r="E615">
        <v>85331</v>
      </c>
      <c r="F615" t="s">
        <v>310</v>
      </c>
      <c r="G615" t="s">
        <v>2364</v>
      </c>
      <c r="H615">
        <v>9336980000</v>
      </c>
      <c r="I615" t="s">
        <v>196</v>
      </c>
      <c r="J615" t="s">
        <v>37</v>
      </c>
      <c r="K615" t="s">
        <v>37</v>
      </c>
      <c r="L615" t="s">
        <v>2473</v>
      </c>
      <c r="M615" t="s">
        <v>37</v>
      </c>
      <c r="N615" t="s">
        <v>37</v>
      </c>
      <c r="O615" t="s">
        <v>38</v>
      </c>
      <c r="P615">
        <v>45939</v>
      </c>
      <c r="Q615" s="55">
        <v>45964</v>
      </c>
      <c r="R615" t="s">
        <v>2474</v>
      </c>
      <c r="S615" t="s">
        <v>5432</v>
      </c>
      <c r="T615" t="s">
        <v>5432</v>
      </c>
      <c r="U615" t="s">
        <v>5432</v>
      </c>
      <c r="W615" s="55"/>
    </row>
    <row r="616" spans="1:23">
      <c r="A616" s="55">
        <v>45906</v>
      </c>
      <c r="B616" t="s">
        <v>2475</v>
      </c>
      <c r="C616" t="s">
        <v>2476</v>
      </c>
      <c r="D616" t="s">
        <v>63</v>
      </c>
      <c r="E616">
        <v>85032</v>
      </c>
      <c r="F616" t="s">
        <v>310</v>
      </c>
      <c r="G616" t="s">
        <v>2364</v>
      </c>
      <c r="H616">
        <v>4051995898</v>
      </c>
      <c r="I616" t="s">
        <v>418</v>
      </c>
      <c r="J616" t="s">
        <v>37</v>
      </c>
      <c r="K616" t="s">
        <v>37</v>
      </c>
      <c r="L616" t="s">
        <v>389</v>
      </c>
      <c r="M616" t="s">
        <v>37</v>
      </c>
      <c r="N616" t="s">
        <v>37</v>
      </c>
      <c r="O616" t="s">
        <v>38</v>
      </c>
      <c r="P616" t="s">
        <v>39</v>
      </c>
      <c r="Q616" s="55">
        <v>45964</v>
      </c>
      <c r="R616" t="s">
        <v>5432</v>
      </c>
      <c r="S616" t="s">
        <v>5432</v>
      </c>
      <c r="T616" t="s">
        <v>5432</v>
      </c>
      <c r="U616" t="s">
        <v>5432</v>
      </c>
      <c r="W616" s="55"/>
    </row>
    <row r="617" spans="1:23">
      <c r="A617" s="55">
        <v>45906</v>
      </c>
      <c r="B617" t="s">
        <v>657</v>
      </c>
      <c r="C617" t="s">
        <v>2478</v>
      </c>
      <c r="D617" t="s">
        <v>129</v>
      </c>
      <c r="E617">
        <v>85234</v>
      </c>
      <c r="F617" t="s">
        <v>31</v>
      </c>
      <c r="G617" t="s">
        <v>2364</v>
      </c>
      <c r="H617">
        <v>1333897739</v>
      </c>
      <c r="I617" t="s">
        <v>126</v>
      </c>
      <c r="J617" t="s">
        <v>37</v>
      </c>
      <c r="K617" t="s">
        <v>37</v>
      </c>
      <c r="L617" t="s">
        <v>38</v>
      </c>
      <c r="M617" t="s">
        <v>37</v>
      </c>
      <c r="N617" t="s">
        <v>37</v>
      </c>
      <c r="O617" t="s">
        <v>38</v>
      </c>
      <c r="P617" t="s">
        <v>39</v>
      </c>
      <c r="Q617" s="55">
        <v>45964</v>
      </c>
      <c r="R617" t="s">
        <v>5432</v>
      </c>
      <c r="S617" t="s">
        <v>5432</v>
      </c>
      <c r="T617" t="s">
        <v>5432</v>
      </c>
      <c r="U617" t="s">
        <v>5432</v>
      </c>
      <c r="W617" s="55"/>
    </row>
    <row r="618" spans="1:23">
      <c r="A618" s="55">
        <v>45906</v>
      </c>
      <c r="B618" t="s">
        <v>2480</v>
      </c>
      <c r="C618" t="s">
        <v>363</v>
      </c>
      <c r="D618" t="s">
        <v>619</v>
      </c>
      <c r="E618">
        <v>85367</v>
      </c>
      <c r="F618" t="s">
        <v>31</v>
      </c>
      <c r="G618" t="s">
        <v>2364</v>
      </c>
      <c r="H618">
        <v>3727344076</v>
      </c>
      <c r="I618" t="s">
        <v>46</v>
      </c>
      <c r="J618" t="s">
        <v>37</v>
      </c>
      <c r="K618" t="s">
        <v>37</v>
      </c>
      <c r="L618" t="s">
        <v>38</v>
      </c>
      <c r="M618" t="s">
        <v>38</v>
      </c>
      <c r="N618">
        <v>122.88</v>
      </c>
      <c r="O618" t="s">
        <v>38</v>
      </c>
      <c r="P618" t="s">
        <v>39</v>
      </c>
      <c r="Q618" s="55">
        <v>45964</v>
      </c>
      <c r="R618" t="s">
        <v>5432</v>
      </c>
      <c r="S618" t="s">
        <v>5432</v>
      </c>
      <c r="T618" t="s">
        <v>5432</v>
      </c>
      <c r="U618" t="s">
        <v>5432</v>
      </c>
      <c r="W618" s="55"/>
    </row>
    <row r="619" spans="1:23">
      <c r="A619" s="55">
        <v>45906</v>
      </c>
      <c r="B619" t="s">
        <v>2482</v>
      </c>
      <c r="C619" t="s">
        <v>62</v>
      </c>
      <c r="D619" t="s">
        <v>63</v>
      </c>
      <c r="E619">
        <v>85024</v>
      </c>
      <c r="F619" t="s">
        <v>2366</v>
      </c>
      <c r="G619" t="s">
        <v>2364</v>
      </c>
      <c r="H619">
        <v>8964410000</v>
      </c>
      <c r="I619" t="s">
        <v>36</v>
      </c>
      <c r="J619" t="s">
        <v>37</v>
      </c>
      <c r="K619" t="s">
        <v>37</v>
      </c>
      <c r="L619" t="s">
        <v>38</v>
      </c>
      <c r="M619" t="s">
        <v>37</v>
      </c>
      <c r="N619" t="s">
        <v>37</v>
      </c>
      <c r="O619" t="s">
        <v>38</v>
      </c>
      <c r="P619" t="s">
        <v>39</v>
      </c>
      <c r="Q619" s="55">
        <v>45964</v>
      </c>
      <c r="R619" t="s">
        <v>5432</v>
      </c>
      <c r="S619" t="s">
        <v>5432</v>
      </c>
      <c r="T619" t="s">
        <v>5432</v>
      </c>
      <c r="U619" t="s">
        <v>5432</v>
      </c>
      <c r="W619" s="55"/>
    </row>
    <row r="620" spans="1:23">
      <c r="A620" s="55">
        <v>45906</v>
      </c>
      <c r="B620" t="s">
        <v>2485</v>
      </c>
      <c r="C620" t="s">
        <v>757</v>
      </c>
      <c r="D620" t="s">
        <v>635</v>
      </c>
      <c r="E620">
        <v>85281</v>
      </c>
      <c r="F620" t="s">
        <v>310</v>
      </c>
      <c r="G620" t="s">
        <v>2364</v>
      </c>
      <c r="H620">
        <v>7013259359</v>
      </c>
      <c r="I620" t="s">
        <v>36</v>
      </c>
      <c r="J620" t="s">
        <v>37</v>
      </c>
      <c r="K620" t="s">
        <v>37</v>
      </c>
      <c r="L620" t="s">
        <v>38</v>
      </c>
      <c r="M620" t="s">
        <v>37</v>
      </c>
      <c r="N620" t="s">
        <v>37</v>
      </c>
      <c r="O620" t="s">
        <v>38</v>
      </c>
      <c r="P620" t="s">
        <v>39</v>
      </c>
      <c r="Q620" s="55">
        <v>45964</v>
      </c>
      <c r="R620" t="s">
        <v>5432</v>
      </c>
      <c r="S620" t="s">
        <v>5432</v>
      </c>
      <c r="T620" t="s">
        <v>5432</v>
      </c>
      <c r="U620" t="s">
        <v>5432</v>
      </c>
      <c r="W620" s="55"/>
    </row>
    <row r="621" spans="1:23">
      <c r="A621" s="55">
        <v>45906</v>
      </c>
      <c r="B621" t="s">
        <v>2488</v>
      </c>
      <c r="C621" t="s">
        <v>481</v>
      </c>
      <c r="D621" t="s">
        <v>63</v>
      </c>
      <c r="E621">
        <v>85004</v>
      </c>
      <c r="F621" t="s">
        <v>310</v>
      </c>
      <c r="G621" t="s">
        <v>2364</v>
      </c>
      <c r="H621">
        <v>7972989951</v>
      </c>
      <c r="I621" t="s">
        <v>126</v>
      </c>
      <c r="J621" t="s">
        <v>37</v>
      </c>
      <c r="K621" t="s">
        <v>37</v>
      </c>
      <c r="L621" t="s">
        <v>2490</v>
      </c>
      <c r="M621" t="s">
        <v>37</v>
      </c>
      <c r="N621" t="s">
        <v>37</v>
      </c>
      <c r="O621" t="s">
        <v>38</v>
      </c>
      <c r="P621" t="s">
        <v>39</v>
      </c>
      <c r="Q621" s="55">
        <v>45964</v>
      </c>
      <c r="R621" t="s">
        <v>5432</v>
      </c>
      <c r="S621" t="s">
        <v>5432</v>
      </c>
      <c r="T621" t="s">
        <v>5432</v>
      </c>
      <c r="U621" t="s">
        <v>5432</v>
      </c>
      <c r="W621" s="55"/>
    </row>
    <row r="622" spans="1:23">
      <c r="A622" s="55">
        <v>45906</v>
      </c>
      <c r="B622" t="s">
        <v>2491</v>
      </c>
      <c r="C622" t="s">
        <v>2492</v>
      </c>
      <c r="D622" t="s">
        <v>202</v>
      </c>
      <c r="E622">
        <v>85382</v>
      </c>
      <c r="F622" t="s">
        <v>310</v>
      </c>
      <c r="G622" t="s">
        <v>2364</v>
      </c>
      <c r="H622">
        <v>6898240000</v>
      </c>
      <c r="I622" t="s">
        <v>36</v>
      </c>
      <c r="J622" t="s">
        <v>37</v>
      </c>
      <c r="K622" t="s">
        <v>37</v>
      </c>
      <c r="L622" t="s">
        <v>38</v>
      </c>
      <c r="M622" t="s">
        <v>37</v>
      </c>
      <c r="N622" t="s">
        <v>37</v>
      </c>
      <c r="O622" t="s">
        <v>38</v>
      </c>
      <c r="P622" t="s">
        <v>39</v>
      </c>
      <c r="Q622" s="55">
        <v>45964</v>
      </c>
      <c r="R622" t="s">
        <v>5432</v>
      </c>
      <c r="S622" t="s">
        <v>5432</v>
      </c>
      <c r="T622" t="s">
        <v>5432</v>
      </c>
      <c r="U622" t="s">
        <v>5432</v>
      </c>
      <c r="W622" s="55"/>
    </row>
    <row r="623" spans="1:23">
      <c r="A623" s="55">
        <v>45906</v>
      </c>
      <c r="B623" t="s">
        <v>2494</v>
      </c>
      <c r="C623" t="s">
        <v>2495</v>
      </c>
      <c r="D623" t="s">
        <v>63</v>
      </c>
      <c r="E623">
        <v>85014</v>
      </c>
      <c r="F623" t="s">
        <v>310</v>
      </c>
      <c r="G623" t="s">
        <v>2364</v>
      </c>
      <c r="H623">
        <v>6154174693</v>
      </c>
      <c r="I623" t="s">
        <v>196</v>
      </c>
      <c r="J623" t="s">
        <v>37</v>
      </c>
      <c r="K623" t="s">
        <v>37</v>
      </c>
      <c r="L623" t="s">
        <v>2497</v>
      </c>
      <c r="M623" t="s">
        <v>37</v>
      </c>
      <c r="N623" t="s">
        <v>37</v>
      </c>
      <c r="O623" t="s">
        <v>38</v>
      </c>
      <c r="P623" t="s">
        <v>39</v>
      </c>
      <c r="Q623" s="55">
        <v>45964</v>
      </c>
      <c r="R623" t="s">
        <v>5432</v>
      </c>
      <c r="S623" t="s">
        <v>5432</v>
      </c>
      <c r="T623" t="s">
        <v>5432</v>
      </c>
      <c r="U623" t="s">
        <v>5432</v>
      </c>
      <c r="W623" s="55"/>
    </row>
    <row r="624" spans="1:23">
      <c r="A624" s="55">
        <v>45906</v>
      </c>
      <c r="B624" t="s">
        <v>2498</v>
      </c>
      <c r="C624" t="s">
        <v>2499</v>
      </c>
      <c r="D624" t="s">
        <v>202</v>
      </c>
      <c r="E624">
        <v>85383</v>
      </c>
      <c r="F624" t="s">
        <v>2500</v>
      </c>
      <c r="G624" t="s">
        <v>2364</v>
      </c>
      <c r="H624">
        <v>6531421867</v>
      </c>
      <c r="I624" t="s">
        <v>46</v>
      </c>
      <c r="J624" t="s">
        <v>37</v>
      </c>
      <c r="K624" t="s">
        <v>37</v>
      </c>
      <c r="L624" t="s">
        <v>2502</v>
      </c>
      <c r="M624" t="s">
        <v>37</v>
      </c>
      <c r="N624" t="s">
        <v>37</v>
      </c>
      <c r="O624" t="s">
        <v>38</v>
      </c>
      <c r="P624">
        <v>45939</v>
      </c>
      <c r="Q624" s="55">
        <v>45964</v>
      </c>
      <c r="R624" t="s">
        <v>2503</v>
      </c>
      <c r="S624" t="s">
        <v>5432</v>
      </c>
      <c r="T624" t="s">
        <v>5432</v>
      </c>
      <c r="U624" t="s">
        <v>5432</v>
      </c>
      <c r="W624" s="55"/>
    </row>
    <row r="625" spans="1:23">
      <c r="A625" s="55">
        <v>45906</v>
      </c>
      <c r="B625" t="s">
        <v>2504</v>
      </c>
      <c r="C625" t="s">
        <v>2505</v>
      </c>
      <c r="D625" t="s">
        <v>68</v>
      </c>
      <c r="E625">
        <v>85331</v>
      </c>
      <c r="F625" t="s">
        <v>310</v>
      </c>
      <c r="G625" t="s">
        <v>2364</v>
      </c>
      <c r="H625">
        <v>1682180000</v>
      </c>
      <c r="I625" t="s">
        <v>196</v>
      </c>
      <c r="J625" t="s">
        <v>37</v>
      </c>
      <c r="K625" t="s">
        <v>37</v>
      </c>
      <c r="L625" t="s">
        <v>38</v>
      </c>
      <c r="M625" t="s">
        <v>37</v>
      </c>
      <c r="N625" t="s">
        <v>37</v>
      </c>
      <c r="O625" t="s">
        <v>38</v>
      </c>
      <c r="P625" t="s">
        <v>39</v>
      </c>
      <c r="Q625" s="55">
        <v>45964</v>
      </c>
      <c r="R625" t="s">
        <v>5432</v>
      </c>
      <c r="S625" t="s">
        <v>5432</v>
      </c>
      <c r="T625" t="s">
        <v>5432</v>
      </c>
      <c r="U625" t="s">
        <v>5432</v>
      </c>
      <c r="W625" s="55"/>
    </row>
    <row r="626" spans="1:23">
      <c r="A626" s="55">
        <v>45906</v>
      </c>
      <c r="B626" t="s">
        <v>2507</v>
      </c>
      <c r="C626" t="s">
        <v>67</v>
      </c>
      <c r="D626" t="s">
        <v>112</v>
      </c>
      <c r="E626">
        <v>85378</v>
      </c>
      <c r="F626" t="s">
        <v>741</v>
      </c>
      <c r="G626" t="s">
        <v>2364</v>
      </c>
      <c r="H626">
        <v>3126570303</v>
      </c>
      <c r="I626" t="s">
        <v>36</v>
      </c>
      <c r="J626" t="s">
        <v>37</v>
      </c>
      <c r="K626" t="s">
        <v>37</v>
      </c>
      <c r="L626" t="s">
        <v>38</v>
      </c>
      <c r="M626" t="s">
        <v>37</v>
      </c>
      <c r="N626" t="s">
        <v>37</v>
      </c>
      <c r="O626" t="s">
        <v>38</v>
      </c>
      <c r="P626" t="s">
        <v>39</v>
      </c>
      <c r="Q626" s="55">
        <v>45964</v>
      </c>
      <c r="R626" t="s">
        <v>2509</v>
      </c>
      <c r="S626" t="s">
        <v>5432</v>
      </c>
      <c r="T626" t="s">
        <v>5432</v>
      </c>
      <c r="U626" t="s">
        <v>5432</v>
      </c>
      <c r="W626" s="55"/>
    </row>
    <row r="627" spans="1:23">
      <c r="A627" s="55">
        <v>45906</v>
      </c>
      <c r="B627" t="s">
        <v>2510</v>
      </c>
      <c r="C627" t="s">
        <v>363</v>
      </c>
      <c r="D627" t="s">
        <v>63</v>
      </c>
      <c r="E627">
        <v>85083</v>
      </c>
      <c r="F627" t="s">
        <v>31</v>
      </c>
      <c r="G627" t="s">
        <v>2364</v>
      </c>
      <c r="H627">
        <v>5236586269</v>
      </c>
      <c r="I627" t="s">
        <v>36</v>
      </c>
      <c r="J627" t="s">
        <v>37</v>
      </c>
      <c r="K627" t="s">
        <v>37</v>
      </c>
      <c r="L627" t="s">
        <v>38</v>
      </c>
      <c r="M627" t="s">
        <v>37</v>
      </c>
      <c r="N627" t="s">
        <v>37</v>
      </c>
      <c r="O627" t="s">
        <v>38</v>
      </c>
      <c r="P627" t="s">
        <v>39</v>
      </c>
      <c r="Q627" s="55">
        <v>45964</v>
      </c>
      <c r="R627" t="s">
        <v>5432</v>
      </c>
      <c r="S627" t="s">
        <v>5432</v>
      </c>
      <c r="T627" t="s">
        <v>5432</v>
      </c>
      <c r="U627" t="s">
        <v>5432</v>
      </c>
      <c r="W627" s="55"/>
    </row>
    <row r="628" spans="1:23">
      <c r="A628" s="55">
        <v>45906</v>
      </c>
      <c r="B628" t="s">
        <v>650</v>
      </c>
      <c r="C628" t="s">
        <v>1815</v>
      </c>
      <c r="D628" t="s">
        <v>125</v>
      </c>
      <c r="E628">
        <v>85260</v>
      </c>
      <c r="F628" t="s">
        <v>310</v>
      </c>
      <c r="G628" t="s">
        <v>2364</v>
      </c>
      <c r="H628">
        <v>6327806553</v>
      </c>
      <c r="I628" t="s">
        <v>73</v>
      </c>
      <c r="J628" t="s">
        <v>37</v>
      </c>
      <c r="K628" t="s">
        <v>37</v>
      </c>
      <c r="L628" t="s">
        <v>401</v>
      </c>
      <c r="M628" t="s">
        <v>37</v>
      </c>
      <c r="N628" t="s">
        <v>37</v>
      </c>
      <c r="O628" t="s">
        <v>38</v>
      </c>
      <c r="P628" t="s">
        <v>39</v>
      </c>
      <c r="Q628" s="55">
        <v>45964</v>
      </c>
      <c r="R628" t="s">
        <v>5432</v>
      </c>
      <c r="S628" t="s">
        <v>5432</v>
      </c>
      <c r="T628" t="s">
        <v>5432</v>
      </c>
      <c r="U628" t="s">
        <v>5432</v>
      </c>
      <c r="W628" s="55"/>
    </row>
    <row r="629" spans="1:23">
      <c r="A629" s="55">
        <v>45906</v>
      </c>
      <c r="B629" t="s">
        <v>2514</v>
      </c>
      <c r="C629" t="s">
        <v>1876</v>
      </c>
      <c r="D629" t="s">
        <v>125</v>
      </c>
      <c r="E629">
        <v>85260</v>
      </c>
      <c r="F629" t="s">
        <v>31</v>
      </c>
      <c r="G629" t="s">
        <v>2364</v>
      </c>
      <c r="H629">
        <v>394780000</v>
      </c>
      <c r="I629" t="s">
        <v>36</v>
      </c>
      <c r="J629" t="s">
        <v>37</v>
      </c>
      <c r="K629" t="s">
        <v>37</v>
      </c>
      <c r="L629" t="s">
        <v>38</v>
      </c>
      <c r="M629" t="s">
        <v>37</v>
      </c>
      <c r="N629" t="s">
        <v>37</v>
      </c>
      <c r="O629" t="s">
        <v>38</v>
      </c>
      <c r="P629" t="s">
        <v>39</v>
      </c>
      <c r="Q629" s="55">
        <v>45964</v>
      </c>
      <c r="R629" t="s">
        <v>5432</v>
      </c>
      <c r="S629" t="s">
        <v>5432</v>
      </c>
      <c r="T629" t="s">
        <v>5432</v>
      </c>
      <c r="U629" t="s">
        <v>5432</v>
      </c>
      <c r="W629" s="55"/>
    </row>
    <row r="630" spans="1:23">
      <c r="A630" s="55">
        <v>45906</v>
      </c>
      <c r="B630" t="s">
        <v>2516</v>
      </c>
      <c r="C630" t="s">
        <v>1140</v>
      </c>
      <c r="D630" t="s">
        <v>125</v>
      </c>
      <c r="E630">
        <v>85260</v>
      </c>
      <c r="F630" t="s">
        <v>310</v>
      </c>
      <c r="G630" t="s">
        <v>2364</v>
      </c>
      <c r="H630">
        <v>5644842190</v>
      </c>
      <c r="I630" t="s">
        <v>126</v>
      </c>
      <c r="J630" t="s">
        <v>37</v>
      </c>
      <c r="K630" t="s">
        <v>37</v>
      </c>
      <c r="L630" t="s">
        <v>38</v>
      </c>
      <c r="M630" t="s">
        <v>37</v>
      </c>
      <c r="N630" t="s">
        <v>37</v>
      </c>
      <c r="O630" t="s">
        <v>38</v>
      </c>
      <c r="P630" t="s">
        <v>39</v>
      </c>
      <c r="Q630" s="55">
        <v>45964</v>
      </c>
      <c r="R630" t="s">
        <v>5432</v>
      </c>
      <c r="S630" t="s">
        <v>5432</v>
      </c>
      <c r="T630" t="s">
        <v>5432</v>
      </c>
      <c r="U630" t="s">
        <v>5432</v>
      </c>
      <c r="W630" s="55"/>
    </row>
    <row r="631" spans="1:23">
      <c r="A631" s="55">
        <v>45906</v>
      </c>
      <c r="B631" t="s">
        <v>333</v>
      </c>
      <c r="C631" t="s">
        <v>145</v>
      </c>
      <c r="D631" t="s">
        <v>63</v>
      </c>
      <c r="E631">
        <v>85085</v>
      </c>
      <c r="F631" t="s">
        <v>2518</v>
      </c>
      <c r="G631" t="s">
        <v>2364</v>
      </c>
      <c r="H631">
        <v>3998480631</v>
      </c>
      <c r="I631" t="s">
        <v>36</v>
      </c>
      <c r="J631" t="s">
        <v>37</v>
      </c>
      <c r="K631" t="s">
        <v>37</v>
      </c>
      <c r="L631" t="s">
        <v>38</v>
      </c>
      <c r="M631" t="s">
        <v>37</v>
      </c>
      <c r="N631" t="s">
        <v>37</v>
      </c>
      <c r="O631" t="s">
        <v>38</v>
      </c>
      <c r="P631" t="s">
        <v>39</v>
      </c>
      <c r="Q631" s="55">
        <v>45964</v>
      </c>
      <c r="R631" t="s">
        <v>5432</v>
      </c>
      <c r="S631" t="s">
        <v>5432</v>
      </c>
      <c r="T631" t="s">
        <v>5432</v>
      </c>
      <c r="U631" t="s">
        <v>5432</v>
      </c>
      <c r="W631" s="55"/>
    </row>
    <row r="632" spans="1:23">
      <c r="A632" s="55">
        <v>45906</v>
      </c>
      <c r="B632" t="s">
        <v>2523</v>
      </c>
      <c r="C632" t="s">
        <v>760</v>
      </c>
      <c r="D632" t="s">
        <v>2524</v>
      </c>
      <c r="E632">
        <v>85122</v>
      </c>
      <c r="F632" t="s">
        <v>2525</v>
      </c>
      <c r="G632" t="s">
        <v>2364</v>
      </c>
      <c r="H632">
        <v>947452464</v>
      </c>
      <c r="I632" t="s">
        <v>36</v>
      </c>
      <c r="J632" t="s">
        <v>37</v>
      </c>
      <c r="K632" t="s">
        <v>37</v>
      </c>
      <c r="L632" t="s">
        <v>38</v>
      </c>
      <c r="M632" t="s">
        <v>37</v>
      </c>
      <c r="N632" t="s">
        <v>37</v>
      </c>
      <c r="O632" t="s">
        <v>38</v>
      </c>
      <c r="P632" t="s">
        <v>39</v>
      </c>
      <c r="Q632" s="55">
        <v>45964</v>
      </c>
      <c r="R632" t="s">
        <v>5432</v>
      </c>
      <c r="S632" t="s">
        <v>5432</v>
      </c>
      <c r="T632" t="s">
        <v>5432</v>
      </c>
      <c r="U632" t="s">
        <v>5432</v>
      </c>
      <c r="W632" s="55"/>
    </row>
    <row r="633" spans="1:23">
      <c r="A633" s="55">
        <v>45906</v>
      </c>
      <c r="B633" t="s">
        <v>2527</v>
      </c>
      <c r="C633" t="s">
        <v>2528</v>
      </c>
      <c r="D633" t="s">
        <v>202</v>
      </c>
      <c r="E633">
        <v>85383</v>
      </c>
      <c r="F633" t="s">
        <v>310</v>
      </c>
      <c r="G633" t="s">
        <v>2364</v>
      </c>
      <c r="H633">
        <v>7400931000</v>
      </c>
      <c r="I633" t="s">
        <v>57</v>
      </c>
      <c r="J633" t="s">
        <v>37</v>
      </c>
      <c r="K633" t="s">
        <v>37</v>
      </c>
      <c r="L633" t="s">
        <v>2530</v>
      </c>
      <c r="M633" t="s">
        <v>37</v>
      </c>
      <c r="N633" t="s">
        <v>37</v>
      </c>
      <c r="O633" t="s">
        <v>38</v>
      </c>
      <c r="P633">
        <v>45939</v>
      </c>
      <c r="Q633" s="55">
        <v>45964</v>
      </c>
      <c r="R633" t="s">
        <v>2474</v>
      </c>
      <c r="S633" t="s">
        <v>5432</v>
      </c>
      <c r="T633" t="s">
        <v>5432</v>
      </c>
      <c r="U633" t="s">
        <v>5432</v>
      </c>
      <c r="W633" s="55"/>
    </row>
    <row r="634" spans="1:23">
      <c r="A634" s="55">
        <v>45906</v>
      </c>
      <c r="B634" t="s">
        <v>2531</v>
      </c>
      <c r="C634" t="s">
        <v>529</v>
      </c>
      <c r="D634" t="s">
        <v>24</v>
      </c>
      <c r="E634">
        <v>85307</v>
      </c>
      <c r="F634" t="s">
        <v>2532</v>
      </c>
      <c r="G634" t="s">
        <v>2364</v>
      </c>
      <c r="H634">
        <v>5160556053</v>
      </c>
      <c r="I634" t="s">
        <v>46</v>
      </c>
      <c r="J634" t="s">
        <v>37</v>
      </c>
      <c r="K634" t="s">
        <v>37</v>
      </c>
      <c r="L634" t="s">
        <v>38</v>
      </c>
      <c r="M634" t="s">
        <v>37</v>
      </c>
      <c r="N634" t="s">
        <v>37</v>
      </c>
      <c r="O634" t="s">
        <v>38</v>
      </c>
      <c r="P634" t="s">
        <v>39</v>
      </c>
      <c r="Q634" s="55">
        <v>45964</v>
      </c>
      <c r="R634" t="s">
        <v>5432</v>
      </c>
      <c r="S634" t="s">
        <v>5432</v>
      </c>
      <c r="T634" t="s">
        <v>5432</v>
      </c>
      <c r="U634" t="s">
        <v>5432</v>
      </c>
      <c r="W634" s="55"/>
    </row>
    <row r="635" spans="1:23">
      <c r="A635" s="55">
        <v>45906</v>
      </c>
      <c r="B635" t="s">
        <v>2534</v>
      </c>
      <c r="C635" t="s">
        <v>177</v>
      </c>
      <c r="D635" t="s">
        <v>63</v>
      </c>
      <c r="E635">
        <v>85053</v>
      </c>
      <c r="F635" t="s">
        <v>310</v>
      </c>
      <c r="G635" t="s">
        <v>2364</v>
      </c>
      <c r="H635">
        <v>3520685256</v>
      </c>
      <c r="I635" t="s">
        <v>36</v>
      </c>
      <c r="J635" t="s">
        <v>37</v>
      </c>
      <c r="K635" t="s">
        <v>37</v>
      </c>
      <c r="L635" t="s">
        <v>38</v>
      </c>
      <c r="M635" t="s">
        <v>37</v>
      </c>
      <c r="N635" t="s">
        <v>37</v>
      </c>
      <c r="O635" t="s">
        <v>38</v>
      </c>
      <c r="P635" t="s">
        <v>39</v>
      </c>
      <c r="Q635" s="55">
        <v>45964</v>
      </c>
      <c r="R635" t="s">
        <v>5432</v>
      </c>
      <c r="S635" t="s">
        <v>5432</v>
      </c>
      <c r="T635" t="s">
        <v>5432</v>
      </c>
      <c r="U635" t="s">
        <v>5432</v>
      </c>
      <c r="W635" s="55"/>
    </row>
    <row r="636" spans="1:23">
      <c r="A636" s="55">
        <v>45906</v>
      </c>
      <c r="B636" t="s">
        <v>2536</v>
      </c>
      <c r="C636" t="s">
        <v>135</v>
      </c>
      <c r="D636" t="s">
        <v>89</v>
      </c>
      <c r="E636">
        <v>86336</v>
      </c>
      <c r="F636" t="s">
        <v>2129</v>
      </c>
      <c r="G636" t="s">
        <v>2364</v>
      </c>
      <c r="H636">
        <v>3812550000</v>
      </c>
      <c r="I636" t="s">
        <v>243</v>
      </c>
      <c r="J636" t="s">
        <v>37</v>
      </c>
      <c r="K636" t="s">
        <v>37</v>
      </c>
      <c r="L636" t="s">
        <v>389</v>
      </c>
      <c r="M636" t="s">
        <v>37</v>
      </c>
      <c r="N636" t="s">
        <v>37</v>
      </c>
      <c r="O636" t="s">
        <v>38</v>
      </c>
      <c r="P636" t="s">
        <v>39</v>
      </c>
      <c r="Q636" s="55">
        <v>45964</v>
      </c>
      <c r="R636" t="s">
        <v>5432</v>
      </c>
      <c r="S636" t="s">
        <v>5432</v>
      </c>
      <c r="T636" t="s">
        <v>5432</v>
      </c>
      <c r="U636" t="s">
        <v>5432</v>
      </c>
      <c r="W636" s="55"/>
    </row>
    <row r="637" spans="1:23">
      <c r="A637" s="55">
        <v>45906</v>
      </c>
      <c r="B637" t="s">
        <v>2538</v>
      </c>
      <c r="C637" t="s">
        <v>2144</v>
      </c>
      <c r="D637" t="s">
        <v>63</v>
      </c>
      <c r="E637">
        <v>85012</v>
      </c>
      <c r="F637" t="s">
        <v>310</v>
      </c>
      <c r="G637" t="s">
        <v>2364</v>
      </c>
      <c r="H637">
        <v>2822550977</v>
      </c>
      <c r="I637" t="s">
        <v>36</v>
      </c>
      <c r="J637" t="s">
        <v>37</v>
      </c>
      <c r="K637" t="s">
        <v>37</v>
      </c>
      <c r="L637" t="s">
        <v>401</v>
      </c>
      <c r="M637" t="s">
        <v>37</v>
      </c>
      <c r="N637" t="s">
        <v>37</v>
      </c>
      <c r="O637" t="s">
        <v>38</v>
      </c>
      <c r="P637" t="s">
        <v>39</v>
      </c>
      <c r="Q637" s="55">
        <v>45964</v>
      </c>
      <c r="R637" t="s">
        <v>5432</v>
      </c>
      <c r="S637" t="s">
        <v>5432</v>
      </c>
      <c r="T637" t="s">
        <v>5432</v>
      </c>
      <c r="U637" t="s">
        <v>5432</v>
      </c>
      <c r="W637" s="55"/>
    </row>
    <row r="638" spans="1:23">
      <c r="A638" s="55">
        <v>45906</v>
      </c>
      <c r="B638" t="s">
        <v>2540</v>
      </c>
      <c r="C638" t="s">
        <v>2541</v>
      </c>
      <c r="D638" t="s">
        <v>2542</v>
      </c>
      <c r="E638">
        <v>86325</v>
      </c>
      <c r="F638" t="s">
        <v>2543</v>
      </c>
      <c r="G638" t="s">
        <v>2364</v>
      </c>
      <c r="H638">
        <v>6238293189</v>
      </c>
      <c r="I638" t="s">
        <v>73</v>
      </c>
      <c r="J638" t="s">
        <v>37</v>
      </c>
      <c r="K638" t="s">
        <v>37</v>
      </c>
      <c r="L638" t="s">
        <v>38</v>
      </c>
      <c r="M638" t="s">
        <v>37</v>
      </c>
      <c r="N638" t="s">
        <v>37</v>
      </c>
      <c r="O638" t="s">
        <v>38</v>
      </c>
      <c r="P638" t="s">
        <v>39</v>
      </c>
      <c r="Q638" s="55">
        <v>45964</v>
      </c>
      <c r="R638" t="s">
        <v>5432</v>
      </c>
      <c r="S638" t="s">
        <v>5432</v>
      </c>
      <c r="T638" t="s">
        <v>5432</v>
      </c>
      <c r="U638" t="s">
        <v>5432</v>
      </c>
      <c r="W638" s="55"/>
    </row>
    <row r="639" spans="1:23">
      <c r="A639" s="55">
        <v>45906</v>
      </c>
      <c r="B639" t="s">
        <v>2545</v>
      </c>
      <c r="C639" t="s">
        <v>543</v>
      </c>
      <c r="D639" t="s">
        <v>63</v>
      </c>
      <c r="E639">
        <v>85003</v>
      </c>
      <c r="F639" t="s">
        <v>310</v>
      </c>
      <c r="G639" t="s">
        <v>2364</v>
      </c>
      <c r="H639">
        <v>2037614704</v>
      </c>
      <c r="I639" t="s">
        <v>73</v>
      </c>
      <c r="J639" t="s">
        <v>37</v>
      </c>
      <c r="K639" t="s">
        <v>37</v>
      </c>
      <c r="L639" t="s">
        <v>38</v>
      </c>
      <c r="M639" t="s">
        <v>37</v>
      </c>
      <c r="N639" t="s">
        <v>37</v>
      </c>
      <c r="O639" t="s">
        <v>38</v>
      </c>
      <c r="P639" t="s">
        <v>39</v>
      </c>
      <c r="Q639" s="55">
        <v>45964</v>
      </c>
      <c r="R639" t="s">
        <v>5432</v>
      </c>
      <c r="S639" t="s">
        <v>5432</v>
      </c>
      <c r="T639" t="s">
        <v>5432</v>
      </c>
      <c r="U639" t="s">
        <v>5432</v>
      </c>
      <c r="W639" s="55"/>
    </row>
    <row r="640" spans="1:23">
      <c r="A640" s="55">
        <v>45906</v>
      </c>
      <c r="B640" t="s">
        <v>2547</v>
      </c>
      <c r="C640" t="s">
        <v>611</v>
      </c>
      <c r="D640" t="s">
        <v>202</v>
      </c>
      <c r="E640">
        <v>85383</v>
      </c>
      <c r="F640" t="s">
        <v>2548</v>
      </c>
      <c r="G640" t="s">
        <v>2364</v>
      </c>
      <c r="H640">
        <v>5486441000</v>
      </c>
      <c r="I640" t="s">
        <v>418</v>
      </c>
      <c r="J640" t="s">
        <v>38</v>
      </c>
      <c r="K640" t="s">
        <v>37</v>
      </c>
      <c r="L640" t="s">
        <v>389</v>
      </c>
      <c r="M640" t="s">
        <v>37</v>
      </c>
      <c r="N640" t="s">
        <v>37</v>
      </c>
      <c r="O640" t="s">
        <v>38</v>
      </c>
      <c r="P640" t="s">
        <v>39</v>
      </c>
      <c r="Q640" s="55">
        <v>45964</v>
      </c>
      <c r="R640" t="s">
        <v>5432</v>
      </c>
      <c r="S640" t="s">
        <v>5432</v>
      </c>
      <c r="T640" t="s">
        <v>5432</v>
      </c>
      <c r="U640" t="s">
        <v>5432</v>
      </c>
      <c r="W640" s="55"/>
    </row>
    <row r="641" spans="1:23">
      <c r="A641" s="55">
        <v>45906</v>
      </c>
      <c r="B641" t="s">
        <v>2550</v>
      </c>
      <c r="C641" t="s">
        <v>2551</v>
      </c>
      <c r="D641" t="s">
        <v>169</v>
      </c>
      <c r="E641">
        <v>85338</v>
      </c>
      <c r="F641" t="s">
        <v>31</v>
      </c>
      <c r="G641" t="s">
        <v>2364</v>
      </c>
      <c r="H641">
        <v>3615886354</v>
      </c>
      <c r="I641" t="s">
        <v>36</v>
      </c>
      <c r="J641" t="s">
        <v>37</v>
      </c>
      <c r="K641" t="s">
        <v>37</v>
      </c>
      <c r="L641" t="s">
        <v>38</v>
      </c>
      <c r="M641" t="s">
        <v>37</v>
      </c>
      <c r="N641" t="s">
        <v>37</v>
      </c>
      <c r="O641" t="s">
        <v>38</v>
      </c>
      <c r="P641" t="s">
        <v>39</v>
      </c>
      <c r="Q641" s="55">
        <v>45964</v>
      </c>
      <c r="R641" t="s">
        <v>5432</v>
      </c>
      <c r="S641" t="s">
        <v>5432</v>
      </c>
      <c r="T641" t="s">
        <v>5432</v>
      </c>
      <c r="U641" t="s">
        <v>5432</v>
      </c>
      <c r="W641" s="55"/>
    </row>
    <row r="642" spans="1:23">
      <c r="A642" s="55">
        <v>45906</v>
      </c>
      <c r="B642" t="s">
        <v>2553</v>
      </c>
      <c r="C642" t="s">
        <v>2554</v>
      </c>
      <c r="D642" t="s">
        <v>63</v>
      </c>
      <c r="E642">
        <v>85032</v>
      </c>
      <c r="F642" t="s">
        <v>310</v>
      </c>
      <c r="G642" t="s">
        <v>2364</v>
      </c>
      <c r="H642">
        <v>6597211402</v>
      </c>
      <c r="I642" t="s">
        <v>57</v>
      </c>
      <c r="J642" t="s">
        <v>37</v>
      </c>
      <c r="K642" t="s">
        <v>37</v>
      </c>
      <c r="L642" t="s">
        <v>2556</v>
      </c>
      <c r="M642" t="s">
        <v>37</v>
      </c>
      <c r="N642" t="s">
        <v>37</v>
      </c>
      <c r="O642" t="s">
        <v>38</v>
      </c>
      <c r="P642" t="s">
        <v>39</v>
      </c>
      <c r="Q642" s="55">
        <v>45964</v>
      </c>
      <c r="R642" t="s">
        <v>5432</v>
      </c>
      <c r="S642" t="s">
        <v>5432</v>
      </c>
      <c r="T642" t="s">
        <v>5432</v>
      </c>
      <c r="U642" t="s">
        <v>5432</v>
      </c>
      <c r="W642" s="55"/>
    </row>
    <row r="643" spans="1:23">
      <c r="A643" s="55">
        <v>45906</v>
      </c>
      <c r="B643" t="s">
        <v>2557</v>
      </c>
      <c r="C643" t="s">
        <v>2558</v>
      </c>
      <c r="D643" t="s">
        <v>63</v>
      </c>
      <c r="E643">
        <v>85014</v>
      </c>
      <c r="F643" t="s">
        <v>2559</v>
      </c>
      <c r="G643" t="s">
        <v>2364</v>
      </c>
      <c r="H643">
        <v>574011608</v>
      </c>
      <c r="I643" t="s">
        <v>73</v>
      </c>
      <c r="J643" t="s">
        <v>37</v>
      </c>
      <c r="K643" t="s">
        <v>37</v>
      </c>
      <c r="L643" t="s">
        <v>38</v>
      </c>
      <c r="M643" t="s">
        <v>37</v>
      </c>
      <c r="N643" t="s">
        <v>37</v>
      </c>
      <c r="O643" t="s">
        <v>38</v>
      </c>
      <c r="P643" t="s">
        <v>39</v>
      </c>
      <c r="Q643" s="55">
        <v>45964</v>
      </c>
      <c r="R643" t="s">
        <v>5432</v>
      </c>
      <c r="S643" t="s">
        <v>5432</v>
      </c>
      <c r="T643" t="s">
        <v>5432</v>
      </c>
      <c r="U643" t="s">
        <v>5432</v>
      </c>
      <c r="W643" s="55"/>
    </row>
    <row r="644" spans="1:23">
      <c r="A644" s="55">
        <v>45906</v>
      </c>
      <c r="B644" t="s">
        <v>2561</v>
      </c>
      <c r="C644" t="s">
        <v>2562</v>
      </c>
      <c r="D644" t="s">
        <v>112</v>
      </c>
      <c r="E644">
        <v>85388</v>
      </c>
      <c r="F644" t="s">
        <v>310</v>
      </c>
      <c r="G644" t="s">
        <v>2563</v>
      </c>
      <c r="H644">
        <v>2291912909</v>
      </c>
      <c r="I644" t="s">
        <v>46</v>
      </c>
      <c r="J644" t="s">
        <v>37</v>
      </c>
      <c r="K644" t="s">
        <v>37</v>
      </c>
      <c r="L644" t="s">
        <v>1586</v>
      </c>
      <c r="M644" t="s">
        <v>37</v>
      </c>
      <c r="N644" t="s">
        <v>37</v>
      </c>
      <c r="O644" t="s">
        <v>38</v>
      </c>
      <c r="P644" t="s">
        <v>39</v>
      </c>
      <c r="Q644" s="55">
        <v>45960</v>
      </c>
      <c r="R644" t="s">
        <v>2565</v>
      </c>
      <c r="S644" t="s">
        <v>5432</v>
      </c>
      <c r="T644" t="s">
        <v>5432</v>
      </c>
      <c r="U644" t="s">
        <v>5432</v>
      </c>
      <c r="W644" s="55"/>
    </row>
    <row r="645" spans="1:23">
      <c r="A645" s="55">
        <v>45906</v>
      </c>
      <c r="B645" t="s">
        <v>2568</v>
      </c>
      <c r="C645" t="s">
        <v>2569</v>
      </c>
      <c r="D645" t="s">
        <v>202</v>
      </c>
      <c r="E645">
        <v>85383</v>
      </c>
      <c r="F645" t="s">
        <v>25</v>
      </c>
      <c r="G645" t="s">
        <v>2364</v>
      </c>
      <c r="H645">
        <v>9287216468</v>
      </c>
      <c r="I645" t="s">
        <v>36</v>
      </c>
      <c r="J645" t="s">
        <v>37</v>
      </c>
      <c r="K645" t="s">
        <v>37</v>
      </c>
      <c r="L645" t="s">
        <v>38</v>
      </c>
      <c r="M645" t="s">
        <v>37</v>
      </c>
      <c r="N645" t="s">
        <v>37</v>
      </c>
      <c r="O645" t="s">
        <v>38</v>
      </c>
      <c r="P645" t="s">
        <v>39</v>
      </c>
      <c r="Q645" s="55">
        <v>45964</v>
      </c>
      <c r="R645" t="s">
        <v>5432</v>
      </c>
      <c r="S645" t="s">
        <v>5432</v>
      </c>
      <c r="T645" t="s">
        <v>5432</v>
      </c>
      <c r="U645" t="s">
        <v>5432</v>
      </c>
      <c r="W645" s="55"/>
    </row>
    <row r="646" spans="1:23">
      <c r="A646" s="55">
        <v>45907</v>
      </c>
      <c r="B646" t="s">
        <v>2573</v>
      </c>
      <c r="C646" t="s">
        <v>312</v>
      </c>
      <c r="D646" t="s">
        <v>125</v>
      </c>
      <c r="E646">
        <v>85254</v>
      </c>
      <c r="F646" t="s">
        <v>2574</v>
      </c>
      <c r="G646" t="s">
        <v>2364</v>
      </c>
      <c r="H646">
        <v>1637250000</v>
      </c>
      <c r="I646" t="s">
        <v>36</v>
      </c>
      <c r="J646" t="s">
        <v>37</v>
      </c>
      <c r="K646" t="s">
        <v>37</v>
      </c>
      <c r="L646" t="s">
        <v>38</v>
      </c>
      <c r="M646" t="s">
        <v>37</v>
      </c>
      <c r="N646" t="s">
        <v>37</v>
      </c>
      <c r="O646" t="s">
        <v>38</v>
      </c>
      <c r="P646" t="s">
        <v>39</v>
      </c>
      <c r="Q646" s="55">
        <v>45964</v>
      </c>
      <c r="R646" t="s">
        <v>5432</v>
      </c>
      <c r="S646" t="s">
        <v>5432</v>
      </c>
      <c r="T646" t="s">
        <v>5432</v>
      </c>
      <c r="U646" t="s">
        <v>5432</v>
      </c>
      <c r="W646" s="55"/>
    </row>
    <row r="647" spans="1:23">
      <c r="A647" s="55">
        <v>45907</v>
      </c>
      <c r="B647" t="s">
        <v>2576</v>
      </c>
      <c r="C647" t="s">
        <v>2577</v>
      </c>
      <c r="D647" t="s">
        <v>202</v>
      </c>
      <c r="E647">
        <v>85382</v>
      </c>
      <c r="F647" t="s">
        <v>310</v>
      </c>
      <c r="G647" t="s">
        <v>2364</v>
      </c>
      <c r="H647">
        <v>5245451000</v>
      </c>
      <c r="I647" t="s">
        <v>196</v>
      </c>
      <c r="J647" t="s">
        <v>37</v>
      </c>
      <c r="K647" t="s">
        <v>37</v>
      </c>
      <c r="L647" t="s">
        <v>2579</v>
      </c>
      <c r="M647" t="s">
        <v>37</v>
      </c>
      <c r="N647" t="s">
        <v>37</v>
      </c>
      <c r="O647" t="s">
        <v>38</v>
      </c>
      <c r="P647">
        <v>45939</v>
      </c>
      <c r="Q647" s="55">
        <v>45964</v>
      </c>
      <c r="R647" t="s">
        <v>2474</v>
      </c>
      <c r="S647" t="s">
        <v>5432</v>
      </c>
      <c r="T647" t="s">
        <v>5432</v>
      </c>
      <c r="U647" t="s">
        <v>5432</v>
      </c>
      <c r="W647" s="55"/>
    </row>
    <row r="648" spans="1:23">
      <c r="A648" s="55">
        <v>45907</v>
      </c>
      <c r="B648" t="s">
        <v>2580</v>
      </c>
      <c r="C648" t="s">
        <v>962</v>
      </c>
      <c r="D648" t="s">
        <v>63</v>
      </c>
      <c r="E648">
        <v>85022</v>
      </c>
      <c r="F648" t="s">
        <v>2581</v>
      </c>
      <c r="G648" t="s">
        <v>2364</v>
      </c>
      <c r="H648">
        <v>3430450000</v>
      </c>
      <c r="I648" t="s">
        <v>36</v>
      </c>
      <c r="J648" t="s">
        <v>37</v>
      </c>
      <c r="K648" t="s">
        <v>37</v>
      </c>
      <c r="L648" t="s">
        <v>38</v>
      </c>
      <c r="M648" t="s">
        <v>37</v>
      </c>
      <c r="N648" t="s">
        <v>37</v>
      </c>
      <c r="O648" t="s">
        <v>38</v>
      </c>
      <c r="P648" t="s">
        <v>39</v>
      </c>
      <c r="Q648" s="55">
        <v>45964</v>
      </c>
      <c r="R648" t="s">
        <v>5432</v>
      </c>
      <c r="S648" t="s">
        <v>5432</v>
      </c>
      <c r="T648" t="s">
        <v>5432</v>
      </c>
      <c r="U648" t="s">
        <v>5432</v>
      </c>
      <c r="W648" s="55"/>
    </row>
    <row r="649" spans="1:23">
      <c r="A649" s="55">
        <v>45907</v>
      </c>
      <c r="B649" t="s">
        <v>2584</v>
      </c>
      <c r="C649" t="s">
        <v>359</v>
      </c>
      <c r="D649" t="s">
        <v>112</v>
      </c>
      <c r="E649">
        <v>85387</v>
      </c>
      <c r="F649" t="s">
        <v>310</v>
      </c>
      <c r="G649" t="s">
        <v>2364</v>
      </c>
      <c r="H649">
        <v>6046328982</v>
      </c>
      <c r="I649" t="s">
        <v>196</v>
      </c>
      <c r="J649" t="s">
        <v>37</v>
      </c>
      <c r="K649" t="s">
        <v>37</v>
      </c>
      <c r="L649" t="s">
        <v>38</v>
      </c>
      <c r="M649" t="s">
        <v>37</v>
      </c>
      <c r="N649" t="s">
        <v>37</v>
      </c>
      <c r="O649" t="s">
        <v>38</v>
      </c>
      <c r="P649" t="s">
        <v>39</v>
      </c>
      <c r="Q649" s="55">
        <v>45964</v>
      </c>
      <c r="R649" t="s">
        <v>5432</v>
      </c>
      <c r="S649" t="s">
        <v>5432</v>
      </c>
      <c r="T649" t="s">
        <v>5432</v>
      </c>
      <c r="U649" t="s">
        <v>5432</v>
      </c>
      <c r="W649" s="55"/>
    </row>
    <row r="650" spans="1:23">
      <c r="A650" s="55">
        <v>45907</v>
      </c>
      <c r="B650" t="s">
        <v>2586</v>
      </c>
      <c r="C650" t="s">
        <v>2587</v>
      </c>
      <c r="D650" t="s">
        <v>125</v>
      </c>
      <c r="E650">
        <v>85251</v>
      </c>
      <c r="F650" t="s">
        <v>2588</v>
      </c>
      <c r="G650" t="s">
        <v>2364</v>
      </c>
      <c r="H650">
        <v>3157160000</v>
      </c>
      <c r="I650" t="s">
        <v>73</v>
      </c>
      <c r="J650" t="s">
        <v>37</v>
      </c>
      <c r="K650" t="s">
        <v>37</v>
      </c>
      <c r="L650" t="s">
        <v>38</v>
      </c>
      <c r="M650" t="s">
        <v>37</v>
      </c>
      <c r="N650" t="s">
        <v>37</v>
      </c>
      <c r="O650" t="s">
        <v>38</v>
      </c>
      <c r="P650" t="s">
        <v>39</v>
      </c>
      <c r="Q650" s="55">
        <v>45964</v>
      </c>
      <c r="R650" t="s">
        <v>5432</v>
      </c>
      <c r="S650" t="s">
        <v>5432</v>
      </c>
      <c r="T650" t="s">
        <v>5432</v>
      </c>
      <c r="U650" t="s">
        <v>5432</v>
      </c>
      <c r="W650" s="55"/>
    </row>
    <row r="651" spans="1:23">
      <c r="A651" s="55">
        <v>45907</v>
      </c>
      <c r="B651" t="s">
        <v>2590</v>
      </c>
      <c r="C651" t="s">
        <v>1824</v>
      </c>
      <c r="D651" t="s">
        <v>112</v>
      </c>
      <c r="E651">
        <v>85379</v>
      </c>
      <c r="F651" t="s">
        <v>2591</v>
      </c>
      <c r="G651" t="s">
        <v>2364</v>
      </c>
      <c r="H651">
        <v>6846061000</v>
      </c>
      <c r="I651" t="s">
        <v>196</v>
      </c>
      <c r="J651" t="s">
        <v>37</v>
      </c>
      <c r="K651" t="s">
        <v>37</v>
      </c>
      <c r="L651" t="s">
        <v>2593</v>
      </c>
      <c r="M651" t="s">
        <v>38</v>
      </c>
      <c r="N651">
        <v>803.66</v>
      </c>
      <c r="O651" t="s">
        <v>38</v>
      </c>
      <c r="P651" t="s">
        <v>5432</v>
      </c>
      <c r="Q651" s="55">
        <v>45964</v>
      </c>
      <c r="R651" t="s">
        <v>495</v>
      </c>
      <c r="S651" t="s">
        <v>5432</v>
      </c>
      <c r="T651" t="s">
        <v>5432</v>
      </c>
      <c r="U651" t="s">
        <v>5432</v>
      </c>
      <c r="W651" s="55"/>
    </row>
    <row r="652" spans="1:23">
      <c r="A652" s="55">
        <v>45907</v>
      </c>
      <c r="B652" t="s">
        <v>2594</v>
      </c>
      <c r="C652" t="s">
        <v>2595</v>
      </c>
      <c r="D652" t="s">
        <v>659</v>
      </c>
      <c r="E652">
        <v>85350</v>
      </c>
      <c r="F652" t="s">
        <v>2596</v>
      </c>
      <c r="G652" t="s">
        <v>2364</v>
      </c>
      <c r="H652">
        <v>491835909</v>
      </c>
      <c r="I652" t="s">
        <v>36</v>
      </c>
      <c r="J652" t="s">
        <v>38</v>
      </c>
      <c r="K652" t="s">
        <v>37</v>
      </c>
      <c r="L652" t="s">
        <v>38</v>
      </c>
      <c r="M652" t="s">
        <v>38</v>
      </c>
      <c r="N652">
        <v>1530.91</v>
      </c>
      <c r="O652" t="s">
        <v>38</v>
      </c>
      <c r="P652" t="s">
        <v>5432</v>
      </c>
      <c r="Q652" s="55">
        <v>45964</v>
      </c>
      <c r="R652" t="s">
        <v>495</v>
      </c>
      <c r="S652" t="s">
        <v>5432</v>
      </c>
      <c r="T652" t="s">
        <v>5432</v>
      </c>
      <c r="U652" t="s">
        <v>5432</v>
      </c>
      <c r="W652" s="55"/>
    </row>
    <row r="653" spans="1:23">
      <c r="A653" s="55">
        <v>45907</v>
      </c>
      <c r="B653" t="s">
        <v>2600</v>
      </c>
      <c r="C653" t="s">
        <v>2601</v>
      </c>
      <c r="D653" t="s">
        <v>43</v>
      </c>
      <c r="E653">
        <v>85363</v>
      </c>
      <c r="F653" t="s">
        <v>310</v>
      </c>
      <c r="G653" t="s">
        <v>2364</v>
      </c>
      <c r="H653">
        <v>4757278626</v>
      </c>
      <c r="I653" t="s">
        <v>196</v>
      </c>
      <c r="J653" t="s">
        <v>37</v>
      </c>
      <c r="K653" t="s">
        <v>37</v>
      </c>
      <c r="L653" t="s">
        <v>2603</v>
      </c>
      <c r="M653" t="s">
        <v>37</v>
      </c>
      <c r="N653" t="s">
        <v>37</v>
      </c>
      <c r="O653" t="s">
        <v>38</v>
      </c>
      <c r="P653">
        <v>45964</v>
      </c>
      <c r="Q653" s="55">
        <v>45964</v>
      </c>
      <c r="R653" t="s">
        <v>2398</v>
      </c>
      <c r="S653" t="s">
        <v>5432</v>
      </c>
      <c r="T653" t="s">
        <v>5432</v>
      </c>
      <c r="U653" t="s">
        <v>5432</v>
      </c>
      <c r="W653" s="55"/>
    </row>
    <row r="654" spans="1:23">
      <c r="A654" s="55">
        <v>45907</v>
      </c>
      <c r="B654" t="s">
        <v>2566</v>
      </c>
      <c r="C654" t="s">
        <v>2377</v>
      </c>
      <c r="D654" t="s">
        <v>698</v>
      </c>
      <c r="E654">
        <v>85376</v>
      </c>
      <c r="F654" t="s">
        <v>2604</v>
      </c>
      <c r="G654" t="s">
        <v>2364</v>
      </c>
      <c r="H654">
        <v>7619340000</v>
      </c>
      <c r="I654" t="s">
        <v>196</v>
      </c>
      <c r="J654" t="s">
        <v>37</v>
      </c>
      <c r="K654" t="s">
        <v>37</v>
      </c>
      <c r="L654" t="s">
        <v>2606</v>
      </c>
      <c r="M654" t="s">
        <v>37</v>
      </c>
      <c r="N654" t="s">
        <v>37</v>
      </c>
      <c r="O654" t="s">
        <v>38</v>
      </c>
      <c r="P654" t="s">
        <v>39</v>
      </c>
      <c r="Q654" s="55">
        <v>45964</v>
      </c>
      <c r="R654" t="s">
        <v>2607</v>
      </c>
      <c r="S654" t="s">
        <v>5432</v>
      </c>
      <c r="T654" t="s">
        <v>5432</v>
      </c>
      <c r="U654" t="s">
        <v>5432</v>
      </c>
      <c r="W654" s="55"/>
    </row>
    <row r="655" spans="1:23">
      <c r="A655" s="55">
        <v>45907</v>
      </c>
      <c r="B655" t="s">
        <v>2608</v>
      </c>
      <c r="C655" t="s">
        <v>2609</v>
      </c>
      <c r="D655" t="s">
        <v>63</v>
      </c>
      <c r="E655">
        <v>85024</v>
      </c>
      <c r="F655" t="s">
        <v>310</v>
      </c>
      <c r="G655" t="s">
        <v>2364</v>
      </c>
      <c r="H655">
        <v>5662251000</v>
      </c>
      <c r="I655" t="s">
        <v>57</v>
      </c>
      <c r="J655" t="s">
        <v>37</v>
      </c>
      <c r="K655" t="s">
        <v>37</v>
      </c>
      <c r="L655" t="s">
        <v>2611</v>
      </c>
      <c r="M655" t="s">
        <v>37</v>
      </c>
      <c r="N655" t="s">
        <v>37</v>
      </c>
      <c r="O655" t="s">
        <v>38</v>
      </c>
      <c r="P655">
        <v>45939</v>
      </c>
      <c r="Q655" s="55">
        <v>45964</v>
      </c>
      <c r="R655" t="s">
        <v>2474</v>
      </c>
      <c r="S655" t="s">
        <v>5432</v>
      </c>
      <c r="T655" t="s">
        <v>5432</v>
      </c>
      <c r="U655" t="s">
        <v>5432</v>
      </c>
      <c r="W655" s="55"/>
    </row>
    <row r="656" spans="1:23">
      <c r="A656" s="55">
        <v>45907</v>
      </c>
      <c r="B656" t="s">
        <v>2612</v>
      </c>
      <c r="C656" t="s">
        <v>471</v>
      </c>
      <c r="D656" t="s">
        <v>112</v>
      </c>
      <c r="E656">
        <v>85387</v>
      </c>
      <c r="F656" t="s">
        <v>2613</v>
      </c>
      <c r="G656" t="s">
        <v>2364</v>
      </c>
      <c r="H656">
        <v>7397370000</v>
      </c>
      <c r="I656" t="s">
        <v>196</v>
      </c>
      <c r="J656" t="s">
        <v>37</v>
      </c>
      <c r="K656" t="s">
        <v>37</v>
      </c>
      <c r="L656" t="s">
        <v>2615</v>
      </c>
      <c r="M656" t="s">
        <v>37</v>
      </c>
      <c r="N656" t="s">
        <v>37</v>
      </c>
      <c r="O656" t="s">
        <v>38</v>
      </c>
      <c r="P656" t="s">
        <v>39</v>
      </c>
      <c r="Q656" s="55">
        <v>45964</v>
      </c>
      <c r="R656" t="s">
        <v>2616</v>
      </c>
      <c r="S656" t="s">
        <v>5432</v>
      </c>
      <c r="T656" t="s">
        <v>5432</v>
      </c>
      <c r="U656" t="s">
        <v>5432</v>
      </c>
      <c r="W656" s="55"/>
    </row>
    <row r="657" spans="1:23">
      <c r="A657" s="55">
        <v>45907</v>
      </c>
      <c r="B657" t="s">
        <v>2617</v>
      </c>
      <c r="C657" t="s">
        <v>1918</v>
      </c>
      <c r="D657" t="s">
        <v>63</v>
      </c>
      <c r="E657">
        <v>85032</v>
      </c>
      <c r="F657" t="s">
        <v>2618</v>
      </c>
      <c r="G657" t="s">
        <v>2364</v>
      </c>
      <c r="H657">
        <v>5744736365</v>
      </c>
      <c r="I657" t="s">
        <v>73</v>
      </c>
      <c r="J657" t="s">
        <v>37</v>
      </c>
      <c r="K657" t="s">
        <v>37</v>
      </c>
      <c r="L657" t="s">
        <v>38</v>
      </c>
      <c r="M657" t="s">
        <v>37</v>
      </c>
      <c r="N657" t="s">
        <v>37</v>
      </c>
      <c r="O657" t="s">
        <v>38</v>
      </c>
      <c r="P657" t="s">
        <v>39</v>
      </c>
      <c r="Q657" s="55">
        <v>45964</v>
      </c>
      <c r="R657" t="s">
        <v>2620</v>
      </c>
      <c r="S657" t="s">
        <v>5432</v>
      </c>
      <c r="T657" t="s">
        <v>5432</v>
      </c>
      <c r="U657" t="s">
        <v>5432</v>
      </c>
      <c r="W657" s="55"/>
    </row>
    <row r="658" spans="1:23">
      <c r="A658" s="55">
        <v>45907</v>
      </c>
      <c r="B658" t="s">
        <v>1190</v>
      </c>
      <c r="C658" t="s">
        <v>312</v>
      </c>
      <c r="D658" t="s">
        <v>63</v>
      </c>
      <c r="E658">
        <v>85027</v>
      </c>
      <c r="F658" t="s">
        <v>812</v>
      </c>
      <c r="G658" t="s">
        <v>2364</v>
      </c>
      <c r="H658">
        <v>103650000</v>
      </c>
      <c r="I658" t="s">
        <v>36</v>
      </c>
      <c r="J658" t="s">
        <v>37</v>
      </c>
      <c r="K658" t="s">
        <v>37</v>
      </c>
      <c r="L658" t="s">
        <v>38</v>
      </c>
      <c r="M658" t="s">
        <v>37</v>
      </c>
      <c r="N658" t="s">
        <v>37</v>
      </c>
      <c r="O658" t="s">
        <v>38</v>
      </c>
      <c r="P658" t="s">
        <v>39</v>
      </c>
      <c r="Q658" s="55">
        <v>45964</v>
      </c>
      <c r="R658" t="s">
        <v>5432</v>
      </c>
      <c r="S658" t="s">
        <v>5432</v>
      </c>
      <c r="T658" t="s">
        <v>5432</v>
      </c>
      <c r="U658" t="s">
        <v>5432</v>
      </c>
      <c r="W658" s="55"/>
    </row>
    <row r="659" spans="1:23">
      <c r="A659" s="55">
        <v>45907</v>
      </c>
      <c r="B659" t="s">
        <v>2623</v>
      </c>
      <c r="C659" t="s">
        <v>1447</v>
      </c>
      <c r="D659" t="s">
        <v>63</v>
      </c>
      <c r="E659">
        <v>85008</v>
      </c>
      <c r="F659" t="s">
        <v>310</v>
      </c>
      <c r="G659" t="s">
        <v>2364</v>
      </c>
      <c r="H659">
        <v>5391718246</v>
      </c>
      <c r="I659" t="s">
        <v>126</v>
      </c>
      <c r="J659" t="s">
        <v>37</v>
      </c>
      <c r="K659" t="s">
        <v>37</v>
      </c>
      <c r="L659" t="s">
        <v>2625</v>
      </c>
      <c r="M659" t="s">
        <v>37</v>
      </c>
      <c r="N659" t="s">
        <v>37</v>
      </c>
      <c r="O659" t="s">
        <v>38</v>
      </c>
      <c r="P659" t="s">
        <v>39</v>
      </c>
      <c r="Q659" s="55">
        <v>45964</v>
      </c>
      <c r="R659" t="s">
        <v>5432</v>
      </c>
      <c r="S659" t="s">
        <v>5432</v>
      </c>
      <c r="T659" t="s">
        <v>5432</v>
      </c>
      <c r="U659" t="s">
        <v>5432</v>
      </c>
      <c r="W659" s="55"/>
    </row>
    <row r="660" spans="1:23">
      <c r="A660" s="55">
        <v>45907</v>
      </c>
      <c r="B660" t="s">
        <v>2626</v>
      </c>
      <c r="C660" t="s">
        <v>427</v>
      </c>
      <c r="D660" t="s">
        <v>112</v>
      </c>
      <c r="E660">
        <v>85379</v>
      </c>
      <c r="F660" t="s">
        <v>2414</v>
      </c>
      <c r="G660" t="s">
        <v>2364</v>
      </c>
      <c r="H660">
        <v>181561492</v>
      </c>
      <c r="I660" t="s">
        <v>73</v>
      </c>
      <c r="J660" t="s">
        <v>37</v>
      </c>
      <c r="K660" t="s">
        <v>37</v>
      </c>
      <c r="L660" t="s">
        <v>2628</v>
      </c>
      <c r="M660" t="s">
        <v>37</v>
      </c>
      <c r="N660" t="s">
        <v>37</v>
      </c>
      <c r="O660" t="s">
        <v>38</v>
      </c>
      <c r="P660">
        <v>45939</v>
      </c>
      <c r="Q660" s="55">
        <v>45964</v>
      </c>
      <c r="R660" t="s">
        <v>2629</v>
      </c>
      <c r="S660" t="s">
        <v>5432</v>
      </c>
      <c r="T660" t="s">
        <v>5432</v>
      </c>
      <c r="U660" t="s">
        <v>5432</v>
      </c>
      <c r="W660" s="55"/>
    </row>
    <row r="661" spans="1:23">
      <c r="A661" s="55">
        <v>45907</v>
      </c>
      <c r="B661" t="s">
        <v>2630</v>
      </c>
      <c r="C661" t="s">
        <v>131</v>
      </c>
      <c r="D661" t="s">
        <v>370</v>
      </c>
      <c r="E661">
        <v>85225</v>
      </c>
      <c r="F661" t="s">
        <v>310</v>
      </c>
      <c r="G661" t="s">
        <v>2364</v>
      </c>
      <c r="H661">
        <v>4581830000</v>
      </c>
      <c r="I661" t="s">
        <v>243</v>
      </c>
      <c r="J661" t="s">
        <v>37</v>
      </c>
      <c r="K661" t="s">
        <v>37</v>
      </c>
      <c r="L661" t="s">
        <v>389</v>
      </c>
      <c r="M661" t="s">
        <v>37</v>
      </c>
      <c r="N661" t="s">
        <v>37</v>
      </c>
      <c r="O661" t="s">
        <v>38</v>
      </c>
      <c r="P661" t="s">
        <v>39</v>
      </c>
      <c r="Q661" s="55">
        <v>45964</v>
      </c>
      <c r="R661" t="s">
        <v>5432</v>
      </c>
      <c r="S661" t="s">
        <v>5432</v>
      </c>
      <c r="T661" t="s">
        <v>5432</v>
      </c>
      <c r="U661" t="s">
        <v>5432</v>
      </c>
      <c r="W661" s="55"/>
    </row>
    <row r="662" spans="1:23">
      <c r="A662" s="55">
        <v>45907</v>
      </c>
      <c r="B662" t="s">
        <v>2634</v>
      </c>
      <c r="C662" t="s">
        <v>2562</v>
      </c>
      <c r="D662" t="s">
        <v>1204</v>
      </c>
      <c r="E662">
        <v>85355</v>
      </c>
      <c r="F662" t="s">
        <v>2635</v>
      </c>
      <c r="G662" t="s">
        <v>2364</v>
      </c>
      <c r="H662">
        <v>6157060000</v>
      </c>
      <c r="I662" t="s">
        <v>36</v>
      </c>
      <c r="J662" t="s">
        <v>37</v>
      </c>
      <c r="K662" t="s">
        <v>37</v>
      </c>
      <c r="L662" t="s">
        <v>38</v>
      </c>
      <c r="M662" t="s">
        <v>38</v>
      </c>
      <c r="N662">
        <v>189.57</v>
      </c>
      <c r="O662" t="s">
        <v>38</v>
      </c>
      <c r="P662" t="s">
        <v>39</v>
      </c>
      <c r="Q662" s="55">
        <v>45964</v>
      </c>
      <c r="R662" t="s">
        <v>5432</v>
      </c>
      <c r="S662" t="s">
        <v>5432</v>
      </c>
      <c r="T662" t="s">
        <v>5432</v>
      </c>
      <c r="U662" t="s">
        <v>5432</v>
      </c>
      <c r="W662" s="55"/>
    </row>
    <row r="663" spans="1:23">
      <c r="A663" s="55">
        <v>45907</v>
      </c>
      <c r="B663" t="s">
        <v>2637</v>
      </c>
      <c r="C663" t="s">
        <v>2638</v>
      </c>
      <c r="D663" t="s">
        <v>202</v>
      </c>
      <c r="E663">
        <v>85383</v>
      </c>
      <c r="F663" t="s">
        <v>31</v>
      </c>
      <c r="G663" t="s">
        <v>2364</v>
      </c>
      <c r="H663">
        <v>2547200000</v>
      </c>
      <c r="I663" t="s">
        <v>36</v>
      </c>
      <c r="J663" t="s">
        <v>37</v>
      </c>
      <c r="K663" t="s">
        <v>37</v>
      </c>
      <c r="L663" t="s">
        <v>38</v>
      </c>
      <c r="M663" t="s">
        <v>37</v>
      </c>
      <c r="N663" t="s">
        <v>37</v>
      </c>
      <c r="O663" t="s">
        <v>38</v>
      </c>
      <c r="P663" t="s">
        <v>39</v>
      </c>
      <c r="Q663" s="55">
        <v>45964</v>
      </c>
      <c r="R663" t="s">
        <v>5432</v>
      </c>
      <c r="S663" t="s">
        <v>5432</v>
      </c>
      <c r="T663" t="s">
        <v>5432</v>
      </c>
      <c r="U663" t="s">
        <v>5432</v>
      </c>
      <c r="W663" s="55"/>
    </row>
    <row r="664" spans="1:23">
      <c r="A664" s="55">
        <v>45907</v>
      </c>
      <c r="B664" t="s">
        <v>2640</v>
      </c>
      <c r="C664" t="s">
        <v>757</v>
      </c>
      <c r="D664" t="s">
        <v>2641</v>
      </c>
      <c r="E664">
        <v>85087</v>
      </c>
      <c r="F664" t="s">
        <v>31</v>
      </c>
      <c r="G664" t="s">
        <v>2364</v>
      </c>
      <c r="H664">
        <v>3353472148</v>
      </c>
      <c r="I664" t="s">
        <v>250</v>
      </c>
      <c r="J664" t="s">
        <v>37</v>
      </c>
      <c r="K664" t="s">
        <v>37</v>
      </c>
      <c r="L664" t="s">
        <v>38</v>
      </c>
      <c r="M664" t="s">
        <v>37</v>
      </c>
      <c r="N664" t="s">
        <v>37</v>
      </c>
      <c r="O664" t="s">
        <v>38</v>
      </c>
      <c r="P664" t="s">
        <v>39</v>
      </c>
      <c r="Q664" s="55">
        <v>45964</v>
      </c>
      <c r="R664" t="s">
        <v>5432</v>
      </c>
      <c r="S664" t="s">
        <v>5432</v>
      </c>
      <c r="T664" t="s">
        <v>5432</v>
      </c>
      <c r="U664" t="s">
        <v>5432</v>
      </c>
      <c r="W664" s="55"/>
    </row>
    <row r="665" spans="1:23">
      <c r="A665" s="55">
        <v>45907</v>
      </c>
      <c r="B665" t="s">
        <v>841</v>
      </c>
      <c r="C665" t="s">
        <v>2643</v>
      </c>
      <c r="D665" t="s">
        <v>63</v>
      </c>
      <c r="E665">
        <v>85013</v>
      </c>
      <c r="F665" t="s">
        <v>310</v>
      </c>
      <c r="G665" t="s">
        <v>2364</v>
      </c>
      <c r="H665">
        <v>6807568001</v>
      </c>
      <c r="I665" t="s">
        <v>126</v>
      </c>
      <c r="J665" t="s">
        <v>37</v>
      </c>
      <c r="K665" t="s">
        <v>37</v>
      </c>
      <c r="L665" t="s">
        <v>38</v>
      </c>
      <c r="M665" t="s">
        <v>37</v>
      </c>
      <c r="N665" t="s">
        <v>37</v>
      </c>
      <c r="O665" t="s">
        <v>38</v>
      </c>
      <c r="P665" t="s">
        <v>39</v>
      </c>
      <c r="Q665" s="55">
        <v>45964</v>
      </c>
      <c r="R665" t="s">
        <v>5432</v>
      </c>
      <c r="S665" t="s">
        <v>5432</v>
      </c>
      <c r="T665" t="s">
        <v>5432</v>
      </c>
      <c r="U665" t="s">
        <v>5432</v>
      </c>
      <c r="W665" s="55"/>
    </row>
    <row r="666" spans="1:23">
      <c r="A666" s="55">
        <v>45907</v>
      </c>
      <c r="B666" t="s">
        <v>2645</v>
      </c>
      <c r="C666" t="s">
        <v>2646</v>
      </c>
      <c r="D666" t="s">
        <v>63</v>
      </c>
      <c r="E666">
        <v>85023</v>
      </c>
      <c r="F666" t="s">
        <v>2647</v>
      </c>
      <c r="G666" t="s">
        <v>2364</v>
      </c>
      <c r="H666">
        <v>2224828876</v>
      </c>
      <c r="I666" t="s">
        <v>73</v>
      </c>
      <c r="J666" t="s">
        <v>37</v>
      </c>
      <c r="K666" t="s">
        <v>37</v>
      </c>
      <c r="L666" t="s">
        <v>38</v>
      </c>
      <c r="M666" t="s">
        <v>37</v>
      </c>
      <c r="N666" t="s">
        <v>37</v>
      </c>
      <c r="O666" t="s">
        <v>38</v>
      </c>
      <c r="P666" t="s">
        <v>39</v>
      </c>
      <c r="Q666" s="55">
        <v>45964</v>
      </c>
      <c r="R666" t="s">
        <v>5432</v>
      </c>
      <c r="S666" t="s">
        <v>5432</v>
      </c>
      <c r="T666" t="s">
        <v>5432</v>
      </c>
      <c r="U666" t="s">
        <v>5432</v>
      </c>
      <c r="W666" s="55"/>
    </row>
    <row r="667" spans="1:23">
      <c r="A667" s="55">
        <v>45907</v>
      </c>
      <c r="B667" t="s">
        <v>2651</v>
      </c>
      <c r="C667" t="s">
        <v>2652</v>
      </c>
      <c r="D667" t="s">
        <v>202</v>
      </c>
      <c r="E667">
        <v>85383</v>
      </c>
      <c r="F667" t="s">
        <v>2653</v>
      </c>
      <c r="G667" t="s">
        <v>2364</v>
      </c>
      <c r="H667">
        <v>4684530000</v>
      </c>
      <c r="I667" t="s">
        <v>36</v>
      </c>
      <c r="J667" t="s">
        <v>37</v>
      </c>
      <c r="K667" t="s">
        <v>37</v>
      </c>
      <c r="L667" t="s">
        <v>38</v>
      </c>
      <c r="M667" t="s">
        <v>37</v>
      </c>
      <c r="N667" t="s">
        <v>37</v>
      </c>
      <c r="O667" t="s">
        <v>38</v>
      </c>
      <c r="P667" t="s">
        <v>39</v>
      </c>
      <c r="Q667" s="55">
        <v>45964</v>
      </c>
      <c r="R667" t="s">
        <v>5432</v>
      </c>
      <c r="S667" t="s">
        <v>5432</v>
      </c>
      <c r="T667" t="s">
        <v>5432</v>
      </c>
      <c r="U667" t="s">
        <v>5432</v>
      </c>
      <c r="W667" s="55"/>
    </row>
    <row r="668" spans="1:23">
      <c r="A668" s="55">
        <v>45907</v>
      </c>
      <c r="B668" t="s">
        <v>508</v>
      </c>
      <c r="C668" t="s">
        <v>965</v>
      </c>
      <c r="D668" t="s">
        <v>125</v>
      </c>
      <c r="E668">
        <v>85266</v>
      </c>
      <c r="F668" t="s">
        <v>31</v>
      </c>
      <c r="G668" t="s">
        <v>2364</v>
      </c>
      <c r="H668">
        <v>9849411000</v>
      </c>
      <c r="I668" t="s">
        <v>36</v>
      </c>
      <c r="J668" t="s">
        <v>37</v>
      </c>
      <c r="K668" t="s">
        <v>37</v>
      </c>
      <c r="L668" t="s">
        <v>38</v>
      </c>
      <c r="M668" t="s">
        <v>37</v>
      </c>
      <c r="N668" t="s">
        <v>37</v>
      </c>
      <c r="O668" t="s">
        <v>38</v>
      </c>
      <c r="P668" t="s">
        <v>39</v>
      </c>
      <c r="Q668" s="55">
        <v>45964</v>
      </c>
      <c r="R668" t="s">
        <v>5432</v>
      </c>
      <c r="S668" t="s">
        <v>5432</v>
      </c>
      <c r="T668" t="s">
        <v>5432</v>
      </c>
      <c r="U668" t="s">
        <v>5432</v>
      </c>
      <c r="W668" s="55"/>
    </row>
    <row r="669" spans="1:23">
      <c r="A669" s="55">
        <v>45907</v>
      </c>
      <c r="B669" t="s">
        <v>1500</v>
      </c>
      <c r="C669" t="s">
        <v>2658</v>
      </c>
      <c r="D669" t="s">
        <v>169</v>
      </c>
      <c r="E669">
        <v>85395</v>
      </c>
      <c r="F669" t="s">
        <v>31</v>
      </c>
      <c r="G669" t="s">
        <v>2364</v>
      </c>
      <c r="H669">
        <v>7953727588</v>
      </c>
      <c r="I669" t="s">
        <v>1684</v>
      </c>
      <c r="J669" t="s">
        <v>37</v>
      </c>
      <c r="K669" t="s">
        <v>37</v>
      </c>
      <c r="L669" t="s">
        <v>38</v>
      </c>
      <c r="M669" t="s">
        <v>37</v>
      </c>
      <c r="N669" t="s">
        <v>37</v>
      </c>
      <c r="O669" t="s">
        <v>38</v>
      </c>
      <c r="P669" t="s">
        <v>39</v>
      </c>
      <c r="Q669" s="55">
        <v>45964</v>
      </c>
      <c r="R669" t="s">
        <v>5432</v>
      </c>
      <c r="S669" t="s">
        <v>5432</v>
      </c>
      <c r="T669" t="s">
        <v>5432</v>
      </c>
      <c r="U669" t="s">
        <v>5432</v>
      </c>
      <c r="W669" s="55"/>
    </row>
    <row r="670" spans="1:23">
      <c r="A670" s="55">
        <v>45907</v>
      </c>
      <c r="B670" t="s">
        <v>2660</v>
      </c>
      <c r="C670" t="s">
        <v>2019</v>
      </c>
      <c r="D670" t="s">
        <v>169</v>
      </c>
      <c r="E670">
        <v>85395</v>
      </c>
      <c r="F670" t="s">
        <v>2548</v>
      </c>
      <c r="G670" t="s">
        <v>2364</v>
      </c>
      <c r="H670">
        <v>5248721000</v>
      </c>
      <c r="I670" t="s">
        <v>36</v>
      </c>
      <c r="J670" t="s">
        <v>37</v>
      </c>
      <c r="K670" t="s">
        <v>37</v>
      </c>
      <c r="L670" t="s">
        <v>38</v>
      </c>
      <c r="M670" t="s">
        <v>37</v>
      </c>
      <c r="N670" t="s">
        <v>37</v>
      </c>
      <c r="O670" t="s">
        <v>38</v>
      </c>
      <c r="P670" t="s">
        <v>39</v>
      </c>
      <c r="Q670" s="55">
        <v>45964</v>
      </c>
      <c r="R670" t="s">
        <v>5432</v>
      </c>
      <c r="S670" t="s">
        <v>5432</v>
      </c>
      <c r="T670" t="s">
        <v>5432</v>
      </c>
      <c r="U670" t="s">
        <v>5432</v>
      </c>
      <c r="W670" s="55"/>
    </row>
    <row r="671" spans="1:23">
      <c r="A671" s="55">
        <v>45907</v>
      </c>
      <c r="B671" t="s">
        <v>2662</v>
      </c>
      <c r="C671" t="s">
        <v>2663</v>
      </c>
      <c r="D671" t="s">
        <v>129</v>
      </c>
      <c r="E671">
        <v>85223</v>
      </c>
      <c r="F671" t="s">
        <v>310</v>
      </c>
      <c r="G671" t="s">
        <v>2364</v>
      </c>
      <c r="H671">
        <v>3805928813</v>
      </c>
      <c r="I671" t="s">
        <v>57</v>
      </c>
      <c r="J671" t="s">
        <v>37</v>
      </c>
      <c r="K671" t="s">
        <v>37</v>
      </c>
      <c r="L671" t="s">
        <v>2665</v>
      </c>
      <c r="M671" t="s">
        <v>37</v>
      </c>
      <c r="N671" t="s">
        <v>37</v>
      </c>
      <c r="O671" t="s">
        <v>38</v>
      </c>
      <c r="P671" t="s">
        <v>39</v>
      </c>
      <c r="Q671" s="55">
        <v>45964</v>
      </c>
      <c r="R671" t="s">
        <v>5432</v>
      </c>
      <c r="S671" t="s">
        <v>5432</v>
      </c>
      <c r="T671" t="s">
        <v>5432</v>
      </c>
      <c r="U671" t="s">
        <v>5432</v>
      </c>
      <c r="W671" s="55"/>
    </row>
    <row r="672" spans="1:23">
      <c r="A672" s="55">
        <v>45907</v>
      </c>
      <c r="B672" t="s">
        <v>2670</v>
      </c>
      <c r="C672" t="s">
        <v>2671</v>
      </c>
      <c r="D672" t="s">
        <v>136</v>
      </c>
      <c r="E672">
        <v>85377</v>
      </c>
      <c r="F672" t="s">
        <v>2672</v>
      </c>
      <c r="G672" t="s">
        <v>2364</v>
      </c>
      <c r="H672">
        <v>8715441000</v>
      </c>
      <c r="I672" t="s">
        <v>36</v>
      </c>
      <c r="J672" t="s">
        <v>37</v>
      </c>
      <c r="K672" t="s">
        <v>37</v>
      </c>
      <c r="L672" t="s">
        <v>38</v>
      </c>
      <c r="M672" t="s">
        <v>37</v>
      </c>
      <c r="N672" t="s">
        <v>37</v>
      </c>
      <c r="O672" t="s">
        <v>38</v>
      </c>
      <c r="P672" t="s">
        <v>39</v>
      </c>
      <c r="Q672" s="55">
        <v>45961</v>
      </c>
      <c r="R672" t="s">
        <v>5432</v>
      </c>
      <c r="S672" t="s">
        <v>5432</v>
      </c>
      <c r="T672" t="s">
        <v>5432</v>
      </c>
      <c r="U672" t="s">
        <v>5432</v>
      </c>
      <c r="W672" s="55"/>
    </row>
    <row r="673" spans="1:23">
      <c r="A673" s="55">
        <v>45907</v>
      </c>
      <c r="B673" t="s">
        <v>2674</v>
      </c>
      <c r="C673" t="s">
        <v>2675</v>
      </c>
      <c r="D673" t="s">
        <v>880</v>
      </c>
      <c r="E673">
        <v>85086</v>
      </c>
      <c r="F673" t="s">
        <v>2676</v>
      </c>
      <c r="G673" t="s">
        <v>2364</v>
      </c>
      <c r="H673">
        <v>2752541344</v>
      </c>
      <c r="I673" t="s">
        <v>196</v>
      </c>
      <c r="J673" t="s">
        <v>37</v>
      </c>
      <c r="K673" t="s">
        <v>37</v>
      </c>
      <c r="L673" t="s">
        <v>2678</v>
      </c>
      <c r="M673" t="s">
        <v>37</v>
      </c>
      <c r="N673" t="s">
        <v>37</v>
      </c>
      <c r="O673" t="s">
        <v>38</v>
      </c>
      <c r="P673" t="s">
        <v>39</v>
      </c>
      <c r="Q673" s="55">
        <v>45961</v>
      </c>
      <c r="R673" t="s">
        <v>5432</v>
      </c>
      <c r="S673" t="s">
        <v>5432</v>
      </c>
      <c r="T673" t="s">
        <v>5432</v>
      </c>
      <c r="U673" t="s">
        <v>5432</v>
      </c>
      <c r="W673" s="55"/>
    </row>
    <row r="674" spans="1:23">
      <c r="A674" s="55">
        <v>45907</v>
      </c>
      <c r="B674" t="s">
        <v>2682</v>
      </c>
      <c r="C674" t="s">
        <v>1127</v>
      </c>
      <c r="D674" t="s">
        <v>2681</v>
      </c>
      <c r="E674">
        <v>85342</v>
      </c>
      <c r="F674" t="s">
        <v>31</v>
      </c>
      <c r="G674" t="s">
        <v>2364</v>
      </c>
      <c r="H674">
        <v>8171441100</v>
      </c>
      <c r="I674" t="s">
        <v>36</v>
      </c>
      <c r="J674" t="s">
        <v>37</v>
      </c>
      <c r="K674" t="s">
        <v>37</v>
      </c>
      <c r="L674" t="s">
        <v>2684</v>
      </c>
      <c r="M674" t="s">
        <v>37</v>
      </c>
      <c r="N674" t="s">
        <v>37</v>
      </c>
      <c r="O674" t="s">
        <v>38</v>
      </c>
      <c r="P674" t="s">
        <v>39</v>
      </c>
      <c r="Q674" s="55">
        <v>45961</v>
      </c>
      <c r="R674" t="s">
        <v>5432</v>
      </c>
      <c r="S674" t="s">
        <v>5432</v>
      </c>
      <c r="T674" t="s">
        <v>5432</v>
      </c>
      <c r="U674" t="s">
        <v>5432</v>
      </c>
      <c r="W674" s="55"/>
    </row>
    <row r="675" spans="1:23">
      <c r="A675" s="55">
        <v>45907</v>
      </c>
      <c r="B675" t="s">
        <v>2685</v>
      </c>
      <c r="C675" t="s">
        <v>2686</v>
      </c>
      <c r="D675" t="s">
        <v>202</v>
      </c>
      <c r="E675">
        <v>85383</v>
      </c>
      <c r="F675" t="s">
        <v>31</v>
      </c>
      <c r="G675" t="s">
        <v>2364</v>
      </c>
      <c r="H675">
        <v>831730979</v>
      </c>
      <c r="I675" t="s">
        <v>73</v>
      </c>
      <c r="J675" t="s">
        <v>37</v>
      </c>
      <c r="K675" t="s">
        <v>37</v>
      </c>
      <c r="L675" t="s">
        <v>38</v>
      </c>
      <c r="M675" t="s">
        <v>37</v>
      </c>
      <c r="N675" t="s">
        <v>37</v>
      </c>
      <c r="O675" t="s">
        <v>38</v>
      </c>
      <c r="P675" t="s">
        <v>39</v>
      </c>
      <c r="Q675" s="55">
        <v>45961</v>
      </c>
      <c r="R675" t="s">
        <v>5432</v>
      </c>
      <c r="S675" t="s">
        <v>5432</v>
      </c>
      <c r="T675" t="s">
        <v>5432</v>
      </c>
      <c r="U675" t="s">
        <v>5432</v>
      </c>
      <c r="W675" s="55"/>
    </row>
    <row r="676" spans="1:23">
      <c r="A676" s="55">
        <v>45907</v>
      </c>
      <c r="B676" t="s">
        <v>2690</v>
      </c>
      <c r="C676" t="s">
        <v>2691</v>
      </c>
      <c r="D676" t="s">
        <v>112</v>
      </c>
      <c r="E676">
        <v>85388</v>
      </c>
      <c r="F676" t="s">
        <v>310</v>
      </c>
      <c r="G676" t="s">
        <v>2364</v>
      </c>
      <c r="H676">
        <v>179082566</v>
      </c>
      <c r="I676" t="s">
        <v>250</v>
      </c>
      <c r="J676" t="s">
        <v>37</v>
      </c>
      <c r="K676" t="s">
        <v>37</v>
      </c>
      <c r="L676" t="s">
        <v>38</v>
      </c>
      <c r="M676" t="s">
        <v>37</v>
      </c>
      <c r="N676" t="s">
        <v>37</v>
      </c>
      <c r="O676" t="s">
        <v>38</v>
      </c>
      <c r="P676" t="s">
        <v>39</v>
      </c>
      <c r="Q676" s="55">
        <v>45961</v>
      </c>
      <c r="R676" t="s">
        <v>5432</v>
      </c>
      <c r="S676" t="s">
        <v>5432</v>
      </c>
      <c r="T676" t="s">
        <v>5432</v>
      </c>
      <c r="U676" t="s">
        <v>5432</v>
      </c>
      <c r="W676" s="55"/>
    </row>
    <row r="677" spans="1:23">
      <c r="A677" s="55">
        <v>45907</v>
      </c>
      <c r="B677" t="s">
        <v>2693</v>
      </c>
      <c r="C677" t="s">
        <v>1824</v>
      </c>
      <c r="D677" t="s">
        <v>202</v>
      </c>
      <c r="E677">
        <v>85345</v>
      </c>
      <c r="F677" t="s">
        <v>310</v>
      </c>
      <c r="G677" t="s">
        <v>2364</v>
      </c>
      <c r="H677">
        <v>1027321000</v>
      </c>
      <c r="I677" t="s">
        <v>57</v>
      </c>
      <c r="J677" t="s">
        <v>37</v>
      </c>
      <c r="K677" t="s">
        <v>37</v>
      </c>
      <c r="L677" t="s">
        <v>2695</v>
      </c>
      <c r="M677" t="s">
        <v>37</v>
      </c>
      <c r="N677" t="s">
        <v>37</v>
      </c>
      <c r="O677" t="s">
        <v>38</v>
      </c>
      <c r="P677">
        <v>45939</v>
      </c>
      <c r="Q677" s="55">
        <v>45961</v>
      </c>
      <c r="R677" t="s">
        <v>2474</v>
      </c>
      <c r="S677" t="s">
        <v>5432</v>
      </c>
      <c r="T677" t="s">
        <v>5432</v>
      </c>
      <c r="U677" t="s">
        <v>5432</v>
      </c>
      <c r="W677" s="55"/>
    </row>
    <row r="678" spans="1:23">
      <c r="A678" s="55">
        <v>45907</v>
      </c>
      <c r="B678" t="s">
        <v>2696</v>
      </c>
      <c r="C678" t="s">
        <v>1647</v>
      </c>
      <c r="D678" t="s">
        <v>125</v>
      </c>
      <c r="E678">
        <v>85260</v>
      </c>
      <c r="F678" t="s">
        <v>310</v>
      </c>
      <c r="G678" t="s">
        <v>2364</v>
      </c>
      <c r="H678">
        <v>7586510000</v>
      </c>
      <c r="I678" t="s">
        <v>196</v>
      </c>
      <c r="J678" t="s">
        <v>37</v>
      </c>
      <c r="K678" t="s">
        <v>37</v>
      </c>
      <c r="L678" t="s">
        <v>38</v>
      </c>
      <c r="M678" t="s">
        <v>37</v>
      </c>
      <c r="N678" t="s">
        <v>37</v>
      </c>
      <c r="O678" t="s">
        <v>38</v>
      </c>
      <c r="P678">
        <v>45938</v>
      </c>
      <c r="Q678" s="55">
        <v>45961</v>
      </c>
      <c r="R678" t="s">
        <v>2698</v>
      </c>
      <c r="S678" t="s">
        <v>5432</v>
      </c>
      <c r="T678" t="s">
        <v>5432</v>
      </c>
      <c r="U678" t="s">
        <v>5432</v>
      </c>
      <c r="W678" s="55"/>
    </row>
    <row r="679" spans="1:23">
      <c r="A679" s="55">
        <v>45907</v>
      </c>
      <c r="B679" t="s">
        <v>538</v>
      </c>
      <c r="C679" t="s">
        <v>124</v>
      </c>
      <c r="D679" t="s">
        <v>504</v>
      </c>
      <c r="E679">
        <v>86001</v>
      </c>
      <c r="F679" t="s">
        <v>310</v>
      </c>
      <c r="G679" t="s">
        <v>2364</v>
      </c>
      <c r="H679">
        <v>8422252988</v>
      </c>
      <c r="I679" t="s">
        <v>73</v>
      </c>
      <c r="J679" t="s">
        <v>37</v>
      </c>
      <c r="K679" t="s">
        <v>37</v>
      </c>
      <c r="L679" t="s">
        <v>38</v>
      </c>
      <c r="M679" t="s">
        <v>37</v>
      </c>
      <c r="N679" t="s">
        <v>37</v>
      </c>
      <c r="O679" t="s">
        <v>38</v>
      </c>
      <c r="P679" t="s">
        <v>39</v>
      </c>
      <c r="Q679" s="55">
        <v>45961</v>
      </c>
      <c r="R679" t="s">
        <v>5432</v>
      </c>
      <c r="S679" t="s">
        <v>5432</v>
      </c>
      <c r="T679" t="s">
        <v>5432</v>
      </c>
      <c r="U679" t="s">
        <v>5432</v>
      </c>
      <c r="W679" s="55"/>
    </row>
    <row r="680" spans="1:23">
      <c r="A680" s="55">
        <v>45907</v>
      </c>
      <c r="B680" t="s">
        <v>2701</v>
      </c>
      <c r="C680" t="s">
        <v>2702</v>
      </c>
      <c r="D680" t="s">
        <v>112</v>
      </c>
      <c r="E680">
        <v>85379</v>
      </c>
      <c r="F680" t="s">
        <v>2703</v>
      </c>
      <c r="G680" t="s">
        <v>2364</v>
      </c>
      <c r="H680">
        <v>6220501000</v>
      </c>
      <c r="I680" t="s">
        <v>126</v>
      </c>
      <c r="J680" t="s">
        <v>37</v>
      </c>
      <c r="K680" t="s">
        <v>37</v>
      </c>
      <c r="L680" t="s">
        <v>38</v>
      </c>
      <c r="M680" t="s">
        <v>37</v>
      </c>
      <c r="N680" t="s">
        <v>37</v>
      </c>
      <c r="O680" t="s">
        <v>38</v>
      </c>
      <c r="P680" t="s">
        <v>39</v>
      </c>
      <c r="Q680" s="55">
        <v>45961</v>
      </c>
      <c r="R680" t="s">
        <v>5432</v>
      </c>
      <c r="S680" t="s">
        <v>5432</v>
      </c>
      <c r="T680" t="s">
        <v>5432</v>
      </c>
      <c r="U680" t="s">
        <v>5432</v>
      </c>
      <c r="W680" s="55"/>
    </row>
    <row r="681" spans="1:23">
      <c r="A681" s="55">
        <v>45907</v>
      </c>
      <c r="B681" t="s">
        <v>2705</v>
      </c>
      <c r="C681" t="s">
        <v>2706</v>
      </c>
      <c r="D681" t="s">
        <v>523</v>
      </c>
      <c r="E681">
        <v>85392</v>
      </c>
      <c r="F681" t="s">
        <v>1135</v>
      </c>
      <c r="G681" t="s">
        <v>2364</v>
      </c>
      <c r="H681">
        <v>829573314</v>
      </c>
      <c r="I681" t="s">
        <v>1684</v>
      </c>
      <c r="J681" t="s">
        <v>37</v>
      </c>
      <c r="K681" t="s">
        <v>37</v>
      </c>
      <c r="L681" t="s">
        <v>401</v>
      </c>
      <c r="M681" t="s">
        <v>37</v>
      </c>
      <c r="N681" t="s">
        <v>37</v>
      </c>
      <c r="O681" t="s">
        <v>38</v>
      </c>
      <c r="P681" t="s">
        <v>39</v>
      </c>
      <c r="Q681" s="55">
        <v>45961</v>
      </c>
      <c r="R681" t="s">
        <v>2708</v>
      </c>
      <c r="S681" t="s">
        <v>5432</v>
      </c>
      <c r="T681" t="s">
        <v>5432</v>
      </c>
      <c r="U681" t="s">
        <v>5432</v>
      </c>
      <c r="W681" s="55"/>
    </row>
    <row r="682" spans="1:23">
      <c r="A682" s="55">
        <v>45907</v>
      </c>
      <c r="B682" t="s">
        <v>1411</v>
      </c>
      <c r="C682" t="s">
        <v>2709</v>
      </c>
      <c r="D682" t="s">
        <v>202</v>
      </c>
      <c r="E682">
        <v>85382</v>
      </c>
      <c r="F682" t="s">
        <v>2274</v>
      </c>
      <c r="G682" t="s">
        <v>2364</v>
      </c>
      <c r="H682">
        <v>119612479</v>
      </c>
      <c r="I682" t="s">
        <v>73</v>
      </c>
      <c r="J682" t="s">
        <v>37</v>
      </c>
      <c r="K682" t="s">
        <v>37</v>
      </c>
      <c r="L682" t="s">
        <v>38</v>
      </c>
      <c r="M682" t="s">
        <v>37</v>
      </c>
      <c r="N682" t="s">
        <v>37</v>
      </c>
      <c r="O682" t="s">
        <v>38</v>
      </c>
      <c r="P682" t="s">
        <v>39</v>
      </c>
      <c r="Q682" s="55">
        <v>45961</v>
      </c>
      <c r="R682" t="s">
        <v>5432</v>
      </c>
      <c r="S682" t="s">
        <v>5432</v>
      </c>
      <c r="T682" t="s">
        <v>5432</v>
      </c>
      <c r="U682" t="s">
        <v>5432</v>
      </c>
      <c r="W682" s="55"/>
    </row>
    <row r="683" spans="1:23">
      <c r="A683" s="55">
        <v>45907</v>
      </c>
      <c r="B683" t="s">
        <v>2711</v>
      </c>
      <c r="C683" t="s">
        <v>2057</v>
      </c>
      <c r="D683" t="s">
        <v>2712</v>
      </c>
      <c r="E683">
        <v>86023</v>
      </c>
      <c r="F683" t="s">
        <v>310</v>
      </c>
      <c r="G683" t="s">
        <v>2364</v>
      </c>
      <c r="H683">
        <v>6942363976</v>
      </c>
      <c r="I683" t="s">
        <v>73</v>
      </c>
      <c r="J683" t="s">
        <v>37</v>
      </c>
      <c r="K683" t="s">
        <v>37</v>
      </c>
      <c r="L683" t="s">
        <v>38</v>
      </c>
      <c r="M683" t="s">
        <v>37</v>
      </c>
      <c r="N683" t="s">
        <v>37</v>
      </c>
      <c r="O683" t="s">
        <v>38</v>
      </c>
      <c r="P683" t="s">
        <v>39</v>
      </c>
      <c r="Q683" s="55">
        <v>45961</v>
      </c>
      <c r="R683" t="s">
        <v>5432</v>
      </c>
      <c r="S683" t="s">
        <v>5432</v>
      </c>
      <c r="T683" t="s">
        <v>5432</v>
      </c>
      <c r="U683" t="s">
        <v>5432</v>
      </c>
      <c r="W683" s="55"/>
    </row>
    <row r="684" spans="1:23">
      <c r="A684" s="55">
        <v>45907</v>
      </c>
      <c r="B684" t="s">
        <v>2714</v>
      </c>
      <c r="C684" t="s">
        <v>471</v>
      </c>
      <c r="D684" t="s">
        <v>63</v>
      </c>
      <c r="E684">
        <v>85020</v>
      </c>
      <c r="F684" t="s">
        <v>310</v>
      </c>
      <c r="G684" t="s">
        <v>2364</v>
      </c>
      <c r="H684">
        <v>3846299964</v>
      </c>
      <c r="I684" t="s">
        <v>541</v>
      </c>
      <c r="J684" t="s">
        <v>37</v>
      </c>
      <c r="K684" t="s">
        <v>37</v>
      </c>
      <c r="L684" t="s">
        <v>389</v>
      </c>
      <c r="M684" t="s">
        <v>37</v>
      </c>
      <c r="N684" t="s">
        <v>37</v>
      </c>
      <c r="O684" t="s">
        <v>38</v>
      </c>
      <c r="P684" t="s">
        <v>39</v>
      </c>
      <c r="Q684" s="55">
        <v>45961</v>
      </c>
      <c r="R684" t="s">
        <v>5432</v>
      </c>
      <c r="S684" t="s">
        <v>5432</v>
      </c>
      <c r="T684" t="s">
        <v>5432</v>
      </c>
      <c r="U684" t="s">
        <v>5432</v>
      </c>
      <c r="W684" s="55"/>
    </row>
    <row r="685" spans="1:23">
      <c r="A685" s="55">
        <v>45907</v>
      </c>
      <c r="B685" t="s">
        <v>2721</v>
      </c>
      <c r="C685" t="s">
        <v>382</v>
      </c>
      <c r="D685" t="s">
        <v>112</v>
      </c>
      <c r="E685">
        <v>85374</v>
      </c>
      <c r="F685" t="s">
        <v>310</v>
      </c>
      <c r="G685" t="s">
        <v>2364</v>
      </c>
      <c r="H685">
        <v>9041804996</v>
      </c>
      <c r="I685" t="s">
        <v>196</v>
      </c>
      <c r="J685" t="s">
        <v>37</v>
      </c>
      <c r="K685" t="s">
        <v>37</v>
      </c>
      <c r="L685" t="s">
        <v>2723</v>
      </c>
      <c r="M685" t="s">
        <v>37</v>
      </c>
      <c r="N685" t="s">
        <v>37</v>
      </c>
      <c r="O685" t="s">
        <v>38</v>
      </c>
      <c r="P685" t="s">
        <v>39</v>
      </c>
      <c r="Q685" s="55">
        <v>45961</v>
      </c>
      <c r="R685" t="s">
        <v>5432</v>
      </c>
      <c r="S685" t="s">
        <v>5432</v>
      </c>
      <c r="T685" t="s">
        <v>5432</v>
      </c>
      <c r="U685" t="s">
        <v>5432</v>
      </c>
      <c r="W685" s="55"/>
    </row>
    <row r="686" spans="1:23">
      <c r="A686" s="55">
        <v>45907</v>
      </c>
      <c r="B686" t="s">
        <v>431</v>
      </c>
      <c r="C686" t="s">
        <v>2724</v>
      </c>
      <c r="D686" t="s">
        <v>63</v>
      </c>
      <c r="E686">
        <v>85016</v>
      </c>
      <c r="F686" t="s">
        <v>310</v>
      </c>
      <c r="G686" t="s">
        <v>2364</v>
      </c>
      <c r="H686">
        <v>7925230997</v>
      </c>
      <c r="I686" t="s">
        <v>126</v>
      </c>
      <c r="J686" t="s">
        <v>37</v>
      </c>
      <c r="K686" t="s">
        <v>37</v>
      </c>
      <c r="L686" t="s">
        <v>38</v>
      </c>
      <c r="M686" t="s">
        <v>37</v>
      </c>
      <c r="N686" t="s">
        <v>37</v>
      </c>
      <c r="O686" t="s">
        <v>38</v>
      </c>
      <c r="P686" t="s">
        <v>39</v>
      </c>
      <c r="Q686" s="55">
        <v>45961</v>
      </c>
      <c r="R686" t="s">
        <v>5432</v>
      </c>
      <c r="S686" t="s">
        <v>5432</v>
      </c>
      <c r="T686" t="s">
        <v>5432</v>
      </c>
      <c r="U686" t="s">
        <v>5432</v>
      </c>
      <c r="W686" s="55"/>
    </row>
    <row r="687" spans="1:23">
      <c r="A687" s="55">
        <v>45907</v>
      </c>
      <c r="B687" t="s">
        <v>2727</v>
      </c>
      <c r="C687" t="s">
        <v>395</v>
      </c>
      <c r="D687" t="s">
        <v>63</v>
      </c>
      <c r="E687">
        <v>85012</v>
      </c>
      <c r="F687" t="s">
        <v>310</v>
      </c>
      <c r="G687" t="s">
        <v>2364</v>
      </c>
      <c r="H687">
        <v>1669206811</v>
      </c>
      <c r="I687" t="s">
        <v>126</v>
      </c>
      <c r="J687" t="s">
        <v>37</v>
      </c>
      <c r="K687" t="s">
        <v>37</v>
      </c>
      <c r="L687" t="s">
        <v>2729</v>
      </c>
      <c r="M687" t="s">
        <v>37</v>
      </c>
      <c r="N687" t="s">
        <v>37</v>
      </c>
      <c r="O687" t="s">
        <v>38</v>
      </c>
      <c r="P687" t="s">
        <v>39</v>
      </c>
      <c r="Q687" s="55">
        <v>45961</v>
      </c>
      <c r="R687" t="s">
        <v>5432</v>
      </c>
      <c r="S687" t="s">
        <v>5432</v>
      </c>
      <c r="T687" t="s">
        <v>5432</v>
      </c>
      <c r="U687" t="s">
        <v>5432</v>
      </c>
      <c r="W687" s="55"/>
    </row>
    <row r="688" spans="1:23">
      <c r="A688" s="55">
        <v>45907</v>
      </c>
      <c r="B688" t="s">
        <v>2025</v>
      </c>
      <c r="C688" t="s">
        <v>941</v>
      </c>
      <c r="D688" t="s">
        <v>63</v>
      </c>
      <c r="E688">
        <v>85012</v>
      </c>
      <c r="F688" t="s">
        <v>31</v>
      </c>
      <c r="G688" t="s">
        <v>2364</v>
      </c>
      <c r="H688">
        <v>4455318107</v>
      </c>
      <c r="I688" t="s">
        <v>126</v>
      </c>
      <c r="J688" t="s">
        <v>37</v>
      </c>
      <c r="K688" t="s">
        <v>37</v>
      </c>
      <c r="L688" t="s">
        <v>38</v>
      </c>
      <c r="M688" t="s">
        <v>37</v>
      </c>
      <c r="N688" t="s">
        <v>37</v>
      </c>
      <c r="O688" t="s">
        <v>38</v>
      </c>
      <c r="P688" t="s">
        <v>39</v>
      </c>
      <c r="Q688" s="55">
        <v>45961</v>
      </c>
      <c r="R688" t="s">
        <v>5432</v>
      </c>
      <c r="S688" t="s">
        <v>5432</v>
      </c>
      <c r="T688" t="s">
        <v>5432</v>
      </c>
      <c r="U688" t="s">
        <v>5432</v>
      </c>
      <c r="W688" s="55"/>
    </row>
    <row r="689" spans="1:23">
      <c r="A689" s="55">
        <v>45907</v>
      </c>
      <c r="B689" t="s">
        <v>1703</v>
      </c>
      <c r="C689" t="s">
        <v>481</v>
      </c>
      <c r="D689" t="s">
        <v>63</v>
      </c>
      <c r="E689">
        <v>85032</v>
      </c>
      <c r="F689" t="s">
        <v>2732</v>
      </c>
      <c r="G689" t="s">
        <v>2364</v>
      </c>
      <c r="H689">
        <v>6541680000</v>
      </c>
      <c r="I689" t="s">
        <v>36</v>
      </c>
      <c r="J689" t="s">
        <v>37</v>
      </c>
      <c r="K689" t="s">
        <v>37</v>
      </c>
      <c r="L689" t="s">
        <v>36</v>
      </c>
      <c r="M689" t="s">
        <v>37</v>
      </c>
      <c r="N689" t="s">
        <v>37</v>
      </c>
      <c r="O689" t="s">
        <v>38</v>
      </c>
      <c r="P689" t="s">
        <v>39</v>
      </c>
      <c r="Q689" s="55">
        <v>45961</v>
      </c>
      <c r="R689" t="s">
        <v>5432</v>
      </c>
      <c r="S689" t="s">
        <v>5432</v>
      </c>
      <c r="T689" t="s">
        <v>5432</v>
      </c>
      <c r="U689" t="s">
        <v>5432</v>
      </c>
      <c r="W689" s="55"/>
    </row>
    <row r="690" spans="1:23">
      <c r="A690" s="55">
        <v>45907</v>
      </c>
      <c r="B690" t="s">
        <v>449</v>
      </c>
      <c r="C690" t="s">
        <v>2734</v>
      </c>
      <c r="D690" t="s">
        <v>63</v>
      </c>
      <c r="E690">
        <v>85032</v>
      </c>
      <c r="F690" t="s">
        <v>310</v>
      </c>
      <c r="G690" t="s">
        <v>2364</v>
      </c>
      <c r="H690">
        <v>3242131815</v>
      </c>
      <c r="I690" t="s">
        <v>196</v>
      </c>
      <c r="J690" t="s">
        <v>37</v>
      </c>
      <c r="K690" t="s">
        <v>37</v>
      </c>
      <c r="L690" t="s">
        <v>2736</v>
      </c>
      <c r="M690" t="s">
        <v>37</v>
      </c>
      <c r="N690" t="s">
        <v>37</v>
      </c>
      <c r="O690" t="s">
        <v>38</v>
      </c>
      <c r="P690" t="s">
        <v>39</v>
      </c>
      <c r="Q690" s="55">
        <v>45961</v>
      </c>
      <c r="R690" t="s">
        <v>2737</v>
      </c>
      <c r="S690" t="s">
        <v>5432</v>
      </c>
      <c r="T690" t="s">
        <v>5432</v>
      </c>
      <c r="U690" t="s">
        <v>5432</v>
      </c>
      <c r="W690" s="55"/>
    </row>
    <row r="691" spans="1:23">
      <c r="A691" s="55">
        <v>45907</v>
      </c>
      <c r="B691" t="s">
        <v>2739</v>
      </c>
      <c r="C691" t="s">
        <v>1824</v>
      </c>
      <c r="D691" t="s">
        <v>24</v>
      </c>
      <c r="E691">
        <v>85308</v>
      </c>
      <c r="F691" t="s">
        <v>310</v>
      </c>
      <c r="G691" t="s">
        <v>2364</v>
      </c>
      <c r="H691">
        <v>2303209836</v>
      </c>
      <c r="I691" t="s">
        <v>196</v>
      </c>
      <c r="J691" t="s">
        <v>37</v>
      </c>
      <c r="K691" t="s">
        <v>37</v>
      </c>
      <c r="L691" t="s">
        <v>2741</v>
      </c>
      <c r="M691" t="s">
        <v>37</v>
      </c>
      <c r="N691" t="s">
        <v>37</v>
      </c>
      <c r="O691" t="s">
        <v>38</v>
      </c>
      <c r="P691" t="s">
        <v>39</v>
      </c>
      <c r="Q691" s="55">
        <v>45961</v>
      </c>
      <c r="R691" t="s">
        <v>5432</v>
      </c>
      <c r="S691" t="s">
        <v>5432</v>
      </c>
      <c r="T691" t="s">
        <v>5432</v>
      </c>
      <c r="U691" t="s">
        <v>5432</v>
      </c>
      <c r="W691" s="55"/>
    </row>
    <row r="692" spans="1:23">
      <c r="A692" s="55">
        <v>45907</v>
      </c>
      <c r="B692" t="s">
        <v>2742</v>
      </c>
      <c r="C692" t="s">
        <v>624</v>
      </c>
      <c r="D692" t="s">
        <v>24</v>
      </c>
      <c r="E692">
        <v>85310</v>
      </c>
      <c r="F692" t="s">
        <v>2743</v>
      </c>
      <c r="G692" t="s">
        <v>2364</v>
      </c>
      <c r="H692">
        <v>8231151000</v>
      </c>
      <c r="I692" t="s">
        <v>196</v>
      </c>
      <c r="J692" t="s">
        <v>37</v>
      </c>
      <c r="K692" t="s">
        <v>37</v>
      </c>
      <c r="L692" t="s">
        <v>2745</v>
      </c>
      <c r="M692" t="s">
        <v>37</v>
      </c>
      <c r="N692" t="s">
        <v>37</v>
      </c>
      <c r="O692" t="s">
        <v>38</v>
      </c>
      <c r="P692">
        <v>45938</v>
      </c>
      <c r="Q692" s="55">
        <v>45961</v>
      </c>
      <c r="R692" t="s">
        <v>2746</v>
      </c>
      <c r="S692" t="s">
        <v>5432</v>
      </c>
      <c r="T692" t="s">
        <v>5432</v>
      </c>
      <c r="U692" t="s">
        <v>5432</v>
      </c>
      <c r="W692" s="55"/>
    </row>
    <row r="693" spans="1:23">
      <c r="A693" s="55">
        <v>45907</v>
      </c>
      <c r="B693" t="s">
        <v>2747</v>
      </c>
      <c r="C693" t="s">
        <v>2748</v>
      </c>
      <c r="D693" t="s">
        <v>30</v>
      </c>
      <c r="E693" t="s">
        <v>30</v>
      </c>
      <c r="F693" t="s">
        <v>2749</v>
      </c>
      <c r="G693" t="s">
        <v>2364</v>
      </c>
      <c r="H693">
        <v>7014080000</v>
      </c>
      <c r="I693" t="s">
        <v>36</v>
      </c>
      <c r="J693" t="s">
        <v>37</v>
      </c>
      <c r="K693" t="s">
        <v>37</v>
      </c>
      <c r="L693" t="s">
        <v>38</v>
      </c>
      <c r="M693" t="s">
        <v>37</v>
      </c>
      <c r="N693" t="s">
        <v>37</v>
      </c>
      <c r="O693" t="s">
        <v>38</v>
      </c>
      <c r="P693" t="s">
        <v>39</v>
      </c>
      <c r="Q693" s="55">
        <v>45961</v>
      </c>
      <c r="R693" t="s">
        <v>5432</v>
      </c>
      <c r="S693" t="s">
        <v>5432</v>
      </c>
      <c r="T693" t="s">
        <v>5432</v>
      </c>
      <c r="U693" t="s">
        <v>5432</v>
      </c>
      <c r="W693" s="55"/>
    </row>
    <row r="694" spans="1:23">
      <c r="A694" s="55">
        <v>45907</v>
      </c>
      <c r="B694" t="s">
        <v>2751</v>
      </c>
      <c r="C694" t="s">
        <v>2752</v>
      </c>
      <c r="D694" t="s">
        <v>63</v>
      </c>
      <c r="E694">
        <v>85022</v>
      </c>
      <c r="F694" t="s">
        <v>31</v>
      </c>
      <c r="G694" t="s">
        <v>2364</v>
      </c>
      <c r="H694">
        <v>2239392578</v>
      </c>
      <c r="I694" t="s">
        <v>196</v>
      </c>
      <c r="J694" t="s">
        <v>37</v>
      </c>
      <c r="K694" t="s">
        <v>37</v>
      </c>
      <c r="L694" t="s">
        <v>38</v>
      </c>
      <c r="M694" t="s">
        <v>37</v>
      </c>
      <c r="N694" t="s">
        <v>37</v>
      </c>
      <c r="O694" t="s">
        <v>38</v>
      </c>
      <c r="P694" t="s">
        <v>39</v>
      </c>
      <c r="Q694" s="55">
        <v>45961</v>
      </c>
      <c r="R694" t="s">
        <v>5432</v>
      </c>
      <c r="S694" t="s">
        <v>5432</v>
      </c>
      <c r="T694" t="s">
        <v>5432</v>
      </c>
      <c r="U694" t="s">
        <v>5432</v>
      </c>
      <c r="W694" s="55"/>
    </row>
    <row r="695" spans="1:23">
      <c r="A695" s="55">
        <v>45907</v>
      </c>
      <c r="B695" t="s">
        <v>2754</v>
      </c>
      <c r="C695" t="s">
        <v>2755</v>
      </c>
      <c r="D695" t="s">
        <v>30</v>
      </c>
      <c r="E695" t="s">
        <v>30</v>
      </c>
      <c r="F695" t="s">
        <v>2756</v>
      </c>
      <c r="G695" t="s">
        <v>2364</v>
      </c>
      <c r="H695">
        <v>2798910000</v>
      </c>
      <c r="I695" t="s">
        <v>418</v>
      </c>
      <c r="J695" t="s">
        <v>37</v>
      </c>
      <c r="K695" t="s">
        <v>37</v>
      </c>
      <c r="L695" t="s">
        <v>389</v>
      </c>
      <c r="M695" t="s">
        <v>37</v>
      </c>
      <c r="N695" t="s">
        <v>37</v>
      </c>
      <c r="O695" t="s">
        <v>38</v>
      </c>
      <c r="P695" t="s">
        <v>39</v>
      </c>
      <c r="Q695" s="55">
        <v>45961</v>
      </c>
      <c r="R695" t="s">
        <v>5432</v>
      </c>
      <c r="S695" t="s">
        <v>5432</v>
      </c>
      <c r="T695" t="s">
        <v>5432</v>
      </c>
      <c r="U695" t="s">
        <v>5432</v>
      </c>
      <c r="W695" s="55"/>
    </row>
    <row r="696" spans="1:23">
      <c r="A696" s="55">
        <v>45907</v>
      </c>
      <c r="B696" t="s">
        <v>2758</v>
      </c>
      <c r="C696" t="s">
        <v>2273</v>
      </c>
      <c r="D696" t="s">
        <v>112</v>
      </c>
      <c r="E696">
        <v>85388</v>
      </c>
      <c r="F696" t="s">
        <v>31</v>
      </c>
      <c r="G696" t="s">
        <v>2364</v>
      </c>
      <c r="H696">
        <v>9798240000</v>
      </c>
      <c r="I696" t="s">
        <v>126</v>
      </c>
      <c r="J696" t="s">
        <v>37</v>
      </c>
      <c r="K696" t="s">
        <v>37</v>
      </c>
      <c r="L696" t="s">
        <v>5432</v>
      </c>
      <c r="M696" t="s">
        <v>37</v>
      </c>
      <c r="N696" t="s">
        <v>37</v>
      </c>
      <c r="O696" t="s">
        <v>38</v>
      </c>
      <c r="P696" t="s">
        <v>39</v>
      </c>
      <c r="Q696" s="55">
        <v>45961</v>
      </c>
      <c r="R696" t="s">
        <v>2760</v>
      </c>
      <c r="S696" t="s">
        <v>5432</v>
      </c>
      <c r="T696" t="s">
        <v>5432</v>
      </c>
      <c r="U696" t="s">
        <v>5432</v>
      </c>
      <c r="W696" s="55"/>
    </row>
    <row r="697" spans="1:23">
      <c r="A697" s="55">
        <v>45907</v>
      </c>
      <c r="B697" t="s">
        <v>2761</v>
      </c>
      <c r="C697" t="s">
        <v>2762</v>
      </c>
      <c r="D697" t="s">
        <v>63</v>
      </c>
      <c r="E697">
        <v>85086</v>
      </c>
      <c r="F697" t="s">
        <v>31</v>
      </c>
      <c r="G697" t="s">
        <v>2364</v>
      </c>
      <c r="H697">
        <v>3006885688</v>
      </c>
      <c r="I697" t="s">
        <v>250</v>
      </c>
      <c r="J697" t="s">
        <v>37</v>
      </c>
      <c r="K697" t="s">
        <v>37</v>
      </c>
      <c r="L697" t="s">
        <v>1586</v>
      </c>
      <c r="M697" t="s">
        <v>37</v>
      </c>
      <c r="N697" t="s">
        <v>37</v>
      </c>
      <c r="O697" t="s">
        <v>38</v>
      </c>
      <c r="P697" t="s">
        <v>39</v>
      </c>
      <c r="Q697" s="55">
        <v>45961</v>
      </c>
      <c r="R697" t="s">
        <v>5432</v>
      </c>
      <c r="S697" t="s">
        <v>5432</v>
      </c>
      <c r="T697" t="s">
        <v>5432</v>
      </c>
      <c r="U697" t="s">
        <v>5432</v>
      </c>
      <c r="W697" s="55"/>
    </row>
    <row r="698" spans="1:23">
      <c r="A698" s="55">
        <v>45907</v>
      </c>
      <c r="B698" t="s">
        <v>2764</v>
      </c>
      <c r="C698" t="s">
        <v>2395</v>
      </c>
      <c r="D698" t="s">
        <v>93</v>
      </c>
      <c r="E698">
        <v>85373</v>
      </c>
      <c r="F698" t="s">
        <v>31</v>
      </c>
      <c r="G698" t="s">
        <v>2364</v>
      </c>
      <c r="H698">
        <v>786386957</v>
      </c>
      <c r="I698" t="s">
        <v>250</v>
      </c>
      <c r="J698" t="s">
        <v>37</v>
      </c>
      <c r="K698" t="s">
        <v>37</v>
      </c>
      <c r="L698" t="s">
        <v>2766</v>
      </c>
      <c r="M698" t="s">
        <v>37</v>
      </c>
      <c r="N698" t="s">
        <v>37</v>
      </c>
      <c r="O698" t="s">
        <v>38</v>
      </c>
      <c r="P698">
        <v>45938</v>
      </c>
      <c r="Q698" s="55">
        <v>45961</v>
      </c>
      <c r="R698" t="s">
        <v>2767</v>
      </c>
      <c r="S698" t="s">
        <v>5432</v>
      </c>
      <c r="T698" t="s">
        <v>5432</v>
      </c>
      <c r="U698" t="s">
        <v>5432</v>
      </c>
      <c r="W698" s="55"/>
    </row>
    <row r="699" spans="1:23">
      <c r="A699" s="55">
        <v>45907</v>
      </c>
      <c r="B699" t="s">
        <v>2768</v>
      </c>
      <c r="C699" t="s">
        <v>2769</v>
      </c>
      <c r="D699" t="s">
        <v>63</v>
      </c>
      <c r="E699">
        <v>85086</v>
      </c>
      <c r="F699" t="s">
        <v>31</v>
      </c>
      <c r="G699" t="s">
        <v>2364</v>
      </c>
      <c r="H699">
        <v>3973394094</v>
      </c>
      <c r="I699" t="s">
        <v>36</v>
      </c>
      <c r="J699" t="s">
        <v>37</v>
      </c>
      <c r="K699" t="s">
        <v>37</v>
      </c>
      <c r="L699" t="s">
        <v>1586</v>
      </c>
      <c r="M699" t="s">
        <v>37</v>
      </c>
      <c r="N699" t="s">
        <v>37</v>
      </c>
      <c r="O699" t="s">
        <v>38</v>
      </c>
      <c r="P699" t="s">
        <v>39</v>
      </c>
      <c r="Q699" s="55">
        <v>45961</v>
      </c>
      <c r="R699" t="s">
        <v>5432</v>
      </c>
      <c r="S699" t="s">
        <v>5432</v>
      </c>
      <c r="T699" t="s">
        <v>5432</v>
      </c>
      <c r="U699" t="s">
        <v>5432</v>
      </c>
      <c r="W699" s="55"/>
    </row>
    <row r="700" spans="1:23">
      <c r="A700" s="55">
        <v>45907</v>
      </c>
      <c r="B700" t="s">
        <v>2771</v>
      </c>
      <c r="C700" t="s">
        <v>2772</v>
      </c>
      <c r="D700" t="s">
        <v>125</v>
      </c>
      <c r="E700">
        <v>85260</v>
      </c>
      <c r="F700" t="s">
        <v>31</v>
      </c>
      <c r="G700" t="s">
        <v>2364</v>
      </c>
      <c r="H700">
        <v>1468123073</v>
      </c>
      <c r="I700" t="s">
        <v>36</v>
      </c>
      <c r="J700" t="s">
        <v>37</v>
      </c>
      <c r="K700" t="s">
        <v>37</v>
      </c>
      <c r="L700" t="s">
        <v>1586</v>
      </c>
      <c r="M700" t="s">
        <v>37</v>
      </c>
      <c r="N700" t="s">
        <v>37</v>
      </c>
      <c r="O700" t="s">
        <v>38</v>
      </c>
      <c r="P700" t="s">
        <v>39</v>
      </c>
      <c r="Q700" s="55">
        <v>45961</v>
      </c>
      <c r="R700" t="s">
        <v>5432</v>
      </c>
      <c r="S700" t="s">
        <v>5432</v>
      </c>
      <c r="T700" t="s">
        <v>5432</v>
      </c>
      <c r="U700" t="s">
        <v>5432</v>
      </c>
      <c r="W700" s="55"/>
    </row>
    <row r="701" spans="1:23">
      <c r="A701" s="55">
        <v>45907</v>
      </c>
      <c r="B701" t="s">
        <v>2778</v>
      </c>
      <c r="C701" t="s">
        <v>2633</v>
      </c>
      <c r="D701" t="s">
        <v>63</v>
      </c>
      <c r="E701">
        <v>85086</v>
      </c>
      <c r="F701" t="s">
        <v>310</v>
      </c>
      <c r="G701" t="s">
        <v>2364</v>
      </c>
      <c r="H701">
        <v>902311000</v>
      </c>
      <c r="I701" t="s">
        <v>196</v>
      </c>
      <c r="J701" t="s">
        <v>37</v>
      </c>
      <c r="K701" t="s">
        <v>37</v>
      </c>
      <c r="L701" t="s">
        <v>2780</v>
      </c>
      <c r="M701" t="s">
        <v>38</v>
      </c>
      <c r="N701">
        <v>508.72</v>
      </c>
      <c r="O701" t="s">
        <v>38</v>
      </c>
      <c r="P701" t="s">
        <v>39</v>
      </c>
      <c r="Q701" s="55">
        <v>45961</v>
      </c>
      <c r="R701" t="s">
        <v>5432</v>
      </c>
      <c r="S701" t="s">
        <v>5432</v>
      </c>
      <c r="T701" t="s">
        <v>5432</v>
      </c>
      <c r="U701" t="s">
        <v>5432</v>
      </c>
      <c r="W701" s="55"/>
    </row>
    <row r="702" spans="1:23">
      <c r="A702" s="55">
        <v>45908</v>
      </c>
      <c r="B702" t="s">
        <v>2781</v>
      </c>
      <c r="C702" t="s">
        <v>2380</v>
      </c>
      <c r="D702" t="s">
        <v>89</v>
      </c>
      <c r="E702">
        <v>86341</v>
      </c>
      <c r="F702" t="s">
        <v>1990</v>
      </c>
      <c r="G702" t="s">
        <v>2782</v>
      </c>
      <c r="H702">
        <v>9549931000</v>
      </c>
      <c r="I702" t="s">
        <v>57</v>
      </c>
      <c r="J702" t="s">
        <v>37</v>
      </c>
      <c r="K702" t="s">
        <v>37</v>
      </c>
      <c r="L702" t="s">
        <v>2784</v>
      </c>
      <c r="M702" t="s">
        <v>37</v>
      </c>
      <c r="N702" t="s">
        <v>37</v>
      </c>
      <c r="O702" t="s">
        <v>38</v>
      </c>
      <c r="P702">
        <v>45938</v>
      </c>
      <c r="Q702" s="55">
        <v>45961</v>
      </c>
      <c r="R702" t="s">
        <v>2767</v>
      </c>
      <c r="S702" t="s">
        <v>5432</v>
      </c>
      <c r="T702" t="s">
        <v>5432</v>
      </c>
      <c r="U702" t="s">
        <v>5432</v>
      </c>
      <c r="W702" s="55"/>
    </row>
    <row r="703" spans="1:23">
      <c r="A703" s="55">
        <v>45909</v>
      </c>
      <c r="B703" t="s">
        <v>2785</v>
      </c>
      <c r="C703" t="s">
        <v>2786</v>
      </c>
      <c r="D703" t="s">
        <v>63</v>
      </c>
      <c r="E703">
        <v>85012</v>
      </c>
      <c r="F703" t="s">
        <v>310</v>
      </c>
      <c r="G703" t="s">
        <v>2782</v>
      </c>
      <c r="H703">
        <v>5373695965</v>
      </c>
      <c r="I703" t="s">
        <v>126</v>
      </c>
      <c r="J703" t="s">
        <v>37</v>
      </c>
      <c r="K703" t="s">
        <v>37</v>
      </c>
      <c r="L703" t="s">
        <v>1586</v>
      </c>
      <c r="M703" t="s">
        <v>37</v>
      </c>
      <c r="N703" t="s">
        <v>37</v>
      </c>
      <c r="O703" t="s">
        <v>38</v>
      </c>
      <c r="P703" t="s">
        <v>39</v>
      </c>
      <c r="Q703" s="55">
        <v>45961</v>
      </c>
      <c r="R703" t="s">
        <v>5432</v>
      </c>
      <c r="S703" t="s">
        <v>5432</v>
      </c>
      <c r="T703" t="s">
        <v>5432</v>
      </c>
      <c r="U703" t="s">
        <v>5432</v>
      </c>
      <c r="W703" s="55"/>
    </row>
    <row r="704" spans="1:23">
      <c r="A704" s="55">
        <v>45909</v>
      </c>
      <c r="B704" t="s">
        <v>2788</v>
      </c>
      <c r="C704" t="s">
        <v>2789</v>
      </c>
      <c r="D704" t="s">
        <v>202</v>
      </c>
      <c r="E704">
        <v>85383</v>
      </c>
      <c r="F704" t="s">
        <v>2790</v>
      </c>
      <c r="G704" t="s">
        <v>2782</v>
      </c>
      <c r="H704">
        <v>5997041000</v>
      </c>
      <c r="I704" t="s">
        <v>1488</v>
      </c>
      <c r="J704" t="s">
        <v>37</v>
      </c>
      <c r="K704" t="s">
        <v>37</v>
      </c>
      <c r="L704" t="s">
        <v>389</v>
      </c>
      <c r="M704" t="s">
        <v>37</v>
      </c>
      <c r="N704" t="s">
        <v>37</v>
      </c>
      <c r="O704" t="s">
        <v>38</v>
      </c>
      <c r="P704" t="s">
        <v>39</v>
      </c>
      <c r="Q704" s="55">
        <v>45961</v>
      </c>
      <c r="R704" t="s">
        <v>5432</v>
      </c>
      <c r="S704" t="s">
        <v>5432</v>
      </c>
      <c r="T704" t="s">
        <v>5432</v>
      </c>
      <c r="U704" t="s">
        <v>5432</v>
      </c>
      <c r="W704" s="55"/>
    </row>
    <row r="705" spans="1:23">
      <c r="A705" s="55">
        <v>45909</v>
      </c>
      <c r="B705" t="s">
        <v>686</v>
      </c>
      <c r="C705" t="s">
        <v>1755</v>
      </c>
      <c r="D705" t="s">
        <v>112</v>
      </c>
      <c r="E705">
        <v>85374</v>
      </c>
      <c r="F705" t="s">
        <v>310</v>
      </c>
      <c r="G705" t="s">
        <v>2782</v>
      </c>
      <c r="H705">
        <v>8418910000</v>
      </c>
      <c r="I705" t="s">
        <v>36</v>
      </c>
      <c r="J705" t="s">
        <v>37</v>
      </c>
      <c r="K705" t="s">
        <v>37</v>
      </c>
      <c r="L705" t="s">
        <v>1586</v>
      </c>
      <c r="M705" t="s">
        <v>37</v>
      </c>
      <c r="N705" t="s">
        <v>37</v>
      </c>
      <c r="O705" t="s">
        <v>38</v>
      </c>
      <c r="P705" t="s">
        <v>39</v>
      </c>
      <c r="Q705" s="55">
        <v>45961</v>
      </c>
      <c r="R705" t="s">
        <v>5432</v>
      </c>
      <c r="S705" t="s">
        <v>5432</v>
      </c>
      <c r="T705" t="s">
        <v>5432</v>
      </c>
      <c r="U705" t="s">
        <v>5432</v>
      </c>
      <c r="W705" s="55"/>
    </row>
    <row r="706" spans="1:23">
      <c r="A706" s="55">
        <v>45909</v>
      </c>
      <c r="B706" t="s">
        <v>1356</v>
      </c>
      <c r="C706" t="s">
        <v>2794</v>
      </c>
      <c r="D706" t="s">
        <v>63</v>
      </c>
      <c r="E706">
        <v>85012</v>
      </c>
      <c r="F706" t="s">
        <v>310</v>
      </c>
      <c r="G706" t="s">
        <v>2782</v>
      </c>
      <c r="H706">
        <v>9984188572</v>
      </c>
      <c r="I706" t="s">
        <v>73</v>
      </c>
      <c r="J706" t="s">
        <v>38</v>
      </c>
      <c r="K706" t="s">
        <v>37</v>
      </c>
      <c r="L706" t="s">
        <v>1586</v>
      </c>
      <c r="M706" t="s">
        <v>37</v>
      </c>
      <c r="N706" t="s">
        <v>37</v>
      </c>
      <c r="O706" t="s">
        <v>38</v>
      </c>
      <c r="P706" t="s">
        <v>39</v>
      </c>
      <c r="Q706" s="55">
        <v>45961</v>
      </c>
      <c r="R706" t="s">
        <v>5432</v>
      </c>
      <c r="S706" t="s">
        <v>5432</v>
      </c>
      <c r="T706" t="s">
        <v>5432</v>
      </c>
      <c r="U706" t="s">
        <v>5432</v>
      </c>
      <c r="W706" s="55"/>
    </row>
    <row r="707" spans="1:23">
      <c r="A707" s="55">
        <v>45909</v>
      </c>
      <c r="B707" t="s">
        <v>2796</v>
      </c>
      <c r="C707" t="s">
        <v>2797</v>
      </c>
      <c r="D707" t="s">
        <v>63</v>
      </c>
      <c r="E707">
        <v>85085</v>
      </c>
      <c r="F707" t="s">
        <v>310</v>
      </c>
      <c r="G707" t="s">
        <v>2782</v>
      </c>
      <c r="H707">
        <v>7756951000</v>
      </c>
      <c r="I707" t="s">
        <v>1684</v>
      </c>
      <c r="J707" t="s">
        <v>37</v>
      </c>
      <c r="K707" t="s">
        <v>37</v>
      </c>
      <c r="L707" t="s">
        <v>401</v>
      </c>
      <c r="M707" t="s">
        <v>37</v>
      </c>
      <c r="N707" t="s">
        <v>37</v>
      </c>
      <c r="O707" t="s">
        <v>38</v>
      </c>
      <c r="P707" t="s">
        <v>39</v>
      </c>
      <c r="Q707" s="55">
        <v>45961</v>
      </c>
      <c r="R707" t="s">
        <v>5432</v>
      </c>
      <c r="S707" t="s">
        <v>5432</v>
      </c>
      <c r="T707" t="s">
        <v>5432</v>
      </c>
      <c r="U707" t="s">
        <v>5432</v>
      </c>
      <c r="W707" s="55"/>
    </row>
    <row r="708" spans="1:23">
      <c r="A708" s="55">
        <v>45909</v>
      </c>
      <c r="B708" t="s">
        <v>2799</v>
      </c>
      <c r="C708" t="s">
        <v>2800</v>
      </c>
      <c r="D708" t="s">
        <v>202</v>
      </c>
      <c r="E708">
        <v>85383</v>
      </c>
      <c r="F708" t="s">
        <v>310</v>
      </c>
      <c r="G708" t="s">
        <v>2782</v>
      </c>
      <c r="H708">
        <v>3063800000</v>
      </c>
      <c r="I708" t="s">
        <v>36</v>
      </c>
      <c r="J708" t="s">
        <v>37</v>
      </c>
      <c r="K708" t="s">
        <v>37</v>
      </c>
      <c r="L708" t="s">
        <v>1586</v>
      </c>
      <c r="M708" t="s">
        <v>37</v>
      </c>
      <c r="N708" t="s">
        <v>37</v>
      </c>
      <c r="O708" t="s">
        <v>38</v>
      </c>
      <c r="P708" t="s">
        <v>39</v>
      </c>
      <c r="Q708" s="55">
        <v>45961</v>
      </c>
      <c r="R708" t="s">
        <v>5432</v>
      </c>
      <c r="S708" t="s">
        <v>5432</v>
      </c>
      <c r="T708" t="s">
        <v>5432</v>
      </c>
      <c r="U708" t="s">
        <v>5432</v>
      </c>
      <c r="W708" s="55"/>
    </row>
    <row r="709" spans="1:23">
      <c r="A709" s="55">
        <v>45909</v>
      </c>
      <c r="B709" t="s">
        <v>2802</v>
      </c>
      <c r="C709" t="s">
        <v>2803</v>
      </c>
      <c r="D709" t="s">
        <v>619</v>
      </c>
      <c r="E709">
        <v>85365</v>
      </c>
      <c r="F709" t="s">
        <v>2804</v>
      </c>
      <c r="G709" t="s">
        <v>2782</v>
      </c>
      <c r="H709">
        <v>4026100541</v>
      </c>
      <c r="I709" t="s">
        <v>196</v>
      </c>
      <c r="J709" t="s">
        <v>37</v>
      </c>
      <c r="K709" t="s">
        <v>37</v>
      </c>
      <c r="L709" t="s">
        <v>2806</v>
      </c>
      <c r="M709" t="s">
        <v>37</v>
      </c>
      <c r="N709" t="s">
        <v>37</v>
      </c>
      <c r="O709" t="s">
        <v>38</v>
      </c>
      <c r="P709">
        <v>45938</v>
      </c>
      <c r="Q709" s="55">
        <v>45961</v>
      </c>
      <c r="R709" t="s">
        <v>2767</v>
      </c>
      <c r="S709" t="s">
        <v>5432</v>
      </c>
      <c r="T709" t="s">
        <v>5432</v>
      </c>
      <c r="U709" t="s">
        <v>5432</v>
      </c>
      <c r="W709" s="55"/>
    </row>
    <row r="710" spans="1:23">
      <c r="A710" s="55">
        <v>45909</v>
      </c>
      <c r="B710" t="s">
        <v>2807</v>
      </c>
      <c r="C710" t="s">
        <v>2808</v>
      </c>
      <c r="D710" t="s">
        <v>428</v>
      </c>
      <c r="E710">
        <v>85335</v>
      </c>
      <c r="F710" t="s">
        <v>2809</v>
      </c>
      <c r="G710" t="s">
        <v>2782</v>
      </c>
      <c r="H710">
        <v>6552151000</v>
      </c>
      <c r="I710" t="s">
        <v>1488</v>
      </c>
      <c r="J710" t="s">
        <v>37</v>
      </c>
      <c r="K710" t="s">
        <v>37</v>
      </c>
      <c r="L710" t="s">
        <v>389</v>
      </c>
      <c r="M710" t="s">
        <v>37</v>
      </c>
      <c r="N710" t="s">
        <v>37</v>
      </c>
      <c r="O710" t="s">
        <v>38</v>
      </c>
      <c r="P710" t="s">
        <v>39</v>
      </c>
      <c r="Q710" s="55">
        <v>45961</v>
      </c>
      <c r="R710" t="s">
        <v>5432</v>
      </c>
      <c r="S710" t="s">
        <v>5432</v>
      </c>
      <c r="T710" t="s">
        <v>5432</v>
      </c>
      <c r="U710" t="s">
        <v>5432</v>
      </c>
      <c r="W710" s="55"/>
    </row>
    <row r="711" spans="1:23">
      <c r="A711" s="55">
        <v>45909</v>
      </c>
      <c r="B711" t="s">
        <v>2811</v>
      </c>
      <c r="C711" t="s">
        <v>1444</v>
      </c>
      <c r="D711" t="s">
        <v>370</v>
      </c>
      <c r="E711">
        <v>85225</v>
      </c>
      <c r="F711" t="s">
        <v>310</v>
      </c>
      <c r="G711" t="s">
        <v>2812</v>
      </c>
      <c r="H711">
        <v>5001808687</v>
      </c>
      <c r="I711" t="s">
        <v>46</v>
      </c>
      <c r="J711" t="s">
        <v>37</v>
      </c>
      <c r="K711" t="s">
        <v>37</v>
      </c>
      <c r="L711" t="s">
        <v>1586</v>
      </c>
      <c r="M711" t="s">
        <v>37</v>
      </c>
      <c r="N711" t="s">
        <v>37</v>
      </c>
      <c r="O711" t="s">
        <v>38</v>
      </c>
      <c r="P711" t="s">
        <v>39</v>
      </c>
      <c r="Q711" s="55">
        <v>45961</v>
      </c>
      <c r="R711" t="s">
        <v>5432</v>
      </c>
      <c r="S711" t="s">
        <v>5432</v>
      </c>
      <c r="T711" t="s">
        <v>5432</v>
      </c>
      <c r="U711" t="s">
        <v>5432</v>
      </c>
      <c r="W711" s="55"/>
    </row>
    <row r="712" spans="1:23">
      <c r="A712" s="55">
        <v>45909</v>
      </c>
      <c r="B712" t="s">
        <v>558</v>
      </c>
      <c r="C712" t="s">
        <v>2814</v>
      </c>
      <c r="D712" t="s">
        <v>1719</v>
      </c>
      <c r="E712">
        <v>85615</v>
      </c>
      <c r="F712" t="s">
        <v>31</v>
      </c>
      <c r="G712" t="s">
        <v>2812</v>
      </c>
      <c r="H712">
        <v>1247840000</v>
      </c>
      <c r="I712" t="s">
        <v>196</v>
      </c>
      <c r="J712" t="s">
        <v>38</v>
      </c>
      <c r="K712" t="s">
        <v>37</v>
      </c>
      <c r="L712" t="s">
        <v>2816</v>
      </c>
      <c r="M712" t="s">
        <v>37</v>
      </c>
      <c r="N712" t="s">
        <v>37</v>
      </c>
      <c r="O712" t="s">
        <v>38</v>
      </c>
      <c r="P712">
        <v>45938</v>
      </c>
      <c r="Q712" s="55">
        <v>45961</v>
      </c>
      <c r="R712" t="s">
        <v>2767</v>
      </c>
      <c r="S712" t="s">
        <v>5432</v>
      </c>
      <c r="T712" t="s">
        <v>5432</v>
      </c>
      <c r="U712" t="s">
        <v>5432</v>
      </c>
      <c r="W712" s="55"/>
    </row>
    <row r="713" spans="1:23">
      <c r="A713" s="55">
        <v>45909</v>
      </c>
      <c r="B713" t="s">
        <v>1136</v>
      </c>
      <c r="C713" t="s">
        <v>2817</v>
      </c>
      <c r="D713" t="s">
        <v>63</v>
      </c>
      <c r="E713">
        <v>85032</v>
      </c>
      <c r="F713" t="s">
        <v>310</v>
      </c>
      <c r="G713" t="s">
        <v>2812</v>
      </c>
      <c r="H713">
        <v>7888410000</v>
      </c>
      <c r="I713" t="s">
        <v>36</v>
      </c>
      <c r="J713" t="s">
        <v>37</v>
      </c>
      <c r="K713" t="s">
        <v>37</v>
      </c>
      <c r="L713" t="s">
        <v>1586</v>
      </c>
      <c r="M713" t="s">
        <v>37</v>
      </c>
      <c r="N713" t="s">
        <v>37</v>
      </c>
      <c r="O713" t="s">
        <v>38</v>
      </c>
      <c r="P713" t="s">
        <v>39</v>
      </c>
      <c r="Q713" s="55">
        <v>45961</v>
      </c>
      <c r="R713" t="s">
        <v>5432</v>
      </c>
      <c r="S713" t="s">
        <v>5432</v>
      </c>
      <c r="T713" t="s">
        <v>5432</v>
      </c>
      <c r="U713" t="s">
        <v>5432</v>
      </c>
      <c r="W713" s="55"/>
    </row>
    <row r="714" spans="1:23">
      <c r="A714" s="55">
        <v>45909</v>
      </c>
      <c r="B714" t="s">
        <v>269</v>
      </c>
      <c r="C714" t="s">
        <v>420</v>
      </c>
      <c r="D714" t="s">
        <v>63</v>
      </c>
      <c r="E714">
        <v>85020</v>
      </c>
      <c r="F714" t="s">
        <v>310</v>
      </c>
      <c r="G714" t="s">
        <v>2812</v>
      </c>
      <c r="H714">
        <v>5739710087</v>
      </c>
      <c r="I714" t="s">
        <v>541</v>
      </c>
      <c r="J714" t="s">
        <v>37</v>
      </c>
      <c r="K714" t="s">
        <v>37</v>
      </c>
      <c r="L714" t="s">
        <v>389</v>
      </c>
      <c r="M714" t="s">
        <v>37</v>
      </c>
      <c r="N714" t="s">
        <v>37</v>
      </c>
      <c r="O714" t="s">
        <v>38</v>
      </c>
      <c r="P714" t="s">
        <v>39</v>
      </c>
      <c r="Q714" s="55">
        <v>45961</v>
      </c>
      <c r="R714" t="s">
        <v>5432</v>
      </c>
      <c r="S714" t="s">
        <v>5432</v>
      </c>
      <c r="T714" t="s">
        <v>5432</v>
      </c>
      <c r="U714" t="s">
        <v>5432</v>
      </c>
      <c r="W714" s="55"/>
    </row>
    <row r="715" spans="1:23">
      <c r="A715" s="55">
        <v>45909</v>
      </c>
      <c r="B715" t="s">
        <v>2821</v>
      </c>
      <c r="C715" t="s">
        <v>1806</v>
      </c>
      <c r="D715" t="s">
        <v>63</v>
      </c>
      <c r="E715">
        <v>85083</v>
      </c>
      <c r="F715" t="s">
        <v>31</v>
      </c>
      <c r="G715" t="s">
        <v>2812</v>
      </c>
      <c r="H715">
        <v>7411200000</v>
      </c>
      <c r="I715" t="s">
        <v>126</v>
      </c>
      <c r="J715" t="s">
        <v>37</v>
      </c>
      <c r="K715" t="s">
        <v>37</v>
      </c>
      <c r="L715" t="s">
        <v>1586</v>
      </c>
      <c r="M715" t="s">
        <v>37</v>
      </c>
      <c r="N715" t="s">
        <v>37</v>
      </c>
      <c r="O715" t="s">
        <v>38</v>
      </c>
      <c r="P715" t="s">
        <v>39</v>
      </c>
      <c r="Q715" s="55">
        <v>45961</v>
      </c>
      <c r="R715" t="s">
        <v>5432</v>
      </c>
      <c r="S715" t="s">
        <v>5432</v>
      </c>
      <c r="T715" t="s">
        <v>5432</v>
      </c>
      <c r="U715" t="s">
        <v>5432</v>
      </c>
      <c r="W715" s="55"/>
    </row>
    <row r="716" spans="1:23">
      <c r="A716" s="55">
        <v>45909</v>
      </c>
      <c r="B716" t="s">
        <v>835</v>
      </c>
      <c r="C716" t="s">
        <v>2823</v>
      </c>
      <c r="D716" t="s">
        <v>63</v>
      </c>
      <c r="E716">
        <v>85086</v>
      </c>
      <c r="F716" t="s">
        <v>31</v>
      </c>
      <c r="G716" t="s">
        <v>2812</v>
      </c>
      <c r="H716">
        <v>9763988768</v>
      </c>
      <c r="I716" t="s">
        <v>36</v>
      </c>
      <c r="J716" t="s">
        <v>38</v>
      </c>
      <c r="K716" t="s">
        <v>37</v>
      </c>
      <c r="L716" t="s">
        <v>1586</v>
      </c>
      <c r="M716" t="s">
        <v>37</v>
      </c>
      <c r="N716" t="s">
        <v>37</v>
      </c>
      <c r="O716" t="s">
        <v>38</v>
      </c>
      <c r="P716" t="s">
        <v>39</v>
      </c>
      <c r="Q716" s="55">
        <v>45961</v>
      </c>
      <c r="R716" t="s">
        <v>5432</v>
      </c>
      <c r="S716" t="s">
        <v>5432</v>
      </c>
      <c r="T716" t="s">
        <v>5432</v>
      </c>
      <c r="U716" t="s">
        <v>5432</v>
      </c>
      <c r="W716" s="55"/>
    </row>
    <row r="717" spans="1:23">
      <c r="A717" s="55">
        <v>45909</v>
      </c>
      <c r="B717" t="s">
        <v>2826</v>
      </c>
      <c r="C717" t="s">
        <v>102</v>
      </c>
      <c r="D717" t="s">
        <v>63</v>
      </c>
      <c r="E717">
        <v>85086</v>
      </c>
      <c r="F717" t="s">
        <v>2827</v>
      </c>
      <c r="G717" t="s">
        <v>2812</v>
      </c>
      <c r="H717">
        <v>4455045278</v>
      </c>
      <c r="I717" t="s">
        <v>46</v>
      </c>
      <c r="J717" t="s">
        <v>37</v>
      </c>
      <c r="K717" t="s">
        <v>37</v>
      </c>
      <c r="L717" t="s">
        <v>1586</v>
      </c>
      <c r="M717" t="s">
        <v>37</v>
      </c>
      <c r="N717" t="s">
        <v>37</v>
      </c>
      <c r="O717" t="s">
        <v>38</v>
      </c>
      <c r="P717" t="s">
        <v>39</v>
      </c>
      <c r="Q717" s="55">
        <v>45961</v>
      </c>
      <c r="R717" t="s">
        <v>5432</v>
      </c>
      <c r="S717" t="s">
        <v>5432</v>
      </c>
      <c r="T717" t="s">
        <v>5432</v>
      </c>
      <c r="U717" t="s">
        <v>5432</v>
      </c>
      <c r="W717" s="55"/>
    </row>
    <row r="718" spans="1:23">
      <c r="A718" s="55">
        <v>45909</v>
      </c>
      <c r="B718" t="s">
        <v>2829</v>
      </c>
      <c r="C718" t="s">
        <v>2380</v>
      </c>
      <c r="D718" t="s">
        <v>63</v>
      </c>
      <c r="E718">
        <v>85086</v>
      </c>
      <c r="F718" t="s">
        <v>31</v>
      </c>
      <c r="G718" t="s">
        <v>2812</v>
      </c>
      <c r="H718">
        <v>8069970000</v>
      </c>
      <c r="I718" t="s">
        <v>46</v>
      </c>
      <c r="J718" t="s">
        <v>37</v>
      </c>
      <c r="K718" t="s">
        <v>37</v>
      </c>
      <c r="L718" t="s">
        <v>1586</v>
      </c>
      <c r="M718" t="s">
        <v>38</v>
      </c>
      <c r="N718">
        <v>1068.19</v>
      </c>
      <c r="O718" t="s">
        <v>38</v>
      </c>
      <c r="P718" t="s">
        <v>5432</v>
      </c>
      <c r="Q718" s="55">
        <v>45961</v>
      </c>
      <c r="R718" t="s">
        <v>495</v>
      </c>
      <c r="S718" t="s">
        <v>5432</v>
      </c>
      <c r="T718" t="s">
        <v>5432</v>
      </c>
      <c r="U718" t="s">
        <v>5432</v>
      </c>
      <c r="W718" s="55"/>
    </row>
    <row r="719" spans="1:23">
      <c r="A719" s="55">
        <v>45909</v>
      </c>
      <c r="B719" t="s">
        <v>2761</v>
      </c>
      <c r="C719" t="s">
        <v>481</v>
      </c>
      <c r="D719" t="s">
        <v>63</v>
      </c>
      <c r="E719">
        <v>85086</v>
      </c>
      <c r="F719" t="s">
        <v>2827</v>
      </c>
      <c r="G719" t="s">
        <v>2812</v>
      </c>
      <c r="H719">
        <v>3006885688</v>
      </c>
      <c r="I719" t="s">
        <v>250</v>
      </c>
      <c r="J719" t="s">
        <v>37</v>
      </c>
      <c r="K719" t="s">
        <v>37</v>
      </c>
      <c r="L719" t="s">
        <v>1586</v>
      </c>
      <c r="M719" t="s">
        <v>37</v>
      </c>
      <c r="N719" t="s">
        <v>37</v>
      </c>
      <c r="O719" t="s">
        <v>38</v>
      </c>
      <c r="P719" t="s">
        <v>39</v>
      </c>
      <c r="Q719" s="55">
        <v>45961</v>
      </c>
      <c r="R719" t="s">
        <v>5432</v>
      </c>
      <c r="S719" t="s">
        <v>5432</v>
      </c>
      <c r="T719" t="s">
        <v>5432</v>
      </c>
      <c r="U719" t="s">
        <v>5432</v>
      </c>
      <c r="W719" s="55"/>
    </row>
    <row r="720" spans="1:23">
      <c r="A720" s="55">
        <v>45909</v>
      </c>
      <c r="B720" t="s">
        <v>2836</v>
      </c>
      <c r="C720" t="s">
        <v>133</v>
      </c>
      <c r="D720" t="s">
        <v>30</v>
      </c>
      <c r="E720" t="s">
        <v>30</v>
      </c>
      <c r="F720" t="s">
        <v>310</v>
      </c>
      <c r="G720" t="s">
        <v>2812</v>
      </c>
      <c r="H720">
        <v>1139701000</v>
      </c>
      <c r="I720" t="s">
        <v>250</v>
      </c>
      <c r="J720" t="s">
        <v>37</v>
      </c>
      <c r="K720" t="s">
        <v>37</v>
      </c>
      <c r="L720" t="s">
        <v>1586</v>
      </c>
      <c r="M720" t="s">
        <v>37</v>
      </c>
      <c r="N720" t="s">
        <v>37</v>
      </c>
      <c r="O720" t="s">
        <v>38</v>
      </c>
      <c r="P720" t="s">
        <v>39</v>
      </c>
      <c r="Q720" s="55">
        <v>45961</v>
      </c>
      <c r="R720" t="s">
        <v>5432</v>
      </c>
      <c r="S720" t="s">
        <v>5432</v>
      </c>
      <c r="T720" t="s">
        <v>5432</v>
      </c>
      <c r="U720" t="s">
        <v>5432</v>
      </c>
      <c r="W720" s="55"/>
    </row>
    <row r="721" spans="1:26">
      <c r="A721" s="55">
        <v>45909</v>
      </c>
      <c r="B721" t="s">
        <v>2839</v>
      </c>
      <c r="C721" t="s">
        <v>320</v>
      </c>
      <c r="D721" t="s">
        <v>63</v>
      </c>
      <c r="E721">
        <v>85085</v>
      </c>
      <c r="F721" t="s">
        <v>310</v>
      </c>
      <c r="G721" t="s">
        <v>2812</v>
      </c>
      <c r="H721">
        <v>7740741000</v>
      </c>
      <c r="I721" t="s">
        <v>36</v>
      </c>
      <c r="J721" t="s">
        <v>37</v>
      </c>
      <c r="K721" t="s">
        <v>37</v>
      </c>
      <c r="L721" t="s">
        <v>1586</v>
      </c>
      <c r="M721" t="s">
        <v>37</v>
      </c>
      <c r="N721" t="s">
        <v>37</v>
      </c>
      <c r="O721" t="s">
        <v>38</v>
      </c>
      <c r="P721" t="s">
        <v>39</v>
      </c>
      <c r="Q721" s="55">
        <v>45961</v>
      </c>
      <c r="R721" t="s">
        <v>5432</v>
      </c>
      <c r="S721" t="s">
        <v>5432</v>
      </c>
      <c r="T721" t="s">
        <v>5432</v>
      </c>
      <c r="U721" t="s">
        <v>5432</v>
      </c>
      <c r="W721" s="55"/>
    </row>
    <row r="722" spans="1:26">
      <c r="A722" s="55">
        <v>45909</v>
      </c>
      <c r="B722" t="s">
        <v>2841</v>
      </c>
      <c r="C722" t="s">
        <v>931</v>
      </c>
      <c r="D722" t="s">
        <v>880</v>
      </c>
      <c r="E722">
        <v>85086</v>
      </c>
      <c r="F722" t="s">
        <v>2842</v>
      </c>
      <c r="G722" t="s">
        <v>2812</v>
      </c>
      <c r="H722">
        <v>4807360000</v>
      </c>
      <c r="I722" t="s">
        <v>250</v>
      </c>
      <c r="J722" t="s">
        <v>37</v>
      </c>
      <c r="K722" t="s">
        <v>37</v>
      </c>
      <c r="L722" t="s">
        <v>1586</v>
      </c>
      <c r="M722" t="s">
        <v>37</v>
      </c>
      <c r="N722" t="s">
        <v>37</v>
      </c>
      <c r="O722" t="s">
        <v>38</v>
      </c>
      <c r="P722" t="s">
        <v>39</v>
      </c>
      <c r="Q722" s="55">
        <v>45961</v>
      </c>
      <c r="R722" t="s">
        <v>5432</v>
      </c>
      <c r="S722" t="s">
        <v>5432</v>
      </c>
      <c r="T722" t="s">
        <v>5432</v>
      </c>
      <c r="U722" t="s">
        <v>5432</v>
      </c>
      <c r="W722" s="55"/>
    </row>
    <row r="723" spans="1:26">
      <c r="A723" s="55">
        <v>45909</v>
      </c>
      <c r="B723" t="s">
        <v>2844</v>
      </c>
      <c r="C723" t="s">
        <v>2845</v>
      </c>
      <c r="D723" t="s">
        <v>63</v>
      </c>
      <c r="E723">
        <v>85086</v>
      </c>
      <c r="F723" t="s">
        <v>2588</v>
      </c>
      <c r="G723" t="s">
        <v>2812</v>
      </c>
      <c r="H723">
        <v>7745120000</v>
      </c>
      <c r="I723" t="s">
        <v>250</v>
      </c>
      <c r="J723" t="s">
        <v>37</v>
      </c>
      <c r="K723" t="s">
        <v>37</v>
      </c>
      <c r="L723" t="s">
        <v>1586</v>
      </c>
      <c r="M723" t="s">
        <v>37</v>
      </c>
      <c r="N723" t="s">
        <v>37</v>
      </c>
      <c r="O723" t="s">
        <v>38</v>
      </c>
      <c r="P723" t="s">
        <v>39</v>
      </c>
      <c r="Q723" s="55">
        <v>45961</v>
      </c>
      <c r="R723" t="s">
        <v>5432</v>
      </c>
      <c r="S723" t="s">
        <v>5432</v>
      </c>
      <c r="T723" t="s">
        <v>5432</v>
      </c>
      <c r="U723" t="s">
        <v>5432</v>
      </c>
      <c r="V723" t="s">
        <v>5433</v>
      </c>
      <c r="W723" s="55">
        <v>45997</v>
      </c>
      <c r="X723" t="s">
        <v>5434</v>
      </c>
      <c r="Z723" t="s">
        <v>5474</v>
      </c>
    </row>
    <row r="724" spans="1:26">
      <c r="A724" s="55">
        <v>45909</v>
      </c>
      <c r="B724" t="s">
        <v>2847</v>
      </c>
      <c r="C724" t="s">
        <v>184</v>
      </c>
      <c r="D724" t="s">
        <v>2641</v>
      </c>
      <c r="E724">
        <v>85087</v>
      </c>
      <c r="F724" t="s">
        <v>310</v>
      </c>
      <c r="G724" t="s">
        <v>2812</v>
      </c>
      <c r="H724">
        <v>9186920000</v>
      </c>
      <c r="I724" t="s">
        <v>250</v>
      </c>
      <c r="J724" t="s">
        <v>37</v>
      </c>
      <c r="K724" t="s">
        <v>37</v>
      </c>
      <c r="L724" t="s">
        <v>1586</v>
      </c>
      <c r="M724" t="s">
        <v>38</v>
      </c>
      <c r="N724">
        <v>548.12</v>
      </c>
      <c r="O724" t="s">
        <v>38</v>
      </c>
      <c r="P724" t="s">
        <v>5432</v>
      </c>
      <c r="Q724" s="55">
        <v>45961</v>
      </c>
      <c r="R724" t="s">
        <v>495</v>
      </c>
      <c r="S724" t="s">
        <v>5432</v>
      </c>
      <c r="T724" t="s">
        <v>5432</v>
      </c>
      <c r="U724" t="s">
        <v>5432</v>
      </c>
      <c r="W724" s="55"/>
    </row>
    <row r="725" spans="1:26">
      <c r="A725" s="55">
        <v>45909</v>
      </c>
      <c r="B725" t="s">
        <v>2849</v>
      </c>
      <c r="C725" t="s">
        <v>2850</v>
      </c>
      <c r="D725" t="s">
        <v>63</v>
      </c>
      <c r="E725">
        <v>85086</v>
      </c>
      <c r="F725" t="s">
        <v>2851</v>
      </c>
      <c r="G725" t="s">
        <v>2812</v>
      </c>
      <c r="H725">
        <v>5805736054</v>
      </c>
      <c r="I725" t="s">
        <v>196</v>
      </c>
      <c r="J725" t="s">
        <v>37</v>
      </c>
      <c r="K725" t="s">
        <v>37</v>
      </c>
      <c r="L725" t="s">
        <v>1586</v>
      </c>
      <c r="M725" t="s">
        <v>37</v>
      </c>
      <c r="N725" t="s">
        <v>37</v>
      </c>
      <c r="O725" t="s">
        <v>38</v>
      </c>
      <c r="P725" t="s">
        <v>39</v>
      </c>
      <c r="Q725" s="55">
        <v>45961</v>
      </c>
      <c r="R725" t="s">
        <v>5432</v>
      </c>
      <c r="S725" t="s">
        <v>5432</v>
      </c>
      <c r="T725" t="s">
        <v>5432</v>
      </c>
      <c r="U725" t="s">
        <v>5432</v>
      </c>
      <c r="W725" s="55"/>
    </row>
    <row r="726" spans="1:26">
      <c r="A726" s="55">
        <v>45909</v>
      </c>
      <c r="B726" t="s">
        <v>2853</v>
      </c>
      <c r="C726" t="s">
        <v>1661</v>
      </c>
      <c r="D726" t="s">
        <v>2641</v>
      </c>
      <c r="E726">
        <v>85087</v>
      </c>
      <c r="F726" t="s">
        <v>310</v>
      </c>
      <c r="G726" t="s">
        <v>2812</v>
      </c>
      <c r="H726">
        <v>4181641000</v>
      </c>
      <c r="I726" t="s">
        <v>81</v>
      </c>
      <c r="J726" t="s">
        <v>37</v>
      </c>
      <c r="K726" t="s">
        <v>37</v>
      </c>
      <c r="L726" t="s">
        <v>389</v>
      </c>
      <c r="M726" t="s">
        <v>37</v>
      </c>
      <c r="N726" t="s">
        <v>37</v>
      </c>
      <c r="O726" t="s">
        <v>38</v>
      </c>
      <c r="P726" t="s">
        <v>39</v>
      </c>
      <c r="Q726" s="55">
        <v>45961</v>
      </c>
      <c r="R726" t="s">
        <v>5432</v>
      </c>
      <c r="S726" t="s">
        <v>5432</v>
      </c>
      <c r="T726" t="s">
        <v>5432</v>
      </c>
      <c r="U726" t="s">
        <v>5432</v>
      </c>
      <c r="W726" s="55"/>
    </row>
    <row r="727" spans="1:26">
      <c r="A727" s="55">
        <v>45909</v>
      </c>
      <c r="B727" t="s">
        <v>2857</v>
      </c>
      <c r="C727" t="s">
        <v>2858</v>
      </c>
      <c r="D727" t="s">
        <v>30</v>
      </c>
      <c r="E727" t="s">
        <v>30</v>
      </c>
      <c r="F727" t="s">
        <v>310</v>
      </c>
      <c r="G727" t="s">
        <v>2812</v>
      </c>
      <c r="H727">
        <v>5506921000</v>
      </c>
      <c r="I727" t="s">
        <v>36</v>
      </c>
      <c r="J727" t="s">
        <v>37</v>
      </c>
      <c r="K727" t="s">
        <v>37</v>
      </c>
      <c r="L727" t="s">
        <v>1586</v>
      </c>
      <c r="M727" t="s">
        <v>37</v>
      </c>
      <c r="N727" t="s">
        <v>37</v>
      </c>
      <c r="O727" t="s">
        <v>38</v>
      </c>
      <c r="P727" t="s">
        <v>39</v>
      </c>
      <c r="Q727" s="55">
        <v>45961</v>
      </c>
      <c r="R727" t="s">
        <v>5432</v>
      </c>
      <c r="S727" t="s">
        <v>5432</v>
      </c>
      <c r="T727" t="s">
        <v>5432</v>
      </c>
      <c r="U727" t="s">
        <v>5432</v>
      </c>
      <c r="W727" s="55"/>
    </row>
    <row r="728" spans="1:26">
      <c r="A728" s="55">
        <v>45909</v>
      </c>
      <c r="B728" t="s">
        <v>2860</v>
      </c>
      <c r="C728" t="s">
        <v>2861</v>
      </c>
      <c r="D728" t="s">
        <v>85</v>
      </c>
      <c r="E728">
        <v>86323</v>
      </c>
      <c r="F728" t="s">
        <v>31</v>
      </c>
      <c r="G728" t="s">
        <v>2812</v>
      </c>
      <c r="H728">
        <v>3459240757</v>
      </c>
      <c r="I728" t="s">
        <v>196</v>
      </c>
      <c r="J728" t="s">
        <v>37</v>
      </c>
      <c r="K728" t="s">
        <v>37</v>
      </c>
      <c r="L728" t="s">
        <v>2863</v>
      </c>
      <c r="M728" t="s">
        <v>37</v>
      </c>
      <c r="N728" t="s">
        <v>37</v>
      </c>
      <c r="O728" t="s">
        <v>38</v>
      </c>
      <c r="P728" t="s">
        <v>39</v>
      </c>
      <c r="Q728" s="55">
        <v>45961</v>
      </c>
      <c r="R728" t="s">
        <v>5432</v>
      </c>
      <c r="S728" t="s">
        <v>5432</v>
      </c>
      <c r="T728" t="s">
        <v>5432</v>
      </c>
      <c r="U728" t="s">
        <v>5432</v>
      </c>
      <c r="W728" s="55"/>
    </row>
    <row r="729" spans="1:26">
      <c r="A729" s="55">
        <v>45909</v>
      </c>
      <c r="B729" t="s">
        <v>2864</v>
      </c>
      <c r="C729" t="s">
        <v>801</v>
      </c>
      <c r="D729" t="s">
        <v>63</v>
      </c>
      <c r="E729">
        <v>85083</v>
      </c>
      <c r="F729" t="s">
        <v>2865</v>
      </c>
      <c r="G729" t="s">
        <v>2812</v>
      </c>
      <c r="H729">
        <v>1593380000</v>
      </c>
      <c r="I729" t="s">
        <v>250</v>
      </c>
      <c r="J729" t="s">
        <v>37</v>
      </c>
      <c r="K729" t="s">
        <v>37</v>
      </c>
      <c r="L729" t="s">
        <v>1586</v>
      </c>
      <c r="M729" t="s">
        <v>37</v>
      </c>
      <c r="N729" t="s">
        <v>37</v>
      </c>
      <c r="O729" t="s">
        <v>38</v>
      </c>
      <c r="P729" t="s">
        <v>39</v>
      </c>
      <c r="Q729" s="55">
        <v>45961</v>
      </c>
      <c r="R729" t="s">
        <v>5432</v>
      </c>
      <c r="S729" t="s">
        <v>5432</v>
      </c>
      <c r="T729" t="s">
        <v>5432</v>
      </c>
      <c r="U729" t="s">
        <v>5432</v>
      </c>
      <c r="W729" s="55"/>
    </row>
    <row r="730" spans="1:26">
      <c r="A730" s="55">
        <v>45909</v>
      </c>
      <c r="B730" t="s">
        <v>2869</v>
      </c>
      <c r="C730" t="s">
        <v>2380</v>
      </c>
      <c r="D730" t="s">
        <v>30</v>
      </c>
      <c r="E730" t="s">
        <v>30</v>
      </c>
      <c r="F730" t="s">
        <v>31</v>
      </c>
      <c r="G730" t="s">
        <v>2812</v>
      </c>
      <c r="H730">
        <v>4494941000</v>
      </c>
      <c r="I730" t="s">
        <v>73</v>
      </c>
      <c r="J730" t="s">
        <v>37</v>
      </c>
      <c r="K730" t="s">
        <v>37</v>
      </c>
      <c r="L730" t="s">
        <v>1586</v>
      </c>
      <c r="M730" t="s">
        <v>37</v>
      </c>
      <c r="N730" t="s">
        <v>37</v>
      </c>
      <c r="O730" t="s">
        <v>38</v>
      </c>
      <c r="P730" t="s">
        <v>39</v>
      </c>
      <c r="Q730" s="55">
        <v>45961</v>
      </c>
      <c r="R730" t="s">
        <v>5432</v>
      </c>
      <c r="S730" t="s">
        <v>5432</v>
      </c>
      <c r="T730" t="s">
        <v>5432</v>
      </c>
      <c r="U730" t="s">
        <v>5432</v>
      </c>
      <c r="W730" s="55"/>
    </row>
    <row r="731" spans="1:26">
      <c r="A731" s="55">
        <v>45909</v>
      </c>
      <c r="B731" t="s">
        <v>1797</v>
      </c>
      <c r="C731" t="s">
        <v>2871</v>
      </c>
      <c r="D731" t="s">
        <v>63</v>
      </c>
      <c r="E731">
        <v>85035</v>
      </c>
      <c r="F731" t="s">
        <v>310</v>
      </c>
      <c r="G731" t="s">
        <v>2812</v>
      </c>
      <c r="H731">
        <v>879272556</v>
      </c>
      <c r="I731" t="s">
        <v>36</v>
      </c>
      <c r="J731" t="s">
        <v>37</v>
      </c>
      <c r="K731" t="s">
        <v>37</v>
      </c>
      <c r="L731" t="s">
        <v>1586</v>
      </c>
      <c r="M731" t="s">
        <v>37</v>
      </c>
      <c r="N731" t="s">
        <v>37</v>
      </c>
      <c r="O731" t="s">
        <v>38</v>
      </c>
      <c r="P731" t="s">
        <v>39</v>
      </c>
      <c r="Q731" s="55">
        <v>45961</v>
      </c>
      <c r="R731" t="s">
        <v>5432</v>
      </c>
      <c r="S731" t="s">
        <v>5432</v>
      </c>
      <c r="T731" t="s">
        <v>5432</v>
      </c>
      <c r="U731" t="s">
        <v>2873</v>
      </c>
      <c r="W731" s="55"/>
    </row>
    <row r="732" spans="1:26">
      <c r="A732" s="55">
        <v>45909</v>
      </c>
      <c r="B732" t="s">
        <v>2874</v>
      </c>
      <c r="C732" t="s">
        <v>2875</v>
      </c>
      <c r="D732" t="s">
        <v>63</v>
      </c>
      <c r="E732">
        <v>85028</v>
      </c>
      <c r="F732" t="s">
        <v>2876</v>
      </c>
      <c r="G732" t="s">
        <v>2812</v>
      </c>
      <c r="H732">
        <v>9093670000</v>
      </c>
      <c r="I732" t="s">
        <v>36</v>
      </c>
      <c r="J732" t="s">
        <v>37</v>
      </c>
      <c r="K732" t="s">
        <v>37</v>
      </c>
      <c r="L732" t="s">
        <v>1586</v>
      </c>
      <c r="M732" t="s">
        <v>37</v>
      </c>
      <c r="N732" t="s">
        <v>37</v>
      </c>
      <c r="O732" t="s">
        <v>38</v>
      </c>
      <c r="P732" t="s">
        <v>39</v>
      </c>
      <c r="Q732" s="55">
        <v>45961</v>
      </c>
      <c r="R732" t="s">
        <v>5432</v>
      </c>
      <c r="S732" t="s">
        <v>5432</v>
      </c>
      <c r="T732" t="s">
        <v>5432</v>
      </c>
      <c r="U732" t="s">
        <v>5432</v>
      </c>
      <c r="W732" s="55"/>
    </row>
    <row r="733" spans="1:26">
      <c r="A733" s="55">
        <v>45909</v>
      </c>
      <c r="B733" t="s">
        <v>2878</v>
      </c>
      <c r="C733" t="s">
        <v>2040</v>
      </c>
      <c r="D733" t="s">
        <v>174</v>
      </c>
      <c r="E733">
        <v>85396</v>
      </c>
      <c r="F733" t="s">
        <v>310</v>
      </c>
      <c r="G733" t="s">
        <v>2812</v>
      </c>
      <c r="H733">
        <v>607010210</v>
      </c>
      <c r="I733" t="s">
        <v>250</v>
      </c>
      <c r="J733" t="s">
        <v>37</v>
      </c>
      <c r="K733" t="s">
        <v>37</v>
      </c>
      <c r="L733" t="s">
        <v>1586</v>
      </c>
      <c r="M733" t="s">
        <v>37</v>
      </c>
      <c r="N733" t="s">
        <v>37</v>
      </c>
      <c r="O733" t="s">
        <v>38</v>
      </c>
      <c r="P733" t="s">
        <v>39</v>
      </c>
      <c r="Q733" s="55">
        <v>45961</v>
      </c>
      <c r="R733" t="s">
        <v>5432</v>
      </c>
      <c r="S733" t="s">
        <v>5432</v>
      </c>
      <c r="T733" t="s">
        <v>5432</v>
      </c>
      <c r="U733" t="s">
        <v>5432</v>
      </c>
      <c r="W733" s="55"/>
    </row>
    <row r="734" spans="1:26">
      <c r="A734" s="55">
        <v>45909</v>
      </c>
      <c r="B734" t="s">
        <v>2880</v>
      </c>
      <c r="C734" t="s">
        <v>2881</v>
      </c>
      <c r="D734" t="s">
        <v>112</v>
      </c>
      <c r="E734">
        <v>85374</v>
      </c>
      <c r="F734" t="s">
        <v>31</v>
      </c>
      <c r="G734" t="s">
        <v>2812</v>
      </c>
      <c r="H734">
        <v>5406537242</v>
      </c>
      <c r="I734" t="s">
        <v>57</v>
      </c>
      <c r="J734" t="s">
        <v>37</v>
      </c>
      <c r="K734" t="s">
        <v>37</v>
      </c>
      <c r="L734" t="s">
        <v>2883</v>
      </c>
      <c r="M734" t="s">
        <v>37</v>
      </c>
      <c r="N734" t="s">
        <v>37</v>
      </c>
      <c r="O734" t="s">
        <v>38</v>
      </c>
      <c r="P734">
        <v>45938</v>
      </c>
      <c r="Q734" s="55">
        <v>45961</v>
      </c>
      <c r="R734" t="s">
        <v>2767</v>
      </c>
      <c r="S734" t="s">
        <v>5432</v>
      </c>
      <c r="T734" t="s">
        <v>5432</v>
      </c>
      <c r="U734" t="s">
        <v>5432</v>
      </c>
      <c r="W734" s="55"/>
    </row>
    <row r="735" spans="1:26">
      <c r="A735" s="55">
        <v>45909</v>
      </c>
      <c r="B735" t="s">
        <v>208</v>
      </c>
      <c r="C735" t="s">
        <v>230</v>
      </c>
      <c r="D735" t="s">
        <v>89</v>
      </c>
      <c r="E735">
        <v>86351</v>
      </c>
      <c r="F735" t="s">
        <v>2889</v>
      </c>
      <c r="G735" t="s">
        <v>2888</v>
      </c>
      <c r="H735">
        <v>7176661000</v>
      </c>
      <c r="I735" t="s">
        <v>46</v>
      </c>
      <c r="J735" t="s">
        <v>37</v>
      </c>
      <c r="K735" t="s">
        <v>37</v>
      </c>
      <c r="L735" t="s">
        <v>1586</v>
      </c>
      <c r="M735" t="s">
        <v>37</v>
      </c>
      <c r="N735" t="s">
        <v>37</v>
      </c>
      <c r="O735" t="s">
        <v>38</v>
      </c>
      <c r="P735" t="s">
        <v>39</v>
      </c>
      <c r="Q735" s="55">
        <v>45961</v>
      </c>
      <c r="R735" t="s">
        <v>5432</v>
      </c>
      <c r="S735" t="s">
        <v>5432</v>
      </c>
      <c r="T735" t="s">
        <v>5432</v>
      </c>
      <c r="U735" t="s">
        <v>5432</v>
      </c>
      <c r="W735" s="55"/>
    </row>
    <row r="736" spans="1:26">
      <c r="A736" s="55">
        <v>45909</v>
      </c>
      <c r="B736" t="s">
        <v>2892</v>
      </c>
      <c r="C736" t="s">
        <v>471</v>
      </c>
      <c r="D736" t="s">
        <v>63</v>
      </c>
      <c r="E736">
        <v>85023</v>
      </c>
      <c r="F736" t="s">
        <v>310</v>
      </c>
      <c r="G736" t="s">
        <v>2888</v>
      </c>
      <c r="H736">
        <v>4935500000</v>
      </c>
      <c r="I736" t="s">
        <v>36</v>
      </c>
      <c r="J736" t="s">
        <v>37</v>
      </c>
      <c r="K736" t="s">
        <v>37</v>
      </c>
      <c r="L736" t="s">
        <v>1586</v>
      </c>
      <c r="M736" t="s">
        <v>37</v>
      </c>
      <c r="N736" t="s">
        <v>37</v>
      </c>
      <c r="O736" t="s">
        <v>38</v>
      </c>
      <c r="P736" t="s">
        <v>39</v>
      </c>
      <c r="Q736" s="55">
        <v>45961</v>
      </c>
      <c r="R736" t="s">
        <v>5432</v>
      </c>
      <c r="S736" t="s">
        <v>5432</v>
      </c>
      <c r="T736" t="s">
        <v>5432</v>
      </c>
      <c r="U736" t="s">
        <v>5432</v>
      </c>
      <c r="V736" t="s">
        <v>5433</v>
      </c>
      <c r="W736" s="55">
        <v>45997</v>
      </c>
      <c r="X736" t="s">
        <v>5434</v>
      </c>
      <c r="Z736" t="s">
        <v>5475</v>
      </c>
    </row>
    <row r="737" spans="1:26">
      <c r="A737" s="55">
        <v>45909</v>
      </c>
      <c r="B737" t="s">
        <v>2894</v>
      </c>
      <c r="C737" t="s">
        <v>1444</v>
      </c>
      <c r="D737" t="s">
        <v>63</v>
      </c>
      <c r="E737">
        <v>85053</v>
      </c>
      <c r="F737" t="s">
        <v>310</v>
      </c>
      <c r="G737" t="s">
        <v>2888</v>
      </c>
      <c r="H737">
        <v>3940259300</v>
      </c>
      <c r="I737" t="s">
        <v>126</v>
      </c>
      <c r="J737" t="s">
        <v>37</v>
      </c>
      <c r="K737" t="s">
        <v>37</v>
      </c>
      <c r="L737" t="s">
        <v>1586</v>
      </c>
      <c r="M737" t="s">
        <v>37</v>
      </c>
      <c r="N737" t="s">
        <v>37</v>
      </c>
      <c r="O737" t="s">
        <v>38</v>
      </c>
      <c r="P737" t="s">
        <v>39</v>
      </c>
      <c r="Q737" s="55">
        <v>45961</v>
      </c>
      <c r="R737" t="s">
        <v>5432</v>
      </c>
      <c r="S737" t="s">
        <v>5432</v>
      </c>
      <c r="T737" t="s">
        <v>5432</v>
      </c>
      <c r="U737" t="s">
        <v>5432</v>
      </c>
      <c r="W737" s="55"/>
    </row>
    <row r="738" spans="1:26">
      <c r="A738" s="55">
        <v>45910</v>
      </c>
      <c r="B738" t="s">
        <v>2902</v>
      </c>
      <c r="C738" t="s">
        <v>2903</v>
      </c>
      <c r="D738" t="s">
        <v>85</v>
      </c>
      <c r="E738">
        <v>86323</v>
      </c>
      <c r="F738" t="s">
        <v>2904</v>
      </c>
      <c r="G738" t="s">
        <v>2901</v>
      </c>
      <c r="H738">
        <v>2387100000</v>
      </c>
      <c r="I738" t="s">
        <v>243</v>
      </c>
      <c r="J738" t="s">
        <v>37</v>
      </c>
      <c r="K738" t="s">
        <v>37</v>
      </c>
      <c r="L738" t="s">
        <v>389</v>
      </c>
      <c r="M738" t="s">
        <v>37</v>
      </c>
      <c r="N738" t="s">
        <v>37</v>
      </c>
      <c r="O738" t="s">
        <v>38</v>
      </c>
      <c r="P738" t="s">
        <v>39</v>
      </c>
      <c r="Q738" s="55">
        <v>45961</v>
      </c>
      <c r="R738" t="s">
        <v>5432</v>
      </c>
      <c r="S738" t="s">
        <v>5432</v>
      </c>
      <c r="T738" t="s">
        <v>5432</v>
      </c>
      <c r="U738" t="s">
        <v>5432</v>
      </c>
      <c r="W738" s="55"/>
    </row>
    <row r="739" spans="1:26">
      <c r="A739" s="55">
        <v>45910</v>
      </c>
      <c r="B739" t="s">
        <v>2906</v>
      </c>
      <c r="C739" t="s">
        <v>2907</v>
      </c>
      <c r="D739" t="s">
        <v>24</v>
      </c>
      <c r="E739">
        <v>85308</v>
      </c>
      <c r="F739" t="s">
        <v>310</v>
      </c>
      <c r="G739" t="s">
        <v>2901</v>
      </c>
      <c r="H739">
        <v>8027967579</v>
      </c>
      <c r="I739" t="s">
        <v>196</v>
      </c>
      <c r="J739" t="s">
        <v>37</v>
      </c>
      <c r="K739" t="s">
        <v>37</v>
      </c>
      <c r="L739" t="s">
        <v>2909</v>
      </c>
      <c r="M739" t="s">
        <v>37</v>
      </c>
      <c r="N739" t="s">
        <v>37</v>
      </c>
      <c r="O739" t="s">
        <v>38</v>
      </c>
      <c r="P739" t="s">
        <v>39</v>
      </c>
      <c r="Q739" s="55">
        <v>45961</v>
      </c>
      <c r="R739" t="s">
        <v>5432</v>
      </c>
      <c r="S739" t="s">
        <v>5432</v>
      </c>
      <c r="T739" t="s">
        <v>5432</v>
      </c>
      <c r="U739" t="s">
        <v>5432</v>
      </c>
      <c r="W739" s="55"/>
    </row>
    <row r="740" spans="1:26">
      <c r="A740" s="55">
        <v>45910</v>
      </c>
      <c r="B740" t="s">
        <v>2910</v>
      </c>
      <c r="C740" t="s">
        <v>2911</v>
      </c>
      <c r="D740" t="s">
        <v>63</v>
      </c>
      <c r="E740">
        <v>85083</v>
      </c>
      <c r="F740" t="s">
        <v>31</v>
      </c>
      <c r="G740" t="s">
        <v>2901</v>
      </c>
      <c r="H740">
        <v>1914731000</v>
      </c>
      <c r="I740" t="s">
        <v>243</v>
      </c>
      <c r="J740" t="s">
        <v>37</v>
      </c>
      <c r="K740" t="s">
        <v>37</v>
      </c>
      <c r="L740" t="s">
        <v>389</v>
      </c>
      <c r="M740" t="s">
        <v>37</v>
      </c>
      <c r="N740" t="s">
        <v>37</v>
      </c>
      <c r="O740" t="s">
        <v>38</v>
      </c>
      <c r="P740" t="s">
        <v>39</v>
      </c>
      <c r="Q740" s="55">
        <v>45961</v>
      </c>
      <c r="R740" t="s">
        <v>5432</v>
      </c>
      <c r="S740" t="s">
        <v>5432</v>
      </c>
      <c r="T740" t="s">
        <v>5432</v>
      </c>
      <c r="U740" t="s">
        <v>5432</v>
      </c>
      <c r="W740" s="55"/>
    </row>
    <row r="741" spans="1:26">
      <c r="A741" s="55">
        <v>45910</v>
      </c>
      <c r="B741" t="s">
        <v>2914</v>
      </c>
      <c r="C741" t="s">
        <v>133</v>
      </c>
      <c r="D741" t="s">
        <v>619</v>
      </c>
      <c r="E741">
        <v>85365</v>
      </c>
      <c r="F741" t="s">
        <v>31</v>
      </c>
      <c r="G741" t="s">
        <v>2901</v>
      </c>
      <c r="H741">
        <v>29211000</v>
      </c>
      <c r="I741" t="s">
        <v>36</v>
      </c>
      <c r="J741" t="s">
        <v>37</v>
      </c>
      <c r="K741" t="s">
        <v>37</v>
      </c>
      <c r="L741" t="s">
        <v>1586</v>
      </c>
      <c r="M741" t="s">
        <v>37</v>
      </c>
      <c r="N741" t="s">
        <v>37</v>
      </c>
      <c r="O741" t="s">
        <v>38</v>
      </c>
      <c r="P741" t="s">
        <v>39</v>
      </c>
      <c r="Q741" s="55">
        <v>45961</v>
      </c>
      <c r="R741" t="s">
        <v>5432</v>
      </c>
      <c r="S741" t="s">
        <v>5432</v>
      </c>
      <c r="T741" t="s">
        <v>5432</v>
      </c>
      <c r="U741" t="s">
        <v>5432</v>
      </c>
      <c r="W741" s="55"/>
    </row>
    <row r="742" spans="1:26">
      <c r="A742" s="55">
        <v>45910</v>
      </c>
      <c r="B742" t="s">
        <v>940</v>
      </c>
      <c r="C742" t="s">
        <v>2916</v>
      </c>
      <c r="D742" t="s">
        <v>63</v>
      </c>
      <c r="E742">
        <v>85008</v>
      </c>
      <c r="F742" t="s">
        <v>31</v>
      </c>
      <c r="G742" t="s">
        <v>2901</v>
      </c>
      <c r="H742">
        <v>5458953850</v>
      </c>
      <c r="I742" t="s">
        <v>196</v>
      </c>
      <c r="J742" t="s">
        <v>37</v>
      </c>
      <c r="K742" t="s">
        <v>37</v>
      </c>
      <c r="L742" t="s">
        <v>2918</v>
      </c>
      <c r="M742" t="s">
        <v>37</v>
      </c>
      <c r="N742" t="s">
        <v>37</v>
      </c>
      <c r="O742" t="s">
        <v>38</v>
      </c>
      <c r="P742" t="s">
        <v>39</v>
      </c>
      <c r="Q742" s="55">
        <v>45961</v>
      </c>
      <c r="R742" t="s">
        <v>5432</v>
      </c>
      <c r="S742" t="s">
        <v>5432</v>
      </c>
      <c r="T742" t="s">
        <v>5432</v>
      </c>
      <c r="U742" t="s">
        <v>5432</v>
      </c>
      <c r="V742" t="s">
        <v>5433</v>
      </c>
      <c r="W742" s="55">
        <v>45997</v>
      </c>
      <c r="Z742" t="s">
        <v>5476</v>
      </c>
    </row>
    <row r="743" spans="1:26">
      <c r="A743" s="55">
        <v>45910</v>
      </c>
      <c r="B743" t="s">
        <v>2919</v>
      </c>
      <c r="C743" t="s">
        <v>1905</v>
      </c>
      <c r="D743" t="s">
        <v>1693</v>
      </c>
      <c r="E743">
        <v>85351</v>
      </c>
      <c r="F743" t="s">
        <v>31</v>
      </c>
      <c r="G743" t="s">
        <v>2920</v>
      </c>
      <c r="H743">
        <v>4528501000</v>
      </c>
      <c r="I743" t="s">
        <v>126</v>
      </c>
      <c r="J743" t="s">
        <v>37</v>
      </c>
      <c r="K743" t="s">
        <v>37</v>
      </c>
      <c r="L743" t="s">
        <v>2922</v>
      </c>
      <c r="M743" t="s">
        <v>5432</v>
      </c>
      <c r="N743" t="s">
        <v>5432</v>
      </c>
      <c r="O743" t="s">
        <v>38</v>
      </c>
      <c r="P743">
        <v>45938</v>
      </c>
      <c r="Q743" s="55">
        <v>45961</v>
      </c>
      <c r="R743" t="s">
        <v>2923</v>
      </c>
      <c r="S743" t="s">
        <v>5432</v>
      </c>
      <c r="T743" t="s">
        <v>5432</v>
      </c>
      <c r="U743" t="s">
        <v>5432</v>
      </c>
      <c r="W743" s="55"/>
    </row>
    <row r="744" spans="1:26">
      <c r="A744" s="55">
        <v>45910</v>
      </c>
      <c r="B744" t="s">
        <v>2924</v>
      </c>
      <c r="C744" t="s">
        <v>2925</v>
      </c>
      <c r="D744" t="s">
        <v>63</v>
      </c>
      <c r="E744">
        <v>85021</v>
      </c>
      <c r="F744" t="s">
        <v>31</v>
      </c>
      <c r="G744" t="s">
        <v>2920</v>
      </c>
      <c r="H744">
        <v>6428400000</v>
      </c>
      <c r="I744" t="s">
        <v>36</v>
      </c>
      <c r="J744" t="s">
        <v>37</v>
      </c>
      <c r="K744" t="s">
        <v>37</v>
      </c>
      <c r="L744" t="s">
        <v>1586</v>
      </c>
      <c r="M744" t="s">
        <v>37</v>
      </c>
      <c r="N744" t="s">
        <v>37</v>
      </c>
      <c r="O744" t="s">
        <v>38</v>
      </c>
      <c r="P744" t="s">
        <v>39</v>
      </c>
      <c r="Q744" s="55">
        <v>45961</v>
      </c>
      <c r="R744" t="s">
        <v>5432</v>
      </c>
      <c r="S744" t="s">
        <v>5432</v>
      </c>
      <c r="T744" t="s">
        <v>5432</v>
      </c>
      <c r="U744" t="s">
        <v>5432</v>
      </c>
      <c r="W744" s="55"/>
    </row>
    <row r="745" spans="1:26">
      <c r="A745" s="55">
        <v>45910</v>
      </c>
      <c r="B745" t="s">
        <v>2416</v>
      </c>
      <c r="C745" t="s">
        <v>717</v>
      </c>
      <c r="D745" t="s">
        <v>63</v>
      </c>
      <c r="E745">
        <v>85028</v>
      </c>
      <c r="F745" t="s">
        <v>31</v>
      </c>
      <c r="G745" t="s">
        <v>2933</v>
      </c>
      <c r="H745">
        <v>9414462931</v>
      </c>
      <c r="I745" t="s">
        <v>126</v>
      </c>
      <c r="J745" t="s">
        <v>37</v>
      </c>
      <c r="K745" t="s">
        <v>37</v>
      </c>
      <c r="L745" t="s">
        <v>2935</v>
      </c>
      <c r="M745" t="s">
        <v>37</v>
      </c>
      <c r="N745" t="s">
        <v>37</v>
      </c>
      <c r="O745" t="s">
        <v>38</v>
      </c>
      <c r="P745" t="s">
        <v>39</v>
      </c>
      <c r="Q745" s="55">
        <v>45961</v>
      </c>
      <c r="R745" t="s">
        <v>5432</v>
      </c>
      <c r="S745" t="s">
        <v>5432</v>
      </c>
      <c r="T745" t="s">
        <v>5432</v>
      </c>
      <c r="U745" t="s">
        <v>5432</v>
      </c>
      <c r="W745" s="55"/>
    </row>
    <row r="746" spans="1:26">
      <c r="A746" s="55">
        <v>45910</v>
      </c>
      <c r="B746" t="s">
        <v>2936</v>
      </c>
      <c r="C746" t="s">
        <v>359</v>
      </c>
      <c r="D746" t="s">
        <v>174</v>
      </c>
      <c r="E746">
        <v>85326</v>
      </c>
      <c r="F746" t="s">
        <v>31</v>
      </c>
      <c r="G746" t="s">
        <v>2933</v>
      </c>
      <c r="H746">
        <v>8805404344</v>
      </c>
      <c r="I746" t="s">
        <v>46</v>
      </c>
      <c r="J746" t="s">
        <v>37</v>
      </c>
      <c r="K746" t="s">
        <v>37</v>
      </c>
      <c r="L746" t="s">
        <v>1586</v>
      </c>
      <c r="M746" t="s">
        <v>37</v>
      </c>
      <c r="N746" t="s">
        <v>37</v>
      </c>
      <c r="O746" t="s">
        <v>38</v>
      </c>
      <c r="P746" t="s">
        <v>39</v>
      </c>
      <c r="Q746" s="55">
        <v>45961</v>
      </c>
      <c r="R746" t="s">
        <v>5432</v>
      </c>
      <c r="S746" t="s">
        <v>5432</v>
      </c>
      <c r="T746" t="s">
        <v>5432</v>
      </c>
      <c r="U746" t="s">
        <v>5432</v>
      </c>
      <c r="W746" s="55"/>
    </row>
    <row r="747" spans="1:26">
      <c r="A747" s="55">
        <v>45910</v>
      </c>
      <c r="B747" t="s">
        <v>2938</v>
      </c>
      <c r="C747" t="s">
        <v>363</v>
      </c>
      <c r="D747" t="s">
        <v>169</v>
      </c>
      <c r="E747">
        <v>85395</v>
      </c>
      <c r="F747" t="s">
        <v>31</v>
      </c>
      <c r="G747" t="s">
        <v>2933</v>
      </c>
      <c r="H747">
        <v>4344550000</v>
      </c>
      <c r="I747" t="s">
        <v>1488</v>
      </c>
      <c r="J747" t="s">
        <v>37</v>
      </c>
      <c r="K747" t="s">
        <v>37</v>
      </c>
      <c r="L747" t="s">
        <v>389</v>
      </c>
      <c r="M747" t="s">
        <v>37</v>
      </c>
      <c r="N747" t="s">
        <v>37</v>
      </c>
      <c r="O747" t="s">
        <v>38</v>
      </c>
      <c r="P747" t="s">
        <v>39</v>
      </c>
      <c r="Q747" s="55">
        <v>45961</v>
      </c>
      <c r="R747" t="s">
        <v>2940</v>
      </c>
      <c r="S747" t="s">
        <v>5432</v>
      </c>
      <c r="T747" t="s">
        <v>5432</v>
      </c>
      <c r="U747" t="s">
        <v>5432</v>
      </c>
      <c r="W747" s="55"/>
    </row>
    <row r="748" spans="1:26">
      <c r="A748" s="55">
        <v>45910</v>
      </c>
      <c r="B748" t="s">
        <v>2941</v>
      </c>
      <c r="C748" t="s">
        <v>2942</v>
      </c>
      <c r="D748" t="s">
        <v>63</v>
      </c>
      <c r="E748">
        <v>85004</v>
      </c>
      <c r="F748" t="s">
        <v>31</v>
      </c>
      <c r="G748" t="s">
        <v>2933</v>
      </c>
      <c r="H748">
        <v>3161149182</v>
      </c>
      <c r="I748" t="s">
        <v>196</v>
      </c>
      <c r="J748" t="s">
        <v>37</v>
      </c>
      <c r="K748" t="s">
        <v>37</v>
      </c>
      <c r="L748" t="s">
        <v>2944</v>
      </c>
      <c r="M748" t="s">
        <v>37</v>
      </c>
      <c r="N748" t="s">
        <v>37</v>
      </c>
      <c r="O748" t="s">
        <v>38</v>
      </c>
      <c r="P748" t="s">
        <v>39</v>
      </c>
      <c r="Q748" s="55">
        <v>45961</v>
      </c>
      <c r="R748" t="s">
        <v>2945</v>
      </c>
      <c r="S748" t="s">
        <v>5432</v>
      </c>
      <c r="T748" t="s">
        <v>5432</v>
      </c>
      <c r="U748" t="s">
        <v>5432</v>
      </c>
      <c r="W748" s="55"/>
    </row>
    <row r="749" spans="1:26">
      <c r="A749" s="55">
        <v>45910</v>
      </c>
      <c r="B749" t="s">
        <v>2860</v>
      </c>
      <c r="C749" t="s">
        <v>2861</v>
      </c>
      <c r="D749" t="s">
        <v>85</v>
      </c>
      <c r="E749">
        <v>86323</v>
      </c>
      <c r="F749" t="s">
        <v>31</v>
      </c>
      <c r="G749" t="s">
        <v>2933</v>
      </c>
      <c r="H749">
        <v>3459240757</v>
      </c>
      <c r="I749" t="s">
        <v>196</v>
      </c>
      <c r="J749" t="s">
        <v>37</v>
      </c>
      <c r="K749" t="s">
        <v>37</v>
      </c>
      <c r="L749" t="s">
        <v>2946</v>
      </c>
      <c r="M749" t="s">
        <v>37</v>
      </c>
      <c r="N749" t="s">
        <v>37</v>
      </c>
      <c r="O749" t="s">
        <v>38</v>
      </c>
      <c r="P749" t="s">
        <v>39</v>
      </c>
      <c r="Q749" s="55">
        <v>45961</v>
      </c>
      <c r="R749" t="s">
        <v>5432</v>
      </c>
      <c r="S749" t="s">
        <v>5432</v>
      </c>
      <c r="T749" t="s">
        <v>5432</v>
      </c>
      <c r="U749" t="s">
        <v>5432</v>
      </c>
      <c r="W749" s="55">
        <v>45997</v>
      </c>
      <c r="Z749" t="s">
        <v>5477</v>
      </c>
    </row>
    <row r="750" spans="1:26">
      <c r="A750" s="55">
        <v>45910</v>
      </c>
      <c r="B750" t="s">
        <v>262</v>
      </c>
      <c r="C750" t="s">
        <v>215</v>
      </c>
      <c r="D750" t="s">
        <v>202</v>
      </c>
      <c r="E750">
        <v>85345</v>
      </c>
      <c r="F750" t="s">
        <v>31</v>
      </c>
      <c r="G750" t="s">
        <v>2933</v>
      </c>
      <c r="H750">
        <v>5862540000</v>
      </c>
      <c r="I750" t="s">
        <v>196</v>
      </c>
      <c r="J750" t="s">
        <v>37</v>
      </c>
      <c r="K750" t="s">
        <v>37</v>
      </c>
      <c r="L750" t="s">
        <v>1586</v>
      </c>
      <c r="M750" t="s">
        <v>37</v>
      </c>
      <c r="N750" t="s">
        <v>37</v>
      </c>
      <c r="O750" t="s">
        <v>38</v>
      </c>
      <c r="P750" t="s">
        <v>39</v>
      </c>
      <c r="Q750" s="55">
        <v>45961</v>
      </c>
      <c r="R750" t="s">
        <v>5432</v>
      </c>
      <c r="S750" t="s">
        <v>5432</v>
      </c>
      <c r="T750" t="s">
        <v>5432</v>
      </c>
      <c r="U750" t="s">
        <v>5432</v>
      </c>
      <c r="W750" s="55"/>
    </row>
    <row r="751" spans="1:26">
      <c r="A751" s="55">
        <v>45910</v>
      </c>
      <c r="B751" t="s">
        <v>2682</v>
      </c>
      <c r="C751" t="s">
        <v>2019</v>
      </c>
      <c r="D751" t="s">
        <v>112</v>
      </c>
      <c r="E751">
        <v>85388</v>
      </c>
      <c r="F751" t="s">
        <v>310</v>
      </c>
      <c r="G751" t="s">
        <v>2949</v>
      </c>
      <c r="H751">
        <v>7228908122</v>
      </c>
      <c r="I751" t="s">
        <v>46</v>
      </c>
      <c r="J751" t="s">
        <v>37</v>
      </c>
      <c r="K751" t="s">
        <v>37</v>
      </c>
      <c r="L751" t="s">
        <v>1586</v>
      </c>
      <c r="M751" t="s">
        <v>37</v>
      </c>
      <c r="N751" t="s">
        <v>37</v>
      </c>
      <c r="O751" t="s">
        <v>38</v>
      </c>
      <c r="P751" t="s">
        <v>39</v>
      </c>
      <c r="Q751" s="55">
        <v>45961</v>
      </c>
      <c r="R751" t="s">
        <v>5432</v>
      </c>
      <c r="S751" t="s">
        <v>5432</v>
      </c>
      <c r="T751" t="s">
        <v>5432</v>
      </c>
      <c r="U751" t="s">
        <v>5432</v>
      </c>
      <c r="W751" s="55"/>
    </row>
    <row r="752" spans="1:26">
      <c r="A752" s="55">
        <v>45911</v>
      </c>
      <c r="B752" t="s">
        <v>2951</v>
      </c>
      <c r="C752" t="s">
        <v>2952</v>
      </c>
      <c r="D752" t="s">
        <v>125</v>
      </c>
      <c r="E752">
        <v>85259</v>
      </c>
      <c r="F752" t="s">
        <v>2953</v>
      </c>
      <c r="G752" t="s">
        <v>2949</v>
      </c>
      <c r="H752">
        <v>8092710000</v>
      </c>
      <c r="I752" t="s">
        <v>36</v>
      </c>
      <c r="J752" t="s">
        <v>37</v>
      </c>
      <c r="K752" t="s">
        <v>37</v>
      </c>
      <c r="L752" t="s">
        <v>1586</v>
      </c>
      <c r="M752" t="s">
        <v>37</v>
      </c>
      <c r="N752" t="s">
        <v>37</v>
      </c>
      <c r="O752" t="s">
        <v>38</v>
      </c>
      <c r="P752" t="s">
        <v>39</v>
      </c>
      <c r="Q752" s="55">
        <v>45961</v>
      </c>
      <c r="R752" t="s">
        <v>5432</v>
      </c>
      <c r="S752" t="s">
        <v>5432</v>
      </c>
      <c r="T752" t="s">
        <v>5432</v>
      </c>
      <c r="U752" t="s">
        <v>5432</v>
      </c>
      <c r="W752" s="55"/>
    </row>
    <row r="753" spans="1:26">
      <c r="A753" s="55">
        <v>45911</v>
      </c>
      <c r="B753" t="s">
        <v>2368</v>
      </c>
      <c r="C753" t="s">
        <v>2135</v>
      </c>
      <c r="D753" t="s">
        <v>202</v>
      </c>
      <c r="E753">
        <v>85345</v>
      </c>
      <c r="F753" t="s">
        <v>310</v>
      </c>
      <c r="G753" t="s">
        <v>2949</v>
      </c>
      <c r="H753">
        <v>2482408877</v>
      </c>
      <c r="I753" t="s">
        <v>46</v>
      </c>
      <c r="J753" t="s">
        <v>37</v>
      </c>
      <c r="K753" t="s">
        <v>37</v>
      </c>
      <c r="L753" t="s">
        <v>2959</v>
      </c>
      <c r="M753" t="s">
        <v>37</v>
      </c>
      <c r="N753" t="s">
        <v>37</v>
      </c>
      <c r="O753" t="s">
        <v>38</v>
      </c>
      <c r="P753" t="s">
        <v>39</v>
      </c>
      <c r="Q753" s="55">
        <v>45961</v>
      </c>
      <c r="R753" t="s">
        <v>5432</v>
      </c>
      <c r="S753" t="s">
        <v>5432</v>
      </c>
      <c r="T753" t="s">
        <v>5432</v>
      </c>
      <c r="U753" t="s">
        <v>5432</v>
      </c>
      <c r="W753" s="55">
        <v>45997</v>
      </c>
      <c r="X753" t="s">
        <v>5434</v>
      </c>
      <c r="Z753" t="s">
        <v>5478</v>
      </c>
    </row>
    <row r="754" spans="1:26">
      <c r="A754" s="55">
        <v>45911</v>
      </c>
      <c r="B754" t="s">
        <v>224</v>
      </c>
      <c r="C754" t="s">
        <v>346</v>
      </c>
      <c r="D754" t="s">
        <v>85</v>
      </c>
      <c r="E754">
        <v>86323</v>
      </c>
      <c r="F754" t="s">
        <v>31</v>
      </c>
      <c r="G754" t="s">
        <v>2949</v>
      </c>
      <c r="H754">
        <v>3459240757</v>
      </c>
      <c r="I754" t="s">
        <v>196</v>
      </c>
      <c r="J754" t="s">
        <v>37</v>
      </c>
      <c r="K754" t="s">
        <v>37</v>
      </c>
      <c r="L754" t="s">
        <v>2863</v>
      </c>
      <c r="M754" t="s">
        <v>37</v>
      </c>
      <c r="N754" t="s">
        <v>37</v>
      </c>
      <c r="O754" t="s">
        <v>38</v>
      </c>
      <c r="P754" t="s">
        <v>39</v>
      </c>
      <c r="Q754" s="55">
        <v>45961</v>
      </c>
      <c r="R754" t="s">
        <v>5432</v>
      </c>
      <c r="S754" t="s">
        <v>5432</v>
      </c>
      <c r="T754" t="s">
        <v>5432</v>
      </c>
      <c r="U754" t="s">
        <v>5432</v>
      </c>
      <c r="W754" s="55"/>
    </row>
    <row r="755" spans="1:26">
      <c r="A755" s="55">
        <v>45912</v>
      </c>
      <c r="B755" t="s">
        <v>2963</v>
      </c>
      <c r="C755" t="s">
        <v>2964</v>
      </c>
      <c r="D755" t="s">
        <v>169</v>
      </c>
      <c r="E755">
        <v>85395</v>
      </c>
      <c r="F755" t="s">
        <v>31</v>
      </c>
      <c r="G755" t="s">
        <v>2965</v>
      </c>
      <c r="H755">
        <v>4175541000</v>
      </c>
      <c r="I755" t="s">
        <v>36</v>
      </c>
      <c r="J755" t="s">
        <v>37</v>
      </c>
      <c r="K755" t="s">
        <v>37</v>
      </c>
      <c r="L755" t="s">
        <v>1586</v>
      </c>
      <c r="M755" t="s">
        <v>37</v>
      </c>
      <c r="N755" t="s">
        <v>37</v>
      </c>
      <c r="O755" t="s">
        <v>38</v>
      </c>
      <c r="P755" t="s">
        <v>39</v>
      </c>
      <c r="Q755" s="55">
        <v>45961</v>
      </c>
      <c r="R755" t="s">
        <v>5432</v>
      </c>
      <c r="S755" t="s">
        <v>5432</v>
      </c>
      <c r="T755" t="s">
        <v>5432</v>
      </c>
      <c r="U755" t="s">
        <v>5432</v>
      </c>
      <c r="W755" s="55"/>
    </row>
    <row r="756" spans="1:26">
      <c r="A756" s="55">
        <v>45912</v>
      </c>
      <c r="B756" t="s">
        <v>1344</v>
      </c>
      <c r="C756" t="s">
        <v>1198</v>
      </c>
      <c r="D756" t="s">
        <v>63</v>
      </c>
      <c r="E756">
        <v>85053</v>
      </c>
      <c r="F756" t="s">
        <v>310</v>
      </c>
      <c r="G756" t="s">
        <v>2967</v>
      </c>
      <c r="H756">
        <v>5790100875</v>
      </c>
      <c r="I756" t="s">
        <v>36</v>
      </c>
      <c r="J756" t="s">
        <v>37</v>
      </c>
      <c r="K756" t="s">
        <v>37</v>
      </c>
      <c r="L756" t="s">
        <v>1586</v>
      </c>
      <c r="M756" t="s">
        <v>37</v>
      </c>
      <c r="N756" t="s">
        <v>37</v>
      </c>
      <c r="O756" t="s">
        <v>38</v>
      </c>
      <c r="P756" t="s">
        <v>39</v>
      </c>
      <c r="Q756" s="55">
        <v>45961</v>
      </c>
      <c r="R756" t="s">
        <v>5432</v>
      </c>
      <c r="S756" t="s">
        <v>5432</v>
      </c>
      <c r="T756" t="s">
        <v>5432</v>
      </c>
      <c r="U756" t="s">
        <v>5432</v>
      </c>
      <c r="W756" s="55"/>
    </row>
    <row r="757" spans="1:26">
      <c r="A757" s="55">
        <v>45912</v>
      </c>
      <c r="B757" t="s">
        <v>2971</v>
      </c>
      <c r="C757" t="s">
        <v>1140</v>
      </c>
      <c r="D757" t="s">
        <v>63</v>
      </c>
      <c r="E757">
        <v>85027</v>
      </c>
      <c r="F757" t="s">
        <v>741</v>
      </c>
      <c r="G757" t="s">
        <v>2970</v>
      </c>
      <c r="H757">
        <v>2594531000</v>
      </c>
      <c r="I757" t="s">
        <v>196</v>
      </c>
      <c r="J757" t="s">
        <v>37</v>
      </c>
      <c r="K757" t="s">
        <v>37</v>
      </c>
      <c r="L757" t="s">
        <v>2973</v>
      </c>
      <c r="M757" t="s">
        <v>37</v>
      </c>
      <c r="N757" t="s">
        <v>37</v>
      </c>
      <c r="O757" t="s">
        <v>38</v>
      </c>
      <c r="P757" t="s">
        <v>39</v>
      </c>
      <c r="Q757" s="55">
        <v>45961</v>
      </c>
      <c r="R757" t="s">
        <v>5432</v>
      </c>
      <c r="S757" t="s">
        <v>5432</v>
      </c>
      <c r="T757" t="s">
        <v>5432</v>
      </c>
      <c r="U757" t="s">
        <v>5432</v>
      </c>
      <c r="W757" s="55"/>
    </row>
    <row r="758" spans="1:26">
      <c r="A758" s="55">
        <v>45912</v>
      </c>
      <c r="B758" t="s">
        <v>2974</v>
      </c>
      <c r="C758" t="s">
        <v>2975</v>
      </c>
      <c r="D758" t="s">
        <v>523</v>
      </c>
      <c r="E758">
        <v>85392</v>
      </c>
      <c r="F758" t="s">
        <v>310</v>
      </c>
      <c r="G758" t="s">
        <v>2970</v>
      </c>
      <c r="H758">
        <v>2001860000</v>
      </c>
      <c r="I758" t="s">
        <v>196</v>
      </c>
      <c r="J758" t="s">
        <v>37</v>
      </c>
      <c r="K758" t="s">
        <v>37</v>
      </c>
      <c r="L758" t="s">
        <v>2977</v>
      </c>
      <c r="M758" t="s">
        <v>37</v>
      </c>
      <c r="N758" t="s">
        <v>37</v>
      </c>
      <c r="O758" t="s">
        <v>38</v>
      </c>
      <c r="P758">
        <v>45938</v>
      </c>
      <c r="Q758" s="55">
        <v>45961</v>
      </c>
      <c r="R758" t="s">
        <v>2978</v>
      </c>
      <c r="S758" t="s">
        <v>5432</v>
      </c>
      <c r="T758" t="s">
        <v>5432</v>
      </c>
      <c r="U758" t="s">
        <v>5432</v>
      </c>
      <c r="W758" s="55"/>
    </row>
    <row r="759" spans="1:26">
      <c r="A759" s="55">
        <v>45912</v>
      </c>
      <c r="B759" t="s">
        <v>2979</v>
      </c>
      <c r="C759" t="s">
        <v>427</v>
      </c>
      <c r="D759" t="s">
        <v>24</v>
      </c>
      <c r="E759">
        <v>85308</v>
      </c>
      <c r="F759" t="s">
        <v>310</v>
      </c>
      <c r="G759" t="s">
        <v>2970</v>
      </c>
      <c r="H759">
        <v>417096787</v>
      </c>
      <c r="I759" t="s">
        <v>243</v>
      </c>
      <c r="J759" t="s">
        <v>37</v>
      </c>
      <c r="K759" t="s">
        <v>37</v>
      </c>
      <c r="L759" t="s">
        <v>389</v>
      </c>
      <c r="M759" t="s">
        <v>37</v>
      </c>
      <c r="N759" t="s">
        <v>37</v>
      </c>
      <c r="O759" t="s">
        <v>38</v>
      </c>
      <c r="P759" t="s">
        <v>39</v>
      </c>
      <c r="Q759" s="55">
        <v>45961</v>
      </c>
      <c r="R759" t="s">
        <v>5432</v>
      </c>
      <c r="S759" t="s">
        <v>5432</v>
      </c>
      <c r="T759" t="s">
        <v>5432</v>
      </c>
      <c r="U759" t="s">
        <v>5432</v>
      </c>
      <c r="W759" s="55"/>
    </row>
    <row r="760" spans="1:26">
      <c r="A760" s="55">
        <v>45912</v>
      </c>
      <c r="B760" t="s">
        <v>2981</v>
      </c>
      <c r="C760" t="s">
        <v>838</v>
      </c>
      <c r="D760" t="s">
        <v>125</v>
      </c>
      <c r="E760">
        <v>85255</v>
      </c>
      <c r="F760" t="s">
        <v>31</v>
      </c>
      <c r="G760" t="s">
        <v>2970</v>
      </c>
      <c r="H760">
        <v>1444600000</v>
      </c>
      <c r="I760" t="s">
        <v>541</v>
      </c>
      <c r="J760" t="s">
        <v>37</v>
      </c>
      <c r="K760" t="s">
        <v>37</v>
      </c>
      <c r="L760" t="s">
        <v>389</v>
      </c>
      <c r="M760" t="s">
        <v>37</v>
      </c>
      <c r="N760" t="s">
        <v>37</v>
      </c>
      <c r="O760" t="s">
        <v>38</v>
      </c>
      <c r="P760" t="s">
        <v>39</v>
      </c>
      <c r="Q760" s="55">
        <v>45961</v>
      </c>
      <c r="R760" t="s">
        <v>5432</v>
      </c>
      <c r="S760" t="s">
        <v>5432</v>
      </c>
      <c r="T760" t="s">
        <v>5432</v>
      </c>
      <c r="U760" t="s">
        <v>5432</v>
      </c>
      <c r="V760" t="s">
        <v>5433</v>
      </c>
      <c r="W760" s="55">
        <v>45997</v>
      </c>
      <c r="X760" t="s">
        <v>5434</v>
      </c>
      <c r="Z760" t="s">
        <v>5479</v>
      </c>
    </row>
    <row r="761" spans="1:26">
      <c r="A761" s="55">
        <v>45912</v>
      </c>
      <c r="B761" t="s">
        <v>2986</v>
      </c>
      <c r="C761" t="s">
        <v>145</v>
      </c>
      <c r="D761" t="s">
        <v>816</v>
      </c>
      <c r="E761">
        <v>86303</v>
      </c>
      <c r="F761" t="s">
        <v>2987</v>
      </c>
      <c r="G761" t="s">
        <v>2985</v>
      </c>
      <c r="H761">
        <v>5304030000</v>
      </c>
      <c r="I761" t="s">
        <v>73</v>
      </c>
      <c r="J761" t="s">
        <v>37</v>
      </c>
      <c r="K761" t="s">
        <v>37</v>
      </c>
      <c r="L761" t="s">
        <v>1586</v>
      </c>
      <c r="M761" t="s">
        <v>37</v>
      </c>
      <c r="N761" t="s">
        <v>37</v>
      </c>
      <c r="O761" t="s">
        <v>38</v>
      </c>
      <c r="P761" t="s">
        <v>39</v>
      </c>
      <c r="Q761" s="55">
        <v>45961</v>
      </c>
      <c r="R761" t="s">
        <v>5432</v>
      </c>
      <c r="S761" t="s">
        <v>5432</v>
      </c>
      <c r="T761" t="s">
        <v>5432</v>
      </c>
      <c r="U761" t="s">
        <v>5432</v>
      </c>
      <c r="W761" s="55"/>
    </row>
    <row r="762" spans="1:26">
      <c r="A762" s="55">
        <v>45912</v>
      </c>
      <c r="B762" t="s">
        <v>2992</v>
      </c>
      <c r="C762" t="s">
        <v>42</v>
      </c>
      <c r="D762" t="s">
        <v>112</v>
      </c>
      <c r="E762">
        <v>85378</v>
      </c>
      <c r="F762" t="s">
        <v>660</v>
      </c>
      <c r="G762" t="s">
        <v>2985</v>
      </c>
      <c r="H762">
        <v>7224390000</v>
      </c>
      <c r="I762" t="s">
        <v>46</v>
      </c>
      <c r="J762" t="s">
        <v>37</v>
      </c>
      <c r="K762" t="s">
        <v>37</v>
      </c>
      <c r="L762" t="s">
        <v>2994</v>
      </c>
      <c r="M762" t="s">
        <v>37</v>
      </c>
      <c r="N762" t="s">
        <v>37</v>
      </c>
      <c r="O762" t="s">
        <v>38</v>
      </c>
      <c r="P762" t="s">
        <v>39</v>
      </c>
      <c r="Q762" s="55">
        <v>45961</v>
      </c>
      <c r="R762" t="s">
        <v>5432</v>
      </c>
      <c r="S762" t="s">
        <v>5432</v>
      </c>
      <c r="T762" t="s">
        <v>5432</v>
      </c>
      <c r="U762" t="s">
        <v>5432</v>
      </c>
      <c r="W762" s="55"/>
    </row>
    <row r="763" spans="1:26">
      <c r="A763" s="55">
        <v>45912</v>
      </c>
      <c r="B763" t="s">
        <v>2995</v>
      </c>
      <c r="C763" t="s">
        <v>312</v>
      </c>
      <c r="D763" t="s">
        <v>24</v>
      </c>
      <c r="E763">
        <v>85308</v>
      </c>
      <c r="F763" t="s">
        <v>2996</v>
      </c>
      <c r="G763" t="s">
        <v>2985</v>
      </c>
      <c r="H763">
        <v>2139544986</v>
      </c>
      <c r="I763" t="s">
        <v>541</v>
      </c>
      <c r="J763" t="s">
        <v>37</v>
      </c>
      <c r="K763" t="s">
        <v>37</v>
      </c>
      <c r="L763" t="s">
        <v>389</v>
      </c>
      <c r="M763" t="s">
        <v>37</v>
      </c>
      <c r="N763" t="s">
        <v>37</v>
      </c>
      <c r="O763" t="s">
        <v>38</v>
      </c>
      <c r="P763" t="s">
        <v>39</v>
      </c>
      <c r="Q763" s="55">
        <v>45961</v>
      </c>
      <c r="R763" t="s">
        <v>5432</v>
      </c>
      <c r="S763" t="s">
        <v>5432</v>
      </c>
      <c r="T763" t="s">
        <v>5432</v>
      </c>
      <c r="U763" t="s">
        <v>5432</v>
      </c>
      <c r="W763" s="55"/>
    </row>
    <row r="764" spans="1:26">
      <c r="A764" s="55">
        <v>45912</v>
      </c>
      <c r="B764" t="s">
        <v>2998</v>
      </c>
      <c r="C764" t="s">
        <v>252</v>
      </c>
      <c r="D764" t="s">
        <v>63</v>
      </c>
      <c r="E764">
        <v>85028</v>
      </c>
      <c r="F764" t="s">
        <v>31</v>
      </c>
      <c r="G764" t="s">
        <v>2985</v>
      </c>
      <c r="H764">
        <v>3066285596</v>
      </c>
      <c r="I764" t="s">
        <v>126</v>
      </c>
      <c r="J764" t="s">
        <v>37</v>
      </c>
      <c r="K764" t="s">
        <v>37</v>
      </c>
      <c r="L764" t="s">
        <v>3000</v>
      </c>
      <c r="M764" t="s">
        <v>37</v>
      </c>
      <c r="N764" t="s">
        <v>37</v>
      </c>
      <c r="O764" t="s">
        <v>38</v>
      </c>
      <c r="P764">
        <v>45938</v>
      </c>
      <c r="Q764" s="55">
        <v>45961</v>
      </c>
      <c r="R764" t="s">
        <v>3001</v>
      </c>
      <c r="S764" t="s">
        <v>5432</v>
      </c>
      <c r="T764" t="s">
        <v>5432</v>
      </c>
      <c r="U764" t="s">
        <v>5432</v>
      </c>
      <c r="W764" s="55"/>
    </row>
    <row r="765" spans="1:26">
      <c r="A765" s="55">
        <v>45912</v>
      </c>
      <c r="B765" t="s">
        <v>3002</v>
      </c>
      <c r="C765" t="s">
        <v>1533</v>
      </c>
      <c r="D765" t="s">
        <v>698</v>
      </c>
      <c r="E765">
        <v>85375</v>
      </c>
      <c r="F765" t="s">
        <v>31</v>
      </c>
      <c r="G765" t="s">
        <v>2985</v>
      </c>
      <c r="H765">
        <v>436289551</v>
      </c>
      <c r="I765" t="s">
        <v>57</v>
      </c>
      <c r="J765" t="s">
        <v>37</v>
      </c>
      <c r="K765" t="s">
        <v>37</v>
      </c>
      <c r="L765" t="s">
        <v>3004</v>
      </c>
      <c r="M765" t="s">
        <v>37</v>
      </c>
      <c r="N765" t="s">
        <v>37</v>
      </c>
      <c r="O765" t="s">
        <v>38</v>
      </c>
      <c r="P765">
        <v>45938</v>
      </c>
      <c r="Q765" s="55">
        <v>45961</v>
      </c>
      <c r="R765" t="s">
        <v>2978</v>
      </c>
      <c r="S765" t="s">
        <v>5432</v>
      </c>
      <c r="T765" t="s">
        <v>5432</v>
      </c>
      <c r="U765" t="s">
        <v>5432</v>
      </c>
      <c r="W765" s="55"/>
    </row>
    <row r="766" spans="1:26">
      <c r="A766" s="55">
        <v>45912</v>
      </c>
      <c r="B766" t="s">
        <v>3005</v>
      </c>
      <c r="C766" t="s">
        <v>3006</v>
      </c>
      <c r="D766" t="s">
        <v>125</v>
      </c>
      <c r="E766">
        <v>85255</v>
      </c>
      <c r="F766" t="s">
        <v>310</v>
      </c>
      <c r="G766" t="s">
        <v>2985</v>
      </c>
      <c r="H766">
        <v>3375784078</v>
      </c>
      <c r="I766" t="s">
        <v>57</v>
      </c>
      <c r="J766" t="s">
        <v>37</v>
      </c>
      <c r="K766" t="s">
        <v>37</v>
      </c>
      <c r="L766" t="s">
        <v>3008</v>
      </c>
      <c r="M766" t="s">
        <v>37</v>
      </c>
      <c r="N766" t="s">
        <v>37</v>
      </c>
      <c r="O766" t="s">
        <v>38</v>
      </c>
      <c r="P766">
        <v>45938</v>
      </c>
      <c r="Q766" s="55">
        <v>45961</v>
      </c>
      <c r="R766" t="s">
        <v>2978</v>
      </c>
      <c r="S766" t="s">
        <v>5432</v>
      </c>
      <c r="T766" t="s">
        <v>5432</v>
      </c>
      <c r="U766" t="s">
        <v>5432</v>
      </c>
      <c r="W766" s="55"/>
    </row>
    <row r="767" spans="1:26">
      <c r="A767" s="55">
        <v>45912</v>
      </c>
      <c r="B767" t="s">
        <v>3009</v>
      </c>
      <c r="C767" t="s">
        <v>312</v>
      </c>
      <c r="D767" t="s">
        <v>619</v>
      </c>
      <c r="E767">
        <v>85365</v>
      </c>
      <c r="F767" t="s">
        <v>3010</v>
      </c>
      <c r="G767" t="s">
        <v>2985</v>
      </c>
      <c r="H767">
        <v>4155800832</v>
      </c>
      <c r="I767" t="s">
        <v>73</v>
      </c>
      <c r="J767" t="s">
        <v>37</v>
      </c>
      <c r="K767" t="s">
        <v>37</v>
      </c>
      <c r="L767" t="s">
        <v>1586</v>
      </c>
      <c r="M767" t="s">
        <v>37</v>
      </c>
      <c r="N767" t="s">
        <v>37</v>
      </c>
      <c r="O767" t="s">
        <v>38</v>
      </c>
      <c r="P767" t="s">
        <v>39</v>
      </c>
      <c r="Q767" s="55">
        <v>45961</v>
      </c>
      <c r="R767" t="s">
        <v>5432</v>
      </c>
      <c r="S767" t="s">
        <v>5432</v>
      </c>
      <c r="T767" t="s">
        <v>5432</v>
      </c>
      <c r="U767" t="s">
        <v>5432</v>
      </c>
      <c r="W767" s="55"/>
    </row>
    <row r="768" spans="1:26">
      <c r="A768" s="55">
        <v>45912</v>
      </c>
      <c r="B768" t="s">
        <v>3012</v>
      </c>
      <c r="C768" t="s">
        <v>479</v>
      </c>
      <c r="D768" t="s">
        <v>24</v>
      </c>
      <c r="E768">
        <v>85308</v>
      </c>
      <c r="F768" t="s">
        <v>310</v>
      </c>
      <c r="G768" t="s">
        <v>2985</v>
      </c>
      <c r="H768">
        <v>5288821061</v>
      </c>
      <c r="I768" t="s">
        <v>36</v>
      </c>
      <c r="J768" t="s">
        <v>37</v>
      </c>
      <c r="K768" t="s">
        <v>37</v>
      </c>
      <c r="L768" t="s">
        <v>1586</v>
      </c>
      <c r="M768" t="s">
        <v>37</v>
      </c>
      <c r="N768" t="s">
        <v>37</v>
      </c>
      <c r="O768" t="s">
        <v>38</v>
      </c>
      <c r="P768" t="s">
        <v>39</v>
      </c>
      <c r="Q768" s="55">
        <v>45961</v>
      </c>
      <c r="R768" t="s">
        <v>3014</v>
      </c>
      <c r="S768" t="s">
        <v>5432</v>
      </c>
      <c r="T768" t="s">
        <v>5432</v>
      </c>
      <c r="U768" t="s">
        <v>5432</v>
      </c>
      <c r="W768" s="55"/>
    </row>
    <row r="769" spans="1:26">
      <c r="A769" s="55">
        <v>45912</v>
      </c>
      <c r="B769" t="s">
        <v>1136</v>
      </c>
      <c r="C769" t="s">
        <v>3015</v>
      </c>
      <c r="D769" t="s">
        <v>63</v>
      </c>
      <c r="E769">
        <v>85032</v>
      </c>
      <c r="F769" t="s">
        <v>3016</v>
      </c>
      <c r="G769" t="s">
        <v>2985</v>
      </c>
      <c r="H769">
        <v>5531290000</v>
      </c>
      <c r="I769" t="s">
        <v>57</v>
      </c>
      <c r="J769" t="s">
        <v>37</v>
      </c>
      <c r="K769" t="s">
        <v>37</v>
      </c>
      <c r="L769" t="s">
        <v>3018</v>
      </c>
      <c r="M769" t="s">
        <v>37</v>
      </c>
      <c r="N769" t="s">
        <v>37</v>
      </c>
      <c r="O769" t="s">
        <v>38</v>
      </c>
      <c r="P769" t="s">
        <v>5432</v>
      </c>
      <c r="Q769" s="55">
        <v>45961</v>
      </c>
      <c r="R769" t="s">
        <v>3019</v>
      </c>
      <c r="S769" t="s">
        <v>5432</v>
      </c>
      <c r="T769" t="s">
        <v>5432</v>
      </c>
      <c r="U769" t="s">
        <v>5432</v>
      </c>
      <c r="W769" s="55"/>
    </row>
    <row r="770" spans="1:26">
      <c r="A770" s="55">
        <v>45913</v>
      </c>
      <c r="B770" t="s">
        <v>3022</v>
      </c>
      <c r="C770" t="s">
        <v>3023</v>
      </c>
      <c r="D770" t="s">
        <v>523</v>
      </c>
      <c r="E770">
        <v>85392</v>
      </c>
      <c r="F770" t="s">
        <v>31</v>
      </c>
      <c r="G770" t="s">
        <v>2985</v>
      </c>
      <c r="H770">
        <v>4456121000</v>
      </c>
      <c r="I770" t="s">
        <v>250</v>
      </c>
      <c r="J770" t="s">
        <v>37</v>
      </c>
      <c r="K770" t="s">
        <v>37</v>
      </c>
      <c r="L770" t="s">
        <v>1586</v>
      </c>
      <c r="M770" t="s">
        <v>37</v>
      </c>
      <c r="N770" t="s">
        <v>37</v>
      </c>
      <c r="O770" t="s">
        <v>38</v>
      </c>
      <c r="P770" t="s">
        <v>39</v>
      </c>
      <c r="Q770" s="55">
        <v>45961</v>
      </c>
      <c r="R770" t="s">
        <v>5432</v>
      </c>
      <c r="S770" t="s">
        <v>5432</v>
      </c>
      <c r="T770" t="s">
        <v>5432</v>
      </c>
      <c r="U770" t="s">
        <v>5432</v>
      </c>
      <c r="W770" s="55"/>
    </row>
    <row r="771" spans="1:26">
      <c r="A771" s="55">
        <v>45913</v>
      </c>
      <c r="B771" t="s">
        <v>3029</v>
      </c>
      <c r="C771" t="s">
        <v>3030</v>
      </c>
      <c r="D771" t="s">
        <v>63</v>
      </c>
      <c r="E771">
        <v>85022</v>
      </c>
      <c r="F771" t="s">
        <v>31</v>
      </c>
      <c r="G771" t="s">
        <v>2985</v>
      </c>
      <c r="H771">
        <v>9854457444</v>
      </c>
      <c r="I771" t="s">
        <v>73</v>
      </c>
      <c r="J771" t="s">
        <v>37</v>
      </c>
      <c r="K771" t="s">
        <v>37</v>
      </c>
      <c r="L771" t="s">
        <v>1586</v>
      </c>
      <c r="M771" t="s">
        <v>37</v>
      </c>
      <c r="N771" t="s">
        <v>37</v>
      </c>
      <c r="O771" t="s">
        <v>38</v>
      </c>
      <c r="P771" t="s">
        <v>39</v>
      </c>
      <c r="Q771" s="55">
        <v>45961</v>
      </c>
      <c r="R771" t="s">
        <v>5432</v>
      </c>
      <c r="S771" t="s">
        <v>5432</v>
      </c>
      <c r="T771" t="s">
        <v>5432</v>
      </c>
      <c r="U771" t="s">
        <v>5432</v>
      </c>
      <c r="W771" s="55"/>
    </row>
    <row r="772" spans="1:26">
      <c r="A772" s="55">
        <v>45913</v>
      </c>
      <c r="B772" t="s">
        <v>2995</v>
      </c>
      <c r="C772" t="s">
        <v>312</v>
      </c>
      <c r="D772" t="s">
        <v>24</v>
      </c>
      <c r="E772">
        <v>85308</v>
      </c>
      <c r="F772" t="s">
        <v>31</v>
      </c>
      <c r="G772" t="s">
        <v>2985</v>
      </c>
      <c r="H772">
        <v>2139544986</v>
      </c>
      <c r="I772" t="s">
        <v>541</v>
      </c>
      <c r="J772" t="s">
        <v>37</v>
      </c>
      <c r="K772" t="s">
        <v>37</v>
      </c>
      <c r="L772" t="s">
        <v>389</v>
      </c>
      <c r="M772" t="s">
        <v>37</v>
      </c>
      <c r="N772" t="s">
        <v>37</v>
      </c>
      <c r="O772" t="s">
        <v>38</v>
      </c>
      <c r="P772" t="s">
        <v>39</v>
      </c>
      <c r="Q772" s="55">
        <v>45961</v>
      </c>
      <c r="R772" t="s">
        <v>5432</v>
      </c>
      <c r="S772" t="s">
        <v>5432</v>
      </c>
      <c r="T772" t="s">
        <v>5432</v>
      </c>
      <c r="U772" t="s">
        <v>5432</v>
      </c>
      <c r="V772" t="s">
        <v>5433</v>
      </c>
      <c r="W772" s="55">
        <v>45997</v>
      </c>
      <c r="X772" t="s">
        <v>5434</v>
      </c>
      <c r="Z772" t="s">
        <v>5480</v>
      </c>
    </row>
    <row r="773" spans="1:26">
      <c r="A773" s="55">
        <v>45914</v>
      </c>
      <c r="B773" t="s">
        <v>3032</v>
      </c>
      <c r="C773" t="s">
        <v>3033</v>
      </c>
      <c r="D773" t="s">
        <v>370</v>
      </c>
      <c r="E773">
        <v>85225</v>
      </c>
      <c r="F773" t="s">
        <v>310</v>
      </c>
      <c r="G773" t="s">
        <v>2985</v>
      </c>
      <c r="H773">
        <v>406230633</v>
      </c>
      <c r="I773" t="s">
        <v>3035</v>
      </c>
      <c r="J773" t="s">
        <v>37</v>
      </c>
      <c r="K773" t="s">
        <v>37</v>
      </c>
      <c r="L773" t="s">
        <v>3036</v>
      </c>
      <c r="M773" t="s">
        <v>37</v>
      </c>
      <c r="N773" t="s">
        <v>37</v>
      </c>
      <c r="O773" t="s">
        <v>38</v>
      </c>
      <c r="P773" t="s">
        <v>39</v>
      </c>
      <c r="Q773" s="55">
        <v>45961</v>
      </c>
      <c r="R773" t="s">
        <v>5432</v>
      </c>
      <c r="S773" t="s">
        <v>5432</v>
      </c>
      <c r="T773" t="s">
        <v>5432</v>
      </c>
      <c r="U773" t="s">
        <v>5432</v>
      </c>
      <c r="W773" s="55"/>
    </row>
    <row r="774" spans="1:26">
      <c r="A774" s="55">
        <v>45914</v>
      </c>
      <c r="B774" t="s">
        <v>3037</v>
      </c>
      <c r="C774" t="s">
        <v>611</v>
      </c>
      <c r="D774" t="s">
        <v>63</v>
      </c>
      <c r="E774">
        <v>85020</v>
      </c>
      <c r="F774" t="s">
        <v>31</v>
      </c>
      <c r="G774" t="s">
        <v>2985</v>
      </c>
      <c r="H774">
        <v>5672030668</v>
      </c>
      <c r="I774" t="s">
        <v>418</v>
      </c>
      <c r="J774" t="s">
        <v>37</v>
      </c>
      <c r="K774" t="s">
        <v>37</v>
      </c>
      <c r="L774" t="s">
        <v>389</v>
      </c>
      <c r="M774" t="s">
        <v>37</v>
      </c>
      <c r="N774" t="s">
        <v>37</v>
      </c>
      <c r="O774" t="s">
        <v>38</v>
      </c>
      <c r="P774" t="s">
        <v>39</v>
      </c>
      <c r="Q774" s="55">
        <v>45961</v>
      </c>
      <c r="R774" t="s">
        <v>5432</v>
      </c>
      <c r="S774" t="s">
        <v>5432</v>
      </c>
      <c r="T774" t="s">
        <v>5432</v>
      </c>
      <c r="U774" t="s">
        <v>5432</v>
      </c>
      <c r="W774" s="55"/>
    </row>
    <row r="775" spans="1:26">
      <c r="A775" s="55">
        <v>45914</v>
      </c>
      <c r="B775" t="s">
        <v>1884</v>
      </c>
      <c r="C775" t="s">
        <v>3040</v>
      </c>
      <c r="D775" t="s">
        <v>619</v>
      </c>
      <c r="E775">
        <v>85364</v>
      </c>
      <c r="F775" t="s">
        <v>3041</v>
      </c>
      <c r="G775" t="s">
        <v>2985</v>
      </c>
      <c r="H775">
        <v>2060349043</v>
      </c>
      <c r="I775" t="s">
        <v>250</v>
      </c>
      <c r="J775" t="s">
        <v>37</v>
      </c>
      <c r="K775" t="s">
        <v>37</v>
      </c>
      <c r="L775" t="s">
        <v>3043</v>
      </c>
      <c r="M775" t="s">
        <v>38</v>
      </c>
      <c r="N775">
        <v>722.34</v>
      </c>
      <c r="O775" t="s">
        <v>38</v>
      </c>
      <c r="P775" t="s">
        <v>5432</v>
      </c>
      <c r="Q775" s="55">
        <v>45961</v>
      </c>
      <c r="R775" t="s">
        <v>3044</v>
      </c>
      <c r="S775" t="s">
        <v>5432</v>
      </c>
      <c r="T775" t="s">
        <v>5432</v>
      </c>
      <c r="U775" t="s">
        <v>3045</v>
      </c>
      <c r="W775" s="55"/>
    </row>
    <row r="776" spans="1:26">
      <c r="A776" s="55">
        <v>45914</v>
      </c>
      <c r="B776" t="s">
        <v>3046</v>
      </c>
      <c r="C776" t="s">
        <v>333</v>
      </c>
      <c r="D776" t="s">
        <v>63</v>
      </c>
      <c r="E776">
        <v>85281</v>
      </c>
      <c r="F776" t="s">
        <v>310</v>
      </c>
      <c r="G776" t="s">
        <v>2985</v>
      </c>
      <c r="H776">
        <v>3985295602</v>
      </c>
      <c r="I776" t="s">
        <v>73</v>
      </c>
      <c r="J776" t="s">
        <v>38</v>
      </c>
      <c r="K776" t="s">
        <v>37</v>
      </c>
      <c r="L776" t="s">
        <v>38</v>
      </c>
      <c r="M776" t="s">
        <v>37</v>
      </c>
      <c r="N776" t="s">
        <v>37</v>
      </c>
      <c r="O776" t="s">
        <v>38</v>
      </c>
      <c r="P776" t="s">
        <v>39</v>
      </c>
      <c r="Q776" s="55">
        <v>45961</v>
      </c>
      <c r="R776" t="s">
        <v>5432</v>
      </c>
      <c r="S776" t="s">
        <v>5432</v>
      </c>
      <c r="T776" t="s">
        <v>5432</v>
      </c>
      <c r="U776" t="s">
        <v>5432</v>
      </c>
      <c r="W776" s="55"/>
    </row>
    <row r="777" spans="1:26">
      <c r="A777" s="55">
        <v>45914</v>
      </c>
      <c r="B777" t="s">
        <v>2951</v>
      </c>
      <c r="C777" t="s">
        <v>3006</v>
      </c>
      <c r="D777" t="s">
        <v>125</v>
      </c>
      <c r="E777">
        <v>85260</v>
      </c>
      <c r="F777" t="s">
        <v>3050</v>
      </c>
      <c r="G777" t="s">
        <v>2985</v>
      </c>
      <c r="H777">
        <v>3081131103</v>
      </c>
      <c r="I777" t="s">
        <v>196</v>
      </c>
      <c r="J777" t="s">
        <v>37</v>
      </c>
      <c r="K777" t="s">
        <v>37</v>
      </c>
      <c r="L777" t="s">
        <v>3052</v>
      </c>
      <c r="M777" t="s">
        <v>37</v>
      </c>
      <c r="N777" t="s">
        <v>37</v>
      </c>
      <c r="O777" t="s">
        <v>38</v>
      </c>
      <c r="P777" t="s">
        <v>39</v>
      </c>
      <c r="Q777" s="55">
        <v>45961</v>
      </c>
      <c r="R777" t="s">
        <v>5432</v>
      </c>
      <c r="S777" t="s">
        <v>5432</v>
      </c>
      <c r="T777" t="s">
        <v>5432</v>
      </c>
      <c r="U777" t="s">
        <v>5432</v>
      </c>
      <c r="V777" t="s">
        <v>5433</v>
      </c>
      <c r="W777" s="55">
        <v>45997</v>
      </c>
      <c r="X777" t="s">
        <v>5434</v>
      </c>
      <c r="Z777" t="s">
        <v>5478</v>
      </c>
    </row>
    <row r="778" spans="1:26">
      <c r="A778" s="55">
        <v>45917</v>
      </c>
      <c r="B778" t="s">
        <v>3053</v>
      </c>
      <c r="C778" t="s">
        <v>184</v>
      </c>
      <c r="D778" t="s">
        <v>63</v>
      </c>
      <c r="E778">
        <v>85023</v>
      </c>
      <c r="F778" t="s">
        <v>3054</v>
      </c>
      <c r="G778" t="s">
        <v>3055</v>
      </c>
      <c r="H778">
        <v>5447681797</v>
      </c>
      <c r="I778" t="s">
        <v>196</v>
      </c>
      <c r="J778" t="s">
        <v>37</v>
      </c>
      <c r="K778" t="s">
        <v>37</v>
      </c>
      <c r="L778" t="s">
        <v>3057</v>
      </c>
      <c r="M778" t="s">
        <v>37</v>
      </c>
      <c r="N778" t="s">
        <v>37</v>
      </c>
      <c r="O778" t="s">
        <v>38</v>
      </c>
      <c r="P778">
        <v>45939</v>
      </c>
      <c r="Q778" s="55">
        <v>45961</v>
      </c>
      <c r="R778" t="s">
        <v>2474</v>
      </c>
      <c r="S778" t="s">
        <v>5432</v>
      </c>
      <c r="T778" t="s">
        <v>5432</v>
      </c>
      <c r="U778" t="s">
        <v>5432</v>
      </c>
      <c r="W778" s="55"/>
    </row>
    <row r="779" spans="1:26">
      <c r="A779" s="55">
        <v>45917</v>
      </c>
      <c r="B779" t="s">
        <v>3058</v>
      </c>
      <c r="C779" t="s">
        <v>225</v>
      </c>
      <c r="D779" t="s">
        <v>737</v>
      </c>
      <c r="E779">
        <v>86326</v>
      </c>
      <c r="F779" t="s">
        <v>3059</v>
      </c>
      <c r="G779" t="s">
        <v>3060</v>
      </c>
      <c r="H779">
        <v>1353321000</v>
      </c>
      <c r="I779" t="s">
        <v>36</v>
      </c>
      <c r="J779" t="s">
        <v>37</v>
      </c>
      <c r="K779" t="s">
        <v>37</v>
      </c>
      <c r="L779" t="s">
        <v>38</v>
      </c>
      <c r="M779" t="s">
        <v>37</v>
      </c>
      <c r="N779" t="s">
        <v>37</v>
      </c>
      <c r="O779" t="s">
        <v>38</v>
      </c>
      <c r="P779" t="s">
        <v>39</v>
      </c>
      <c r="Q779" s="55">
        <v>45961</v>
      </c>
      <c r="R779" t="s">
        <v>5432</v>
      </c>
      <c r="S779" t="s">
        <v>5432</v>
      </c>
      <c r="T779" t="s">
        <v>5432</v>
      </c>
      <c r="U779" t="s">
        <v>5432</v>
      </c>
      <c r="W779" s="55"/>
    </row>
    <row r="780" spans="1:26">
      <c r="A780" s="55">
        <v>45917</v>
      </c>
      <c r="B780" t="s">
        <v>3062</v>
      </c>
      <c r="C780" t="s">
        <v>879</v>
      </c>
      <c r="D780" t="s">
        <v>737</v>
      </c>
      <c r="E780">
        <v>86326</v>
      </c>
      <c r="F780" t="s">
        <v>31</v>
      </c>
      <c r="G780" t="s">
        <v>3060</v>
      </c>
      <c r="H780">
        <v>1694440000</v>
      </c>
      <c r="I780" t="s">
        <v>46</v>
      </c>
      <c r="J780" t="s">
        <v>37</v>
      </c>
      <c r="K780" t="s">
        <v>37</v>
      </c>
      <c r="L780" t="s">
        <v>38</v>
      </c>
      <c r="M780" t="s">
        <v>37</v>
      </c>
      <c r="N780" t="s">
        <v>37</v>
      </c>
      <c r="O780" t="s">
        <v>38</v>
      </c>
      <c r="P780" t="s">
        <v>39</v>
      </c>
      <c r="Q780" s="55">
        <v>45961</v>
      </c>
      <c r="R780" t="s">
        <v>5432</v>
      </c>
      <c r="S780" t="s">
        <v>5432</v>
      </c>
      <c r="T780" t="s">
        <v>5432</v>
      </c>
      <c r="U780" t="s">
        <v>5432</v>
      </c>
      <c r="W780" s="55"/>
    </row>
    <row r="781" spans="1:26">
      <c r="A781" s="55">
        <v>45917</v>
      </c>
      <c r="B781" t="s">
        <v>3064</v>
      </c>
      <c r="C781" t="s">
        <v>284</v>
      </c>
      <c r="D781" t="s">
        <v>63</v>
      </c>
      <c r="E781">
        <v>85050</v>
      </c>
      <c r="F781" t="s">
        <v>3065</v>
      </c>
      <c r="G781" t="s">
        <v>3060</v>
      </c>
      <c r="H781">
        <v>5831790000</v>
      </c>
      <c r="I781" t="s">
        <v>36</v>
      </c>
      <c r="J781" t="s">
        <v>37</v>
      </c>
      <c r="K781" t="s">
        <v>37</v>
      </c>
      <c r="L781" t="s">
        <v>38</v>
      </c>
      <c r="M781" t="s">
        <v>37</v>
      </c>
      <c r="N781" t="s">
        <v>37</v>
      </c>
      <c r="O781" t="s">
        <v>38</v>
      </c>
      <c r="P781" t="s">
        <v>39</v>
      </c>
      <c r="Q781" s="55">
        <v>45961</v>
      </c>
      <c r="R781" t="s">
        <v>5432</v>
      </c>
      <c r="S781" t="s">
        <v>5432</v>
      </c>
      <c r="T781" t="s">
        <v>5432</v>
      </c>
      <c r="U781" t="s">
        <v>5432</v>
      </c>
      <c r="V781" t="s">
        <v>5433</v>
      </c>
      <c r="W781" s="55">
        <v>45997</v>
      </c>
      <c r="Z781" t="s">
        <v>5481</v>
      </c>
    </row>
    <row r="782" spans="1:26">
      <c r="A782" s="55">
        <v>45917</v>
      </c>
      <c r="B782" t="s">
        <v>1776</v>
      </c>
      <c r="C782" t="s">
        <v>312</v>
      </c>
      <c r="D782" t="s">
        <v>63</v>
      </c>
      <c r="E782">
        <v>85023</v>
      </c>
      <c r="F782" t="s">
        <v>310</v>
      </c>
      <c r="G782" t="s">
        <v>3055</v>
      </c>
      <c r="H782">
        <v>4572687906</v>
      </c>
      <c r="I782" t="s">
        <v>250</v>
      </c>
      <c r="J782" t="s">
        <v>37</v>
      </c>
      <c r="K782" t="s">
        <v>37</v>
      </c>
      <c r="L782" t="s">
        <v>38</v>
      </c>
      <c r="M782" t="s">
        <v>37</v>
      </c>
      <c r="N782" t="s">
        <v>37</v>
      </c>
      <c r="O782" t="s">
        <v>38</v>
      </c>
      <c r="P782" t="s">
        <v>39</v>
      </c>
      <c r="Q782" s="55">
        <v>45961</v>
      </c>
      <c r="R782" t="s">
        <v>5432</v>
      </c>
      <c r="S782" t="s">
        <v>5432</v>
      </c>
      <c r="T782" t="s">
        <v>5432</v>
      </c>
      <c r="U782" t="s">
        <v>5432</v>
      </c>
      <c r="W782" s="55"/>
    </row>
    <row r="783" spans="1:26">
      <c r="A783" s="55">
        <v>45917</v>
      </c>
      <c r="B783" t="s">
        <v>3068</v>
      </c>
      <c r="C783" t="s">
        <v>3069</v>
      </c>
      <c r="D783" t="s">
        <v>370</v>
      </c>
      <c r="E783">
        <v>85225</v>
      </c>
      <c r="F783" t="s">
        <v>3070</v>
      </c>
      <c r="G783" t="s">
        <v>3071</v>
      </c>
      <c r="H783">
        <v>6651244518</v>
      </c>
      <c r="I783" t="s">
        <v>196</v>
      </c>
      <c r="J783" t="s">
        <v>37</v>
      </c>
      <c r="K783" t="s">
        <v>37</v>
      </c>
      <c r="L783" t="s">
        <v>3073</v>
      </c>
      <c r="M783" t="s">
        <v>37</v>
      </c>
      <c r="N783" t="s">
        <v>37</v>
      </c>
      <c r="O783" t="s">
        <v>38</v>
      </c>
      <c r="P783" t="s">
        <v>5432</v>
      </c>
      <c r="Q783" s="55">
        <v>45961</v>
      </c>
      <c r="R783" t="s">
        <v>3074</v>
      </c>
      <c r="S783" t="s">
        <v>5432</v>
      </c>
      <c r="T783" t="s">
        <v>5432</v>
      </c>
      <c r="U783" t="s">
        <v>5432</v>
      </c>
      <c r="W783" s="55"/>
    </row>
    <row r="784" spans="1:26">
      <c r="A784" s="55">
        <v>45917</v>
      </c>
      <c r="B784" t="s">
        <v>3075</v>
      </c>
      <c r="C784" t="s">
        <v>1815</v>
      </c>
      <c r="D784" t="s">
        <v>125</v>
      </c>
      <c r="E784">
        <v>85257</v>
      </c>
      <c r="F784" t="s">
        <v>3076</v>
      </c>
      <c r="G784" t="s">
        <v>3071</v>
      </c>
      <c r="H784">
        <v>3547350000</v>
      </c>
      <c r="I784" t="s">
        <v>36</v>
      </c>
      <c r="J784" t="s">
        <v>37</v>
      </c>
      <c r="K784" t="s">
        <v>37</v>
      </c>
      <c r="L784" t="s">
        <v>38</v>
      </c>
      <c r="M784" t="s">
        <v>37</v>
      </c>
      <c r="N784" t="s">
        <v>37</v>
      </c>
      <c r="O784" t="s">
        <v>38</v>
      </c>
      <c r="P784" t="s">
        <v>39</v>
      </c>
      <c r="Q784" s="55">
        <v>45961</v>
      </c>
      <c r="R784" t="s">
        <v>5432</v>
      </c>
      <c r="S784" t="s">
        <v>5432</v>
      </c>
      <c r="T784" t="s">
        <v>5432</v>
      </c>
      <c r="U784" t="s">
        <v>5432</v>
      </c>
      <c r="V784" t="s">
        <v>5433</v>
      </c>
      <c r="W784" s="55">
        <v>45997</v>
      </c>
      <c r="Z784" t="s">
        <v>5482</v>
      </c>
    </row>
    <row r="785" spans="1:26">
      <c r="A785" s="55">
        <v>45917</v>
      </c>
      <c r="B785" t="s">
        <v>3078</v>
      </c>
      <c r="C785" t="s">
        <v>2116</v>
      </c>
      <c r="D785" t="s">
        <v>24</v>
      </c>
      <c r="E785">
        <v>85310</v>
      </c>
      <c r="F785" t="s">
        <v>3079</v>
      </c>
      <c r="G785" t="s">
        <v>3071</v>
      </c>
      <c r="H785">
        <v>2613256425</v>
      </c>
      <c r="I785" t="s">
        <v>36</v>
      </c>
      <c r="J785" t="s">
        <v>37</v>
      </c>
      <c r="K785" t="s">
        <v>37</v>
      </c>
      <c r="L785" t="s">
        <v>38</v>
      </c>
      <c r="M785" t="s">
        <v>37</v>
      </c>
      <c r="N785" t="s">
        <v>37</v>
      </c>
      <c r="O785" t="s">
        <v>38</v>
      </c>
      <c r="P785" t="s">
        <v>39</v>
      </c>
      <c r="Q785" s="55">
        <v>45961</v>
      </c>
      <c r="R785" t="s">
        <v>5432</v>
      </c>
      <c r="S785" t="s">
        <v>5432</v>
      </c>
      <c r="T785" t="s">
        <v>5432</v>
      </c>
      <c r="U785" t="s">
        <v>5432</v>
      </c>
      <c r="W785" s="55"/>
    </row>
    <row r="786" spans="1:26">
      <c r="A786" s="55">
        <v>45918</v>
      </c>
      <c r="B786" t="s">
        <v>3081</v>
      </c>
      <c r="C786" t="s">
        <v>548</v>
      </c>
      <c r="D786" t="s">
        <v>169</v>
      </c>
      <c r="E786">
        <v>85338</v>
      </c>
      <c r="F786" t="s">
        <v>3082</v>
      </c>
      <c r="G786" t="s">
        <v>3083</v>
      </c>
      <c r="H786">
        <v>5669951000</v>
      </c>
      <c r="I786" t="s">
        <v>36</v>
      </c>
      <c r="J786" t="s">
        <v>37</v>
      </c>
      <c r="K786" t="s">
        <v>37</v>
      </c>
      <c r="L786" t="s">
        <v>38</v>
      </c>
      <c r="M786" t="s">
        <v>37</v>
      </c>
      <c r="N786" t="s">
        <v>37</v>
      </c>
      <c r="O786" t="s">
        <v>38</v>
      </c>
      <c r="P786" t="s">
        <v>39</v>
      </c>
      <c r="Q786" s="55">
        <v>45961</v>
      </c>
      <c r="R786" t="s">
        <v>5432</v>
      </c>
      <c r="S786" t="s">
        <v>5432</v>
      </c>
      <c r="T786" t="s">
        <v>5432</v>
      </c>
      <c r="U786" t="s">
        <v>5432</v>
      </c>
      <c r="W786" s="55"/>
    </row>
    <row r="787" spans="1:26">
      <c r="A787" s="55">
        <v>45918</v>
      </c>
      <c r="B787" t="s">
        <v>1765</v>
      </c>
      <c r="C787" t="s">
        <v>145</v>
      </c>
      <c r="D787" t="s">
        <v>63</v>
      </c>
      <c r="E787">
        <v>85032</v>
      </c>
      <c r="F787" t="s">
        <v>3088</v>
      </c>
      <c r="G787" t="s">
        <v>3083</v>
      </c>
      <c r="H787">
        <v>1806989657</v>
      </c>
      <c r="I787" t="s">
        <v>196</v>
      </c>
      <c r="J787" t="s">
        <v>37</v>
      </c>
      <c r="K787" t="s">
        <v>37</v>
      </c>
      <c r="L787" t="s">
        <v>38</v>
      </c>
      <c r="M787" t="s">
        <v>37</v>
      </c>
      <c r="N787" t="s">
        <v>37</v>
      </c>
      <c r="O787" t="s">
        <v>38</v>
      </c>
      <c r="P787" t="s">
        <v>39</v>
      </c>
      <c r="Q787" s="55">
        <v>45961</v>
      </c>
      <c r="R787" t="s">
        <v>5432</v>
      </c>
      <c r="S787" t="s">
        <v>5432</v>
      </c>
      <c r="T787" t="s">
        <v>5432</v>
      </c>
      <c r="U787" t="s">
        <v>5432</v>
      </c>
      <c r="V787" t="s">
        <v>5433</v>
      </c>
      <c r="W787" s="55">
        <v>45997</v>
      </c>
      <c r="Z787" t="s">
        <v>5483</v>
      </c>
    </row>
    <row r="788" spans="1:26">
      <c r="A788" s="55">
        <v>45918</v>
      </c>
      <c r="B788" t="s">
        <v>3090</v>
      </c>
      <c r="C788" t="s">
        <v>208</v>
      </c>
      <c r="D788" t="s">
        <v>3091</v>
      </c>
      <c r="E788">
        <v>86032</v>
      </c>
      <c r="F788" t="s">
        <v>3092</v>
      </c>
      <c r="G788" t="s">
        <v>3083</v>
      </c>
      <c r="H788">
        <v>2491806502</v>
      </c>
      <c r="I788" t="s">
        <v>46</v>
      </c>
      <c r="J788" t="s">
        <v>37</v>
      </c>
      <c r="K788" t="s">
        <v>37</v>
      </c>
      <c r="L788" t="s">
        <v>38</v>
      </c>
      <c r="M788" t="s">
        <v>38</v>
      </c>
      <c r="N788">
        <v>361.43</v>
      </c>
      <c r="O788" t="s">
        <v>38</v>
      </c>
      <c r="P788" t="s">
        <v>39</v>
      </c>
      <c r="Q788" s="55">
        <v>45961</v>
      </c>
      <c r="R788" t="s">
        <v>3094</v>
      </c>
      <c r="S788" t="s">
        <v>5432</v>
      </c>
      <c r="T788" t="s">
        <v>5432</v>
      </c>
      <c r="U788" t="s">
        <v>5432</v>
      </c>
      <c r="V788" t="s">
        <v>5433</v>
      </c>
      <c r="W788" s="55">
        <v>45997</v>
      </c>
      <c r="X788" t="s">
        <v>5434</v>
      </c>
      <c r="Z788" t="s">
        <v>5484</v>
      </c>
    </row>
    <row r="789" spans="1:26">
      <c r="A789" s="55">
        <v>45918</v>
      </c>
      <c r="B789" t="s">
        <v>3097</v>
      </c>
      <c r="C789" t="s">
        <v>3098</v>
      </c>
      <c r="D789" t="s">
        <v>174</v>
      </c>
      <c r="E789">
        <v>85396</v>
      </c>
      <c r="F789" t="s">
        <v>3099</v>
      </c>
      <c r="G789" t="s">
        <v>3083</v>
      </c>
      <c r="H789">
        <v>3516164640</v>
      </c>
      <c r="I789" t="s">
        <v>36</v>
      </c>
      <c r="J789" t="s">
        <v>38</v>
      </c>
      <c r="K789" t="s">
        <v>37</v>
      </c>
      <c r="L789" t="s">
        <v>38</v>
      </c>
      <c r="M789" t="s">
        <v>38</v>
      </c>
      <c r="N789">
        <v>2904.39</v>
      </c>
      <c r="O789" t="s">
        <v>38</v>
      </c>
      <c r="P789" t="s">
        <v>5432</v>
      </c>
      <c r="Q789" s="55">
        <v>45961</v>
      </c>
      <c r="R789" t="s">
        <v>3101</v>
      </c>
      <c r="S789" t="s">
        <v>5432</v>
      </c>
      <c r="T789" t="s">
        <v>5432</v>
      </c>
      <c r="U789" t="s">
        <v>5432</v>
      </c>
      <c r="V789" t="s">
        <v>5433</v>
      </c>
      <c r="W789" s="55">
        <v>45997</v>
      </c>
      <c r="X789" t="s">
        <v>5434</v>
      </c>
      <c r="Z789" t="s">
        <v>5483</v>
      </c>
    </row>
    <row r="790" spans="1:26">
      <c r="A790" s="55">
        <v>45918</v>
      </c>
      <c r="B790" t="s">
        <v>2571</v>
      </c>
      <c r="C790" t="s">
        <v>594</v>
      </c>
      <c r="D790" t="s">
        <v>63</v>
      </c>
      <c r="E790">
        <v>85014</v>
      </c>
      <c r="F790" t="s">
        <v>3102</v>
      </c>
      <c r="G790" t="s">
        <v>3083</v>
      </c>
      <c r="H790">
        <v>573685084</v>
      </c>
      <c r="I790" t="s">
        <v>36</v>
      </c>
      <c r="J790" t="s">
        <v>38</v>
      </c>
      <c r="K790" t="s">
        <v>5432</v>
      </c>
      <c r="L790" t="s">
        <v>38</v>
      </c>
      <c r="M790" t="s">
        <v>5432</v>
      </c>
      <c r="N790" t="s">
        <v>5432</v>
      </c>
      <c r="O790" t="s">
        <v>38</v>
      </c>
      <c r="P790" t="s">
        <v>39</v>
      </c>
      <c r="Q790" s="55"/>
      <c r="R790" t="s">
        <v>5432</v>
      </c>
      <c r="S790" t="s">
        <v>5432</v>
      </c>
      <c r="T790" t="s">
        <v>5432</v>
      </c>
      <c r="U790" t="s">
        <v>5432</v>
      </c>
      <c r="W790" s="55"/>
    </row>
    <row r="791" spans="1:26">
      <c r="A791" s="55">
        <v>45918</v>
      </c>
      <c r="B791" t="s">
        <v>3106</v>
      </c>
      <c r="C791" t="s">
        <v>382</v>
      </c>
      <c r="D791" t="s">
        <v>635</v>
      </c>
      <c r="E791">
        <v>85281</v>
      </c>
      <c r="F791" t="s">
        <v>3107</v>
      </c>
      <c r="G791" t="s">
        <v>3083</v>
      </c>
      <c r="H791">
        <v>7420351130</v>
      </c>
      <c r="I791" t="s">
        <v>36</v>
      </c>
      <c r="J791" t="s">
        <v>37</v>
      </c>
      <c r="K791" t="s">
        <v>37</v>
      </c>
      <c r="L791" t="s">
        <v>38</v>
      </c>
      <c r="M791" t="s">
        <v>37</v>
      </c>
      <c r="N791" t="s">
        <v>37</v>
      </c>
      <c r="O791" t="s">
        <v>38</v>
      </c>
      <c r="P791" t="s">
        <v>39</v>
      </c>
      <c r="Q791" s="55">
        <v>45961</v>
      </c>
      <c r="R791" t="s">
        <v>3109</v>
      </c>
      <c r="S791" t="s">
        <v>5432</v>
      </c>
      <c r="T791" t="s">
        <v>5432</v>
      </c>
      <c r="U791" t="s">
        <v>5432</v>
      </c>
      <c r="W791" s="55"/>
    </row>
    <row r="792" spans="1:26">
      <c r="A792" s="55">
        <v>45918</v>
      </c>
      <c r="B792" t="s">
        <v>3110</v>
      </c>
      <c r="C792" t="s">
        <v>1647</v>
      </c>
      <c r="D792" t="s">
        <v>3111</v>
      </c>
      <c r="E792">
        <v>85901</v>
      </c>
      <c r="F792" t="s">
        <v>3112</v>
      </c>
      <c r="G792" t="s">
        <v>3083</v>
      </c>
      <c r="H792">
        <v>7765620000</v>
      </c>
      <c r="I792" t="s">
        <v>73</v>
      </c>
      <c r="J792" t="s">
        <v>37</v>
      </c>
      <c r="K792" t="s">
        <v>37</v>
      </c>
      <c r="L792" t="s">
        <v>38</v>
      </c>
      <c r="M792" t="s">
        <v>37</v>
      </c>
      <c r="N792" t="s">
        <v>37</v>
      </c>
      <c r="O792" t="s">
        <v>38</v>
      </c>
      <c r="P792" t="s">
        <v>39</v>
      </c>
      <c r="Q792" s="55">
        <v>45961</v>
      </c>
      <c r="R792" t="s">
        <v>5432</v>
      </c>
      <c r="S792" t="s">
        <v>5432</v>
      </c>
      <c r="T792" t="s">
        <v>5432</v>
      </c>
      <c r="U792" t="s">
        <v>5432</v>
      </c>
      <c r="W792" s="55"/>
    </row>
    <row r="793" spans="1:26">
      <c r="A793" s="55">
        <v>45918</v>
      </c>
      <c r="B793" t="s">
        <v>3114</v>
      </c>
      <c r="C793" t="s">
        <v>2643</v>
      </c>
      <c r="D793" t="s">
        <v>169</v>
      </c>
      <c r="E793">
        <v>85338</v>
      </c>
      <c r="F793" t="s">
        <v>3115</v>
      </c>
      <c r="G793" t="s">
        <v>3083</v>
      </c>
      <c r="H793">
        <v>9868436686</v>
      </c>
      <c r="I793" t="s">
        <v>126</v>
      </c>
      <c r="J793" t="s">
        <v>37</v>
      </c>
      <c r="K793" t="s">
        <v>37</v>
      </c>
      <c r="L793" t="s">
        <v>38</v>
      </c>
      <c r="M793" t="s">
        <v>37</v>
      </c>
      <c r="N793" t="s">
        <v>37</v>
      </c>
      <c r="O793" t="s">
        <v>38</v>
      </c>
      <c r="P793" t="s">
        <v>39</v>
      </c>
      <c r="Q793" s="55">
        <v>45961</v>
      </c>
      <c r="R793" t="s">
        <v>5432</v>
      </c>
      <c r="S793" t="s">
        <v>5432</v>
      </c>
      <c r="T793" t="s">
        <v>5432</v>
      </c>
      <c r="U793" t="s">
        <v>5432</v>
      </c>
      <c r="W793" s="55"/>
    </row>
    <row r="794" spans="1:26">
      <c r="A794" s="55">
        <v>45918</v>
      </c>
      <c r="B794" t="s">
        <v>3117</v>
      </c>
      <c r="C794" t="s">
        <v>3118</v>
      </c>
      <c r="D794" t="s">
        <v>240</v>
      </c>
      <c r="E794">
        <v>85340</v>
      </c>
      <c r="F794" t="s">
        <v>310</v>
      </c>
      <c r="G794" t="s">
        <v>3083</v>
      </c>
      <c r="H794">
        <v>6906826313</v>
      </c>
      <c r="I794" t="s">
        <v>196</v>
      </c>
      <c r="J794" t="s">
        <v>37</v>
      </c>
      <c r="K794" t="s">
        <v>37</v>
      </c>
      <c r="L794" t="s">
        <v>3120</v>
      </c>
      <c r="M794" t="s">
        <v>37</v>
      </c>
      <c r="N794" t="s">
        <v>37</v>
      </c>
      <c r="O794" t="s">
        <v>38</v>
      </c>
      <c r="P794" t="s">
        <v>39</v>
      </c>
      <c r="Q794" s="55">
        <v>45961</v>
      </c>
      <c r="R794" t="s">
        <v>5432</v>
      </c>
      <c r="S794" t="s">
        <v>5432</v>
      </c>
      <c r="T794" t="s">
        <v>5432</v>
      </c>
      <c r="U794" t="s">
        <v>5432</v>
      </c>
      <c r="W794" s="55"/>
    </row>
    <row r="795" spans="1:26">
      <c r="A795" s="55">
        <v>45918</v>
      </c>
      <c r="B795" t="s">
        <v>3123</v>
      </c>
      <c r="C795" t="s">
        <v>3124</v>
      </c>
      <c r="D795" t="s">
        <v>125</v>
      </c>
      <c r="E795">
        <v>85260</v>
      </c>
      <c r="F795" t="s">
        <v>3125</v>
      </c>
      <c r="G795" t="s">
        <v>3083</v>
      </c>
      <c r="H795">
        <v>6651001000</v>
      </c>
      <c r="I795" t="s">
        <v>126</v>
      </c>
      <c r="J795" t="s">
        <v>37</v>
      </c>
      <c r="K795" t="s">
        <v>37</v>
      </c>
      <c r="L795" t="s">
        <v>38</v>
      </c>
      <c r="M795" t="s">
        <v>37</v>
      </c>
      <c r="N795" t="s">
        <v>37</v>
      </c>
      <c r="O795" t="s">
        <v>38</v>
      </c>
      <c r="P795" t="s">
        <v>39</v>
      </c>
      <c r="Q795" s="55">
        <v>45960</v>
      </c>
      <c r="R795" t="s">
        <v>5432</v>
      </c>
      <c r="S795" t="s">
        <v>5432</v>
      </c>
      <c r="T795" t="s">
        <v>5432</v>
      </c>
      <c r="U795" t="s">
        <v>5432</v>
      </c>
      <c r="W795" s="55"/>
    </row>
    <row r="796" spans="1:26">
      <c r="A796" s="55">
        <v>45918</v>
      </c>
      <c r="B796" t="s">
        <v>3127</v>
      </c>
      <c r="C796" t="s">
        <v>3128</v>
      </c>
      <c r="D796" t="s">
        <v>169</v>
      </c>
      <c r="E796">
        <v>85338</v>
      </c>
      <c r="F796" t="s">
        <v>3129</v>
      </c>
      <c r="G796" t="s">
        <v>3083</v>
      </c>
      <c r="H796">
        <v>454456361</v>
      </c>
      <c r="I796" t="s">
        <v>243</v>
      </c>
      <c r="J796" t="s">
        <v>37</v>
      </c>
      <c r="K796" t="s">
        <v>37</v>
      </c>
      <c r="L796" t="s">
        <v>389</v>
      </c>
      <c r="M796" t="s">
        <v>37</v>
      </c>
      <c r="N796" t="s">
        <v>37</v>
      </c>
      <c r="O796" t="s">
        <v>38</v>
      </c>
      <c r="P796" t="s">
        <v>39</v>
      </c>
      <c r="Q796" s="55">
        <v>45960</v>
      </c>
      <c r="R796" t="s">
        <v>5432</v>
      </c>
      <c r="S796" t="s">
        <v>5432</v>
      </c>
      <c r="T796" t="s">
        <v>5432</v>
      </c>
      <c r="U796" t="s">
        <v>5432</v>
      </c>
      <c r="W796" s="55"/>
    </row>
    <row r="797" spans="1:26">
      <c r="A797" s="55">
        <v>45918</v>
      </c>
      <c r="B797" t="s">
        <v>3131</v>
      </c>
      <c r="C797" t="s">
        <v>3132</v>
      </c>
      <c r="D797" t="s">
        <v>63</v>
      </c>
      <c r="E797">
        <v>85029</v>
      </c>
      <c r="F797" t="s">
        <v>3133</v>
      </c>
      <c r="G797" t="s">
        <v>3083</v>
      </c>
      <c r="H797">
        <v>4738111000</v>
      </c>
      <c r="I797" t="s">
        <v>46</v>
      </c>
      <c r="J797" t="s">
        <v>37</v>
      </c>
      <c r="K797" t="s">
        <v>37</v>
      </c>
      <c r="L797" t="s">
        <v>38</v>
      </c>
      <c r="M797" t="s">
        <v>37</v>
      </c>
      <c r="N797" t="s">
        <v>37</v>
      </c>
      <c r="O797" t="s">
        <v>38</v>
      </c>
      <c r="P797" t="s">
        <v>39</v>
      </c>
      <c r="Q797" s="55">
        <v>45960</v>
      </c>
      <c r="R797" t="s">
        <v>5432</v>
      </c>
      <c r="S797" t="s">
        <v>5432</v>
      </c>
      <c r="T797" t="s">
        <v>5432</v>
      </c>
      <c r="U797" t="s">
        <v>5432</v>
      </c>
      <c r="W797" s="55"/>
    </row>
    <row r="798" spans="1:26">
      <c r="A798" s="55">
        <v>45918</v>
      </c>
      <c r="B798" t="s">
        <v>3135</v>
      </c>
      <c r="C798" t="s">
        <v>548</v>
      </c>
      <c r="D798" t="s">
        <v>63</v>
      </c>
      <c r="E798">
        <v>85053</v>
      </c>
      <c r="F798" t="s">
        <v>3136</v>
      </c>
      <c r="G798" t="s">
        <v>3083</v>
      </c>
      <c r="H798">
        <v>440430000</v>
      </c>
      <c r="I798" t="s">
        <v>36</v>
      </c>
      <c r="J798" t="s">
        <v>37</v>
      </c>
      <c r="K798" t="s">
        <v>37</v>
      </c>
      <c r="L798" t="s">
        <v>38</v>
      </c>
      <c r="M798" t="s">
        <v>37</v>
      </c>
      <c r="N798" t="s">
        <v>37</v>
      </c>
      <c r="O798" t="s">
        <v>38</v>
      </c>
      <c r="P798" t="s">
        <v>39</v>
      </c>
      <c r="Q798" s="55">
        <v>45960</v>
      </c>
      <c r="R798" t="s">
        <v>5432</v>
      </c>
      <c r="S798" t="s">
        <v>5432</v>
      </c>
      <c r="T798" t="s">
        <v>5432</v>
      </c>
      <c r="U798" t="s">
        <v>5432</v>
      </c>
      <c r="W798" s="55"/>
    </row>
    <row r="799" spans="1:26">
      <c r="A799" s="55">
        <v>45918</v>
      </c>
      <c r="B799" t="s">
        <v>3138</v>
      </c>
      <c r="C799" t="s">
        <v>481</v>
      </c>
      <c r="D799" t="s">
        <v>169</v>
      </c>
      <c r="E799">
        <v>85338</v>
      </c>
      <c r="F799" t="s">
        <v>3139</v>
      </c>
      <c r="G799" t="s">
        <v>3083</v>
      </c>
      <c r="H799">
        <v>454456361</v>
      </c>
      <c r="I799" t="s">
        <v>243</v>
      </c>
      <c r="J799" t="s">
        <v>37</v>
      </c>
      <c r="K799" t="s">
        <v>37</v>
      </c>
      <c r="L799" t="s">
        <v>389</v>
      </c>
      <c r="M799" t="s">
        <v>37</v>
      </c>
      <c r="N799" t="s">
        <v>37</v>
      </c>
      <c r="O799" t="s">
        <v>38</v>
      </c>
      <c r="P799" t="s">
        <v>39</v>
      </c>
      <c r="Q799" s="55">
        <v>45960</v>
      </c>
      <c r="R799" t="s">
        <v>5432</v>
      </c>
      <c r="S799" t="s">
        <v>5432</v>
      </c>
      <c r="T799" t="s">
        <v>5432</v>
      </c>
      <c r="U799" t="s">
        <v>5432</v>
      </c>
      <c r="W799" s="55"/>
    </row>
    <row r="800" spans="1:26">
      <c r="A800" s="55">
        <v>45918</v>
      </c>
      <c r="B800" t="s">
        <v>3140</v>
      </c>
      <c r="C800" t="s">
        <v>558</v>
      </c>
      <c r="D800" t="s">
        <v>63</v>
      </c>
      <c r="E800">
        <v>85013</v>
      </c>
      <c r="F800" t="s">
        <v>3141</v>
      </c>
      <c r="G800" t="s">
        <v>3083</v>
      </c>
      <c r="H800">
        <v>4573855715</v>
      </c>
      <c r="I800" t="s">
        <v>196</v>
      </c>
      <c r="J800" t="s">
        <v>37</v>
      </c>
      <c r="K800" t="s">
        <v>37</v>
      </c>
      <c r="L800" t="s">
        <v>3143</v>
      </c>
      <c r="M800" t="s">
        <v>38</v>
      </c>
      <c r="N800">
        <v>349.63</v>
      </c>
      <c r="O800" t="s">
        <v>38</v>
      </c>
      <c r="P800" t="s">
        <v>5432</v>
      </c>
      <c r="Q800" s="55">
        <v>45960</v>
      </c>
      <c r="R800" t="s">
        <v>495</v>
      </c>
      <c r="S800" t="s">
        <v>5432</v>
      </c>
      <c r="T800" t="s">
        <v>5432</v>
      </c>
      <c r="U800" t="s">
        <v>5432</v>
      </c>
      <c r="V800" t="s">
        <v>5433</v>
      </c>
      <c r="W800" s="55">
        <v>45997</v>
      </c>
      <c r="X800" t="s">
        <v>5434</v>
      </c>
      <c r="Z800" t="s">
        <v>5485</v>
      </c>
    </row>
    <row r="801" spans="1:26">
      <c r="A801" s="55">
        <v>45918</v>
      </c>
      <c r="B801" t="s">
        <v>3144</v>
      </c>
      <c r="C801" t="s">
        <v>1198</v>
      </c>
      <c r="D801" t="s">
        <v>125</v>
      </c>
      <c r="E801">
        <v>85260</v>
      </c>
      <c r="F801" t="s">
        <v>3145</v>
      </c>
      <c r="G801" t="s">
        <v>3083</v>
      </c>
      <c r="H801">
        <v>2235600000</v>
      </c>
      <c r="I801" t="s">
        <v>73</v>
      </c>
      <c r="J801" t="s">
        <v>37</v>
      </c>
      <c r="K801" t="s">
        <v>37</v>
      </c>
      <c r="L801" t="s">
        <v>38</v>
      </c>
      <c r="M801" t="s">
        <v>37</v>
      </c>
      <c r="N801" t="s">
        <v>37</v>
      </c>
      <c r="O801" t="s">
        <v>38</v>
      </c>
      <c r="P801" t="s">
        <v>39</v>
      </c>
      <c r="Q801" s="55">
        <v>45960</v>
      </c>
      <c r="R801" t="s">
        <v>5432</v>
      </c>
      <c r="S801" t="s">
        <v>5432</v>
      </c>
      <c r="T801" t="s">
        <v>5432</v>
      </c>
      <c r="U801" t="s">
        <v>5432</v>
      </c>
      <c r="W801" s="55"/>
    </row>
    <row r="802" spans="1:26">
      <c r="A802" s="55">
        <v>45918</v>
      </c>
      <c r="B802" t="s">
        <v>3147</v>
      </c>
      <c r="C802" t="s">
        <v>3148</v>
      </c>
      <c r="D802" t="s">
        <v>174</v>
      </c>
      <c r="E802">
        <v>85396</v>
      </c>
      <c r="F802" t="s">
        <v>3149</v>
      </c>
      <c r="G802" t="s">
        <v>3083</v>
      </c>
      <c r="H802">
        <v>4171727671</v>
      </c>
      <c r="I802" t="s">
        <v>196</v>
      </c>
      <c r="J802" t="s">
        <v>37</v>
      </c>
      <c r="K802" t="s">
        <v>37</v>
      </c>
      <c r="L802" t="s">
        <v>3151</v>
      </c>
      <c r="M802" t="s">
        <v>37</v>
      </c>
      <c r="N802" t="s">
        <v>37</v>
      </c>
      <c r="O802" t="s">
        <v>38</v>
      </c>
      <c r="P802" t="s">
        <v>39</v>
      </c>
      <c r="Q802" s="55">
        <v>45960</v>
      </c>
      <c r="R802" t="s">
        <v>3152</v>
      </c>
      <c r="S802" t="s">
        <v>5432</v>
      </c>
      <c r="T802" t="s">
        <v>5432</v>
      </c>
      <c r="U802" t="s">
        <v>5432</v>
      </c>
      <c r="W802" s="55"/>
    </row>
    <row r="803" spans="1:26">
      <c r="A803" s="55">
        <v>45918</v>
      </c>
      <c r="B803" t="s">
        <v>3153</v>
      </c>
      <c r="C803" t="s">
        <v>252</v>
      </c>
      <c r="D803" t="s">
        <v>240</v>
      </c>
      <c r="E803">
        <v>85340</v>
      </c>
      <c r="F803" t="s">
        <v>3154</v>
      </c>
      <c r="G803" t="s">
        <v>3155</v>
      </c>
      <c r="H803">
        <v>636160358</v>
      </c>
      <c r="I803" t="s">
        <v>73</v>
      </c>
      <c r="J803" t="s">
        <v>37</v>
      </c>
      <c r="K803" t="s">
        <v>37</v>
      </c>
      <c r="L803" t="s">
        <v>1586</v>
      </c>
      <c r="M803" t="s">
        <v>37</v>
      </c>
      <c r="N803" t="s">
        <v>37</v>
      </c>
      <c r="O803" t="s">
        <v>38</v>
      </c>
      <c r="P803" t="s">
        <v>39</v>
      </c>
      <c r="Q803" s="55">
        <v>45960</v>
      </c>
      <c r="R803" t="s">
        <v>5432</v>
      </c>
      <c r="S803" t="s">
        <v>5432</v>
      </c>
      <c r="T803" t="s">
        <v>5432</v>
      </c>
      <c r="U803" t="s">
        <v>5432</v>
      </c>
      <c r="W803" s="55"/>
    </row>
    <row r="804" spans="1:26">
      <c r="A804" s="55">
        <v>45918</v>
      </c>
      <c r="B804" t="s">
        <v>2825</v>
      </c>
      <c r="C804" t="s">
        <v>230</v>
      </c>
      <c r="D804" t="s">
        <v>125</v>
      </c>
      <c r="E804">
        <v>85262</v>
      </c>
      <c r="F804" t="s">
        <v>3159</v>
      </c>
      <c r="G804" t="s">
        <v>3155</v>
      </c>
      <c r="H804">
        <v>2829931000</v>
      </c>
      <c r="I804" t="s">
        <v>1488</v>
      </c>
      <c r="J804" t="s">
        <v>37</v>
      </c>
      <c r="K804" t="s">
        <v>37</v>
      </c>
      <c r="L804" t="s">
        <v>389</v>
      </c>
      <c r="M804" t="s">
        <v>37</v>
      </c>
      <c r="N804" t="s">
        <v>37</v>
      </c>
      <c r="O804" t="s">
        <v>38</v>
      </c>
      <c r="P804" t="s">
        <v>39</v>
      </c>
      <c r="Q804" s="55">
        <v>45960</v>
      </c>
      <c r="R804" t="s">
        <v>5432</v>
      </c>
      <c r="S804" t="s">
        <v>5432</v>
      </c>
      <c r="T804" t="s">
        <v>5432</v>
      </c>
      <c r="U804" t="s">
        <v>5432</v>
      </c>
      <c r="W804" s="55"/>
    </row>
    <row r="805" spans="1:26">
      <c r="A805" s="55">
        <v>45919</v>
      </c>
      <c r="B805" t="s">
        <v>3162</v>
      </c>
      <c r="C805" t="s">
        <v>1444</v>
      </c>
      <c r="D805" t="s">
        <v>63</v>
      </c>
      <c r="E805">
        <v>85032</v>
      </c>
      <c r="F805" t="s">
        <v>3163</v>
      </c>
      <c r="G805" t="s">
        <v>3155</v>
      </c>
      <c r="H805">
        <v>6014831000</v>
      </c>
      <c r="I805" t="s">
        <v>243</v>
      </c>
      <c r="J805" t="s">
        <v>37</v>
      </c>
      <c r="K805" t="s">
        <v>37</v>
      </c>
      <c r="L805" t="s">
        <v>389</v>
      </c>
      <c r="M805" t="s">
        <v>38</v>
      </c>
      <c r="N805">
        <v>719.22</v>
      </c>
      <c r="O805" t="s">
        <v>38</v>
      </c>
      <c r="P805" t="s">
        <v>5432</v>
      </c>
      <c r="Q805" s="55">
        <v>45960</v>
      </c>
      <c r="R805" t="s">
        <v>3165</v>
      </c>
      <c r="S805" t="s">
        <v>5432</v>
      </c>
      <c r="T805" t="s">
        <v>5432</v>
      </c>
      <c r="U805" t="s">
        <v>5432</v>
      </c>
      <c r="W805" s="55">
        <v>45997</v>
      </c>
      <c r="X805" t="s">
        <v>5434</v>
      </c>
      <c r="Z805" t="s">
        <v>5486</v>
      </c>
    </row>
    <row r="806" spans="1:26">
      <c r="A806" s="55">
        <v>45919</v>
      </c>
      <c r="B806" t="s">
        <v>3173</v>
      </c>
      <c r="C806" t="s">
        <v>3075</v>
      </c>
      <c r="D806" t="s">
        <v>428</v>
      </c>
      <c r="E806">
        <v>85335</v>
      </c>
      <c r="F806" t="s">
        <v>3174</v>
      </c>
      <c r="G806" t="s">
        <v>3155</v>
      </c>
      <c r="H806">
        <v>9300806707</v>
      </c>
      <c r="I806" t="s">
        <v>46</v>
      </c>
      <c r="J806" t="s">
        <v>37</v>
      </c>
      <c r="K806" t="s">
        <v>37</v>
      </c>
      <c r="L806" t="s">
        <v>38</v>
      </c>
      <c r="M806" t="s">
        <v>37</v>
      </c>
      <c r="N806" t="s">
        <v>37</v>
      </c>
      <c r="O806" t="s">
        <v>38</v>
      </c>
      <c r="P806" t="s">
        <v>39</v>
      </c>
      <c r="Q806" s="55">
        <v>45960</v>
      </c>
      <c r="R806" t="s">
        <v>5432</v>
      </c>
      <c r="S806" t="s">
        <v>5432</v>
      </c>
      <c r="T806" t="s">
        <v>5432</v>
      </c>
      <c r="U806" t="s">
        <v>5432</v>
      </c>
      <c r="W806" s="55"/>
    </row>
    <row r="807" spans="1:26">
      <c r="A807" s="55">
        <v>45919</v>
      </c>
      <c r="B807" t="s">
        <v>3176</v>
      </c>
      <c r="C807" t="s">
        <v>1475</v>
      </c>
      <c r="D807" t="s">
        <v>24</v>
      </c>
      <c r="E807">
        <v>85310</v>
      </c>
      <c r="F807" t="s">
        <v>3177</v>
      </c>
      <c r="G807" t="s">
        <v>3155</v>
      </c>
      <c r="H807">
        <v>3389991021</v>
      </c>
      <c r="I807" t="s">
        <v>46</v>
      </c>
      <c r="J807" t="s">
        <v>37</v>
      </c>
      <c r="K807" t="s">
        <v>37</v>
      </c>
      <c r="L807" t="s">
        <v>3179</v>
      </c>
      <c r="M807" t="s">
        <v>37</v>
      </c>
      <c r="N807" t="s">
        <v>37</v>
      </c>
      <c r="O807" t="s">
        <v>38</v>
      </c>
      <c r="P807">
        <v>45940</v>
      </c>
      <c r="Q807" s="55">
        <v>45960</v>
      </c>
      <c r="R807" t="s">
        <v>3180</v>
      </c>
      <c r="S807" t="s">
        <v>5432</v>
      </c>
      <c r="T807" t="s">
        <v>5432</v>
      </c>
      <c r="U807" t="s">
        <v>5432</v>
      </c>
      <c r="V807" t="s">
        <v>5433</v>
      </c>
      <c r="W807" s="55">
        <v>45997</v>
      </c>
      <c r="X807" t="s">
        <v>5434</v>
      </c>
      <c r="Z807" t="s">
        <v>5486</v>
      </c>
    </row>
    <row r="808" spans="1:26">
      <c r="A808" s="55">
        <v>45919</v>
      </c>
      <c r="B808" t="s">
        <v>3181</v>
      </c>
      <c r="C808" t="s">
        <v>3182</v>
      </c>
      <c r="D808" t="s">
        <v>3183</v>
      </c>
      <c r="E808">
        <v>85306</v>
      </c>
      <c r="F808" t="s">
        <v>3184</v>
      </c>
      <c r="G808" t="s">
        <v>3155</v>
      </c>
      <c r="H808">
        <v>2219505228</v>
      </c>
      <c r="I808" t="s">
        <v>250</v>
      </c>
      <c r="J808" t="s">
        <v>37</v>
      </c>
      <c r="K808" t="s">
        <v>37</v>
      </c>
      <c r="L808" t="s">
        <v>38</v>
      </c>
      <c r="M808" t="s">
        <v>37</v>
      </c>
      <c r="N808" t="s">
        <v>37</v>
      </c>
      <c r="O808" t="s">
        <v>38</v>
      </c>
      <c r="P808" t="s">
        <v>39</v>
      </c>
      <c r="Q808" s="55">
        <v>45960</v>
      </c>
      <c r="R808" t="s">
        <v>5432</v>
      </c>
      <c r="S808" t="s">
        <v>5432</v>
      </c>
      <c r="T808" t="s">
        <v>5432</v>
      </c>
      <c r="U808" t="s">
        <v>5432</v>
      </c>
      <c r="W808" s="55"/>
    </row>
    <row r="809" spans="1:26">
      <c r="A809" s="55">
        <v>45919</v>
      </c>
      <c r="B809" t="s">
        <v>3186</v>
      </c>
      <c r="C809" t="s">
        <v>3187</v>
      </c>
      <c r="D809" t="s">
        <v>202</v>
      </c>
      <c r="E809">
        <v>85345</v>
      </c>
      <c r="F809" t="s">
        <v>3188</v>
      </c>
      <c r="G809" t="s">
        <v>3189</v>
      </c>
      <c r="H809">
        <v>4591969515</v>
      </c>
      <c r="I809" t="s">
        <v>126</v>
      </c>
      <c r="J809" t="s">
        <v>37</v>
      </c>
      <c r="K809" t="s">
        <v>37</v>
      </c>
      <c r="L809" t="s">
        <v>38</v>
      </c>
      <c r="M809" t="s">
        <v>37</v>
      </c>
      <c r="N809" t="s">
        <v>37</v>
      </c>
      <c r="O809" t="s">
        <v>38</v>
      </c>
      <c r="P809" t="s">
        <v>39</v>
      </c>
      <c r="Q809" s="55">
        <v>45960</v>
      </c>
      <c r="R809" t="s">
        <v>5432</v>
      </c>
      <c r="S809" t="s">
        <v>5432</v>
      </c>
      <c r="T809" t="s">
        <v>5432</v>
      </c>
      <c r="U809" t="s">
        <v>5432</v>
      </c>
      <c r="W809" s="55"/>
    </row>
    <row r="810" spans="1:26">
      <c r="A810" s="55">
        <v>45919</v>
      </c>
      <c r="B810" t="s">
        <v>3191</v>
      </c>
      <c r="C810" t="s">
        <v>2454</v>
      </c>
      <c r="D810" t="s">
        <v>3192</v>
      </c>
      <c r="E810">
        <v>85253</v>
      </c>
      <c r="F810" t="s">
        <v>3193</v>
      </c>
      <c r="G810" t="s">
        <v>3189</v>
      </c>
      <c r="H810">
        <v>9097961505</v>
      </c>
      <c r="I810" t="s">
        <v>36</v>
      </c>
      <c r="J810" t="s">
        <v>37</v>
      </c>
      <c r="K810" t="s">
        <v>37</v>
      </c>
      <c r="L810" t="s">
        <v>38</v>
      </c>
      <c r="M810" t="s">
        <v>37</v>
      </c>
      <c r="N810" t="s">
        <v>37</v>
      </c>
      <c r="O810" t="s">
        <v>38</v>
      </c>
      <c r="P810" t="s">
        <v>39</v>
      </c>
      <c r="Q810" s="55">
        <v>45960</v>
      </c>
      <c r="R810" t="s">
        <v>5432</v>
      </c>
      <c r="S810" t="s">
        <v>5432</v>
      </c>
      <c r="T810" t="s">
        <v>5432</v>
      </c>
      <c r="U810" t="s">
        <v>5432</v>
      </c>
      <c r="W810" s="55"/>
    </row>
    <row r="811" spans="1:26">
      <c r="A811" s="55">
        <v>45919</v>
      </c>
      <c r="B811" t="s">
        <v>3195</v>
      </c>
      <c r="C811" t="s">
        <v>312</v>
      </c>
      <c r="D811" t="s">
        <v>448</v>
      </c>
      <c r="E811">
        <v>85361</v>
      </c>
      <c r="F811" t="s">
        <v>3196</v>
      </c>
      <c r="G811" t="s">
        <v>3189</v>
      </c>
      <c r="H811">
        <v>3630760766</v>
      </c>
      <c r="I811" t="s">
        <v>73</v>
      </c>
      <c r="J811" t="s">
        <v>37</v>
      </c>
      <c r="K811" t="s">
        <v>37</v>
      </c>
      <c r="L811" t="s">
        <v>38</v>
      </c>
      <c r="M811" t="s">
        <v>37</v>
      </c>
      <c r="N811" t="s">
        <v>37</v>
      </c>
      <c r="O811" t="s">
        <v>38</v>
      </c>
      <c r="P811" t="s">
        <v>39</v>
      </c>
      <c r="Q811" s="55">
        <v>45960</v>
      </c>
      <c r="R811" t="s">
        <v>5432</v>
      </c>
      <c r="S811" t="s">
        <v>5432</v>
      </c>
      <c r="T811" t="s">
        <v>5432</v>
      </c>
      <c r="U811" t="s">
        <v>5432</v>
      </c>
      <c r="W811" s="55"/>
    </row>
    <row r="812" spans="1:26">
      <c r="A812" s="55">
        <v>45919</v>
      </c>
      <c r="B812" t="s">
        <v>930</v>
      </c>
      <c r="C812" t="s">
        <v>3200</v>
      </c>
      <c r="D812" t="s">
        <v>112</v>
      </c>
      <c r="E812">
        <v>85379</v>
      </c>
      <c r="F812" t="s">
        <v>3201</v>
      </c>
      <c r="G812" t="s">
        <v>3189</v>
      </c>
      <c r="H812">
        <v>9308190000</v>
      </c>
      <c r="I812" t="s">
        <v>418</v>
      </c>
      <c r="J812" t="s">
        <v>37</v>
      </c>
      <c r="K812" t="s">
        <v>37</v>
      </c>
      <c r="L812" t="s">
        <v>389</v>
      </c>
      <c r="M812" t="s">
        <v>37</v>
      </c>
      <c r="N812" t="s">
        <v>37</v>
      </c>
      <c r="O812" t="s">
        <v>38</v>
      </c>
      <c r="P812" t="s">
        <v>39</v>
      </c>
      <c r="Q812" s="55">
        <v>45960</v>
      </c>
      <c r="R812" t="s">
        <v>2565</v>
      </c>
      <c r="S812" t="s">
        <v>5432</v>
      </c>
      <c r="T812" t="s">
        <v>5432</v>
      </c>
      <c r="U812" t="s">
        <v>5432</v>
      </c>
      <c r="W812" s="55"/>
    </row>
    <row r="813" spans="1:26">
      <c r="A813" s="55">
        <v>45919</v>
      </c>
      <c r="B813" t="s">
        <v>3207</v>
      </c>
      <c r="C813" t="s">
        <v>3208</v>
      </c>
      <c r="D813" t="s">
        <v>63</v>
      </c>
      <c r="E813">
        <v>85027</v>
      </c>
      <c r="F813" t="s">
        <v>3209</v>
      </c>
      <c r="G813" t="s">
        <v>3189</v>
      </c>
      <c r="H813">
        <v>3083620000</v>
      </c>
      <c r="I813" t="s">
        <v>418</v>
      </c>
      <c r="J813" t="s">
        <v>37</v>
      </c>
      <c r="K813" t="s">
        <v>37</v>
      </c>
      <c r="L813" t="s">
        <v>389</v>
      </c>
      <c r="M813" t="s">
        <v>37</v>
      </c>
      <c r="N813" t="s">
        <v>37</v>
      </c>
      <c r="O813" t="s">
        <v>38</v>
      </c>
      <c r="P813" t="s">
        <v>39</v>
      </c>
      <c r="Q813" s="55">
        <v>45960</v>
      </c>
      <c r="R813" t="s">
        <v>5432</v>
      </c>
      <c r="S813" t="s">
        <v>5432</v>
      </c>
      <c r="T813" t="s">
        <v>5432</v>
      </c>
      <c r="U813" t="s">
        <v>5432</v>
      </c>
      <c r="W813" s="55"/>
    </row>
    <row r="814" spans="1:26">
      <c r="A814" s="55">
        <v>45919</v>
      </c>
      <c r="B814" t="s">
        <v>3211</v>
      </c>
      <c r="C814" t="s">
        <v>3212</v>
      </c>
      <c r="D814" t="s">
        <v>202</v>
      </c>
      <c r="E814">
        <v>85382</v>
      </c>
      <c r="F814" t="s">
        <v>3213</v>
      </c>
      <c r="G814" t="s">
        <v>3189</v>
      </c>
      <c r="H814">
        <v>7002436554</v>
      </c>
      <c r="I814" t="s">
        <v>250</v>
      </c>
      <c r="J814" t="s">
        <v>37</v>
      </c>
      <c r="K814" t="s">
        <v>37</v>
      </c>
      <c r="L814" t="s">
        <v>38</v>
      </c>
      <c r="M814" t="s">
        <v>37</v>
      </c>
      <c r="N814" t="s">
        <v>37</v>
      </c>
      <c r="O814" t="s">
        <v>38</v>
      </c>
      <c r="P814" t="s">
        <v>39</v>
      </c>
      <c r="Q814" s="55">
        <v>45960</v>
      </c>
      <c r="R814" t="s">
        <v>5432</v>
      </c>
      <c r="S814" t="s">
        <v>5432</v>
      </c>
      <c r="T814" t="s">
        <v>5432</v>
      </c>
      <c r="U814" t="s">
        <v>5432</v>
      </c>
      <c r="W814" s="55"/>
    </row>
    <row r="815" spans="1:26">
      <c r="A815" s="55">
        <v>45919</v>
      </c>
      <c r="B815" t="s">
        <v>3215</v>
      </c>
      <c r="C815" t="s">
        <v>717</v>
      </c>
      <c r="D815" t="s">
        <v>125</v>
      </c>
      <c r="E815">
        <v>85254</v>
      </c>
      <c r="F815" t="s">
        <v>3216</v>
      </c>
      <c r="G815" t="s">
        <v>3189</v>
      </c>
      <c r="H815">
        <v>355361000</v>
      </c>
      <c r="I815" t="s">
        <v>36</v>
      </c>
      <c r="J815" t="s">
        <v>37</v>
      </c>
      <c r="K815" t="s">
        <v>37</v>
      </c>
      <c r="L815" t="s">
        <v>38</v>
      </c>
      <c r="M815" t="s">
        <v>37</v>
      </c>
      <c r="N815" t="s">
        <v>37</v>
      </c>
      <c r="O815" t="s">
        <v>38</v>
      </c>
      <c r="P815" t="s">
        <v>39</v>
      </c>
      <c r="Q815" s="55">
        <v>45960</v>
      </c>
      <c r="R815" t="s">
        <v>5432</v>
      </c>
      <c r="S815" t="s">
        <v>5432</v>
      </c>
      <c r="T815" t="s">
        <v>5432</v>
      </c>
      <c r="U815" t="s">
        <v>5432</v>
      </c>
      <c r="W815" s="55"/>
    </row>
    <row r="816" spans="1:26">
      <c r="A816" s="55">
        <v>45919</v>
      </c>
      <c r="B816" t="s">
        <v>3218</v>
      </c>
      <c r="C816" t="s">
        <v>3219</v>
      </c>
      <c r="D816" t="s">
        <v>169</v>
      </c>
      <c r="E816">
        <v>85338</v>
      </c>
      <c r="F816" t="s">
        <v>3220</v>
      </c>
      <c r="G816" t="s">
        <v>3189</v>
      </c>
      <c r="H816">
        <v>3392630000</v>
      </c>
      <c r="I816" t="s">
        <v>36</v>
      </c>
      <c r="J816" t="s">
        <v>37</v>
      </c>
      <c r="K816" t="s">
        <v>37</v>
      </c>
      <c r="L816" t="s">
        <v>38</v>
      </c>
      <c r="M816" t="s">
        <v>38</v>
      </c>
      <c r="N816">
        <v>747.64</v>
      </c>
      <c r="O816" t="s">
        <v>38</v>
      </c>
      <c r="P816" t="s">
        <v>5432</v>
      </c>
      <c r="Q816" s="55">
        <v>45960</v>
      </c>
      <c r="R816" t="s">
        <v>495</v>
      </c>
      <c r="S816" t="s">
        <v>5432</v>
      </c>
      <c r="T816" t="s">
        <v>5432</v>
      </c>
      <c r="U816" t="s">
        <v>5432</v>
      </c>
      <c r="V816" t="s">
        <v>5433</v>
      </c>
      <c r="W816" s="55">
        <v>45997</v>
      </c>
      <c r="Z816" t="s">
        <v>5487</v>
      </c>
    </row>
    <row r="817" spans="1:26">
      <c r="A817" s="55">
        <v>45919</v>
      </c>
      <c r="B817" t="s">
        <v>3222</v>
      </c>
      <c r="C817" t="s">
        <v>597</v>
      </c>
      <c r="D817" t="s">
        <v>169</v>
      </c>
      <c r="E817">
        <v>85338</v>
      </c>
      <c r="F817" t="s">
        <v>3169</v>
      </c>
      <c r="G817" t="s">
        <v>3189</v>
      </c>
      <c r="H817">
        <v>5316089188</v>
      </c>
      <c r="I817" t="s">
        <v>126</v>
      </c>
      <c r="J817" t="s">
        <v>37</v>
      </c>
      <c r="K817" t="s">
        <v>37</v>
      </c>
      <c r="L817" t="s">
        <v>3224</v>
      </c>
      <c r="M817" t="s">
        <v>37</v>
      </c>
      <c r="N817" t="s">
        <v>37</v>
      </c>
      <c r="O817" t="s">
        <v>38</v>
      </c>
      <c r="P817" t="s">
        <v>39</v>
      </c>
      <c r="Q817" s="55">
        <v>45960</v>
      </c>
      <c r="R817" t="s">
        <v>3225</v>
      </c>
      <c r="S817" t="s">
        <v>5432</v>
      </c>
      <c r="T817" t="s">
        <v>5432</v>
      </c>
      <c r="U817" t="s">
        <v>5432</v>
      </c>
      <c r="V817" t="s">
        <v>5433</v>
      </c>
      <c r="W817" s="55">
        <v>45997</v>
      </c>
      <c r="X817" t="s">
        <v>5434</v>
      </c>
      <c r="Z817" t="s">
        <v>5488</v>
      </c>
    </row>
    <row r="818" spans="1:26">
      <c r="A818" s="55">
        <v>45919</v>
      </c>
      <c r="B818" t="s">
        <v>3228</v>
      </c>
      <c r="C818" t="s">
        <v>334</v>
      </c>
      <c r="D818" t="s">
        <v>30</v>
      </c>
      <c r="E818" t="s">
        <v>30</v>
      </c>
      <c r="F818" t="s">
        <v>3229</v>
      </c>
      <c r="G818" t="s">
        <v>3189</v>
      </c>
      <c r="H818">
        <v>9129688999</v>
      </c>
      <c r="I818" t="s">
        <v>418</v>
      </c>
      <c r="J818" t="s">
        <v>37</v>
      </c>
      <c r="K818" t="s">
        <v>37</v>
      </c>
      <c r="L818" t="s">
        <v>389</v>
      </c>
      <c r="M818" t="s">
        <v>37</v>
      </c>
      <c r="N818" t="s">
        <v>37</v>
      </c>
      <c r="O818" t="s">
        <v>38</v>
      </c>
      <c r="P818" t="s">
        <v>39</v>
      </c>
      <c r="Q818" s="55">
        <v>45960</v>
      </c>
      <c r="R818" t="s">
        <v>5432</v>
      </c>
      <c r="S818" t="s">
        <v>5432</v>
      </c>
      <c r="T818" t="s">
        <v>5432</v>
      </c>
      <c r="U818" t="s">
        <v>5432</v>
      </c>
      <c r="V818" t="s">
        <v>5433</v>
      </c>
      <c r="W818" s="55">
        <v>45997</v>
      </c>
      <c r="Z818" t="s">
        <v>5489</v>
      </c>
    </row>
    <row r="819" spans="1:26">
      <c r="A819" s="55">
        <v>45919</v>
      </c>
      <c r="B819" t="s">
        <v>3231</v>
      </c>
      <c r="C819" t="s">
        <v>529</v>
      </c>
      <c r="D819" t="s">
        <v>63</v>
      </c>
      <c r="E819">
        <v>85032</v>
      </c>
      <c r="F819" t="s">
        <v>31</v>
      </c>
      <c r="G819" t="s">
        <v>3189</v>
      </c>
      <c r="H819">
        <v>1326918238</v>
      </c>
      <c r="I819" t="s">
        <v>418</v>
      </c>
      <c r="J819" t="s">
        <v>37</v>
      </c>
      <c r="K819" t="s">
        <v>37</v>
      </c>
      <c r="L819" t="s">
        <v>389</v>
      </c>
      <c r="M819" t="s">
        <v>37</v>
      </c>
      <c r="N819" t="s">
        <v>37</v>
      </c>
      <c r="O819" t="s">
        <v>38</v>
      </c>
      <c r="P819" t="s">
        <v>39</v>
      </c>
      <c r="Q819" s="55">
        <v>45960</v>
      </c>
      <c r="R819" t="s">
        <v>5432</v>
      </c>
      <c r="S819" t="s">
        <v>5432</v>
      </c>
      <c r="T819" t="s">
        <v>5432</v>
      </c>
      <c r="U819" t="s">
        <v>5432</v>
      </c>
      <c r="W819" s="55"/>
    </row>
    <row r="820" spans="1:26">
      <c r="A820" s="55">
        <v>45919</v>
      </c>
      <c r="B820" t="s">
        <v>3233</v>
      </c>
      <c r="C820" t="s">
        <v>611</v>
      </c>
      <c r="D820" t="s">
        <v>63</v>
      </c>
      <c r="E820">
        <v>85022</v>
      </c>
      <c r="F820" t="s">
        <v>3234</v>
      </c>
      <c r="G820" t="s">
        <v>3189</v>
      </c>
      <c r="H820">
        <v>6830451000</v>
      </c>
      <c r="I820" t="s">
        <v>36</v>
      </c>
      <c r="J820" t="s">
        <v>37</v>
      </c>
      <c r="K820" t="s">
        <v>37</v>
      </c>
      <c r="L820" t="s">
        <v>38</v>
      </c>
      <c r="M820" t="s">
        <v>37</v>
      </c>
      <c r="N820" t="s">
        <v>37</v>
      </c>
      <c r="O820" t="s">
        <v>38</v>
      </c>
      <c r="P820" t="s">
        <v>39</v>
      </c>
      <c r="Q820" s="55">
        <v>45960</v>
      </c>
      <c r="R820" t="s">
        <v>5432</v>
      </c>
      <c r="S820" t="s">
        <v>5432</v>
      </c>
      <c r="T820" t="s">
        <v>5432</v>
      </c>
      <c r="U820" t="s">
        <v>5432</v>
      </c>
      <c r="W820" s="55"/>
    </row>
    <row r="821" spans="1:26">
      <c r="A821" s="55">
        <v>45919</v>
      </c>
      <c r="B821" t="s">
        <v>3236</v>
      </c>
      <c r="C821" t="s">
        <v>3237</v>
      </c>
      <c r="D821" t="s">
        <v>816</v>
      </c>
      <c r="E821">
        <v>86303</v>
      </c>
      <c r="F821" t="s">
        <v>3238</v>
      </c>
      <c r="G821" t="s">
        <v>3189</v>
      </c>
      <c r="H821">
        <v>9727210000</v>
      </c>
      <c r="I821" t="s">
        <v>126</v>
      </c>
      <c r="J821" t="s">
        <v>37</v>
      </c>
      <c r="K821" t="s">
        <v>37</v>
      </c>
      <c r="L821" t="s">
        <v>38</v>
      </c>
      <c r="M821" t="s">
        <v>37</v>
      </c>
      <c r="N821" t="s">
        <v>37</v>
      </c>
      <c r="O821" t="s">
        <v>38</v>
      </c>
      <c r="P821" t="s">
        <v>39</v>
      </c>
      <c r="Q821" s="55">
        <v>45960</v>
      </c>
      <c r="R821" t="s">
        <v>5432</v>
      </c>
      <c r="S821" t="s">
        <v>5432</v>
      </c>
      <c r="T821" t="s">
        <v>5432</v>
      </c>
      <c r="U821" t="s">
        <v>5432</v>
      </c>
      <c r="V821" t="s">
        <v>5433</v>
      </c>
      <c r="W821" s="55">
        <v>45997</v>
      </c>
      <c r="Z821" t="s">
        <v>5490</v>
      </c>
    </row>
    <row r="822" spans="1:26">
      <c r="A822" s="55">
        <v>45919</v>
      </c>
      <c r="B822" t="s">
        <v>3241</v>
      </c>
      <c r="C822" t="s">
        <v>1423</v>
      </c>
      <c r="D822" t="s">
        <v>125</v>
      </c>
      <c r="E822">
        <v>85260</v>
      </c>
      <c r="F822" t="s">
        <v>3242</v>
      </c>
      <c r="G822" t="s">
        <v>2563</v>
      </c>
      <c r="H822">
        <v>4021850045</v>
      </c>
      <c r="I822" t="s">
        <v>36</v>
      </c>
      <c r="J822" t="s">
        <v>37</v>
      </c>
      <c r="K822" t="s">
        <v>37</v>
      </c>
      <c r="L822" t="s">
        <v>1586</v>
      </c>
      <c r="M822" t="s">
        <v>37</v>
      </c>
      <c r="N822" t="s">
        <v>37</v>
      </c>
      <c r="O822" t="s">
        <v>38</v>
      </c>
      <c r="P822" t="s">
        <v>39</v>
      </c>
      <c r="Q822" s="55">
        <v>45960</v>
      </c>
      <c r="R822" t="s">
        <v>5432</v>
      </c>
      <c r="S822" t="s">
        <v>5432</v>
      </c>
      <c r="T822" t="s">
        <v>5432</v>
      </c>
      <c r="U822" t="s">
        <v>5432</v>
      </c>
      <c r="W822" s="55"/>
    </row>
    <row r="823" spans="1:26">
      <c r="A823" s="55">
        <v>45919</v>
      </c>
      <c r="B823" t="s">
        <v>3244</v>
      </c>
      <c r="C823" t="s">
        <v>3245</v>
      </c>
      <c r="D823" t="s">
        <v>63</v>
      </c>
      <c r="E823">
        <v>85013</v>
      </c>
      <c r="F823" t="s">
        <v>3246</v>
      </c>
      <c r="G823" t="s">
        <v>2563</v>
      </c>
      <c r="H823">
        <v>823076351</v>
      </c>
      <c r="I823" t="s">
        <v>36</v>
      </c>
      <c r="J823" t="s">
        <v>37</v>
      </c>
      <c r="K823" t="s">
        <v>37</v>
      </c>
      <c r="L823" t="s">
        <v>1586</v>
      </c>
      <c r="M823" t="s">
        <v>37</v>
      </c>
      <c r="N823" t="s">
        <v>37</v>
      </c>
      <c r="O823" t="s">
        <v>38</v>
      </c>
      <c r="P823" t="s">
        <v>39</v>
      </c>
      <c r="Q823" s="55">
        <v>45960</v>
      </c>
      <c r="R823" t="s">
        <v>3248</v>
      </c>
      <c r="S823" t="s">
        <v>5432</v>
      </c>
      <c r="T823" t="s">
        <v>5432</v>
      </c>
      <c r="U823" t="s">
        <v>5432</v>
      </c>
      <c r="W823" s="55"/>
    </row>
    <row r="824" spans="1:26">
      <c r="A824" s="55">
        <v>45919</v>
      </c>
      <c r="B824" t="s">
        <v>2561</v>
      </c>
      <c r="C824" t="s">
        <v>2562</v>
      </c>
      <c r="D824" t="s">
        <v>112</v>
      </c>
      <c r="E824">
        <v>85388</v>
      </c>
      <c r="F824" t="s">
        <v>310</v>
      </c>
      <c r="G824" t="s">
        <v>2563</v>
      </c>
      <c r="H824">
        <v>2291912909</v>
      </c>
      <c r="I824" t="s">
        <v>46</v>
      </c>
      <c r="J824" t="s">
        <v>37</v>
      </c>
      <c r="K824" t="s">
        <v>37</v>
      </c>
      <c r="L824" t="s">
        <v>1586</v>
      </c>
      <c r="M824" t="s">
        <v>37</v>
      </c>
      <c r="N824" t="s">
        <v>37</v>
      </c>
      <c r="O824" t="s">
        <v>38</v>
      </c>
      <c r="P824" t="s">
        <v>39</v>
      </c>
      <c r="Q824" s="55">
        <v>45960</v>
      </c>
      <c r="R824" t="s">
        <v>5432</v>
      </c>
      <c r="S824" t="s">
        <v>5432</v>
      </c>
      <c r="T824" t="s">
        <v>5432</v>
      </c>
      <c r="U824" t="s">
        <v>5432</v>
      </c>
      <c r="W824" s="55"/>
    </row>
    <row r="825" spans="1:26">
      <c r="A825" s="55">
        <v>45919</v>
      </c>
      <c r="B825" t="s">
        <v>3252</v>
      </c>
      <c r="C825" t="s">
        <v>1354</v>
      </c>
      <c r="D825" t="s">
        <v>112</v>
      </c>
      <c r="E825">
        <v>85374</v>
      </c>
      <c r="F825" t="s">
        <v>3253</v>
      </c>
      <c r="G825" t="s">
        <v>2563</v>
      </c>
      <c r="H825">
        <v>3159030000</v>
      </c>
      <c r="I825" t="s">
        <v>36</v>
      </c>
      <c r="J825" t="s">
        <v>37</v>
      </c>
      <c r="K825" t="s">
        <v>37</v>
      </c>
      <c r="L825" t="s">
        <v>1586</v>
      </c>
      <c r="M825" t="s">
        <v>37</v>
      </c>
      <c r="N825" t="s">
        <v>37</v>
      </c>
      <c r="O825" t="s">
        <v>38</v>
      </c>
      <c r="P825" t="s">
        <v>39</v>
      </c>
      <c r="Q825" s="55">
        <v>45960</v>
      </c>
      <c r="R825" t="s">
        <v>5432</v>
      </c>
      <c r="S825" t="s">
        <v>5432</v>
      </c>
      <c r="T825" t="s">
        <v>5432</v>
      </c>
      <c r="U825" t="s">
        <v>5432</v>
      </c>
      <c r="W825" s="55"/>
    </row>
    <row r="826" spans="1:26">
      <c r="A826" s="55">
        <v>45921</v>
      </c>
      <c r="B826" t="s">
        <v>3258</v>
      </c>
      <c r="C826" t="s">
        <v>194</v>
      </c>
      <c r="D826" t="s">
        <v>635</v>
      </c>
      <c r="E826">
        <v>85281</v>
      </c>
      <c r="F826" t="s">
        <v>3259</v>
      </c>
      <c r="G826" t="s">
        <v>2563</v>
      </c>
      <c r="H826">
        <v>1450385073</v>
      </c>
      <c r="I826" t="s">
        <v>36</v>
      </c>
      <c r="J826" t="s">
        <v>37</v>
      </c>
      <c r="K826" t="s">
        <v>37</v>
      </c>
      <c r="L826" t="s">
        <v>401</v>
      </c>
      <c r="M826" t="s">
        <v>37</v>
      </c>
      <c r="N826" t="s">
        <v>37</v>
      </c>
      <c r="O826" t="s">
        <v>38</v>
      </c>
      <c r="P826" t="s">
        <v>39</v>
      </c>
      <c r="Q826" s="55">
        <v>45960</v>
      </c>
      <c r="R826" t="s">
        <v>5432</v>
      </c>
      <c r="S826" t="s">
        <v>5432</v>
      </c>
      <c r="T826" t="s">
        <v>5432</v>
      </c>
      <c r="U826" t="s">
        <v>5432</v>
      </c>
      <c r="W826" s="55"/>
    </row>
    <row r="827" spans="1:26">
      <c r="A827" s="55">
        <v>45922</v>
      </c>
      <c r="B827" t="s">
        <v>3265</v>
      </c>
      <c r="C827" t="s">
        <v>548</v>
      </c>
      <c r="D827" t="s">
        <v>129</v>
      </c>
      <c r="E827">
        <v>85296</v>
      </c>
      <c r="F827" t="s">
        <v>3266</v>
      </c>
      <c r="G827" t="s">
        <v>2563</v>
      </c>
      <c r="H827">
        <v>4978619668</v>
      </c>
      <c r="I827" t="s">
        <v>36</v>
      </c>
      <c r="J827" t="s">
        <v>37</v>
      </c>
      <c r="K827" t="s">
        <v>37</v>
      </c>
      <c r="L827" t="s">
        <v>1586</v>
      </c>
      <c r="M827" t="s">
        <v>38</v>
      </c>
      <c r="N827">
        <v>507.13</v>
      </c>
      <c r="O827" t="s">
        <v>38</v>
      </c>
      <c r="P827" t="s">
        <v>5432</v>
      </c>
      <c r="Q827" s="55">
        <v>45960</v>
      </c>
      <c r="R827" t="s">
        <v>495</v>
      </c>
      <c r="S827" t="s">
        <v>5432</v>
      </c>
      <c r="T827" t="s">
        <v>5432</v>
      </c>
      <c r="U827" t="s">
        <v>5432</v>
      </c>
      <c r="W827" s="55"/>
    </row>
    <row r="828" spans="1:26">
      <c r="A828" s="55">
        <v>45922</v>
      </c>
      <c r="B828" t="s">
        <v>3268</v>
      </c>
      <c r="C828" t="s">
        <v>611</v>
      </c>
      <c r="D828" t="s">
        <v>63</v>
      </c>
      <c r="E828">
        <v>85023</v>
      </c>
      <c r="F828" t="s">
        <v>3269</v>
      </c>
      <c r="G828" t="s">
        <v>2563</v>
      </c>
      <c r="H828">
        <v>2646435979</v>
      </c>
      <c r="I828" t="s">
        <v>36</v>
      </c>
      <c r="J828" t="s">
        <v>38</v>
      </c>
      <c r="K828" t="s">
        <v>37</v>
      </c>
      <c r="L828" t="s">
        <v>401</v>
      </c>
      <c r="M828" t="s">
        <v>37</v>
      </c>
      <c r="N828" t="s">
        <v>37</v>
      </c>
      <c r="O828" t="s">
        <v>38</v>
      </c>
      <c r="P828" t="s">
        <v>39</v>
      </c>
      <c r="Q828" s="55">
        <v>45960</v>
      </c>
      <c r="R828" t="s">
        <v>5432</v>
      </c>
      <c r="S828" t="s">
        <v>5432</v>
      </c>
      <c r="T828" t="s">
        <v>5432</v>
      </c>
      <c r="U828" t="s">
        <v>5432</v>
      </c>
      <c r="W828" s="55"/>
    </row>
    <row r="829" spans="1:26">
      <c r="A829" s="55">
        <v>45922</v>
      </c>
      <c r="B829" t="s">
        <v>3272</v>
      </c>
      <c r="C829" t="s">
        <v>3273</v>
      </c>
      <c r="D829" t="s">
        <v>30</v>
      </c>
      <c r="E829" t="s">
        <v>30</v>
      </c>
      <c r="F829" t="s">
        <v>3274</v>
      </c>
      <c r="G829" t="s">
        <v>2563</v>
      </c>
      <c r="H829">
        <v>3566321000</v>
      </c>
      <c r="I829" t="s">
        <v>36</v>
      </c>
      <c r="J829" t="s">
        <v>37</v>
      </c>
      <c r="K829" t="s">
        <v>37</v>
      </c>
      <c r="L829" t="s">
        <v>1586</v>
      </c>
      <c r="M829" t="s">
        <v>37</v>
      </c>
      <c r="N829" t="s">
        <v>37</v>
      </c>
      <c r="O829" t="s">
        <v>38</v>
      </c>
      <c r="P829" t="s">
        <v>39</v>
      </c>
      <c r="Q829" s="55">
        <v>45960</v>
      </c>
      <c r="R829" t="s">
        <v>5432</v>
      </c>
      <c r="S829" t="s">
        <v>5432</v>
      </c>
      <c r="T829" t="s">
        <v>5432</v>
      </c>
      <c r="U829" t="s">
        <v>5432</v>
      </c>
      <c r="W829" s="55"/>
    </row>
    <row r="830" spans="1:26">
      <c r="A830" s="55">
        <v>45919</v>
      </c>
      <c r="B830" t="s">
        <v>3276</v>
      </c>
      <c r="C830" t="s">
        <v>838</v>
      </c>
      <c r="D830" t="s">
        <v>85</v>
      </c>
      <c r="E830">
        <v>86323</v>
      </c>
      <c r="F830" t="s">
        <v>3277</v>
      </c>
      <c r="G830" t="s">
        <v>2563</v>
      </c>
      <c r="H830">
        <v>6222147125</v>
      </c>
      <c r="I830" t="s">
        <v>73</v>
      </c>
      <c r="J830" t="s">
        <v>37</v>
      </c>
      <c r="K830" t="s">
        <v>37</v>
      </c>
      <c r="L830" t="s">
        <v>1586</v>
      </c>
      <c r="M830" t="s">
        <v>37</v>
      </c>
      <c r="N830" t="s">
        <v>37</v>
      </c>
      <c r="O830" t="s">
        <v>38</v>
      </c>
      <c r="P830" t="s">
        <v>39</v>
      </c>
      <c r="Q830" s="55">
        <v>45960</v>
      </c>
      <c r="R830" t="s">
        <v>5432</v>
      </c>
      <c r="S830" t="s">
        <v>5432</v>
      </c>
      <c r="T830" t="s">
        <v>5432</v>
      </c>
      <c r="U830" t="s">
        <v>5432</v>
      </c>
      <c r="W830" s="55"/>
    </row>
    <row r="831" spans="1:26">
      <c r="A831" s="55">
        <v>45922</v>
      </c>
      <c r="B831" t="s">
        <v>2447</v>
      </c>
      <c r="C831" t="s">
        <v>3279</v>
      </c>
      <c r="D831" t="s">
        <v>63</v>
      </c>
      <c r="E831">
        <v>85012</v>
      </c>
      <c r="F831" t="s">
        <v>3280</v>
      </c>
      <c r="G831" t="s">
        <v>3281</v>
      </c>
      <c r="H831">
        <v>9503447476</v>
      </c>
      <c r="I831" t="s">
        <v>36</v>
      </c>
      <c r="J831" t="s">
        <v>37</v>
      </c>
      <c r="K831" t="s">
        <v>37</v>
      </c>
      <c r="L831" t="s">
        <v>3282</v>
      </c>
      <c r="M831" t="s">
        <v>37</v>
      </c>
      <c r="N831" t="s">
        <v>37</v>
      </c>
      <c r="O831" t="s">
        <v>38</v>
      </c>
      <c r="P831">
        <v>45940</v>
      </c>
      <c r="Q831" s="55">
        <v>45960</v>
      </c>
      <c r="R831" t="s">
        <v>3283</v>
      </c>
      <c r="S831" t="s">
        <v>5432</v>
      </c>
      <c r="T831" t="s">
        <v>5432</v>
      </c>
      <c r="U831" t="s">
        <v>5432</v>
      </c>
      <c r="W831" s="55"/>
    </row>
    <row r="832" spans="1:26">
      <c r="A832" s="55">
        <v>45922</v>
      </c>
      <c r="B832" t="s">
        <v>3288</v>
      </c>
      <c r="C832" t="s">
        <v>199</v>
      </c>
      <c r="D832" t="s">
        <v>174</v>
      </c>
      <c r="E832">
        <v>85326</v>
      </c>
      <c r="F832" t="s">
        <v>310</v>
      </c>
      <c r="G832" t="s">
        <v>3281</v>
      </c>
      <c r="H832">
        <v>7210380000</v>
      </c>
      <c r="I832" t="s">
        <v>36</v>
      </c>
      <c r="J832" t="s">
        <v>37</v>
      </c>
      <c r="K832" t="s">
        <v>37</v>
      </c>
      <c r="L832" t="s">
        <v>1586</v>
      </c>
      <c r="M832" t="s">
        <v>37</v>
      </c>
      <c r="N832" t="s">
        <v>37</v>
      </c>
      <c r="O832" t="s">
        <v>38</v>
      </c>
      <c r="P832" t="s">
        <v>39</v>
      </c>
      <c r="Q832" s="55">
        <v>45960</v>
      </c>
      <c r="R832" t="s">
        <v>5432</v>
      </c>
      <c r="S832" t="s">
        <v>5432</v>
      </c>
      <c r="T832" t="s">
        <v>5432</v>
      </c>
      <c r="U832" t="s">
        <v>5432</v>
      </c>
      <c r="W832" s="55"/>
    </row>
    <row r="833" spans="1:23">
      <c r="A833" s="55">
        <v>45922</v>
      </c>
      <c r="B833" t="s">
        <v>3290</v>
      </c>
      <c r="C833" t="s">
        <v>3291</v>
      </c>
      <c r="D833" t="s">
        <v>240</v>
      </c>
      <c r="E833">
        <v>85340</v>
      </c>
      <c r="F833" t="s">
        <v>3292</v>
      </c>
      <c r="G833" t="s">
        <v>3281</v>
      </c>
      <c r="H833">
        <v>627214453</v>
      </c>
      <c r="I833" t="s">
        <v>36</v>
      </c>
      <c r="J833" t="s">
        <v>37</v>
      </c>
      <c r="K833" t="s">
        <v>37</v>
      </c>
      <c r="L833" t="s">
        <v>1586</v>
      </c>
      <c r="M833" t="s">
        <v>37</v>
      </c>
      <c r="N833" t="s">
        <v>37</v>
      </c>
      <c r="O833" t="s">
        <v>38</v>
      </c>
      <c r="P833" t="s">
        <v>39</v>
      </c>
      <c r="Q833" s="55">
        <v>45960</v>
      </c>
      <c r="R833" t="s">
        <v>5432</v>
      </c>
      <c r="S833" t="s">
        <v>5432</v>
      </c>
      <c r="T833" t="s">
        <v>5432</v>
      </c>
      <c r="U833" t="s">
        <v>5432</v>
      </c>
      <c r="W833" s="55"/>
    </row>
    <row r="834" spans="1:23">
      <c r="A834" s="55">
        <v>45922</v>
      </c>
      <c r="B834" t="s">
        <v>269</v>
      </c>
      <c r="C834" t="s">
        <v>2907</v>
      </c>
      <c r="D834" t="s">
        <v>202</v>
      </c>
      <c r="E834">
        <v>85383</v>
      </c>
      <c r="F834" t="s">
        <v>3294</v>
      </c>
      <c r="G834" t="s">
        <v>3281</v>
      </c>
      <c r="H834">
        <v>6338318391</v>
      </c>
      <c r="I834" t="s">
        <v>196</v>
      </c>
      <c r="J834" t="s">
        <v>37</v>
      </c>
      <c r="K834" t="s">
        <v>37</v>
      </c>
      <c r="L834" t="s">
        <v>3296</v>
      </c>
      <c r="M834" t="s">
        <v>37</v>
      </c>
      <c r="N834" t="s">
        <v>37</v>
      </c>
      <c r="O834" t="s">
        <v>38</v>
      </c>
      <c r="P834" t="s">
        <v>39</v>
      </c>
      <c r="Q834" s="55">
        <v>45960</v>
      </c>
      <c r="R834" t="s">
        <v>5432</v>
      </c>
      <c r="S834" t="s">
        <v>5432</v>
      </c>
      <c r="T834" t="s">
        <v>5432</v>
      </c>
      <c r="U834" t="s">
        <v>5432</v>
      </c>
      <c r="W834" s="55"/>
    </row>
    <row r="835" spans="1:23">
      <c r="A835" s="55">
        <v>45922</v>
      </c>
      <c r="B835" t="s">
        <v>3297</v>
      </c>
      <c r="C835" t="s">
        <v>3273</v>
      </c>
      <c r="D835" t="s">
        <v>125</v>
      </c>
      <c r="E835">
        <v>85254</v>
      </c>
      <c r="F835" t="s">
        <v>310</v>
      </c>
      <c r="G835" t="s">
        <v>3281</v>
      </c>
      <c r="H835">
        <v>6407918651</v>
      </c>
      <c r="I835" t="s">
        <v>196</v>
      </c>
      <c r="J835" t="s">
        <v>37</v>
      </c>
      <c r="K835" t="s">
        <v>37</v>
      </c>
      <c r="L835" t="s">
        <v>3299</v>
      </c>
      <c r="M835" t="s">
        <v>37</v>
      </c>
      <c r="N835" t="s">
        <v>37</v>
      </c>
      <c r="O835" t="s">
        <v>38</v>
      </c>
      <c r="P835" t="s">
        <v>39</v>
      </c>
      <c r="Q835" s="55">
        <v>45960</v>
      </c>
      <c r="R835" t="s">
        <v>5432</v>
      </c>
      <c r="S835" t="s">
        <v>5432</v>
      </c>
      <c r="T835" t="s">
        <v>5432</v>
      </c>
      <c r="U835" t="s">
        <v>5432</v>
      </c>
      <c r="W835" s="55"/>
    </row>
    <row r="836" spans="1:23">
      <c r="A836" s="55">
        <v>45922</v>
      </c>
      <c r="B836" t="s">
        <v>3300</v>
      </c>
      <c r="C836" t="s">
        <v>2149</v>
      </c>
      <c r="D836" t="s">
        <v>174</v>
      </c>
      <c r="E836">
        <v>85326</v>
      </c>
      <c r="F836" t="s">
        <v>3301</v>
      </c>
      <c r="G836" t="s">
        <v>3281</v>
      </c>
      <c r="H836">
        <v>9340701000</v>
      </c>
      <c r="I836" t="s">
        <v>46</v>
      </c>
      <c r="J836" t="s">
        <v>37</v>
      </c>
      <c r="K836" t="s">
        <v>37</v>
      </c>
      <c r="L836" t="s">
        <v>3303</v>
      </c>
      <c r="M836" t="s">
        <v>38</v>
      </c>
      <c r="N836">
        <v>333.26</v>
      </c>
      <c r="O836" t="s">
        <v>38</v>
      </c>
      <c r="P836">
        <v>45940</v>
      </c>
      <c r="Q836" s="55">
        <v>45960</v>
      </c>
      <c r="R836" t="s">
        <v>3152</v>
      </c>
      <c r="S836" t="s">
        <v>5432</v>
      </c>
      <c r="T836" t="s">
        <v>5432</v>
      </c>
      <c r="U836" t="s">
        <v>5432</v>
      </c>
      <c r="W836" s="55"/>
    </row>
    <row r="837" spans="1:23">
      <c r="A837" s="55">
        <v>45922</v>
      </c>
      <c r="B837" t="s">
        <v>3304</v>
      </c>
      <c r="C837" t="s">
        <v>1268</v>
      </c>
      <c r="D837" t="s">
        <v>2109</v>
      </c>
      <c r="E837">
        <v>86327</v>
      </c>
      <c r="F837" t="s">
        <v>3305</v>
      </c>
      <c r="G837" t="s">
        <v>3281</v>
      </c>
      <c r="H837">
        <v>6736335990</v>
      </c>
      <c r="I837" t="s">
        <v>46</v>
      </c>
      <c r="J837" t="s">
        <v>37</v>
      </c>
      <c r="K837" t="s">
        <v>37</v>
      </c>
      <c r="L837" t="s">
        <v>1586</v>
      </c>
      <c r="M837" t="s">
        <v>37</v>
      </c>
      <c r="N837" t="s">
        <v>37</v>
      </c>
      <c r="O837" t="s">
        <v>38</v>
      </c>
      <c r="P837" t="s">
        <v>39</v>
      </c>
      <c r="Q837" s="55">
        <v>45960</v>
      </c>
      <c r="R837" t="s">
        <v>5432</v>
      </c>
      <c r="S837" t="s">
        <v>5432</v>
      </c>
      <c r="T837" t="s">
        <v>5432</v>
      </c>
      <c r="U837" t="s">
        <v>5432</v>
      </c>
      <c r="W837" s="55"/>
    </row>
    <row r="838" spans="1:23">
      <c r="A838" s="55">
        <v>45922</v>
      </c>
      <c r="B838" t="s">
        <v>3309</v>
      </c>
      <c r="C838" t="s">
        <v>3310</v>
      </c>
      <c r="D838" t="s">
        <v>112</v>
      </c>
      <c r="E838">
        <v>85379</v>
      </c>
      <c r="F838" t="s">
        <v>3311</v>
      </c>
      <c r="G838" t="s">
        <v>3281</v>
      </c>
      <c r="H838">
        <v>5392330000</v>
      </c>
      <c r="I838" t="s">
        <v>250</v>
      </c>
      <c r="J838" t="s">
        <v>37</v>
      </c>
      <c r="K838" t="s">
        <v>37</v>
      </c>
      <c r="L838" t="s">
        <v>38</v>
      </c>
      <c r="M838" t="s">
        <v>38</v>
      </c>
      <c r="N838">
        <v>309.36</v>
      </c>
      <c r="O838" t="s">
        <v>38</v>
      </c>
      <c r="P838" t="s">
        <v>39</v>
      </c>
      <c r="Q838" s="55">
        <v>45960</v>
      </c>
      <c r="R838" t="s">
        <v>5432</v>
      </c>
      <c r="S838" t="s">
        <v>5432</v>
      </c>
      <c r="T838" t="s">
        <v>5432</v>
      </c>
      <c r="U838" t="s">
        <v>5432</v>
      </c>
      <c r="W838" s="55"/>
    </row>
    <row r="839" spans="1:23">
      <c r="A839" s="55">
        <v>45922</v>
      </c>
      <c r="B839" t="s">
        <v>2626</v>
      </c>
      <c r="C839" t="s">
        <v>117</v>
      </c>
      <c r="D839" t="s">
        <v>816</v>
      </c>
      <c r="E839">
        <v>86303</v>
      </c>
      <c r="F839" t="s">
        <v>3312</v>
      </c>
      <c r="G839" t="s">
        <v>3281</v>
      </c>
      <c r="H839">
        <v>5055918329</v>
      </c>
      <c r="I839" t="s">
        <v>73</v>
      </c>
      <c r="J839" t="s">
        <v>37</v>
      </c>
      <c r="K839" t="s">
        <v>37</v>
      </c>
      <c r="L839" t="s">
        <v>38</v>
      </c>
      <c r="M839" t="s">
        <v>37</v>
      </c>
      <c r="N839" t="s">
        <v>37</v>
      </c>
      <c r="O839" t="s">
        <v>38</v>
      </c>
      <c r="P839" t="s">
        <v>39</v>
      </c>
      <c r="Q839" s="55">
        <v>45960</v>
      </c>
      <c r="R839" t="s">
        <v>5432</v>
      </c>
      <c r="S839" t="s">
        <v>5432</v>
      </c>
      <c r="T839" t="s">
        <v>5432</v>
      </c>
      <c r="U839" t="s">
        <v>5432</v>
      </c>
      <c r="W839" s="55"/>
    </row>
    <row r="840" spans="1:23">
      <c r="A840" s="55">
        <v>45922</v>
      </c>
      <c r="B840" t="s">
        <v>3314</v>
      </c>
      <c r="C840" t="s">
        <v>1306</v>
      </c>
      <c r="D840" t="s">
        <v>174</v>
      </c>
      <c r="E840">
        <v>85326</v>
      </c>
      <c r="F840" t="s">
        <v>3315</v>
      </c>
      <c r="G840" t="s">
        <v>3281</v>
      </c>
      <c r="H840">
        <v>5085875679</v>
      </c>
      <c r="I840" t="s">
        <v>36</v>
      </c>
      <c r="J840" t="s">
        <v>37</v>
      </c>
      <c r="K840" t="s">
        <v>37</v>
      </c>
      <c r="L840" t="s">
        <v>38</v>
      </c>
      <c r="M840" t="s">
        <v>38</v>
      </c>
      <c r="N840">
        <v>1027.99</v>
      </c>
      <c r="O840" t="s">
        <v>38</v>
      </c>
      <c r="P840" t="s">
        <v>5432</v>
      </c>
      <c r="Q840" s="55">
        <v>45960</v>
      </c>
      <c r="R840" t="s">
        <v>495</v>
      </c>
      <c r="S840" t="s">
        <v>5432</v>
      </c>
      <c r="T840" t="s">
        <v>5432</v>
      </c>
      <c r="U840" t="s">
        <v>5432</v>
      </c>
      <c r="W840" s="55"/>
    </row>
    <row r="841" spans="1:23">
      <c r="A841" s="55">
        <v>45922</v>
      </c>
      <c r="B841" t="s">
        <v>3320</v>
      </c>
      <c r="C841" t="s">
        <v>3321</v>
      </c>
      <c r="D841" t="s">
        <v>112</v>
      </c>
      <c r="E841">
        <v>85387</v>
      </c>
      <c r="F841" t="s">
        <v>3322</v>
      </c>
      <c r="G841" t="s">
        <v>3281</v>
      </c>
      <c r="H841">
        <v>2553232071</v>
      </c>
      <c r="I841" t="s">
        <v>36</v>
      </c>
      <c r="J841" t="s">
        <v>37</v>
      </c>
      <c r="K841" t="s">
        <v>37</v>
      </c>
      <c r="L841" t="s">
        <v>38</v>
      </c>
      <c r="M841" t="s">
        <v>37</v>
      </c>
      <c r="N841" t="s">
        <v>37</v>
      </c>
      <c r="O841" t="s">
        <v>38</v>
      </c>
      <c r="P841" t="s">
        <v>39</v>
      </c>
      <c r="Q841" s="55">
        <v>45960</v>
      </c>
      <c r="R841" t="s">
        <v>5432</v>
      </c>
      <c r="S841" t="s">
        <v>5432</v>
      </c>
      <c r="T841" t="s">
        <v>5432</v>
      </c>
      <c r="U841" t="s">
        <v>5432</v>
      </c>
      <c r="W841" s="55"/>
    </row>
    <row r="842" spans="1:23">
      <c r="A842" s="55">
        <v>45922</v>
      </c>
      <c r="B842" t="s">
        <v>3327</v>
      </c>
      <c r="C842" t="s">
        <v>3328</v>
      </c>
      <c r="D842" t="s">
        <v>174</v>
      </c>
      <c r="E842">
        <v>85326</v>
      </c>
      <c r="F842" t="s">
        <v>3322</v>
      </c>
      <c r="G842" t="s">
        <v>3326</v>
      </c>
      <c r="H842">
        <v>2400731000</v>
      </c>
      <c r="I842" t="s">
        <v>36</v>
      </c>
      <c r="J842" t="s">
        <v>38</v>
      </c>
      <c r="K842" t="s">
        <v>37</v>
      </c>
      <c r="L842" t="s">
        <v>38</v>
      </c>
      <c r="M842" t="s">
        <v>38</v>
      </c>
      <c r="N842">
        <v>771.64</v>
      </c>
      <c r="O842" t="s">
        <v>38</v>
      </c>
      <c r="P842" t="s">
        <v>5432</v>
      </c>
      <c r="Q842" s="55">
        <v>45960</v>
      </c>
      <c r="R842" t="s">
        <v>495</v>
      </c>
      <c r="S842" t="s">
        <v>5432</v>
      </c>
      <c r="T842" t="s">
        <v>5432</v>
      </c>
      <c r="U842" t="s">
        <v>5432</v>
      </c>
      <c r="W842" s="55"/>
    </row>
    <row r="843" spans="1:23">
      <c r="A843" s="55">
        <v>45922</v>
      </c>
      <c r="B843" t="s">
        <v>3330</v>
      </c>
      <c r="C843" t="s">
        <v>3331</v>
      </c>
      <c r="D843" t="s">
        <v>63</v>
      </c>
      <c r="E843">
        <v>85022</v>
      </c>
      <c r="F843" t="s">
        <v>3332</v>
      </c>
      <c r="G843" t="s">
        <v>3333</v>
      </c>
      <c r="H843">
        <v>4755350632</v>
      </c>
      <c r="I843" t="s">
        <v>126</v>
      </c>
      <c r="J843" t="s">
        <v>38</v>
      </c>
      <c r="K843" t="s">
        <v>37</v>
      </c>
      <c r="L843" t="s">
        <v>38</v>
      </c>
      <c r="M843" t="s">
        <v>37</v>
      </c>
      <c r="N843" t="s">
        <v>37</v>
      </c>
      <c r="O843" t="s">
        <v>38</v>
      </c>
      <c r="P843" t="s">
        <v>39</v>
      </c>
      <c r="Q843" s="55">
        <v>45960</v>
      </c>
      <c r="R843" t="s">
        <v>5432</v>
      </c>
      <c r="S843" t="s">
        <v>5432</v>
      </c>
      <c r="T843" t="s">
        <v>5432</v>
      </c>
      <c r="U843" t="s">
        <v>5432</v>
      </c>
      <c r="W843" s="55"/>
    </row>
    <row r="844" spans="1:23">
      <c r="A844" s="55">
        <v>45923</v>
      </c>
      <c r="B844" t="s">
        <v>3335</v>
      </c>
      <c r="C844" t="s">
        <v>3336</v>
      </c>
      <c r="D844" t="s">
        <v>174</v>
      </c>
      <c r="E844">
        <v>85326</v>
      </c>
      <c r="F844" t="s">
        <v>3337</v>
      </c>
      <c r="G844" t="s">
        <v>3326</v>
      </c>
      <c r="H844">
        <v>2792050000</v>
      </c>
      <c r="I844" t="s">
        <v>196</v>
      </c>
      <c r="J844" t="s">
        <v>37</v>
      </c>
      <c r="K844" t="s">
        <v>37</v>
      </c>
      <c r="L844" t="s">
        <v>3339</v>
      </c>
      <c r="M844" t="s">
        <v>37</v>
      </c>
      <c r="N844" t="s">
        <v>37</v>
      </c>
      <c r="O844" t="s">
        <v>38</v>
      </c>
      <c r="P844">
        <v>45940</v>
      </c>
      <c r="Q844" s="55">
        <v>45960</v>
      </c>
      <c r="R844" t="s">
        <v>3340</v>
      </c>
      <c r="S844" t="s">
        <v>5432</v>
      </c>
      <c r="T844" t="s">
        <v>5432</v>
      </c>
      <c r="U844" t="s">
        <v>5432</v>
      </c>
      <c r="W844" s="55"/>
    </row>
    <row r="845" spans="1:23">
      <c r="A845" s="55">
        <v>45923</v>
      </c>
      <c r="B845" t="s">
        <v>3341</v>
      </c>
      <c r="C845" t="s">
        <v>284</v>
      </c>
      <c r="D845" t="s">
        <v>174</v>
      </c>
      <c r="E845">
        <v>85326</v>
      </c>
      <c r="F845" t="s">
        <v>3342</v>
      </c>
      <c r="G845" t="s">
        <v>3326</v>
      </c>
      <c r="H845">
        <v>9713457751</v>
      </c>
      <c r="I845" t="s">
        <v>46</v>
      </c>
      <c r="J845" t="s">
        <v>37</v>
      </c>
      <c r="K845" t="s">
        <v>37</v>
      </c>
      <c r="L845" t="s">
        <v>38</v>
      </c>
      <c r="M845" t="s">
        <v>37</v>
      </c>
      <c r="N845" t="s">
        <v>37</v>
      </c>
      <c r="O845" t="s">
        <v>38</v>
      </c>
      <c r="P845" t="s">
        <v>39</v>
      </c>
      <c r="Q845" s="55">
        <v>45960</v>
      </c>
      <c r="R845" t="s">
        <v>5432</v>
      </c>
      <c r="S845" t="s">
        <v>5432</v>
      </c>
      <c r="T845" t="s">
        <v>5432</v>
      </c>
      <c r="U845" t="s">
        <v>5432</v>
      </c>
      <c r="W845" s="55"/>
    </row>
    <row r="846" spans="1:23">
      <c r="A846" s="55">
        <v>45923</v>
      </c>
      <c r="B846" t="s">
        <v>3346</v>
      </c>
      <c r="C846" t="s">
        <v>3347</v>
      </c>
      <c r="D846" t="s">
        <v>63</v>
      </c>
      <c r="E846">
        <v>85022</v>
      </c>
      <c r="F846" t="s">
        <v>3348</v>
      </c>
      <c r="G846" t="s">
        <v>3326</v>
      </c>
      <c r="H846">
        <v>1055401000</v>
      </c>
      <c r="I846" t="s">
        <v>36</v>
      </c>
      <c r="J846" t="s">
        <v>37</v>
      </c>
      <c r="K846" t="s">
        <v>37</v>
      </c>
      <c r="L846" t="s">
        <v>38</v>
      </c>
      <c r="M846" t="s">
        <v>38</v>
      </c>
      <c r="N846">
        <v>1080.4000000000001</v>
      </c>
      <c r="O846" t="s">
        <v>38</v>
      </c>
      <c r="P846" t="s">
        <v>5432</v>
      </c>
      <c r="Q846" s="55">
        <v>45960</v>
      </c>
      <c r="R846" t="s">
        <v>495</v>
      </c>
      <c r="S846" t="s">
        <v>5432</v>
      </c>
      <c r="T846" t="s">
        <v>5432</v>
      </c>
      <c r="U846" t="s">
        <v>5432</v>
      </c>
      <c r="W846" s="55"/>
    </row>
    <row r="847" spans="1:23">
      <c r="A847" s="55">
        <v>45923</v>
      </c>
      <c r="B847" t="s">
        <v>930</v>
      </c>
      <c r="C847" t="s">
        <v>263</v>
      </c>
      <c r="D847" t="s">
        <v>240</v>
      </c>
      <c r="E847">
        <v>85340</v>
      </c>
      <c r="F847" t="s">
        <v>3354</v>
      </c>
      <c r="G847" t="s">
        <v>3326</v>
      </c>
      <c r="H847">
        <v>2283931000</v>
      </c>
      <c r="I847" t="s">
        <v>36</v>
      </c>
      <c r="J847" t="s">
        <v>37</v>
      </c>
      <c r="K847" t="s">
        <v>37</v>
      </c>
      <c r="L847" t="s">
        <v>38</v>
      </c>
      <c r="M847" t="s">
        <v>37</v>
      </c>
      <c r="N847" t="s">
        <v>37</v>
      </c>
      <c r="O847" t="s">
        <v>38</v>
      </c>
      <c r="P847" t="s">
        <v>39</v>
      </c>
      <c r="Q847" s="55">
        <v>45960</v>
      </c>
      <c r="R847" t="s">
        <v>5432</v>
      </c>
      <c r="S847" t="s">
        <v>5432</v>
      </c>
      <c r="T847" t="s">
        <v>5432</v>
      </c>
      <c r="U847" t="s">
        <v>5432</v>
      </c>
      <c r="W847" s="55"/>
    </row>
    <row r="848" spans="1:23">
      <c r="A848" s="55">
        <v>45924</v>
      </c>
      <c r="B848" t="s">
        <v>3244</v>
      </c>
      <c r="C848" t="s">
        <v>3245</v>
      </c>
      <c r="D848" t="s">
        <v>63</v>
      </c>
      <c r="E848">
        <v>85013</v>
      </c>
      <c r="F848" t="s">
        <v>3356</v>
      </c>
      <c r="G848" t="s">
        <v>3357</v>
      </c>
      <c r="H848">
        <v>823076351</v>
      </c>
      <c r="I848" t="s">
        <v>36</v>
      </c>
      <c r="J848" t="s">
        <v>37</v>
      </c>
      <c r="K848" t="s">
        <v>37</v>
      </c>
      <c r="L848" t="s">
        <v>38</v>
      </c>
      <c r="M848" t="s">
        <v>37</v>
      </c>
      <c r="N848" t="s">
        <v>37</v>
      </c>
      <c r="O848" t="s">
        <v>38</v>
      </c>
      <c r="P848" t="s">
        <v>39</v>
      </c>
      <c r="Q848" s="55">
        <v>45960</v>
      </c>
      <c r="R848" t="s">
        <v>2565</v>
      </c>
      <c r="S848" t="s">
        <v>5432</v>
      </c>
      <c r="T848" t="s">
        <v>5432</v>
      </c>
      <c r="U848" t="s">
        <v>5432</v>
      </c>
      <c r="W848" s="55"/>
    </row>
    <row r="849" spans="1:23">
      <c r="A849" s="55">
        <v>44098</v>
      </c>
      <c r="B849" t="s">
        <v>3359</v>
      </c>
      <c r="C849" t="s">
        <v>3360</v>
      </c>
      <c r="D849" t="s">
        <v>3361</v>
      </c>
      <c r="E849">
        <v>86322</v>
      </c>
      <c r="F849" t="s">
        <v>3362</v>
      </c>
      <c r="G849" t="s">
        <v>3357</v>
      </c>
      <c r="H849">
        <v>4774490000</v>
      </c>
      <c r="I849" t="s">
        <v>57</v>
      </c>
      <c r="J849" t="s">
        <v>37</v>
      </c>
      <c r="K849" t="s">
        <v>37</v>
      </c>
      <c r="L849" t="s">
        <v>3364</v>
      </c>
      <c r="M849" t="s">
        <v>37</v>
      </c>
      <c r="N849" t="s">
        <v>37</v>
      </c>
      <c r="O849" t="s">
        <v>38</v>
      </c>
      <c r="P849">
        <v>45940</v>
      </c>
      <c r="Q849" s="55">
        <v>45960</v>
      </c>
      <c r="R849" t="s">
        <v>3152</v>
      </c>
      <c r="S849" t="s">
        <v>5432</v>
      </c>
      <c r="T849" t="s">
        <v>5432</v>
      </c>
      <c r="U849" t="s">
        <v>5432</v>
      </c>
      <c r="W849" s="55"/>
    </row>
    <row r="850" spans="1:23">
      <c r="A850" s="55">
        <v>45925</v>
      </c>
      <c r="B850" t="s">
        <v>3367</v>
      </c>
      <c r="C850" t="s">
        <v>135</v>
      </c>
      <c r="D850" t="s">
        <v>264</v>
      </c>
      <c r="E850">
        <v>85541</v>
      </c>
      <c r="F850" t="s">
        <v>3368</v>
      </c>
      <c r="G850" t="s">
        <v>3357</v>
      </c>
      <c r="H850">
        <v>7423629431</v>
      </c>
      <c r="I850" t="s">
        <v>73</v>
      </c>
      <c r="J850" t="s">
        <v>37</v>
      </c>
      <c r="K850" t="s">
        <v>37</v>
      </c>
      <c r="L850" t="s">
        <v>38</v>
      </c>
      <c r="M850" t="s">
        <v>37</v>
      </c>
      <c r="N850" t="s">
        <v>37</v>
      </c>
      <c r="O850" t="s">
        <v>38</v>
      </c>
      <c r="P850" t="s">
        <v>39</v>
      </c>
      <c r="Q850" s="55">
        <v>45960</v>
      </c>
      <c r="R850" t="s">
        <v>5432</v>
      </c>
      <c r="S850" t="s">
        <v>5432</v>
      </c>
      <c r="T850" t="s">
        <v>5432</v>
      </c>
      <c r="U850" t="s">
        <v>5432</v>
      </c>
      <c r="W850" s="55"/>
    </row>
    <row r="851" spans="1:23">
      <c r="A851" s="55">
        <v>45925</v>
      </c>
      <c r="B851" t="s">
        <v>3370</v>
      </c>
      <c r="C851" t="s">
        <v>145</v>
      </c>
      <c r="D851" t="s">
        <v>63</v>
      </c>
      <c r="E851">
        <v>85032</v>
      </c>
      <c r="F851" t="s">
        <v>3371</v>
      </c>
      <c r="G851" t="s">
        <v>3357</v>
      </c>
      <c r="H851">
        <v>2644830000</v>
      </c>
      <c r="I851" t="s">
        <v>1684</v>
      </c>
      <c r="J851" t="s">
        <v>37</v>
      </c>
      <c r="K851" t="s">
        <v>37</v>
      </c>
      <c r="L851" t="s">
        <v>38</v>
      </c>
      <c r="M851" t="s">
        <v>37</v>
      </c>
      <c r="N851" t="s">
        <v>37</v>
      </c>
      <c r="O851" t="s">
        <v>38</v>
      </c>
      <c r="P851" t="s">
        <v>39</v>
      </c>
      <c r="Q851" s="55">
        <v>45960</v>
      </c>
      <c r="R851" t="s">
        <v>3373</v>
      </c>
      <c r="S851" t="s">
        <v>5432</v>
      </c>
      <c r="T851" t="s">
        <v>5432</v>
      </c>
      <c r="U851" t="s">
        <v>5432</v>
      </c>
      <c r="W851" s="55"/>
    </row>
    <row r="852" spans="1:23">
      <c r="A852" s="55">
        <v>45925</v>
      </c>
      <c r="B852" t="s">
        <v>3374</v>
      </c>
      <c r="C852" t="s">
        <v>597</v>
      </c>
      <c r="D852" t="s">
        <v>816</v>
      </c>
      <c r="E852">
        <v>86301</v>
      </c>
      <c r="F852" t="s">
        <v>3375</v>
      </c>
      <c r="G852" t="s">
        <v>3357</v>
      </c>
      <c r="H852">
        <v>4875921000</v>
      </c>
      <c r="I852" t="s">
        <v>46</v>
      </c>
      <c r="J852" t="s">
        <v>37</v>
      </c>
      <c r="K852" t="s">
        <v>37</v>
      </c>
      <c r="L852" t="s">
        <v>38</v>
      </c>
      <c r="M852" t="s">
        <v>37</v>
      </c>
      <c r="N852" t="s">
        <v>37</v>
      </c>
      <c r="O852" t="s">
        <v>38</v>
      </c>
      <c r="P852" t="s">
        <v>39</v>
      </c>
      <c r="Q852" s="55">
        <v>45960</v>
      </c>
      <c r="R852" t="s">
        <v>5432</v>
      </c>
      <c r="S852" t="s">
        <v>5432</v>
      </c>
      <c r="T852" t="s">
        <v>5432</v>
      </c>
      <c r="U852" t="s">
        <v>5432</v>
      </c>
      <c r="W852" s="55"/>
    </row>
    <row r="853" spans="1:23">
      <c r="A853" s="55">
        <v>45926</v>
      </c>
      <c r="B853" t="s">
        <v>3377</v>
      </c>
      <c r="C853" t="s">
        <v>437</v>
      </c>
      <c r="D853" t="s">
        <v>85</v>
      </c>
      <c r="E853">
        <v>86323</v>
      </c>
      <c r="F853" t="s">
        <v>3378</v>
      </c>
      <c r="G853" t="s">
        <v>3379</v>
      </c>
      <c r="H853">
        <v>6292353892</v>
      </c>
      <c r="I853" t="s">
        <v>126</v>
      </c>
      <c r="J853" t="s">
        <v>37</v>
      </c>
      <c r="K853" t="s">
        <v>37</v>
      </c>
      <c r="L853" t="s">
        <v>38</v>
      </c>
      <c r="M853" t="s">
        <v>37</v>
      </c>
      <c r="N853" t="s">
        <v>37</v>
      </c>
      <c r="O853" t="s">
        <v>38</v>
      </c>
      <c r="P853" t="s">
        <v>39</v>
      </c>
      <c r="Q853" s="55">
        <v>45960</v>
      </c>
      <c r="R853" t="s">
        <v>5432</v>
      </c>
      <c r="S853" t="s">
        <v>5432</v>
      </c>
      <c r="T853" t="s">
        <v>5432</v>
      </c>
      <c r="U853" t="s">
        <v>5432</v>
      </c>
      <c r="W853" s="55"/>
    </row>
    <row r="854" spans="1:23">
      <c r="A854" s="55">
        <v>45926</v>
      </c>
      <c r="B854" t="s">
        <v>3383</v>
      </c>
      <c r="C854" t="s">
        <v>1755</v>
      </c>
      <c r="D854" t="s">
        <v>240</v>
      </c>
      <c r="E854">
        <v>85340</v>
      </c>
      <c r="F854" t="s">
        <v>3384</v>
      </c>
      <c r="G854" t="s">
        <v>3379</v>
      </c>
      <c r="H854">
        <v>9126001412</v>
      </c>
      <c r="I854" t="s">
        <v>36</v>
      </c>
      <c r="J854" t="s">
        <v>37</v>
      </c>
      <c r="K854" t="s">
        <v>37</v>
      </c>
      <c r="L854" t="s">
        <v>38</v>
      </c>
      <c r="M854" t="s">
        <v>37</v>
      </c>
      <c r="N854" t="s">
        <v>37</v>
      </c>
      <c r="O854" t="s">
        <v>38</v>
      </c>
      <c r="P854" t="s">
        <v>39</v>
      </c>
      <c r="Q854" s="55">
        <v>45960</v>
      </c>
      <c r="R854" t="s">
        <v>5432</v>
      </c>
      <c r="S854" t="s">
        <v>5432</v>
      </c>
      <c r="T854" t="s">
        <v>5432</v>
      </c>
      <c r="U854" t="s">
        <v>5432</v>
      </c>
      <c r="W854" s="55"/>
    </row>
    <row r="855" spans="1:23">
      <c r="A855" s="55">
        <v>45928</v>
      </c>
      <c r="B855" t="s">
        <v>3388</v>
      </c>
      <c r="C855" t="s">
        <v>556</v>
      </c>
      <c r="D855" t="s">
        <v>619</v>
      </c>
      <c r="E855">
        <v>85367</v>
      </c>
      <c r="F855" t="s">
        <v>3389</v>
      </c>
      <c r="G855" t="s">
        <v>3387</v>
      </c>
      <c r="H855">
        <v>4246694688</v>
      </c>
      <c r="I855" t="s">
        <v>36</v>
      </c>
      <c r="J855" t="s">
        <v>37</v>
      </c>
      <c r="K855" t="s">
        <v>37</v>
      </c>
      <c r="L855" t="s">
        <v>38</v>
      </c>
      <c r="M855" t="s">
        <v>37</v>
      </c>
      <c r="N855" t="s">
        <v>37</v>
      </c>
      <c r="O855" t="s">
        <v>38</v>
      </c>
      <c r="P855" t="s">
        <v>39</v>
      </c>
      <c r="Q855" s="55">
        <v>45960</v>
      </c>
      <c r="R855" t="s">
        <v>5432</v>
      </c>
      <c r="S855" t="s">
        <v>5432</v>
      </c>
      <c r="T855" t="s">
        <v>5432</v>
      </c>
      <c r="U855" t="s">
        <v>5432</v>
      </c>
      <c r="W855" s="55"/>
    </row>
    <row r="856" spans="1:23">
      <c r="A856" s="55">
        <v>45928</v>
      </c>
      <c r="B856" t="s">
        <v>3391</v>
      </c>
      <c r="C856" t="s">
        <v>3392</v>
      </c>
      <c r="D856" t="s">
        <v>24</v>
      </c>
      <c r="E856">
        <v>85310</v>
      </c>
      <c r="F856" t="s">
        <v>3393</v>
      </c>
      <c r="G856" t="s">
        <v>3387</v>
      </c>
      <c r="H856">
        <v>7304972242</v>
      </c>
      <c r="I856" t="s">
        <v>541</v>
      </c>
      <c r="J856" t="s">
        <v>37</v>
      </c>
      <c r="K856" t="s">
        <v>37</v>
      </c>
      <c r="L856" t="s">
        <v>389</v>
      </c>
      <c r="M856" t="s">
        <v>38</v>
      </c>
      <c r="N856">
        <v>368.4</v>
      </c>
      <c r="O856" t="s">
        <v>38</v>
      </c>
      <c r="P856" t="s">
        <v>39</v>
      </c>
      <c r="Q856" s="55">
        <v>45960</v>
      </c>
      <c r="R856" t="s">
        <v>5432</v>
      </c>
      <c r="S856" t="s">
        <v>5432</v>
      </c>
      <c r="T856" t="s">
        <v>5432</v>
      </c>
      <c r="U856" t="s">
        <v>5432</v>
      </c>
      <c r="W856" s="55"/>
    </row>
    <row r="857" spans="1:23">
      <c r="A857" s="55">
        <v>45929</v>
      </c>
      <c r="B857" t="s">
        <v>3397</v>
      </c>
      <c r="C857" t="s">
        <v>3398</v>
      </c>
      <c r="D857" t="s">
        <v>63</v>
      </c>
      <c r="E857">
        <v>85050</v>
      </c>
      <c r="F857" t="s">
        <v>3399</v>
      </c>
      <c r="G857" t="s">
        <v>3387</v>
      </c>
      <c r="H857">
        <v>4722240000</v>
      </c>
      <c r="I857" t="s">
        <v>36</v>
      </c>
      <c r="J857" t="s">
        <v>37</v>
      </c>
      <c r="K857" t="s">
        <v>37</v>
      </c>
      <c r="L857" t="s">
        <v>38</v>
      </c>
      <c r="M857" t="s">
        <v>37</v>
      </c>
      <c r="N857" t="s">
        <v>37</v>
      </c>
      <c r="O857" t="s">
        <v>38</v>
      </c>
      <c r="P857" t="s">
        <v>39</v>
      </c>
      <c r="Q857" s="55">
        <v>45960</v>
      </c>
      <c r="R857" t="s">
        <v>5432</v>
      </c>
      <c r="S857" t="s">
        <v>5432</v>
      </c>
      <c r="T857" t="s">
        <v>5432</v>
      </c>
      <c r="U857" t="s">
        <v>5432</v>
      </c>
      <c r="W857" s="55"/>
    </row>
    <row r="858" spans="1:23">
      <c r="A858" s="55">
        <v>45930</v>
      </c>
      <c r="B858" t="s">
        <v>3405</v>
      </c>
      <c r="C858" t="s">
        <v>1093</v>
      </c>
      <c r="D858" t="s">
        <v>125</v>
      </c>
      <c r="E858">
        <v>85266</v>
      </c>
      <c r="F858" t="s">
        <v>3406</v>
      </c>
      <c r="G858" t="s">
        <v>3404</v>
      </c>
      <c r="H858">
        <v>1816340000</v>
      </c>
      <c r="I858" t="s">
        <v>36</v>
      </c>
      <c r="J858" t="s">
        <v>37</v>
      </c>
      <c r="K858" t="s">
        <v>37</v>
      </c>
      <c r="L858" t="s">
        <v>38</v>
      </c>
      <c r="M858" t="s">
        <v>37</v>
      </c>
      <c r="N858" t="s">
        <v>37</v>
      </c>
      <c r="O858" t="s">
        <v>38</v>
      </c>
      <c r="P858" t="s">
        <v>39</v>
      </c>
      <c r="Q858" s="55">
        <v>45960</v>
      </c>
      <c r="R858" t="s">
        <v>5432</v>
      </c>
      <c r="S858" t="s">
        <v>5432</v>
      </c>
      <c r="T858" t="s">
        <v>5432</v>
      </c>
      <c r="U858" t="s">
        <v>5432</v>
      </c>
      <c r="W858" s="55"/>
    </row>
    <row r="859" spans="1:23">
      <c r="A859" s="55">
        <v>45930</v>
      </c>
      <c r="B859" t="s">
        <v>1271</v>
      </c>
      <c r="C859" t="s">
        <v>124</v>
      </c>
      <c r="D859" t="s">
        <v>93</v>
      </c>
      <c r="E859">
        <v>85351</v>
      </c>
      <c r="F859" t="s">
        <v>3408</v>
      </c>
      <c r="G859" t="s">
        <v>3404</v>
      </c>
      <c r="H859">
        <v>2786739945</v>
      </c>
      <c r="I859" t="s">
        <v>250</v>
      </c>
      <c r="J859" t="s">
        <v>37</v>
      </c>
      <c r="K859" t="s">
        <v>37</v>
      </c>
      <c r="L859" t="s">
        <v>38</v>
      </c>
      <c r="M859" t="s">
        <v>37</v>
      </c>
      <c r="N859" t="s">
        <v>37</v>
      </c>
      <c r="O859" t="s">
        <v>38</v>
      </c>
      <c r="P859" t="s">
        <v>39</v>
      </c>
      <c r="Q859" s="55">
        <v>45960</v>
      </c>
      <c r="R859" t="s">
        <v>3410</v>
      </c>
      <c r="S859" t="s">
        <v>5432</v>
      </c>
      <c r="T859" t="s">
        <v>5432</v>
      </c>
      <c r="U859" t="s">
        <v>5432</v>
      </c>
      <c r="W859" s="55"/>
    </row>
    <row r="860" spans="1:23">
      <c r="A860" s="55">
        <v>45930</v>
      </c>
      <c r="B860" t="s">
        <v>3411</v>
      </c>
      <c r="C860" t="s">
        <v>284</v>
      </c>
      <c r="D860" t="s">
        <v>2109</v>
      </c>
      <c r="E860">
        <v>86327</v>
      </c>
      <c r="F860" t="s">
        <v>3412</v>
      </c>
      <c r="G860" t="s">
        <v>3404</v>
      </c>
      <c r="H860">
        <v>4078611000</v>
      </c>
      <c r="I860" t="s">
        <v>73</v>
      </c>
      <c r="J860" t="s">
        <v>37</v>
      </c>
      <c r="K860" t="s">
        <v>37</v>
      </c>
      <c r="L860" t="s">
        <v>3414</v>
      </c>
      <c r="M860" t="s">
        <v>37</v>
      </c>
      <c r="N860" t="s">
        <v>37</v>
      </c>
      <c r="O860" t="s">
        <v>38</v>
      </c>
      <c r="P860" t="s">
        <v>39</v>
      </c>
      <c r="Q860" s="55">
        <v>45960</v>
      </c>
      <c r="R860" t="s">
        <v>3415</v>
      </c>
      <c r="S860" t="s">
        <v>5432</v>
      </c>
      <c r="T860" t="s">
        <v>5432</v>
      </c>
      <c r="U860" t="s">
        <v>5432</v>
      </c>
      <c r="W860" s="55"/>
    </row>
    <row r="861" spans="1:23">
      <c r="A861" s="55">
        <v>45930</v>
      </c>
      <c r="B861" t="s">
        <v>3416</v>
      </c>
      <c r="C861" t="s">
        <v>3417</v>
      </c>
      <c r="D861" t="s">
        <v>202</v>
      </c>
      <c r="E861">
        <v>85345</v>
      </c>
      <c r="F861" t="s">
        <v>310</v>
      </c>
      <c r="G861" t="s">
        <v>3404</v>
      </c>
      <c r="H861">
        <v>7903115868</v>
      </c>
      <c r="I861" t="s">
        <v>196</v>
      </c>
      <c r="J861" t="s">
        <v>37</v>
      </c>
      <c r="K861" t="s">
        <v>37</v>
      </c>
      <c r="L861" t="s">
        <v>3419</v>
      </c>
      <c r="M861" t="s">
        <v>37</v>
      </c>
      <c r="N861" t="s">
        <v>37</v>
      </c>
      <c r="O861" t="s">
        <v>38</v>
      </c>
      <c r="P861">
        <v>45940</v>
      </c>
      <c r="Q861" s="55">
        <v>45960</v>
      </c>
      <c r="R861" t="s">
        <v>3420</v>
      </c>
      <c r="S861" t="s">
        <v>5432</v>
      </c>
      <c r="T861" t="s">
        <v>5432</v>
      </c>
      <c r="U861" t="s">
        <v>5432</v>
      </c>
      <c r="W861" s="55"/>
    </row>
    <row r="862" spans="1:23">
      <c r="A862" s="55">
        <v>45930</v>
      </c>
      <c r="B862" t="s">
        <v>3421</v>
      </c>
      <c r="C862" t="s">
        <v>2273</v>
      </c>
      <c r="D862" t="s">
        <v>169</v>
      </c>
      <c r="E862">
        <v>85395</v>
      </c>
      <c r="F862" t="s">
        <v>3422</v>
      </c>
      <c r="G862" t="s">
        <v>3404</v>
      </c>
      <c r="H862">
        <v>5307870697</v>
      </c>
      <c r="I862" t="s">
        <v>46</v>
      </c>
      <c r="J862" t="s">
        <v>37</v>
      </c>
      <c r="K862" t="s">
        <v>37</v>
      </c>
      <c r="L862" t="s">
        <v>3424</v>
      </c>
      <c r="M862" t="s">
        <v>37</v>
      </c>
      <c r="N862" t="s">
        <v>37</v>
      </c>
      <c r="O862" t="s">
        <v>38</v>
      </c>
      <c r="P862" t="s">
        <v>39</v>
      </c>
      <c r="Q862" s="55">
        <v>45960</v>
      </c>
      <c r="R862" t="s">
        <v>5432</v>
      </c>
      <c r="S862" t="s">
        <v>5432</v>
      </c>
      <c r="T862" t="s">
        <v>5432</v>
      </c>
      <c r="U862" t="s">
        <v>5432</v>
      </c>
      <c r="W862" s="55"/>
    </row>
    <row r="863" spans="1:23">
      <c r="A863" s="55">
        <v>45930</v>
      </c>
      <c r="B863" t="s">
        <v>3425</v>
      </c>
      <c r="C863" t="s">
        <v>3426</v>
      </c>
      <c r="D863" t="s">
        <v>174</v>
      </c>
      <c r="E863">
        <v>85396</v>
      </c>
      <c r="F863" t="s">
        <v>3427</v>
      </c>
      <c r="G863" t="s">
        <v>3428</v>
      </c>
      <c r="H863">
        <v>9738841000</v>
      </c>
      <c r="I863" t="s">
        <v>1040</v>
      </c>
      <c r="J863" t="s">
        <v>37</v>
      </c>
      <c r="K863" t="s">
        <v>37</v>
      </c>
      <c r="L863" t="s">
        <v>3430</v>
      </c>
      <c r="M863" t="s">
        <v>37</v>
      </c>
      <c r="N863" t="s">
        <v>37</v>
      </c>
      <c r="O863" t="s">
        <v>38</v>
      </c>
      <c r="P863" t="s">
        <v>39</v>
      </c>
      <c r="Q863" s="55">
        <v>45960</v>
      </c>
      <c r="R863" t="s">
        <v>5432</v>
      </c>
      <c r="S863" t="s">
        <v>5432</v>
      </c>
      <c r="T863" t="s">
        <v>5432</v>
      </c>
      <c r="U863" t="s">
        <v>5432</v>
      </c>
      <c r="W863" s="55"/>
    </row>
    <row r="864" spans="1:23">
      <c r="A864" s="55">
        <v>45932</v>
      </c>
      <c r="B864" t="s">
        <v>3435</v>
      </c>
      <c r="C864" t="s">
        <v>3436</v>
      </c>
      <c r="D864" t="s">
        <v>30</v>
      </c>
      <c r="E864" t="s">
        <v>30</v>
      </c>
      <c r="F864" t="s">
        <v>3437</v>
      </c>
      <c r="G864" t="s">
        <v>3438</v>
      </c>
      <c r="H864">
        <v>6829562710</v>
      </c>
      <c r="I864" t="s">
        <v>541</v>
      </c>
      <c r="J864" t="s">
        <v>37</v>
      </c>
      <c r="K864" t="s">
        <v>37</v>
      </c>
      <c r="L864" t="s">
        <v>389</v>
      </c>
      <c r="M864" t="s">
        <v>38</v>
      </c>
      <c r="N864">
        <v>170.45</v>
      </c>
      <c r="O864" t="s">
        <v>38</v>
      </c>
      <c r="P864" t="s">
        <v>39</v>
      </c>
      <c r="Q864" s="55">
        <v>45960</v>
      </c>
      <c r="R864" t="s">
        <v>5432</v>
      </c>
      <c r="S864" t="s">
        <v>5432</v>
      </c>
      <c r="T864" t="s">
        <v>5432</v>
      </c>
      <c r="U864" t="s">
        <v>5432</v>
      </c>
      <c r="W864" s="55"/>
    </row>
    <row r="865" spans="1:23">
      <c r="A865" s="55">
        <v>45932</v>
      </c>
      <c r="B865" t="s">
        <v>3440</v>
      </c>
      <c r="C865" t="s">
        <v>3441</v>
      </c>
      <c r="D865" t="s">
        <v>129</v>
      </c>
      <c r="E865">
        <v>85233</v>
      </c>
      <c r="F865" t="s">
        <v>310</v>
      </c>
      <c r="G865" t="s">
        <v>3442</v>
      </c>
      <c r="H865">
        <v>7789171149</v>
      </c>
      <c r="I865" t="s">
        <v>243</v>
      </c>
      <c r="J865" t="s">
        <v>37</v>
      </c>
      <c r="K865" t="s">
        <v>37</v>
      </c>
      <c r="L865" t="s">
        <v>389</v>
      </c>
      <c r="M865" t="s">
        <v>37</v>
      </c>
      <c r="N865" t="s">
        <v>37</v>
      </c>
      <c r="O865" t="s">
        <v>38</v>
      </c>
      <c r="P865" t="s">
        <v>39</v>
      </c>
      <c r="Q865" s="55">
        <v>45960</v>
      </c>
      <c r="R865" t="s">
        <v>5432</v>
      </c>
      <c r="S865" t="s">
        <v>5432</v>
      </c>
      <c r="T865" t="s">
        <v>5432</v>
      </c>
      <c r="U865" t="s">
        <v>5432</v>
      </c>
      <c r="W865" s="55"/>
    </row>
    <row r="866" spans="1:23">
      <c r="A866" s="55">
        <v>45932</v>
      </c>
      <c r="B866" t="s">
        <v>528</v>
      </c>
      <c r="C866" t="s">
        <v>3395</v>
      </c>
      <c r="D866" t="s">
        <v>63</v>
      </c>
      <c r="E866">
        <v>85085</v>
      </c>
      <c r="F866" t="s">
        <v>3444</v>
      </c>
      <c r="G866" t="s">
        <v>3442</v>
      </c>
      <c r="H866">
        <v>9539410000</v>
      </c>
      <c r="I866" t="s">
        <v>1040</v>
      </c>
      <c r="J866" t="s">
        <v>37</v>
      </c>
      <c r="K866" t="s">
        <v>37</v>
      </c>
      <c r="L866" t="s">
        <v>401</v>
      </c>
      <c r="M866" t="s">
        <v>37</v>
      </c>
      <c r="N866" t="s">
        <v>37</v>
      </c>
      <c r="O866" t="s">
        <v>38</v>
      </c>
      <c r="P866" t="s">
        <v>39</v>
      </c>
      <c r="Q866" s="55">
        <v>45960</v>
      </c>
      <c r="R866" t="s">
        <v>3446</v>
      </c>
      <c r="S866" t="s">
        <v>5432</v>
      </c>
      <c r="T866" t="s">
        <v>5432</v>
      </c>
      <c r="U866" t="s">
        <v>5432</v>
      </c>
      <c r="W866" s="55"/>
    </row>
    <row r="867" spans="1:23">
      <c r="A867" s="55">
        <v>45933</v>
      </c>
      <c r="B867" t="s">
        <v>800</v>
      </c>
      <c r="C867" t="s">
        <v>801</v>
      </c>
      <c r="D867" t="s">
        <v>30</v>
      </c>
      <c r="E867" t="s">
        <v>30</v>
      </c>
      <c r="F867" t="s">
        <v>3447</v>
      </c>
      <c r="G867" t="s">
        <v>3448</v>
      </c>
      <c r="H867">
        <v>4949150000</v>
      </c>
      <c r="I867" t="s">
        <v>73</v>
      </c>
      <c r="J867" t="s">
        <v>37</v>
      </c>
      <c r="K867" t="s">
        <v>37</v>
      </c>
      <c r="L867" t="s">
        <v>38</v>
      </c>
      <c r="M867" t="s">
        <v>37</v>
      </c>
      <c r="N867" t="s">
        <v>37</v>
      </c>
      <c r="O867" t="s">
        <v>38</v>
      </c>
      <c r="P867" t="s">
        <v>39</v>
      </c>
      <c r="Q867" s="55">
        <v>45960</v>
      </c>
      <c r="R867" t="s">
        <v>5432</v>
      </c>
      <c r="S867" t="s">
        <v>5432</v>
      </c>
      <c r="T867" t="s">
        <v>5432</v>
      </c>
      <c r="U867" t="s">
        <v>5432</v>
      </c>
      <c r="W867" s="55"/>
    </row>
    <row r="868" spans="1:23">
      <c r="A868" s="55">
        <v>45933</v>
      </c>
      <c r="B868" t="s">
        <v>3450</v>
      </c>
      <c r="C868" t="s">
        <v>88</v>
      </c>
      <c r="D868" t="s">
        <v>68</v>
      </c>
      <c r="E868">
        <v>85331</v>
      </c>
      <c r="F868" t="s">
        <v>3451</v>
      </c>
      <c r="G868" t="s">
        <v>3452</v>
      </c>
      <c r="H868">
        <v>8072751000</v>
      </c>
      <c r="I868" t="s">
        <v>36</v>
      </c>
      <c r="J868" t="s">
        <v>37</v>
      </c>
      <c r="K868" t="s">
        <v>37</v>
      </c>
      <c r="L868" t="s">
        <v>38</v>
      </c>
      <c r="M868" t="s">
        <v>37</v>
      </c>
      <c r="N868" t="s">
        <v>37</v>
      </c>
      <c r="O868" t="s">
        <v>38</v>
      </c>
      <c r="P868" t="s">
        <v>39</v>
      </c>
      <c r="Q868" s="55">
        <v>45960</v>
      </c>
      <c r="R868" t="s">
        <v>5432</v>
      </c>
      <c r="S868" t="s">
        <v>5432</v>
      </c>
      <c r="T868" t="s">
        <v>5432</v>
      </c>
      <c r="U868" t="s">
        <v>5432</v>
      </c>
      <c r="W868" s="55"/>
    </row>
    <row r="869" spans="1:23">
      <c r="A869" s="55">
        <v>45934</v>
      </c>
      <c r="B869" t="s">
        <v>3459</v>
      </c>
      <c r="C869" t="s">
        <v>320</v>
      </c>
      <c r="D869" t="s">
        <v>63</v>
      </c>
      <c r="E869">
        <v>85032</v>
      </c>
      <c r="F869" t="s">
        <v>3460</v>
      </c>
      <c r="G869" t="s">
        <v>3456</v>
      </c>
      <c r="H869">
        <v>9524460000</v>
      </c>
      <c r="I869" t="s">
        <v>36</v>
      </c>
      <c r="J869" t="s">
        <v>38</v>
      </c>
      <c r="K869" t="s">
        <v>37</v>
      </c>
      <c r="L869" t="s">
        <v>38</v>
      </c>
      <c r="M869" t="s">
        <v>37</v>
      </c>
      <c r="N869" t="s">
        <v>37</v>
      </c>
      <c r="O869" t="s">
        <v>38</v>
      </c>
      <c r="P869" t="s">
        <v>39</v>
      </c>
      <c r="Q869" s="55">
        <v>45954</v>
      </c>
      <c r="R869" t="s">
        <v>5432</v>
      </c>
      <c r="S869" t="s">
        <v>5432</v>
      </c>
      <c r="T869" t="s">
        <v>5432</v>
      </c>
      <c r="U869" t="s">
        <v>5432</v>
      </c>
      <c r="W869" s="55"/>
    </row>
    <row r="870" spans="1:23">
      <c r="A870" s="55">
        <v>45934</v>
      </c>
      <c r="B870" t="s">
        <v>34</v>
      </c>
      <c r="C870" t="s">
        <v>2273</v>
      </c>
      <c r="D870" t="s">
        <v>261</v>
      </c>
      <c r="E870">
        <v>86314</v>
      </c>
      <c r="F870" t="s">
        <v>3462</v>
      </c>
      <c r="G870" t="s">
        <v>3456</v>
      </c>
      <c r="H870">
        <v>6543951000</v>
      </c>
      <c r="I870" t="s">
        <v>196</v>
      </c>
      <c r="J870" t="s">
        <v>37</v>
      </c>
      <c r="K870" t="s">
        <v>37</v>
      </c>
      <c r="L870" t="s">
        <v>3464</v>
      </c>
      <c r="M870" t="s">
        <v>37</v>
      </c>
      <c r="N870" t="s">
        <v>37</v>
      </c>
      <c r="O870" t="s">
        <v>38</v>
      </c>
      <c r="P870" t="s">
        <v>39</v>
      </c>
      <c r="Q870" s="55">
        <v>45954</v>
      </c>
      <c r="R870" t="s">
        <v>5432</v>
      </c>
      <c r="S870" t="s">
        <v>5432</v>
      </c>
      <c r="T870" t="s">
        <v>5432</v>
      </c>
      <c r="U870" t="s">
        <v>5432</v>
      </c>
      <c r="W870" s="55"/>
    </row>
    <row r="871" spans="1:23">
      <c r="A871" s="55">
        <v>45935</v>
      </c>
      <c r="B871" t="s">
        <v>1210</v>
      </c>
      <c r="C871" t="s">
        <v>3465</v>
      </c>
      <c r="D871" t="s">
        <v>737</v>
      </c>
      <c r="E871">
        <v>86326</v>
      </c>
      <c r="F871" t="s">
        <v>3466</v>
      </c>
      <c r="G871" t="s">
        <v>3456</v>
      </c>
      <c r="H871">
        <v>770620000</v>
      </c>
      <c r="I871" t="s">
        <v>243</v>
      </c>
      <c r="J871" t="s">
        <v>37</v>
      </c>
      <c r="K871" t="s">
        <v>37</v>
      </c>
      <c r="L871" t="s">
        <v>389</v>
      </c>
      <c r="M871" t="s">
        <v>37</v>
      </c>
      <c r="N871" t="s">
        <v>37</v>
      </c>
      <c r="O871" t="s">
        <v>38</v>
      </c>
      <c r="P871" t="s">
        <v>39</v>
      </c>
      <c r="Q871" s="55">
        <v>45954</v>
      </c>
      <c r="R871" t="s">
        <v>5432</v>
      </c>
      <c r="S871" t="s">
        <v>5432</v>
      </c>
      <c r="T871" t="s">
        <v>5432</v>
      </c>
      <c r="U871" t="s">
        <v>5432</v>
      </c>
      <c r="W871" s="55"/>
    </row>
    <row r="872" spans="1:23">
      <c r="A872" s="55">
        <v>45935</v>
      </c>
      <c r="B872" t="s">
        <v>3469</v>
      </c>
      <c r="C872" t="s">
        <v>1089</v>
      </c>
      <c r="D872" t="s">
        <v>3470</v>
      </c>
      <c r="E872">
        <v>86324</v>
      </c>
      <c r="F872" t="s">
        <v>31</v>
      </c>
      <c r="G872" t="s">
        <v>3456</v>
      </c>
      <c r="H872">
        <v>1471520000</v>
      </c>
      <c r="I872" t="s">
        <v>73</v>
      </c>
      <c r="J872" t="s">
        <v>37</v>
      </c>
      <c r="K872" t="s">
        <v>37</v>
      </c>
      <c r="L872" t="s">
        <v>38</v>
      </c>
      <c r="M872" t="s">
        <v>37</v>
      </c>
      <c r="N872" t="s">
        <v>37</v>
      </c>
      <c r="O872" t="s">
        <v>38</v>
      </c>
      <c r="P872" t="s">
        <v>39</v>
      </c>
      <c r="Q872" s="55">
        <v>45954</v>
      </c>
      <c r="R872" t="s">
        <v>3415</v>
      </c>
      <c r="S872" t="s">
        <v>5432</v>
      </c>
      <c r="T872" t="s">
        <v>5432</v>
      </c>
      <c r="U872" t="s">
        <v>5432</v>
      </c>
      <c r="W872" s="55"/>
    </row>
    <row r="873" spans="1:23">
      <c r="A873" s="55">
        <v>45937</v>
      </c>
      <c r="B873" t="s">
        <v>3477</v>
      </c>
      <c r="C873" t="s">
        <v>3478</v>
      </c>
      <c r="D873" t="s">
        <v>169</v>
      </c>
      <c r="E873">
        <v>85338</v>
      </c>
      <c r="F873" t="s">
        <v>3479</v>
      </c>
      <c r="G873" t="s">
        <v>3456</v>
      </c>
      <c r="H873">
        <v>4195950000</v>
      </c>
      <c r="I873" t="s">
        <v>541</v>
      </c>
      <c r="J873" t="s">
        <v>38</v>
      </c>
      <c r="K873" t="s">
        <v>37</v>
      </c>
      <c r="L873" t="s">
        <v>389</v>
      </c>
      <c r="M873" t="s">
        <v>37</v>
      </c>
      <c r="N873" t="s">
        <v>37</v>
      </c>
      <c r="O873" t="s">
        <v>38</v>
      </c>
      <c r="P873" t="s">
        <v>39</v>
      </c>
      <c r="Q873" s="55">
        <v>45954</v>
      </c>
      <c r="R873" t="s">
        <v>5432</v>
      </c>
      <c r="S873" t="s">
        <v>5432</v>
      </c>
      <c r="T873" t="s">
        <v>5432</v>
      </c>
      <c r="U873" t="s">
        <v>5432</v>
      </c>
      <c r="W873" s="55"/>
    </row>
    <row r="874" spans="1:23">
      <c r="A874" s="55">
        <v>45938</v>
      </c>
      <c r="B874" t="s">
        <v>3483</v>
      </c>
      <c r="C874" t="s">
        <v>3484</v>
      </c>
      <c r="D874" t="s">
        <v>125</v>
      </c>
      <c r="E874">
        <v>85258</v>
      </c>
      <c r="F874" t="s">
        <v>3485</v>
      </c>
      <c r="G874" t="s">
        <v>3158</v>
      </c>
      <c r="H874">
        <v>6232280000</v>
      </c>
      <c r="I874" t="s">
        <v>36</v>
      </c>
      <c r="J874" t="s">
        <v>37</v>
      </c>
      <c r="K874" t="s">
        <v>37</v>
      </c>
      <c r="L874" t="s">
        <v>38</v>
      </c>
      <c r="M874" t="s">
        <v>37</v>
      </c>
      <c r="N874" t="s">
        <v>37</v>
      </c>
      <c r="O874" t="s">
        <v>38</v>
      </c>
      <c r="P874" t="s">
        <v>39</v>
      </c>
      <c r="Q874" s="55">
        <v>45954</v>
      </c>
      <c r="R874" t="s">
        <v>5432</v>
      </c>
      <c r="S874" t="s">
        <v>5432</v>
      </c>
      <c r="T874" t="s">
        <v>5432</v>
      </c>
      <c r="U874" t="s">
        <v>5432</v>
      </c>
      <c r="W874" s="55"/>
    </row>
    <row r="875" spans="1:23">
      <c r="A875" s="55">
        <v>45938</v>
      </c>
      <c r="B875" t="s">
        <v>3487</v>
      </c>
      <c r="C875" t="s">
        <v>2040</v>
      </c>
      <c r="D875" t="s">
        <v>30</v>
      </c>
      <c r="E875" t="s">
        <v>30</v>
      </c>
      <c r="F875" t="s">
        <v>3488</v>
      </c>
      <c r="G875" t="s">
        <v>3158</v>
      </c>
      <c r="H875">
        <v>4762621000</v>
      </c>
      <c r="I875" t="s">
        <v>57</v>
      </c>
      <c r="J875" t="s">
        <v>37</v>
      </c>
      <c r="K875" t="s">
        <v>37</v>
      </c>
      <c r="L875" t="s">
        <v>3490</v>
      </c>
      <c r="M875" t="s">
        <v>37</v>
      </c>
      <c r="N875" t="s">
        <v>37</v>
      </c>
      <c r="O875" t="s">
        <v>38</v>
      </c>
      <c r="P875" t="s">
        <v>39</v>
      </c>
      <c r="Q875" s="55">
        <v>45954</v>
      </c>
      <c r="R875" t="s">
        <v>5432</v>
      </c>
      <c r="S875" t="s">
        <v>5432</v>
      </c>
      <c r="T875" t="s">
        <v>5432</v>
      </c>
      <c r="U875" t="s">
        <v>5432</v>
      </c>
      <c r="W875" s="55"/>
    </row>
    <row r="876" spans="1:23">
      <c r="A876" s="55">
        <v>45938</v>
      </c>
      <c r="B876" t="s">
        <v>3491</v>
      </c>
      <c r="C876" t="s">
        <v>3492</v>
      </c>
      <c r="D876" t="s">
        <v>125</v>
      </c>
      <c r="E876">
        <v>85258</v>
      </c>
      <c r="F876" t="s">
        <v>3493</v>
      </c>
      <c r="G876" t="s">
        <v>3494</v>
      </c>
      <c r="H876">
        <v>857783306</v>
      </c>
      <c r="I876" t="s">
        <v>36</v>
      </c>
      <c r="J876" t="s">
        <v>37</v>
      </c>
      <c r="K876" t="s">
        <v>37</v>
      </c>
      <c r="L876" t="s">
        <v>38</v>
      </c>
      <c r="M876" t="s">
        <v>37</v>
      </c>
      <c r="N876" t="s">
        <v>37</v>
      </c>
      <c r="O876" t="s">
        <v>38</v>
      </c>
      <c r="P876" t="s">
        <v>39</v>
      </c>
      <c r="Q876" s="55">
        <v>45954</v>
      </c>
      <c r="R876" t="s">
        <v>5432</v>
      </c>
      <c r="S876" t="s">
        <v>5432</v>
      </c>
      <c r="T876" t="s">
        <v>5432</v>
      </c>
      <c r="U876" t="s">
        <v>5432</v>
      </c>
      <c r="W876" s="55"/>
    </row>
    <row r="877" spans="1:23">
      <c r="A877" s="55">
        <v>45938</v>
      </c>
      <c r="B877" t="s">
        <v>447</v>
      </c>
      <c r="C877" t="s">
        <v>1223</v>
      </c>
      <c r="D877" t="s">
        <v>3501</v>
      </c>
      <c r="E877">
        <v>85541</v>
      </c>
      <c r="F877" t="s">
        <v>3502</v>
      </c>
      <c r="G877" t="s">
        <v>3494</v>
      </c>
      <c r="H877">
        <v>3480611000</v>
      </c>
      <c r="I877" t="s">
        <v>73</v>
      </c>
      <c r="J877" t="s">
        <v>37</v>
      </c>
      <c r="K877" t="s">
        <v>37</v>
      </c>
      <c r="L877" t="s">
        <v>38</v>
      </c>
      <c r="M877" t="s">
        <v>37</v>
      </c>
      <c r="N877" t="s">
        <v>37</v>
      </c>
      <c r="O877" t="s">
        <v>38</v>
      </c>
      <c r="P877" t="s">
        <v>39</v>
      </c>
      <c r="Q877" s="55">
        <v>45954</v>
      </c>
      <c r="R877" t="s">
        <v>5432</v>
      </c>
      <c r="S877" t="s">
        <v>5432</v>
      </c>
      <c r="T877" t="s">
        <v>5432</v>
      </c>
      <c r="U877" t="s">
        <v>5432</v>
      </c>
      <c r="W877" s="55"/>
    </row>
    <row r="878" spans="1:23">
      <c r="A878" s="55">
        <v>45939</v>
      </c>
      <c r="B878" t="s">
        <v>3505</v>
      </c>
      <c r="C878" t="s">
        <v>3506</v>
      </c>
      <c r="D878" t="s">
        <v>202</v>
      </c>
      <c r="E878">
        <v>85382</v>
      </c>
      <c r="F878" t="s">
        <v>3507</v>
      </c>
      <c r="G878" t="s">
        <v>3494</v>
      </c>
      <c r="H878">
        <v>2713960000</v>
      </c>
      <c r="I878" t="s">
        <v>36</v>
      </c>
      <c r="J878" t="s">
        <v>37</v>
      </c>
      <c r="K878" t="s">
        <v>37</v>
      </c>
      <c r="L878" t="s">
        <v>38</v>
      </c>
      <c r="M878" t="s">
        <v>37</v>
      </c>
      <c r="N878" t="s">
        <v>37</v>
      </c>
      <c r="O878" t="s">
        <v>38</v>
      </c>
      <c r="P878" t="s">
        <v>39</v>
      </c>
      <c r="Q878" s="55">
        <v>45954</v>
      </c>
      <c r="R878" t="s">
        <v>5432</v>
      </c>
      <c r="S878" t="s">
        <v>5432</v>
      </c>
      <c r="T878" t="s">
        <v>5432</v>
      </c>
      <c r="U878" t="s">
        <v>5432</v>
      </c>
      <c r="W878" s="55"/>
    </row>
    <row r="879" spans="1:23">
      <c r="A879" s="55">
        <v>45940</v>
      </c>
      <c r="B879" t="s">
        <v>91</v>
      </c>
      <c r="C879" t="s">
        <v>3513</v>
      </c>
      <c r="D879" t="s">
        <v>93</v>
      </c>
      <c r="E879">
        <v>85351</v>
      </c>
      <c r="F879" t="s">
        <v>3514</v>
      </c>
      <c r="G879" t="s">
        <v>3512</v>
      </c>
      <c r="H879">
        <v>1163301000</v>
      </c>
      <c r="I879" t="s">
        <v>73</v>
      </c>
      <c r="J879" t="s">
        <v>37</v>
      </c>
      <c r="K879" t="s">
        <v>37</v>
      </c>
      <c r="L879" t="s">
        <v>38</v>
      </c>
      <c r="M879" t="s">
        <v>37</v>
      </c>
      <c r="N879" t="s">
        <v>37</v>
      </c>
      <c r="O879" t="s">
        <v>38</v>
      </c>
      <c r="P879" t="s">
        <v>39</v>
      </c>
      <c r="Q879" s="55">
        <v>45954</v>
      </c>
      <c r="R879" t="s">
        <v>3516</v>
      </c>
      <c r="S879" t="s">
        <v>5432</v>
      </c>
      <c r="T879" t="s">
        <v>5432</v>
      </c>
      <c r="U879" t="s">
        <v>5432</v>
      </c>
      <c r="W879" s="55"/>
    </row>
    <row r="880" spans="1:23">
      <c r="A880" s="55">
        <v>45940</v>
      </c>
      <c r="B880" t="s">
        <v>3517</v>
      </c>
      <c r="C880" t="s">
        <v>1729</v>
      </c>
      <c r="D880" t="s">
        <v>2429</v>
      </c>
      <c r="E880">
        <v>85132</v>
      </c>
      <c r="F880" t="s">
        <v>3518</v>
      </c>
      <c r="G880" t="s">
        <v>3512</v>
      </c>
      <c r="H880">
        <v>1790274066</v>
      </c>
      <c r="I880" t="s">
        <v>250</v>
      </c>
      <c r="J880" t="s">
        <v>37</v>
      </c>
      <c r="K880" t="s">
        <v>37</v>
      </c>
      <c r="L880" t="s">
        <v>38</v>
      </c>
      <c r="M880" t="s">
        <v>37</v>
      </c>
      <c r="N880" t="s">
        <v>37</v>
      </c>
      <c r="O880" t="s">
        <v>38</v>
      </c>
      <c r="P880" t="s">
        <v>39</v>
      </c>
      <c r="Q880" s="55">
        <v>45954</v>
      </c>
      <c r="R880" t="s">
        <v>5432</v>
      </c>
      <c r="S880" t="s">
        <v>5432</v>
      </c>
      <c r="T880" t="s">
        <v>5432</v>
      </c>
      <c r="U880" t="s">
        <v>5432</v>
      </c>
      <c r="W880" s="55"/>
    </row>
    <row r="881" spans="1:23">
      <c r="A881" s="55">
        <v>45940</v>
      </c>
      <c r="B881" t="s">
        <v>3520</v>
      </c>
      <c r="C881" t="s">
        <v>420</v>
      </c>
      <c r="D881" t="s">
        <v>539</v>
      </c>
      <c r="E881">
        <v>85122</v>
      </c>
      <c r="F881" t="s">
        <v>3521</v>
      </c>
      <c r="G881" t="s">
        <v>3512</v>
      </c>
      <c r="H881">
        <v>3317467505</v>
      </c>
      <c r="I881" t="s">
        <v>36</v>
      </c>
      <c r="J881" t="s">
        <v>37</v>
      </c>
      <c r="K881" t="s">
        <v>37</v>
      </c>
      <c r="L881" t="s">
        <v>38</v>
      </c>
      <c r="M881" t="s">
        <v>37</v>
      </c>
      <c r="N881" t="s">
        <v>37</v>
      </c>
      <c r="O881" t="s">
        <v>38</v>
      </c>
      <c r="P881" t="s">
        <v>39</v>
      </c>
      <c r="Q881" s="55">
        <v>45954</v>
      </c>
      <c r="R881" t="s">
        <v>3523</v>
      </c>
      <c r="S881" t="s">
        <v>5432</v>
      </c>
      <c r="T881" t="s">
        <v>5432</v>
      </c>
      <c r="U881" t="s">
        <v>5432</v>
      </c>
      <c r="W881" s="55"/>
    </row>
    <row r="882" spans="1:23">
      <c r="A882" s="55">
        <v>45940</v>
      </c>
      <c r="B882" t="s">
        <v>3520</v>
      </c>
      <c r="C882" t="s">
        <v>597</v>
      </c>
      <c r="D882" t="s">
        <v>539</v>
      </c>
      <c r="E882">
        <v>85122</v>
      </c>
      <c r="F882" t="s">
        <v>3524</v>
      </c>
      <c r="G882" t="s">
        <v>3512</v>
      </c>
      <c r="H882">
        <v>3317467505</v>
      </c>
      <c r="I882" t="s">
        <v>36</v>
      </c>
      <c r="J882" t="s">
        <v>37</v>
      </c>
      <c r="K882" t="s">
        <v>37</v>
      </c>
      <c r="L882" t="s">
        <v>38</v>
      </c>
      <c r="M882" t="s">
        <v>37</v>
      </c>
      <c r="N882" t="s">
        <v>37</v>
      </c>
      <c r="O882" t="s">
        <v>38</v>
      </c>
      <c r="P882" t="s">
        <v>39</v>
      </c>
      <c r="Q882" s="55">
        <v>45954</v>
      </c>
      <c r="R882" t="s">
        <v>3523</v>
      </c>
      <c r="S882" t="s">
        <v>5432</v>
      </c>
      <c r="T882" t="s">
        <v>5432</v>
      </c>
      <c r="U882" t="s">
        <v>5432</v>
      </c>
      <c r="W882" s="55"/>
    </row>
    <row r="883" spans="1:23">
      <c r="A883" s="55">
        <v>45942</v>
      </c>
      <c r="B883" t="s">
        <v>3526</v>
      </c>
      <c r="C883" t="s">
        <v>145</v>
      </c>
      <c r="D883" t="s">
        <v>539</v>
      </c>
      <c r="E883">
        <v>85122</v>
      </c>
      <c r="F883" t="s">
        <v>3527</v>
      </c>
      <c r="G883" t="s">
        <v>3512</v>
      </c>
      <c r="H883">
        <v>9713723488</v>
      </c>
      <c r="I883" t="s">
        <v>36</v>
      </c>
      <c r="J883" t="s">
        <v>37</v>
      </c>
      <c r="K883" t="s">
        <v>37</v>
      </c>
      <c r="L883" t="s">
        <v>38</v>
      </c>
      <c r="M883" t="s">
        <v>37</v>
      </c>
      <c r="N883" t="s">
        <v>37</v>
      </c>
      <c r="O883" t="s">
        <v>38</v>
      </c>
      <c r="P883" t="s">
        <v>39</v>
      </c>
      <c r="Q883" s="55">
        <v>45954</v>
      </c>
      <c r="R883" t="s">
        <v>5432</v>
      </c>
      <c r="S883" t="s">
        <v>5432</v>
      </c>
      <c r="T883" t="s">
        <v>5432</v>
      </c>
      <c r="U883" t="s">
        <v>5432</v>
      </c>
      <c r="W883" s="55"/>
    </row>
    <row r="884" spans="1:23">
      <c r="A884" s="55">
        <v>45939</v>
      </c>
      <c r="B884" t="s">
        <v>3529</v>
      </c>
      <c r="C884" t="s">
        <v>3530</v>
      </c>
      <c r="D884" t="s">
        <v>63</v>
      </c>
      <c r="E884">
        <v>85050</v>
      </c>
      <c r="F884" t="s">
        <v>3531</v>
      </c>
      <c r="G884" t="s">
        <v>3512</v>
      </c>
      <c r="H884">
        <v>2707161000</v>
      </c>
      <c r="I884" t="s">
        <v>3533</v>
      </c>
      <c r="J884" t="s">
        <v>37</v>
      </c>
      <c r="K884" t="s">
        <v>37</v>
      </c>
      <c r="L884" t="s">
        <v>389</v>
      </c>
      <c r="M884" t="s">
        <v>37</v>
      </c>
      <c r="N884" t="s">
        <v>37</v>
      </c>
      <c r="O884" t="s">
        <v>38</v>
      </c>
      <c r="P884" t="s">
        <v>39</v>
      </c>
      <c r="Q884" s="55">
        <v>45954</v>
      </c>
      <c r="R884" t="s">
        <v>5432</v>
      </c>
      <c r="S884" t="s">
        <v>5432</v>
      </c>
      <c r="T884" t="s">
        <v>5432</v>
      </c>
      <c r="U884" t="s">
        <v>5432</v>
      </c>
      <c r="W884" s="55"/>
    </row>
    <row r="885" spans="1:23">
      <c r="A885" s="55">
        <v>45940</v>
      </c>
      <c r="B885" t="s">
        <v>3534</v>
      </c>
      <c r="C885" t="s">
        <v>2772</v>
      </c>
      <c r="D885" t="s">
        <v>2542</v>
      </c>
      <c r="E885">
        <v>86325</v>
      </c>
      <c r="F885" t="s">
        <v>3535</v>
      </c>
      <c r="G885" t="s">
        <v>3512</v>
      </c>
      <c r="H885">
        <v>4322390000</v>
      </c>
      <c r="I885" t="s">
        <v>73</v>
      </c>
      <c r="J885" t="s">
        <v>38</v>
      </c>
      <c r="K885" t="s">
        <v>37</v>
      </c>
      <c r="L885" t="s">
        <v>1420</v>
      </c>
      <c r="M885" t="s">
        <v>37</v>
      </c>
      <c r="N885" t="s">
        <v>37</v>
      </c>
      <c r="O885" t="s">
        <v>38</v>
      </c>
      <c r="P885" t="s">
        <v>39</v>
      </c>
      <c r="Q885" s="55">
        <v>45954</v>
      </c>
      <c r="R885" t="s">
        <v>3537</v>
      </c>
      <c r="S885" t="s">
        <v>5432</v>
      </c>
      <c r="T885" t="s">
        <v>5432</v>
      </c>
      <c r="U885" t="s">
        <v>5432</v>
      </c>
      <c r="W885" s="55"/>
    </row>
    <row r="886" spans="1:23">
      <c r="A886" s="55">
        <v>45940</v>
      </c>
      <c r="B886" t="s">
        <v>3541</v>
      </c>
      <c r="C886" t="s">
        <v>3542</v>
      </c>
      <c r="D886" t="s">
        <v>63</v>
      </c>
      <c r="E886">
        <v>85029</v>
      </c>
      <c r="F886" t="s">
        <v>3531</v>
      </c>
      <c r="G886" t="s">
        <v>3512</v>
      </c>
      <c r="H886">
        <v>9543902054</v>
      </c>
      <c r="I886" t="s">
        <v>418</v>
      </c>
      <c r="J886" t="s">
        <v>37</v>
      </c>
      <c r="K886" t="s">
        <v>37</v>
      </c>
      <c r="L886" t="s">
        <v>389</v>
      </c>
      <c r="M886" t="s">
        <v>38</v>
      </c>
      <c r="N886">
        <v>288.29000000000002</v>
      </c>
      <c r="O886" t="s">
        <v>38</v>
      </c>
      <c r="P886" t="s">
        <v>39</v>
      </c>
      <c r="Q886" s="55">
        <v>45954</v>
      </c>
      <c r="R886" t="s">
        <v>5432</v>
      </c>
      <c r="S886" t="s">
        <v>5432</v>
      </c>
      <c r="T886" t="s">
        <v>5432</v>
      </c>
      <c r="U886" t="s">
        <v>5432</v>
      </c>
      <c r="W886" s="55"/>
    </row>
    <row r="887" spans="1:23">
      <c r="A887" s="55">
        <v>45940</v>
      </c>
      <c r="B887" t="s">
        <v>3544</v>
      </c>
      <c r="C887" t="s">
        <v>3023</v>
      </c>
      <c r="D887" t="s">
        <v>93</v>
      </c>
      <c r="E887">
        <v>85373</v>
      </c>
      <c r="F887" t="s">
        <v>3531</v>
      </c>
      <c r="G887" t="s">
        <v>3512</v>
      </c>
      <c r="H887">
        <v>4057076823</v>
      </c>
      <c r="I887" t="s">
        <v>57</v>
      </c>
      <c r="J887" t="s">
        <v>38</v>
      </c>
      <c r="K887" t="s">
        <v>37</v>
      </c>
      <c r="L887" t="s">
        <v>3546</v>
      </c>
      <c r="M887" t="s">
        <v>37</v>
      </c>
      <c r="N887" t="s">
        <v>37</v>
      </c>
      <c r="O887" t="s">
        <v>38</v>
      </c>
      <c r="P887">
        <v>45945</v>
      </c>
      <c r="Q887" s="55">
        <v>45954</v>
      </c>
      <c r="R887" t="s">
        <v>2440</v>
      </c>
      <c r="S887" t="s">
        <v>5432</v>
      </c>
      <c r="T887" t="s">
        <v>5432</v>
      </c>
      <c r="U887" t="s">
        <v>5432</v>
      </c>
      <c r="W887" s="55"/>
    </row>
    <row r="888" spans="1:23">
      <c r="A888" s="55">
        <v>45940</v>
      </c>
      <c r="B888" t="s">
        <v>3547</v>
      </c>
      <c r="C888" t="s">
        <v>3548</v>
      </c>
      <c r="D888" t="s">
        <v>68</v>
      </c>
      <c r="E888">
        <v>85331</v>
      </c>
      <c r="F888" t="s">
        <v>3531</v>
      </c>
      <c r="G888" t="s">
        <v>3512</v>
      </c>
      <c r="H888">
        <v>2725650087</v>
      </c>
      <c r="I888" t="s">
        <v>46</v>
      </c>
      <c r="J888" t="s">
        <v>37</v>
      </c>
      <c r="K888" t="s">
        <v>37</v>
      </c>
      <c r="L888" t="s">
        <v>401</v>
      </c>
      <c r="M888" t="s">
        <v>37</v>
      </c>
      <c r="N888" t="s">
        <v>37</v>
      </c>
      <c r="O888" t="s">
        <v>38</v>
      </c>
      <c r="P888" t="s">
        <v>39</v>
      </c>
      <c r="Q888" s="55">
        <v>45954</v>
      </c>
      <c r="R888" t="s">
        <v>3550</v>
      </c>
      <c r="S888" t="s">
        <v>5432</v>
      </c>
      <c r="T888" t="s">
        <v>5432</v>
      </c>
      <c r="U888" t="s">
        <v>5432</v>
      </c>
      <c r="W888" s="55"/>
    </row>
    <row r="889" spans="1:23">
      <c r="A889" s="55">
        <v>45940</v>
      </c>
      <c r="B889" t="s">
        <v>3551</v>
      </c>
      <c r="C889" t="s">
        <v>307</v>
      </c>
      <c r="D889" t="s">
        <v>63</v>
      </c>
      <c r="E889">
        <v>85050</v>
      </c>
      <c r="F889" t="s">
        <v>3531</v>
      </c>
      <c r="G889" t="s">
        <v>3512</v>
      </c>
      <c r="H889">
        <v>9804331000</v>
      </c>
      <c r="I889" t="s">
        <v>541</v>
      </c>
      <c r="J889" t="s">
        <v>37</v>
      </c>
      <c r="K889" t="s">
        <v>37</v>
      </c>
      <c r="L889" t="s">
        <v>389</v>
      </c>
      <c r="M889" t="s">
        <v>37</v>
      </c>
      <c r="N889" t="s">
        <v>37</v>
      </c>
      <c r="O889" t="s">
        <v>38</v>
      </c>
      <c r="P889" t="s">
        <v>39</v>
      </c>
      <c r="Q889" s="55">
        <v>45954</v>
      </c>
      <c r="R889" t="s">
        <v>5432</v>
      </c>
      <c r="S889" t="s">
        <v>5432</v>
      </c>
      <c r="T889" t="s">
        <v>5432</v>
      </c>
      <c r="U889" t="s">
        <v>5432</v>
      </c>
      <c r="W889" s="55"/>
    </row>
    <row r="890" spans="1:23">
      <c r="A890" s="55">
        <v>45940</v>
      </c>
      <c r="B890" t="s">
        <v>3553</v>
      </c>
      <c r="C890" t="s">
        <v>3554</v>
      </c>
      <c r="D890" t="s">
        <v>125</v>
      </c>
      <c r="E890">
        <v>85254</v>
      </c>
      <c r="F890" t="s">
        <v>3531</v>
      </c>
      <c r="G890" t="s">
        <v>3512</v>
      </c>
      <c r="H890">
        <v>5596059869</v>
      </c>
      <c r="I890" t="s">
        <v>196</v>
      </c>
      <c r="J890" t="s">
        <v>37</v>
      </c>
      <c r="K890" t="s">
        <v>37</v>
      </c>
      <c r="L890" t="s">
        <v>3556</v>
      </c>
      <c r="M890" t="s">
        <v>38</v>
      </c>
      <c r="N890">
        <v>2463.12</v>
      </c>
      <c r="O890" t="s">
        <v>38</v>
      </c>
      <c r="P890">
        <v>45945</v>
      </c>
      <c r="Q890" s="55">
        <v>45954</v>
      </c>
      <c r="R890" t="s">
        <v>3557</v>
      </c>
      <c r="S890" t="s">
        <v>5432</v>
      </c>
      <c r="T890" t="s">
        <v>5432</v>
      </c>
      <c r="U890" t="s">
        <v>5432</v>
      </c>
      <c r="W890" s="55"/>
    </row>
    <row r="891" spans="1:23">
      <c r="A891" s="55">
        <v>45944</v>
      </c>
      <c r="B891" t="s">
        <v>3564</v>
      </c>
      <c r="C891" t="s">
        <v>3565</v>
      </c>
      <c r="D891" t="s">
        <v>63</v>
      </c>
      <c r="E891">
        <v>85032</v>
      </c>
      <c r="F891" t="s">
        <v>3531</v>
      </c>
      <c r="G891" t="s">
        <v>3563</v>
      </c>
      <c r="H891">
        <v>5687941000</v>
      </c>
      <c r="I891" t="s">
        <v>36</v>
      </c>
      <c r="J891" t="s">
        <v>37</v>
      </c>
      <c r="K891" t="s">
        <v>37</v>
      </c>
      <c r="L891" t="s">
        <v>1586</v>
      </c>
      <c r="M891" t="s">
        <v>37</v>
      </c>
      <c r="N891" t="s">
        <v>37</v>
      </c>
      <c r="O891" t="s">
        <v>38</v>
      </c>
      <c r="P891" t="s">
        <v>39</v>
      </c>
      <c r="Q891" s="55">
        <v>45954</v>
      </c>
      <c r="R891" t="s">
        <v>5432</v>
      </c>
      <c r="S891" t="s">
        <v>5432</v>
      </c>
      <c r="T891" t="s">
        <v>5432</v>
      </c>
      <c r="U891" t="s">
        <v>5432</v>
      </c>
      <c r="W891" s="55"/>
    </row>
    <row r="892" spans="1:23">
      <c r="A892" s="55">
        <v>45944</v>
      </c>
      <c r="B892" t="s">
        <v>3567</v>
      </c>
      <c r="C892" t="s">
        <v>3568</v>
      </c>
      <c r="D892" t="s">
        <v>93</v>
      </c>
      <c r="E892">
        <v>85351</v>
      </c>
      <c r="F892" t="s">
        <v>3569</v>
      </c>
      <c r="G892" t="s">
        <v>3563</v>
      </c>
      <c r="H892">
        <v>4095570000</v>
      </c>
      <c r="I892" t="s">
        <v>36</v>
      </c>
      <c r="J892" t="s">
        <v>37</v>
      </c>
      <c r="K892" t="s">
        <v>37</v>
      </c>
      <c r="L892" t="s">
        <v>1586</v>
      </c>
      <c r="M892" t="s">
        <v>37</v>
      </c>
      <c r="N892" t="s">
        <v>37</v>
      </c>
      <c r="O892" t="s">
        <v>38</v>
      </c>
      <c r="P892" t="s">
        <v>39</v>
      </c>
      <c r="Q892" s="55">
        <v>45954</v>
      </c>
      <c r="R892" t="s">
        <v>5432</v>
      </c>
      <c r="S892" t="s">
        <v>5432</v>
      </c>
      <c r="T892" t="s">
        <v>5432</v>
      </c>
      <c r="U892" t="s">
        <v>5432</v>
      </c>
      <c r="W892" s="55"/>
    </row>
    <row r="893" spans="1:23">
      <c r="A893" s="55">
        <v>45944</v>
      </c>
      <c r="B893" t="s">
        <v>3571</v>
      </c>
      <c r="C893" t="s">
        <v>3540</v>
      </c>
      <c r="D893" t="s">
        <v>93</v>
      </c>
      <c r="E893">
        <v>85351</v>
      </c>
      <c r="F893" t="s">
        <v>3569</v>
      </c>
      <c r="G893" t="s">
        <v>3563</v>
      </c>
      <c r="H893">
        <v>4095570000</v>
      </c>
      <c r="I893" t="s">
        <v>36</v>
      </c>
      <c r="J893" t="s">
        <v>37</v>
      </c>
      <c r="K893" t="s">
        <v>37</v>
      </c>
      <c r="L893" t="s">
        <v>1586</v>
      </c>
      <c r="M893" t="s">
        <v>37</v>
      </c>
      <c r="N893" t="s">
        <v>37</v>
      </c>
      <c r="O893" t="s">
        <v>38</v>
      </c>
      <c r="P893" t="s">
        <v>39</v>
      </c>
      <c r="Q893" s="55">
        <v>45954</v>
      </c>
      <c r="R893" t="s">
        <v>5432</v>
      </c>
      <c r="S893" t="s">
        <v>5432</v>
      </c>
      <c r="T893" t="s">
        <v>5432</v>
      </c>
      <c r="U893" t="s">
        <v>5432</v>
      </c>
      <c r="W893" s="55"/>
    </row>
    <row r="894" spans="1:23">
      <c r="A894" s="55">
        <v>45944</v>
      </c>
      <c r="B894" t="s">
        <v>3534</v>
      </c>
      <c r="C894" t="s">
        <v>2772</v>
      </c>
      <c r="D894" t="s">
        <v>2542</v>
      </c>
      <c r="E894">
        <v>86325</v>
      </c>
      <c r="F894" t="s">
        <v>3572</v>
      </c>
      <c r="G894" t="s">
        <v>3563</v>
      </c>
      <c r="H894">
        <v>4322390000</v>
      </c>
      <c r="I894" t="s">
        <v>73</v>
      </c>
      <c r="J894" t="s">
        <v>38</v>
      </c>
      <c r="K894" t="s">
        <v>37</v>
      </c>
      <c r="L894" t="s">
        <v>1420</v>
      </c>
      <c r="M894" t="s">
        <v>37</v>
      </c>
      <c r="N894" t="s">
        <v>37</v>
      </c>
      <c r="O894" t="s">
        <v>38</v>
      </c>
      <c r="P894" t="s">
        <v>39</v>
      </c>
      <c r="Q894" s="55">
        <v>45954</v>
      </c>
      <c r="R894" t="s">
        <v>3537</v>
      </c>
      <c r="S894" t="s">
        <v>5432</v>
      </c>
      <c r="T894" t="s">
        <v>5432</v>
      </c>
      <c r="U894" t="s">
        <v>5432</v>
      </c>
      <c r="W894" s="55"/>
    </row>
    <row r="895" spans="1:23">
      <c r="A895" s="55">
        <v>45945</v>
      </c>
      <c r="B895" t="s">
        <v>3573</v>
      </c>
      <c r="C895" t="s">
        <v>184</v>
      </c>
      <c r="D895" t="s">
        <v>2265</v>
      </c>
      <c r="E895">
        <v>85603</v>
      </c>
      <c r="F895" t="s">
        <v>3574</v>
      </c>
      <c r="G895" t="s">
        <v>3575</v>
      </c>
      <c r="H895">
        <v>5427869471</v>
      </c>
      <c r="I895" t="s">
        <v>196</v>
      </c>
      <c r="J895" t="s">
        <v>37</v>
      </c>
      <c r="K895" t="s">
        <v>37</v>
      </c>
      <c r="L895" t="s">
        <v>3577</v>
      </c>
      <c r="M895" t="s">
        <v>37</v>
      </c>
      <c r="N895" t="s">
        <v>37</v>
      </c>
      <c r="O895" t="s">
        <v>38</v>
      </c>
      <c r="P895">
        <v>45947</v>
      </c>
      <c r="Q895" s="55">
        <v>45954</v>
      </c>
      <c r="R895" t="s">
        <v>3578</v>
      </c>
      <c r="S895" t="s">
        <v>5432</v>
      </c>
      <c r="T895" t="s">
        <v>5432</v>
      </c>
      <c r="U895" t="s">
        <v>5432</v>
      </c>
      <c r="W895" s="55"/>
    </row>
    <row r="896" spans="1:23">
      <c r="A896" s="55">
        <v>45944</v>
      </c>
      <c r="B896" t="s">
        <v>3579</v>
      </c>
      <c r="C896" t="s">
        <v>747</v>
      </c>
      <c r="D896" t="s">
        <v>63</v>
      </c>
      <c r="E896">
        <v>85032</v>
      </c>
      <c r="F896" t="s">
        <v>3531</v>
      </c>
      <c r="G896" t="s">
        <v>3580</v>
      </c>
      <c r="H896">
        <v>6013821000</v>
      </c>
      <c r="I896" t="s">
        <v>196</v>
      </c>
      <c r="J896" t="s">
        <v>37</v>
      </c>
      <c r="K896" t="s">
        <v>5432</v>
      </c>
      <c r="L896" t="s">
        <v>3582</v>
      </c>
      <c r="M896" t="s">
        <v>5432</v>
      </c>
      <c r="N896" t="s">
        <v>5432</v>
      </c>
      <c r="O896" t="s">
        <v>38</v>
      </c>
      <c r="P896" t="s">
        <v>39</v>
      </c>
      <c r="Q896" s="55"/>
      <c r="R896" t="s">
        <v>3583</v>
      </c>
      <c r="S896" t="s">
        <v>5432</v>
      </c>
      <c r="T896" t="s">
        <v>5432</v>
      </c>
      <c r="U896" t="s">
        <v>5432</v>
      </c>
      <c r="W896" s="55"/>
    </row>
    <row r="897" spans="1:23">
      <c r="A897" s="55">
        <v>45944</v>
      </c>
      <c r="B897" t="s">
        <v>3584</v>
      </c>
      <c r="C897" t="s">
        <v>685</v>
      </c>
      <c r="D897" t="s">
        <v>63</v>
      </c>
      <c r="E897">
        <v>85015</v>
      </c>
      <c r="F897" t="s">
        <v>3531</v>
      </c>
      <c r="G897" t="s">
        <v>3580</v>
      </c>
      <c r="H897">
        <v>4855301000</v>
      </c>
      <c r="I897" t="s">
        <v>57</v>
      </c>
      <c r="J897" t="s">
        <v>37</v>
      </c>
      <c r="K897" t="s">
        <v>37</v>
      </c>
      <c r="L897" t="s">
        <v>3586</v>
      </c>
      <c r="M897" t="s">
        <v>37</v>
      </c>
      <c r="N897" t="s">
        <v>37</v>
      </c>
      <c r="O897" t="s">
        <v>38</v>
      </c>
      <c r="P897">
        <v>45947</v>
      </c>
      <c r="Q897" s="55">
        <v>45954</v>
      </c>
      <c r="R897" t="s">
        <v>3587</v>
      </c>
      <c r="S897" t="s">
        <v>5432</v>
      </c>
      <c r="T897" t="s">
        <v>5432</v>
      </c>
      <c r="U897" t="s">
        <v>5432</v>
      </c>
      <c r="W897" s="55"/>
    </row>
    <row r="898" spans="1:23">
      <c r="A898" s="55">
        <v>45944</v>
      </c>
      <c r="B898" t="s">
        <v>3593</v>
      </c>
      <c r="C898" t="s">
        <v>225</v>
      </c>
      <c r="D898" t="s">
        <v>63</v>
      </c>
      <c r="E898">
        <v>85032</v>
      </c>
      <c r="F898" t="s">
        <v>3531</v>
      </c>
      <c r="G898" t="s">
        <v>3580</v>
      </c>
      <c r="H898">
        <v>6922736019</v>
      </c>
      <c r="I898" t="s">
        <v>46</v>
      </c>
      <c r="J898" t="s">
        <v>37</v>
      </c>
      <c r="K898" t="s">
        <v>37</v>
      </c>
      <c r="L898" t="s">
        <v>1586</v>
      </c>
      <c r="M898" t="s">
        <v>37</v>
      </c>
      <c r="N898" t="s">
        <v>37</v>
      </c>
      <c r="O898" t="s">
        <v>38</v>
      </c>
      <c r="P898" t="s">
        <v>39</v>
      </c>
      <c r="Q898" s="55">
        <v>45954</v>
      </c>
      <c r="R898" t="s">
        <v>3595</v>
      </c>
      <c r="S898" t="s">
        <v>5432</v>
      </c>
      <c r="T898" t="s">
        <v>5432</v>
      </c>
      <c r="U898" t="s">
        <v>5432</v>
      </c>
      <c r="W898" s="55"/>
    </row>
    <row r="899" spans="1:23">
      <c r="A899" s="55">
        <v>45944</v>
      </c>
      <c r="B899" t="s">
        <v>167</v>
      </c>
      <c r="C899" t="s">
        <v>3596</v>
      </c>
      <c r="D899" t="s">
        <v>63</v>
      </c>
      <c r="E899">
        <v>85007</v>
      </c>
      <c r="F899" t="s">
        <v>3531</v>
      </c>
      <c r="G899" t="s">
        <v>3580</v>
      </c>
      <c r="H899">
        <v>370184572</v>
      </c>
      <c r="I899" t="s">
        <v>36</v>
      </c>
      <c r="J899" t="s">
        <v>37</v>
      </c>
      <c r="K899" t="s">
        <v>37</v>
      </c>
      <c r="L899" t="s">
        <v>1586</v>
      </c>
      <c r="M899" t="s">
        <v>37</v>
      </c>
      <c r="N899" t="s">
        <v>37</v>
      </c>
      <c r="O899" t="s">
        <v>38</v>
      </c>
      <c r="P899" t="s">
        <v>39</v>
      </c>
      <c r="Q899" s="55">
        <v>45954</v>
      </c>
      <c r="R899" t="s">
        <v>3583</v>
      </c>
      <c r="S899" t="s">
        <v>5432</v>
      </c>
      <c r="T899" t="s">
        <v>5432</v>
      </c>
      <c r="U899" t="s">
        <v>5432</v>
      </c>
      <c r="W899" s="55"/>
    </row>
    <row r="900" spans="1:23">
      <c r="A900" s="55">
        <v>45945</v>
      </c>
      <c r="B900" t="s">
        <v>3601</v>
      </c>
      <c r="C900" t="s">
        <v>440</v>
      </c>
      <c r="D900" t="s">
        <v>3602</v>
      </c>
      <c r="E900">
        <v>86337</v>
      </c>
      <c r="F900" t="s">
        <v>3603</v>
      </c>
      <c r="G900" t="s">
        <v>3604</v>
      </c>
      <c r="H900">
        <v>9297010000</v>
      </c>
      <c r="I900" t="s">
        <v>418</v>
      </c>
      <c r="J900" t="s">
        <v>37</v>
      </c>
      <c r="K900" t="s">
        <v>37</v>
      </c>
      <c r="L900" t="s">
        <v>389</v>
      </c>
      <c r="M900" t="s">
        <v>37</v>
      </c>
      <c r="N900" t="s">
        <v>37</v>
      </c>
      <c r="O900" t="s">
        <v>38</v>
      </c>
      <c r="P900" t="s">
        <v>39</v>
      </c>
      <c r="Q900" s="55">
        <v>45954</v>
      </c>
      <c r="R900" t="s">
        <v>5432</v>
      </c>
      <c r="S900" t="s">
        <v>5432</v>
      </c>
      <c r="T900" t="s">
        <v>5432</v>
      </c>
      <c r="U900" t="s">
        <v>5432</v>
      </c>
      <c r="W900" s="55"/>
    </row>
    <row r="901" spans="1:23">
      <c r="A901" s="55">
        <v>45945</v>
      </c>
      <c r="B901" t="s">
        <v>3606</v>
      </c>
      <c r="C901" t="s">
        <v>3273</v>
      </c>
      <c r="D901" t="s">
        <v>3607</v>
      </c>
      <c r="E901">
        <v>85650</v>
      </c>
      <c r="F901" t="s">
        <v>3608</v>
      </c>
      <c r="G901" t="s">
        <v>3604</v>
      </c>
      <c r="H901">
        <v>7395790000</v>
      </c>
      <c r="I901" t="s">
        <v>36</v>
      </c>
      <c r="J901" t="s">
        <v>37</v>
      </c>
      <c r="K901" t="s">
        <v>37</v>
      </c>
      <c r="L901" t="s">
        <v>1586</v>
      </c>
      <c r="M901" t="s">
        <v>37</v>
      </c>
      <c r="N901" t="s">
        <v>37</v>
      </c>
      <c r="O901" t="s">
        <v>38</v>
      </c>
      <c r="P901" t="s">
        <v>39</v>
      </c>
      <c r="Q901" s="55">
        <v>45954</v>
      </c>
      <c r="R901" t="s">
        <v>5432</v>
      </c>
      <c r="S901" t="s">
        <v>5432</v>
      </c>
      <c r="T901" t="s">
        <v>5432</v>
      </c>
      <c r="U901" t="s">
        <v>5432</v>
      </c>
      <c r="W901" s="55"/>
    </row>
    <row r="902" spans="1:23">
      <c r="A902" s="55">
        <v>45946</v>
      </c>
      <c r="B902" t="s">
        <v>3612</v>
      </c>
      <c r="C902" t="s">
        <v>747</v>
      </c>
      <c r="D902" t="s">
        <v>3613</v>
      </c>
      <c r="E902">
        <v>85553</v>
      </c>
      <c r="F902" t="s">
        <v>3614</v>
      </c>
      <c r="G902" t="s">
        <v>3615</v>
      </c>
      <c r="H902">
        <v>9988610610</v>
      </c>
      <c r="I902" t="s">
        <v>541</v>
      </c>
      <c r="J902" t="s">
        <v>37</v>
      </c>
      <c r="K902" t="s">
        <v>37</v>
      </c>
      <c r="L902" t="s">
        <v>389</v>
      </c>
      <c r="M902" t="s">
        <v>37</v>
      </c>
      <c r="N902" t="s">
        <v>37</v>
      </c>
      <c r="O902" t="s">
        <v>38</v>
      </c>
      <c r="P902" t="s">
        <v>39</v>
      </c>
      <c r="Q902" s="55">
        <v>45954</v>
      </c>
      <c r="R902" t="s">
        <v>5432</v>
      </c>
      <c r="S902" t="s">
        <v>5432</v>
      </c>
      <c r="T902" t="s">
        <v>5432</v>
      </c>
      <c r="U902" t="s">
        <v>5432</v>
      </c>
      <c r="W902" s="55"/>
    </row>
    <row r="903" spans="1:23">
      <c r="A903" s="55">
        <v>45946</v>
      </c>
      <c r="B903" t="s">
        <v>990</v>
      </c>
      <c r="C903" t="s">
        <v>3617</v>
      </c>
      <c r="D903" t="s">
        <v>63</v>
      </c>
      <c r="E903">
        <v>85024</v>
      </c>
      <c r="F903" t="s">
        <v>3618</v>
      </c>
      <c r="G903" t="s">
        <v>3619</v>
      </c>
      <c r="H903">
        <v>7948393933</v>
      </c>
      <c r="I903" t="s">
        <v>36</v>
      </c>
      <c r="J903" t="s">
        <v>37</v>
      </c>
      <c r="K903" t="s">
        <v>37</v>
      </c>
      <c r="L903" t="s">
        <v>1586</v>
      </c>
      <c r="M903" t="s">
        <v>37</v>
      </c>
      <c r="N903" t="s">
        <v>37</v>
      </c>
      <c r="O903" t="s">
        <v>38</v>
      </c>
      <c r="P903" t="s">
        <v>39</v>
      </c>
      <c r="Q903" s="55">
        <v>45954</v>
      </c>
      <c r="R903" t="s">
        <v>5432</v>
      </c>
      <c r="S903" t="s">
        <v>5432</v>
      </c>
      <c r="T903" t="s">
        <v>5432</v>
      </c>
      <c r="U903" t="s">
        <v>5432</v>
      </c>
      <c r="W903" s="55"/>
    </row>
    <row r="904" spans="1:23">
      <c r="A904" s="55">
        <v>45946</v>
      </c>
      <c r="B904" t="s">
        <v>3431</v>
      </c>
      <c r="C904" t="s">
        <v>3621</v>
      </c>
      <c r="D904" t="s">
        <v>816</v>
      </c>
      <c r="E904">
        <v>86301</v>
      </c>
      <c r="F904" t="s">
        <v>3622</v>
      </c>
      <c r="G904" t="s">
        <v>3623</v>
      </c>
      <c r="H904">
        <v>8909137526</v>
      </c>
      <c r="I904" t="s">
        <v>36</v>
      </c>
      <c r="J904" t="s">
        <v>37</v>
      </c>
      <c r="K904" t="s">
        <v>37</v>
      </c>
      <c r="L904" t="s">
        <v>1586</v>
      </c>
      <c r="M904" t="s">
        <v>37</v>
      </c>
      <c r="N904" t="s">
        <v>37</v>
      </c>
      <c r="O904" t="s">
        <v>38</v>
      </c>
      <c r="P904" t="s">
        <v>39</v>
      </c>
      <c r="Q904" s="55">
        <v>45954</v>
      </c>
      <c r="R904" t="s">
        <v>5432</v>
      </c>
      <c r="S904" t="s">
        <v>5432</v>
      </c>
      <c r="T904" t="s">
        <v>5432</v>
      </c>
      <c r="U904" t="s">
        <v>5432</v>
      </c>
      <c r="W904" s="55"/>
    </row>
    <row r="905" spans="1:23">
      <c r="A905" s="55">
        <v>45946</v>
      </c>
      <c r="B905" t="s">
        <v>3625</v>
      </c>
      <c r="C905" t="s">
        <v>382</v>
      </c>
      <c r="D905" t="s">
        <v>619</v>
      </c>
      <c r="E905">
        <v>85364</v>
      </c>
      <c r="F905" t="s">
        <v>3626</v>
      </c>
      <c r="G905" t="s">
        <v>3623</v>
      </c>
      <c r="H905">
        <v>4797590000</v>
      </c>
      <c r="I905" t="s">
        <v>46</v>
      </c>
      <c r="J905" t="s">
        <v>37</v>
      </c>
      <c r="K905" t="s">
        <v>37</v>
      </c>
      <c r="L905" t="s">
        <v>3628</v>
      </c>
      <c r="M905" t="s">
        <v>37</v>
      </c>
      <c r="N905" t="s">
        <v>37</v>
      </c>
      <c r="O905" t="s">
        <v>38</v>
      </c>
      <c r="P905" t="s">
        <v>39</v>
      </c>
      <c r="Q905" s="55">
        <v>45954</v>
      </c>
      <c r="R905" t="s">
        <v>3629</v>
      </c>
      <c r="S905" t="s">
        <v>5432</v>
      </c>
      <c r="T905" t="s">
        <v>5432</v>
      </c>
      <c r="U905" t="s">
        <v>5432</v>
      </c>
      <c r="W905" s="55"/>
    </row>
    <row r="906" spans="1:23">
      <c r="A906" s="55">
        <v>45946</v>
      </c>
      <c r="B906" t="s">
        <v>1134</v>
      </c>
      <c r="C906" t="s">
        <v>991</v>
      </c>
      <c r="D906" t="s">
        <v>63</v>
      </c>
      <c r="E906">
        <v>85006</v>
      </c>
      <c r="F906" t="s">
        <v>3632</v>
      </c>
      <c r="G906" t="s">
        <v>3623</v>
      </c>
      <c r="H906">
        <v>6641580000</v>
      </c>
      <c r="I906" t="s">
        <v>541</v>
      </c>
      <c r="J906" t="s">
        <v>37</v>
      </c>
      <c r="K906" t="s">
        <v>37</v>
      </c>
      <c r="L906" t="s">
        <v>389</v>
      </c>
      <c r="M906" t="s">
        <v>37</v>
      </c>
      <c r="N906" t="s">
        <v>37</v>
      </c>
      <c r="O906" t="s">
        <v>38</v>
      </c>
      <c r="P906" t="s">
        <v>39</v>
      </c>
      <c r="Q906" s="55">
        <v>45954</v>
      </c>
      <c r="R906" t="s">
        <v>5432</v>
      </c>
      <c r="S906" t="s">
        <v>5432</v>
      </c>
      <c r="T906" t="s">
        <v>5432</v>
      </c>
      <c r="U906" t="s">
        <v>5432</v>
      </c>
      <c r="W906" s="55"/>
    </row>
    <row r="907" spans="1:23">
      <c r="A907" s="55">
        <v>45946</v>
      </c>
      <c r="B907" t="s">
        <v>3634</v>
      </c>
      <c r="C907" t="s">
        <v>3635</v>
      </c>
      <c r="D907" t="s">
        <v>504</v>
      </c>
      <c r="E907">
        <v>86005</v>
      </c>
      <c r="F907" t="s">
        <v>3636</v>
      </c>
      <c r="G907" t="s">
        <v>3623</v>
      </c>
      <c r="H907">
        <v>8253620000</v>
      </c>
      <c r="I907" t="s">
        <v>126</v>
      </c>
      <c r="J907" t="s">
        <v>37</v>
      </c>
      <c r="K907" t="s">
        <v>37</v>
      </c>
      <c r="L907" t="s">
        <v>3638</v>
      </c>
      <c r="M907" t="s">
        <v>37</v>
      </c>
      <c r="N907" t="s">
        <v>37</v>
      </c>
      <c r="O907" t="s">
        <v>38</v>
      </c>
      <c r="P907" t="s">
        <v>39</v>
      </c>
      <c r="Q907" s="55">
        <v>45954</v>
      </c>
      <c r="R907" t="s">
        <v>5432</v>
      </c>
      <c r="S907" t="s">
        <v>5432</v>
      </c>
      <c r="T907" t="s">
        <v>5432</v>
      </c>
      <c r="U907" t="s">
        <v>5432</v>
      </c>
      <c r="W907" s="55"/>
    </row>
    <row r="908" spans="1:23">
      <c r="A908" s="55">
        <v>45946</v>
      </c>
      <c r="B908" t="s">
        <v>419</v>
      </c>
      <c r="C908" t="s">
        <v>3639</v>
      </c>
      <c r="D908" t="s">
        <v>63</v>
      </c>
      <c r="E908">
        <v>85029</v>
      </c>
      <c r="F908" t="s">
        <v>3640</v>
      </c>
      <c r="G908" t="s">
        <v>3623</v>
      </c>
      <c r="H908">
        <v>1460051272</v>
      </c>
      <c r="I908" t="s">
        <v>126</v>
      </c>
      <c r="J908" t="s">
        <v>37</v>
      </c>
      <c r="K908" t="s">
        <v>37</v>
      </c>
      <c r="L908" t="s">
        <v>1586</v>
      </c>
      <c r="M908" t="s">
        <v>37</v>
      </c>
      <c r="N908" t="s">
        <v>37</v>
      </c>
      <c r="O908" t="s">
        <v>38</v>
      </c>
      <c r="P908" t="s">
        <v>39</v>
      </c>
      <c r="Q908" s="55">
        <v>45954</v>
      </c>
      <c r="R908" t="s">
        <v>5432</v>
      </c>
      <c r="S908" t="s">
        <v>5432</v>
      </c>
      <c r="T908" t="s">
        <v>5432</v>
      </c>
      <c r="U908" t="s">
        <v>5432</v>
      </c>
      <c r="W908" s="55"/>
    </row>
    <row r="909" spans="1:23">
      <c r="A909" s="55">
        <v>45947</v>
      </c>
      <c r="B909" t="s">
        <v>78</v>
      </c>
      <c r="C909" t="s">
        <v>79</v>
      </c>
      <c r="D909" t="s">
        <v>125</v>
      </c>
      <c r="E909">
        <v>85254</v>
      </c>
      <c r="F909" t="s">
        <v>3642</v>
      </c>
      <c r="G909" t="s">
        <v>3643</v>
      </c>
      <c r="H909">
        <v>7938430000</v>
      </c>
      <c r="I909" t="s">
        <v>81</v>
      </c>
      <c r="J909" t="s">
        <v>37</v>
      </c>
      <c r="K909" t="s">
        <v>37</v>
      </c>
      <c r="L909" t="s">
        <v>389</v>
      </c>
      <c r="M909" t="s">
        <v>37</v>
      </c>
      <c r="N909" t="s">
        <v>37</v>
      </c>
      <c r="O909" t="s">
        <v>38</v>
      </c>
      <c r="P909" t="s">
        <v>39</v>
      </c>
      <c r="Q909" s="55">
        <v>45954</v>
      </c>
      <c r="R909" t="s">
        <v>2873</v>
      </c>
      <c r="S909" t="s">
        <v>5432</v>
      </c>
      <c r="T909" t="s">
        <v>5432</v>
      </c>
      <c r="U909" t="s">
        <v>5432</v>
      </c>
      <c r="W909" s="55"/>
    </row>
    <row r="910" spans="1:23">
      <c r="A910" s="55">
        <v>45947</v>
      </c>
      <c r="B910" t="s">
        <v>3646</v>
      </c>
      <c r="C910" t="s">
        <v>1714</v>
      </c>
      <c r="D910" t="s">
        <v>125</v>
      </c>
      <c r="E910">
        <v>85254</v>
      </c>
      <c r="F910" t="s">
        <v>3647</v>
      </c>
      <c r="G910" t="s">
        <v>3643</v>
      </c>
      <c r="H910">
        <v>474852117</v>
      </c>
      <c r="I910" t="s">
        <v>73</v>
      </c>
      <c r="J910" t="s">
        <v>37</v>
      </c>
      <c r="K910" t="s">
        <v>37</v>
      </c>
      <c r="L910" t="s">
        <v>1586</v>
      </c>
      <c r="M910" t="s">
        <v>37</v>
      </c>
      <c r="N910" t="s">
        <v>37</v>
      </c>
      <c r="O910" t="s">
        <v>38</v>
      </c>
      <c r="P910" t="s">
        <v>39</v>
      </c>
      <c r="Q910" s="55">
        <v>45954</v>
      </c>
      <c r="R910" t="s">
        <v>5432</v>
      </c>
      <c r="S910" t="s">
        <v>5432</v>
      </c>
      <c r="T910" t="s">
        <v>5432</v>
      </c>
      <c r="U910" t="s">
        <v>5432</v>
      </c>
      <c r="W910" s="55"/>
    </row>
    <row r="911" spans="1:23">
      <c r="A911" s="55">
        <v>45951</v>
      </c>
      <c r="B911" t="s">
        <v>3654</v>
      </c>
      <c r="C911" t="s">
        <v>88</v>
      </c>
      <c r="D911" t="s">
        <v>2927</v>
      </c>
      <c r="E911">
        <v>85344</v>
      </c>
      <c r="F911" t="s">
        <v>3655</v>
      </c>
      <c r="G911" t="s">
        <v>3656</v>
      </c>
      <c r="H911">
        <v>352210000</v>
      </c>
      <c r="I911" t="s">
        <v>126</v>
      </c>
      <c r="J911" t="s">
        <v>37</v>
      </c>
      <c r="K911" t="s">
        <v>37</v>
      </c>
      <c r="L911" t="s">
        <v>5432</v>
      </c>
      <c r="M911" t="s">
        <v>37</v>
      </c>
      <c r="N911" t="s">
        <v>37</v>
      </c>
      <c r="O911" t="s">
        <v>38</v>
      </c>
      <c r="P911" t="s">
        <v>39</v>
      </c>
      <c r="Q911" s="55">
        <v>45954</v>
      </c>
      <c r="R911" t="s">
        <v>3658</v>
      </c>
      <c r="S911" t="s">
        <v>5432</v>
      </c>
      <c r="T911" t="s">
        <v>5432</v>
      </c>
      <c r="U911" t="s">
        <v>5432</v>
      </c>
      <c r="W911" s="55"/>
    </row>
    <row r="912" spans="1:23">
      <c r="A912" s="55">
        <v>45951</v>
      </c>
      <c r="B912" t="s">
        <v>3659</v>
      </c>
      <c r="C912" t="s">
        <v>529</v>
      </c>
      <c r="D912" t="s">
        <v>202</v>
      </c>
      <c r="E912">
        <v>85383</v>
      </c>
      <c r="F912" t="s">
        <v>3660</v>
      </c>
      <c r="G912" t="s">
        <v>3661</v>
      </c>
      <c r="H912">
        <v>6253965494</v>
      </c>
      <c r="I912" t="s">
        <v>36</v>
      </c>
      <c r="J912" t="s">
        <v>37</v>
      </c>
      <c r="K912" t="s">
        <v>37</v>
      </c>
      <c r="L912" t="s">
        <v>1586</v>
      </c>
      <c r="M912" t="s">
        <v>37</v>
      </c>
      <c r="N912" t="s">
        <v>37</v>
      </c>
      <c r="O912" t="s">
        <v>38</v>
      </c>
      <c r="P912" t="s">
        <v>39</v>
      </c>
      <c r="Q912" s="55">
        <v>45954</v>
      </c>
      <c r="R912" t="s">
        <v>5432</v>
      </c>
      <c r="S912" t="s">
        <v>5432</v>
      </c>
      <c r="T912" t="s">
        <v>5432</v>
      </c>
      <c r="U912" t="s">
        <v>5432</v>
      </c>
      <c r="W912" s="55"/>
    </row>
    <row r="913" spans="1:23">
      <c r="A913" s="55">
        <v>45951</v>
      </c>
      <c r="B913" t="s">
        <v>3663</v>
      </c>
      <c r="C913" t="s">
        <v>597</v>
      </c>
      <c r="D913" t="s">
        <v>169</v>
      </c>
      <c r="E913">
        <v>85338</v>
      </c>
      <c r="F913" t="s">
        <v>3664</v>
      </c>
      <c r="G913" t="s">
        <v>3661</v>
      </c>
      <c r="H913">
        <v>5084150000</v>
      </c>
      <c r="I913" t="s">
        <v>418</v>
      </c>
      <c r="J913" t="s">
        <v>37</v>
      </c>
      <c r="K913" t="s">
        <v>37</v>
      </c>
      <c r="L913" t="s">
        <v>389</v>
      </c>
      <c r="M913" t="s">
        <v>37</v>
      </c>
      <c r="N913" t="s">
        <v>37</v>
      </c>
      <c r="O913" t="s">
        <v>38</v>
      </c>
      <c r="P913" t="s">
        <v>39</v>
      </c>
      <c r="Q913" s="55">
        <v>45954</v>
      </c>
      <c r="R913" t="s">
        <v>5432</v>
      </c>
      <c r="S913" t="s">
        <v>5432</v>
      </c>
      <c r="T913" t="s">
        <v>5432</v>
      </c>
      <c r="U913" t="s">
        <v>5432</v>
      </c>
      <c r="W913" s="55"/>
    </row>
    <row r="914" spans="1:23">
      <c r="A914" s="55">
        <v>45952</v>
      </c>
      <c r="B914" t="s">
        <v>3670</v>
      </c>
      <c r="C914" t="s">
        <v>3671</v>
      </c>
      <c r="D914" t="s">
        <v>63</v>
      </c>
      <c r="E914">
        <v>85012</v>
      </c>
      <c r="F914" t="s">
        <v>3672</v>
      </c>
      <c r="G914" t="s">
        <v>3668</v>
      </c>
      <c r="H914">
        <v>1507948531</v>
      </c>
      <c r="I914" t="s">
        <v>73</v>
      </c>
      <c r="J914" t="s">
        <v>37</v>
      </c>
      <c r="K914" t="s">
        <v>37</v>
      </c>
      <c r="L914" t="s">
        <v>3674</v>
      </c>
      <c r="M914" t="s">
        <v>37</v>
      </c>
      <c r="N914" t="s">
        <v>37</v>
      </c>
      <c r="O914" t="s">
        <v>38</v>
      </c>
      <c r="P914" t="s">
        <v>39</v>
      </c>
      <c r="Q914" s="55">
        <v>45954</v>
      </c>
      <c r="R914" t="s">
        <v>5432</v>
      </c>
      <c r="S914" t="s">
        <v>5432</v>
      </c>
      <c r="T914" t="s">
        <v>5432</v>
      </c>
      <c r="U914" t="s">
        <v>5432</v>
      </c>
      <c r="W914" s="55"/>
    </row>
    <row r="915" spans="1:23">
      <c r="A915" s="55">
        <v>45952</v>
      </c>
      <c r="B915" t="s">
        <v>3678</v>
      </c>
      <c r="C915" t="s">
        <v>3679</v>
      </c>
      <c r="D915" t="s">
        <v>63</v>
      </c>
      <c r="E915">
        <v>85023</v>
      </c>
      <c r="F915" t="s">
        <v>3680</v>
      </c>
      <c r="G915" t="s">
        <v>3681</v>
      </c>
      <c r="H915">
        <v>1189841000</v>
      </c>
      <c r="I915" t="s">
        <v>36</v>
      </c>
      <c r="J915" t="s">
        <v>37</v>
      </c>
      <c r="K915" t="s">
        <v>38</v>
      </c>
      <c r="L915" t="s">
        <v>1586</v>
      </c>
      <c r="M915" t="s">
        <v>37</v>
      </c>
      <c r="N915" t="s">
        <v>37</v>
      </c>
      <c r="O915" t="s">
        <v>38</v>
      </c>
      <c r="P915" t="s">
        <v>39</v>
      </c>
      <c r="Q915" s="55">
        <v>45954</v>
      </c>
      <c r="R915" t="s">
        <v>5432</v>
      </c>
      <c r="S915" t="s">
        <v>5432</v>
      </c>
      <c r="T915" t="s">
        <v>5432</v>
      </c>
      <c r="U915" t="s">
        <v>5432</v>
      </c>
      <c r="W915" s="55"/>
    </row>
    <row r="916" spans="1:23">
      <c r="A916" s="55">
        <v>45952</v>
      </c>
      <c r="B916" t="s">
        <v>3683</v>
      </c>
      <c r="C916" t="s">
        <v>2454</v>
      </c>
      <c r="D916" t="s">
        <v>174</v>
      </c>
      <c r="E916">
        <v>85396</v>
      </c>
      <c r="F916" t="s">
        <v>3684</v>
      </c>
      <c r="G916" t="s">
        <v>3685</v>
      </c>
      <c r="H916">
        <v>2616411000</v>
      </c>
      <c r="I916" t="s">
        <v>81</v>
      </c>
      <c r="J916" t="s">
        <v>37</v>
      </c>
      <c r="K916" t="s">
        <v>37</v>
      </c>
      <c r="L916" t="s">
        <v>389</v>
      </c>
      <c r="M916" t="s">
        <v>37</v>
      </c>
      <c r="N916" t="s">
        <v>37</v>
      </c>
      <c r="O916" t="s">
        <v>38</v>
      </c>
      <c r="P916" t="s">
        <v>39</v>
      </c>
      <c r="Q916" s="55">
        <v>45954</v>
      </c>
      <c r="R916" t="s">
        <v>5432</v>
      </c>
      <c r="S916" t="s">
        <v>5432</v>
      </c>
      <c r="T916" t="s">
        <v>5432</v>
      </c>
      <c r="U916" t="s">
        <v>5432</v>
      </c>
      <c r="W916" s="55"/>
    </row>
    <row r="917" spans="1:23">
      <c r="A917" s="55">
        <v>45954</v>
      </c>
      <c r="B917" t="s">
        <v>3694</v>
      </c>
      <c r="C917" t="s">
        <v>3695</v>
      </c>
      <c r="D917" t="s">
        <v>174</v>
      </c>
      <c r="E917">
        <v>85326</v>
      </c>
      <c r="F917" t="s">
        <v>3696</v>
      </c>
      <c r="G917" t="s">
        <v>3697</v>
      </c>
      <c r="H917">
        <v>8709456718</v>
      </c>
      <c r="I917" t="s">
        <v>46</v>
      </c>
      <c r="J917" t="s">
        <v>37</v>
      </c>
      <c r="K917" t="s">
        <v>37</v>
      </c>
      <c r="L917" t="s">
        <v>1586</v>
      </c>
      <c r="M917" t="s">
        <v>38</v>
      </c>
      <c r="N917">
        <v>384.67</v>
      </c>
      <c r="O917" t="s">
        <v>38</v>
      </c>
      <c r="P917" t="s">
        <v>39</v>
      </c>
      <c r="Q917" s="55">
        <v>45960</v>
      </c>
      <c r="R917" t="s">
        <v>5432</v>
      </c>
      <c r="S917" t="s">
        <v>5432</v>
      </c>
      <c r="T917" t="s">
        <v>5432</v>
      </c>
      <c r="U917" t="s">
        <v>5432</v>
      </c>
      <c r="W917" s="55"/>
    </row>
    <row r="918" spans="1:23">
      <c r="A918" s="55">
        <v>45954</v>
      </c>
      <c r="B918" t="s">
        <v>3699</v>
      </c>
      <c r="C918" t="s">
        <v>550</v>
      </c>
      <c r="D918" t="s">
        <v>202</v>
      </c>
      <c r="E918">
        <v>85383</v>
      </c>
      <c r="F918" t="s">
        <v>3700</v>
      </c>
      <c r="G918" t="s">
        <v>3697</v>
      </c>
      <c r="H918">
        <v>4263668163</v>
      </c>
      <c r="I918" t="s">
        <v>36</v>
      </c>
      <c r="J918" t="s">
        <v>37</v>
      </c>
      <c r="K918" t="s">
        <v>37</v>
      </c>
      <c r="L918" t="s">
        <v>1586</v>
      </c>
      <c r="M918" t="s">
        <v>37</v>
      </c>
      <c r="N918" t="s">
        <v>37</v>
      </c>
      <c r="O918" t="s">
        <v>38</v>
      </c>
      <c r="P918" t="s">
        <v>39</v>
      </c>
      <c r="Q918" s="55">
        <v>45960</v>
      </c>
      <c r="R918" t="s">
        <v>5432</v>
      </c>
      <c r="S918" t="s">
        <v>5432</v>
      </c>
      <c r="T918" t="s">
        <v>5432</v>
      </c>
      <c r="U918" t="s">
        <v>5432</v>
      </c>
      <c r="W918" s="55"/>
    </row>
    <row r="919" spans="1:23">
      <c r="A919" s="55">
        <v>45954</v>
      </c>
      <c r="B919" t="s">
        <v>3702</v>
      </c>
      <c r="C919" t="s">
        <v>481</v>
      </c>
      <c r="D919" t="s">
        <v>169</v>
      </c>
      <c r="E919">
        <v>85395</v>
      </c>
      <c r="F919" t="s">
        <v>3703</v>
      </c>
      <c r="G919" t="s">
        <v>3697</v>
      </c>
      <c r="H919">
        <v>6573080097</v>
      </c>
      <c r="I919" t="s">
        <v>418</v>
      </c>
      <c r="J919" t="s">
        <v>37</v>
      </c>
      <c r="K919" t="s">
        <v>37</v>
      </c>
      <c r="L919" t="s">
        <v>389</v>
      </c>
      <c r="M919" t="s">
        <v>37</v>
      </c>
      <c r="N919" t="s">
        <v>37</v>
      </c>
      <c r="O919" t="s">
        <v>38</v>
      </c>
      <c r="P919" t="s">
        <v>39</v>
      </c>
      <c r="Q919" s="55">
        <v>45960</v>
      </c>
      <c r="R919" t="s">
        <v>5432</v>
      </c>
      <c r="S919" t="s">
        <v>5432</v>
      </c>
      <c r="T919" t="s">
        <v>5432</v>
      </c>
      <c r="U919" t="s">
        <v>5432</v>
      </c>
      <c r="W919" s="55"/>
    </row>
    <row r="920" spans="1:23">
      <c r="A920" s="55">
        <v>45954</v>
      </c>
      <c r="B920" t="s">
        <v>3705</v>
      </c>
      <c r="C920" t="s">
        <v>2601</v>
      </c>
      <c r="D920" t="s">
        <v>63</v>
      </c>
      <c r="E920">
        <v>85003</v>
      </c>
      <c r="F920" t="s">
        <v>3356</v>
      </c>
      <c r="G920" t="s">
        <v>3706</v>
      </c>
      <c r="H920">
        <v>1205900735</v>
      </c>
      <c r="I920" t="s">
        <v>126</v>
      </c>
      <c r="J920" t="s">
        <v>37</v>
      </c>
      <c r="K920" t="s">
        <v>37</v>
      </c>
      <c r="L920" t="s">
        <v>3708</v>
      </c>
      <c r="M920" t="s">
        <v>38</v>
      </c>
      <c r="N920">
        <v>398.69</v>
      </c>
      <c r="O920" t="s">
        <v>38</v>
      </c>
      <c r="P920" t="s">
        <v>39</v>
      </c>
      <c r="Q920" s="55">
        <v>45960</v>
      </c>
      <c r="R920" t="s">
        <v>5432</v>
      </c>
      <c r="S920" t="s">
        <v>5432</v>
      </c>
      <c r="T920" t="s">
        <v>5432</v>
      </c>
      <c r="U920" t="s">
        <v>5432</v>
      </c>
      <c r="W920" s="55"/>
    </row>
    <row r="921" spans="1:23">
      <c r="A921" s="55">
        <v>45959</v>
      </c>
      <c r="B921" t="s">
        <v>3711</v>
      </c>
      <c r="C921" t="s">
        <v>252</v>
      </c>
      <c r="D921" t="s">
        <v>63</v>
      </c>
      <c r="E921">
        <v>85086</v>
      </c>
      <c r="F921" t="s">
        <v>3531</v>
      </c>
      <c r="G921" t="s">
        <v>3712</v>
      </c>
      <c r="H921">
        <v>1039090000</v>
      </c>
      <c r="I921" t="s">
        <v>36</v>
      </c>
      <c r="J921" t="s">
        <v>38</v>
      </c>
      <c r="K921" t="s">
        <v>37</v>
      </c>
      <c r="L921" t="s">
        <v>3714</v>
      </c>
      <c r="M921" t="s">
        <v>38</v>
      </c>
      <c r="N921">
        <v>318.62</v>
      </c>
      <c r="O921" t="s">
        <v>38</v>
      </c>
      <c r="P921" t="s">
        <v>39</v>
      </c>
      <c r="Q921" s="55">
        <v>45960</v>
      </c>
      <c r="R921" t="s">
        <v>3497</v>
      </c>
      <c r="S921" t="s">
        <v>5432</v>
      </c>
      <c r="T921" t="s">
        <v>5432</v>
      </c>
      <c r="U921" t="s">
        <v>5432</v>
      </c>
      <c r="W921" s="55"/>
    </row>
    <row r="922" spans="1:23">
      <c r="A922" s="55">
        <v>45959</v>
      </c>
      <c r="B922" t="s">
        <v>1879</v>
      </c>
      <c r="C922" t="s">
        <v>3715</v>
      </c>
      <c r="D922" t="s">
        <v>174</v>
      </c>
      <c r="E922">
        <v>85396</v>
      </c>
      <c r="F922" t="s">
        <v>3531</v>
      </c>
      <c r="G922" t="s">
        <v>3712</v>
      </c>
      <c r="H922">
        <v>1754570000</v>
      </c>
      <c r="I922" t="s">
        <v>36</v>
      </c>
      <c r="J922" t="s">
        <v>37</v>
      </c>
      <c r="K922" t="s">
        <v>37</v>
      </c>
      <c r="L922" t="s">
        <v>1586</v>
      </c>
      <c r="M922" t="s">
        <v>37</v>
      </c>
      <c r="N922" t="s">
        <v>37</v>
      </c>
      <c r="O922" t="s">
        <v>38</v>
      </c>
      <c r="P922" t="s">
        <v>39</v>
      </c>
      <c r="Q922" s="55">
        <v>45960</v>
      </c>
      <c r="R922" t="s">
        <v>3497</v>
      </c>
      <c r="S922" t="s">
        <v>5432</v>
      </c>
      <c r="T922" t="s">
        <v>5432</v>
      </c>
      <c r="U922" t="s">
        <v>5432</v>
      </c>
      <c r="W922" s="55"/>
    </row>
    <row r="923" spans="1:23">
      <c r="A923" s="55">
        <v>45959</v>
      </c>
      <c r="B923" t="s">
        <v>3720</v>
      </c>
      <c r="C923" t="s">
        <v>3721</v>
      </c>
      <c r="D923" t="s">
        <v>112</v>
      </c>
      <c r="E923">
        <v>85387</v>
      </c>
      <c r="F923" t="s">
        <v>3531</v>
      </c>
      <c r="G923" t="s">
        <v>3712</v>
      </c>
      <c r="H923">
        <v>1383444423</v>
      </c>
      <c r="I923" t="s">
        <v>36</v>
      </c>
      <c r="J923" t="s">
        <v>37</v>
      </c>
      <c r="K923" t="s">
        <v>37</v>
      </c>
      <c r="L923" t="s">
        <v>1586</v>
      </c>
      <c r="M923" t="s">
        <v>37</v>
      </c>
      <c r="N923" t="s">
        <v>37</v>
      </c>
      <c r="O923" t="s">
        <v>38</v>
      </c>
      <c r="P923" t="s">
        <v>39</v>
      </c>
      <c r="Q923" s="55">
        <v>45960</v>
      </c>
      <c r="R923" t="s">
        <v>3497</v>
      </c>
      <c r="S923" t="s">
        <v>5432</v>
      </c>
      <c r="T923" t="s">
        <v>5432</v>
      </c>
      <c r="U923" t="s">
        <v>5432</v>
      </c>
      <c r="W923" s="55"/>
    </row>
    <row r="924" spans="1:23">
      <c r="A924" s="55">
        <v>45959</v>
      </c>
      <c r="B924" t="s">
        <v>3723</v>
      </c>
      <c r="C924" t="s">
        <v>3724</v>
      </c>
      <c r="D924" t="s">
        <v>112</v>
      </c>
      <c r="E924">
        <v>85379</v>
      </c>
      <c r="F924" t="s">
        <v>3531</v>
      </c>
      <c r="G924" t="s">
        <v>3712</v>
      </c>
      <c r="H924">
        <v>5816055793</v>
      </c>
      <c r="I924" t="s">
        <v>196</v>
      </c>
      <c r="J924" t="s">
        <v>37</v>
      </c>
      <c r="K924" t="s">
        <v>37</v>
      </c>
      <c r="L924" t="s">
        <v>3726</v>
      </c>
      <c r="M924" t="s">
        <v>37</v>
      </c>
      <c r="N924" t="s">
        <v>37</v>
      </c>
      <c r="O924" t="s">
        <v>38</v>
      </c>
      <c r="P924" t="s">
        <v>39</v>
      </c>
      <c r="Q924" s="55">
        <v>45960</v>
      </c>
      <c r="R924" t="s">
        <v>3497</v>
      </c>
      <c r="S924" t="s">
        <v>5432</v>
      </c>
      <c r="T924" t="s">
        <v>5432</v>
      </c>
      <c r="U924" t="s">
        <v>5432</v>
      </c>
      <c r="W924" s="55"/>
    </row>
    <row r="925" spans="1:23">
      <c r="A925" s="55">
        <v>45959</v>
      </c>
      <c r="B925" t="s">
        <v>3729</v>
      </c>
      <c r="C925" t="s">
        <v>3730</v>
      </c>
      <c r="D925" t="s">
        <v>112</v>
      </c>
      <c r="E925">
        <v>85379</v>
      </c>
      <c r="F925" t="s">
        <v>3531</v>
      </c>
      <c r="G925" t="s">
        <v>3712</v>
      </c>
      <c r="H925">
        <v>8510901315</v>
      </c>
      <c r="I925" t="s">
        <v>541</v>
      </c>
      <c r="J925" t="s">
        <v>37</v>
      </c>
      <c r="K925" t="s">
        <v>37</v>
      </c>
      <c r="L925" t="s">
        <v>389</v>
      </c>
      <c r="M925" t="s">
        <v>37</v>
      </c>
      <c r="N925" t="s">
        <v>37</v>
      </c>
      <c r="O925" t="s">
        <v>38</v>
      </c>
      <c r="P925" t="s">
        <v>39</v>
      </c>
      <c r="Q925" s="55">
        <v>45960</v>
      </c>
      <c r="R925" t="s">
        <v>3497</v>
      </c>
      <c r="S925" t="s">
        <v>5432</v>
      </c>
      <c r="T925" t="s">
        <v>5432</v>
      </c>
      <c r="U925" t="s">
        <v>5432</v>
      </c>
      <c r="W925" s="55"/>
    </row>
    <row r="926" spans="1:23">
      <c r="A926" s="55">
        <v>45959</v>
      </c>
      <c r="B926" t="s">
        <v>3431</v>
      </c>
      <c r="C926" t="s">
        <v>1220</v>
      </c>
      <c r="D926" t="s">
        <v>63</v>
      </c>
      <c r="E926">
        <v>85020</v>
      </c>
      <c r="F926" t="s">
        <v>3531</v>
      </c>
      <c r="G926" t="s">
        <v>3734</v>
      </c>
      <c r="H926">
        <v>4077484827</v>
      </c>
      <c r="I926" t="s">
        <v>73</v>
      </c>
      <c r="J926" t="s">
        <v>37</v>
      </c>
      <c r="K926" t="s">
        <v>37</v>
      </c>
      <c r="L926" t="s">
        <v>1586</v>
      </c>
      <c r="M926" t="s">
        <v>37</v>
      </c>
      <c r="N926" t="s">
        <v>37</v>
      </c>
      <c r="O926" t="s">
        <v>38</v>
      </c>
      <c r="P926" t="s">
        <v>39</v>
      </c>
      <c r="Q926" s="55">
        <v>45960</v>
      </c>
      <c r="R926" t="s">
        <v>5432</v>
      </c>
      <c r="S926" t="s">
        <v>5432</v>
      </c>
      <c r="T926" t="s">
        <v>5432</v>
      </c>
      <c r="U926" t="s">
        <v>5432</v>
      </c>
      <c r="W926" s="55"/>
    </row>
    <row r="927" spans="1:23">
      <c r="A927" s="55">
        <v>45959</v>
      </c>
      <c r="B927" t="s">
        <v>3736</v>
      </c>
      <c r="C927" t="s">
        <v>3737</v>
      </c>
      <c r="D927" t="s">
        <v>174</v>
      </c>
      <c r="E927">
        <v>85396</v>
      </c>
      <c r="F927" t="s">
        <v>3738</v>
      </c>
      <c r="G927" t="s">
        <v>3739</v>
      </c>
      <c r="H927">
        <v>1946751000</v>
      </c>
      <c r="I927" t="s">
        <v>36</v>
      </c>
      <c r="J927" t="s">
        <v>37</v>
      </c>
      <c r="K927" t="s">
        <v>37</v>
      </c>
      <c r="L927" t="s">
        <v>1586</v>
      </c>
      <c r="M927" t="s">
        <v>37</v>
      </c>
      <c r="N927" t="s">
        <v>37</v>
      </c>
      <c r="O927" t="s">
        <v>38</v>
      </c>
      <c r="P927" t="s">
        <v>39</v>
      </c>
      <c r="Q927" s="55">
        <v>45960</v>
      </c>
      <c r="R927" t="s">
        <v>5432</v>
      </c>
      <c r="S927" t="s">
        <v>5432</v>
      </c>
      <c r="T927" t="s">
        <v>5432</v>
      </c>
      <c r="U927" t="s">
        <v>5432</v>
      </c>
      <c r="W927" s="55"/>
    </row>
    <row r="928" spans="1:23">
      <c r="A928" s="55">
        <v>45961</v>
      </c>
      <c r="B928" t="s">
        <v>1686</v>
      </c>
      <c r="C928" t="s">
        <v>790</v>
      </c>
      <c r="D928" t="s">
        <v>63</v>
      </c>
      <c r="E928">
        <v>85083</v>
      </c>
      <c r="F928" t="s">
        <v>3531</v>
      </c>
      <c r="G928" t="s">
        <v>3742</v>
      </c>
      <c r="H928">
        <v>7591331000</v>
      </c>
      <c r="I928" t="s">
        <v>243</v>
      </c>
      <c r="J928" t="s">
        <v>37</v>
      </c>
      <c r="K928" t="s">
        <v>37</v>
      </c>
      <c r="L928" t="s">
        <v>389</v>
      </c>
      <c r="M928" t="s">
        <v>37</v>
      </c>
      <c r="N928" t="s">
        <v>37</v>
      </c>
      <c r="O928" t="s">
        <v>38</v>
      </c>
      <c r="P928" t="s">
        <v>39</v>
      </c>
      <c r="Q928" s="55">
        <v>45961</v>
      </c>
      <c r="R928" t="s">
        <v>3497</v>
      </c>
      <c r="S928" t="s">
        <v>5432</v>
      </c>
      <c r="T928" t="s">
        <v>5432</v>
      </c>
      <c r="U928" t="s">
        <v>5432</v>
      </c>
      <c r="W928" s="55"/>
    </row>
    <row r="929" spans="1:23">
      <c r="A929" s="55">
        <v>45961</v>
      </c>
      <c r="B929" t="s">
        <v>367</v>
      </c>
      <c r="C929" t="s">
        <v>3746</v>
      </c>
      <c r="D929" t="s">
        <v>2105</v>
      </c>
      <c r="E929">
        <v>85128</v>
      </c>
      <c r="F929" t="s">
        <v>3531</v>
      </c>
      <c r="G929" t="s">
        <v>3742</v>
      </c>
      <c r="H929">
        <v>6818845467</v>
      </c>
      <c r="I929" t="s">
        <v>36</v>
      </c>
      <c r="J929" t="s">
        <v>37</v>
      </c>
      <c r="K929" t="s">
        <v>37</v>
      </c>
      <c r="L929" t="s">
        <v>1586</v>
      </c>
      <c r="M929" t="s">
        <v>37</v>
      </c>
      <c r="N929" t="s">
        <v>37</v>
      </c>
      <c r="O929" t="s">
        <v>38</v>
      </c>
      <c r="P929" t="s">
        <v>39</v>
      </c>
      <c r="Q929" s="55">
        <v>45961</v>
      </c>
      <c r="R929" t="s">
        <v>3497</v>
      </c>
      <c r="S929" t="s">
        <v>5432</v>
      </c>
      <c r="T929" t="s">
        <v>5432</v>
      </c>
      <c r="U929" t="s">
        <v>5432</v>
      </c>
      <c r="W929" s="55"/>
    </row>
    <row r="930" spans="1:23">
      <c r="A930" s="55">
        <v>45961</v>
      </c>
      <c r="B930" t="s">
        <v>686</v>
      </c>
      <c r="C930" t="s">
        <v>648</v>
      </c>
      <c r="D930" t="s">
        <v>202</v>
      </c>
      <c r="E930">
        <v>85382</v>
      </c>
      <c r="F930" t="s">
        <v>3531</v>
      </c>
      <c r="G930" t="s">
        <v>3742</v>
      </c>
      <c r="H930">
        <v>3806613194</v>
      </c>
      <c r="I930" t="s">
        <v>36</v>
      </c>
      <c r="J930" t="s">
        <v>37</v>
      </c>
      <c r="K930" t="s">
        <v>37</v>
      </c>
      <c r="L930" t="s">
        <v>1586</v>
      </c>
      <c r="M930" t="s">
        <v>37</v>
      </c>
      <c r="N930" t="s">
        <v>37</v>
      </c>
      <c r="O930" t="s">
        <v>38</v>
      </c>
      <c r="P930" t="s">
        <v>39</v>
      </c>
      <c r="Q930" s="55">
        <v>45961</v>
      </c>
      <c r="R930" t="s">
        <v>3497</v>
      </c>
      <c r="S930" t="s">
        <v>5432</v>
      </c>
      <c r="T930" t="s">
        <v>5432</v>
      </c>
      <c r="U930" t="s">
        <v>5432</v>
      </c>
      <c r="W930" s="55"/>
    </row>
    <row r="931" spans="1:23">
      <c r="A931" s="55">
        <v>45961</v>
      </c>
      <c r="B931" t="s">
        <v>3750</v>
      </c>
      <c r="C931" t="s">
        <v>3751</v>
      </c>
      <c r="D931" t="s">
        <v>174</v>
      </c>
      <c r="E931">
        <v>85326</v>
      </c>
      <c r="F931" t="s">
        <v>3531</v>
      </c>
      <c r="G931" t="s">
        <v>3742</v>
      </c>
      <c r="H931">
        <v>3297731000</v>
      </c>
      <c r="I931" t="s">
        <v>3753</v>
      </c>
      <c r="J931" t="s">
        <v>38</v>
      </c>
      <c r="K931" t="s">
        <v>37</v>
      </c>
      <c r="L931" t="s">
        <v>389</v>
      </c>
      <c r="M931" t="s">
        <v>37</v>
      </c>
      <c r="N931" t="s">
        <v>37</v>
      </c>
      <c r="O931" t="s">
        <v>38</v>
      </c>
      <c r="P931" t="s">
        <v>39</v>
      </c>
      <c r="Q931" s="55">
        <v>45961</v>
      </c>
      <c r="R931" t="s">
        <v>3497</v>
      </c>
      <c r="S931" t="s">
        <v>5432</v>
      </c>
      <c r="T931" t="s">
        <v>5432</v>
      </c>
      <c r="U931" t="s">
        <v>5432</v>
      </c>
      <c r="W931" s="55"/>
    </row>
    <row r="932" spans="1:23">
      <c r="A932" s="55">
        <v>45959</v>
      </c>
      <c r="B932" t="s">
        <v>3754</v>
      </c>
      <c r="C932" t="s">
        <v>3755</v>
      </c>
      <c r="D932" t="s">
        <v>63</v>
      </c>
      <c r="E932">
        <v>85032</v>
      </c>
      <c r="F932" t="s">
        <v>3756</v>
      </c>
      <c r="G932" t="s">
        <v>3757</v>
      </c>
      <c r="H932">
        <v>2271888532</v>
      </c>
      <c r="I932" t="s">
        <v>126</v>
      </c>
      <c r="J932" t="s">
        <v>37</v>
      </c>
      <c r="K932" t="s">
        <v>37</v>
      </c>
      <c r="L932" t="s">
        <v>401</v>
      </c>
      <c r="M932" t="s">
        <v>37</v>
      </c>
      <c r="N932" t="s">
        <v>37</v>
      </c>
      <c r="O932" t="s">
        <v>38</v>
      </c>
      <c r="P932" t="s">
        <v>39</v>
      </c>
      <c r="Q932" s="55">
        <v>45964</v>
      </c>
      <c r="R932" t="s">
        <v>5432</v>
      </c>
      <c r="S932" t="s">
        <v>5432</v>
      </c>
      <c r="T932" t="s">
        <v>5432</v>
      </c>
      <c r="U932" t="s">
        <v>5432</v>
      </c>
      <c r="W932" s="55"/>
    </row>
    <row r="933" spans="1:23">
      <c r="A933" s="55">
        <v>45961</v>
      </c>
      <c r="B933" t="s">
        <v>3759</v>
      </c>
      <c r="C933" t="s">
        <v>2258</v>
      </c>
      <c r="D933" t="s">
        <v>63</v>
      </c>
      <c r="E933">
        <v>85050</v>
      </c>
      <c r="F933" t="s">
        <v>3531</v>
      </c>
      <c r="G933" t="s">
        <v>3757</v>
      </c>
      <c r="H933">
        <v>6473321000</v>
      </c>
      <c r="I933" t="s">
        <v>126</v>
      </c>
      <c r="J933" t="s">
        <v>37</v>
      </c>
      <c r="K933" t="s">
        <v>37</v>
      </c>
      <c r="L933" t="s">
        <v>38</v>
      </c>
      <c r="M933" t="s">
        <v>38</v>
      </c>
      <c r="N933">
        <v>302.06</v>
      </c>
      <c r="O933" t="s">
        <v>38</v>
      </c>
      <c r="P933" t="s">
        <v>39</v>
      </c>
      <c r="Q933" s="55">
        <v>45964</v>
      </c>
      <c r="R933" t="s">
        <v>5432</v>
      </c>
      <c r="S933" t="s">
        <v>5432</v>
      </c>
      <c r="T933" t="s">
        <v>5432</v>
      </c>
      <c r="U933" t="s">
        <v>5432</v>
      </c>
      <c r="W933" s="55"/>
    </row>
    <row r="934" spans="1:23">
      <c r="A934" s="55">
        <v>45959</v>
      </c>
      <c r="B934" t="s">
        <v>3761</v>
      </c>
      <c r="C934" t="s">
        <v>3762</v>
      </c>
      <c r="D934" t="s">
        <v>63</v>
      </c>
      <c r="E934">
        <v>85032</v>
      </c>
      <c r="F934" t="s">
        <v>3756</v>
      </c>
      <c r="G934" t="s">
        <v>3757</v>
      </c>
      <c r="H934">
        <v>2271888532</v>
      </c>
      <c r="I934" t="s">
        <v>126</v>
      </c>
      <c r="J934" t="s">
        <v>37</v>
      </c>
      <c r="K934" t="s">
        <v>37</v>
      </c>
      <c r="L934" t="s">
        <v>401</v>
      </c>
      <c r="M934" t="s">
        <v>37</v>
      </c>
      <c r="N934" t="s">
        <v>37</v>
      </c>
      <c r="O934" t="s">
        <v>38</v>
      </c>
      <c r="P934" t="s">
        <v>39</v>
      </c>
      <c r="Q934" s="55">
        <v>45964</v>
      </c>
      <c r="R934" t="s">
        <v>5432</v>
      </c>
      <c r="S934" t="s">
        <v>5432</v>
      </c>
      <c r="T934" t="s">
        <v>5432</v>
      </c>
      <c r="U934" t="s">
        <v>5432</v>
      </c>
      <c r="W934" s="55"/>
    </row>
    <row r="935" spans="1:23">
      <c r="A935" s="55">
        <v>45959</v>
      </c>
      <c r="B935" t="s">
        <v>2781</v>
      </c>
      <c r="C935" t="s">
        <v>2380</v>
      </c>
      <c r="D935" t="s">
        <v>89</v>
      </c>
      <c r="E935">
        <v>86351</v>
      </c>
      <c r="F935" t="s">
        <v>3764</v>
      </c>
      <c r="G935" t="s">
        <v>3757</v>
      </c>
      <c r="H935">
        <v>9549931000</v>
      </c>
      <c r="I935" t="s">
        <v>57</v>
      </c>
      <c r="J935" t="s">
        <v>37</v>
      </c>
      <c r="K935" t="s">
        <v>37</v>
      </c>
      <c r="L935" t="s">
        <v>2784</v>
      </c>
      <c r="M935" t="s">
        <v>37</v>
      </c>
      <c r="N935" t="s">
        <v>37</v>
      </c>
      <c r="O935" t="s">
        <v>38</v>
      </c>
      <c r="P935">
        <v>45971</v>
      </c>
      <c r="Q935" s="55">
        <v>45964</v>
      </c>
      <c r="R935" t="s">
        <v>2172</v>
      </c>
      <c r="S935" t="s">
        <v>5432</v>
      </c>
      <c r="T935" t="s">
        <v>5432</v>
      </c>
      <c r="U935" t="s">
        <v>5432</v>
      </c>
      <c r="W935" s="55"/>
    </row>
    <row r="936" spans="1:23">
      <c r="A936" s="55">
        <v>45959</v>
      </c>
      <c r="B936" t="s">
        <v>3765</v>
      </c>
      <c r="C936" t="s">
        <v>3766</v>
      </c>
      <c r="D936" t="s">
        <v>63</v>
      </c>
      <c r="E936">
        <v>85085</v>
      </c>
      <c r="F936" t="s">
        <v>3767</v>
      </c>
      <c r="G936" t="s">
        <v>3757</v>
      </c>
      <c r="H936">
        <v>3214901000</v>
      </c>
      <c r="I936" t="s">
        <v>36</v>
      </c>
      <c r="J936" t="s">
        <v>37</v>
      </c>
      <c r="K936" t="s">
        <v>37</v>
      </c>
      <c r="L936" t="s">
        <v>38</v>
      </c>
      <c r="M936" t="s">
        <v>37</v>
      </c>
      <c r="N936" t="s">
        <v>37</v>
      </c>
      <c r="O936" t="s">
        <v>38</v>
      </c>
      <c r="P936" t="s">
        <v>39</v>
      </c>
      <c r="Q936" s="55">
        <v>45964</v>
      </c>
      <c r="R936" t="s">
        <v>5432</v>
      </c>
      <c r="S936" t="s">
        <v>5432</v>
      </c>
      <c r="T936" t="s">
        <v>5432</v>
      </c>
      <c r="U936" t="s">
        <v>5432</v>
      </c>
      <c r="W936" s="55"/>
    </row>
    <row r="937" spans="1:23">
      <c r="A937" s="55">
        <v>45961</v>
      </c>
      <c r="B937" t="s">
        <v>3775</v>
      </c>
      <c r="C937" t="s">
        <v>481</v>
      </c>
      <c r="D937" t="s">
        <v>698</v>
      </c>
      <c r="E937">
        <v>85375</v>
      </c>
      <c r="F937" t="s">
        <v>3776</v>
      </c>
      <c r="G937" t="s">
        <v>3777</v>
      </c>
      <c r="H937">
        <v>1150201000</v>
      </c>
      <c r="I937" t="s">
        <v>541</v>
      </c>
      <c r="J937" t="s">
        <v>37</v>
      </c>
      <c r="K937" t="s">
        <v>37</v>
      </c>
      <c r="L937" t="s">
        <v>389</v>
      </c>
      <c r="M937" t="s">
        <v>37</v>
      </c>
      <c r="N937" t="s">
        <v>37</v>
      </c>
      <c r="O937" t="s">
        <v>38</v>
      </c>
      <c r="P937" t="s">
        <v>39</v>
      </c>
      <c r="Q937" s="55">
        <v>45964</v>
      </c>
      <c r="R937" t="s">
        <v>3779</v>
      </c>
      <c r="S937" t="s">
        <v>5432</v>
      </c>
      <c r="T937" t="s">
        <v>5432</v>
      </c>
      <c r="U937" t="s">
        <v>5432</v>
      </c>
      <c r="W937" s="55"/>
    </row>
    <row r="938" spans="1:23">
      <c r="A938" s="55">
        <v>45961</v>
      </c>
      <c r="B938" t="s">
        <v>3786</v>
      </c>
      <c r="C938" t="s">
        <v>230</v>
      </c>
      <c r="D938" t="s">
        <v>30</v>
      </c>
      <c r="E938" t="s">
        <v>30</v>
      </c>
      <c r="F938" t="s">
        <v>3787</v>
      </c>
      <c r="G938" t="s">
        <v>3784</v>
      </c>
      <c r="H938">
        <v>9452141000</v>
      </c>
      <c r="I938" t="s">
        <v>126</v>
      </c>
      <c r="J938" t="s">
        <v>37</v>
      </c>
      <c r="K938" t="s">
        <v>37</v>
      </c>
      <c r="L938" t="s">
        <v>38</v>
      </c>
      <c r="M938" t="s">
        <v>37</v>
      </c>
      <c r="N938" t="s">
        <v>37</v>
      </c>
      <c r="O938" t="s">
        <v>38</v>
      </c>
      <c r="P938" t="s">
        <v>39</v>
      </c>
      <c r="Q938" s="55">
        <v>45965</v>
      </c>
      <c r="R938" t="s">
        <v>5432</v>
      </c>
      <c r="S938" t="s">
        <v>5432</v>
      </c>
      <c r="T938" t="s">
        <v>5432</v>
      </c>
      <c r="U938" t="s">
        <v>5432</v>
      </c>
      <c r="W938" s="55"/>
    </row>
    <row r="939" spans="1:23">
      <c r="A939" s="55">
        <v>45961</v>
      </c>
      <c r="B939" t="s">
        <v>2963</v>
      </c>
      <c r="C939" t="s">
        <v>3791</v>
      </c>
      <c r="D939" t="s">
        <v>24</v>
      </c>
      <c r="E939">
        <v>85310</v>
      </c>
      <c r="F939" t="s">
        <v>3531</v>
      </c>
      <c r="G939" t="s">
        <v>3792</v>
      </c>
      <c r="H939">
        <v>4309031000</v>
      </c>
      <c r="I939" t="s">
        <v>46</v>
      </c>
      <c r="J939" t="s">
        <v>37</v>
      </c>
      <c r="K939" t="s">
        <v>37</v>
      </c>
      <c r="L939" t="s">
        <v>38</v>
      </c>
      <c r="M939" t="s">
        <v>37</v>
      </c>
      <c r="N939" t="s">
        <v>37</v>
      </c>
      <c r="O939" t="s">
        <v>38</v>
      </c>
      <c r="P939" t="s">
        <v>39</v>
      </c>
      <c r="Q939" s="55">
        <v>45965</v>
      </c>
      <c r="R939" t="s">
        <v>5432</v>
      </c>
      <c r="S939" t="s">
        <v>5432</v>
      </c>
      <c r="T939" t="s">
        <v>5432</v>
      </c>
      <c r="U939" t="s">
        <v>5432</v>
      </c>
      <c r="W939" s="55"/>
    </row>
    <row r="940" spans="1:23">
      <c r="A940" s="55">
        <v>45964</v>
      </c>
      <c r="B940" t="s">
        <v>210</v>
      </c>
      <c r="C940" t="s">
        <v>211</v>
      </c>
      <c r="D940" t="s">
        <v>85</v>
      </c>
      <c r="E940">
        <v>86323</v>
      </c>
      <c r="F940" t="s">
        <v>3794</v>
      </c>
      <c r="G940" t="s">
        <v>3792</v>
      </c>
      <c r="H940">
        <v>4707610000</v>
      </c>
      <c r="I940" t="s">
        <v>73</v>
      </c>
      <c r="J940" t="s">
        <v>37</v>
      </c>
      <c r="K940" t="s">
        <v>37</v>
      </c>
      <c r="L940" t="s">
        <v>38</v>
      </c>
      <c r="M940" t="s">
        <v>37</v>
      </c>
      <c r="N940" t="s">
        <v>37</v>
      </c>
      <c r="O940" t="s">
        <v>38</v>
      </c>
      <c r="P940" t="s">
        <v>39</v>
      </c>
      <c r="Q940" s="55">
        <v>45965</v>
      </c>
      <c r="R940" t="s">
        <v>5432</v>
      </c>
      <c r="S940" t="s">
        <v>5432</v>
      </c>
      <c r="T940" t="s">
        <v>5432</v>
      </c>
      <c r="U940" t="s">
        <v>5432</v>
      </c>
      <c r="W940" s="55"/>
    </row>
    <row r="941" spans="1:23">
      <c r="A941" s="55">
        <v>45961</v>
      </c>
      <c r="B941" t="s">
        <v>1776</v>
      </c>
      <c r="C941" t="s">
        <v>1079</v>
      </c>
      <c r="D941" t="s">
        <v>43</v>
      </c>
      <c r="E941">
        <v>85363</v>
      </c>
      <c r="F941" t="s">
        <v>3531</v>
      </c>
      <c r="G941" t="s">
        <v>3792</v>
      </c>
      <c r="H941">
        <v>6003957639</v>
      </c>
      <c r="I941" t="s">
        <v>196</v>
      </c>
      <c r="J941" t="s">
        <v>37</v>
      </c>
      <c r="K941" t="s">
        <v>37</v>
      </c>
      <c r="L941" t="s">
        <v>3799</v>
      </c>
      <c r="M941" t="s">
        <v>38</v>
      </c>
      <c r="N941">
        <v>1482.25</v>
      </c>
      <c r="O941" t="s">
        <v>38</v>
      </c>
      <c r="P941" t="s">
        <v>5432</v>
      </c>
      <c r="Q941" s="55">
        <v>45965</v>
      </c>
      <c r="R941" t="s">
        <v>3800</v>
      </c>
      <c r="S941" t="s">
        <v>5432</v>
      </c>
      <c r="T941" t="s">
        <v>5432</v>
      </c>
      <c r="U941" t="s">
        <v>5432</v>
      </c>
      <c r="W941" s="55"/>
    </row>
    <row r="942" spans="1:23">
      <c r="A942" s="55">
        <v>45962</v>
      </c>
      <c r="B942" t="s">
        <v>3801</v>
      </c>
      <c r="C942" t="s">
        <v>611</v>
      </c>
      <c r="D942" t="s">
        <v>63</v>
      </c>
      <c r="E942">
        <v>85029</v>
      </c>
      <c r="F942" t="s">
        <v>3802</v>
      </c>
      <c r="G942" t="s">
        <v>3792</v>
      </c>
      <c r="H942">
        <v>5470751000</v>
      </c>
      <c r="I942" t="s">
        <v>36</v>
      </c>
      <c r="J942" t="s">
        <v>37</v>
      </c>
      <c r="K942" t="s">
        <v>37</v>
      </c>
      <c r="L942" t="s">
        <v>38</v>
      </c>
      <c r="M942" t="s">
        <v>37</v>
      </c>
      <c r="N942" t="s">
        <v>37</v>
      </c>
      <c r="O942" t="s">
        <v>38</v>
      </c>
      <c r="P942" t="s">
        <v>39</v>
      </c>
      <c r="Q942" s="55">
        <v>45965</v>
      </c>
      <c r="R942" t="s">
        <v>5432</v>
      </c>
      <c r="S942" t="s">
        <v>5432</v>
      </c>
      <c r="T942" t="s">
        <v>5432</v>
      </c>
      <c r="U942" t="s">
        <v>5432</v>
      </c>
      <c r="W942" s="55"/>
    </row>
    <row r="943" spans="1:23">
      <c r="A943" s="55">
        <v>45963</v>
      </c>
      <c r="B943" t="s">
        <v>3804</v>
      </c>
      <c r="C943" t="s">
        <v>135</v>
      </c>
      <c r="D943" t="s">
        <v>737</v>
      </c>
      <c r="E943">
        <v>86326</v>
      </c>
      <c r="F943" t="s">
        <v>3805</v>
      </c>
      <c r="G943" t="s">
        <v>3792</v>
      </c>
      <c r="H943">
        <v>9058887734</v>
      </c>
      <c r="I943" t="s">
        <v>541</v>
      </c>
      <c r="J943" t="s">
        <v>37</v>
      </c>
      <c r="K943" t="s">
        <v>37</v>
      </c>
      <c r="L943" t="s">
        <v>389</v>
      </c>
      <c r="M943" t="s">
        <v>37</v>
      </c>
      <c r="N943" t="s">
        <v>37</v>
      </c>
      <c r="O943" t="s">
        <v>38</v>
      </c>
      <c r="P943" t="s">
        <v>39</v>
      </c>
      <c r="Q943" s="55">
        <v>45965</v>
      </c>
      <c r="R943" t="s">
        <v>5432</v>
      </c>
      <c r="S943" t="s">
        <v>5432</v>
      </c>
      <c r="T943" t="s">
        <v>5432</v>
      </c>
      <c r="U943" t="s">
        <v>5432</v>
      </c>
      <c r="W943" s="55"/>
    </row>
    <row r="944" spans="1:23">
      <c r="A944" s="55">
        <v>45965</v>
      </c>
      <c r="B944" t="s">
        <v>3807</v>
      </c>
      <c r="C944" t="s">
        <v>3808</v>
      </c>
      <c r="D944" t="s">
        <v>68</v>
      </c>
      <c r="E944">
        <v>85331</v>
      </c>
      <c r="F944" t="s">
        <v>3809</v>
      </c>
      <c r="G944" t="s">
        <v>3810</v>
      </c>
      <c r="H944">
        <v>3801590000</v>
      </c>
      <c r="I944" t="s">
        <v>36</v>
      </c>
      <c r="J944" t="s">
        <v>37</v>
      </c>
      <c r="K944" t="s">
        <v>37</v>
      </c>
      <c r="L944" t="s">
        <v>38</v>
      </c>
      <c r="M944" t="s">
        <v>37</v>
      </c>
      <c r="N944" t="s">
        <v>37</v>
      </c>
      <c r="O944" t="s">
        <v>38</v>
      </c>
      <c r="P944" t="s">
        <v>39</v>
      </c>
      <c r="Q944" s="55">
        <v>45966</v>
      </c>
      <c r="R944" t="s">
        <v>5432</v>
      </c>
      <c r="S944" t="s">
        <v>5432</v>
      </c>
      <c r="T944" t="s">
        <v>5432</v>
      </c>
      <c r="U944" t="s">
        <v>5432</v>
      </c>
      <c r="W944" s="55"/>
    </row>
    <row r="945" spans="1:23">
      <c r="A945" s="55">
        <v>45906</v>
      </c>
      <c r="B945" t="s">
        <v>2484</v>
      </c>
      <c r="C945" t="s">
        <v>320</v>
      </c>
      <c r="D945" t="s">
        <v>504</v>
      </c>
      <c r="E945">
        <v>86005</v>
      </c>
      <c r="F945" t="s">
        <v>3756</v>
      </c>
      <c r="G945" t="s">
        <v>3810</v>
      </c>
      <c r="H945">
        <v>3505651000</v>
      </c>
      <c r="I945" t="s">
        <v>1684</v>
      </c>
      <c r="J945" t="s">
        <v>37</v>
      </c>
      <c r="K945" t="s">
        <v>37</v>
      </c>
      <c r="L945" t="s">
        <v>3813</v>
      </c>
      <c r="M945" t="s">
        <v>37</v>
      </c>
      <c r="N945" t="s">
        <v>37</v>
      </c>
      <c r="O945" t="s">
        <v>38</v>
      </c>
      <c r="P945">
        <v>45971</v>
      </c>
      <c r="Q945" s="55">
        <v>45966</v>
      </c>
      <c r="R945" t="s">
        <v>3814</v>
      </c>
      <c r="S945" t="s">
        <v>5432</v>
      </c>
      <c r="T945" t="s">
        <v>5432</v>
      </c>
      <c r="U945" t="s">
        <v>5432</v>
      </c>
      <c r="W945" s="55"/>
    </row>
    <row r="946" spans="1:23">
      <c r="A946" s="55">
        <v>45964</v>
      </c>
      <c r="B946" t="s">
        <v>3815</v>
      </c>
      <c r="C946" t="s">
        <v>133</v>
      </c>
      <c r="D946" t="s">
        <v>125</v>
      </c>
      <c r="E946">
        <v>85255</v>
      </c>
      <c r="F946" t="s">
        <v>3816</v>
      </c>
      <c r="G946" t="s">
        <v>3817</v>
      </c>
      <c r="H946">
        <v>2990380000</v>
      </c>
      <c r="I946" t="s">
        <v>196</v>
      </c>
      <c r="J946" t="s">
        <v>37</v>
      </c>
      <c r="K946" t="s">
        <v>37</v>
      </c>
      <c r="L946" t="s">
        <v>3819</v>
      </c>
      <c r="M946" t="s">
        <v>37</v>
      </c>
      <c r="N946" t="s">
        <v>37</v>
      </c>
      <c r="O946" t="s">
        <v>38</v>
      </c>
      <c r="P946">
        <v>45971</v>
      </c>
      <c r="Q946" s="55">
        <v>45966</v>
      </c>
      <c r="R946" t="s">
        <v>3820</v>
      </c>
      <c r="S946" t="s">
        <v>5432</v>
      </c>
      <c r="T946" t="s">
        <v>5432</v>
      </c>
      <c r="U946" t="s">
        <v>5432</v>
      </c>
      <c r="W946" s="55"/>
    </row>
    <row r="947" spans="1:23">
      <c r="A947" s="55">
        <v>45966</v>
      </c>
      <c r="B947" t="s">
        <v>3821</v>
      </c>
      <c r="C947" t="s">
        <v>784</v>
      </c>
      <c r="D947" t="s">
        <v>63</v>
      </c>
      <c r="E947">
        <v>85022</v>
      </c>
      <c r="F947" t="s">
        <v>3822</v>
      </c>
      <c r="G947" t="s">
        <v>3823</v>
      </c>
      <c r="H947">
        <v>3304816868</v>
      </c>
      <c r="I947" t="s">
        <v>196</v>
      </c>
      <c r="J947" t="s">
        <v>37</v>
      </c>
      <c r="K947" t="s">
        <v>37</v>
      </c>
      <c r="L947" t="s">
        <v>3825</v>
      </c>
      <c r="M947" t="s">
        <v>38</v>
      </c>
      <c r="N947">
        <v>99.98</v>
      </c>
      <c r="O947" t="s">
        <v>38</v>
      </c>
      <c r="P947" t="s">
        <v>39</v>
      </c>
      <c r="Q947" s="55">
        <v>45967</v>
      </c>
      <c r="R947" t="s">
        <v>3826</v>
      </c>
      <c r="S947" t="s">
        <v>5432</v>
      </c>
      <c r="T947" t="s">
        <v>5432</v>
      </c>
      <c r="U947" t="s">
        <v>5432</v>
      </c>
      <c r="W947" s="55"/>
    </row>
    <row r="948" spans="1:23">
      <c r="A948" s="55">
        <v>45966</v>
      </c>
      <c r="B948" t="s">
        <v>3829</v>
      </c>
      <c r="C948" t="s">
        <v>3830</v>
      </c>
      <c r="D948" t="s">
        <v>174</v>
      </c>
      <c r="E948">
        <v>85326</v>
      </c>
      <c r="F948" t="s">
        <v>3831</v>
      </c>
      <c r="G948" t="s">
        <v>3823</v>
      </c>
      <c r="H948">
        <v>7319203567</v>
      </c>
      <c r="I948" t="s">
        <v>36</v>
      </c>
      <c r="J948" t="s">
        <v>37</v>
      </c>
      <c r="K948" t="s">
        <v>37</v>
      </c>
      <c r="L948" t="s">
        <v>38</v>
      </c>
      <c r="M948" t="s">
        <v>38</v>
      </c>
      <c r="N948">
        <v>1209</v>
      </c>
      <c r="O948" t="s">
        <v>38</v>
      </c>
      <c r="P948" t="s">
        <v>5432</v>
      </c>
      <c r="Q948" s="55">
        <v>45967</v>
      </c>
      <c r="R948" t="s">
        <v>495</v>
      </c>
      <c r="S948" t="s">
        <v>5432</v>
      </c>
      <c r="T948" t="s">
        <v>5432</v>
      </c>
      <c r="U948" t="s">
        <v>5432</v>
      </c>
      <c r="W948" s="55"/>
    </row>
    <row r="949" spans="1:23">
      <c r="A949" s="55">
        <v>45967</v>
      </c>
      <c r="B949" t="s">
        <v>3836</v>
      </c>
      <c r="C949" t="s">
        <v>3837</v>
      </c>
      <c r="D949" t="s">
        <v>3838</v>
      </c>
      <c r="E949">
        <v>85354</v>
      </c>
      <c r="F949" t="s">
        <v>3839</v>
      </c>
      <c r="G949" t="s">
        <v>3840</v>
      </c>
      <c r="H949">
        <v>3647741244</v>
      </c>
      <c r="I949" t="s">
        <v>36</v>
      </c>
      <c r="J949" t="s">
        <v>37</v>
      </c>
      <c r="K949" t="s">
        <v>37</v>
      </c>
      <c r="L949" t="s">
        <v>38</v>
      </c>
      <c r="M949" t="s">
        <v>38</v>
      </c>
      <c r="N949">
        <v>347.99</v>
      </c>
      <c r="O949" t="s">
        <v>38</v>
      </c>
      <c r="P949" t="s">
        <v>39</v>
      </c>
      <c r="Q949" s="55">
        <v>45968</v>
      </c>
      <c r="R949" t="s">
        <v>5432</v>
      </c>
      <c r="S949" t="s">
        <v>5432</v>
      </c>
      <c r="T949" t="s">
        <v>5432</v>
      </c>
      <c r="U949" t="s">
        <v>5432</v>
      </c>
      <c r="W949" s="55"/>
    </row>
    <row r="950" spans="1:23">
      <c r="A950" s="55">
        <v>45967</v>
      </c>
      <c r="B950" t="s">
        <v>3842</v>
      </c>
      <c r="C950" t="s">
        <v>3843</v>
      </c>
      <c r="D950" t="s">
        <v>3538</v>
      </c>
      <c r="E950">
        <v>85743</v>
      </c>
      <c r="F950" t="s">
        <v>3844</v>
      </c>
      <c r="G950" t="s">
        <v>3840</v>
      </c>
      <c r="I950" t="s">
        <v>5432</v>
      </c>
      <c r="J950" t="s">
        <v>5432</v>
      </c>
      <c r="K950" t="s">
        <v>5432</v>
      </c>
      <c r="L950" t="s">
        <v>5432</v>
      </c>
      <c r="M950" t="s">
        <v>5432</v>
      </c>
      <c r="N950" t="s">
        <v>5432</v>
      </c>
      <c r="O950" t="s">
        <v>5432</v>
      </c>
      <c r="P950" t="s">
        <v>5432</v>
      </c>
      <c r="Q950" s="55"/>
      <c r="R950" t="s">
        <v>5432</v>
      </c>
      <c r="S950" t="s">
        <v>5432</v>
      </c>
      <c r="T950" t="s">
        <v>5432</v>
      </c>
      <c r="U950" t="s">
        <v>5432</v>
      </c>
      <c r="W950" s="55"/>
    </row>
    <row r="951" spans="1:23">
      <c r="A951" s="55">
        <v>45967</v>
      </c>
      <c r="B951" t="s">
        <v>3845</v>
      </c>
      <c r="C951" t="s">
        <v>3846</v>
      </c>
      <c r="D951" t="s">
        <v>24</v>
      </c>
      <c r="E951">
        <v>85308</v>
      </c>
      <c r="F951" t="s">
        <v>3847</v>
      </c>
      <c r="G951" t="s">
        <v>3840</v>
      </c>
      <c r="H951">
        <v>9909801000</v>
      </c>
      <c r="I951" t="s">
        <v>36</v>
      </c>
      <c r="J951" t="s">
        <v>37</v>
      </c>
      <c r="K951" t="s">
        <v>37</v>
      </c>
      <c r="L951" t="s">
        <v>38</v>
      </c>
      <c r="M951" t="s">
        <v>37</v>
      </c>
      <c r="N951" t="s">
        <v>37</v>
      </c>
      <c r="O951" t="s">
        <v>38</v>
      </c>
      <c r="P951" t="s">
        <v>39</v>
      </c>
      <c r="Q951" s="55">
        <v>45968</v>
      </c>
      <c r="R951" t="s">
        <v>5432</v>
      </c>
      <c r="S951" t="s">
        <v>5432</v>
      </c>
      <c r="T951" t="s">
        <v>5432</v>
      </c>
      <c r="U951" t="s">
        <v>5432</v>
      </c>
      <c r="W951" s="55"/>
    </row>
    <row r="952" spans="1:23">
      <c r="A952" s="55">
        <v>45967</v>
      </c>
      <c r="B952" t="s">
        <v>3854</v>
      </c>
      <c r="C952" t="s">
        <v>3098</v>
      </c>
      <c r="D952" t="s">
        <v>63</v>
      </c>
      <c r="E952">
        <v>850027</v>
      </c>
      <c r="F952" t="s">
        <v>3855</v>
      </c>
      <c r="G952" t="s">
        <v>3851</v>
      </c>
      <c r="H952">
        <v>4506338330</v>
      </c>
      <c r="I952" t="s">
        <v>196</v>
      </c>
      <c r="J952" t="s">
        <v>37</v>
      </c>
      <c r="K952" t="s">
        <v>37</v>
      </c>
      <c r="L952" t="s">
        <v>38</v>
      </c>
      <c r="M952" t="s">
        <v>38</v>
      </c>
      <c r="N952">
        <v>933.92</v>
      </c>
      <c r="O952" t="s">
        <v>38</v>
      </c>
      <c r="P952" t="s">
        <v>5432</v>
      </c>
      <c r="Q952" s="55">
        <v>45968</v>
      </c>
      <c r="R952" t="s">
        <v>3857</v>
      </c>
      <c r="S952" t="s">
        <v>5432</v>
      </c>
      <c r="T952" t="s">
        <v>5432</v>
      </c>
      <c r="U952" t="s">
        <v>5432</v>
      </c>
      <c r="W952" s="55"/>
    </row>
    <row r="953" spans="1:23">
      <c r="A953" s="55">
        <v>45967</v>
      </c>
      <c r="B953" t="s">
        <v>704</v>
      </c>
      <c r="C953" t="s">
        <v>3864</v>
      </c>
      <c r="D953" t="s">
        <v>63</v>
      </c>
      <c r="E953">
        <v>85012</v>
      </c>
      <c r="F953" t="s">
        <v>3865</v>
      </c>
      <c r="G953" t="s">
        <v>3851</v>
      </c>
      <c r="H953">
        <v>4885204722</v>
      </c>
      <c r="I953" t="s">
        <v>126</v>
      </c>
      <c r="J953" t="s">
        <v>37</v>
      </c>
      <c r="K953" t="s">
        <v>37</v>
      </c>
      <c r="L953" t="s">
        <v>38</v>
      </c>
      <c r="M953" t="s">
        <v>37</v>
      </c>
      <c r="N953" t="s">
        <v>37</v>
      </c>
      <c r="O953" t="s">
        <v>38</v>
      </c>
      <c r="P953" t="s">
        <v>39</v>
      </c>
      <c r="Q953" s="55">
        <v>45968</v>
      </c>
      <c r="R953" t="s">
        <v>3497</v>
      </c>
      <c r="S953" t="s">
        <v>5432</v>
      </c>
      <c r="T953" t="s">
        <v>5432</v>
      </c>
      <c r="U953" t="s">
        <v>5432</v>
      </c>
      <c r="W953" s="55"/>
    </row>
    <row r="954" spans="1:23">
      <c r="A954" s="55">
        <v>45974</v>
      </c>
      <c r="B954" t="s">
        <v>3867</v>
      </c>
      <c r="C954" t="s">
        <v>3868</v>
      </c>
      <c r="D954" t="s">
        <v>112</v>
      </c>
      <c r="E954">
        <v>85374</v>
      </c>
      <c r="F954" t="s">
        <v>3869</v>
      </c>
      <c r="G954" t="s">
        <v>3870</v>
      </c>
      <c r="I954" t="s">
        <v>126</v>
      </c>
      <c r="J954" t="s">
        <v>37</v>
      </c>
      <c r="K954" t="s">
        <v>37</v>
      </c>
      <c r="L954" t="s">
        <v>38</v>
      </c>
      <c r="M954" t="s">
        <v>37</v>
      </c>
      <c r="N954" t="s">
        <v>37</v>
      </c>
      <c r="O954" t="s">
        <v>38</v>
      </c>
      <c r="P954" t="s">
        <v>39</v>
      </c>
      <c r="Q954" s="55">
        <v>45978</v>
      </c>
      <c r="R954" t="s">
        <v>5432</v>
      </c>
      <c r="S954" t="s">
        <v>5432</v>
      </c>
      <c r="T954" t="s">
        <v>5432</v>
      </c>
      <c r="U954" t="s">
        <v>5432</v>
      </c>
      <c r="W954" s="55"/>
    </row>
    <row r="955" spans="1:23">
      <c r="A955" s="55">
        <v>45980</v>
      </c>
      <c r="B955" t="s">
        <v>3871</v>
      </c>
      <c r="C955" t="s">
        <v>399</v>
      </c>
      <c r="D955" t="s">
        <v>125</v>
      </c>
      <c r="E955">
        <v>85262</v>
      </c>
      <c r="F955" t="s">
        <v>3872</v>
      </c>
      <c r="G955" t="s">
        <v>3873</v>
      </c>
      <c r="H955">
        <v>8798080598</v>
      </c>
      <c r="I955" t="s">
        <v>36</v>
      </c>
      <c r="J955" t="s">
        <v>37</v>
      </c>
      <c r="K955" t="s">
        <v>37</v>
      </c>
      <c r="L955" t="s">
        <v>38</v>
      </c>
      <c r="M955" t="s">
        <v>37</v>
      </c>
      <c r="N955" t="s">
        <v>37</v>
      </c>
      <c r="O955" t="s">
        <v>38</v>
      </c>
      <c r="P955" t="s">
        <v>39</v>
      </c>
      <c r="Q955" s="55">
        <v>45981</v>
      </c>
      <c r="R955" t="s">
        <v>5432</v>
      </c>
      <c r="S955" t="s">
        <v>5432</v>
      </c>
      <c r="T955" t="s">
        <v>5432</v>
      </c>
      <c r="U955" t="s">
        <v>5432</v>
      </c>
      <c r="W955" s="55"/>
    </row>
    <row r="956" spans="1:23">
      <c r="A956" s="55">
        <v>45980</v>
      </c>
      <c r="B956" t="s">
        <v>3874</v>
      </c>
      <c r="C956" t="s">
        <v>3875</v>
      </c>
      <c r="D956" t="s">
        <v>125</v>
      </c>
      <c r="E956">
        <v>85255</v>
      </c>
      <c r="F956" t="s">
        <v>3876</v>
      </c>
      <c r="G956" t="s">
        <v>3877</v>
      </c>
      <c r="H956">
        <v>1678080000</v>
      </c>
      <c r="I956" t="s">
        <v>36</v>
      </c>
      <c r="J956" t="s">
        <v>37</v>
      </c>
      <c r="K956" t="s">
        <v>37</v>
      </c>
      <c r="L956" t="s">
        <v>3878</v>
      </c>
      <c r="M956" t="s">
        <v>37</v>
      </c>
      <c r="N956" t="s">
        <v>37</v>
      </c>
      <c r="O956" t="s">
        <v>38</v>
      </c>
      <c r="P956" t="s">
        <v>39</v>
      </c>
      <c r="Q956" s="55">
        <v>45985</v>
      </c>
      <c r="R956" t="s">
        <v>5432</v>
      </c>
      <c r="S956" t="s">
        <v>5432</v>
      </c>
      <c r="T956" t="s">
        <v>5432</v>
      </c>
      <c r="U956" t="s">
        <v>5432</v>
      </c>
      <c r="W956" s="55"/>
    </row>
    <row r="957" spans="1:23">
      <c r="A957" s="55">
        <v>45982</v>
      </c>
      <c r="B957" t="s">
        <v>3879</v>
      </c>
      <c r="C957" t="s">
        <v>3880</v>
      </c>
      <c r="D957" t="s">
        <v>816</v>
      </c>
      <c r="E957">
        <v>86301</v>
      </c>
      <c r="F957" t="s">
        <v>3881</v>
      </c>
      <c r="G957" t="s">
        <v>3882</v>
      </c>
      <c r="H957">
        <v>5936601000</v>
      </c>
      <c r="I957" t="s">
        <v>46</v>
      </c>
      <c r="J957" t="s">
        <v>37</v>
      </c>
      <c r="K957" t="s">
        <v>37</v>
      </c>
      <c r="L957" t="s">
        <v>38</v>
      </c>
      <c r="M957" t="s">
        <v>37</v>
      </c>
      <c r="N957" t="s">
        <v>37</v>
      </c>
      <c r="O957" t="s">
        <v>38</v>
      </c>
      <c r="P957" t="s">
        <v>39</v>
      </c>
      <c r="Q957" s="55">
        <v>45985</v>
      </c>
      <c r="R957" t="s">
        <v>5432</v>
      </c>
      <c r="S957" t="s">
        <v>5432</v>
      </c>
      <c r="T957" t="s">
        <v>5432</v>
      </c>
      <c r="U957" t="s">
        <v>5432</v>
      </c>
      <c r="W957" s="55"/>
    </row>
    <row r="958" spans="1:23">
      <c r="A958" s="55">
        <v>45982</v>
      </c>
      <c r="B958" t="s">
        <v>3883</v>
      </c>
      <c r="C958" t="s">
        <v>3884</v>
      </c>
      <c r="D958" t="s">
        <v>129</v>
      </c>
      <c r="E958">
        <v>85233</v>
      </c>
      <c r="F958" t="s">
        <v>3885</v>
      </c>
      <c r="G958" t="s">
        <v>3886</v>
      </c>
      <c r="H958">
        <v>5931221000</v>
      </c>
      <c r="I958" t="s">
        <v>3887</v>
      </c>
      <c r="J958" t="s">
        <v>37</v>
      </c>
      <c r="K958" t="s">
        <v>37</v>
      </c>
      <c r="L958" t="s">
        <v>389</v>
      </c>
      <c r="M958" t="s">
        <v>37</v>
      </c>
      <c r="N958" t="s">
        <v>37</v>
      </c>
      <c r="O958" t="s">
        <v>38</v>
      </c>
      <c r="P958" t="s">
        <v>39</v>
      </c>
      <c r="Q958" s="55">
        <v>45985</v>
      </c>
      <c r="R958" t="s">
        <v>2873</v>
      </c>
      <c r="S958" t="s">
        <v>5432</v>
      </c>
      <c r="T958" t="s">
        <v>5432</v>
      </c>
      <c r="U958" t="s">
        <v>5432</v>
      </c>
      <c r="W958" s="55"/>
    </row>
    <row r="959" spans="1:23">
      <c r="A959" s="55">
        <v>45985</v>
      </c>
      <c r="B959" t="s">
        <v>208</v>
      </c>
      <c r="C959" t="s">
        <v>3888</v>
      </c>
      <c r="D959" t="s">
        <v>428</v>
      </c>
      <c r="E959">
        <v>85335</v>
      </c>
      <c r="F959" t="s">
        <v>3889</v>
      </c>
      <c r="G959" t="s">
        <v>3890</v>
      </c>
      <c r="H959">
        <v>3470156203</v>
      </c>
      <c r="I959" t="s">
        <v>126</v>
      </c>
      <c r="J959" t="s">
        <v>38</v>
      </c>
      <c r="K959" t="s">
        <v>37</v>
      </c>
      <c r="L959" t="s">
        <v>3891</v>
      </c>
      <c r="M959" t="s">
        <v>37</v>
      </c>
      <c r="N959" t="s">
        <v>37</v>
      </c>
      <c r="O959" t="s">
        <v>38</v>
      </c>
      <c r="P959" t="s">
        <v>39</v>
      </c>
      <c r="Q959" s="55">
        <v>45993</v>
      </c>
      <c r="R959" t="s">
        <v>3892</v>
      </c>
      <c r="S959" t="s">
        <v>5432</v>
      </c>
      <c r="T959" t="s">
        <v>5432</v>
      </c>
      <c r="U959" t="s">
        <v>5432</v>
      </c>
      <c r="W959" s="55"/>
    </row>
    <row r="960" spans="1:23">
      <c r="A960" s="55">
        <v>45986</v>
      </c>
      <c r="B960" t="s">
        <v>3897</v>
      </c>
      <c r="C960" t="s">
        <v>3898</v>
      </c>
      <c r="D960" t="s">
        <v>1302</v>
      </c>
      <c r="E960">
        <v>85390</v>
      </c>
      <c r="F960" t="s">
        <v>3899</v>
      </c>
      <c r="G960" t="s">
        <v>3900</v>
      </c>
      <c r="H960">
        <v>7004974298</v>
      </c>
      <c r="I960" t="s">
        <v>196</v>
      </c>
      <c r="J960" t="s">
        <v>37</v>
      </c>
      <c r="K960" t="s">
        <v>37</v>
      </c>
      <c r="L960" t="s">
        <v>3901</v>
      </c>
      <c r="M960" t="s">
        <v>37</v>
      </c>
      <c r="N960" t="s">
        <v>37</v>
      </c>
      <c r="O960" t="s">
        <v>38</v>
      </c>
      <c r="P960" t="s">
        <v>39</v>
      </c>
      <c r="Q960" s="55">
        <v>45993</v>
      </c>
      <c r="R960" t="s">
        <v>5432</v>
      </c>
      <c r="S960" t="s">
        <v>5432</v>
      </c>
      <c r="T960" t="s">
        <v>5432</v>
      </c>
      <c r="U960" t="s">
        <v>5432</v>
      </c>
      <c r="W960" s="55"/>
    </row>
    <row r="961" spans="1:23">
      <c r="A961" s="55">
        <v>45986</v>
      </c>
      <c r="B961" t="s">
        <v>3766</v>
      </c>
      <c r="C961" t="s">
        <v>3465</v>
      </c>
      <c r="D961" t="s">
        <v>169</v>
      </c>
      <c r="E961">
        <v>85395</v>
      </c>
      <c r="F961" t="s">
        <v>3902</v>
      </c>
      <c r="G961" t="s">
        <v>3900</v>
      </c>
      <c r="H961">
        <v>2057731000</v>
      </c>
      <c r="I961" t="s">
        <v>36</v>
      </c>
      <c r="J961" t="s">
        <v>37</v>
      </c>
      <c r="K961" t="s">
        <v>37</v>
      </c>
      <c r="L961" t="s">
        <v>38</v>
      </c>
      <c r="M961" t="s">
        <v>37</v>
      </c>
      <c r="N961" t="s">
        <v>37</v>
      </c>
      <c r="O961" t="s">
        <v>38</v>
      </c>
      <c r="P961" t="s">
        <v>39</v>
      </c>
      <c r="Q961" s="55">
        <v>45993</v>
      </c>
      <c r="R961" t="s">
        <v>5432</v>
      </c>
      <c r="S961" t="s">
        <v>5432</v>
      </c>
      <c r="T961" t="s">
        <v>5432</v>
      </c>
      <c r="U961" t="s">
        <v>5432</v>
      </c>
      <c r="W961" s="55"/>
    </row>
    <row r="962" spans="1:23">
      <c r="A962" s="55">
        <v>45986</v>
      </c>
      <c r="B962" t="s">
        <v>3903</v>
      </c>
      <c r="C962" t="s">
        <v>3904</v>
      </c>
      <c r="D962" t="s">
        <v>202</v>
      </c>
      <c r="E962">
        <v>85382</v>
      </c>
      <c r="F962" t="s">
        <v>3905</v>
      </c>
      <c r="G962" t="s">
        <v>3900</v>
      </c>
      <c r="H962">
        <v>5909528621</v>
      </c>
      <c r="I962" t="s">
        <v>3906</v>
      </c>
      <c r="J962" t="s">
        <v>37</v>
      </c>
      <c r="K962" t="s">
        <v>37</v>
      </c>
      <c r="L962" t="s">
        <v>38</v>
      </c>
      <c r="M962" t="s">
        <v>37</v>
      </c>
      <c r="N962" t="s">
        <v>37</v>
      </c>
      <c r="O962" t="s">
        <v>38</v>
      </c>
      <c r="P962" t="s">
        <v>39</v>
      </c>
      <c r="Q962" s="55">
        <v>45993</v>
      </c>
      <c r="R962" t="s">
        <v>5432</v>
      </c>
      <c r="S962" t="s">
        <v>5432</v>
      </c>
      <c r="T962" t="s">
        <v>5432</v>
      </c>
      <c r="U962" t="s">
        <v>5432</v>
      </c>
      <c r="W962" s="55"/>
    </row>
    <row r="963" spans="1:23">
      <c r="A963" s="55">
        <v>45987</v>
      </c>
      <c r="B963" t="s">
        <v>3912</v>
      </c>
      <c r="C963" t="s">
        <v>427</v>
      </c>
      <c r="D963" t="s">
        <v>93</v>
      </c>
      <c r="E963">
        <v>85351</v>
      </c>
      <c r="F963" t="s">
        <v>812</v>
      </c>
      <c r="G963" t="s">
        <v>3909</v>
      </c>
      <c r="H963">
        <v>5503296768</v>
      </c>
      <c r="I963" t="s">
        <v>36</v>
      </c>
      <c r="J963" t="s">
        <v>37</v>
      </c>
      <c r="K963" t="s">
        <v>37</v>
      </c>
      <c r="L963" t="s">
        <v>38</v>
      </c>
      <c r="M963" t="s">
        <v>37</v>
      </c>
      <c r="N963" t="s">
        <v>37</v>
      </c>
      <c r="O963" t="s">
        <v>38</v>
      </c>
      <c r="P963" t="s">
        <v>39</v>
      </c>
      <c r="Q963" s="55">
        <v>45993</v>
      </c>
      <c r="R963" t="s">
        <v>5432</v>
      </c>
      <c r="S963" t="s">
        <v>5432</v>
      </c>
      <c r="T963" t="s">
        <v>5432</v>
      </c>
      <c r="U963" t="s">
        <v>5432</v>
      </c>
      <c r="W963" s="55"/>
    </row>
    <row r="964" spans="1:23">
      <c r="A964" s="55">
        <v>45987</v>
      </c>
      <c r="B964" t="s">
        <v>3913</v>
      </c>
      <c r="C964" t="s">
        <v>230</v>
      </c>
      <c r="D964" t="s">
        <v>169</v>
      </c>
      <c r="E964">
        <v>85338</v>
      </c>
      <c r="F964" t="s">
        <v>3914</v>
      </c>
      <c r="G964" t="s">
        <v>3915</v>
      </c>
      <c r="H964">
        <v>8464670000</v>
      </c>
      <c r="I964" t="s">
        <v>36</v>
      </c>
      <c r="J964" t="s">
        <v>37</v>
      </c>
      <c r="K964" t="s">
        <v>37</v>
      </c>
      <c r="L964" t="s">
        <v>38</v>
      </c>
      <c r="M964" t="s">
        <v>37</v>
      </c>
      <c r="N964" t="s">
        <v>37</v>
      </c>
      <c r="O964" t="s">
        <v>38</v>
      </c>
      <c r="P964" t="s">
        <v>39</v>
      </c>
      <c r="Q964" s="55">
        <v>45993</v>
      </c>
      <c r="R964" t="s">
        <v>5432</v>
      </c>
      <c r="S964" t="s">
        <v>5432</v>
      </c>
      <c r="T964" t="s">
        <v>5432</v>
      </c>
      <c r="U964" t="s">
        <v>5432</v>
      </c>
      <c r="W964" s="55"/>
    </row>
    <row r="965" spans="1:23">
      <c r="A965" s="55">
        <v>45987</v>
      </c>
      <c r="B965" t="s">
        <v>3916</v>
      </c>
      <c r="C965" t="s">
        <v>3917</v>
      </c>
      <c r="D965" t="s">
        <v>202</v>
      </c>
      <c r="E965">
        <v>85382</v>
      </c>
      <c r="F965" t="s">
        <v>3918</v>
      </c>
      <c r="G965" t="s">
        <v>3915</v>
      </c>
      <c r="H965">
        <v>6932600000</v>
      </c>
      <c r="I965" t="s">
        <v>3919</v>
      </c>
      <c r="J965" t="s">
        <v>37</v>
      </c>
      <c r="K965" t="s">
        <v>37</v>
      </c>
      <c r="L965" t="s">
        <v>389</v>
      </c>
      <c r="M965" t="s">
        <v>37</v>
      </c>
      <c r="N965" t="s">
        <v>37</v>
      </c>
      <c r="O965" t="s">
        <v>38</v>
      </c>
      <c r="P965" t="s">
        <v>39</v>
      </c>
      <c r="Q965" s="55">
        <v>45993</v>
      </c>
      <c r="R965" t="s">
        <v>5432</v>
      </c>
      <c r="S965" t="s">
        <v>5432</v>
      </c>
      <c r="T965" t="s">
        <v>5432</v>
      </c>
      <c r="U965" t="s">
        <v>5432</v>
      </c>
      <c r="W965" s="55"/>
    </row>
    <row r="966" spans="1:23">
      <c r="A966" s="55">
        <v>45989</v>
      </c>
      <c r="B966" t="s">
        <v>3920</v>
      </c>
      <c r="C966" t="s">
        <v>3921</v>
      </c>
      <c r="D966" t="s">
        <v>112</v>
      </c>
      <c r="E966">
        <v>85387</v>
      </c>
      <c r="F966" t="s">
        <v>3922</v>
      </c>
      <c r="G966" t="s">
        <v>3923</v>
      </c>
      <c r="H966">
        <v>6129600993</v>
      </c>
      <c r="I966" t="s">
        <v>36</v>
      </c>
      <c r="J966" t="s">
        <v>37</v>
      </c>
      <c r="K966" t="s">
        <v>37</v>
      </c>
      <c r="L966" t="s">
        <v>38</v>
      </c>
      <c r="M966" t="s">
        <v>37</v>
      </c>
      <c r="N966" t="s">
        <v>37</v>
      </c>
      <c r="O966" t="s">
        <v>38</v>
      </c>
      <c r="P966" t="s">
        <v>39</v>
      </c>
      <c r="Q966" s="55">
        <v>45993</v>
      </c>
      <c r="R966" t="s">
        <v>5432</v>
      </c>
      <c r="S966" t="s">
        <v>5432</v>
      </c>
      <c r="T966" t="s">
        <v>5432</v>
      </c>
      <c r="U966" t="s">
        <v>5432</v>
      </c>
      <c r="W966" s="55"/>
    </row>
    <row r="967" spans="1:23">
      <c r="A967" s="55">
        <v>45993</v>
      </c>
      <c r="B967" t="s">
        <v>3924</v>
      </c>
      <c r="C967" t="s">
        <v>1444</v>
      </c>
      <c r="D967" t="s">
        <v>112</v>
      </c>
      <c r="E967">
        <v>85379</v>
      </c>
      <c r="F967" t="s">
        <v>3756</v>
      </c>
      <c r="G967" t="s">
        <v>3925</v>
      </c>
      <c r="H967">
        <v>1501070000</v>
      </c>
      <c r="I967" t="s">
        <v>541</v>
      </c>
      <c r="J967" t="s">
        <v>37</v>
      </c>
      <c r="K967" t="s">
        <v>37</v>
      </c>
      <c r="L967" t="s">
        <v>389</v>
      </c>
      <c r="M967" t="s">
        <v>37</v>
      </c>
      <c r="N967" t="s">
        <v>37</v>
      </c>
      <c r="O967" t="s">
        <v>38</v>
      </c>
      <c r="P967" t="s">
        <v>39</v>
      </c>
      <c r="Q967" s="55">
        <v>45994</v>
      </c>
      <c r="R967" t="s">
        <v>5432</v>
      </c>
      <c r="S967" t="s">
        <v>5432</v>
      </c>
      <c r="T967" t="s">
        <v>5432</v>
      </c>
      <c r="U967" t="s">
        <v>5432</v>
      </c>
      <c r="W967" s="55"/>
    </row>
    <row r="968" spans="1:23">
      <c r="A968" s="55">
        <v>45993</v>
      </c>
      <c r="B968" t="s">
        <v>3926</v>
      </c>
      <c r="C968" t="s">
        <v>2658</v>
      </c>
      <c r="D968" t="s">
        <v>112</v>
      </c>
      <c r="E968">
        <v>85387</v>
      </c>
      <c r="F968" t="s">
        <v>3927</v>
      </c>
      <c r="G968" t="s">
        <v>3928</v>
      </c>
      <c r="H968">
        <v>4773125499</v>
      </c>
      <c r="I968" t="s">
        <v>36</v>
      </c>
      <c r="J968" t="s">
        <v>37</v>
      </c>
      <c r="K968" t="s">
        <v>37</v>
      </c>
      <c r="L968" t="s">
        <v>38</v>
      </c>
      <c r="M968" t="s">
        <v>37</v>
      </c>
      <c r="N968" t="s">
        <v>37</v>
      </c>
      <c r="O968" t="s">
        <v>38</v>
      </c>
      <c r="P968" t="s">
        <v>39</v>
      </c>
      <c r="Q968" s="55">
        <v>45994</v>
      </c>
      <c r="R968" t="s">
        <v>5432</v>
      </c>
      <c r="S968" t="s">
        <v>5432</v>
      </c>
      <c r="T968" t="s">
        <v>5432</v>
      </c>
      <c r="U968" t="s">
        <v>5432</v>
      </c>
      <c r="W968" s="55"/>
    </row>
    <row r="969" spans="1:23">
      <c r="A969" s="55">
        <v>45993</v>
      </c>
      <c r="B969" t="s">
        <v>3929</v>
      </c>
      <c r="C969" t="s">
        <v>1140</v>
      </c>
      <c r="D969" t="s">
        <v>112</v>
      </c>
      <c r="E969">
        <v>85374</v>
      </c>
      <c r="F969" t="s">
        <v>3756</v>
      </c>
      <c r="G969" t="s">
        <v>3930</v>
      </c>
      <c r="H969">
        <v>6238748397</v>
      </c>
      <c r="I969" t="s">
        <v>57</v>
      </c>
      <c r="J969" t="s">
        <v>37</v>
      </c>
      <c r="K969" t="s">
        <v>37</v>
      </c>
      <c r="L969" t="s">
        <v>3931</v>
      </c>
      <c r="M969" t="s">
        <v>37</v>
      </c>
      <c r="N969" t="s">
        <v>37</v>
      </c>
      <c r="O969" t="s">
        <v>38</v>
      </c>
      <c r="P969" t="s">
        <v>39</v>
      </c>
      <c r="Q969" s="55">
        <v>45995</v>
      </c>
      <c r="R969" t="s">
        <v>5432</v>
      </c>
      <c r="S969" t="s">
        <v>5432</v>
      </c>
      <c r="T969" t="s">
        <v>5432</v>
      </c>
      <c r="U969" t="s">
        <v>5432</v>
      </c>
      <c r="W969" s="55"/>
    </row>
    <row r="970" spans="1:23">
      <c r="A970" s="55">
        <v>45993</v>
      </c>
      <c r="B970" t="s">
        <v>3934</v>
      </c>
      <c r="C970" t="s">
        <v>3182</v>
      </c>
      <c r="D970" t="s">
        <v>428</v>
      </c>
      <c r="E970">
        <v>85335</v>
      </c>
      <c r="F970" t="s">
        <v>3935</v>
      </c>
      <c r="G970" t="s">
        <v>3930</v>
      </c>
      <c r="H970">
        <v>6780889797</v>
      </c>
      <c r="I970" t="s">
        <v>3936</v>
      </c>
      <c r="J970" t="s">
        <v>38</v>
      </c>
      <c r="K970" t="s">
        <v>37</v>
      </c>
      <c r="L970" t="s">
        <v>389</v>
      </c>
      <c r="M970" t="s">
        <v>38</v>
      </c>
      <c r="N970">
        <v>425.23</v>
      </c>
      <c r="O970" t="s">
        <v>38</v>
      </c>
      <c r="P970" t="s">
        <v>39</v>
      </c>
      <c r="Q970" s="55">
        <v>45995</v>
      </c>
      <c r="R970" t="s">
        <v>5432</v>
      </c>
      <c r="S970" t="s">
        <v>5432</v>
      </c>
      <c r="T970" t="s">
        <v>5432</v>
      </c>
      <c r="U970" t="s">
        <v>5432</v>
      </c>
      <c r="W970" s="55"/>
    </row>
    <row r="971" spans="1:23">
      <c r="A971" s="55">
        <v>45993</v>
      </c>
      <c r="B971" t="s">
        <v>3561</v>
      </c>
      <c r="C971" t="s">
        <v>3937</v>
      </c>
      <c r="D971" t="s">
        <v>428</v>
      </c>
      <c r="E971">
        <v>85335</v>
      </c>
      <c r="F971" t="s">
        <v>3938</v>
      </c>
      <c r="G971" t="s">
        <v>3930</v>
      </c>
      <c r="H971">
        <v>591010000</v>
      </c>
      <c r="I971" t="s">
        <v>196</v>
      </c>
      <c r="J971" t="s">
        <v>37</v>
      </c>
      <c r="K971" t="s">
        <v>37</v>
      </c>
      <c r="L971" t="s">
        <v>3939</v>
      </c>
      <c r="M971" t="s">
        <v>37</v>
      </c>
      <c r="N971" t="s">
        <v>37</v>
      </c>
      <c r="O971" t="s">
        <v>38</v>
      </c>
      <c r="P971" t="s">
        <v>5432</v>
      </c>
      <c r="Q971" s="55">
        <v>45995</v>
      </c>
      <c r="R971" t="s">
        <v>5432</v>
      </c>
      <c r="S971" t="s">
        <v>5432</v>
      </c>
      <c r="T971" t="s">
        <v>5432</v>
      </c>
      <c r="U971" t="s">
        <v>5432</v>
      </c>
      <c r="W971" s="55"/>
    </row>
    <row r="972" spans="1:23">
      <c r="A972" s="55">
        <v>45993</v>
      </c>
      <c r="B972" t="s">
        <v>3940</v>
      </c>
      <c r="C972" t="s">
        <v>3941</v>
      </c>
      <c r="D972" t="s">
        <v>24</v>
      </c>
      <c r="E972">
        <v>85304</v>
      </c>
      <c r="F972" t="s">
        <v>3942</v>
      </c>
      <c r="G972" t="s">
        <v>3930</v>
      </c>
      <c r="H972">
        <v>1370851931</v>
      </c>
      <c r="I972" t="s">
        <v>250</v>
      </c>
      <c r="J972" t="s">
        <v>37</v>
      </c>
      <c r="K972" t="s">
        <v>37</v>
      </c>
      <c r="L972" t="s">
        <v>38</v>
      </c>
      <c r="M972" t="s">
        <v>37</v>
      </c>
      <c r="N972" t="s">
        <v>37</v>
      </c>
      <c r="O972" t="s">
        <v>38</v>
      </c>
      <c r="P972" t="s">
        <v>39</v>
      </c>
      <c r="Q972" s="55">
        <v>45995</v>
      </c>
      <c r="R972" t="s">
        <v>5432</v>
      </c>
      <c r="S972" t="s">
        <v>5432</v>
      </c>
      <c r="T972" t="s">
        <v>5432</v>
      </c>
      <c r="U972" t="s">
        <v>5432</v>
      </c>
      <c r="W972" s="55"/>
    </row>
    <row r="973" spans="1:23">
      <c r="A973" s="55">
        <v>45993</v>
      </c>
      <c r="B973" t="s">
        <v>3943</v>
      </c>
      <c r="C973" t="s">
        <v>3273</v>
      </c>
      <c r="D973" t="s">
        <v>112</v>
      </c>
      <c r="E973">
        <v>85387</v>
      </c>
      <c r="F973" t="s">
        <v>3944</v>
      </c>
      <c r="G973" t="s">
        <v>3930</v>
      </c>
      <c r="H973">
        <v>9983127893</v>
      </c>
      <c r="I973" t="s">
        <v>36</v>
      </c>
      <c r="J973" t="s">
        <v>37</v>
      </c>
      <c r="K973" t="s">
        <v>37</v>
      </c>
      <c r="L973" t="s">
        <v>38</v>
      </c>
      <c r="M973" t="s">
        <v>37</v>
      </c>
      <c r="N973" t="s">
        <v>37</v>
      </c>
      <c r="O973" t="s">
        <v>38</v>
      </c>
      <c r="P973" t="s">
        <v>39</v>
      </c>
      <c r="Q973" s="55">
        <v>45995</v>
      </c>
      <c r="R973" t="s">
        <v>5432</v>
      </c>
      <c r="S973" t="s">
        <v>5432</v>
      </c>
      <c r="T973" t="s">
        <v>5432</v>
      </c>
      <c r="U973" t="s">
        <v>5432</v>
      </c>
      <c r="W973" s="55"/>
    </row>
    <row r="974" spans="1:23">
      <c r="A974" s="55">
        <v>45993</v>
      </c>
      <c r="B974" t="s">
        <v>3945</v>
      </c>
      <c r="C974" t="s">
        <v>3946</v>
      </c>
      <c r="D974" t="s">
        <v>3947</v>
      </c>
      <c r="E974">
        <v>85378</v>
      </c>
      <c r="F974" t="s">
        <v>3756</v>
      </c>
      <c r="G974" t="s">
        <v>3930</v>
      </c>
      <c r="H974">
        <v>6711360000</v>
      </c>
      <c r="I974" t="s">
        <v>36</v>
      </c>
      <c r="J974" t="s">
        <v>38</v>
      </c>
      <c r="K974" t="s">
        <v>37</v>
      </c>
      <c r="L974" t="s">
        <v>401</v>
      </c>
      <c r="M974" t="s">
        <v>37</v>
      </c>
      <c r="N974" t="s">
        <v>37</v>
      </c>
      <c r="O974" t="s">
        <v>38</v>
      </c>
      <c r="P974" t="s">
        <v>39</v>
      </c>
      <c r="Q974" s="55">
        <v>45995</v>
      </c>
      <c r="R974" t="s">
        <v>5432</v>
      </c>
      <c r="S974" t="s">
        <v>5432</v>
      </c>
      <c r="T974" t="s">
        <v>5432</v>
      </c>
      <c r="U974" t="s">
        <v>5432</v>
      </c>
      <c r="W974" s="55"/>
    </row>
    <row r="975" spans="1:23">
      <c r="A975" s="55">
        <v>45993</v>
      </c>
      <c r="B975" t="s">
        <v>1084</v>
      </c>
      <c r="C975" t="s">
        <v>3948</v>
      </c>
      <c r="D975" t="s">
        <v>174</v>
      </c>
      <c r="E975">
        <v>85396</v>
      </c>
      <c r="F975" t="s">
        <v>3949</v>
      </c>
      <c r="G975" t="s">
        <v>3930</v>
      </c>
      <c r="H975">
        <v>9411880000</v>
      </c>
      <c r="I975" t="s">
        <v>46</v>
      </c>
      <c r="J975" t="s">
        <v>37</v>
      </c>
      <c r="K975" t="s">
        <v>37</v>
      </c>
      <c r="L975" t="s">
        <v>38</v>
      </c>
      <c r="M975" t="s">
        <v>37</v>
      </c>
      <c r="N975" t="s">
        <v>37</v>
      </c>
      <c r="O975" t="s">
        <v>38</v>
      </c>
      <c r="P975" t="s">
        <v>39</v>
      </c>
      <c r="Q975" s="55">
        <v>45995</v>
      </c>
      <c r="R975" t="s">
        <v>5432</v>
      </c>
      <c r="S975" t="s">
        <v>5432</v>
      </c>
      <c r="T975" t="s">
        <v>5432</v>
      </c>
      <c r="U975" t="s">
        <v>5432</v>
      </c>
      <c r="W975" s="55"/>
    </row>
    <row r="976" spans="1:23">
      <c r="A976" s="55">
        <v>45993</v>
      </c>
      <c r="B976" t="s">
        <v>3952</v>
      </c>
      <c r="C976" t="s">
        <v>3530</v>
      </c>
      <c r="D976" t="s">
        <v>428</v>
      </c>
      <c r="E976">
        <v>85355</v>
      </c>
      <c r="F976" t="s">
        <v>3953</v>
      </c>
      <c r="G976" t="s">
        <v>3930</v>
      </c>
      <c r="H976">
        <v>4392248810</v>
      </c>
      <c r="I976" t="s">
        <v>46</v>
      </c>
      <c r="J976" t="s">
        <v>37</v>
      </c>
      <c r="K976" t="s">
        <v>37</v>
      </c>
      <c r="L976" t="s">
        <v>38</v>
      </c>
      <c r="M976" t="s">
        <v>37</v>
      </c>
      <c r="N976" t="s">
        <v>37</v>
      </c>
      <c r="O976" t="s">
        <v>38</v>
      </c>
      <c r="P976" t="s">
        <v>39</v>
      </c>
      <c r="Q976" s="55">
        <v>45995</v>
      </c>
      <c r="R976" t="s">
        <v>5432</v>
      </c>
      <c r="S976" t="s">
        <v>5432</v>
      </c>
      <c r="T976" t="s">
        <v>5432</v>
      </c>
      <c r="U976" t="s">
        <v>5432</v>
      </c>
      <c r="W976" s="55"/>
    </row>
    <row r="977" spans="1:23">
      <c r="A977" s="55">
        <v>45994</v>
      </c>
      <c r="B977" t="s">
        <v>3956</v>
      </c>
      <c r="C977" t="s">
        <v>3957</v>
      </c>
      <c r="D977" t="s">
        <v>202</v>
      </c>
      <c r="E977">
        <v>85383</v>
      </c>
      <c r="F977" t="s">
        <v>3958</v>
      </c>
      <c r="G977" t="s">
        <v>3959</v>
      </c>
      <c r="H977">
        <v>3762361661</v>
      </c>
      <c r="I977" t="s">
        <v>126</v>
      </c>
      <c r="J977" t="s">
        <v>37</v>
      </c>
      <c r="K977" t="s">
        <v>37</v>
      </c>
      <c r="L977" t="s">
        <v>38</v>
      </c>
      <c r="M977" t="s">
        <v>37</v>
      </c>
      <c r="N977" t="s">
        <v>37</v>
      </c>
      <c r="O977" t="s">
        <v>38</v>
      </c>
      <c r="P977" t="s">
        <v>39</v>
      </c>
      <c r="Q977" s="55">
        <v>45995</v>
      </c>
      <c r="R977" t="s">
        <v>5432</v>
      </c>
      <c r="S977" t="s">
        <v>5432</v>
      </c>
      <c r="T977" t="s">
        <v>5432</v>
      </c>
      <c r="U977" t="s">
        <v>5432</v>
      </c>
      <c r="W977" s="55"/>
    </row>
    <row r="978" spans="1:23">
      <c r="A978" s="55">
        <v>45994</v>
      </c>
      <c r="B978" t="s">
        <v>3975</v>
      </c>
      <c r="C978" t="s">
        <v>3976</v>
      </c>
      <c r="D978" t="s">
        <v>63</v>
      </c>
      <c r="E978">
        <v>85008</v>
      </c>
      <c r="F978" t="s">
        <v>3977</v>
      </c>
      <c r="G978" t="s">
        <v>3964</v>
      </c>
      <c r="H978">
        <v>5070041000</v>
      </c>
      <c r="I978" t="s">
        <v>126</v>
      </c>
      <c r="J978" t="s">
        <v>38</v>
      </c>
      <c r="K978" t="s">
        <v>37</v>
      </c>
      <c r="L978" t="s">
        <v>3979</v>
      </c>
      <c r="M978" t="s">
        <v>37</v>
      </c>
      <c r="N978" t="s">
        <v>37</v>
      </c>
      <c r="O978" t="s">
        <v>38</v>
      </c>
      <c r="P978" t="s">
        <v>39</v>
      </c>
      <c r="Q978" s="55">
        <v>46000</v>
      </c>
      <c r="R978" t="s">
        <v>3980</v>
      </c>
      <c r="S978" t="s">
        <v>5432</v>
      </c>
      <c r="T978" t="s">
        <v>5432</v>
      </c>
      <c r="U978" t="s">
        <v>5432</v>
      </c>
      <c r="W978" s="55"/>
    </row>
    <row r="979" spans="1:23">
      <c r="A979" s="55">
        <v>45994</v>
      </c>
      <c r="B979" t="s">
        <v>3995</v>
      </c>
      <c r="C979" t="s">
        <v>3996</v>
      </c>
      <c r="D979" t="s">
        <v>112</v>
      </c>
      <c r="E979">
        <v>85387</v>
      </c>
      <c r="F979" t="s">
        <v>3997</v>
      </c>
      <c r="G979" t="s">
        <v>3964</v>
      </c>
      <c r="H979">
        <v>807760000</v>
      </c>
      <c r="I979" t="s">
        <v>36</v>
      </c>
      <c r="J979" t="s">
        <v>37</v>
      </c>
      <c r="K979" t="s">
        <v>37</v>
      </c>
      <c r="L979" t="s">
        <v>38</v>
      </c>
      <c r="M979" t="s">
        <v>37</v>
      </c>
      <c r="N979" t="s">
        <v>37</v>
      </c>
      <c r="O979" t="s">
        <v>38</v>
      </c>
      <c r="P979" t="s">
        <v>39</v>
      </c>
      <c r="Q979" s="55">
        <v>46000</v>
      </c>
      <c r="R979" t="s">
        <v>5432</v>
      </c>
      <c r="S979" t="s">
        <v>5432</v>
      </c>
      <c r="T979" t="s">
        <v>5432</v>
      </c>
      <c r="U979" t="s">
        <v>5432</v>
      </c>
      <c r="W979" s="55"/>
    </row>
    <row r="980" spans="1:23">
      <c r="A980" s="55">
        <v>45994</v>
      </c>
      <c r="B980" t="s">
        <v>419</v>
      </c>
      <c r="C980" t="s">
        <v>3639</v>
      </c>
      <c r="D980" t="s">
        <v>63</v>
      </c>
      <c r="E980">
        <v>85029</v>
      </c>
      <c r="F980" t="s">
        <v>3999</v>
      </c>
      <c r="G980" t="s">
        <v>3964</v>
      </c>
      <c r="H980">
        <v>1460051272</v>
      </c>
      <c r="I980" t="s">
        <v>126</v>
      </c>
      <c r="J980" t="s">
        <v>37</v>
      </c>
      <c r="K980" t="s">
        <v>37</v>
      </c>
      <c r="L980" t="s">
        <v>38</v>
      </c>
      <c r="M980" t="s">
        <v>37</v>
      </c>
      <c r="N980" t="s">
        <v>37</v>
      </c>
      <c r="O980" t="s">
        <v>38</v>
      </c>
      <c r="P980" t="s">
        <v>39</v>
      </c>
      <c r="Q980" s="55">
        <v>46000</v>
      </c>
      <c r="R980" t="s">
        <v>5432</v>
      </c>
      <c r="S980" t="s">
        <v>5432</v>
      </c>
      <c r="T980" t="s">
        <v>5432</v>
      </c>
      <c r="U980" t="s">
        <v>5432</v>
      </c>
      <c r="W980" s="55"/>
    </row>
    <row r="981" spans="1:23">
      <c r="A981" s="55">
        <v>45994</v>
      </c>
      <c r="B981" t="s">
        <v>849</v>
      </c>
      <c r="C981" t="s">
        <v>4000</v>
      </c>
      <c r="D981" t="s">
        <v>63</v>
      </c>
      <c r="E981">
        <v>85013</v>
      </c>
      <c r="F981" t="s">
        <v>4001</v>
      </c>
      <c r="G981" t="s">
        <v>3964</v>
      </c>
      <c r="H981">
        <v>5334816770</v>
      </c>
      <c r="I981" t="s">
        <v>4002</v>
      </c>
      <c r="J981" t="s">
        <v>37</v>
      </c>
      <c r="K981" t="s">
        <v>37</v>
      </c>
      <c r="L981" t="s">
        <v>4003</v>
      </c>
      <c r="M981" t="s">
        <v>37</v>
      </c>
      <c r="N981" t="s">
        <v>37</v>
      </c>
      <c r="O981" t="s">
        <v>38</v>
      </c>
      <c r="P981" t="s">
        <v>5432</v>
      </c>
      <c r="Q981" s="55">
        <v>46000</v>
      </c>
      <c r="R981" t="s">
        <v>4004</v>
      </c>
      <c r="S981" t="s">
        <v>5432</v>
      </c>
      <c r="T981" t="s">
        <v>5432</v>
      </c>
      <c r="U981" t="s">
        <v>5432</v>
      </c>
      <c r="W981" s="55"/>
    </row>
    <row r="982" spans="1:23">
      <c r="A982" s="55">
        <v>45994</v>
      </c>
      <c r="B982" t="s">
        <v>4015</v>
      </c>
      <c r="C982" t="s">
        <v>340</v>
      </c>
      <c r="D982" t="s">
        <v>63</v>
      </c>
      <c r="E982">
        <v>85022</v>
      </c>
      <c r="F982" t="s">
        <v>4016</v>
      </c>
      <c r="G982" t="s">
        <v>3964</v>
      </c>
      <c r="H982">
        <v>1845644568</v>
      </c>
      <c r="I982" t="s">
        <v>73</v>
      </c>
      <c r="J982" t="s">
        <v>37</v>
      </c>
      <c r="K982" t="s">
        <v>37</v>
      </c>
      <c r="L982" t="s">
        <v>4018</v>
      </c>
      <c r="M982" t="s">
        <v>37</v>
      </c>
      <c r="N982" t="s">
        <v>37</v>
      </c>
      <c r="O982" t="s">
        <v>38</v>
      </c>
      <c r="P982" t="s">
        <v>39</v>
      </c>
      <c r="Q982" s="55">
        <v>46000</v>
      </c>
      <c r="R982" t="s">
        <v>5432</v>
      </c>
      <c r="S982" t="s">
        <v>5432</v>
      </c>
      <c r="T982" t="s">
        <v>5432</v>
      </c>
      <c r="U982" t="s">
        <v>5432</v>
      </c>
      <c r="W982" s="55"/>
    </row>
    <row r="983" spans="1:23">
      <c r="A983" s="55">
        <v>45994</v>
      </c>
      <c r="B983" t="s">
        <v>4033</v>
      </c>
      <c r="C983" t="s">
        <v>4034</v>
      </c>
      <c r="D983" t="s">
        <v>68</v>
      </c>
      <c r="E983" t="s">
        <v>5432</v>
      </c>
      <c r="F983" t="s">
        <v>4035</v>
      </c>
      <c r="G983" t="s">
        <v>3964</v>
      </c>
      <c r="H983">
        <v>8351131000</v>
      </c>
      <c r="I983" t="s">
        <v>36</v>
      </c>
      <c r="J983" t="s">
        <v>37</v>
      </c>
      <c r="K983" t="s">
        <v>37</v>
      </c>
      <c r="L983" t="s">
        <v>38</v>
      </c>
      <c r="M983" t="s">
        <v>37</v>
      </c>
      <c r="N983" t="s">
        <v>37</v>
      </c>
      <c r="O983" t="s">
        <v>38</v>
      </c>
      <c r="P983" t="s">
        <v>39</v>
      </c>
      <c r="Q983" s="55">
        <v>46000</v>
      </c>
      <c r="R983" t="s">
        <v>5432</v>
      </c>
      <c r="S983" t="s">
        <v>5432</v>
      </c>
      <c r="T983" t="s">
        <v>5432</v>
      </c>
      <c r="U983" t="s">
        <v>5432</v>
      </c>
      <c r="W983" s="55"/>
    </row>
    <row r="984" spans="1:23">
      <c r="A984" s="55">
        <v>45994</v>
      </c>
      <c r="B984" t="s">
        <v>30</v>
      </c>
      <c r="C984" t="s">
        <v>4051</v>
      </c>
      <c r="D984" t="s">
        <v>30</v>
      </c>
      <c r="E984" t="s">
        <v>30</v>
      </c>
      <c r="F984" t="s">
        <v>5432</v>
      </c>
      <c r="G984" t="s">
        <v>3964</v>
      </c>
      <c r="I984" t="s">
        <v>5432</v>
      </c>
      <c r="J984" t="s">
        <v>5432</v>
      </c>
      <c r="K984" t="s">
        <v>5432</v>
      </c>
      <c r="L984" t="s">
        <v>5432</v>
      </c>
      <c r="M984" t="s">
        <v>5432</v>
      </c>
      <c r="N984" t="s">
        <v>5432</v>
      </c>
      <c r="O984" t="s">
        <v>5432</v>
      </c>
      <c r="P984" t="s">
        <v>5432</v>
      </c>
      <c r="Q984" s="55"/>
      <c r="R984" t="s">
        <v>5432</v>
      </c>
      <c r="S984" t="s">
        <v>5432</v>
      </c>
      <c r="T984" t="s">
        <v>5432</v>
      </c>
      <c r="U984" t="s">
        <v>5432</v>
      </c>
      <c r="W984" s="55"/>
    </row>
    <row r="985" spans="1:23">
      <c r="A985" s="55">
        <v>45995</v>
      </c>
      <c r="B985" t="s">
        <v>4052</v>
      </c>
      <c r="C985" t="s">
        <v>4053</v>
      </c>
      <c r="D985" t="s">
        <v>112</v>
      </c>
      <c r="E985">
        <v>85379</v>
      </c>
      <c r="F985" t="s">
        <v>4054</v>
      </c>
      <c r="G985" t="s">
        <v>4055</v>
      </c>
      <c r="I985" t="s">
        <v>4057</v>
      </c>
      <c r="J985" t="s">
        <v>37</v>
      </c>
      <c r="K985" t="s">
        <v>37</v>
      </c>
      <c r="L985" t="s">
        <v>389</v>
      </c>
      <c r="M985" t="s">
        <v>37</v>
      </c>
      <c r="N985" t="s">
        <v>37</v>
      </c>
      <c r="O985" t="s">
        <v>38</v>
      </c>
      <c r="P985" t="s">
        <v>39</v>
      </c>
      <c r="Q985" s="55">
        <v>46000</v>
      </c>
      <c r="R985" t="s">
        <v>5432</v>
      </c>
      <c r="S985" t="s">
        <v>5432</v>
      </c>
      <c r="T985" t="s">
        <v>5432</v>
      </c>
      <c r="U985" t="s">
        <v>5432</v>
      </c>
      <c r="W985" s="55"/>
    </row>
    <row r="986" spans="1:23">
      <c r="A986" s="55">
        <v>45996</v>
      </c>
      <c r="B986" t="s">
        <v>4058</v>
      </c>
      <c r="C986" t="s">
        <v>479</v>
      </c>
      <c r="D986" t="s">
        <v>63</v>
      </c>
      <c r="E986">
        <v>85032</v>
      </c>
      <c r="F986" t="s">
        <v>4059</v>
      </c>
      <c r="G986" t="s">
        <v>4060</v>
      </c>
      <c r="H986">
        <v>895261000</v>
      </c>
      <c r="I986" t="s">
        <v>57</v>
      </c>
      <c r="J986" t="s">
        <v>37</v>
      </c>
      <c r="K986" t="s">
        <v>37</v>
      </c>
      <c r="L986" t="s">
        <v>4062</v>
      </c>
      <c r="M986" t="s">
        <v>37</v>
      </c>
      <c r="N986" t="s">
        <v>37</v>
      </c>
      <c r="O986" t="s">
        <v>38</v>
      </c>
      <c r="P986" t="s">
        <v>5432</v>
      </c>
      <c r="Q986" s="55">
        <v>46000</v>
      </c>
      <c r="R986" t="s">
        <v>4004</v>
      </c>
      <c r="S986" t="s">
        <v>5432</v>
      </c>
      <c r="T986" t="s">
        <v>5432</v>
      </c>
      <c r="U986" t="s">
        <v>5432</v>
      </c>
      <c r="W986" s="55"/>
    </row>
    <row r="987" spans="1:23">
      <c r="A987" s="55">
        <v>46003</v>
      </c>
      <c r="B987" t="s">
        <v>4066</v>
      </c>
      <c r="C987" t="s">
        <v>4067</v>
      </c>
      <c r="D987" t="s">
        <v>174</v>
      </c>
      <c r="E987">
        <v>85396</v>
      </c>
      <c r="F987" t="s">
        <v>4068</v>
      </c>
      <c r="G987" t="s">
        <v>4065</v>
      </c>
      <c r="H987">
        <v>7571491082</v>
      </c>
      <c r="I987" t="s">
        <v>250</v>
      </c>
      <c r="J987" t="s">
        <v>37</v>
      </c>
      <c r="K987" t="s">
        <v>37</v>
      </c>
      <c r="L987" t="s">
        <v>38</v>
      </c>
      <c r="M987" t="s">
        <v>37</v>
      </c>
      <c r="N987" t="s">
        <v>37</v>
      </c>
      <c r="O987" t="s">
        <v>38</v>
      </c>
      <c r="P987" t="s">
        <v>39</v>
      </c>
      <c r="Q987" s="55">
        <v>46008</v>
      </c>
      <c r="R987" t="s">
        <v>5432</v>
      </c>
      <c r="S987" t="s">
        <v>5432</v>
      </c>
      <c r="T987" t="s">
        <v>5432</v>
      </c>
      <c r="U987" t="s">
        <v>5432</v>
      </c>
      <c r="W987" s="55"/>
    </row>
    <row r="988" spans="1:23">
      <c r="A988" s="55">
        <v>46003</v>
      </c>
      <c r="B988" t="s">
        <v>4070</v>
      </c>
      <c r="C988" t="s">
        <v>4071</v>
      </c>
      <c r="D988" t="s">
        <v>174</v>
      </c>
      <c r="E988">
        <v>85396</v>
      </c>
      <c r="F988" t="s">
        <v>4072</v>
      </c>
      <c r="G988" t="s">
        <v>4065</v>
      </c>
      <c r="H988">
        <v>4776840675</v>
      </c>
      <c r="I988" t="s">
        <v>4074</v>
      </c>
      <c r="J988" t="s">
        <v>37</v>
      </c>
      <c r="K988" t="s">
        <v>37</v>
      </c>
      <c r="L988" t="s">
        <v>38</v>
      </c>
      <c r="M988" t="s">
        <v>37</v>
      </c>
      <c r="N988" t="s">
        <v>37</v>
      </c>
      <c r="O988" t="s">
        <v>38</v>
      </c>
      <c r="P988" t="s">
        <v>39</v>
      </c>
      <c r="Q988" s="55">
        <v>46008</v>
      </c>
      <c r="R988" t="s">
        <v>5432</v>
      </c>
      <c r="S988" t="s">
        <v>5432</v>
      </c>
      <c r="T988" t="s">
        <v>5432</v>
      </c>
      <c r="U988" t="s">
        <v>5432</v>
      </c>
      <c r="W988" s="55"/>
    </row>
    <row r="989" spans="1:23">
      <c r="A989" s="55">
        <v>46003</v>
      </c>
      <c r="B989" t="s">
        <v>4075</v>
      </c>
      <c r="C989" t="s">
        <v>208</v>
      </c>
      <c r="D989" t="s">
        <v>174</v>
      </c>
      <c r="E989">
        <v>85396</v>
      </c>
      <c r="F989" t="s">
        <v>4076</v>
      </c>
      <c r="G989" t="s">
        <v>4065</v>
      </c>
      <c r="H989">
        <v>6559521559</v>
      </c>
      <c r="I989" t="s">
        <v>4078</v>
      </c>
      <c r="J989" t="s">
        <v>37</v>
      </c>
      <c r="K989" t="s">
        <v>37</v>
      </c>
      <c r="L989" t="s">
        <v>4079</v>
      </c>
      <c r="M989" t="s">
        <v>37</v>
      </c>
      <c r="N989" t="s">
        <v>37</v>
      </c>
      <c r="O989" t="s">
        <v>38</v>
      </c>
      <c r="P989" t="s">
        <v>39</v>
      </c>
      <c r="Q989" s="55">
        <v>46008</v>
      </c>
      <c r="R989" t="s">
        <v>5432</v>
      </c>
      <c r="S989" t="s">
        <v>5432</v>
      </c>
      <c r="T989" t="s">
        <v>5432</v>
      </c>
      <c r="U989" t="s">
        <v>5432</v>
      </c>
      <c r="W989" s="55"/>
    </row>
    <row r="990" spans="1:23">
      <c r="A990" s="55">
        <v>46006</v>
      </c>
      <c r="B990" t="s">
        <v>3561</v>
      </c>
      <c r="C990" t="s">
        <v>481</v>
      </c>
      <c r="D990" t="s">
        <v>85</v>
      </c>
      <c r="E990">
        <v>86323</v>
      </c>
      <c r="F990" t="s">
        <v>4081</v>
      </c>
      <c r="G990" t="s">
        <v>4082</v>
      </c>
      <c r="H990">
        <v>7171143951</v>
      </c>
      <c r="I990" t="s">
        <v>126</v>
      </c>
      <c r="J990" t="s">
        <v>37</v>
      </c>
      <c r="K990" t="s">
        <v>37</v>
      </c>
      <c r="L990" t="s">
        <v>38</v>
      </c>
      <c r="M990" t="s">
        <v>37</v>
      </c>
      <c r="N990" t="s">
        <v>37</v>
      </c>
      <c r="O990" t="s">
        <v>38</v>
      </c>
      <c r="P990" t="s">
        <v>39</v>
      </c>
      <c r="Q990" s="55">
        <v>46008</v>
      </c>
      <c r="R990" t="s">
        <v>5432</v>
      </c>
      <c r="S990" t="s">
        <v>5432</v>
      </c>
      <c r="T990" t="s">
        <v>5432</v>
      </c>
      <c r="U990" t="s">
        <v>5432</v>
      </c>
      <c r="W990" s="55"/>
    </row>
    <row r="991" spans="1:23">
      <c r="A991" s="55">
        <v>46009</v>
      </c>
      <c r="B991" t="s">
        <v>4094</v>
      </c>
      <c r="C991" t="s">
        <v>4095</v>
      </c>
      <c r="D991" t="s">
        <v>63</v>
      </c>
      <c r="E991">
        <v>85022</v>
      </c>
      <c r="F991" t="s">
        <v>3865</v>
      </c>
      <c r="G991" t="s">
        <v>4096</v>
      </c>
      <c r="H991">
        <v>6181201000</v>
      </c>
      <c r="I991" t="s">
        <v>196</v>
      </c>
      <c r="J991" t="s">
        <v>37</v>
      </c>
      <c r="K991" t="s">
        <v>37</v>
      </c>
      <c r="L991" t="s">
        <v>4098</v>
      </c>
      <c r="M991" t="s">
        <v>37</v>
      </c>
      <c r="N991" t="s">
        <v>37</v>
      </c>
      <c r="O991" t="s">
        <v>38</v>
      </c>
      <c r="P991" t="s">
        <v>5432</v>
      </c>
      <c r="Q991" s="55">
        <v>46015</v>
      </c>
      <c r="R991" t="s">
        <v>4004</v>
      </c>
      <c r="S991" t="s">
        <v>5432</v>
      </c>
      <c r="T991" t="s">
        <v>5432</v>
      </c>
      <c r="U991" t="s">
        <v>5432</v>
      </c>
      <c r="W991" s="55"/>
    </row>
    <row r="992" spans="1:23">
      <c r="A992" s="55">
        <v>46010</v>
      </c>
      <c r="B992" t="s">
        <v>4104</v>
      </c>
      <c r="C992" t="s">
        <v>481</v>
      </c>
      <c r="D992" t="s">
        <v>174</v>
      </c>
      <c r="E992">
        <v>85326</v>
      </c>
      <c r="F992" t="s">
        <v>3865</v>
      </c>
      <c r="G992" t="s">
        <v>4102</v>
      </c>
      <c r="H992">
        <v>509660000</v>
      </c>
      <c r="I992" t="s">
        <v>196</v>
      </c>
      <c r="J992" t="s">
        <v>37</v>
      </c>
      <c r="K992" t="s">
        <v>37</v>
      </c>
      <c r="L992" t="s">
        <v>4106</v>
      </c>
      <c r="M992" t="s">
        <v>38</v>
      </c>
      <c r="N992">
        <v>1309.77</v>
      </c>
      <c r="O992" t="s">
        <v>38</v>
      </c>
      <c r="P992" t="s">
        <v>5432</v>
      </c>
      <c r="Q992" s="55">
        <v>46015</v>
      </c>
      <c r="R992" t="s">
        <v>4107</v>
      </c>
      <c r="S992" t="s">
        <v>5432</v>
      </c>
      <c r="T992" t="s">
        <v>5432</v>
      </c>
      <c r="U992" t="s">
        <v>5432</v>
      </c>
      <c r="W992" s="55"/>
    </row>
    <row r="993" spans="1:23">
      <c r="A993" s="55">
        <v>46010</v>
      </c>
      <c r="B993" t="s">
        <v>4109</v>
      </c>
      <c r="C993" t="s">
        <v>2184</v>
      </c>
      <c r="D993" t="s">
        <v>63</v>
      </c>
      <c r="E993">
        <v>85015</v>
      </c>
      <c r="F993" t="s">
        <v>3865</v>
      </c>
      <c r="G993" t="s">
        <v>4102</v>
      </c>
      <c r="H993">
        <v>8352070000</v>
      </c>
      <c r="I993" t="s">
        <v>126</v>
      </c>
      <c r="J993" t="s">
        <v>37</v>
      </c>
      <c r="K993" t="s">
        <v>37</v>
      </c>
      <c r="L993" t="s">
        <v>38</v>
      </c>
      <c r="M993" t="s">
        <v>37</v>
      </c>
      <c r="N993" t="s">
        <v>37</v>
      </c>
      <c r="O993" t="s">
        <v>38</v>
      </c>
      <c r="P993" t="s">
        <v>39</v>
      </c>
      <c r="Q993" s="55">
        <v>46015</v>
      </c>
      <c r="R993" t="s">
        <v>5432</v>
      </c>
      <c r="S993" t="s">
        <v>5432</v>
      </c>
      <c r="T993" t="s">
        <v>5432</v>
      </c>
      <c r="U993" t="s">
        <v>5432</v>
      </c>
      <c r="W993" s="55"/>
    </row>
    <row r="994" spans="1:23">
      <c r="A994" s="55">
        <v>46010</v>
      </c>
      <c r="B994" t="s">
        <v>3561</v>
      </c>
      <c r="C994" t="s">
        <v>4111</v>
      </c>
      <c r="D994" t="s">
        <v>2641</v>
      </c>
      <c r="E994">
        <v>85087</v>
      </c>
      <c r="F994" t="s">
        <v>3865</v>
      </c>
      <c r="G994" t="s">
        <v>4102</v>
      </c>
      <c r="H994">
        <v>1969900000</v>
      </c>
      <c r="I994" t="s">
        <v>4074</v>
      </c>
      <c r="J994" t="s">
        <v>37</v>
      </c>
      <c r="K994" t="s">
        <v>37</v>
      </c>
      <c r="L994" t="s">
        <v>38</v>
      </c>
      <c r="M994" t="s">
        <v>37</v>
      </c>
      <c r="N994" t="s">
        <v>37</v>
      </c>
      <c r="O994" t="s">
        <v>38</v>
      </c>
      <c r="P994" t="s">
        <v>39</v>
      </c>
      <c r="Q994" s="55">
        <v>46015</v>
      </c>
      <c r="R994" t="s">
        <v>5432</v>
      </c>
      <c r="S994" t="s">
        <v>5432</v>
      </c>
      <c r="T994" t="s">
        <v>5432</v>
      </c>
      <c r="U994" t="s">
        <v>5432</v>
      </c>
      <c r="W994" s="55"/>
    </row>
    <row r="995" spans="1:23">
      <c r="A995" s="55">
        <v>46010</v>
      </c>
      <c r="B995" t="s">
        <v>1356</v>
      </c>
      <c r="C995" t="s">
        <v>3733</v>
      </c>
      <c r="D995" t="s">
        <v>174</v>
      </c>
      <c r="E995">
        <v>85326</v>
      </c>
      <c r="F995" t="s">
        <v>3865</v>
      </c>
      <c r="G995" t="s">
        <v>4102</v>
      </c>
      <c r="H995">
        <v>7382953794</v>
      </c>
      <c r="I995" t="s">
        <v>196</v>
      </c>
      <c r="J995" t="s">
        <v>37</v>
      </c>
      <c r="K995" t="s">
        <v>37</v>
      </c>
      <c r="L995" t="s">
        <v>4114</v>
      </c>
      <c r="M995" t="s">
        <v>37</v>
      </c>
      <c r="N995" t="s">
        <v>37</v>
      </c>
      <c r="O995" t="s">
        <v>38</v>
      </c>
      <c r="P995" t="s">
        <v>5432</v>
      </c>
      <c r="Q995" s="55">
        <v>46015</v>
      </c>
      <c r="R995" t="s">
        <v>4004</v>
      </c>
      <c r="S995" t="s">
        <v>5432</v>
      </c>
      <c r="T995" t="s">
        <v>5432</v>
      </c>
      <c r="U995" t="s">
        <v>5432</v>
      </c>
      <c r="W995" s="55"/>
    </row>
    <row r="996" spans="1:23">
      <c r="A996" s="55"/>
      <c r="Q996" s="55"/>
      <c r="W996" s="55"/>
    </row>
    <row r="997" spans="1:23">
      <c r="A997" s="55"/>
      <c r="Q997" s="55"/>
      <c r="W997" s="55"/>
    </row>
    <row r="998" spans="1:23">
      <c r="A998" s="55"/>
      <c r="Q998" s="55"/>
      <c r="W998" s="55"/>
    </row>
    <row r="999" spans="1:23">
      <c r="A999" s="55"/>
      <c r="Q999" s="55"/>
      <c r="W999" s="55"/>
    </row>
    <row r="1000" spans="1:23">
      <c r="A1000" s="55"/>
      <c r="Q1000" s="55"/>
      <c r="W1000" s="55"/>
    </row>
    <row r="1001" spans="1:23">
      <c r="A1001" s="55"/>
      <c r="Q1001" s="55"/>
      <c r="W1001" s="55"/>
    </row>
    <row r="1002" spans="1:23">
      <c r="A1002" s="55"/>
      <c r="Q1002" s="55"/>
      <c r="W1002" s="55"/>
    </row>
    <row r="1003" spans="1:23">
      <c r="A1003" s="55"/>
      <c r="Q1003" s="55"/>
      <c r="W1003" s="55"/>
    </row>
    <row r="1004" spans="1:23">
      <c r="A1004" s="55"/>
      <c r="Q1004" s="55"/>
      <c r="W1004" s="55"/>
    </row>
    <row r="1005" spans="1:23">
      <c r="A1005" s="55"/>
      <c r="Q1005" s="55"/>
      <c r="W1005" s="55"/>
    </row>
    <row r="1006" spans="1:23">
      <c r="A1006" s="55"/>
      <c r="Q1006" s="55"/>
      <c r="W1006" s="55"/>
    </row>
    <row r="1007" spans="1:23">
      <c r="A1007" s="55"/>
      <c r="Q1007" s="55"/>
      <c r="W1007" s="55"/>
    </row>
    <row r="1008" spans="1:23">
      <c r="A1008" s="55"/>
      <c r="Q1008" s="55"/>
      <c r="W1008" s="55"/>
    </row>
    <row r="1009" spans="1:23">
      <c r="A1009" s="55"/>
      <c r="Q1009" s="55"/>
      <c r="W1009" s="55"/>
    </row>
    <row r="1010" spans="1:23">
      <c r="A1010" s="55"/>
      <c r="Q1010" s="55"/>
      <c r="W1010" s="55"/>
    </row>
    <row r="1011" spans="1:23">
      <c r="A1011" s="55"/>
      <c r="Q1011" s="55"/>
      <c r="W1011" s="55"/>
    </row>
    <row r="1012" spans="1:23">
      <c r="A1012" s="55"/>
      <c r="Q1012" s="55"/>
      <c r="W1012" s="55"/>
    </row>
    <row r="1013" spans="1:23">
      <c r="A1013" s="55"/>
      <c r="Q1013" s="55"/>
      <c r="W1013" s="55"/>
    </row>
    <row r="1014" spans="1:23">
      <c r="A1014" s="55"/>
      <c r="Q1014" s="55"/>
      <c r="W1014" s="55"/>
    </row>
    <row r="1015" spans="1:23">
      <c r="A1015" s="55"/>
      <c r="Q1015" s="55"/>
      <c r="W1015" s="55"/>
    </row>
    <row r="1016" spans="1:23">
      <c r="A1016" s="55"/>
      <c r="Q1016" s="55"/>
      <c r="W1016" s="55"/>
    </row>
    <row r="1017" spans="1:23">
      <c r="A1017" s="55"/>
      <c r="Q1017" s="55"/>
      <c r="W1017" s="55"/>
    </row>
    <row r="1018" spans="1:23">
      <c r="A1018" s="55"/>
      <c r="Q1018" s="55"/>
      <c r="W1018" s="55"/>
    </row>
    <row r="1019" spans="1:23">
      <c r="A1019" s="55"/>
      <c r="Q1019" s="55"/>
      <c r="W1019" s="55"/>
    </row>
    <row r="1020" spans="1:23">
      <c r="A1020" s="55"/>
      <c r="Q1020" s="55"/>
      <c r="W1020" s="55"/>
    </row>
    <row r="1021" spans="1:23">
      <c r="A1021" s="55"/>
      <c r="Q1021" s="55"/>
      <c r="W1021" s="55"/>
    </row>
    <row r="1022" spans="1:23">
      <c r="A1022" s="55"/>
      <c r="Q1022" s="55"/>
      <c r="W1022" s="55"/>
    </row>
    <row r="1023" spans="1:23">
      <c r="A1023" s="55"/>
      <c r="Q1023" s="55"/>
      <c r="W1023" s="55"/>
    </row>
    <row r="1024" spans="1:23">
      <c r="A1024" s="55"/>
      <c r="Q1024" s="55"/>
      <c r="W1024" s="55"/>
    </row>
    <row r="1025" spans="1:23">
      <c r="A1025" s="55"/>
      <c r="Q1025" s="55"/>
      <c r="W1025" s="55"/>
    </row>
    <row r="1026" spans="1:23">
      <c r="A1026" s="55"/>
      <c r="Q1026" s="55"/>
      <c r="W1026" s="55"/>
    </row>
    <row r="1027" spans="1:23">
      <c r="A1027" s="55"/>
      <c r="Q1027" s="55"/>
      <c r="W1027" s="55"/>
    </row>
    <row r="1028" spans="1:23">
      <c r="A1028" s="55"/>
      <c r="Q1028" s="55"/>
      <c r="W1028" s="55"/>
    </row>
    <row r="1029" spans="1:23">
      <c r="A1029" s="55"/>
      <c r="Q1029" s="55"/>
      <c r="W1029" s="55"/>
    </row>
    <row r="1030" spans="1:23">
      <c r="A1030" s="55"/>
      <c r="Q1030" s="55"/>
      <c r="W1030" s="55"/>
    </row>
    <row r="1031" spans="1:23">
      <c r="A1031" s="55"/>
      <c r="Q1031" s="55"/>
      <c r="W1031" s="55"/>
    </row>
    <row r="1032" spans="1:23">
      <c r="A1032" s="55"/>
      <c r="Q1032" s="55"/>
      <c r="W1032" s="55"/>
    </row>
    <row r="1033" spans="1:23">
      <c r="A1033" s="55"/>
      <c r="Q1033" s="55"/>
      <c r="W1033" s="55"/>
    </row>
    <row r="1034" spans="1:23">
      <c r="A1034" s="55"/>
      <c r="Q1034" s="55"/>
      <c r="W1034" s="55"/>
    </row>
    <row r="1035" spans="1:23">
      <c r="A1035" s="55"/>
      <c r="Q1035" s="55"/>
      <c r="W1035" s="55"/>
    </row>
    <row r="1036" spans="1:23">
      <c r="A1036" s="55"/>
      <c r="Q1036" s="55"/>
      <c r="W1036" s="55"/>
    </row>
    <row r="1037" spans="1:23">
      <c r="A1037" s="55"/>
      <c r="Q1037" s="55"/>
      <c r="W1037" s="55"/>
    </row>
    <row r="1038" spans="1:23">
      <c r="A1038" s="55"/>
      <c r="Q1038" s="55"/>
      <c r="W1038" s="55"/>
    </row>
    <row r="1039" spans="1:23">
      <c r="A1039" s="55"/>
      <c r="Q1039" s="55"/>
      <c r="W1039" s="55"/>
    </row>
    <row r="1040" spans="1:23">
      <c r="A1040" s="55"/>
      <c r="Q1040" s="55"/>
      <c r="W1040" s="55"/>
    </row>
    <row r="1041" spans="1:23">
      <c r="A1041" s="55"/>
      <c r="Q1041" s="55"/>
      <c r="W1041" s="55"/>
    </row>
    <row r="1042" spans="1:23">
      <c r="A1042" s="55"/>
      <c r="Q1042" s="55"/>
      <c r="W1042" s="55"/>
    </row>
    <row r="1043" spans="1:23">
      <c r="A1043" s="55"/>
      <c r="Q1043" s="55"/>
      <c r="W1043" s="55"/>
    </row>
    <row r="1044" spans="1:23">
      <c r="A1044" s="55"/>
      <c r="Q1044" s="55"/>
      <c r="W1044" s="55"/>
    </row>
    <row r="1045" spans="1:23">
      <c r="A1045" s="55"/>
      <c r="Q1045" s="55"/>
      <c r="W1045" s="55"/>
    </row>
    <row r="1046" spans="1:23">
      <c r="A1046" s="55"/>
      <c r="Q1046" s="55"/>
      <c r="W1046" s="55"/>
    </row>
    <row r="1047" spans="1:23">
      <c r="A1047" s="55"/>
      <c r="Q1047" s="55"/>
      <c r="W1047" s="55"/>
    </row>
    <row r="1048" spans="1:23">
      <c r="A1048" s="55"/>
      <c r="Q1048" s="55"/>
      <c r="W1048" s="55"/>
    </row>
    <row r="1049" spans="1:23">
      <c r="A1049" s="55"/>
      <c r="Q1049" s="55"/>
      <c r="W1049" s="55"/>
    </row>
    <row r="1050" spans="1:23">
      <c r="A1050" s="55"/>
      <c r="Q1050" s="55"/>
      <c r="W1050" s="55"/>
    </row>
    <row r="1051" spans="1:23">
      <c r="A1051" s="55"/>
      <c r="Q1051" s="55"/>
      <c r="W1051" s="55"/>
    </row>
    <row r="1052" spans="1:23">
      <c r="A1052" s="55"/>
      <c r="Q1052" s="55"/>
      <c r="W1052" s="55"/>
    </row>
    <row r="1053" spans="1:23">
      <c r="A1053" s="55"/>
      <c r="Q1053" s="55"/>
      <c r="W1053" s="55"/>
    </row>
    <row r="1054" spans="1:23">
      <c r="A1054" s="55"/>
      <c r="Q1054" s="55"/>
      <c r="W1054" s="55"/>
    </row>
    <row r="1055" spans="1:23">
      <c r="A1055" s="55"/>
      <c r="Q1055" s="55"/>
      <c r="W1055" s="55"/>
    </row>
    <row r="1056" spans="1:23">
      <c r="A1056" s="55"/>
      <c r="Q1056" s="55"/>
      <c r="W1056" s="55"/>
    </row>
    <row r="1057" spans="1:23">
      <c r="A1057" s="55"/>
      <c r="Q1057" s="55"/>
      <c r="W1057" s="55"/>
    </row>
    <row r="1058" spans="1:23">
      <c r="A1058" s="55"/>
      <c r="Q1058" s="55"/>
      <c r="W1058" s="55"/>
    </row>
    <row r="1059" spans="1:23">
      <c r="A1059" s="55"/>
      <c r="Q1059" s="55"/>
      <c r="W1059" s="55"/>
    </row>
    <row r="1060" spans="1:23">
      <c r="A1060" s="55"/>
      <c r="Q1060" s="55"/>
      <c r="W1060" s="55"/>
    </row>
    <row r="1061" spans="1:23">
      <c r="A1061" s="55"/>
      <c r="Q1061" s="55"/>
      <c r="W1061" s="55"/>
    </row>
    <row r="1062" spans="1:23">
      <c r="A1062" s="55"/>
      <c r="Q1062" s="55"/>
      <c r="W1062" s="55"/>
    </row>
    <row r="1063" spans="1:23">
      <c r="A1063" s="55"/>
      <c r="Q1063" s="55"/>
      <c r="W1063" s="55"/>
    </row>
    <row r="1064" spans="1:23">
      <c r="A1064" s="55"/>
      <c r="Q1064" s="55"/>
      <c r="W1064" s="55"/>
    </row>
    <row r="1065" spans="1:23">
      <c r="A1065" s="55"/>
      <c r="Q1065" s="55"/>
      <c r="W1065" s="55"/>
    </row>
    <row r="1066" spans="1:23">
      <c r="A1066" s="55"/>
      <c r="Q1066" s="55"/>
      <c r="W1066" s="55"/>
    </row>
    <row r="1067" spans="1:23">
      <c r="A1067" s="55"/>
      <c r="Q1067" s="55"/>
      <c r="W1067" s="55"/>
    </row>
    <row r="1068" spans="1:23">
      <c r="A1068" s="55"/>
      <c r="Q1068" s="55"/>
      <c r="W1068" s="55"/>
    </row>
    <row r="1069" spans="1:23">
      <c r="A1069" s="55"/>
      <c r="Q1069" s="55"/>
      <c r="W1069" s="55"/>
    </row>
    <row r="1070" spans="1:23">
      <c r="A1070" s="55"/>
      <c r="Q1070" s="55"/>
      <c r="W1070" s="55"/>
    </row>
    <row r="1071" spans="1:23">
      <c r="A1071" s="55"/>
      <c r="Q1071" s="55"/>
      <c r="W1071" s="55"/>
    </row>
    <row r="1072" spans="1:23">
      <c r="A1072" s="55"/>
      <c r="Q1072" s="55"/>
      <c r="W1072" s="55"/>
    </row>
    <row r="1073" spans="1:23">
      <c r="A1073" s="55"/>
      <c r="Q1073" s="55"/>
      <c r="W1073" s="55"/>
    </row>
    <row r="1074" spans="1:23">
      <c r="A1074" s="55"/>
      <c r="Q1074" s="55"/>
      <c r="W1074" s="55"/>
    </row>
    <row r="1075" spans="1:23">
      <c r="A1075" s="55"/>
      <c r="Q1075" s="55"/>
      <c r="W1075" s="55"/>
    </row>
    <row r="1076" spans="1:23">
      <c r="A1076" s="55"/>
      <c r="Q1076" s="55"/>
      <c r="W1076" s="55"/>
    </row>
    <row r="1077" spans="1:23">
      <c r="A1077" s="55"/>
      <c r="Q1077" s="55"/>
      <c r="W1077" s="55"/>
    </row>
    <row r="1078" spans="1:23">
      <c r="A1078" s="55"/>
      <c r="Q1078" s="55"/>
      <c r="W1078" s="55"/>
    </row>
    <row r="1079" spans="1:23">
      <c r="A1079" s="55"/>
      <c r="Q1079" s="55"/>
      <c r="W1079" s="55"/>
    </row>
    <row r="1080" spans="1:23">
      <c r="A1080" s="55"/>
      <c r="Q1080" s="55"/>
      <c r="W1080" s="55"/>
    </row>
    <row r="1081" spans="1:23">
      <c r="A1081" s="55"/>
      <c r="Q1081" s="55"/>
      <c r="W1081" s="55"/>
    </row>
    <row r="1082" spans="1:23">
      <c r="A1082" s="55"/>
      <c r="Q1082" s="55"/>
      <c r="W1082" s="55"/>
    </row>
    <row r="1083" spans="1:23">
      <c r="A1083" s="55"/>
      <c r="Q1083" s="55"/>
      <c r="W1083" s="55"/>
    </row>
    <row r="1084" spans="1:23">
      <c r="A1084" s="55"/>
      <c r="Q1084" s="55"/>
      <c r="W1084" s="55"/>
    </row>
    <row r="1085" spans="1:23">
      <c r="A1085" s="55"/>
      <c r="Q1085" s="55"/>
      <c r="W1085" s="55"/>
    </row>
    <row r="1086" spans="1:23">
      <c r="A1086" s="55"/>
      <c r="Q1086" s="55"/>
      <c r="W1086" s="55"/>
    </row>
    <row r="1087" spans="1:23">
      <c r="A1087" s="55"/>
      <c r="Q1087" s="55"/>
      <c r="W1087" s="55"/>
    </row>
    <row r="1088" spans="1:23">
      <c r="A1088" s="55"/>
      <c r="Q1088" s="55"/>
      <c r="W1088" s="55"/>
    </row>
    <row r="1089" spans="1:23">
      <c r="A1089" s="55"/>
      <c r="Q1089" s="55"/>
      <c r="W1089" s="55"/>
    </row>
    <row r="1090" spans="1:23">
      <c r="A1090" s="55"/>
      <c r="Q1090" s="55"/>
      <c r="W1090" s="55"/>
    </row>
    <row r="1091" spans="1:23">
      <c r="A1091" s="55"/>
      <c r="Q1091" s="55"/>
      <c r="W1091" s="55"/>
    </row>
    <row r="1092" spans="1:23">
      <c r="A1092" s="55"/>
      <c r="Q1092" s="55"/>
      <c r="W1092" s="55"/>
    </row>
    <row r="1093" spans="1:23">
      <c r="A1093" s="55"/>
      <c r="Q1093" s="55"/>
      <c r="W1093" s="55"/>
    </row>
    <row r="1094" spans="1:23">
      <c r="A1094" s="55"/>
      <c r="Q1094" s="55"/>
      <c r="W1094" s="55"/>
    </row>
    <row r="1095" spans="1:23">
      <c r="A1095" s="55"/>
      <c r="Q1095" s="55"/>
      <c r="W1095" s="55"/>
    </row>
    <row r="1096" spans="1:23">
      <c r="A1096" s="55"/>
      <c r="Q1096" s="55"/>
      <c r="W1096" s="55"/>
    </row>
    <row r="1097" spans="1:23">
      <c r="A1097" s="55"/>
      <c r="Q1097" s="55"/>
      <c r="W1097" s="55"/>
    </row>
    <row r="1098" spans="1:23">
      <c r="A1098" s="55"/>
      <c r="Q1098" s="55"/>
      <c r="W1098" s="55"/>
    </row>
    <row r="1099" spans="1:23">
      <c r="A1099" s="55"/>
      <c r="Q1099" s="55"/>
      <c r="W1099" s="55"/>
    </row>
    <row r="1100" spans="1:23">
      <c r="A1100" s="55"/>
      <c r="Q1100" s="55"/>
      <c r="W1100" s="55"/>
    </row>
    <row r="1101" spans="1:23">
      <c r="A1101" s="55"/>
      <c r="Q1101" s="55"/>
      <c r="W1101" s="55"/>
    </row>
    <row r="1102" spans="1:23">
      <c r="A1102" s="55"/>
      <c r="Q1102" s="55"/>
      <c r="W1102" s="55"/>
    </row>
    <row r="1103" spans="1:23">
      <c r="A1103" s="55"/>
      <c r="Q1103" s="55"/>
      <c r="W1103" s="55"/>
    </row>
    <row r="1104" spans="1:23">
      <c r="A1104" s="55"/>
      <c r="Q1104" s="55"/>
      <c r="W1104" s="55"/>
    </row>
    <row r="1105" spans="1:23">
      <c r="A1105" s="55"/>
      <c r="Q1105" s="55"/>
      <c r="W1105" s="55"/>
    </row>
    <row r="1106" spans="1:23">
      <c r="A1106" s="55"/>
      <c r="Q1106" s="55"/>
      <c r="W1106" s="55"/>
    </row>
    <row r="1107" spans="1:23">
      <c r="A1107" s="55"/>
      <c r="Q1107" s="55"/>
      <c r="W1107" s="55"/>
    </row>
    <row r="1108" spans="1:23">
      <c r="A1108" s="55"/>
      <c r="Q1108" s="55"/>
      <c r="W1108" s="55"/>
    </row>
    <row r="1109" spans="1:23">
      <c r="A1109" s="55"/>
      <c r="Q1109" s="55"/>
      <c r="W1109" s="55"/>
    </row>
    <row r="1110" spans="1:23">
      <c r="A1110" s="55"/>
      <c r="Q1110" s="55"/>
      <c r="W1110" s="55"/>
    </row>
    <row r="1111" spans="1:23">
      <c r="A1111" s="55"/>
      <c r="Q1111" s="55"/>
      <c r="W1111" s="55"/>
    </row>
    <row r="1112" spans="1:23">
      <c r="A1112" s="55"/>
      <c r="Q1112" s="55"/>
      <c r="W1112" s="55"/>
    </row>
    <row r="1113" spans="1:23">
      <c r="A1113" s="55"/>
      <c r="Q1113" s="55"/>
      <c r="W1113" s="55"/>
    </row>
    <row r="1114" spans="1:23">
      <c r="A1114" s="55"/>
      <c r="Q1114" s="55"/>
      <c r="W1114" s="55"/>
    </row>
    <row r="1115" spans="1:23">
      <c r="A1115" s="55"/>
      <c r="Q1115" s="55"/>
      <c r="W1115" s="55"/>
    </row>
    <row r="1116" spans="1:23">
      <c r="A1116" s="55"/>
      <c r="Q1116" s="55"/>
      <c r="W1116" s="55"/>
    </row>
    <row r="1117" spans="1:23">
      <c r="A1117" s="55"/>
      <c r="Q1117" s="55"/>
      <c r="W1117" s="55"/>
    </row>
    <row r="1118" spans="1:23">
      <c r="A1118" s="55"/>
      <c r="Q1118" s="55"/>
      <c r="W1118" s="55"/>
    </row>
    <row r="1119" spans="1:23">
      <c r="A1119" s="55"/>
      <c r="Q1119" s="55"/>
      <c r="W1119" s="55"/>
    </row>
    <row r="1120" spans="1:23">
      <c r="A1120" s="55"/>
      <c r="Q1120" s="55"/>
      <c r="W1120" s="55"/>
    </row>
    <row r="1121" spans="1:23">
      <c r="A1121" s="55"/>
      <c r="Q1121" s="55"/>
      <c r="W1121" s="55"/>
    </row>
    <row r="1122" spans="1:23">
      <c r="A1122" s="55"/>
      <c r="Q1122" s="55"/>
      <c r="W1122" s="55"/>
    </row>
    <row r="1123" spans="1:23">
      <c r="A1123" s="55"/>
      <c r="Q1123" s="55"/>
      <c r="W1123" s="55"/>
    </row>
    <row r="1124" spans="1:23">
      <c r="A1124" s="55"/>
      <c r="Q1124" s="55"/>
      <c r="W1124" s="55"/>
    </row>
    <row r="1125" spans="1:23">
      <c r="A1125" s="55"/>
      <c r="Q1125" s="55"/>
      <c r="W1125" s="55"/>
    </row>
    <row r="1126" spans="1:23">
      <c r="A1126" s="55"/>
      <c r="Q1126" s="55"/>
      <c r="W1126" s="55"/>
    </row>
    <row r="1127" spans="1:23">
      <c r="A1127" s="55"/>
      <c r="Q1127" s="55"/>
      <c r="W1127" s="55"/>
    </row>
    <row r="1128" spans="1:23">
      <c r="A1128" s="55"/>
      <c r="Q1128" s="55"/>
      <c r="W1128" s="55"/>
    </row>
    <row r="1129" spans="1:23">
      <c r="A1129" s="55"/>
      <c r="Q1129" s="55"/>
      <c r="W1129" s="55"/>
    </row>
    <row r="1130" spans="1:23">
      <c r="A1130" s="55"/>
      <c r="Q1130" s="55"/>
      <c r="W1130" s="55"/>
    </row>
    <row r="1131" spans="1:23">
      <c r="A1131" s="55"/>
      <c r="Q1131" s="55"/>
      <c r="W1131" s="55"/>
    </row>
    <row r="1132" spans="1:23">
      <c r="A1132" s="55"/>
      <c r="Q1132" s="55"/>
      <c r="W1132" s="55"/>
    </row>
    <row r="1133" spans="1:23">
      <c r="A1133" s="55"/>
      <c r="Q1133" s="55"/>
      <c r="W1133" s="55"/>
    </row>
    <row r="1134" spans="1:23">
      <c r="A1134" s="55"/>
      <c r="Q1134" s="55"/>
      <c r="W1134" s="55"/>
    </row>
    <row r="1135" spans="1:23">
      <c r="A1135" s="55"/>
      <c r="Q1135" s="55"/>
      <c r="W1135" s="55"/>
    </row>
    <row r="1136" spans="1:23">
      <c r="A1136" s="55"/>
      <c r="Q1136" s="55"/>
      <c r="W1136" s="55"/>
    </row>
    <row r="1137" spans="1:23">
      <c r="A1137" s="55"/>
      <c r="Q1137" s="55"/>
      <c r="W1137" s="55"/>
    </row>
    <row r="1138" spans="1:23">
      <c r="A1138" s="55"/>
      <c r="Q1138" s="55"/>
      <c r="W1138" s="55"/>
    </row>
    <row r="1139" spans="1:23">
      <c r="A1139" s="55"/>
      <c r="Q1139" s="55"/>
      <c r="W1139" s="55"/>
    </row>
    <row r="1140" spans="1:23">
      <c r="A1140" s="55"/>
      <c r="Q1140" s="55"/>
      <c r="W1140" s="55"/>
    </row>
    <row r="1141" spans="1:23">
      <c r="A1141" s="55"/>
      <c r="Q1141" s="55"/>
      <c r="W1141" s="55"/>
    </row>
    <row r="1142" spans="1:23">
      <c r="A1142" s="55"/>
      <c r="Q1142" s="55"/>
      <c r="W1142" s="55"/>
    </row>
    <row r="1143" spans="1:23">
      <c r="A1143" s="55"/>
      <c r="Q1143" s="55"/>
      <c r="W1143" s="55"/>
    </row>
    <row r="1144" spans="1:23">
      <c r="A1144" s="55"/>
      <c r="Q1144" s="55"/>
      <c r="W1144" s="55"/>
    </row>
    <row r="1145" spans="1:23">
      <c r="A1145" s="55"/>
      <c r="Q1145" s="55"/>
      <c r="W1145" s="55"/>
    </row>
    <row r="1146" spans="1:23">
      <c r="A1146" s="55"/>
      <c r="Q1146" s="55"/>
      <c r="W1146" s="55"/>
    </row>
    <row r="1147" spans="1:23">
      <c r="A1147" s="55"/>
      <c r="Q1147" s="55"/>
      <c r="W1147" s="55"/>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025E-B4EB-4552-9DCB-E820018B46A5}">
  <dimension ref="A1:Z1147"/>
  <sheetViews>
    <sheetView tabSelected="1" topLeftCell="R1" workbookViewId="0">
      <pane ySplit="1" topLeftCell="U694" activePane="bottomLeft" state="frozen"/>
      <selection pane="bottomLeft" activeCell="Z706" sqref="Z706"/>
    </sheetView>
  </sheetViews>
  <sheetFormatPr defaultColWidth="13.42578125" defaultRowHeight="15"/>
  <cols>
    <col min="1" max="1" width="10.42578125" style="57" bestFit="1" customWidth="1"/>
    <col min="2" max="2" width="17.7109375" style="56" bestFit="1" customWidth="1"/>
    <col min="3" max="3" width="21" style="56" bestFit="1" customWidth="1"/>
    <col min="4" max="4" width="14.7109375" style="56" bestFit="1" customWidth="1"/>
    <col min="5" max="5" width="13.5703125" style="58" customWidth="1"/>
    <col min="6" max="6" width="28.85546875" style="56" customWidth="1"/>
    <col min="7" max="7" width="64.28515625" style="56" customWidth="1"/>
    <col min="8" max="8" width="16.140625" style="59" customWidth="1"/>
    <col min="9" max="9" width="19.7109375" style="56" bestFit="1" customWidth="1"/>
    <col min="10" max="10" width="7.7109375" style="56" customWidth="1"/>
    <col min="11" max="11" width="10.140625" style="56" customWidth="1"/>
    <col min="12" max="12" width="30.28515625" style="56" bestFit="1" customWidth="1"/>
    <col min="13" max="13" width="7.85546875" style="56" customWidth="1"/>
    <col min="14" max="14" width="21.28515625" style="56" customWidth="1"/>
    <col min="15" max="15" width="22.42578125" style="56" customWidth="1"/>
    <col min="16" max="16" width="28" style="57" customWidth="1"/>
    <col min="17" max="17" width="37.140625" style="57" customWidth="1"/>
    <col min="18" max="18" width="54" style="56" customWidth="1"/>
    <col min="19" max="19" width="33.140625" style="56" customWidth="1"/>
    <col min="20" max="20" width="22.7109375" style="56" customWidth="1"/>
    <col min="21" max="21" width="65.7109375" style="56" customWidth="1"/>
    <col min="22" max="22" width="23.42578125" style="69" customWidth="1"/>
    <col min="23" max="23" width="17.7109375" style="68" customWidth="1"/>
    <col min="24" max="24" width="13.42578125" style="69"/>
    <col min="25" max="25" width="14.7109375" style="69" customWidth="1"/>
    <col min="26" max="26" width="56.7109375" style="69" bestFit="1" customWidth="1"/>
    <col min="27" max="16384" width="13.42578125" style="56"/>
  </cols>
  <sheetData>
    <row r="1" spans="1:26" s="89" customFormat="1" ht="60.75" customHeight="1">
      <c r="A1" s="82" t="s">
        <v>0</v>
      </c>
      <c r="B1" s="83" t="s">
        <v>1</v>
      </c>
      <c r="C1" s="83" t="s">
        <v>2</v>
      </c>
      <c r="D1" s="83" t="s">
        <v>3</v>
      </c>
      <c r="E1" s="84" t="s">
        <v>4</v>
      </c>
      <c r="F1" s="83" t="s">
        <v>5</v>
      </c>
      <c r="G1" s="83" t="s">
        <v>6</v>
      </c>
      <c r="H1" s="84" t="s">
        <v>7</v>
      </c>
      <c r="I1" s="83" t="s">
        <v>8</v>
      </c>
      <c r="J1" s="83" t="s">
        <v>9</v>
      </c>
      <c r="K1" s="83" t="s">
        <v>10</v>
      </c>
      <c r="L1" s="83" t="s">
        <v>11</v>
      </c>
      <c r="M1" s="83" t="s">
        <v>12</v>
      </c>
      <c r="N1" s="83" t="s">
        <v>13</v>
      </c>
      <c r="O1" s="83" t="s">
        <v>14</v>
      </c>
      <c r="P1" s="85" t="s">
        <v>15</v>
      </c>
      <c r="Q1" s="85" t="s">
        <v>16</v>
      </c>
      <c r="R1" s="83" t="s">
        <v>17</v>
      </c>
      <c r="S1" s="83" t="s">
        <v>18</v>
      </c>
      <c r="T1" s="83" t="s">
        <v>19</v>
      </c>
      <c r="U1" s="83" t="s">
        <v>20</v>
      </c>
      <c r="V1" s="86" t="s">
        <v>5427</v>
      </c>
      <c r="W1" s="87" t="s">
        <v>5428</v>
      </c>
      <c r="X1" s="86" t="s">
        <v>5429</v>
      </c>
      <c r="Y1" s="86" t="s">
        <v>5430</v>
      </c>
      <c r="Z1" s="88" t="s">
        <v>5431</v>
      </c>
    </row>
    <row r="2" spans="1:26">
      <c r="A2" s="71">
        <f>IFERROR(Associates_Call_List_PQ!A2,"")</f>
        <v>45797</v>
      </c>
      <c r="B2" s="57" t="str">
        <f>IF(Associates_Call_List_PQ!B2="","",Associates_Call_List_PQ!B2)</f>
        <v>Wall</v>
      </c>
      <c r="C2" s="57" t="str">
        <f>IF(Associates_Call_List_PQ!C2="","",Associates_Call_List_PQ!C2)</f>
        <v>Rae</v>
      </c>
      <c r="D2" s="57" t="str">
        <f>IF(Associates_Call_List_PQ!D2="","",Associates_Call_List_PQ!D2)</f>
        <v>Glendale</v>
      </c>
      <c r="E2" s="58" t="str">
        <f>IF(Associates_Call_List_PQ!E2="","",Associates_Call_List_PQ!E2)</f>
        <v>Unknown</v>
      </c>
      <c r="F2" s="57" t="str">
        <f>IF(Associates_Call_List_PQ!F2="","",Associates_Call_List_PQ!F2)</f>
        <v>Opposed</v>
      </c>
      <c r="G2" s="57" t="str">
        <f>IF(Associates_Call_List_PQ!G2="","",Associates_Call_List_PQ!G2)</f>
        <v>https://images.edocket.azcc.gov/docketpdf/E000044126.pdf</v>
      </c>
      <c r="H2" s="59">
        <f>IF(Associates_Call_List_PQ!H2="","",Associates_Call_List_PQ!H2)</f>
        <v>5494061000</v>
      </c>
      <c r="I2" s="57" t="str">
        <f>IF(Associates_Call_List_PQ!I2="","",Associates_Call_List_PQ!I2)</f>
        <v>R3-47</v>
      </c>
      <c r="J2" s="57" t="str">
        <f>IF(Associates_Call_List_PQ!J2="","",Associates_Call_List_PQ!J2)</f>
        <v>No</v>
      </c>
      <c r="K2" s="57" t="str">
        <f>IF(Associates_Call_List_PQ!K2="","",Associates_Call_List_PQ!K2)</f>
        <v>No</v>
      </c>
      <c r="L2" s="57" t="str">
        <f>IF(Associates_Call_List_PQ!L2="","",Associates_Call_List_PQ!L2)</f>
        <v>Yes</v>
      </c>
      <c r="M2" s="57" t="str">
        <f>IF(Associates_Call_List_PQ!M2="","",Associates_Call_List_PQ!M2)</f>
        <v>No</v>
      </c>
      <c r="N2" s="57" t="str">
        <f>IF(Associates_Call_List_PQ!N2="","",Associates_Call_List_PQ!N2)</f>
        <v>No</v>
      </c>
      <c r="O2" s="57" t="str">
        <f>IF(Associates_Call_List_PQ!O2="","",Associates_Call_List_PQ!O2)</f>
        <v>Yes</v>
      </c>
      <c r="P2" s="57" t="str">
        <f>IF(Associates_Call_List_PQ!P2="","",Associates_Call_List_PQ!P2)</f>
        <v>N</v>
      </c>
      <c r="Q2" s="57">
        <f>IF(Associates_Call_List_PQ!Q2="","",Associates_Call_List_PQ!Q2)</f>
        <v>45589</v>
      </c>
      <c r="R2" s="57" t="str">
        <f>IF(Associates_Call_List_PQ!R2="","",Associates_Call_List_PQ!R2)</f>
        <v/>
      </c>
      <c r="S2" s="57" t="str">
        <f>IF(Associates_Call_List_PQ!S2="","",Associates_Call_List_PQ!S2)</f>
        <v/>
      </c>
      <c r="T2" s="57" t="str">
        <f>IF(Associates_Call_List_PQ!T2="","",Associates_Call_List_PQ!T2)</f>
        <v/>
      </c>
      <c r="U2" s="57" t="str">
        <f>IF(Associates_Call_List_PQ!U2="","",Associates_Call_List_PQ!U2)</f>
        <v>Also filed 6/10, 6/12, 6/16</v>
      </c>
      <c r="V2" s="68" t="s">
        <v>5433</v>
      </c>
      <c r="W2" s="68">
        <v>45997</v>
      </c>
      <c r="X2" s="68" t="s">
        <v>5434</v>
      </c>
      <c r="Y2" s="68"/>
      <c r="Z2" s="72" t="s">
        <v>5435</v>
      </c>
    </row>
    <row r="3" spans="1:26">
      <c r="A3" s="71">
        <f>IFERROR(Associates_Call_List_PQ!A3,"")</f>
        <v>45798</v>
      </c>
      <c r="B3" s="57" t="str">
        <f>IF(Associates_Call_List_PQ!B3="","",Associates_Call_List_PQ!B3)</f>
        <v>Gwiazda</v>
      </c>
      <c r="C3" s="57" t="str">
        <f>IF(Associates_Call_List_PQ!C3="","",Associates_Call_List_PQ!C3)</f>
        <v>Patricia</v>
      </c>
      <c r="D3" s="57" t="str">
        <f>IF(Associates_Call_List_PQ!D3="","",Associates_Call_List_PQ!D3)</f>
        <v>Youngtown</v>
      </c>
      <c r="E3" s="58">
        <f>IF(Associates_Call_List_PQ!E3="","",Associates_Call_List_PQ!E3)</f>
        <v>85363</v>
      </c>
      <c r="F3" s="57" t="str">
        <f>IF(Associates_Call_List_PQ!F3="","",Associates_Call_List_PQ!F3)</f>
        <v>Opposed</v>
      </c>
      <c r="G3" s="57" t="str">
        <f>IF(Associates_Call_List_PQ!G3="","",Associates_Call_List_PQ!G3)</f>
        <v>https://images.edocket.azcc.gov/docketpdf/E000044147.pdf</v>
      </c>
      <c r="H3" s="59" t="str">
        <f>IF(Associates_Call_List_PQ!H3="","",Associates_Call_List_PQ!H3)</f>
        <v>2074850000</v>
      </c>
      <c r="I3" s="57" t="str">
        <f>IF(Associates_Call_List_PQ!I3="","",Associates_Call_List_PQ!I3)</f>
        <v>RCPw/RTOUE47</v>
      </c>
      <c r="J3" s="57" t="str">
        <f>IF(Associates_Call_List_PQ!J3="","",Associates_Call_List_PQ!J3)</f>
        <v>No</v>
      </c>
      <c r="K3" s="57" t="str">
        <f>IF(Associates_Call_List_PQ!K3="","",Associates_Call_List_PQ!K3)</f>
        <v>No</v>
      </c>
      <c r="L3" s="57" t="str">
        <f>IF(Associates_Call_List_PQ!L3="","",Associates_Call_List_PQ!L3)</f>
        <v>No - MEP is R3-47 ($65.13)</v>
      </c>
      <c r="M3" s="57" t="str">
        <f>IF(Associates_Call_List_PQ!M3="","",Associates_Call_List_PQ!M3)</f>
        <v>No</v>
      </c>
      <c r="N3" s="57" t="str">
        <f>IF(Associates_Call_List_PQ!N3="","",Associates_Call_List_PQ!N3)</f>
        <v>No</v>
      </c>
      <c r="O3" s="57" t="str">
        <f>IF(Associates_Call_List_PQ!O3="","",Associates_Call_List_PQ!O3)</f>
        <v>Yes</v>
      </c>
      <c r="P3" s="57" t="str">
        <f>IF(Associates_Call_List_PQ!P3="","",Associates_Call_List_PQ!P3)</f>
        <v>N</v>
      </c>
      <c r="Q3" s="57">
        <f>IF(Associates_Call_List_PQ!Q3="","",Associates_Call_List_PQ!Q3)</f>
        <v>45589</v>
      </c>
      <c r="R3" s="57" t="str">
        <f>IF(Associates_Call_List_PQ!R3="","",Associates_Call_List_PQ!R3)</f>
        <v xml:space="preserve">MEP Annual Savings - $67.68 - Didn't Contact </v>
      </c>
      <c r="S3" s="57" t="str">
        <f>IF(Associates_Call_List_PQ!S3="","",Associates_Call_List_PQ!S3)</f>
        <v/>
      </c>
      <c r="T3" s="57" t="str">
        <f>IF(Associates_Call_List_PQ!T3="","",Associates_Call_List_PQ!T3)</f>
        <v/>
      </c>
      <c r="U3" s="57" t="str">
        <f>IF(Associates_Call_List_PQ!U3="","",Associates_Call_List_PQ!U3)</f>
        <v/>
      </c>
      <c r="V3" s="68" t="s">
        <v>5433</v>
      </c>
      <c r="W3" s="68">
        <v>45997</v>
      </c>
      <c r="X3" s="68"/>
      <c r="Y3" s="68"/>
      <c r="Z3" s="72" t="s">
        <v>5436</v>
      </c>
    </row>
    <row r="4" spans="1:26">
      <c r="A4" s="71">
        <f>IFERROR(Associates_Call_List_PQ!A4,"")</f>
        <v>45798</v>
      </c>
      <c r="B4" s="57" t="str">
        <f>IF(Associates_Call_List_PQ!B4="","",Associates_Call_List_PQ!B4)</f>
        <v>Phillips</v>
      </c>
      <c r="C4" s="57" t="str">
        <f>IF(Associates_Call_List_PQ!C4="","",Associates_Call_List_PQ!C4)</f>
        <v>Crystal</v>
      </c>
      <c r="D4" s="57" t="str">
        <f>IF(Associates_Call_List_PQ!D4="","",Associates_Call_List_PQ!D4)</f>
        <v xml:space="preserve">Young </v>
      </c>
      <c r="E4" s="58">
        <f>IF(Associates_Call_List_PQ!E4="","",Associates_Call_List_PQ!E4)</f>
        <v>85554</v>
      </c>
      <c r="F4" s="57" t="str">
        <f>IF(Associates_Call_List_PQ!F4="","",Associates_Call_List_PQ!F4)</f>
        <v>Opposed</v>
      </c>
      <c r="G4" s="57" t="str">
        <f>IF(Associates_Call_List_PQ!G4="","",Associates_Call_List_PQ!G4)</f>
        <v>https://images.edocket.azcc.gov/docketpdf/E000044147.pdf</v>
      </c>
      <c r="H4" s="59">
        <f>IF(Associates_Call_List_PQ!H4="","",Associates_Call_List_PQ!H4)</f>
        <v>4823746138</v>
      </c>
      <c r="I4" s="57" t="str">
        <f>IF(Associates_Call_List_PQ!I4="","",Associates_Call_List_PQ!I4)</f>
        <v>R3-47</v>
      </c>
      <c r="J4" s="57" t="str">
        <f>IF(Associates_Call_List_PQ!J4="","",Associates_Call_List_PQ!J4)</f>
        <v>No</v>
      </c>
      <c r="K4" s="57" t="str">
        <f>IF(Associates_Call_List_PQ!K4="","",Associates_Call_List_PQ!K4)</f>
        <v>No</v>
      </c>
      <c r="L4" s="57" t="str">
        <f>IF(Associates_Call_List_PQ!L4="","",Associates_Call_List_PQ!L4)</f>
        <v>Yes</v>
      </c>
      <c r="M4" s="57" t="str">
        <f>IF(Associates_Call_List_PQ!M4="","",Associates_Call_List_PQ!M4)</f>
        <v>No</v>
      </c>
      <c r="N4" s="57" t="str">
        <f>IF(Associates_Call_List_PQ!N4="","",Associates_Call_List_PQ!N4)</f>
        <v>No</v>
      </c>
      <c r="O4" s="57" t="str">
        <f>IF(Associates_Call_List_PQ!O4="","",Associates_Call_List_PQ!O4)</f>
        <v>Yes</v>
      </c>
      <c r="P4" s="57" t="str">
        <f>IF(Associates_Call_List_PQ!P4="","",Associates_Call_List_PQ!P4)</f>
        <v>N</v>
      </c>
      <c r="Q4" s="57">
        <f>IF(Associates_Call_List_PQ!Q4="","",Associates_Call_List_PQ!Q4)</f>
        <v>45589</v>
      </c>
      <c r="R4" s="57" t="str">
        <f>IF(Associates_Call_List_PQ!R4="","",Associates_Call_List_PQ!R4)</f>
        <v/>
      </c>
      <c r="S4" s="57" t="str">
        <f>IF(Associates_Call_List_PQ!S4="","",Associates_Call_List_PQ!S4)</f>
        <v/>
      </c>
      <c r="T4" s="57" t="str">
        <f>IF(Associates_Call_List_PQ!T4="","",Associates_Call_List_PQ!T4)</f>
        <v/>
      </c>
      <c r="U4" s="57" t="str">
        <f>IF(Associates_Call_List_PQ!U4="","",Associates_Call_List_PQ!U4)</f>
        <v/>
      </c>
      <c r="V4" s="68" t="s">
        <v>5433</v>
      </c>
      <c r="W4" s="68">
        <v>45997</v>
      </c>
      <c r="X4" s="68" t="s">
        <v>5434</v>
      </c>
      <c r="Y4" s="68"/>
      <c r="Z4" s="72" t="s">
        <v>5435</v>
      </c>
    </row>
    <row r="5" spans="1:26">
      <c r="A5" s="71">
        <f>IFERROR(Associates_Call_List_PQ!A5,"")</f>
        <v>45799</v>
      </c>
      <c r="B5" s="57" t="str">
        <f>IF(Associates_Call_List_PQ!B5="","",Associates_Call_List_PQ!B5)</f>
        <v>Beame</v>
      </c>
      <c r="C5" s="57" t="str">
        <f>IF(Associates_Call_List_PQ!C5="","",Associates_Call_List_PQ!C5)</f>
        <v>Sndney</v>
      </c>
      <c r="D5" s="57" t="str">
        <f>IF(Associates_Call_List_PQ!D5="","",Associates_Call_List_PQ!D5)</f>
        <v>Unknown</v>
      </c>
      <c r="E5" s="58" t="str">
        <f>IF(Associates_Call_List_PQ!E5="","",Associates_Call_List_PQ!E5)</f>
        <v>Unknown</v>
      </c>
      <c r="F5" s="57" t="str">
        <f>IF(Associates_Call_List_PQ!F5="","",Associates_Call_List_PQ!F5)</f>
        <v>Opposed/Senior/fixed income</v>
      </c>
      <c r="G5" s="57" t="str">
        <f>IF(Associates_Call_List_PQ!G5="","",Associates_Call_List_PQ!G5)</f>
        <v>https://images.edocket.azcc.gov/docketpdf/E000044169.pdf</v>
      </c>
      <c r="H5" s="59" t="str">
        <f>IF(Associates_Call_List_PQ!H5="","",Associates_Call_List_PQ!H5)</f>
        <v>8991140195</v>
      </c>
      <c r="I5" s="57" t="str">
        <f>IF(Associates_Call_List_PQ!I5="","",Associates_Call_List_PQ!I5)</f>
        <v>R-BASICL</v>
      </c>
      <c r="J5" s="57" t="str">
        <f>IF(Associates_Call_List_PQ!J5="","",Associates_Call_List_PQ!J5)</f>
        <v>No</v>
      </c>
      <c r="K5" s="57" t="str">
        <f>IF(Associates_Call_List_PQ!K5="","",Associates_Call_List_PQ!K5)</f>
        <v>No</v>
      </c>
      <c r="L5" s="57" t="str">
        <f>IF(Associates_Call_List_PQ!L5="","",Associates_Call_List_PQ!L5)</f>
        <v>No - MEP R3-47 ($192.78)</v>
      </c>
      <c r="M5" s="57" t="str">
        <f>IF(Associates_Call_List_PQ!M5="","",Associates_Call_List_PQ!M5)</f>
        <v>No</v>
      </c>
      <c r="N5" s="57" t="str">
        <f>IF(Associates_Call_List_PQ!N5="","",Associates_Call_List_PQ!N5)</f>
        <v>No</v>
      </c>
      <c r="O5" s="57" t="str">
        <f>IF(Associates_Call_List_PQ!O5="","",Associates_Call_List_PQ!O5)</f>
        <v>Yes</v>
      </c>
      <c r="P5" s="57">
        <f>IF(Associates_Call_List_PQ!P5="","",Associates_Call_List_PQ!P5)</f>
        <v>45964</v>
      </c>
      <c r="Q5" s="57">
        <f>IF(Associates_Call_List_PQ!Q5="","",Associates_Call_List_PQ!Q5)</f>
        <v>45954</v>
      </c>
      <c r="R5" s="57" t="str">
        <f>IF(Associates_Call_List_PQ!R5="","",Associates_Call_List_PQ!R5)</f>
        <v>11/03 - Customer agreed to change to their MEP</v>
      </c>
      <c r="S5" s="57" t="str">
        <f>IF(Associates_Call_List_PQ!S5="","",Associates_Call_List_PQ!S5)</f>
        <v/>
      </c>
      <c r="T5" s="57" t="str">
        <f>IF(Associates_Call_List_PQ!T5="","",Associates_Call_List_PQ!T5)</f>
        <v/>
      </c>
      <c r="U5" s="57" t="str">
        <f>IF(Associates_Call_List_PQ!U5="","",Associates_Call_List_PQ!U5)</f>
        <v>Estimated savings $225.94/12 = $18.82 potential monthly savings on MEP</v>
      </c>
      <c r="V5" s="68" t="s">
        <v>5433</v>
      </c>
      <c r="W5" s="68">
        <v>45997</v>
      </c>
      <c r="X5" s="68"/>
      <c r="Y5" s="68"/>
      <c r="Z5" s="72" t="s">
        <v>5437</v>
      </c>
    </row>
    <row r="6" spans="1:26">
      <c r="A6" s="71">
        <f>IFERROR(Associates_Call_List_PQ!A6,"")</f>
        <v>45804</v>
      </c>
      <c r="B6" s="57" t="str">
        <f>IF(Associates_Call_List_PQ!B6="","",Associates_Call_List_PQ!B6)</f>
        <v>Nuccio</v>
      </c>
      <c r="C6" s="57" t="str">
        <f>IF(Associates_Call_List_PQ!C6="","",Associates_Call_List_PQ!C6)</f>
        <v>Tina</v>
      </c>
      <c r="D6" s="57" t="str">
        <f>IF(Associates_Call_List_PQ!D6="","",Associates_Call_List_PQ!D6)</f>
        <v>Cave Creek</v>
      </c>
      <c r="E6" s="58">
        <f>IF(Associates_Call_List_PQ!E6="","",Associates_Call_List_PQ!E6)</f>
        <v>85331</v>
      </c>
      <c r="F6" s="57" t="str">
        <f>IF(Associates_Call_List_PQ!F6="","",Associates_Call_List_PQ!F6)</f>
        <v>Opposed</v>
      </c>
      <c r="G6" s="57" t="str">
        <f>IF(Associates_Call_List_PQ!G6="","",Associates_Call_List_PQ!G6)</f>
        <v>https://images.edocket.azcc.gov/docketpdf/E000044298.pdf</v>
      </c>
      <c r="H6" s="59">
        <f>IF(Associates_Call_List_PQ!H6="","",Associates_Call_List_PQ!H6)</f>
        <v>5900820000</v>
      </c>
      <c r="I6" s="57" t="str">
        <f>IF(Associates_Call_List_PQ!I6="","",Associates_Call_List_PQ!I6)</f>
        <v>R3-47</v>
      </c>
      <c r="J6" s="57" t="str">
        <f>IF(Associates_Call_List_PQ!J6="","",Associates_Call_List_PQ!J6)</f>
        <v>No</v>
      </c>
      <c r="K6" s="57" t="str">
        <f>IF(Associates_Call_List_PQ!K6="","",Associates_Call_List_PQ!K6)</f>
        <v>No</v>
      </c>
      <c r="L6" s="57" t="str">
        <f>IF(Associates_Call_List_PQ!L6="","",Associates_Call_List_PQ!L6)</f>
        <v>Yes</v>
      </c>
      <c r="M6" s="57" t="str">
        <f>IF(Associates_Call_List_PQ!M6="","",Associates_Call_List_PQ!M6)</f>
        <v>No</v>
      </c>
      <c r="N6" s="57" t="str">
        <f>IF(Associates_Call_List_PQ!N6="","",Associates_Call_List_PQ!N6)</f>
        <v>No</v>
      </c>
      <c r="O6" s="57" t="str">
        <f>IF(Associates_Call_List_PQ!O6="","",Associates_Call_List_PQ!O6)</f>
        <v>Yes</v>
      </c>
      <c r="P6" s="57" t="str">
        <f>IF(Associates_Call_List_PQ!P6="","",Associates_Call_List_PQ!P6)</f>
        <v>N</v>
      </c>
      <c r="Q6" s="57">
        <f>IF(Associates_Call_List_PQ!Q6="","",Associates_Call_List_PQ!Q6)</f>
        <v>45954</v>
      </c>
      <c r="R6" s="57" t="str">
        <f>IF(Associates_Call_List_PQ!R6="","",Associates_Call_List_PQ!R6)</f>
        <v/>
      </c>
      <c r="S6" s="57" t="str">
        <f>IF(Associates_Call_List_PQ!S6="","",Associates_Call_List_PQ!S6)</f>
        <v/>
      </c>
      <c r="T6" s="57" t="str">
        <f>IF(Associates_Call_List_PQ!T6="","",Associates_Call_List_PQ!T6)</f>
        <v/>
      </c>
      <c r="U6" s="57" t="s">
        <v>5491</v>
      </c>
      <c r="V6" s="68" t="s">
        <v>117</v>
      </c>
      <c r="W6" s="68">
        <v>46060</v>
      </c>
      <c r="X6" s="68" t="s">
        <v>5434</v>
      </c>
      <c r="Y6" s="68"/>
      <c r="Z6" s="72"/>
    </row>
    <row r="7" spans="1:26">
      <c r="A7" s="71">
        <f>IFERROR(Associates_Call_List_PQ!A7,"")</f>
        <v>45805</v>
      </c>
      <c r="B7" s="57" t="str">
        <f>IF(Associates_Call_List_PQ!B7="","",Associates_Call_List_PQ!B7)</f>
        <v>Henkel</v>
      </c>
      <c r="C7" s="57" t="str">
        <f>IF(Associates_Call_List_PQ!C7="","",Associates_Call_List_PQ!C7)</f>
        <v>Dean</v>
      </c>
      <c r="D7" s="57" t="str">
        <f>IF(Associates_Call_List_PQ!D7="","",Associates_Call_List_PQ!D7)</f>
        <v>Unknown</v>
      </c>
      <c r="E7" s="58" t="str">
        <f>IF(Associates_Call_List_PQ!E7="","",Associates_Call_List_PQ!E7)</f>
        <v>Unknown</v>
      </c>
      <c r="F7" s="57"/>
      <c r="G7" s="57" t="str">
        <f>IF(Associates_Call_List_PQ!G7="","",Associates_Call_List_PQ!G7)</f>
        <v>https://images.edocket.azcc.gov/docketpdf/E000044312.pdf</v>
      </c>
      <c r="H7" s="59">
        <f>IF(Associates_Call_List_PQ!H7="","",Associates_Call_List_PQ!H7)</f>
        <v>1569851000</v>
      </c>
      <c r="I7" s="57" t="str">
        <f>IF(Associates_Call_List_PQ!I7="","",Associates_Call_List_PQ!I7)</f>
        <v>R-XS</v>
      </c>
      <c r="J7" s="57" t="str">
        <f>IF(Associates_Call_List_PQ!J7="","",Associates_Call_List_PQ!J7)</f>
        <v>No</v>
      </c>
      <c r="K7" s="57" t="str">
        <f>IF(Associates_Call_List_PQ!K7="","",Associates_Call_List_PQ!K7)</f>
        <v>No</v>
      </c>
      <c r="L7" s="57" t="str">
        <f>IF(Associates_Call_List_PQ!L7="","",Associates_Call_List_PQ!L7)</f>
        <v>Yes</v>
      </c>
      <c r="M7" s="57" t="str">
        <f>IF(Associates_Call_List_PQ!M7="","",Associates_Call_List_PQ!M7)</f>
        <v>No</v>
      </c>
      <c r="N7" s="57" t="str">
        <f>IF(Associates_Call_List_PQ!N7="","",Associates_Call_List_PQ!N7)</f>
        <v>No</v>
      </c>
      <c r="O7" s="57" t="str">
        <f>IF(Associates_Call_List_PQ!O7="","",Associates_Call_List_PQ!O7)</f>
        <v>Yes</v>
      </c>
      <c r="P7" s="57" t="str">
        <f>IF(Associates_Call_List_PQ!P7="","",Associates_Call_List_PQ!P7)</f>
        <v>N</v>
      </c>
      <c r="Q7" s="57">
        <f>IF(Associates_Call_List_PQ!Q7="","",Associates_Call_List_PQ!Q7)</f>
        <v>45954</v>
      </c>
      <c r="R7" s="57" t="str">
        <f>IF(Associates_Call_List_PQ!R7="","",Associates_Call_List_PQ!R7)</f>
        <v/>
      </c>
      <c r="S7" s="57" t="str">
        <f>IF(Associates_Call_List_PQ!S7="","",Associates_Call_List_PQ!S7)</f>
        <v/>
      </c>
      <c r="T7" s="57" t="str">
        <f>IF(Associates_Call_List_PQ!T7="","",Associates_Call_List_PQ!T7)</f>
        <v/>
      </c>
      <c r="U7" s="57" t="str">
        <f>IF(Associates_Call_List_PQ!U7="","",Associates_Call_List_PQ!U7)</f>
        <v/>
      </c>
      <c r="V7" s="68"/>
      <c r="W7" s="68" t="s">
        <v>5432</v>
      </c>
      <c r="X7" s="68"/>
      <c r="Y7" s="68"/>
      <c r="Z7" s="72" t="s">
        <v>5438</v>
      </c>
    </row>
    <row r="8" spans="1:26">
      <c r="A8" s="71">
        <f>IFERROR(Associates_Call_List_PQ!A8,"")</f>
        <v>45812</v>
      </c>
      <c r="B8" s="57" t="str">
        <f>IF(Associates_Call_List_PQ!B8="","",Associates_Call_List_PQ!B8)</f>
        <v>Paulsen</v>
      </c>
      <c r="C8" s="57" t="str">
        <f>IF(Associates_Call_List_PQ!C8="","",Associates_Call_List_PQ!C8)</f>
        <v>Jodi</v>
      </c>
      <c r="D8" s="57" t="str">
        <f>IF(Associates_Call_List_PQ!D8="","",Associates_Call_List_PQ!D8)</f>
        <v>Unknown</v>
      </c>
      <c r="E8" s="58" t="str">
        <f>IF(Associates_Call_List_PQ!E8="","",Associates_Call_List_PQ!E8)</f>
        <v>Unknown</v>
      </c>
      <c r="F8" s="57" t="str">
        <f>IF(Associates_Call_List_PQ!F8="","",Associates_Call_List_PQ!F8)</f>
        <v>Opposed</v>
      </c>
      <c r="G8" s="57" t="str">
        <f>IF(Associates_Call_List_PQ!G8="","",Associates_Call_List_PQ!G8)</f>
        <v>https://images.edocket.azcc.gov/docketpdf/E000044514.pdf</v>
      </c>
      <c r="H8" s="59" t="str">
        <f>IF(Associates_Call_List_PQ!H8="","",Associates_Call_List_PQ!H8)</f>
        <v>7938430000</v>
      </c>
      <c r="I8" s="57" t="str">
        <f>IF(Associates_Call_List_PQ!I8="","",Associates_Call_List_PQ!I8)</f>
        <v>EPR-6w/ET-1</v>
      </c>
      <c r="J8" s="57" t="str">
        <f>IF(Associates_Call_List_PQ!J8="","",Associates_Call_List_PQ!J8)</f>
        <v>No</v>
      </c>
      <c r="K8" s="57" t="str">
        <f>IF(Associates_Call_List_PQ!K8="","",Associates_Call_List_PQ!K8)</f>
        <v>No</v>
      </c>
      <c r="L8" s="57" t="str">
        <f>IF(Associates_Call_List_PQ!L8="","",Associates_Call_List_PQ!L8)</f>
        <v>Not able to Compare</v>
      </c>
      <c r="M8" s="57" t="str">
        <f>IF(Associates_Call_List_PQ!M8="","",Associates_Call_List_PQ!M8)</f>
        <v>No</v>
      </c>
      <c r="N8" s="57" t="str">
        <f>IF(Associates_Call_List_PQ!N8="","",Associates_Call_List_PQ!N8)</f>
        <v>No</v>
      </c>
      <c r="O8" s="57" t="str">
        <f>IF(Associates_Call_List_PQ!O8="","",Associates_Call_List_PQ!O8)</f>
        <v>Yes</v>
      </c>
      <c r="P8" s="57" t="str">
        <f>IF(Associates_Call_List_PQ!P8="","",Associates_Call_List_PQ!P8)</f>
        <v>N</v>
      </c>
      <c r="Q8" s="57">
        <f>IF(Associates_Call_List_PQ!Q8="","",Associates_Call_List_PQ!Q8)</f>
        <v>45957</v>
      </c>
      <c r="R8" s="57" t="str">
        <f>IF(Associates_Call_List_PQ!R8="","",Associates_Call_List_PQ!R8)</f>
        <v/>
      </c>
      <c r="S8" s="57" t="str">
        <f>IF(Associates_Call_List_PQ!S8="","",Associates_Call_List_PQ!S8)</f>
        <v/>
      </c>
      <c r="T8" s="57" t="str">
        <f>IF(Associates_Call_List_PQ!T8="","",Associates_Call_List_PQ!T8)</f>
        <v/>
      </c>
      <c r="U8" s="57" t="str">
        <f>IF(Associates_Call_List_PQ!U8="","",Associates_Call_List_PQ!U8)</f>
        <v/>
      </c>
      <c r="V8" s="68" t="s">
        <v>5433</v>
      </c>
      <c r="W8" s="68">
        <v>45997</v>
      </c>
      <c r="X8" s="68" t="s">
        <v>5434</v>
      </c>
      <c r="Y8" s="68"/>
      <c r="Z8" s="72"/>
    </row>
    <row r="9" spans="1:26">
      <c r="A9" s="71">
        <f>IFERROR(Associates_Call_List_PQ!A9,"")</f>
        <v>45813</v>
      </c>
      <c r="B9" s="57" t="str">
        <f>IF(Associates_Call_List_PQ!B9="","",Associates_Call_List_PQ!B9)</f>
        <v>Berto</v>
      </c>
      <c r="C9" s="57" t="str">
        <f>IF(Associates_Call_List_PQ!C9="","",Associates_Call_List_PQ!C9)</f>
        <v>Kim &amp; Dave</v>
      </c>
      <c r="D9" s="57" t="str">
        <f>IF(Associates_Call_List_PQ!D9="","",Associates_Call_List_PQ!D9)</f>
        <v>Chino Valley</v>
      </c>
      <c r="E9" s="58" t="str">
        <f>IF(Associates_Call_List_PQ!E9="","",Associates_Call_List_PQ!E9)</f>
        <v>Unknown</v>
      </c>
      <c r="F9" s="57" t="str">
        <f>IF(Associates_Call_List_PQ!F9="","",Associates_Call_List_PQ!F9)</f>
        <v>Opposed</v>
      </c>
      <c r="G9" s="57" t="str">
        <f>IF(Associates_Call_List_PQ!G9="","",Associates_Call_List_PQ!G9)</f>
        <v>https://images.edocket.azcc.gov/docketpdf/E000044536.pdf</v>
      </c>
      <c r="H9" s="59">
        <f>IF(Associates_Call_List_PQ!H9="","",Associates_Call_List_PQ!H9)</f>
        <v>2009184288</v>
      </c>
      <c r="I9" s="57" t="str">
        <f>IF(Associates_Call_List_PQ!I9="","",Associates_Call_List_PQ!I9)</f>
        <v>RCPw/RTOUE47</v>
      </c>
      <c r="J9" s="57" t="str">
        <f>IF(Associates_Call_List_PQ!J9="","",Associates_Call_List_PQ!J9)</f>
        <v>No</v>
      </c>
      <c r="K9" s="57" t="str">
        <f>IF(Associates_Call_List_PQ!K9="","",Associates_Call_List_PQ!K9)</f>
        <v>No</v>
      </c>
      <c r="L9" s="57" t="str">
        <f>IF(Associates_Call_List_PQ!L9="","",Associates_Call_List_PQ!L9)</f>
        <v>Yes</v>
      </c>
      <c r="M9" s="57" t="str">
        <f>IF(Associates_Call_List_PQ!M9="","",Associates_Call_List_PQ!M9)</f>
        <v>No</v>
      </c>
      <c r="N9" s="57" t="str">
        <f>IF(Associates_Call_List_PQ!N9="","",Associates_Call_List_PQ!N9)</f>
        <v>No</v>
      </c>
      <c r="O9" s="57" t="str">
        <f>IF(Associates_Call_List_PQ!O9="","",Associates_Call_List_PQ!O9)</f>
        <v>Yes</v>
      </c>
      <c r="P9" s="57" t="str">
        <f>IF(Associates_Call_List_PQ!P9="","",Associates_Call_List_PQ!P9)</f>
        <v>N</v>
      </c>
      <c r="Q9" s="57">
        <f>IF(Associates_Call_List_PQ!Q9="","",Associates_Call_List_PQ!Q9)</f>
        <v>45957</v>
      </c>
      <c r="R9" s="57" t="str">
        <f>IF(Associates_Call_List_PQ!R9="","",Associates_Call_List_PQ!R9)</f>
        <v/>
      </c>
      <c r="S9" s="57" t="str">
        <f>IF(Associates_Call_List_PQ!S9="","",Associates_Call_List_PQ!S9)</f>
        <v/>
      </c>
      <c r="T9" s="57" t="str">
        <f>IF(Associates_Call_List_PQ!T9="","",Associates_Call_List_PQ!T9)</f>
        <v/>
      </c>
      <c r="U9" s="57" t="str">
        <f>IF(Associates_Call_List_PQ!U9="","",Associates_Call_List_PQ!U9)</f>
        <v/>
      </c>
      <c r="V9" s="68" t="s">
        <v>5433</v>
      </c>
      <c r="W9" s="68">
        <v>45997</v>
      </c>
      <c r="X9" s="68"/>
      <c r="Y9" s="68"/>
      <c r="Z9" s="72" t="s">
        <v>5439</v>
      </c>
    </row>
    <row r="10" spans="1:26">
      <c r="A10" s="71">
        <f>IFERROR(Associates_Call_List_PQ!A10,"")</f>
        <v>45814</v>
      </c>
      <c r="B10" s="57" t="str">
        <f>IF(Associates_Call_List_PQ!B10="","",Associates_Call_List_PQ!B10)</f>
        <v>Shroyer</v>
      </c>
      <c r="C10" s="57" t="str">
        <f>IF(Associates_Call_List_PQ!C10="","",Associates_Call_List_PQ!C10)</f>
        <v>Mary Lynne</v>
      </c>
      <c r="D10" s="57" t="str">
        <f>IF(Associates_Call_List_PQ!D10="","",Associates_Call_List_PQ!D10)</f>
        <v>Sun City</v>
      </c>
      <c r="E10" s="58">
        <f>IF(Associates_Call_List_PQ!E10="","",Associates_Call_List_PQ!E10)</f>
        <v>85351</v>
      </c>
      <c r="F10" s="57" t="str">
        <f>IF(Associates_Call_List_PQ!F10="","",Associates_Call_List_PQ!F10)</f>
        <v>Opposed</v>
      </c>
      <c r="G10" s="57" t="str">
        <f>IF(Associates_Call_List_PQ!G10="","",Associates_Call_List_PQ!G10)</f>
        <v>https://images.edocket.azcc.gov/docketpdf/E000044648.pdf</v>
      </c>
      <c r="H10" s="59">
        <f>IF(Associates_Call_List_PQ!H10="","",Associates_Call_List_PQ!H10)</f>
        <v>1163301000</v>
      </c>
      <c r="I10" s="57"/>
      <c r="J10" s="57" t="str">
        <f>IF(Associates_Call_List_PQ!J10="","",Associates_Call_List_PQ!J10)</f>
        <v>No</v>
      </c>
      <c r="K10" s="57" t="str">
        <f>IF(Associates_Call_List_PQ!K10="","",Associates_Call_List_PQ!K10)</f>
        <v>No</v>
      </c>
      <c r="L10" s="57" t="str">
        <f>IF(Associates_Call_List_PQ!L10="","",Associates_Call_List_PQ!L10)</f>
        <v>Yes</v>
      </c>
      <c r="M10" s="57" t="str">
        <f>IF(Associates_Call_List_PQ!M10="","",Associates_Call_List_PQ!M10)</f>
        <v>No</v>
      </c>
      <c r="N10" s="57" t="str">
        <f>IF(Associates_Call_List_PQ!N10="","",Associates_Call_List_PQ!N10)</f>
        <v>No</v>
      </c>
      <c r="O10" s="57" t="str">
        <f>IF(Associates_Call_List_PQ!O10="","",Associates_Call_List_PQ!O10)</f>
        <v>Yes</v>
      </c>
      <c r="P10" s="57" t="str">
        <f>IF(Associates_Call_List_PQ!P10="","",Associates_Call_List_PQ!P10)</f>
        <v>N</v>
      </c>
      <c r="Q10" s="57">
        <f>IF(Associates_Call_List_PQ!Q10="","",Associates_Call_List_PQ!Q10)</f>
        <v>45957</v>
      </c>
      <c r="R10" s="57" t="str">
        <f>IF(Associates_Call_List_PQ!R10="","",Associates_Call_List_PQ!R10)</f>
        <v/>
      </c>
      <c r="S10" s="57" t="str">
        <f>IF(Associates_Call_List_PQ!S10="","",Associates_Call_List_PQ!S10)</f>
        <v/>
      </c>
      <c r="T10" s="57" t="str">
        <f>IF(Associates_Call_List_PQ!T10="","",Associates_Call_List_PQ!T10)</f>
        <v/>
      </c>
      <c r="U10" s="57" t="str">
        <f>IF(Associates_Call_List_PQ!U10="","",Associates_Call_List_PQ!U10)</f>
        <v/>
      </c>
      <c r="V10" s="68" t="s">
        <v>5433</v>
      </c>
      <c r="W10" s="68">
        <v>45997</v>
      </c>
      <c r="X10" s="68" t="s">
        <v>5434</v>
      </c>
      <c r="Y10" s="68"/>
      <c r="Z10" s="72" t="s">
        <v>5440</v>
      </c>
    </row>
    <row r="11" spans="1:26">
      <c r="A11" s="71">
        <f>IFERROR(Associates_Call_List_PQ!A11,"")</f>
        <v>45821</v>
      </c>
      <c r="B11" s="57" t="str">
        <f>IF(Associates_Call_List_PQ!B11="","",Associates_Call_List_PQ!B11)</f>
        <v>Driscoll</v>
      </c>
      <c r="C11" s="57" t="str">
        <f>IF(Associates_Call_List_PQ!C11="","",Associates_Call_List_PQ!C11)</f>
        <v>David &amp; Donna</v>
      </c>
      <c r="D11" s="57" t="str">
        <f>IF(Associates_Call_List_PQ!D11="","",Associates_Call_List_PQ!D11)</f>
        <v>Unknown</v>
      </c>
      <c r="E11" s="58" t="str">
        <f>IF(Associates_Call_List_PQ!E11="","",Associates_Call_List_PQ!E11)</f>
        <v>Unknown</v>
      </c>
      <c r="F11" s="57" t="str">
        <f>IF(Associates_Call_List_PQ!F11="","",Associates_Call_List_PQ!F11)</f>
        <v>Opposed</v>
      </c>
      <c r="G11" s="57" t="str">
        <f>IF(Associates_Call_List_PQ!G11="","",Associates_Call_List_PQ!G11)</f>
        <v>https://images.edocket.azcc.gov/docketpdf/E000044766.pdf</v>
      </c>
      <c r="H11" s="59" t="str">
        <f>IF(Associates_Call_List_PQ!H11="","",Associates_Call_List_PQ!H11)</f>
        <v>6242500593</v>
      </c>
      <c r="I11" s="57" t="str">
        <f>IF(Associates_Call_List_PQ!I11="","",Associates_Call_List_PQ!I11)</f>
        <v>RCPw/RTOUE47</v>
      </c>
      <c r="J11" s="57" t="str">
        <f>IF(Associates_Call_List_PQ!J11="","",Associates_Call_List_PQ!J11)</f>
        <v>No</v>
      </c>
      <c r="K11" s="57" t="str">
        <f>IF(Associates_Call_List_PQ!K11="","",Associates_Call_List_PQ!K11)</f>
        <v>No</v>
      </c>
      <c r="L11" s="57" t="str">
        <f>IF(Associates_Call_List_PQ!L11="","",Associates_Call_List_PQ!L11)</f>
        <v xml:space="preserve"> No - MEP R3-47($151.35)</v>
      </c>
      <c r="M11" s="57" t="str">
        <f>IF(Associates_Call_List_PQ!M11="","",Associates_Call_List_PQ!M11)</f>
        <v>No</v>
      </c>
      <c r="N11" s="57" t="str">
        <f>IF(Associates_Call_List_PQ!N11="","",Associates_Call_List_PQ!N11)</f>
        <v>No</v>
      </c>
      <c r="O11" s="57" t="str">
        <f>IF(Associates_Call_List_PQ!O11="","",Associates_Call_List_PQ!O11)</f>
        <v>Yes</v>
      </c>
      <c r="P11" s="57" t="str">
        <f>IF(Associates_Call_List_PQ!P11="","",Associates_Call_List_PQ!P11)</f>
        <v>N</v>
      </c>
      <c r="Q11" s="57">
        <f>IF(Associates_Call_List_PQ!Q11="","",Associates_Call_List_PQ!Q11)</f>
        <v>45957</v>
      </c>
      <c r="R11" s="57" t="str">
        <f>IF(Associates_Call_List_PQ!R11="","",Associates_Call_List_PQ!R11)</f>
        <v>Prior ACC Complaint customer - Solar customer does not want to be on demand rate.</v>
      </c>
      <c r="S11" s="57" t="str">
        <f>IF(Associates_Call_List_PQ!S11="","",Associates_Call_List_PQ!S11)</f>
        <v/>
      </c>
      <c r="T11" s="57" t="str">
        <f>IF(Associates_Call_List_PQ!T11="","",Associates_Call_List_PQ!T11)</f>
        <v/>
      </c>
      <c r="U11" s="57" t="str">
        <f>IF(Associates_Call_List_PQ!U11="","",Associates_Call_List_PQ!U11)</f>
        <v/>
      </c>
      <c r="V11" s="68" t="s">
        <v>5433</v>
      </c>
      <c r="W11" s="68">
        <v>45997</v>
      </c>
      <c r="X11" s="68" t="s">
        <v>5434</v>
      </c>
      <c r="Y11" s="68"/>
      <c r="Z11" s="72" t="s">
        <v>5440</v>
      </c>
    </row>
    <row r="12" spans="1:26">
      <c r="A12" s="71">
        <f>IFERROR(Associates_Call_List_PQ!A12,"")</f>
        <v>45825</v>
      </c>
      <c r="B12" s="57" t="str">
        <f>IF(Associates_Call_List_PQ!B12="","",Associates_Call_List_PQ!B12)</f>
        <v xml:space="preserve">Neal </v>
      </c>
      <c r="C12" s="57" t="str">
        <f>IF(Associates_Call_List_PQ!C12="","",Associates_Call_List_PQ!C12)</f>
        <v>Michelle</v>
      </c>
      <c r="D12" s="57" t="str">
        <f>IF(Associates_Call_List_PQ!D12="","",Associates_Call_List_PQ!D12)</f>
        <v>Glendale</v>
      </c>
      <c r="E12" s="58">
        <f>IF(Associates_Call_List_PQ!E12="","",Associates_Call_List_PQ!E12)</f>
        <v>85308</v>
      </c>
      <c r="F12" s="57" t="str">
        <f>IF(Associates_Call_List_PQ!F12="","",Associates_Call_List_PQ!F12)</f>
        <v>Opposed</v>
      </c>
      <c r="G12" s="57" t="str">
        <f>IF(Associates_Call_List_PQ!G12="","",Associates_Call_List_PQ!G12)</f>
        <v>https://images.edocket.azcc.gov/docketpdf/E000044799.pdf</v>
      </c>
      <c r="H12" s="59" t="str">
        <f>IF(Associates_Call_List_PQ!H12="","",Associates_Call_List_PQ!H12)</f>
        <v>1565756559</v>
      </c>
      <c r="I12" s="57" t="str">
        <f>IF(Associates_Call_List_PQ!I12="","",Associates_Call_List_PQ!I12)</f>
        <v>R3-47</v>
      </c>
      <c r="J12" s="57" t="str">
        <f>IF(Associates_Call_List_PQ!J12="","",Associates_Call_List_PQ!J12)</f>
        <v>No</v>
      </c>
      <c r="K12" s="57" t="str">
        <f>IF(Associates_Call_List_PQ!K12="","",Associates_Call_List_PQ!K12)</f>
        <v>No</v>
      </c>
      <c r="L12" s="57" t="str">
        <f>IF(Associates_Call_List_PQ!L12="","",Associates_Call_List_PQ!L12)</f>
        <v>Yes</v>
      </c>
      <c r="M12" s="57" t="str">
        <f>IF(Associates_Call_List_PQ!M12="","",Associates_Call_List_PQ!M12)</f>
        <v>No</v>
      </c>
      <c r="N12" s="57" t="str">
        <f>IF(Associates_Call_List_PQ!N12="","",Associates_Call_List_PQ!N12)</f>
        <v>No</v>
      </c>
      <c r="O12" s="57" t="str">
        <f>IF(Associates_Call_List_PQ!O12="","",Associates_Call_List_PQ!O12)</f>
        <v>Yes</v>
      </c>
      <c r="P12" s="57" t="str">
        <f>IF(Associates_Call_List_PQ!P12="","",Associates_Call_List_PQ!P12)</f>
        <v>N</v>
      </c>
      <c r="Q12" s="57">
        <f>IF(Associates_Call_List_PQ!Q12="","",Associates_Call_List_PQ!Q12)</f>
        <v>45957</v>
      </c>
      <c r="R12" s="57" t="str">
        <f>IF(Associates_Call_List_PQ!R12="","",Associates_Call_List_PQ!R12)</f>
        <v/>
      </c>
      <c r="S12" s="57" t="str">
        <f>IF(Associates_Call_List_PQ!S12="","",Associates_Call_List_PQ!S12)</f>
        <v/>
      </c>
      <c r="T12" s="57" t="str">
        <f>IF(Associates_Call_List_PQ!T12="","",Associates_Call_List_PQ!T12)</f>
        <v/>
      </c>
      <c r="U12" s="57" t="str">
        <f>IF(Associates_Call_List_PQ!U12="","",Associates_Call_List_PQ!U12)</f>
        <v/>
      </c>
      <c r="V12" s="68" t="s">
        <v>5433</v>
      </c>
      <c r="W12" s="68">
        <v>45997</v>
      </c>
      <c r="X12" s="68" t="s">
        <v>5434</v>
      </c>
      <c r="Y12" s="68"/>
      <c r="Z12" s="72" t="s">
        <v>5441</v>
      </c>
    </row>
    <row r="13" spans="1:26">
      <c r="A13" s="71">
        <f>IFERROR(Associates_Call_List_PQ!A13,"")</f>
        <v>45826</v>
      </c>
      <c r="B13" s="57" t="str">
        <f>IF(Associates_Call_List_PQ!B13="","",Associates_Call_List_PQ!B13)</f>
        <v>Witte</v>
      </c>
      <c r="C13" s="57" t="str">
        <f>IF(Associates_Call_List_PQ!C13="","",Associates_Call_List_PQ!C13)</f>
        <v>Jessica</v>
      </c>
      <c r="D13" s="57" t="str">
        <f>IF(Associates_Call_List_PQ!D13="","",Associates_Call_List_PQ!D13)</f>
        <v>Scottsdale</v>
      </c>
      <c r="E13" s="58">
        <f>IF(Associates_Call_List_PQ!E13="","",Associates_Call_List_PQ!E13)</f>
        <v>85254</v>
      </c>
      <c r="F13" s="57" t="str">
        <f>IF(Associates_Call_List_PQ!F13="","",Associates_Call_List_PQ!F13)</f>
        <v>Opposed</v>
      </c>
      <c r="G13" s="57" t="str">
        <f>IF(Associates_Call_List_PQ!G13="","",Associates_Call_List_PQ!G13)</f>
        <v>https://images.edocket.azcc.gov/docketpdf/E000044842.pdf</v>
      </c>
      <c r="H13" s="59">
        <f>IF(Associates_Call_List_PQ!H13="","",Associates_Call_List_PQ!H13)</f>
        <v>7413433376</v>
      </c>
      <c r="I13" s="57" t="str">
        <f>IF(Associates_Call_List_PQ!I13="","",Associates_Call_List_PQ!I13)</f>
        <v>R-BASIC</v>
      </c>
      <c r="J13" s="57" t="str">
        <f>IF(Associates_Call_List_PQ!J13="","",Associates_Call_List_PQ!J13)</f>
        <v>No</v>
      </c>
      <c r="K13" s="57" t="str">
        <f>IF(Associates_Call_List_PQ!K13="","",Associates_Call_List_PQ!K13)</f>
        <v>No</v>
      </c>
      <c r="L13" s="57" t="str">
        <f>IF(Associates_Call_List_PQ!L13="","",Associates_Call_List_PQ!L13)</f>
        <v>Yes</v>
      </c>
      <c r="M13" s="57" t="str">
        <f>IF(Associates_Call_List_PQ!M13="","",Associates_Call_List_PQ!M13)</f>
        <v>No</v>
      </c>
      <c r="N13" s="57" t="str">
        <f>IF(Associates_Call_List_PQ!N13="","",Associates_Call_List_PQ!N13)</f>
        <v>No</v>
      </c>
      <c r="O13" s="57" t="str">
        <f>IF(Associates_Call_List_PQ!O13="","",Associates_Call_List_PQ!O13)</f>
        <v>Yes</v>
      </c>
      <c r="P13" s="57" t="str">
        <f>IF(Associates_Call_List_PQ!P13="","",Associates_Call_List_PQ!P13)</f>
        <v>N</v>
      </c>
      <c r="Q13" s="57">
        <f>IF(Associates_Call_List_PQ!Q13="","",Associates_Call_List_PQ!Q13)</f>
        <v>45957</v>
      </c>
      <c r="R13" s="57" t="str">
        <f>IF(Associates_Call_List_PQ!R13="","",Associates_Call_List_PQ!R13)</f>
        <v/>
      </c>
      <c r="S13" s="57" t="str">
        <f>IF(Associates_Call_List_PQ!S13="","",Associates_Call_List_PQ!S13)</f>
        <v/>
      </c>
      <c r="T13" s="57" t="str">
        <f>IF(Associates_Call_List_PQ!T13="","",Associates_Call_List_PQ!T13)</f>
        <v/>
      </c>
      <c r="U13" s="57" t="str">
        <f>IF(Associates_Call_List_PQ!U13="","",Associates_Call_List_PQ!U13)</f>
        <v/>
      </c>
      <c r="V13" s="68"/>
      <c r="W13" s="68" t="s">
        <v>5432</v>
      </c>
      <c r="X13" s="68"/>
      <c r="Y13" s="68"/>
      <c r="Z13" s="72"/>
    </row>
    <row r="14" spans="1:26">
      <c r="A14" s="71">
        <f>IFERROR(Associates_Call_List_PQ!A14,"")</f>
        <v>45826</v>
      </c>
      <c r="B14" s="57" t="str">
        <f>IF(Associates_Call_List_PQ!B14="","",Associates_Call_List_PQ!B14)</f>
        <v>Figueroa</v>
      </c>
      <c r="C14" s="57" t="str">
        <f>IF(Associates_Call_List_PQ!C14="","",Associates_Call_List_PQ!C14)</f>
        <v>Enrique</v>
      </c>
      <c r="D14" s="57" t="str">
        <f>IF(Associates_Call_List_PQ!D14="","",Associates_Call_List_PQ!D14)</f>
        <v>Gilbert</v>
      </c>
      <c r="E14" s="58">
        <f>IF(Associates_Call_List_PQ!E14="","",Associates_Call_List_PQ!E14)</f>
        <v>85233</v>
      </c>
      <c r="F14" s="57" t="str">
        <f>IF(Associates_Call_List_PQ!F14="","",Associates_Call_List_PQ!F14)</f>
        <v>Opposed</v>
      </c>
      <c r="G14" s="57" t="str">
        <f>IF(Associates_Call_List_PQ!G14="","",Associates_Call_List_PQ!G14)</f>
        <v>https://images.edocket.azcc.gov/docketpdf/E000044842.pdf</v>
      </c>
      <c r="H14" s="59">
        <f>IF(Associates_Call_List_PQ!H14="","",Associates_Call_List_PQ!H14)</f>
        <v>6601188228</v>
      </c>
      <c r="I14" s="57" t="str">
        <f>IF(Associates_Call_List_PQ!I14="","",Associates_Call_List_PQ!I14)</f>
        <v>R3-47</v>
      </c>
      <c r="J14" s="57" t="str">
        <f>IF(Associates_Call_List_PQ!J14="","",Associates_Call_List_PQ!J14)</f>
        <v>No</v>
      </c>
      <c r="K14" s="57" t="str">
        <f>IF(Associates_Call_List_PQ!K14="","",Associates_Call_List_PQ!K14)</f>
        <v>No</v>
      </c>
      <c r="L14" s="57" t="str">
        <f>IF(Associates_Call_List_PQ!L14="","",Associates_Call_List_PQ!L14)</f>
        <v>Yes</v>
      </c>
      <c r="M14" s="57" t="str">
        <f>IF(Associates_Call_List_PQ!M14="","",Associates_Call_List_PQ!M14)</f>
        <v>No</v>
      </c>
      <c r="N14" s="57" t="str">
        <f>IF(Associates_Call_List_PQ!N14="","",Associates_Call_List_PQ!N14)</f>
        <v>No</v>
      </c>
      <c r="O14" s="57" t="str">
        <f>IF(Associates_Call_List_PQ!O14="","",Associates_Call_List_PQ!O14)</f>
        <v>Yes</v>
      </c>
      <c r="P14" s="57" t="str">
        <f>IF(Associates_Call_List_PQ!P14="","",Associates_Call_List_PQ!P14)</f>
        <v>N</v>
      </c>
      <c r="Q14" s="57">
        <f>IF(Associates_Call_List_PQ!Q14="","",Associates_Call_List_PQ!Q14)</f>
        <v>45957</v>
      </c>
      <c r="R14" s="57" t="str">
        <f>IF(Associates_Call_List_PQ!R14="","",Associates_Call_List_PQ!R14)</f>
        <v/>
      </c>
      <c r="S14" s="57" t="str">
        <f>IF(Associates_Call_List_PQ!S14="","",Associates_Call_List_PQ!S14)</f>
        <v/>
      </c>
      <c r="T14" s="57" t="str">
        <f>IF(Associates_Call_List_PQ!T14="","",Associates_Call_List_PQ!T14)</f>
        <v/>
      </c>
      <c r="U14" s="57" t="str">
        <f>IF(Associates_Call_List_PQ!U14="","",Associates_Call_List_PQ!U14)</f>
        <v/>
      </c>
      <c r="V14" s="68" t="s">
        <v>117</v>
      </c>
      <c r="W14" s="68">
        <v>45997</v>
      </c>
      <c r="X14" s="68" t="s">
        <v>5405</v>
      </c>
      <c r="Y14" s="68"/>
      <c r="Z14" s="72" t="s">
        <v>5442</v>
      </c>
    </row>
    <row r="15" spans="1:26">
      <c r="A15" s="71">
        <f>IFERROR(Associates_Call_List_PQ!A15,"")</f>
        <v>45826</v>
      </c>
      <c r="B15" s="57" t="str">
        <f>IF(Associates_Call_List_PQ!B15="","",Associates_Call_List_PQ!B15)</f>
        <v>Wheatley</v>
      </c>
      <c r="C15" s="57" t="str">
        <f>IF(Associates_Call_List_PQ!C15="","",Associates_Call_List_PQ!C15)</f>
        <v>Heather</v>
      </c>
      <c r="D15" s="57" t="str">
        <f>IF(Associates_Call_List_PQ!D15="","",Associates_Call_List_PQ!D15)</f>
        <v>Surprise</v>
      </c>
      <c r="E15" s="58">
        <f>IF(Associates_Call_List_PQ!E15="","",Associates_Call_List_PQ!E15)</f>
        <v>85388</v>
      </c>
      <c r="F15" s="57" t="str">
        <f>IF(Associates_Call_List_PQ!F15="","",Associates_Call_List_PQ!F15)</f>
        <v>Opposed</v>
      </c>
      <c r="G15" s="57" t="str">
        <f>IF(Associates_Call_List_PQ!G15="","",Associates_Call_List_PQ!G15)</f>
        <v>https://images.edocket.azcc.gov/docketpdf/E000044842.pdf</v>
      </c>
      <c r="H15" s="59">
        <f>IF(Associates_Call_List_PQ!H15="","",Associates_Call_List_PQ!H15)</f>
        <v>7397110970</v>
      </c>
      <c r="I15" s="57" t="str">
        <f>IF(Associates_Call_List_PQ!I15="","",Associates_Call_List_PQ!I15)</f>
        <v>R3-47</v>
      </c>
      <c r="J15" s="57" t="str">
        <f>IF(Associates_Call_List_PQ!J15="","",Associates_Call_List_PQ!J15)</f>
        <v>No</v>
      </c>
      <c r="K15" s="57" t="str">
        <f>IF(Associates_Call_List_PQ!K15="","",Associates_Call_List_PQ!K15)</f>
        <v>No</v>
      </c>
      <c r="L15" s="57" t="str">
        <f>IF(Associates_Call_List_PQ!L15="","",Associates_Call_List_PQ!L15)</f>
        <v>Yes</v>
      </c>
      <c r="M15" s="57" t="str">
        <f>IF(Associates_Call_List_PQ!M15="","",Associates_Call_List_PQ!M15)</f>
        <v>No</v>
      </c>
      <c r="N15" s="57" t="str">
        <f>IF(Associates_Call_List_PQ!N15="","",Associates_Call_List_PQ!N15)</f>
        <v>No</v>
      </c>
      <c r="O15" s="57" t="str">
        <f>IF(Associates_Call_List_PQ!O15="","",Associates_Call_List_PQ!O15)</f>
        <v>Yes</v>
      </c>
      <c r="P15" s="57" t="str">
        <f>IF(Associates_Call_List_PQ!P15="","",Associates_Call_List_PQ!P15)</f>
        <v>N</v>
      </c>
      <c r="Q15" s="57">
        <f>IF(Associates_Call_List_PQ!Q15="","",Associates_Call_List_PQ!Q15)</f>
        <v>45957</v>
      </c>
      <c r="R15" s="57" t="str">
        <f>IF(Associates_Call_List_PQ!R15="","",Associates_Call_List_PQ!R15)</f>
        <v/>
      </c>
      <c r="S15" s="57" t="str">
        <f>IF(Associates_Call_List_PQ!S15="","",Associates_Call_List_PQ!S15)</f>
        <v/>
      </c>
      <c r="T15" s="57" t="str">
        <f>IF(Associates_Call_List_PQ!T15="","",Associates_Call_List_PQ!T15)</f>
        <v/>
      </c>
      <c r="U15" s="57" t="str">
        <f>IF(Associates_Call_List_PQ!U15="","",Associates_Call_List_PQ!U15)</f>
        <v/>
      </c>
      <c r="V15" s="68"/>
      <c r="W15" s="68" t="s">
        <v>5432</v>
      </c>
      <c r="X15" s="68"/>
      <c r="Y15" s="68"/>
      <c r="Z15" s="72"/>
    </row>
    <row r="16" spans="1:26">
      <c r="A16" s="71">
        <f>IFERROR(Associates_Call_List_PQ!A16,"")</f>
        <v>45826</v>
      </c>
      <c r="B16" s="57" t="str">
        <f>IF(Associates_Call_List_PQ!B16="","",Associates_Call_List_PQ!B16)</f>
        <v>Millbranth</v>
      </c>
      <c r="C16" s="57" t="str">
        <f>IF(Associates_Call_List_PQ!C16="","",Associates_Call_List_PQ!C16)</f>
        <v>Mark</v>
      </c>
      <c r="D16" s="57" t="str">
        <f>IF(Associates_Call_List_PQ!D16="","",Associates_Call_List_PQ!D16)</f>
        <v>Scottsdale</v>
      </c>
      <c r="E16" s="58">
        <f>IF(Associates_Call_List_PQ!E16="","",Associates_Call_List_PQ!E16)</f>
        <v>85266</v>
      </c>
      <c r="F16" s="57" t="str">
        <f>IF(Associates_Call_List_PQ!F16="","",Associates_Call_List_PQ!F16)</f>
        <v>Opposed</v>
      </c>
      <c r="G16" s="57" t="str">
        <f>IF(Associates_Call_List_PQ!G16="","",Associates_Call_List_PQ!G16)</f>
        <v>https://images.edocket.azcc.gov/docketpdf/E000044842.pdf</v>
      </c>
      <c r="H16" s="59">
        <f>IF(Associates_Call_List_PQ!H16="","",Associates_Call_List_PQ!H16)</f>
        <v>5288831000</v>
      </c>
      <c r="I16" s="57" t="str">
        <f>IF(Associates_Call_List_PQ!I16="","",Associates_Call_List_PQ!I16)</f>
        <v>R3-47</v>
      </c>
      <c r="J16" s="57" t="str">
        <f>IF(Associates_Call_List_PQ!J16="","",Associates_Call_List_PQ!J16)</f>
        <v>No</v>
      </c>
      <c r="K16" s="57" t="str">
        <f>IF(Associates_Call_List_PQ!K16="","",Associates_Call_List_PQ!K16)</f>
        <v>No</v>
      </c>
      <c r="L16" s="57" t="str">
        <f>IF(Associates_Call_List_PQ!L16="","",Associates_Call_List_PQ!L16)</f>
        <v>Yes</v>
      </c>
      <c r="M16" s="57" t="str">
        <f>IF(Associates_Call_List_PQ!M16="","",Associates_Call_List_PQ!M16)</f>
        <v>No</v>
      </c>
      <c r="N16" s="57" t="str">
        <f>IF(Associates_Call_List_PQ!N16="","",Associates_Call_List_PQ!N16)</f>
        <v>No</v>
      </c>
      <c r="O16" s="57" t="str">
        <f>IF(Associates_Call_List_PQ!O16="","",Associates_Call_List_PQ!O16)</f>
        <v>Yes</v>
      </c>
      <c r="P16" s="57" t="str">
        <f>IF(Associates_Call_List_PQ!P16="","",Associates_Call_List_PQ!P16)</f>
        <v>N</v>
      </c>
      <c r="Q16" s="57">
        <f>IF(Associates_Call_List_PQ!Q16="","",Associates_Call_List_PQ!Q16)</f>
        <v>45957</v>
      </c>
      <c r="R16" s="57" t="str">
        <f>IF(Associates_Call_List_PQ!R16="","",Associates_Call_List_PQ!R16)</f>
        <v/>
      </c>
      <c r="S16" s="57" t="str">
        <f>IF(Associates_Call_List_PQ!S16="","",Associates_Call_List_PQ!S16)</f>
        <v/>
      </c>
      <c r="T16" s="57" t="str">
        <f>IF(Associates_Call_List_PQ!T16="","",Associates_Call_List_PQ!T16)</f>
        <v/>
      </c>
      <c r="U16" s="57" t="s">
        <v>5492</v>
      </c>
      <c r="V16" s="68" t="s">
        <v>117</v>
      </c>
      <c r="W16" s="68">
        <v>46060</v>
      </c>
      <c r="X16" s="68" t="s">
        <v>5405</v>
      </c>
      <c r="Y16" s="68"/>
      <c r="Z16" s="72" t="s">
        <v>5493</v>
      </c>
    </row>
    <row r="17" spans="1:26">
      <c r="A17" s="71">
        <f>IFERROR(Associates_Call_List_PQ!A17,"")</f>
        <v>45826</v>
      </c>
      <c r="B17" s="57" t="str">
        <f>IF(Associates_Call_List_PQ!B17="","",Associates_Call_List_PQ!B17)</f>
        <v>Geyer</v>
      </c>
      <c r="C17" s="57" t="str">
        <f>IF(Associates_Call_List_PQ!C17="","",Associates_Call_List_PQ!C17)</f>
        <v>Jared</v>
      </c>
      <c r="D17" s="57" t="str">
        <f>IF(Associates_Call_List_PQ!D17="","",Associates_Call_List_PQ!D17)</f>
        <v>Scottsdale</v>
      </c>
      <c r="E17" s="58">
        <f>IF(Associates_Call_List_PQ!E17="","",Associates_Call_List_PQ!E17)</f>
        <v>85254</v>
      </c>
      <c r="F17" s="57" t="str">
        <f>IF(Associates_Call_List_PQ!F17="","",Associates_Call_List_PQ!F17)</f>
        <v>Opposed</v>
      </c>
      <c r="G17" s="57" t="str">
        <f>IF(Associates_Call_List_PQ!G17="","",Associates_Call_List_PQ!G17)</f>
        <v>https://images.edocket.azcc.gov/docketpdf/E000044846.pdf</v>
      </c>
      <c r="H17" s="59" t="str">
        <f>IF(Associates_Call_List_PQ!H17="","",Associates_Call_List_PQ!H17)</f>
        <v>7528633936</v>
      </c>
      <c r="I17" s="57" t="str">
        <f>IF(Associates_Call_List_PQ!I17="","",Associates_Call_List_PQ!I17)</f>
        <v>R-BASICL</v>
      </c>
      <c r="J17" s="57" t="str">
        <f>IF(Associates_Call_List_PQ!J17="","",Associates_Call_List_PQ!J17)</f>
        <v xml:space="preserve">No </v>
      </c>
      <c r="K17" s="57" t="str">
        <f>IF(Associates_Call_List_PQ!K17="","",Associates_Call_List_PQ!K17)</f>
        <v>No</v>
      </c>
      <c r="L17" s="57" t="str">
        <f>IF(Associates_Call_List_PQ!L17="","",Associates_Call_List_PQ!L17)</f>
        <v>No MEP R3-47 ($36.88)</v>
      </c>
      <c r="M17" s="57" t="str">
        <f>IF(Associates_Call_List_PQ!M17="","",Associates_Call_List_PQ!M17)</f>
        <v>No</v>
      </c>
      <c r="N17" s="57" t="str">
        <f>IF(Associates_Call_List_PQ!N17="","",Associates_Call_List_PQ!N17)</f>
        <v>No</v>
      </c>
      <c r="O17" s="57" t="str">
        <f>IF(Associates_Call_List_PQ!O17="","",Associates_Call_List_PQ!O17)</f>
        <v>Yes</v>
      </c>
      <c r="P17" s="57" t="str">
        <f>IF(Associates_Call_List_PQ!P17="","",Associates_Call_List_PQ!P17)</f>
        <v>N</v>
      </c>
      <c r="Q17" s="57">
        <f>IF(Associates_Call_List_PQ!Q17="","",Associates_Call_List_PQ!Q17)</f>
        <v>45957</v>
      </c>
      <c r="R17" s="57" t="str">
        <f>IF(Associates_Call_List_PQ!R17="","",Associates_Call_List_PQ!R17)</f>
        <v/>
      </c>
      <c r="S17" s="57" t="str">
        <f>IF(Associates_Call_List_PQ!S17="","",Associates_Call_List_PQ!S17)</f>
        <v/>
      </c>
      <c r="T17" s="57" t="str">
        <f>IF(Associates_Call_List_PQ!T17="","",Associates_Call_List_PQ!T17)</f>
        <v/>
      </c>
      <c r="U17" s="57" t="str">
        <f>IF(Associates_Call_List_PQ!U17="","",Associates_Call_List_PQ!U17)</f>
        <v>Estimated savings $37.01/12 = $3.08 potential monthly savings on MEP</v>
      </c>
      <c r="V17" s="68" t="s">
        <v>5433</v>
      </c>
      <c r="W17" s="68">
        <v>46011</v>
      </c>
      <c r="X17" s="68" t="s">
        <v>5405</v>
      </c>
      <c r="Y17" s="68"/>
      <c r="Z17" s="72" t="s">
        <v>5443</v>
      </c>
    </row>
    <row r="18" spans="1:26">
      <c r="A18" s="71">
        <f>IFERROR(Associates_Call_List_PQ!A18,"")</f>
        <v>45826</v>
      </c>
      <c r="B18" s="57" t="str">
        <f>IF(Associates_Call_List_PQ!B18="","",Associates_Call_List_PQ!B18)</f>
        <v>Snyder</v>
      </c>
      <c r="C18" s="57" t="str">
        <f>IF(Associates_Call_List_PQ!C18="","",Associates_Call_List_PQ!C18)</f>
        <v>Steven</v>
      </c>
      <c r="D18" s="57" t="str">
        <f>IF(Associates_Call_List_PQ!D18="","",Associates_Call_List_PQ!D18)</f>
        <v>Phoenix</v>
      </c>
      <c r="E18" s="58">
        <f>IF(Associates_Call_List_PQ!E18="","",Associates_Call_List_PQ!E18)</f>
        <v>85029</v>
      </c>
      <c r="F18" s="57" t="str">
        <f>IF(Associates_Call_List_PQ!F18="","",Associates_Call_List_PQ!F18)</f>
        <v>Opposed</v>
      </c>
      <c r="G18" s="57" t="str">
        <f>IF(Associates_Call_List_PQ!G18="","",Associates_Call_List_PQ!G18)</f>
        <v>https://images.edocket.azcc.gov/docketpdf/E000044846.pdf</v>
      </c>
      <c r="H18" s="59" t="str">
        <f>IF(Associates_Call_List_PQ!H18="","",Associates_Call_List_PQ!H18)</f>
        <v>4262494925</v>
      </c>
      <c r="I18" s="57" t="str">
        <f>IF(Associates_Call_List_PQ!I18="","",Associates_Call_List_PQ!I18)</f>
        <v>R3-47</v>
      </c>
      <c r="J18" s="57" t="str">
        <f>IF(Associates_Call_List_PQ!J18="","",Associates_Call_List_PQ!J18)</f>
        <v>No</v>
      </c>
      <c r="K18" s="57" t="str">
        <f>IF(Associates_Call_List_PQ!K18="","",Associates_Call_List_PQ!K18)</f>
        <v>No</v>
      </c>
      <c r="L18" s="57" t="str">
        <f>IF(Associates_Call_List_PQ!L18="","",Associates_Call_List_PQ!L18)</f>
        <v>No MEP R-XS ($110.29)</v>
      </c>
      <c r="M18" s="57" t="str">
        <f>IF(Associates_Call_List_PQ!M18="","",Associates_Call_List_PQ!M18)</f>
        <v>No</v>
      </c>
      <c r="N18" s="57" t="str">
        <f>IF(Associates_Call_List_PQ!N18="","",Associates_Call_List_PQ!N18)</f>
        <v>No</v>
      </c>
      <c r="O18" s="57" t="str">
        <f>IF(Associates_Call_List_PQ!O18="","",Associates_Call_List_PQ!O18)</f>
        <v>Yes</v>
      </c>
      <c r="P18" s="57">
        <f>IF(Associates_Call_List_PQ!P18="","",Associates_Call_List_PQ!P18)</f>
        <v>45964</v>
      </c>
      <c r="Q18" s="57">
        <f>IF(Associates_Call_List_PQ!Q18="","",Associates_Call_List_PQ!Q18)</f>
        <v>45957</v>
      </c>
      <c r="R18" s="57" t="str">
        <f>IF(Associates_Call_List_PQ!R18="","",Associates_Call_List_PQ!R18)</f>
        <v xml:space="preserve">11/03 - LM </v>
      </c>
      <c r="S18" s="57" t="str">
        <f>IF(Associates_Call_List_PQ!S18="","",Associates_Call_List_PQ!S18)</f>
        <v/>
      </c>
      <c r="T18" s="57" t="str">
        <f>IF(Associates_Call_List_PQ!T18="","",Associates_Call_List_PQ!T18)</f>
        <v/>
      </c>
      <c r="U18" s="57" t="str">
        <f>IF(Associates_Call_List_PQ!U18="","",Associates_Call_List_PQ!U18)</f>
        <v>Estimated savings $43.66/12 = $3.63 potential monthly savings on MEP</v>
      </c>
      <c r="V18" s="68" t="s">
        <v>117</v>
      </c>
      <c r="W18" s="68">
        <v>45997</v>
      </c>
      <c r="X18" s="68" t="s">
        <v>5405</v>
      </c>
      <c r="Y18" s="68"/>
      <c r="Z18" s="72" t="s">
        <v>5444</v>
      </c>
    </row>
    <row r="19" spans="1:26">
      <c r="A19" s="71">
        <f>IFERROR(Associates_Call_List_PQ!A19,"")</f>
        <v>45826</v>
      </c>
      <c r="B19" s="57" t="str">
        <f>IF(Associates_Call_List_PQ!B19="","",Associates_Call_List_PQ!B19)</f>
        <v>Kaplan</v>
      </c>
      <c r="C19" s="57" t="str">
        <f>IF(Associates_Call_List_PQ!C19="","",Associates_Call_List_PQ!C19)</f>
        <v>Wayne</v>
      </c>
      <c r="D19" s="57" t="str">
        <f>IF(Associates_Call_List_PQ!D19="","",Associates_Call_List_PQ!D19)</f>
        <v>Unknown</v>
      </c>
      <c r="E19" s="58" t="str">
        <f>IF(Associates_Call_List_PQ!E19="","",Associates_Call_List_PQ!E19)</f>
        <v>Unknown</v>
      </c>
      <c r="F19" s="57" t="str">
        <f>IF(Associates_Call_List_PQ!F19="","",Associates_Call_List_PQ!F19)</f>
        <v>Opposed</v>
      </c>
      <c r="G19" s="57" t="str">
        <f>IF(Associates_Call_List_PQ!G19="","",Associates_Call_List_PQ!G19)</f>
        <v>https://images.edocket.azcc.gov/docketpdf/E000044840.pdf</v>
      </c>
      <c r="H19" s="59" t="str">
        <f>IF(Associates_Call_List_PQ!H19="","",Associates_Call_List_PQ!H19)</f>
        <v>4273250000</v>
      </c>
      <c r="I19" s="57" t="str">
        <f>IF(Associates_Call_List_PQ!I19="","",Associates_Call_List_PQ!I19)</f>
        <v>R-XS</v>
      </c>
      <c r="J19" s="57" t="str">
        <f>IF(Associates_Call_List_PQ!J19="","",Associates_Call_List_PQ!J19)</f>
        <v>No</v>
      </c>
      <c r="K19" s="57" t="str">
        <f>IF(Associates_Call_List_PQ!K19="","",Associates_Call_List_PQ!K19)</f>
        <v>No</v>
      </c>
      <c r="L19" s="57" t="str">
        <f>IF(Associates_Call_List_PQ!L19="","",Associates_Call_List_PQ!L19)</f>
        <v>Yes</v>
      </c>
      <c r="M19" s="57" t="str">
        <f>IF(Associates_Call_List_PQ!M19="","",Associates_Call_List_PQ!M19)</f>
        <v>No</v>
      </c>
      <c r="N19" s="57" t="str">
        <f>IF(Associates_Call_List_PQ!N19="","",Associates_Call_List_PQ!N19)</f>
        <v>No</v>
      </c>
      <c r="O19" s="57" t="str">
        <f>IF(Associates_Call_List_PQ!O19="","",Associates_Call_List_PQ!O19)</f>
        <v>Yes</v>
      </c>
      <c r="P19" s="57" t="str">
        <f>IF(Associates_Call_List_PQ!P19="","",Associates_Call_List_PQ!P19)</f>
        <v>N</v>
      </c>
      <c r="Q19" s="57">
        <f>IF(Associates_Call_List_PQ!Q19="","",Associates_Call_List_PQ!Q19)</f>
        <v>45957</v>
      </c>
      <c r="R19" s="57" t="str">
        <f>IF(Associates_Call_List_PQ!R19="","",Associates_Call_List_PQ!R19)</f>
        <v/>
      </c>
      <c r="S19" s="57" t="str">
        <f>IF(Associates_Call_List_PQ!S19="","",Associates_Call_List_PQ!S19)</f>
        <v/>
      </c>
      <c r="T19" s="57" t="str">
        <f>IF(Associates_Call_List_PQ!T19="","",Associates_Call_List_PQ!T19)</f>
        <v/>
      </c>
      <c r="U19" s="57" t="str">
        <f>IF(Associates_Call_List_PQ!U19="","",Associates_Call_List_PQ!U19)</f>
        <v/>
      </c>
      <c r="V19" s="68" t="s">
        <v>117</v>
      </c>
      <c r="W19" s="68">
        <v>45997</v>
      </c>
      <c r="X19" s="68" t="s">
        <v>5405</v>
      </c>
      <c r="Y19" s="68"/>
      <c r="Z19" s="72" t="s">
        <v>5445</v>
      </c>
    </row>
    <row r="20" spans="1:26">
      <c r="A20" s="71">
        <f>IFERROR(Associates_Call_List_PQ!A20,"")</f>
        <v>45826</v>
      </c>
      <c r="B20" s="57" t="str">
        <f>IF(Associates_Call_List_PQ!B20="","",Associates_Call_List_PQ!B20)</f>
        <v>Delgado</v>
      </c>
      <c r="C20" s="57" t="str">
        <f>IF(Associates_Call_List_PQ!C20="","",Associates_Call_List_PQ!C20)</f>
        <v>Amber</v>
      </c>
      <c r="D20" s="57" t="str">
        <f>IF(Associates_Call_List_PQ!D20="","",Associates_Call_List_PQ!D20)</f>
        <v>Unknown</v>
      </c>
      <c r="E20" s="58" t="str">
        <f>IF(Associates_Call_List_PQ!E20="","",Associates_Call_List_PQ!E20)</f>
        <v>Unknown</v>
      </c>
      <c r="F20" s="57" t="str">
        <f>IF(Associates_Call_List_PQ!F20="","",Associates_Call_List_PQ!F20)</f>
        <v>Opposed</v>
      </c>
      <c r="G20" s="57" t="str">
        <f>IF(Associates_Call_List_PQ!G20="","",Associates_Call_List_PQ!G20)</f>
        <v>https://images.edocket.azcc.gov/docketpdf/E000044840.pdf</v>
      </c>
      <c r="H20" s="59" t="str">
        <f>IF(Associates_Call_List_PQ!H20="","",Associates_Call_List_PQ!H20)</f>
        <v>8714231000</v>
      </c>
      <c r="I20" s="57" t="str">
        <f>IF(Associates_Call_List_PQ!I20="","",Associates_Call_List_PQ!I20)</f>
        <v>R3-47</v>
      </c>
      <c r="J20" s="57" t="str">
        <f>IF(Associates_Call_List_PQ!J20="","",Associates_Call_List_PQ!J20)</f>
        <v>No</v>
      </c>
      <c r="K20" s="57" t="str">
        <f>IF(Associates_Call_List_PQ!K20="","",Associates_Call_List_PQ!K20)</f>
        <v>No</v>
      </c>
      <c r="L20" s="57" t="str">
        <f>IF(Associates_Call_List_PQ!L20="","",Associates_Call_List_PQ!L20)</f>
        <v>Yes</v>
      </c>
      <c r="M20" s="57" t="str">
        <f>IF(Associates_Call_List_PQ!M20="","",Associates_Call_List_PQ!M20)</f>
        <v>No</v>
      </c>
      <c r="N20" s="57" t="str">
        <f>IF(Associates_Call_List_PQ!N20="","",Associates_Call_List_PQ!N20)</f>
        <v>No</v>
      </c>
      <c r="O20" s="57" t="str">
        <f>IF(Associates_Call_List_PQ!O20="","",Associates_Call_List_PQ!O20)</f>
        <v>Yes</v>
      </c>
      <c r="P20" s="57" t="str">
        <f>IF(Associates_Call_List_PQ!P20="","",Associates_Call_List_PQ!P20)</f>
        <v>N</v>
      </c>
      <c r="Q20" s="57">
        <f>IF(Associates_Call_List_PQ!Q20="","",Associates_Call_List_PQ!Q20)</f>
        <v>45957</v>
      </c>
      <c r="R20" s="57" t="str">
        <f>IF(Associates_Call_List_PQ!R20="","",Associates_Call_List_PQ!R20)</f>
        <v>Changed rate to MEP on 10/6</v>
      </c>
      <c r="S20" s="57" t="str">
        <f>IF(Associates_Call_List_PQ!S20="","",Associates_Call_List_PQ!S20)</f>
        <v/>
      </c>
      <c r="T20" s="57" t="str">
        <f>IF(Associates_Call_List_PQ!T20="","",Associates_Call_List_PQ!T20)</f>
        <v/>
      </c>
      <c r="U20" s="57" t="str">
        <f>IF(Associates_Call_List_PQ!U20="","",Associates_Call_List_PQ!U20)</f>
        <v>Estimated savings $68.27/12 - $5.69 potential monthly savings on MEP</v>
      </c>
      <c r="V20" s="68" t="s">
        <v>117</v>
      </c>
      <c r="W20" s="68">
        <v>46060</v>
      </c>
      <c r="X20" s="68" t="s">
        <v>5434</v>
      </c>
      <c r="Y20" s="68"/>
      <c r="Z20" s="72" t="s">
        <v>5494</v>
      </c>
    </row>
    <row r="21" spans="1:26">
      <c r="A21" s="71">
        <f>IFERROR(Associates_Call_List_PQ!A21,"")</f>
        <v>45826</v>
      </c>
      <c r="B21" s="57" t="str">
        <f>IF(Associates_Call_List_PQ!B21="","",Associates_Call_List_PQ!B21)</f>
        <v>Saporito</v>
      </c>
      <c r="C21" s="57" t="str">
        <f>IF(Associates_Call_List_PQ!C21="","",Associates_Call_List_PQ!C21)</f>
        <v>Annette</v>
      </c>
      <c r="D21" s="57" t="str">
        <f>IF(Associates_Call_List_PQ!D21="","",Associates_Call_List_PQ!D21)</f>
        <v>Cave Creek</v>
      </c>
      <c r="E21" s="58">
        <f>IF(Associates_Call_List_PQ!E21="","",Associates_Call_List_PQ!E21)</f>
        <v>85331</v>
      </c>
      <c r="F21" s="57" t="str">
        <f>IF(Associates_Call_List_PQ!F21="","",Associates_Call_List_PQ!F21)</f>
        <v>Opposed</v>
      </c>
      <c r="G21" s="57" t="str">
        <f>IF(Associates_Call_List_PQ!G21="","",Associates_Call_List_PQ!G21)</f>
        <v>https://images.edocket.azcc.gov/docketpdf/E000044840.pdf</v>
      </c>
      <c r="H21" s="59" t="str">
        <f>IF(Associates_Call_List_PQ!H21="","",Associates_Call_List_PQ!H21)</f>
        <v>7980600000</v>
      </c>
      <c r="I21" s="57" t="str">
        <f>IF(Associates_Call_List_PQ!I21="","",Associates_Call_List_PQ!I21)</f>
        <v xml:space="preserve">RTOUE47  </v>
      </c>
      <c r="J21" s="57" t="str">
        <f>IF(Associates_Call_List_PQ!J21="","",Associates_Call_List_PQ!J21)</f>
        <v>No</v>
      </c>
      <c r="K21" s="57" t="str">
        <f>IF(Associates_Call_List_PQ!K21="","",Associates_Call_List_PQ!K21)</f>
        <v>No</v>
      </c>
      <c r="L21" s="57" t="str">
        <f>IF(Associates_Call_List_PQ!L21="","",Associates_Call_List_PQ!L21)</f>
        <v>No R3-47 ($439.74)</v>
      </c>
      <c r="M21" s="57" t="str">
        <f>IF(Associates_Call_List_PQ!M21="","",Associates_Call_List_PQ!M21)</f>
        <v>No</v>
      </c>
      <c r="N21" s="57" t="str">
        <f>IF(Associates_Call_List_PQ!N21="","",Associates_Call_List_PQ!N21)</f>
        <v>No</v>
      </c>
      <c r="O21" s="57" t="str">
        <f>IF(Associates_Call_List_PQ!O21="","",Associates_Call_List_PQ!O21)</f>
        <v>Yes</v>
      </c>
      <c r="P21" s="57">
        <f>IF(Associates_Call_List_PQ!P21="","",Associates_Call_List_PQ!P21)</f>
        <v>45964</v>
      </c>
      <c r="Q21" s="57">
        <f>IF(Associates_Call_List_PQ!Q21="","",Associates_Call_List_PQ!Q21)</f>
        <v>45957</v>
      </c>
      <c r="R21" s="57" t="str">
        <f>IF(Associates_Call_List_PQ!R21="","",Associates_Call_List_PQ!R21)</f>
        <v xml:space="preserve">11/03 - LM </v>
      </c>
      <c r="S21" s="57" t="str">
        <f>IF(Associates_Call_List_PQ!S21="","",Associates_Call_List_PQ!S21)</f>
        <v/>
      </c>
      <c r="T21" s="57" t="str">
        <f>IF(Associates_Call_List_PQ!T21="","",Associates_Call_List_PQ!T21)</f>
        <v/>
      </c>
      <c r="U21" s="57" t="str">
        <f>IF(Associates_Call_List_PQ!U21="","",Associates_Call_List_PQ!U21)</f>
        <v>Estimated savings $433.16/12 = $36.09 potential monthly savings on MEP</v>
      </c>
      <c r="V21" s="68" t="s">
        <v>5433</v>
      </c>
      <c r="W21" s="68">
        <v>46011</v>
      </c>
      <c r="X21" s="68" t="s">
        <v>5434</v>
      </c>
      <c r="Y21" s="68"/>
      <c r="Z21" s="72" t="s">
        <v>5446</v>
      </c>
    </row>
    <row r="22" spans="1:26">
      <c r="A22" s="71">
        <f>IFERROR(Associates_Call_List_PQ!A22,"")</f>
        <v>45827</v>
      </c>
      <c r="B22" s="57" t="str">
        <f>IF(Associates_Call_List_PQ!B22="","",Associates_Call_List_PQ!B22)</f>
        <v>Merlino</v>
      </c>
      <c r="C22" s="57" t="str">
        <f>IF(Associates_Call_List_PQ!C22="","",Associates_Call_List_PQ!C22)</f>
        <v>Teri</v>
      </c>
      <c r="D22" s="57" t="str">
        <f>IF(Associates_Call_List_PQ!D22="","",Associates_Call_List_PQ!D22)</f>
        <v>Unknown</v>
      </c>
      <c r="E22" s="58" t="str">
        <f>IF(Associates_Call_List_PQ!E22="","",Associates_Call_List_PQ!E22)</f>
        <v>Unknown</v>
      </c>
      <c r="F22" s="57" t="str">
        <f>IF(Associates_Call_List_PQ!F22="","",Associates_Call_List_PQ!F22)</f>
        <v>Opposed</v>
      </c>
      <c r="G22" s="57" t="str">
        <f>IF(Associates_Call_List_PQ!G22="","",Associates_Call_List_PQ!G22)</f>
        <v>https://images.edocket.azcc.gov/docketpdf/E000044863.pdf</v>
      </c>
      <c r="H22" s="59">
        <f>IF(Associates_Call_List_PQ!H22="","",Associates_Call_List_PQ!H22)</f>
        <v>3007031000</v>
      </c>
      <c r="I22" s="57" t="str">
        <f>IF(Associates_Call_List_PQ!I22="","",Associates_Call_List_PQ!I22)</f>
        <v>R3-47</v>
      </c>
      <c r="J22" s="57" t="str">
        <f>IF(Associates_Call_List_PQ!J22="","",Associates_Call_List_PQ!J22)</f>
        <v>No</v>
      </c>
      <c r="K22" s="57" t="str">
        <f>IF(Associates_Call_List_PQ!K22="","",Associates_Call_List_PQ!K22)</f>
        <v>No</v>
      </c>
      <c r="L22" s="57" t="str">
        <f>IF(Associates_Call_List_PQ!L22="","",Associates_Call_List_PQ!L22)</f>
        <v>Yes</v>
      </c>
      <c r="M22" s="57" t="str">
        <f>IF(Associates_Call_List_PQ!M22="","",Associates_Call_List_PQ!M22)</f>
        <v>No</v>
      </c>
      <c r="N22" s="57" t="str">
        <f>IF(Associates_Call_List_PQ!N22="","",Associates_Call_List_PQ!N22)</f>
        <v>No</v>
      </c>
      <c r="O22" s="57" t="str">
        <f>IF(Associates_Call_List_PQ!O22="","",Associates_Call_List_PQ!O22)</f>
        <v>Yes</v>
      </c>
      <c r="P22" s="57" t="str">
        <f>IF(Associates_Call_List_PQ!P22="","",Associates_Call_List_PQ!P22)</f>
        <v>N</v>
      </c>
      <c r="Q22" s="57">
        <f>IF(Associates_Call_List_PQ!Q22="","",Associates_Call_List_PQ!Q22)</f>
        <v>45957</v>
      </c>
      <c r="R22" s="57" t="str">
        <f>IF(Associates_Call_List_PQ!R22="","",Associates_Call_List_PQ!R22)</f>
        <v/>
      </c>
      <c r="S22" s="57" t="str">
        <f>IF(Associates_Call_List_PQ!S22="","",Associates_Call_List_PQ!S22)</f>
        <v/>
      </c>
      <c r="T22" s="57" t="str">
        <f>IF(Associates_Call_List_PQ!T22="","",Associates_Call_List_PQ!T22)</f>
        <v/>
      </c>
      <c r="U22" s="57" t="s">
        <v>5495</v>
      </c>
      <c r="V22" s="68" t="s">
        <v>117</v>
      </c>
      <c r="W22" s="68">
        <v>46060</v>
      </c>
      <c r="X22" s="68" t="s">
        <v>5405</v>
      </c>
      <c r="Y22" s="68"/>
      <c r="Z22" s="72" t="s">
        <v>5496</v>
      </c>
    </row>
    <row r="23" spans="1:26">
      <c r="A23" s="71">
        <f>IFERROR(Associates_Call_List_PQ!A23,"")</f>
        <v>45827</v>
      </c>
      <c r="B23" s="57" t="str">
        <f>IF(Associates_Call_List_PQ!B23="","",Associates_Call_List_PQ!B23)</f>
        <v>van Dalen</v>
      </c>
      <c r="C23" s="57" t="str">
        <f>IF(Associates_Call_List_PQ!C23="","",Associates_Call_List_PQ!C23)</f>
        <v>Danielle</v>
      </c>
      <c r="D23" s="57" t="str">
        <f>IF(Associates_Call_List_PQ!D23="","",Associates_Call_List_PQ!D23)</f>
        <v>Surprise</v>
      </c>
      <c r="E23" s="58">
        <f>IF(Associates_Call_List_PQ!E23="","",Associates_Call_List_PQ!E23)</f>
        <v>85374</v>
      </c>
      <c r="F23" s="57" t="str">
        <f>IF(Associates_Call_List_PQ!F23="","",Associates_Call_List_PQ!F23)</f>
        <v>Opposed</v>
      </c>
      <c r="G23" s="57" t="str">
        <f>IF(Associates_Call_List_PQ!G23="","",Associates_Call_List_PQ!G23)</f>
        <v>https://images.edocket.azcc.gov/docketpdf/E000044866.pdf</v>
      </c>
      <c r="H23" s="59" t="str">
        <f>IF(Associates_Call_List_PQ!H23="","",Associates_Call_List_PQ!H23)</f>
        <v>8025299133</v>
      </c>
      <c r="I23" s="57" t="str">
        <f>IF(Associates_Call_List_PQ!I23="","",Associates_Call_List_PQ!I23)</f>
        <v>R-BASIC</v>
      </c>
      <c r="J23" s="57" t="str">
        <f>IF(Associates_Call_List_PQ!J23="","",Associates_Call_List_PQ!J23)</f>
        <v>No</v>
      </c>
      <c r="K23" s="57" t="str">
        <f>IF(Associates_Call_List_PQ!K23="","",Associates_Call_List_PQ!K23)</f>
        <v>No</v>
      </c>
      <c r="L23" s="57" t="str">
        <f>IF(Associates_Call_List_PQ!L23="","",Associates_Call_List_PQ!L23)</f>
        <v>Yes</v>
      </c>
      <c r="M23" s="57" t="str">
        <f>IF(Associates_Call_List_PQ!M23="","",Associates_Call_List_PQ!M23)</f>
        <v>No</v>
      </c>
      <c r="N23" s="57" t="str">
        <f>IF(Associates_Call_List_PQ!N23="","",Associates_Call_List_PQ!N23)</f>
        <v>No</v>
      </c>
      <c r="O23" s="57" t="str">
        <f>IF(Associates_Call_List_PQ!O23="","",Associates_Call_List_PQ!O23)</f>
        <v>Yes</v>
      </c>
      <c r="P23" s="57" t="str">
        <f>IF(Associates_Call_List_PQ!P23="","",Associates_Call_List_PQ!P23)</f>
        <v>N</v>
      </c>
      <c r="Q23" s="57">
        <f>IF(Associates_Call_List_PQ!Q23="","",Associates_Call_List_PQ!Q23)</f>
        <v>45957</v>
      </c>
      <c r="R23" s="57" t="str">
        <f>IF(Associates_Call_List_PQ!R23="","",Associates_Call_List_PQ!R23)</f>
        <v/>
      </c>
      <c r="S23" s="57" t="str">
        <f>IF(Associates_Call_List_PQ!S23="","",Associates_Call_List_PQ!S23)</f>
        <v/>
      </c>
      <c r="T23" s="57" t="str">
        <f>IF(Associates_Call_List_PQ!T23="","",Associates_Call_List_PQ!T23)</f>
        <v/>
      </c>
      <c r="U23" s="57" t="str">
        <f>IF(Associates_Call_List_PQ!U23="","",Associates_Call_List_PQ!U23)</f>
        <v/>
      </c>
      <c r="V23" s="68"/>
      <c r="W23" s="68" t="s">
        <v>5432</v>
      </c>
      <c r="X23" s="68"/>
      <c r="Y23" s="68"/>
      <c r="Z23" s="72"/>
    </row>
    <row r="24" spans="1:26">
      <c r="A24" s="71">
        <f>IFERROR(Associates_Call_List_PQ!A24,"")</f>
        <v>45831</v>
      </c>
      <c r="B24" s="57" t="str">
        <f>IF(Associates_Call_List_PQ!B24="","",Associates_Call_List_PQ!B24)</f>
        <v>Schilling</v>
      </c>
      <c r="C24" s="57" t="str">
        <f>IF(Associates_Call_List_PQ!C24="","",Associates_Call_List_PQ!C24)</f>
        <v xml:space="preserve">David  </v>
      </c>
      <c r="D24" s="57" t="str">
        <f>IF(Associates_Call_List_PQ!D24="","",Associates_Call_List_PQ!D24)</f>
        <v>Buckeye</v>
      </c>
      <c r="E24" s="58" t="str">
        <f>IF(Associates_Call_List_PQ!E24="","",Associates_Call_List_PQ!E24)</f>
        <v>Unknown</v>
      </c>
      <c r="F24" s="57" t="str">
        <f>IF(Associates_Call_List_PQ!F24="","",Associates_Call_List_PQ!F24)</f>
        <v xml:space="preserve">Opposed </v>
      </c>
      <c r="G24" s="57" t="str">
        <f>IF(Associates_Call_List_PQ!G24="","",Associates_Call_List_PQ!G24)</f>
        <v/>
      </c>
      <c r="H24" s="59" t="str">
        <f>IF(Associates_Call_List_PQ!H24="","",Associates_Call_List_PQ!H24)</f>
        <v>0799340889</v>
      </c>
      <c r="I24" s="57" t="str">
        <f>IF(Associates_Call_List_PQ!I24="","",Associates_Call_List_PQ!I24)</f>
        <v>R-BASIC</v>
      </c>
      <c r="J24" s="57" t="str">
        <f>IF(Associates_Call_List_PQ!J24="","",Associates_Call_List_PQ!J24)</f>
        <v>No</v>
      </c>
      <c r="K24" s="57" t="str">
        <f>IF(Associates_Call_List_PQ!K24="","",Associates_Call_List_PQ!K24)</f>
        <v>No</v>
      </c>
      <c r="L24" s="57" t="str">
        <f>IF(Associates_Call_List_PQ!L24="","",Associates_Call_List_PQ!L24)</f>
        <v>No-Mep R3-47($87.55)</v>
      </c>
      <c r="M24" s="57" t="str">
        <f>IF(Associates_Call_List_PQ!M24="","",Associates_Call_List_PQ!M24)</f>
        <v>No</v>
      </c>
      <c r="N24" s="57" t="str">
        <f>IF(Associates_Call_List_PQ!N24="","",Associates_Call_List_PQ!N24)</f>
        <v>No</v>
      </c>
      <c r="O24" s="57" t="str">
        <f>IF(Associates_Call_List_PQ!O24="","",Associates_Call_List_PQ!O24)</f>
        <v>Yes</v>
      </c>
      <c r="P24" s="57" t="str">
        <f>IF(Associates_Call_List_PQ!P24="","",Associates_Call_List_PQ!P24)</f>
        <v>N</v>
      </c>
      <c r="Q24" s="57">
        <f>IF(Associates_Call_List_PQ!Q24="","",Associates_Call_List_PQ!Q24)</f>
        <v>45957</v>
      </c>
      <c r="R24" s="57" t="str">
        <f>IF(Associates_Call_List_PQ!R24="","",Associates_Call_List_PQ!R24)</f>
        <v/>
      </c>
      <c r="S24" s="57" t="str">
        <f>IF(Associates_Call_List_PQ!S24="","",Associates_Call_List_PQ!S24)</f>
        <v/>
      </c>
      <c r="T24" s="57" t="str">
        <f>IF(Associates_Call_List_PQ!T24="","",Associates_Call_List_PQ!T24)</f>
        <v/>
      </c>
      <c r="U24" s="57" t="str">
        <f>IF(Associates_Call_List_PQ!U24="","",Associates_Call_List_PQ!U24)</f>
        <v/>
      </c>
      <c r="V24" s="68" t="s">
        <v>5433</v>
      </c>
      <c r="W24" s="68">
        <v>46011</v>
      </c>
      <c r="X24" s="68" t="s">
        <v>5434</v>
      </c>
      <c r="Y24" s="68"/>
      <c r="Z24" s="72" t="s">
        <v>5446</v>
      </c>
    </row>
    <row r="25" spans="1:26">
      <c r="A25" s="71">
        <f>IFERROR(Associates_Call_List_PQ!A25,"")</f>
        <v>45831</v>
      </c>
      <c r="B25" s="57" t="str">
        <f>IF(Associates_Call_List_PQ!B25="","",Associates_Call_List_PQ!B25)</f>
        <v>Luther</v>
      </c>
      <c r="C25" s="57" t="str">
        <f>IF(Associates_Call_List_PQ!C25="","",Associates_Call_List_PQ!C25)</f>
        <v>Jonathan</v>
      </c>
      <c r="D25" s="57" t="str">
        <f>IF(Associates_Call_List_PQ!D25="","",Associates_Call_List_PQ!D25)</f>
        <v>Phoenix</v>
      </c>
      <c r="E25" s="58">
        <f>IF(Associates_Call_List_PQ!E25="","",Associates_Call_List_PQ!E25)</f>
        <v>85006</v>
      </c>
      <c r="F25" s="57" t="str">
        <f>IF(Associates_Call_List_PQ!F25="","",Associates_Call_List_PQ!F25)</f>
        <v xml:space="preserve">Opposed </v>
      </c>
      <c r="G25" s="57" t="str">
        <f>IF(Associates_Call_List_PQ!G25="","",Associates_Call_List_PQ!G25)</f>
        <v/>
      </c>
      <c r="H25" s="59" t="str">
        <f>IF(Associates_Call_List_PQ!H25="","",Associates_Call_List_PQ!H25)</f>
        <v>9229380000</v>
      </c>
      <c r="I25" s="57" t="str">
        <f>IF(Associates_Call_List_PQ!I25="","",Associates_Call_List_PQ!I25)</f>
        <v>RTOUE47</v>
      </c>
      <c r="J25" s="57" t="str">
        <f>IF(Associates_Call_List_PQ!J25="","",Associates_Call_List_PQ!J25)</f>
        <v>No</v>
      </c>
      <c r="K25" s="57" t="str">
        <f>IF(Associates_Call_List_PQ!K25="","",Associates_Call_List_PQ!K25)</f>
        <v>No</v>
      </c>
      <c r="L25" s="57" t="str">
        <f>IF(Associates_Call_List_PQ!L25="","",Associates_Call_List_PQ!L25)</f>
        <v>No-MEP R3-47($5.29)</v>
      </c>
      <c r="M25" s="57" t="str">
        <f>IF(Associates_Call_List_PQ!M25="","",Associates_Call_List_PQ!M25)</f>
        <v>No</v>
      </c>
      <c r="N25" s="57" t="str">
        <f>IF(Associates_Call_List_PQ!N25="","",Associates_Call_List_PQ!N25)</f>
        <v>No</v>
      </c>
      <c r="O25" s="57" t="str">
        <f>IF(Associates_Call_List_PQ!O25="","",Associates_Call_List_PQ!O25)</f>
        <v>Yes</v>
      </c>
      <c r="P25" s="57" t="str">
        <f>IF(Associates_Call_List_PQ!P25="","",Associates_Call_List_PQ!P25)</f>
        <v>N</v>
      </c>
      <c r="Q25" s="57">
        <f>IF(Associates_Call_List_PQ!Q25="","",Associates_Call_List_PQ!Q25)</f>
        <v>45957</v>
      </c>
      <c r="R25" s="57" t="str">
        <f>IF(Associates_Call_List_PQ!R25="","",Associates_Call_List_PQ!R25)</f>
        <v/>
      </c>
      <c r="S25" s="57" t="str">
        <f>IF(Associates_Call_List_PQ!S25="","",Associates_Call_List_PQ!S25)</f>
        <v/>
      </c>
      <c r="T25" s="57" t="str">
        <f>IF(Associates_Call_List_PQ!T25="","",Associates_Call_List_PQ!T25)</f>
        <v/>
      </c>
      <c r="U25" s="57" t="str">
        <f>IF(Associates_Call_List_PQ!U25="","",Associates_Call_List_PQ!U25)</f>
        <v/>
      </c>
      <c r="V25" s="68" t="s">
        <v>5433</v>
      </c>
      <c r="W25" s="68">
        <v>46011</v>
      </c>
      <c r="X25" s="68" t="s">
        <v>5434</v>
      </c>
      <c r="Y25" s="68"/>
      <c r="Z25" s="72" t="s">
        <v>5446</v>
      </c>
    </row>
    <row r="26" spans="1:26">
      <c r="A26" s="71">
        <f>IFERROR(Associates_Call_List_PQ!A26,"")</f>
        <v>45831</v>
      </c>
      <c r="B26" s="57" t="str">
        <f>IF(Associates_Call_List_PQ!B26="","",Associates_Call_List_PQ!B26)</f>
        <v>Porter</v>
      </c>
      <c r="C26" s="57" t="str">
        <f>IF(Associates_Call_List_PQ!C26="","",Associates_Call_List_PQ!C26)</f>
        <v>Kristal</v>
      </c>
      <c r="D26" s="57" t="str">
        <f>IF(Associates_Call_List_PQ!D26="","",Associates_Call_List_PQ!D26)</f>
        <v>Peoria</v>
      </c>
      <c r="E26" s="58">
        <f>IF(Associates_Call_List_PQ!E26="","",Associates_Call_List_PQ!E26)</f>
        <v>85383</v>
      </c>
      <c r="F26" s="57" t="str">
        <f>IF(Associates_Call_List_PQ!F26="","",Associates_Call_List_PQ!F26)</f>
        <v xml:space="preserve">Opposed </v>
      </c>
      <c r="G26" s="57" t="str">
        <f>IF(Associates_Call_List_PQ!G26="","",Associates_Call_List_PQ!G26)</f>
        <v/>
      </c>
      <c r="H26" s="59" t="str">
        <f>IF(Associates_Call_List_PQ!H26="","",Associates_Call_List_PQ!H26)</f>
        <v>7501590000</v>
      </c>
      <c r="I26" s="57" t="str">
        <f>IF(Associates_Call_List_PQ!I26="","",Associates_Call_List_PQ!I26)</f>
        <v>R3-47</v>
      </c>
      <c r="J26" s="57" t="str">
        <f>IF(Associates_Call_List_PQ!J26="","",Associates_Call_List_PQ!J26)</f>
        <v>No</v>
      </c>
      <c r="K26" s="57" t="str">
        <f>IF(Associates_Call_List_PQ!K26="","",Associates_Call_List_PQ!K26)</f>
        <v>No</v>
      </c>
      <c r="L26" s="57" t="str">
        <f>IF(Associates_Call_List_PQ!L26="","",Associates_Call_List_PQ!L26)</f>
        <v xml:space="preserve">Yes </v>
      </c>
      <c r="M26" s="57" t="str">
        <f>IF(Associates_Call_List_PQ!M26="","",Associates_Call_List_PQ!M26)</f>
        <v>No</v>
      </c>
      <c r="N26" s="57" t="str">
        <f>IF(Associates_Call_List_PQ!N26="","",Associates_Call_List_PQ!N26)</f>
        <v>No</v>
      </c>
      <c r="O26" s="57" t="str">
        <f>IF(Associates_Call_List_PQ!O26="","",Associates_Call_List_PQ!O26)</f>
        <v>Yes</v>
      </c>
      <c r="P26" s="57" t="str">
        <f>IF(Associates_Call_List_PQ!P26="","",Associates_Call_List_PQ!P26)</f>
        <v>N</v>
      </c>
      <c r="Q26" s="57">
        <f>IF(Associates_Call_List_PQ!Q26="","",Associates_Call_List_PQ!Q26)</f>
        <v>45957</v>
      </c>
      <c r="R26" s="57" t="str">
        <f>IF(Associates_Call_List_PQ!R26="","",Associates_Call_List_PQ!R26)</f>
        <v/>
      </c>
      <c r="S26" s="57" t="str">
        <f>IF(Associates_Call_List_PQ!S26="","",Associates_Call_List_PQ!S26)</f>
        <v/>
      </c>
      <c r="T26" s="57" t="str">
        <f>IF(Associates_Call_List_PQ!T26="","",Associates_Call_List_PQ!T26)</f>
        <v/>
      </c>
      <c r="U26" s="57" t="s">
        <v>5497</v>
      </c>
      <c r="V26" s="68" t="s">
        <v>117</v>
      </c>
      <c r="W26" s="68">
        <v>46060</v>
      </c>
      <c r="X26" s="68" t="s">
        <v>5405</v>
      </c>
      <c r="Y26" s="68"/>
      <c r="Z26" s="72" t="s">
        <v>5498</v>
      </c>
    </row>
    <row r="27" spans="1:26">
      <c r="A27" s="71">
        <f>IFERROR(Associates_Call_List_PQ!A27,"")</f>
        <v>45831</v>
      </c>
      <c r="B27" s="57" t="str">
        <f>IF(Associates_Call_List_PQ!B27="","",Associates_Call_List_PQ!B27)</f>
        <v>McGibbon</v>
      </c>
      <c r="C27" s="57" t="str">
        <f>IF(Associates_Call_List_PQ!C27="","",Associates_Call_List_PQ!C27)</f>
        <v>Charles</v>
      </c>
      <c r="D27" s="57" t="str">
        <f>IF(Associates_Call_List_PQ!D27="","",Associates_Call_List_PQ!D27)</f>
        <v>Chino Valley</v>
      </c>
      <c r="E27" s="58">
        <f>IF(Associates_Call_List_PQ!E27="","",Associates_Call_List_PQ!E27)</f>
        <v>86323</v>
      </c>
      <c r="F27" s="57" t="str">
        <f>IF(Associates_Call_List_PQ!F27="","",Associates_Call_List_PQ!F27)</f>
        <v>Opposed</v>
      </c>
      <c r="G27" s="57" t="str">
        <f>IF(Associates_Call_List_PQ!G27="","",Associates_Call_List_PQ!G27)</f>
        <v>https://images.edocket.azcc.gov/docketpdf/E000044947.pdf</v>
      </c>
      <c r="H27" s="59" t="str">
        <f>IF(Associates_Call_List_PQ!H27="","",Associates_Call_List_PQ!H27)</f>
        <v>4707610000</v>
      </c>
      <c r="I27" s="57" t="str">
        <f>IF(Associates_Call_List_PQ!I27="","",Associates_Call_List_PQ!I27)</f>
        <v>R-XS</v>
      </c>
      <c r="J27" s="57" t="str">
        <f>IF(Associates_Call_List_PQ!J27="","",Associates_Call_List_PQ!J27)</f>
        <v>No</v>
      </c>
      <c r="K27" s="57" t="str">
        <f>IF(Associates_Call_List_PQ!K27="","",Associates_Call_List_PQ!K27)</f>
        <v>No</v>
      </c>
      <c r="L27" s="57" t="str">
        <f>IF(Associates_Call_List_PQ!L27="","",Associates_Call_List_PQ!L27)</f>
        <v>Yes</v>
      </c>
      <c r="M27" s="57" t="str">
        <f>IF(Associates_Call_List_PQ!M27="","",Associates_Call_List_PQ!M27)</f>
        <v>No</v>
      </c>
      <c r="N27" s="57" t="str">
        <f>IF(Associates_Call_List_PQ!N27="","",Associates_Call_List_PQ!N27)</f>
        <v>No</v>
      </c>
      <c r="O27" s="57" t="str">
        <f>IF(Associates_Call_List_PQ!O27="","",Associates_Call_List_PQ!O27)</f>
        <v>Yes</v>
      </c>
      <c r="P27" s="57" t="str">
        <f>IF(Associates_Call_List_PQ!P27="","",Associates_Call_List_PQ!P27)</f>
        <v>N</v>
      </c>
      <c r="Q27" s="57">
        <f>IF(Associates_Call_List_PQ!Q27="","",Associates_Call_List_PQ!Q27)</f>
        <v>45958</v>
      </c>
      <c r="R27" s="57" t="str">
        <f>IF(Associates_Call_List_PQ!R27="","",Associates_Call_List_PQ!R27)</f>
        <v/>
      </c>
      <c r="S27" s="57" t="str">
        <f>IF(Associates_Call_List_PQ!S27="","",Associates_Call_List_PQ!S27)</f>
        <v/>
      </c>
      <c r="T27" s="57" t="str">
        <f>IF(Associates_Call_List_PQ!T27="","",Associates_Call_List_PQ!T27)</f>
        <v/>
      </c>
      <c r="U27" s="57" t="str">
        <f>IF(Associates_Call_List_PQ!U27="","",Associates_Call_List_PQ!U27)</f>
        <v/>
      </c>
      <c r="V27" s="68"/>
      <c r="W27" s="68" t="s">
        <v>5432</v>
      </c>
      <c r="X27" s="68"/>
      <c r="Y27" s="68"/>
      <c r="Z27" s="72"/>
    </row>
    <row r="28" spans="1:26">
      <c r="A28" s="71">
        <f>IFERROR(Associates_Call_List_PQ!A28,"")</f>
        <v>45839</v>
      </c>
      <c r="B28" s="57" t="str">
        <f>IF(Associates_Call_List_PQ!B28="","",Associates_Call_List_PQ!B28)</f>
        <v>Sanchez</v>
      </c>
      <c r="C28" s="57" t="str">
        <f>IF(Associates_Call_List_PQ!C28="","",Associates_Call_List_PQ!C28)</f>
        <v>Isabella</v>
      </c>
      <c r="D28" s="57" t="str">
        <f>IF(Associates_Call_List_PQ!D28="","",Associates_Call_List_PQ!D28)</f>
        <v>Phoenix</v>
      </c>
      <c r="E28" s="58">
        <f>IF(Associates_Call_List_PQ!E28="","",Associates_Call_List_PQ!E28)</f>
        <v>85032</v>
      </c>
      <c r="F28" s="57" t="str">
        <f>IF(Associates_Call_List_PQ!F28="","",Associates_Call_List_PQ!F28)</f>
        <v>Opposed</v>
      </c>
      <c r="G28" s="57" t="str">
        <f>IF(Associates_Call_List_PQ!G28="","",Associates_Call_List_PQ!G28)</f>
        <v>https://images.edocket.azcc.gov/docketpdf/E000045059.pdf</v>
      </c>
      <c r="H28" s="59" t="str">
        <f>IF(Associates_Call_List_PQ!H28="","",Associates_Call_List_PQ!H28)</f>
        <v>1164092226</v>
      </c>
      <c r="I28" s="57" t="str">
        <f>IF(Associates_Call_List_PQ!I28="","",Associates_Call_List_PQ!I28)</f>
        <v>R-BASIC</v>
      </c>
      <c r="J28" s="57" t="str">
        <f>IF(Associates_Call_List_PQ!J28="","",Associates_Call_List_PQ!J28)</f>
        <v>No</v>
      </c>
      <c r="K28" s="57" t="str">
        <f>IF(Associates_Call_List_PQ!K28="","",Associates_Call_List_PQ!K28)</f>
        <v>No</v>
      </c>
      <c r="L28" s="57" t="str">
        <f>IF(Associates_Call_List_PQ!L28="","",Associates_Call_List_PQ!L28)</f>
        <v>Yes</v>
      </c>
      <c r="M28" s="57" t="str">
        <f>IF(Associates_Call_List_PQ!M28="","",Associates_Call_List_PQ!M28)</f>
        <v>No</v>
      </c>
      <c r="N28" s="57" t="str">
        <f>IF(Associates_Call_List_PQ!N28="","",Associates_Call_List_PQ!N28)</f>
        <v>No</v>
      </c>
      <c r="O28" s="57" t="str">
        <f>IF(Associates_Call_List_PQ!O28="","",Associates_Call_List_PQ!O28)</f>
        <v>Yes</v>
      </c>
      <c r="P28" s="57" t="str">
        <f>IF(Associates_Call_List_PQ!P28="","",Associates_Call_List_PQ!P28)</f>
        <v>N</v>
      </c>
      <c r="Q28" s="57">
        <f>IF(Associates_Call_List_PQ!Q28="","",Associates_Call_List_PQ!Q28)</f>
        <v>45958</v>
      </c>
      <c r="R28" s="57" t="str">
        <f>IF(Associates_Call_List_PQ!R28="","",Associates_Call_List_PQ!R28)</f>
        <v/>
      </c>
      <c r="S28" s="57" t="str">
        <f>IF(Associates_Call_List_PQ!S28="","",Associates_Call_List_PQ!S28)</f>
        <v/>
      </c>
      <c r="T28" s="57" t="str">
        <f>IF(Associates_Call_List_PQ!T28="","",Associates_Call_List_PQ!T28)</f>
        <v/>
      </c>
      <c r="U28" s="57" t="str">
        <f>IF(Associates_Call_List_PQ!U28="","",Associates_Call_List_PQ!U28)</f>
        <v>Estimated savings $42.27/12 = $3.52 potential monthly savings on MEP</v>
      </c>
      <c r="V28" s="68" t="s">
        <v>117</v>
      </c>
      <c r="W28" s="68">
        <v>46060</v>
      </c>
      <c r="X28" s="68" t="s">
        <v>5434</v>
      </c>
      <c r="Y28" s="68"/>
      <c r="Z28" s="72" t="s">
        <v>5499</v>
      </c>
    </row>
    <row r="29" spans="1:26">
      <c r="A29" s="71">
        <f>IFERROR(Associates_Call_List_PQ!A29,"")</f>
        <v>45846</v>
      </c>
      <c r="B29" s="57" t="str">
        <f>IF(Associates_Call_List_PQ!B29="","",Associates_Call_List_PQ!B29)</f>
        <v>Beiser</v>
      </c>
      <c r="C29" s="57" t="str">
        <f>IF(Associates_Call_List_PQ!C29="","",Associates_Call_List_PQ!C29)</f>
        <v>Antoinette</v>
      </c>
      <c r="D29" s="57" t="str">
        <f>IF(Associates_Call_List_PQ!D29="","",Associates_Call_List_PQ!D29)</f>
        <v>Sedona</v>
      </c>
      <c r="E29" s="58">
        <f>IF(Associates_Call_List_PQ!E29="","",Associates_Call_List_PQ!E29)</f>
        <v>86351</v>
      </c>
      <c r="F29" s="57" t="str">
        <f>IF(Associates_Call_List_PQ!F29="","",Associates_Call_List_PQ!F29)</f>
        <v>Opposed</v>
      </c>
      <c r="G29" s="57" t="str">
        <f>IF(Associates_Call_List_PQ!G29="","",Associates_Call_List_PQ!G29)</f>
        <v>https://images.edocket.azcc.gov/docketpdf/E000045169.pdf</v>
      </c>
      <c r="H29" s="59" t="str">
        <f>IF(Associates_Call_List_PQ!H29="","",Associates_Call_List_PQ!H29)</f>
        <v>7150589750</v>
      </c>
      <c r="I29" s="57" t="str">
        <f>IF(Associates_Call_List_PQ!I29="","",Associates_Call_List_PQ!I29)</f>
        <v>R-BASICL</v>
      </c>
      <c r="J29" s="57" t="str">
        <f>IF(Associates_Call_List_PQ!J29="","",Associates_Call_List_PQ!J29)</f>
        <v>No</v>
      </c>
      <c r="K29" s="57" t="str">
        <f>IF(Associates_Call_List_PQ!K29="","",Associates_Call_List_PQ!K29)</f>
        <v>No</v>
      </c>
      <c r="L29" s="57" t="str">
        <f>IF(Associates_Call_List_PQ!L29="","",Associates_Call_List_PQ!L29)</f>
        <v>No MEP R3-47($267.12)</v>
      </c>
      <c r="M29" s="57" t="str">
        <f>IF(Associates_Call_List_PQ!M29="","",Associates_Call_List_PQ!M29)</f>
        <v>No</v>
      </c>
      <c r="N29" s="57" t="str">
        <f>IF(Associates_Call_List_PQ!N29="","",Associates_Call_List_PQ!N29)</f>
        <v>No</v>
      </c>
      <c r="O29" s="57" t="str">
        <f>IF(Associates_Call_List_PQ!O29="","",Associates_Call_List_PQ!O29)</f>
        <v>Yes</v>
      </c>
      <c r="P29" s="57">
        <f>IF(Associates_Call_List_PQ!P29="","",Associates_Call_List_PQ!P29)</f>
        <v>45964</v>
      </c>
      <c r="Q29" s="57">
        <f>IF(Associates_Call_List_PQ!Q29="","",Associates_Call_List_PQ!Q29)</f>
        <v>45958</v>
      </c>
      <c r="R29" s="57" t="str">
        <f>IF(Associates_Call_List_PQ!R29="","",Associates_Call_List_PQ!R29)</f>
        <v>11/03 - No answer and no voicemail</v>
      </c>
      <c r="S29" s="57" t="str">
        <f>IF(Associates_Call_List_PQ!S29="","",Associates_Call_List_PQ!S29)</f>
        <v/>
      </c>
      <c r="T29" s="57" t="str">
        <f>IF(Associates_Call_List_PQ!T29="","",Associates_Call_List_PQ!T29)</f>
        <v/>
      </c>
      <c r="U29" s="57" t="str">
        <f>IF(Associates_Call_List_PQ!U29="","",Associates_Call_List_PQ!U29)</f>
        <v/>
      </c>
      <c r="V29" s="68" t="s">
        <v>5433</v>
      </c>
      <c r="W29" s="68">
        <v>46011</v>
      </c>
      <c r="X29" s="68"/>
      <c r="Y29" s="68" t="s">
        <v>5447</v>
      </c>
      <c r="Z29" s="72" t="s">
        <v>5448</v>
      </c>
    </row>
    <row r="30" spans="1:26">
      <c r="A30" s="71">
        <f>IFERROR(Associates_Call_List_PQ!A30,"")</f>
        <v>45847</v>
      </c>
      <c r="B30" s="57" t="str">
        <f>IF(Associates_Call_List_PQ!B30="","",Associates_Call_List_PQ!B30)</f>
        <v>Underwood</v>
      </c>
      <c r="C30" s="57" t="str">
        <f>IF(Associates_Call_List_PQ!C30="","",Associates_Call_List_PQ!C30)</f>
        <v>Revis</v>
      </c>
      <c r="D30" s="57" t="str">
        <f>IF(Associates_Call_List_PQ!D30="","",Associates_Call_List_PQ!D30)</f>
        <v>Litchfield Park</v>
      </c>
      <c r="E30" s="58">
        <f>IF(Associates_Call_List_PQ!E30="","",Associates_Call_List_PQ!E30)</f>
        <v>85340</v>
      </c>
      <c r="F30" s="57" t="str">
        <f>IF(Associates_Call_List_PQ!F30="","",Associates_Call_List_PQ!F30)</f>
        <v>Opposed</v>
      </c>
      <c r="G30" s="57" t="str">
        <f>IF(Associates_Call_List_PQ!G30="","",Associates_Call_List_PQ!G30)</f>
        <v>https://images.edocket.azcc.gov/docketpdf/E000045209.pdf</v>
      </c>
      <c r="H30" s="59" t="str">
        <f>IF(Associates_Call_List_PQ!H30="","",Associates_Call_List_PQ!H30)</f>
        <v>9558930000</v>
      </c>
      <c r="I30" s="57" t="str">
        <f>IF(Associates_Call_List_PQ!I30="","",Associates_Call_List_PQ!I30)</f>
        <v>EPR-6w/E-12</v>
      </c>
      <c r="J30" s="57" t="str">
        <f>IF(Associates_Call_List_PQ!J30="","",Associates_Call_List_PQ!J30)</f>
        <v>No</v>
      </c>
      <c r="K30" s="57" t="str">
        <f>IF(Associates_Call_List_PQ!K30="","",Associates_Call_List_PQ!K30)</f>
        <v>No</v>
      </c>
      <c r="L30" s="57" t="str">
        <f>IF(Associates_Call_List_PQ!L30="","",Associates_Call_List_PQ!L30)</f>
        <v>Info Not Avail</v>
      </c>
      <c r="M30" s="57" t="str">
        <f>IF(Associates_Call_List_PQ!M30="","",Associates_Call_List_PQ!M30)</f>
        <v>No</v>
      </c>
      <c r="N30" s="57" t="str">
        <f>IF(Associates_Call_List_PQ!N30="","",Associates_Call_List_PQ!N30)</f>
        <v>No</v>
      </c>
      <c r="O30" s="57" t="str">
        <f>IF(Associates_Call_List_PQ!O30="","",Associates_Call_List_PQ!O30)</f>
        <v>Yes</v>
      </c>
      <c r="P30" s="57" t="str">
        <f>IF(Associates_Call_List_PQ!P30="","",Associates_Call_List_PQ!P30)</f>
        <v>N</v>
      </c>
      <c r="Q30" s="57">
        <f>IF(Associates_Call_List_PQ!Q30="","",Associates_Call_List_PQ!Q30)</f>
        <v>45958</v>
      </c>
      <c r="R30" s="57" t="str">
        <f>IF(Associates_Call_List_PQ!R30="","",Associates_Call_List_PQ!R30)</f>
        <v/>
      </c>
      <c r="S30" s="57" t="str">
        <f>IF(Associates_Call_List_PQ!S30="","",Associates_Call_List_PQ!S30)</f>
        <v/>
      </c>
      <c r="T30" s="57" t="str">
        <f>IF(Associates_Call_List_PQ!T30="","",Associates_Call_List_PQ!T30)</f>
        <v/>
      </c>
      <c r="U30" s="57" t="s">
        <v>5500</v>
      </c>
      <c r="V30" s="68" t="s">
        <v>117</v>
      </c>
      <c r="W30" s="68">
        <v>46060</v>
      </c>
      <c r="X30" s="68" t="s">
        <v>5434</v>
      </c>
      <c r="Y30" s="68"/>
      <c r="Z30" s="72" t="s">
        <v>5438</v>
      </c>
    </row>
    <row r="31" spans="1:26">
      <c r="A31" s="71">
        <f>IFERROR(Associates_Call_List_PQ!A31,"")</f>
        <v>45847</v>
      </c>
      <c r="B31" s="57" t="str">
        <f>IF(Associates_Call_List_PQ!B31="","",Associates_Call_List_PQ!B31)</f>
        <v>Hacker</v>
      </c>
      <c r="C31" s="57" t="str">
        <f>IF(Associates_Call_List_PQ!C31="","",Associates_Call_List_PQ!C31)</f>
        <v>Dennis</v>
      </c>
      <c r="D31" s="57" t="str">
        <f>IF(Associates_Call_List_PQ!D31="","",Associates_Call_List_PQ!D31)</f>
        <v>Phoenix</v>
      </c>
      <c r="E31" s="58">
        <f>IF(Associates_Call_List_PQ!E31="","",Associates_Call_List_PQ!E31)</f>
        <v>85029</v>
      </c>
      <c r="F31" s="57" t="str">
        <f>IF(Associates_Call_List_PQ!F31="","",Associates_Call_List_PQ!F31)</f>
        <v>Pole Attachments</v>
      </c>
      <c r="G31" s="57" t="str">
        <f>IF(Associates_Call_List_PQ!G31="","",Associates_Call_List_PQ!G31)</f>
        <v>https://images.edocket.azcc.gov/docketpdf/E000045207.pdf</v>
      </c>
      <c r="H31" s="59" t="str">
        <f>IF(Associates_Call_List_PQ!H31="","",Associates_Call_List_PQ!H31)</f>
        <v>7633370000</v>
      </c>
      <c r="I31" s="57" t="str">
        <f>IF(Associates_Call_List_PQ!I31="","",Associates_Call_List_PQ!I31)</f>
        <v>RCPw/R3-47</v>
      </c>
      <c r="J31" s="57" t="str">
        <f>IF(Associates_Call_List_PQ!J31="","",Associates_Call_List_PQ!J31)</f>
        <v>No</v>
      </c>
      <c r="K31" s="57" t="str">
        <f>IF(Associates_Call_List_PQ!K31="","",Associates_Call_List_PQ!K31)</f>
        <v>No</v>
      </c>
      <c r="L31" s="57" t="str">
        <f>IF(Associates_Call_List_PQ!L31="","",Associates_Call_List_PQ!L31)</f>
        <v>Yes</v>
      </c>
      <c r="M31" s="57" t="str">
        <f>IF(Associates_Call_List_PQ!M31="","",Associates_Call_List_PQ!M31)</f>
        <v>No</v>
      </c>
      <c r="N31" s="57" t="str">
        <f>IF(Associates_Call_List_PQ!N31="","",Associates_Call_List_PQ!N31)</f>
        <v>No</v>
      </c>
      <c r="O31" s="57" t="str">
        <f>IF(Associates_Call_List_PQ!O31="","",Associates_Call_List_PQ!O31)</f>
        <v>Yes</v>
      </c>
      <c r="P31" s="57" t="str">
        <f>IF(Associates_Call_List_PQ!P31="","",Associates_Call_List_PQ!P31)</f>
        <v>N</v>
      </c>
      <c r="Q31" s="57">
        <f>IF(Associates_Call_List_PQ!Q31="","",Associates_Call_List_PQ!Q31)</f>
        <v>45958</v>
      </c>
      <c r="R31" s="57" t="str">
        <f>IF(Associates_Call_List_PQ!R31="","",Associates_Call_List_PQ!R31)</f>
        <v/>
      </c>
      <c r="S31" s="57" t="str">
        <f>IF(Associates_Call_List_PQ!S31="","",Associates_Call_List_PQ!S31)</f>
        <v/>
      </c>
      <c r="T31" s="57" t="str">
        <f>IF(Associates_Call_List_PQ!T31="","",Associates_Call_List_PQ!T31)</f>
        <v/>
      </c>
      <c r="U31" s="57" t="str">
        <f>IF(Associates_Call_List_PQ!U31="","",Associates_Call_List_PQ!U31)</f>
        <v/>
      </c>
      <c r="V31" s="68"/>
      <c r="W31" s="68" t="s">
        <v>5432</v>
      </c>
      <c r="X31" s="68"/>
      <c r="Y31" s="68"/>
      <c r="Z31" s="72"/>
    </row>
    <row r="32" spans="1:26">
      <c r="A32" s="71">
        <f>IFERROR(Associates_Call_List_PQ!A32,"")</f>
        <v>45852</v>
      </c>
      <c r="B32" s="57" t="str">
        <f>IF(Associates_Call_List_PQ!B32="","",Associates_Call_List_PQ!B32)</f>
        <v>Rizzi</v>
      </c>
      <c r="C32" s="57" t="str">
        <f>IF(Associates_Call_List_PQ!C32="","",Associates_Call_List_PQ!C32)</f>
        <v>Carol</v>
      </c>
      <c r="D32" s="57" t="str">
        <f>IF(Associates_Call_List_PQ!D32="","",Associates_Call_List_PQ!D32)</f>
        <v>Unknown</v>
      </c>
      <c r="E32" s="58" t="str">
        <f>IF(Associates_Call_List_PQ!E32="","",Associates_Call_List_PQ!E32)</f>
        <v>Unknown</v>
      </c>
      <c r="F32" s="57" t="str">
        <f>IF(Associates_Call_List_PQ!F32="","",Associates_Call_List_PQ!F32)</f>
        <v>Opposed</v>
      </c>
      <c r="G32" s="57" t="str">
        <f>IF(Associates_Call_List_PQ!G32="","",Associates_Call_List_PQ!G32)</f>
        <v>https://images.edocket.azcc.gov/docketpdf/E000045267.pdf</v>
      </c>
      <c r="H32" s="59">
        <f>IF(Associates_Call_List_PQ!H32="","",Associates_Call_List_PQ!H32)</f>
        <v>3049940000</v>
      </c>
      <c r="I32" s="57" t="str">
        <f>IF(Associates_Call_List_PQ!I32="","",Associates_Call_List_PQ!I32)</f>
        <v>R-XS</v>
      </c>
      <c r="J32" s="57" t="str">
        <f>IF(Associates_Call_List_PQ!J32="","",Associates_Call_List_PQ!J32)</f>
        <v>No</v>
      </c>
      <c r="K32" s="57" t="str">
        <f>IF(Associates_Call_List_PQ!K32="","",Associates_Call_List_PQ!K32)</f>
        <v>No</v>
      </c>
      <c r="L32" s="57" t="str">
        <f>IF(Associates_Call_List_PQ!L32="","",Associates_Call_List_PQ!L32)</f>
        <v>AMI Opt Out</v>
      </c>
      <c r="M32" s="57" t="str">
        <f>IF(Associates_Call_List_PQ!M32="","",Associates_Call_List_PQ!M32)</f>
        <v>No</v>
      </c>
      <c r="N32" s="57" t="str">
        <f>IF(Associates_Call_List_PQ!N32="","",Associates_Call_List_PQ!N32)</f>
        <v>No</v>
      </c>
      <c r="O32" s="57" t="str">
        <f>IF(Associates_Call_List_PQ!O32="","",Associates_Call_List_PQ!O32)</f>
        <v>Yes</v>
      </c>
      <c r="P32" s="57" t="str">
        <f>IF(Associates_Call_List_PQ!P32="","",Associates_Call_List_PQ!P32)</f>
        <v>N</v>
      </c>
      <c r="Q32" s="57">
        <f>IF(Associates_Call_List_PQ!Q32="","",Associates_Call_List_PQ!Q32)</f>
        <v>45958</v>
      </c>
      <c r="R32" s="57" t="str">
        <f>IF(Associates_Call_List_PQ!R32="","",Associates_Call_List_PQ!R32)</f>
        <v/>
      </c>
      <c r="S32" s="57" t="str">
        <f>IF(Associates_Call_List_PQ!S32="","",Associates_Call_List_PQ!S32)</f>
        <v/>
      </c>
      <c r="T32" s="57" t="str">
        <f>IF(Associates_Call_List_PQ!T32="","",Associates_Call_List_PQ!T32)</f>
        <v/>
      </c>
      <c r="U32" s="57" t="s">
        <v>5501</v>
      </c>
      <c r="V32" s="68" t="s">
        <v>117</v>
      </c>
      <c r="W32" s="68">
        <v>46067</v>
      </c>
      <c r="X32" s="68" t="s">
        <v>5434</v>
      </c>
      <c r="Y32" s="68"/>
      <c r="Z32" s="72"/>
    </row>
    <row r="33" spans="1:26">
      <c r="A33" s="71">
        <f>IFERROR(Associates_Call_List_PQ!A33,"")</f>
        <v>45852</v>
      </c>
      <c r="B33" s="57" t="str">
        <f>IF(Associates_Call_List_PQ!B33="","",Associates_Call_List_PQ!B33)</f>
        <v>Snyder</v>
      </c>
      <c r="C33" s="57" t="str">
        <f>IF(Associates_Call_List_PQ!C33="","",Associates_Call_List_PQ!C33)</f>
        <v>Steven</v>
      </c>
      <c r="D33" s="57" t="str">
        <f>IF(Associates_Call_List_PQ!D33="","",Associates_Call_List_PQ!D33)</f>
        <v>Prescott Valley</v>
      </c>
      <c r="E33" s="58">
        <f>IF(Associates_Call_List_PQ!E33="","",Associates_Call_List_PQ!E33)</f>
        <v>86314</v>
      </c>
      <c r="F33" s="57" t="str">
        <f>IF(Associates_Call_List_PQ!F33="","",Associates_Call_List_PQ!F33)</f>
        <v>Opposed</v>
      </c>
      <c r="G33" s="57" t="str">
        <f>IF(Associates_Call_List_PQ!G33="","",Associates_Call_List_PQ!G33)</f>
        <v>https://images.edocket.azcc.gov/docketpdf/E000045267.pdf</v>
      </c>
      <c r="H33" s="59">
        <f>IF(Associates_Call_List_PQ!H33="","",Associates_Call_List_PQ!H33)</f>
        <v>3736855436</v>
      </c>
      <c r="I33" s="57" t="str">
        <f>IF(Associates_Call_List_PQ!I33="","",Associates_Call_List_PQ!I33)</f>
        <v>RCPw/R3-47</v>
      </c>
      <c r="J33" s="57" t="str">
        <f>IF(Associates_Call_List_PQ!J33="","",Associates_Call_List_PQ!J33)</f>
        <v>No</v>
      </c>
      <c r="K33" s="57" t="str">
        <f>IF(Associates_Call_List_PQ!K33="","",Associates_Call_List_PQ!K33)</f>
        <v>No</v>
      </c>
      <c r="L33" s="57" t="str">
        <f>IF(Associates_Call_List_PQ!L33="","",Associates_Call_List_PQ!L33)</f>
        <v>Yes</v>
      </c>
      <c r="M33" s="57" t="str">
        <f>IF(Associates_Call_List_PQ!M33="","",Associates_Call_List_PQ!M33)</f>
        <v>No</v>
      </c>
      <c r="N33" s="57" t="str">
        <f>IF(Associates_Call_List_PQ!N33="","",Associates_Call_List_PQ!N33)</f>
        <v>No</v>
      </c>
      <c r="O33" s="57" t="str">
        <f>IF(Associates_Call_List_PQ!O33="","",Associates_Call_List_PQ!O33)</f>
        <v>Yes</v>
      </c>
      <c r="P33" s="57" t="str">
        <f>IF(Associates_Call_List_PQ!P33="","",Associates_Call_List_PQ!P33)</f>
        <v>N</v>
      </c>
      <c r="Q33" s="57">
        <f>IF(Associates_Call_List_PQ!Q33="","",Associates_Call_List_PQ!Q33)</f>
        <v>45958</v>
      </c>
      <c r="R33" s="57" t="str">
        <f>IF(Associates_Call_List_PQ!R33="","",Associates_Call_List_PQ!R33)</f>
        <v/>
      </c>
      <c r="S33" s="57" t="str">
        <f>IF(Associates_Call_List_PQ!S33="","",Associates_Call_List_PQ!S33)</f>
        <v/>
      </c>
      <c r="T33" s="57" t="str">
        <f>IF(Associates_Call_List_PQ!T33="","",Associates_Call_List_PQ!T33)</f>
        <v/>
      </c>
      <c r="U33" s="57" t="str">
        <f>IF(Associates_Call_List_PQ!U33="","",Associates_Call_List_PQ!U33)</f>
        <v/>
      </c>
      <c r="V33" s="68"/>
      <c r="W33" s="68" t="s">
        <v>5432</v>
      </c>
      <c r="X33" s="68"/>
      <c r="Y33" s="68"/>
      <c r="Z33" s="72"/>
    </row>
    <row r="34" spans="1:26">
      <c r="A34" s="71">
        <f>IFERROR(Associates_Call_List_PQ!A34,"")</f>
        <v>45854</v>
      </c>
      <c r="B34" s="57" t="str">
        <f>IF(Associates_Call_List_PQ!B34="","",Associates_Call_List_PQ!B34)</f>
        <v>Starr</v>
      </c>
      <c r="C34" s="57" t="str">
        <f>IF(Associates_Call_List_PQ!C34="","",Associates_Call_List_PQ!C34)</f>
        <v>Valerie</v>
      </c>
      <c r="D34" s="57" t="str">
        <f>IF(Associates_Call_List_PQ!D34="","",Associates_Call_List_PQ!D34)</f>
        <v>Payson</v>
      </c>
      <c r="E34" s="58">
        <f>IF(Associates_Call_List_PQ!E34="","",Associates_Call_List_PQ!E34)</f>
        <v>85541</v>
      </c>
      <c r="F34" s="57" t="str">
        <f>IF(Associates_Call_List_PQ!F34="","",Associates_Call_List_PQ!F34)</f>
        <v>Opposed / Greed</v>
      </c>
      <c r="G34" s="57" t="str">
        <f>IF(Associates_Call_List_PQ!G34="","",Associates_Call_List_PQ!G34)</f>
        <v>https://images.edocket.azcc.gov/docketpdf/E000045309.pdf</v>
      </c>
      <c r="H34" s="59" t="str">
        <f>IF(Associates_Call_List_PQ!H34="","",Associates_Call_List_PQ!H34)</f>
        <v>8135798464</v>
      </c>
      <c r="I34" s="57" t="str">
        <f>IF(Associates_Call_List_PQ!I34="","",Associates_Call_List_PQ!I34)</f>
        <v>R-BASICL</v>
      </c>
      <c r="J34" s="57" t="str">
        <f>IF(Associates_Call_List_PQ!J34="","",Associates_Call_List_PQ!J34)</f>
        <v>No</v>
      </c>
      <c r="K34" s="57" t="str">
        <f>IF(Associates_Call_List_PQ!K34="","",Associates_Call_List_PQ!K34)</f>
        <v>No</v>
      </c>
      <c r="L34" s="57" t="str">
        <f>IF(Associates_Call_List_PQ!L34="","",Associates_Call_List_PQ!L34)</f>
        <v>No MEP R3-47 ($337.28)</v>
      </c>
      <c r="M34" s="57" t="str">
        <f>IF(Associates_Call_List_PQ!M34="","",Associates_Call_List_PQ!M34)</f>
        <v>No</v>
      </c>
      <c r="N34" s="57" t="str">
        <f>IF(Associates_Call_List_PQ!N34="","",Associates_Call_List_PQ!N34)</f>
        <v>No</v>
      </c>
      <c r="O34" s="57" t="str">
        <f>IF(Associates_Call_List_PQ!O34="","",Associates_Call_List_PQ!O34)</f>
        <v>Yes</v>
      </c>
      <c r="P34" s="57">
        <f>IF(Associates_Call_List_PQ!P34="","",Associates_Call_List_PQ!P34)</f>
        <v>45964</v>
      </c>
      <c r="Q34" s="57">
        <f>IF(Associates_Call_List_PQ!Q34="","",Associates_Call_List_PQ!Q34)</f>
        <v>45958</v>
      </c>
      <c r="R34" s="57" t="str">
        <f>IF(Associates_Call_List_PQ!R34="","",Associates_Call_List_PQ!R34)</f>
        <v xml:space="preserve">11/03 - LM </v>
      </c>
      <c r="S34" s="57" t="str">
        <f>IF(Associates_Call_List_PQ!S34="","",Associates_Call_List_PQ!S34)</f>
        <v/>
      </c>
      <c r="T34" s="57" t="str">
        <f>IF(Associates_Call_List_PQ!T34="","",Associates_Call_List_PQ!T34)</f>
        <v/>
      </c>
      <c r="U34" s="57" t="str">
        <f>IF(Associates_Call_List_PQ!U34="","",Associates_Call_List_PQ!U34)</f>
        <v>Estimated savings $432.84/12 = $36.07 potential monthly savings on MEP</v>
      </c>
      <c r="V34" s="68" t="s">
        <v>5433</v>
      </c>
      <c r="W34" s="68">
        <v>46011</v>
      </c>
      <c r="X34" s="68" t="s">
        <v>5434</v>
      </c>
      <c r="Y34" s="68"/>
      <c r="Z34" s="72" t="s">
        <v>5449</v>
      </c>
    </row>
    <row r="35" spans="1:26">
      <c r="A35" s="71">
        <f>IFERROR(Associates_Call_List_PQ!A35,"")</f>
        <v>45859</v>
      </c>
      <c r="B35" s="57" t="str">
        <f>IF(Associates_Call_List_PQ!B35="","",Associates_Call_List_PQ!B35)</f>
        <v>Hill</v>
      </c>
      <c r="C35" s="57" t="str">
        <f>IF(Associates_Call_List_PQ!C35="","",Associates_Call_List_PQ!C35)</f>
        <v>Teresa</v>
      </c>
      <c r="D35" s="57" t="str">
        <f>IF(Associates_Call_List_PQ!D35="","",Associates_Call_List_PQ!D35)</f>
        <v>Phoenix</v>
      </c>
      <c r="E35" s="58">
        <f>IF(Associates_Call_List_PQ!E35="","",Associates_Call_List_PQ!E35)</f>
        <v>85029</v>
      </c>
      <c r="F35" s="57" t="str">
        <f>IF(Associates_Call_List_PQ!F35="","",Associates_Call_List_PQ!F35)</f>
        <v>Senior/Fixed Income/ Data Centers</v>
      </c>
      <c r="G35" s="57" t="str">
        <f>IF(Associates_Call_List_PQ!G35="","",Associates_Call_List_PQ!G35)</f>
        <v>https://images.edocket.azcc.gov/docketpdf/E000045376.pdf</v>
      </c>
      <c r="H35" s="59" t="str">
        <f>IF(Associates_Call_List_PQ!H35="","",Associates_Call_List_PQ!H35)</f>
        <v>5307300000</v>
      </c>
      <c r="I35" s="57" t="str">
        <f>IF(Associates_Call_List_PQ!I35="","",Associates_Call_List_PQ!I35)</f>
        <v>R3-47</v>
      </c>
      <c r="J35" s="57" t="str">
        <f>IF(Associates_Call_List_PQ!J35="","",Associates_Call_List_PQ!J35)</f>
        <v>No</v>
      </c>
      <c r="K35" s="57" t="str">
        <f>IF(Associates_Call_List_PQ!K35="","",Associates_Call_List_PQ!K35)</f>
        <v>No</v>
      </c>
      <c r="L35" s="57" t="str">
        <f>IF(Associates_Call_List_PQ!L35="","",Associates_Call_List_PQ!L35)</f>
        <v>No MEP R-XS ($136.97)</v>
      </c>
      <c r="M35" s="57" t="str">
        <f>IF(Associates_Call_List_PQ!M35="","",Associates_Call_List_PQ!M35)</f>
        <v>No</v>
      </c>
      <c r="N35" s="57" t="str">
        <f>IF(Associates_Call_List_PQ!N35="","",Associates_Call_List_PQ!N35)</f>
        <v>No</v>
      </c>
      <c r="O35" s="57" t="str">
        <f>IF(Associates_Call_List_PQ!O35="","",Associates_Call_List_PQ!O35)</f>
        <v>Yes</v>
      </c>
      <c r="P35" s="57">
        <f>IF(Associates_Call_List_PQ!P35="","",Associates_Call_List_PQ!P35)</f>
        <v>45964</v>
      </c>
      <c r="Q35" s="57">
        <f>IF(Associates_Call_List_PQ!Q35="","",Associates_Call_List_PQ!Q35)</f>
        <v>45958</v>
      </c>
      <c r="R35" s="57" t="str">
        <f>IF(Associates_Call_List_PQ!R35="","",Associates_Call_List_PQ!R35)</f>
        <v>11/03 - Customer will callback at a more convenient time to discuss MEP</v>
      </c>
      <c r="S35" s="57" t="str">
        <f>IF(Associates_Call_List_PQ!S35="","",Associates_Call_List_PQ!S35)</f>
        <v/>
      </c>
      <c r="T35" s="57" t="str">
        <f>IF(Associates_Call_List_PQ!T35="","",Associates_Call_List_PQ!T35)</f>
        <v/>
      </c>
      <c r="U35" s="57" t="str">
        <f>IF(Associates_Call_List_PQ!U35="","",Associates_Call_List_PQ!U35)</f>
        <v/>
      </c>
      <c r="V35" s="68" t="s">
        <v>5433</v>
      </c>
      <c r="W35" s="68">
        <v>46011</v>
      </c>
      <c r="X35" s="68"/>
      <c r="Y35" s="68" t="s">
        <v>5447</v>
      </c>
      <c r="Z35" s="72" t="s">
        <v>5450</v>
      </c>
    </row>
    <row r="36" spans="1:26">
      <c r="A36" s="71">
        <f>IFERROR(Associates_Call_List_PQ!A36,"")</f>
        <v>45861</v>
      </c>
      <c r="B36" s="57" t="str">
        <f>IF(Associates_Call_List_PQ!B36="","",Associates_Call_List_PQ!B36)</f>
        <v>Seabrook</v>
      </c>
      <c r="C36" s="57" t="str">
        <f>IF(Associates_Call_List_PQ!C36="","",Associates_Call_List_PQ!C36)</f>
        <v>Michelle</v>
      </c>
      <c r="D36" s="57" t="str">
        <f>IF(Associates_Call_List_PQ!D36="","",Associates_Call_List_PQ!D36)</f>
        <v>Phoenix</v>
      </c>
      <c r="E36" s="58">
        <f>IF(Associates_Call_List_PQ!E36="","",Associates_Call_List_PQ!E36)</f>
        <v>85054</v>
      </c>
      <c r="F36" s="57" t="str">
        <f>IF(Associates_Call_List_PQ!F36="","",Associates_Call_List_PQ!F36)</f>
        <v>Opposed</v>
      </c>
      <c r="G36" s="57" t="str">
        <f>IF(Associates_Call_List_PQ!G36="","",Associates_Call_List_PQ!G36)</f>
        <v>https://images.edocket.azcc.gov/docketpdf/E000045426.pdf</v>
      </c>
      <c r="H36" s="59" t="str">
        <f>IF(Associates_Call_List_PQ!H36="","",Associates_Call_List_PQ!H36)</f>
        <v>3616936085</v>
      </c>
      <c r="I36" s="57" t="str">
        <f>IF(Associates_Call_List_PQ!I36="","",Associates_Call_List_PQ!I36)</f>
        <v>R-BASICL</v>
      </c>
      <c r="J36" s="57" t="str">
        <f>IF(Associates_Call_List_PQ!J36="","",Associates_Call_List_PQ!J36)</f>
        <v>No</v>
      </c>
      <c r="K36" s="57" t="str">
        <f>IF(Associates_Call_List_PQ!K36="","",Associates_Call_List_PQ!K36)</f>
        <v>No</v>
      </c>
      <c r="L36" s="57" t="str">
        <f>IF(Associates_Call_List_PQ!L36="","",Associates_Call_List_PQ!L36)</f>
        <v>No MEP R-BASIC ($170.13)</v>
      </c>
      <c r="M36" s="57" t="str">
        <f>IF(Associates_Call_List_PQ!M36="","",Associates_Call_List_PQ!M36)</f>
        <v>No</v>
      </c>
      <c r="N36" s="57" t="str">
        <f>IF(Associates_Call_List_PQ!N36="","",Associates_Call_List_PQ!N36)</f>
        <v>No</v>
      </c>
      <c r="O36" s="57" t="str">
        <f>IF(Associates_Call_List_PQ!O36="","",Associates_Call_List_PQ!O36)</f>
        <v>Yes</v>
      </c>
      <c r="P36" s="57" t="str">
        <f>IF(Associates_Call_List_PQ!P36="","",Associates_Call_List_PQ!P36)</f>
        <v>N</v>
      </c>
      <c r="Q36" s="57">
        <f>IF(Associates_Call_List_PQ!Q36="","",Associates_Call_List_PQ!Q36)</f>
        <v>45958</v>
      </c>
      <c r="R36" s="57" t="str">
        <f>IF(Associates_Call_List_PQ!R36="","",Associates_Call_List_PQ!R36)</f>
        <v>Will be automatically reassigned soon</v>
      </c>
      <c r="S36" s="57" t="str">
        <f>IF(Associates_Call_List_PQ!S36="","",Associates_Call_List_PQ!S36)</f>
        <v/>
      </c>
      <c r="T36" s="57" t="str">
        <f>IF(Associates_Call_List_PQ!T36="","",Associates_Call_List_PQ!T36)</f>
        <v/>
      </c>
      <c r="U36" s="57" t="str">
        <f>IF(Associates_Call_List_PQ!U36="","",Associates_Call_List_PQ!U36)</f>
        <v/>
      </c>
      <c r="V36" s="68" t="s">
        <v>5433</v>
      </c>
      <c r="W36" s="68">
        <v>46011</v>
      </c>
      <c r="X36" s="68" t="s">
        <v>5405</v>
      </c>
      <c r="Y36" s="68"/>
      <c r="Z36" s="72" t="s">
        <v>5451</v>
      </c>
    </row>
    <row r="37" spans="1:26">
      <c r="A37" s="71">
        <f>IFERROR(Associates_Call_List_PQ!A37,"")</f>
        <v>45883</v>
      </c>
      <c r="B37" s="57" t="str">
        <f>IF(Associates_Call_List_PQ!B37="","",Associates_Call_List_PQ!B37)</f>
        <v>Sternberg</v>
      </c>
      <c r="C37" s="57" t="str">
        <f>IF(Associates_Call_List_PQ!C37="","",Associates_Call_List_PQ!C37)</f>
        <v>Karen</v>
      </c>
      <c r="D37" s="57" t="str">
        <f>IF(Associates_Call_List_PQ!D37="","",Associates_Call_List_PQ!D37)</f>
        <v>Sedona</v>
      </c>
      <c r="E37" s="58">
        <f>IF(Associates_Call_List_PQ!E37="","",Associates_Call_List_PQ!E37)</f>
        <v>85336</v>
      </c>
      <c r="F37" s="57" t="str">
        <f>IF(Associates_Call_List_PQ!F37="","",Associates_Call_List_PQ!F37)</f>
        <v>Comments are about water rates</v>
      </c>
      <c r="G37" s="57" t="str">
        <f>IF(Associates_Call_List_PQ!G37="","",Associates_Call_List_PQ!G37)</f>
        <v>https://images.edocket.azcc.gov/docketpdf/E000045814.pdf</v>
      </c>
      <c r="H37" s="59" t="str">
        <f>IF(Associates_Call_List_PQ!H37="","",Associates_Call_List_PQ!H37)</f>
        <v>4285810000</v>
      </c>
      <c r="I37" s="57" t="str">
        <f>IF(Associates_Call_List_PQ!I37="","",Associates_Call_List_PQ!I37)</f>
        <v xml:space="preserve">R-XS </v>
      </c>
      <c r="J37" s="57" t="str">
        <f>IF(Associates_Call_List_PQ!J37="","",Associates_Call_List_PQ!J37)</f>
        <v>No</v>
      </c>
      <c r="K37" s="57" t="str">
        <f>IF(Associates_Call_List_PQ!K37="","",Associates_Call_List_PQ!K37)</f>
        <v>No</v>
      </c>
      <c r="L37" s="57" t="str">
        <f>IF(Associates_Call_List_PQ!L37="","",Associates_Call_List_PQ!L37)</f>
        <v>Yes</v>
      </c>
      <c r="M37" s="57" t="str">
        <f>IF(Associates_Call_List_PQ!M37="","",Associates_Call_List_PQ!M37)</f>
        <v>No</v>
      </c>
      <c r="N37" s="57" t="str">
        <f>IF(Associates_Call_List_PQ!N37="","",Associates_Call_List_PQ!N37)</f>
        <v>No</v>
      </c>
      <c r="O37" s="57" t="str">
        <f>IF(Associates_Call_List_PQ!O37="","",Associates_Call_List_PQ!O37)</f>
        <v>Yes</v>
      </c>
      <c r="P37" s="57" t="str">
        <f>IF(Associates_Call_List_PQ!P37="","",Associates_Call_List_PQ!P37)</f>
        <v>N</v>
      </c>
      <c r="Q37" s="57">
        <f>IF(Associates_Call_List_PQ!Q37="","",Associates_Call_List_PQ!Q37)</f>
        <v>45958</v>
      </c>
      <c r="R37" s="57" t="str">
        <f>IF(Associates_Call_List_PQ!R37="","",Associates_Call_List_PQ!R37)</f>
        <v/>
      </c>
      <c r="S37" s="57" t="str">
        <f>IF(Associates_Call_List_PQ!S37="","",Associates_Call_List_PQ!S37)</f>
        <v/>
      </c>
      <c r="T37" s="57" t="str">
        <f>IF(Associates_Call_List_PQ!T37="","",Associates_Call_List_PQ!T37)</f>
        <v/>
      </c>
      <c r="U37" s="57" t="str">
        <f>IF(Associates_Call_List_PQ!U37="","",Associates_Call_List_PQ!U37)</f>
        <v>Comments are about water rate increases</v>
      </c>
      <c r="V37" s="68"/>
      <c r="W37" s="68" t="s">
        <v>5432</v>
      </c>
      <c r="X37" s="68"/>
      <c r="Y37" s="68"/>
      <c r="Z37" s="72"/>
    </row>
    <row r="38" spans="1:26">
      <c r="A38" s="71">
        <f>IFERROR(Associates_Call_List_PQ!A38,"")</f>
        <v>45898</v>
      </c>
      <c r="B38" s="57" t="str">
        <f>IF(Associates_Call_List_PQ!B38="","",Associates_Call_List_PQ!B38)</f>
        <v>Hines</v>
      </c>
      <c r="C38" s="57" t="str">
        <f>IF(Associates_Call_List_PQ!C38="","",Associates_Call_List_PQ!C38)</f>
        <v>Rohna</v>
      </c>
      <c r="D38" s="57" t="str">
        <f>IF(Associates_Call_List_PQ!D38="","",Associates_Call_List_PQ!D38)</f>
        <v>Unknown</v>
      </c>
      <c r="E38" s="58" t="str">
        <f>IF(Associates_Call_List_PQ!E38="","",Associates_Call_List_PQ!E38)</f>
        <v>Unknown</v>
      </c>
      <c r="F38" s="57" t="str">
        <f>IF(Associates_Call_List_PQ!F38="","",Associates_Call_List_PQ!F38)</f>
        <v xml:space="preserve">Opposed </v>
      </c>
      <c r="G38" s="57" t="str">
        <f>IF(Associates_Call_List_PQ!G38="","",Associates_Call_List_PQ!G38)</f>
        <v>https://images.edocket.azcc.gov/docketpdf/E000046100.pdf</v>
      </c>
      <c r="H38" s="59" t="str">
        <f>IF(Associates_Call_List_PQ!H38="","",Associates_Call_List_PQ!H38)</f>
        <v>9376851000</v>
      </c>
      <c r="I38" s="57" t="str">
        <f>IF(Associates_Call_List_PQ!I38="","",Associates_Call_List_PQ!I38)</f>
        <v>RTOUE47</v>
      </c>
      <c r="J38" s="57" t="str">
        <f>IF(Associates_Call_List_PQ!J38="","",Associates_Call_List_PQ!J38)</f>
        <v>Yes</v>
      </c>
      <c r="K38" s="57" t="str">
        <f>IF(Associates_Call_List_PQ!K38="","",Associates_Call_List_PQ!K38)</f>
        <v>No</v>
      </c>
      <c r="L38" s="57" t="str">
        <f>IF(Associates_Call_List_PQ!L38="","",Associates_Call_List_PQ!L38)</f>
        <v>No MEP R-XS($77.28)</v>
      </c>
      <c r="M38" s="57" t="str">
        <f>IF(Associates_Call_List_PQ!M38="","",Associates_Call_List_PQ!M38)</f>
        <v>No</v>
      </c>
      <c r="N38" s="57" t="str">
        <f>IF(Associates_Call_List_PQ!N38="","",Associates_Call_List_PQ!N38)</f>
        <v>No</v>
      </c>
      <c r="O38" s="57" t="str">
        <f>IF(Associates_Call_List_PQ!O38="","",Associates_Call_List_PQ!O38)</f>
        <v>Yes</v>
      </c>
      <c r="P38" s="57" t="str">
        <f>IF(Associates_Call_List_PQ!P38="","",Associates_Call_List_PQ!P38)</f>
        <v>N</v>
      </c>
      <c r="Q38" s="57">
        <f>IF(Associates_Call_List_PQ!Q38="","",Associates_Call_List_PQ!Q38)</f>
        <v>45958</v>
      </c>
      <c r="R38" s="57" t="str">
        <f>IF(Associates_Call_List_PQ!R38="","",Associates_Call_List_PQ!R38)</f>
        <v/>
      </c>
      <c r="S38" s="57" t="str">
        <f>IF(Associates_Call_List_PQ!S38="","",Associates_Call_List_PQ!S38)</f>
        <v/>
      </c>
      <c r="T38" s="57" t="str">
        <f>IF(Associates_Call_List_PQ!T38="","",Associates_Call_List_PQ!T38)</f>
        <v/>
      </c>
      <c r="U38" s="57" t="str">
        <f>IF(Associates_Call_List_PQ!U38="","",Associates_Call_List_PQ!U38)</f>
        <v/>
      </c>
      <c r="V38" s="68" t="s">
        <v>117</v>
      </c>
      <c r="W38" s="68">
        <v>45997</v>
      </c>
      <c r="X38" s="68" t="s">
        <v>5405</v>
      </c>
      <c r="Y38" s="68"/>
      <c r="Z38" s="72" t="s">
        <v>5452</v>
      </c>
    </row>
    <row r="39" spans="1:26">
      <c r="A39" s="71">
        <f>IFERROR(Associates_Call_List_PQ!A39,"")</f>
        <v>45902</v>
      </c>
      <c r="B39" s="57" t="str">
        <f>IF(Associates_Call_List_PQ!B39="","",Associates_Call_List_PQ!B39)</f>
        <v>Lovato</v>
      </c>
      <c r="C39" s="57" t="str">
        <f>IF(Associates_Call_List_PQ!C39="","",Associates_Call_List_PQ!C39)</f>
        <v>Tiffany</v>
      </c>
      <c r="D39" s="57" t="str">
        <f>IF(Associates_Call_List_PQ!D39="","",Associates_Call_List_PQ!D39)</f>
        <v>Surprise</v>
      </c>
      <c r="E39" s="58">
        <f>IF(Associates_Call_List_PQ!E39="","",Associates_Call_List_PQ!E39)</f>
        <v>85374</v>
      </c>
      <c r="F39" s="57" t="str">
        <f>IF(Associates_Call_List_PQ!F39="","",Associates_Call_List_PQ!F39)</f>
        <v>Opposed</v>
      </c>
      <c r="G39" s="57" t="str">
        <f>IF(Associates_Call_List_PQ!G39="","",Associates_Call_List_PQ!G39)</f>
        <v>https://images.edocket.azcc.gov/docketpdf/E000046155.pdf</v>
      </c>
      <c r="H39" s="59">
        <f>IF(Associates_Call_List_PQ!H39="","",Associates_Call_List_PQ!H39)</f>
        <v>2721067262</v>
      </c>
      <c r="I39" s="57" t="str">
        <f>IF(Associates_Call_List_PQ!I39="","",Associates_Call_List_PQ!I39)</f>
        <v>R-BASIC</v>
      </c>
      <c r="J39" s="57" t="str">
        <f>IF(Associates_Call_List_PQ!J39="","",Associates_Call_List_PQ!J39)</f>
        <v>N</v>
      </c>
      <c r="K39" s="57" t="str">
        <f>IF(Associates_Call_List_PQ!K39="","",Associates_Call_List_PQ!K39)</f>
        <v>No</v>
      </c>
      <c r="L39" s="57" t="str">
        <f>IF(Associates_Call_List_PQ!L39="","",Associates_Call_List_PQ!L39)</f>
        <v xml:space="preserve">Yes </v>
      </c>
      <c r="M39" s="57" t="str">
        <f>IF(Associates_Call_List_PQ!M39="","",Associates_Call_List_PQ!M39)</f>
        <v>No</v>
      </c>
      <c r="N39" s="57" t="str">
        <f>IF(Associates_Call_List_PQ!N39="","",Associates_Call_List_PQ!N39)</f>
        <v>No</v>
      </c>
      <c r="O39" s="57" t="str">
        <f>IF(Associates_Call_List_PQ!O39="","",Associates_Call_List_PQ!O39)</f>
        <v>Yes</v>
      </c>
      <c r="P39" s="57" t="str">
        <f>IF(Associates_Call_List_PQ!P39="","",Associates_Call_List_PQ!P39)</f>
        <v>N</v>
      </c>
      <c r="Q39" s="57">
        <f>IF(Associates_Call_List_PQ!Q39="","",Associates_Call_List_PQ!Q39)</f>
        <v>45967</v>
      </c>
      <c r="R39" s="57" t="str">
        <f>IF(Associates_Call_List_PQ!R39="","",Associates_Call_List_PQ!R39)</f>
        <v/>
      </c>
      <c r="S39" s="57" t="str">
        <f>IF(Associates_Call_List_PQ!S39="","",Associates_Call_List_PQ!S39)</f>
        <v/>
      </c>
      <c r="T39" s="57" t="str">
        <f>IF(Associates_Call_List_PQ!T39="","",Associates_Call_List_PQ!T39)</f>
        <v/>
      </c>
      <c r="U39" s="57" t="str">
        <f>IF(Associates_Call_List_PQ!U39="","",Associates_Call_List_PQ!U39)</f>
        <v/>
      </c>
      <c r="V39" s="68"/>
      <c r="W39" s="68" t="s">
        <v>5432</v>
      </c>
      <c r="X39" s="68"/>
      <c r="Y39" s="68"/>
      <c r="Z39" s="72"/>
    </row>
    <row r="40" spans="1:26">
      <c r="A40" s="71">
        <f>IFERROR(Associates_Call_List_PQ!A40,"")</f>
        <v>45902</v>
      </c>
      <c r="B40" s="57" t="str">
        <f>IF(Associates_Call_List_PQ!B40="","",Associates_Call_List_PQ!B40)</f>
        <v>Read</v>
      </c>
      <c r="C40" s="57" t="str">
        <f>IF(Associates_Call_List_PQ!C40="","",Associates_Call_List_PQ!C40)</f>
        <v>David</v>
      </c>
      <c r="D40" s="57" t="str">
        <f>IF(Associates_Call_List_PQ!D40="","",Associates_Call_List_PQ!D40)</f>
        <v xml:space="preserve">Peoria </v>
      </c>
      <c r="E40" s="58">
        <f>IF(Associates_Call_List_PQ!E40="","",Associates_Call_List_PQ!E40)</f>
        <v>85381</v>
      </c>
      <c r="F40" s="57" t="str">
        <f>IF(Associates_Call_List_PQ!F40="","",Associates_Call_List_PQ!F40)</f>
        <v>Opposed</v>
      </c>
      <c r="G40" s="57" t="str">
        <f>IF(Associates_Call_List_PQ!G40="","",Associates_Call_List_PQ!G40)</f>
        <v>https://images.edocket.azcc.gov/docketpdf/E000046155.pdf</v>
      </c>
      <c r="H40" s="59">
        <f>IF(Associates_Call_List_PQ!H40="","",Associates_Call_List_PQ!H40)</f>
        <v>5237011424</v>
      </c>
      <c r="I40" s="57" t="str">
        <f>IF(Associates_Call_List_PQ!I40="","",Associates_Call_List_PQ!I40)</f>
        <v>RTOUE47</v>
      </c>
      <c r="J40" s="57" t="str">
        <f>IF(Associates_Call_List_PQ!J40="","",Associates_Call_List_PQ!J40)</f>
        <v>No</v>
      </c>
      <c r="K40" s="57" t="str">
        <f>IF(Associates_Call_List_PQ!K40="","",Associates_Call_List_PQ!K40)</f>
        <v>No</v>
      </c>
      <c r="L40" s="57" t="str">
        <f>IF(Associates_Call_List_PQ!L40="","",Associates_Call_List_PQ!L40)</f>
        <v>Yes</v>
      </c>
      <c r="M40" s="57" t="str">
        <f>IF(Associates_Call_List_PQ!M40="","",Associates_Call_List_PQ!M40)</f>
        <v>No</v>
      </c>
      <c r="N40" s="57" t="str">
        <f>IF(Associates_Call_List_PQ!N40="","",Associates_Call_List_PQ!N40)</f>
        <v>No</v>
      </c>
      <c r="O40" s="57" t="str">
        <f>IF(Associates_Call_List_PQ!O40="","",Associates_Call_List_PQ!O40)</f>
        <v>Yes</v>
      </c>
      <c r="P40" s="57" t="str">
        <f>IF(Associates_Call_List_PQ!P40="","",Associates_Call_List_PQ!P40)</f>
        <v>N</v>
      </c>
      <c r="Q40" s="57">
        <f>IF(Associates_Call_List_PQ!Q40="","",Associates_Call_List_PQ!Q40)</f>
        <v>45958</v>
      </c>
      <c r="R40" s="57" t="str">
        <f>IF(Associates_Call_List_PQ!R40="","",Associates_Call_List_PQ!R40)</f>
        <v/>
      </c>
      <c r="S40" s="57" t="str">
        <f>IF(Associates_Call_List_PQ!S40="","",Associates_Call_List_PQ!S40)</f>
        <v/>
      </c>
      <c r="T40" s="57" t="str">
        <f>IF(Associates_Call_List_PQ!T40="","",Associates_Call_List_PQ!T40)</f>
        <v/>
      </c>
      <c r="U40" s="57" t="s">
        <v>5502</v>
      </c>
      <c r="V40" s="68" t="s">
        <v>117</v>
      </c>
      <c r="W40" s="68">
        <v>46067</v>
      </c>
      <c r="X40" s="68" t="s">
        <v>5405</v>
      </c>
      <c r="Y40" s="68"/>
      <c r="Z40" s="72" t="s">
        <v>5503</v>
      </c>
    </row>
    <row r="41" spans="1:26">
      <c r="A41" s="71">
        <f>IFERROR(Associates_Call_List_PQ!A41,"")</f>
        <v>45902</v>
      </c>
      <c r="B41" s="57" t="str">
        <f>IF(Associates_Call_List_PQ!B41="","",Associates_Call_List_PQ!B41)</f>
        <v>Huynh</v>
      </c>
      <c r="C41" s="57" t="str">
        <f>IF(Associates_Call_List_PQ!C41="","",Associates_Call_List_PQ!C41)</f>
        <v>Nam</v>
      </c>
      <c r="D41" s="57" t="str">
        <f>IF(Associates_Call_List_PQ!D41="","",Associates_Call_List_PQ!D41)</f>
        <v>Buckeye</v>
      </c>
      <c r="E41" s="58">
        <f>IF(Associates_Call_List_PQ!E41="","",Associates_Call_List_PQ!E41)</f>
        <v>85326</v>
      </c>
      <c r="F41" s="57" t="str">
        <f>IF(Associates_Call_List_PQ!F41="","",Associates_Call_List_PQ!F41)</f>
        <v>Opposed</v>
      </c>
      <c r="G41" s="57" t="str">
        <f>IF(Associates_Call_List_PQ!G41="","",Associates_Call_List_PQ!G41)</f>
        <v>https://images.edocket.azcc.gov/docketpdf/E000046155.pdf</v>
      </c>
      <c r="H41" s="59">
        <f>IF(Associates_Call_List_PQ!H41="","",Associates_Call_List_PQ!H41)</f>
        <v>6062541000</v>
      </c>
      <c r="I41" s="57" t="str">
        <f>IF(Associates_Call_List_PQ!I41="","",Associates_Call_List_PQ!I41)</f>
        <v>R3-47</v>
      </c>
      <c r="J41" s="57" t="str">
        <f>IF(Associates_Call_List_PQ!J41="","",Associates_Call_List_PQ!J41)</f>
        <v>No</v>
      </c>
      <c r="K41" s="57" t="str">
        <f>IF(Associates_Call_List_PQ!K41="","",Associates_Call_List_PQ!K41)</f>
        <v>No</v>
      </c>
      <c r="L41" s="57" t="str">
        <f>IF(Associates_Call_List_PQ!L41="","",Associates_Call_List_PQ!L41)</f>
        <v>Yes</v>
      </c>
      <c r="M41" s="57" t="str">
        <f>IF(Associates_Call_List_PQ!M41="","",Associates_Call_List_PQ!M41)</f>
        <v>No</v>
      </c>
      <c r="N41" s="57" t="str">
        <f>IF(Associates_Call_List_PQ!N41="","",Associates_Call_List_PQ!N41)</f>
        <v>No</v>
      </c>
      <c r="O41" s="57" t="str">
        <f>IF(Associates_Call_List_PQ!O41="","",Associates_Call_List_PQ!O41)</f>
        <v>Yes</v>
      </c>
      <c r="P41" s="57" t="str">
        <f>IF(Associates_Call_List_PQ!P41="","",Associates_Call_List_PQ!P41)</f>
        <v>N</v>
      </c>
      <c r="Q41" s="57">
        <f>IF(Associates_Call_List_PQ!Q41="","",Associates_Call_List_PQ!Q41)</f>
        <v>45958</v>
      </c>
      <c r="R41" s="57" t="str">
        <f>IF(Associates_Call_List_PQ!R41="","",Associates_Call_List_PQ!R41)</f>
        <v/>
      </c>
      <c r="S41" s="57" t="str">
        <f>IF(Associates_Call_List_PQ!S41="","",Associates_Call_List_PQ!S41)</f>
        <v/>
      </c>
      <c r="T41" s="57" t="str">
        <f>IF(Associates_Call_List_PQ!T41="","",Associates_Call_List_PQ!T41)</f>
        <v/>
      </c>
      <c r="U41" s="57" t="str">
        <f>IF(Associates_Call_List_PQ!U41="","",Associates_Call_List_PQ!U41)</f>
        <v/>
      </c>
      <c r="V41" s="68"/>
      <c r="W41" s="68" t="s">
        <v>5432</v>
      </c>
      <c r="X41" s="68"/>
      <c r="Y41" s="68"/>
      <c r="Z41" s="72"/>
    </row>
    <row r="42" spans="1:26">
      <c r="A42" s="71">
        <f>IFERROR(Associates_Call_List_PQ!A42,"")</f>
        <v>45902</v>
      </c>
      <c r="B42" s="57" t="str">
        <f>IF(Associates_Call_List_PQ!B42="","",Associates_Call_List_PQ!B42)</f>
        <v>Simmons</v>
      </c>
      <c r="C42" s="57" t="str">
        <f>IF(Associates_Call_List_PQ!C42="","",Associates_Call_List_PQ!C42)</f>
        <v>Jennifer</v>
      </c>
      <c r="D42" s="57" t="str">
        <f>IF(Associates_Call_List_PQ!D42="","",Associates_Call_List_PQ!D42)</f>
        <v>Scottsdale</v>
      </c>
      <c r="E42" s="58">
        <f>IF(Associates_Call_List_PQ!E42="","",Associates_Call_List_PQ!E42)</f>
        <v>85260</v>
      </c>
      <c r="F42" s="57" t="str">
        <f>IF(Associates_Call_List_PQ!F42="","",Associates_Call_List_PQ!F42)</f>
        <v>Opposed</v>
      </c>
      <c r="G42" s="57" t="str">
        <f>IF(Associates_Call_List_PQ!G42="","",Associates_Call_List_PQ!G42)</f>
        <v>https://images.edocket.azcc.gov/docketpdf/E000046155.pdf</v>
      </c>
      <c r="H42" s="59" t="str">
        <f>IF(Associates_Call_List_PQ!H42="","",Associates_Call_List_PQ!H42)</f>
        <v>2882986476</v>
      </c>
      <c r="I42" s="57" t="str">
        <f>IF(Associates_Call_List_PQ!I42="","",Associates_Call_List_PQ!I42)</f>
        <v>RTOUE47</v>
      </c>
      <c r="J42" s="57" t="str">
        <f>IF(Associates_Call_List_PQ!J42="","",Associates_Call_List_PQ!J42)</f>
        <v>No</v>
      </c>
      <c r="K42" s="57" t="str">
        <f>IF(Associates_Call_List_PQ!K42="","",Associates_Call_List_PQ!K42)</f>
        <v>No</v>
      </c>
      <c r="L42" s="57" t="str">
        <f>IF(Associates_Call_List_PQ!L42="","",Associates_Call_List_PQ!L42)</f>
        <v>No MEP R3-47 ($61.45)</v>
      </c>
      <c r="M42" s="57" t="str">
        <f>IF(Associates_Call_List_PQ!M42="","",Associates_Call_List_PQ!M42)</f>
        <v>No</v>
      </c>
      <c r="N42" s="57" t="str">
        <f>IF(Associates_Call_List_PQ!N42="","",Associates_Call_List_PQ!N42)</f>
        <v>No</v>
      </c>
      <c r="O42" s="57" t="str">
        <f>IF(Associates_Call_List_PQ!O42="","",Associates_Call_List_PQ!O42)</f>
        <v>Yes</v>
      </c>
      <c r="P42" s="57" t="str">
        <f>IF(Associates_Call_List_PQ!P42="","",Associates_Call_List_PQ!P42)</f>
        <v>N</v>
      </c>
      <c r="Q42" s="57">
        <f>IF(Associates_Call_List_PQ!Q42="","",Associates_Call_List_PQ!Q42)</f>
        <v>45957</v>
      </c>
      <c r="R42" s="57" t="str">
        <f>IF(Associates_Call_List_PQ!R42="","",Associates_Call_List_PQ!R42)</f>
        <v/>
      </c>
      <c r="S42" s="57" t="str">
        <f>IF(Associates_Call_List_PQ!S42="","",Associates_Call_List_PQ!S42)</f>
        <v/>
      </c>
      <c r="T42" s="57" t="str">
        <f>IF(Associates_Call_List_PQ!T42="","",Associates_Call_List_PQ!T42)</f>
        <v/>
      </c>
      <c r="U42" s="57" t="str">
        <f>IF(Associates_Call_List_PQ!U42="","",Associates_Call_List_PQ!U42)</f>
        <v/>
      </c>
      <c r="V42" s="68" t="s">
        <v>5433</v>
      </c>
      <c r="W42" s="68">
        <v>46011</v>
      </c>
      <c r="X42" s="68" t="s">
        <v>5434</v>
      </c>
      <c r="Y42" s="68"/>
      <c r="Z42" s="72" t="s">
        <v>5449</v>
      </c>
    </row>
    <row r="43" spans="1:26">
      <c r="A43" s="71">
        <f>IFERROR(Associates_Call_List_PQ!A43,"")</f>
        <v>45902</v>
      </c>
      <c r="B43" s="57" t="str">
        <f>IF(Associates_Call_List_PQ!B43="","",Associates_Call_List_PQ!B43)</f>
        <v>Wood</v>
      </c>
      <c r="C43" s="57" t="str">
        <f>IF(Associates_Call_List_PQ!C43="","",Associates_Call_List_PQ!C43)</f>
        <v>Ethan</v>
      </c>
      <c r="D43" s="57" t="str">
        <f>IF(Associates_Call_List_PQ!D43="","",Associates_Call_List_PQ!D43)</f>
        <v>Phoenix</v>
      </c>
      <c r="E43" s="58">
        <f>IF(Associates_Call_List_PQ!E43="","",Associates_Call_List_PQ!E43)</f>
        <v>85085</v>
      </c>
      <c r="F43" s="57" t="str">
        <f>IF(Associates_Call_List_PQ!F43="","",Associates_Call_List_PQ!F43)</f>
        <v>Form letter</v>
      </c>
      <c r="G43" s="57" t="str">
        <f>IF(Associates_Call_List_PQ!G43="","",Associates_Call_List_PQ!G43)</f>
        <v>https://images.edocket.azcc.gov/docketpdf/E000046155.pdf</v>
      </c>
      <c r="H43" s="59">
        <f>IF(Associates_Call_List_PQ!H43="","",Associates_Call_List_PQ!H43)</f>
        <v>7846277073</v>
      </c>
      <c r="I43" s="57" t="str">
        <f>IF(Associates_Call_List_PQ!I43="","",Associates_Call_List_PQ!I43)</f>
        <v>R3-47</v>
      </c>
      <c r="J43" s="57" t="str">
        <f>IF(Associates_Call_List_PQ!J43="","",Associates_Call_List_PQ!J43)</f>
        <v>No</v>
      </c>
      <c r="K43" s="57" t="str">
        <f>IF(Associates_Call_List_PQ!K43="","",Associates_Call_List_PQ!K43)</f>
        <v>No</v>
      </c>
      <c r="L43" s="57" t="str">
        <f>IF(Associates_Call_List_PQ!L43="","",Associates_Call_List_PQ!L43)</f>
        <v>Yes</v>
      </c>
      <c r="M43" s="57" t="str">
        <f>IF(Associates_Call_List_PQ!M43="","",Associates_Call_List_PQ!M43)</f>
        <v>No</v>
      </c>
      <c r="N43" s="57" t="str">
        <f>IF(Associates_Call_List_PQ!N43="","",Associates_Call_List_PQ!N43)</f>
        <v>No</v>
      </c>
      <c r="O43" s="57" t="str">
        <f>IF(Associates_Call_List_PQ!O43="","",Associates_Call_List_PQ!O43)</f>
        <v>Yes</v>
      </c>
      <c r="P43" s="57" t="str">
        <f>IF(Associates_Call_List_PQ!P43="","",Associates_Call_List_PQ!P43)</f>
        <v>N</v>
      </c>
      <c r="Q43" s="57">
        <f>IF(Associates_Call_List_PQ!Q43="","",Associates_Call_List_PQ!Q43)</f>
        <v>45958</v>
      </c>
      <c r="R43" s="57" t="str">
        <f>IF(Associates_Call_List_PQ!R43="","",Associates_Call_List_PQ!R43)</f>
        <v/>
      </c>
      <c r="S43" s="57" t="str">
        <f>IF(Associates_Call_List_PQ!S43="","",Associates_Call_List_PQ!S43)</f>
        <v/>
      </c>
      <c r="T43" s="57" t="str">
        <f>IF(Associates_Call_List_PQ!T43="","",Associates_Call_List_PQ!T43)</f>
        <v/>
      </c>
      <c r="U43" s="57" t="str">
        <f>IF(Associates_Call_List_PQ!U43="","",Associates_Call_List_PQ!U43)</f>
        <v/>
      </c>
      <c r="V43" s="68"/>
      <c r="W43" s="68" t="s">
        <v>5432</v>
      </c>
      <c r="X43" s="68"/>
      <c r="Y43" s="68"/>
      <c r="Z43" s="72"/>
    </row>
    <row r="44" spans="1:26">
      <c r="A44" s="71">
        <f>IFERROR(Associates_Call_List_PQ!A44,"")</f>
        <v>45902</v>
      </c>
      <c r="B44" s="57" t="str">
        <f>IF(Associates_Call_List_PQ!B44="","",Associates_Call_List_PQ!B44)</f>
        <v>Keller</v>
      </c>
      <c r="C44" s="57" t="str">
        <f>IF(Associates_Call_List_PQ!C44="","",Associates_Call_List_PQ!C44)</f>
        <v>John</v>
      </c>
      <c r="D44" s="57" t="str">
        <f>IF(Associates_Call_List_PQ!D44="","",Associates_Call_List_PQ!D44)</f>
        <v>Phoenix</v>
      </c>
      <c r="E44" s="58">
        <f>IF(Associates_Call_List_PQ!E44="","",Associates_Call_List_PQ!E44)</f>
        <v>85027</v>
      </c>
      <c r="F44" s="57" t="str">
        <f>IF(Associates_Call_List_PQ!F44="","",Associates_Call_List_PQ!F44)</f>
        <v>Opposed</v>
      </c>
      <c r="G44" s="57" t="str">
        <f>IF(Associates_Call_List_PQ!G44="","",Associates_Call_List_PQ!G44)</f>
        <v>https://images.edocket.azcc.gov/docketpdf/E000046155.pdf</v>
      </c>
      <c r="H44" s="59" t="str">
        <f>IF(Associates_Call_List_PQ!H44="","",Associates_Call_List_PQ!H44)</f>
        <v>7692260000</v>
      </c>
      <c r="I44" s="57" t="str">
        <f>IF(Associates_Call_List_PQ!I44="","",Associates_Call_List_PQ!I44)</f>
        <v>R3-47</v>
      </c>
      <c r="J44" s="57" t="str">
        <f>IF(Associates_Call_List_PQ!J44="","",Associates_Call_List_PQ!J44)</f>
        <v>No</v>
      </c>
      <c r="K44" s="57" t="str">
        <f>IF(Associates_Call_List_PQ!K44="","",Associates_Call_List_PQ!K44)</f>
        <v>No</v>
      </c>
      <c r="L44" s="57" t="str">
        <f>IF(Associates_Call_List_PQ!L44="","",Associates_Call_List_PQ!L44)</f>
        <v>Yes</v>
      </c>
      <c r="M44" s="57" t="str">
        <f>IF(Associates_Call_List_PQ!M44="","",Associates_Call_List_PQ!M44)</f>
        <v>No</v>
      </c>
      <c r="N44" s="57" t="str">
        <f>IF(Associates_Call_List_PQ!N44="","",Associates_Call_List_PQ!N44)</f>
        <v>No</v>
      </c>
      <c r="O44" s="57" t="str">
        <f>IF(Associates_Call_List_PQ!O44="","",Associates_Call_List_PQ!O44)</f>
        <v>Yes</v>
      </c>
      <c r="P44" s="57" t="str">
        <f>IF(Associates_Call_List_PQ!P44="","",Associates_Call_List_PQ!P44)</f>
        <v>N</v>
      </c>
      <c r="Q44" s="57">
        <f>IF(Associates_Call_List_PQ!Q44="","",Associates_Call_List_PQ!Q44)</f>
        <v>45958</v>
      </c>
      <c r="R44" s="57" t="str">
        <f>IF(Associates_Call_List_PQ!R44="","",Associates_Call_List_PQ!R44)</f>
        <v/>
      </c>
      <c r="S44" s="57" t="str">
        <f>IF(Associates_Call_List_PQ!S44="","",Associates_Call_List_PQ!S44)</f>
        <v/>
      </c>
      <c r="T44" s="57" t="str">
        <f>IF(Associates_Call_List_PQ!T44="","",Associates_Call_List_PQ!T44)</f>
        <v/>
      </c>
      <c r="U44" s="57" t="s">
        <v>5494</v>
      </c>
      <c r="V44" s="68" t="s">
        <v>117</v>
      </c>
      <c r="W44" s="68">
        <v>46067</v>
      </c>
      <c r="X44" s="68" t="s">
        <v>5434</v>
      </c>
      <c r="Y44" s="68"/>
      <c r="Z44" s="72"/>
    </row>
    <row r="45" spans="1:26">
      <c r="A45" s="71">
        <f>IFERROR(Associates_Call_List_PQ!A45,"")</f>
        <v>45902</v>
      </c>
      <c r="B45" s="57" t="str">
        <f>IF(Associates_Call_List_PQ!B45="","",Associates_Call_List_PQ!B45)</f>
        <v>Vint</v>
      </c>
      <c r="C45" s="57" t="str">
        <f>IF(Associates_Call_List_PQ!C45="","",Associates_Call_List_PQ!C45)</f>
        <v>Shannon</v>
      </c>
      <c r="D45" s="57" t="str">
        <f>IF(Associates_Call_List_PQ!D45="","",Associates_Call_List_PQ!D45)</f>
        <v>Phoenix</v>
      </c>
      <c r="E45" s="58">
        <f>IF(Associates_Call_List_PQ!E45="","",Associates_Call_List_PQ!E45)</f>
        <v>85027</v>
      </c>
      <c r="F45" s="57" t="str">
        <f>IF(Associates_Call_List_PQ!F45="","",Associates_Call_List_PQ!F45)</f>
        <v>Form letter</v>
      </c>
      <c r="G45" s="57" t="str">
        <f>IF(Associates_Call_List_PQ!G45="","",Associates_Call_List_PQ!G45)</f>
        <v>https://images.edocket.azcc.gov/docketpdf/E000046155.pdf</v>
      </c>
      <c r="H45" s="59">
        <f>IF(Associates_Call_List_PQ!H45="","",Associates_Call_List_PQ!H45)</f>
        <v>1113187095</v>
      </c>
      <c r="I45" s="57" t="str">
        <f>IF(Associates_Call_List_PQ!I45="","",Associates_Call_List_PQ!I45)</f>
        <v>R-BASIC</v>
      </c>
      <c r="J45" s="57" t="str">
        <f>IF(Associates_Call_List_PQ!J45="","",Associates_Call_List_PQ!J45)</f>
        <v>No</v>
      </c>
      <c r="K45" s="57" t="str">
        <f>IF(Associates_Call_List_PQ!K45="","",Associates_Call_List_PQ!K45)</f>
        <v>No</v>
      </c>
      <c r="L45" s="57" t="str">
        <f>IF(Associates_Call_List_PQ!L45="","",Associates_Call_List_PQ!L45)</f>
        <v>Yes</v>
      </c>
      <c r="M45" s="57" t="str">
        <f>IF(Associates_Call_List_PQ!M45="","",Associates_Call_List_PQ!M45)</f>
        <v>No</v>
      </c>
      <c r="N45" s="57" t="str">
        <f>IF(Associates_Call_List_PQ!N45="","",Associates_Call_List_PQ!N45)</f>
        <v>No</v>
      </c>
      <c r="O45" s="57" t="str">
        <f>IF(Associates_Call_List_PQ!O45="","",Associates_Call_List_PQ!O45)</f>
        <v>Yes</v>
      </c>
      <c r="P45" s="57" t="str">
        <f>IF(Associates_Call_List_PQ!P45="","",Associates_Call_List_PQ!P45)</f>
        <v>N</v>
      </c>
      <c r="Q45" s="57">
        <f>IF(Associates_Call_List_PQ!Q45="","",Associates_Call_List_PQ!Q45)</f>
        <v>45958</v>
      </c>
      <c r="R45" s="57" t="str">
        <f>IF(Associates_Call_List_PQ!R45="","",Associates_Call_List_PQ!R45)</f>
        <v/>
      </c>
      <c r="S45" s="57" t="str">
        <f>IF(Associates_Call_List_PQ!S45="","",Associates_Call_List_PQ!S45)</f>
        <v/>
      </c>
      <c r="T45" s="57" t="str">
        <f>IF(Associates_Call_List_PQ!T45="","",Associates_Call_List_PQ!T45)</f>
        <v/>
      </c>
      <c r="U45" s="57" t="str">
        <f>IF(Associates_Call_List_PQ!U45="","",Associates_Call_List_PQ!U45)</f>
        <v/>
      </c>
      <c r="V45" s="68"/>
      <c r="W45" s="68" t="s">
        <v>5432</v>
      </c>
      <c r="X45" s="68"/>
      <c r="Y45" s="68"/>
      <c r="Z45" s="72"/>
    </row>
    <row r="46" spans="1:26">
      <c r="A46" s="71">
        <f>IFERROR(Associates_Call_List_PQ!A46,"")</f>
        <v>45902</v>
      </c>
      <c r="B46" s="57" t="str">
        <f>IF(Associates_Call_List_PQ!B46="","",Associates_Call_List_PQ!B46)</f>
        <v>Snyder</v>
      </c>
      <c r="C46" s="57" t="str">
        <f>IF(Associates_Call_List_PQ!C46="","",Associates_Call_List_PQ!C46)</f>
        <v>Corey</v>
      </c>
      <c r="D46" s="57" t="str">
        <f>IF(Associates_Call_List_PQ!D46="","",Associates_Call_List_PQ!D46)</f>
        <v>Phoenix</v>
      </c>
      <c r="E46" s="58">
        <f>IF(Associates_Call_List_PQ!E46="","",Associates_Call_List_PQ!E46)</f>
        <v>85008</v>
      </c>
      <c r="F46" s="57" t="str">
        <f>IF(Associates_Call_List_PQ!F46="","",Associates_Call_List_PQ!F46)</f>
        <v>Form letter</v>
      </c>
      <c r="G46" s="57" t="str">
        <f>IF(Associates_Call_List_PQ!G46="","",Associates_Call_List_PQ!G46)</f>
        <v>https://images.edocket.azcc.gov/docketpdf/E000046155.pdf</v>
      </c>
      <c r="H46" s="59" t="str">
        <f>IF(Associates_Call_List_PQ!H46="","",Associates_Call_List_PQ!H46)</f>
        <v>6584830202</v>
      </c>
      <c r="I46" s="57" t="str">
        <f>IF(Associates_Call_List_PQ!I46="","",Associates_Call_List_PQ!I46)</f>
        <v>R-BASICL</v>
      </c>
      <c r="J46" s="57" t="str">
        <f>IF(Associates_Call_List_PQ!J46="","",Associates_Call_List_PQ!J46)</f>
        <v>No</v>
      </c>
      <c r="K46" s="57" t="str">
        <f>IF(Associates_Call_List_PQ!K46="","",Associates_Call_List_PQ!K46)</f>
        <v>No</v>
      </c>
      <c r="L46" s="57" t="str">
        <f>IF(Associates_Call_List_PQ!L46="","",Associates_Call_List_PQ!L46)</f>
        <v>No MEP R3-47 ($1,048.14)</v>
      </c>
      <c r="M46" s="57" t="str">
        <f>IF(Associates_Call_List_PQ!M46="","",Associates_Call_List_PQ!M46)</f>
        <v>No</v>
      </c>
      <c r="N46" s="57" t="str">
        <f>IF(Associates_Call_List_PQ!N46="","",Associates_Call_List_PQ!N46)</f>
        <v>No</v>
      </c>
      <c r="O46" s="57" t="str">
        <f>IF(Associates_Call_List_PQ!O46="","",Associates_Call_List_PQ!O46)</f>
        <v>Yes</v>
      </c>
      <c r="P46" s="57">
        <f>IF(Associates_Call_List_PQ!P46="","",Associates_Call_List_PQ!P46)</f>
        <v>45932</v>
      </c>
      <c r="Q46" s="57">
        <f>IF(Associates_Call_List_PQ!Q46="","",Associates_Call_List_PQ!Q46)</f>
        <v>45685</v>
      </c>
      <c r="R46" s="57" t="str">
        <f>IF(Associates_Call_List_PQ!R46="","",Associates_Call_List_PQ!R46)</f>
        <v xml:space="preserve">10/02 - LM </v>
      </c>
      <c r="S46" s="57" t="str">
        <f>IF(Associates_Call_List_PQ!S46="","",Associates_Call_List_PQ!S46)</f>
        <v/>
      </c>
      <c r="T46" s="57" t="str">
        <f>IF(Associates_Call_List_PQ!T46="","",Associates_Call_List_PQ!T46)</f>
        <v/>
      </c>
      <c r="U46" s="57" t="str">
        <f>IF(Associates_Call_List_PQ!U46="","",Associates_Call_List_PQ!U46)</f>
        <v/>
      </c>
      <c r="V46" s="68" t="s">
        <v>5433</v>
      </c>
      <c r="W46" s="68">
        <v>46011</v>
      </c>
      <c r="X46" s="68" t="s">
        <v>5434</v>
      </c>
      <c r="Y46" s="68"/>
      <c r="Z46" s="72" t="s">
        <v>5453</v>
      </c>
    </row>
    <row r="47" spans="1:26">
      <c r="A47" s="71">
        <f>IFERROR(Associates_Call_List_PQ!A47,"")</f>
        <v>45902</v>
      </c>
      <c r="B47" s="57" t="str">
        <f>IF(Associates_Call_List_PQ!B47="","",Associates_Call_List_PQ!B47)</f>
        <v>Alexander</v>
      </c>
      <c r="C47" s="57" t="str">
        <f>IF(Associates_Call_List_PQ!C47="","",Associates_Call_List_PQ!C47)</f>
        <v>Jacob</v>
      </c>
      <c r="D47" s="57" t="str">
        <f>IF(Associates_Call_List_PQ!D47="","",Associates_Call_List_PQ!D47)</f>
        <v>Peoria</v>
      </c>
      <c r="E47" s="58">
        <f>IF(Associates_Call_List_PQ!E47="","",Associates_Call_List_PQ!E47)</f>
        <v>85345</v>
      </c>
      <c r="F47" s="57" t="str">
        <f>IF(Associates_Call_List_PQ!F47="","",Associates_Call_List_PQ!F47)</f>
        <v>Form letter</v>
      </c>
      <c r="G47" s="57" t="str">
        <f>IF(Associates_Call_List_PQ!G47="","",Associates_Call_List_PQ!G47)</f>
        <v>https://images.edocket.azcc.gov/docketpdf/E000046155.pdf</v>
      </c>
      <c r="H47" s="59">
        <f>IF(Associates_Call_List_PQ!H47="","",Associates_Call_List_PQ!H47)</f>
        <v>6178141000</v>
      </c>
      <c r="I47" s="57" t="str">
        <f>IF(Associates_Call_List_PQ!I47="","",Associates_Call_List_PQ!I47)</f>
        <v>R3-47</v>
      </c>
      <c r="J47" s="57" t="str">
        <f>IF(Associates_Call_List_PQ!J47="","",Associates_Call_List_PQ!J47)</f>
        <v>No</v>
      </c>
      <c r="K47" s="57" t="str">
        <f>IF(Associates_Call_List_PQ!K47="","",Associates_Call_List_PQ!K47)</f>
        <v>No</v>
      </c>
      <c r="L47" s="57" t="str">
        <f>IF(Associates_Call_List_PQ!L47="","",Associates_Call_List_PQ!L47)</f>
        <v>Yes</v>
      </c>
      <c r="M47" s="57" t="str">
        <f>IF(Associates_Call_List_PQ!M47="","",Associates_Call_List_PQ!M47)</f>
        <v>Yes</v>
      </c>
      <c r="N47" s="57">
        <f>IF(Associates_Call_List_PQ!N47="","",Associates_Call_List_PQ!N47)</f>
        <v>175.19</v>
      </c>
      <c r="O47" s="57" t="str">
        <f>IF(Associates_Call_List_PQ!O47="","",Associates_Call_List_PQ!O47)</f>
        <v>Yes</v>
      </c>
      <c r="P47" s="57" t="str">
        <f>IF(Associates_Call_List_PQ!P47="","",Associates_Call_List_PQ!P47)</f>
        <v>N</v>
      </c>
      <c r="Q47" s="57">
        <f>IF(Associates_Call_List_PQ!Q47="","",Associates_Call_List_PQ!Q47)</f>
        <v>45958</v>
      </c>
      <c r="R47" s="57" t="str">
        <f>IF(Associates_Call_List_PQ!R47="","",Associates_Call_List_PQ!R47)</f>
        <v/>
      </c>
      <c r="S47" s="57" t="str">
        <f>IF(Associates_Call_List_PQ!S47="","",Associates_Call_List_PQ!S47)</f>
        <v/>
      </c>
      <c r="T47" s="57" t="str">
        <f>IF(Associates_Call_List_PQ!T47="","",Associates_Call_List_PQ!T47)</f>
        <v/>
      </c>
      <c r="U47" s="57" t="str">
        <f>IF(Associates_Call_List_PQ!U47="","",Associates_Call_List_PQ!U47)</f>
        <v/>
      </c>
      <c r="V47" s="68" t="s">
        <v>5433</v>
      </c>
      <c r="W47" s="68">
        <v>46011</v>
      </c>
      <c r="X47" s="68" t="s">
        <v>5434</v>
      </c>
      <c r="Y47" s="68"/>
      <c r="Z47" s="72"/>
    </row>
    <row r="48" spans="1:26">
      <c r="A48" s="71">
        <f>IFERROR(Associates_Call_List_PQ!A48,"")</f>
        <v>45902</v>
      </c>
      <c r="B48" s="57" t="str">
        <f>IF(Associates_Call_List_PQ!B48="","",Associates_Call_List_PQ!B48)</f>
        <v>Poe</v>
      </c>
      <c r="C48" s="57" t="str">
        <f>IF(Associates_Call_List_PQ!C48="","",Associates_Call_List_PQ!C48)</f>
        <v>Leighton</v>
      </c>
      <c r="D48" s="57" t="str">
        <f>IF(Associates_Call_List_PQ!D48="","",Associates_Call_List_PQ!D48)</f>
        <v>Phoenix</v>
      </c>
      <c r="E48" s="58">
        <f>IF(Associates_Call_List_PQ!E48="","",Associates_Call_List_PQ!E48)</f>
        <v>85004</v>
      </c>
      <c r="F48" s="57" t="str">
        <f>IF(Associates_Call_List_PQ!F48="","",Associates_Call_List_PQ!F48)</f>
        <v>Form letter</v>
      </c>
      <c r="G48" s="57" t="str">
        <f>IF(Associates_Call_List_PQ!G48="","",Associates_Call_List_PQ!G48)</f>
        <v>https://images.edocket.azcc.gov/docketpdf/E000046155.pdf</v>
      </c>
      <c r="H48" s="59" t="str">
        <f>IF(Associates_Call_List_PQ!H48="","",Associates_Call_List_PQ!H48)</f>
        <v>5855923100</v>
      </c>
      <c r="I48" s="57" t="str">
        <f>IF(Associates_Call_List_PQ!I48="","",Associates_Call_List_PQ!I48)</f>
        <v>R-BASIC</v>
      </c>
      <c r="J48" s="57" t="str">
        <f>IF(Associates_Call_List_PQ!J48="","",Associates_Call_List_PQ!J48)</f>
        <v>No</v>
      </c>
      <c r="K48" s="57" t="str">
        <f>IF(Associates_Call_List_PQ!K48="","",Associates_Call_List_PQ!K48)</f>
        <v>No</v>
      </c>
      <c r="L48" s="57" t="str">
        <f>IF(Associates_Call_List_PQ!L48="","",Associates_Call_List_PQ!L48)</f>
        <v>No MEP RTOUE47($74.06)</v>
      </c>
      <c r="M48" s="57" t="str">
        <f>IF(Associates_Call_List_PQ!M48="","",Associates_Call_List_PQ!M48)</f>
        <v>No</v>
      </c>
      <c r="N48" s="57" t="str">
        <f>IF(Associates_Call_List_PQ!N48="","",Associates_Call_List_PQ!N48)</f>
        <v>No</v>
      </c>
      <c r="O48" s="57" t="str">
        <f>IF(Associates_Call_List_PQ!O48="","",Associates_Call_List_PQ!O48)</f>
        <v>Yes</v>
      </c>
      <c r="P48" s="57" t="str">
        <f>IF(Associates_Call_List_PQ!P48="","",Associates_Call_List_PQ!P48)</f>
        <v>N</v>
      </c>
      <c r="Q48" s="57">
        <f>IF(Associates_Call_List_PQ!Q48="","",Associates_Call_List_PQ!Q48)</f>
        <v>45958</v>
      </c>
      <c r="R48" s="57" t="str">
        <f>IF(Associates_Call_List_PQ!R48="","",Associates_Call_List_PQ!R48)</f>
        <v/>
      </c>
      <c r="S48" s="57" t="str">
        <f>IF(Associates_Call_List_PQ!S48="","",Associates_Call_List_PQ!S48)</f>
        <v/>
      </c>
      <c r="T48" s="57" t="str">
        <f>IF(Associates_Call_List_PQ!T48="","",Associates_Call_List_PQ!T48)</f>
        <v/>
      </c>
      <c r="U48" s="57" t="str">
        <f>IF(Associates_Call_List_PQ!U48="","",Associates_Call_List_PQ!U48)</f>
        <v/>
      </c>
      <c r="V48" s="68" t="s">
        <v>5433</v>
      </c>
      <c r="W48" s="68">
        <v>46011</v>
      </c>
      <c r="X48" s="68" t="s">
        <v>5434</v>
      </c>
      <c r="Y48" s="68"/>
      <c r="Z48" s="72"/>
    </row>
    <row r="49" spans="1:26">
      <c r="A49" s="71">
        <f>IFERROR(Associates_Call_List_PQ!A49,"")</f>
        <v>45902</v>
      </c>
      <c r="B49" s="57" t="str">
        <f>IF(Associates_Call_List_PQ!B49="","",Associates_Call_List_PQ!B49)</f>
        <v>Charapata</v>
      </c>
      <c r="C49" s="57" t="str">
        <f>IF(Associates_Call_List_PQ!C49="","",Associates_Call_List_PQ!C49)</f>
        <v>Maxwell</v>
      </c>
      <c r="D49" s="57" t="str">
        <f>IF(Associates_Call_List_PQ!D49="","",Associates_Call_List_PQ!D49)</f>
        <v>Phoenix</v>
      </c>
      <c r="E49" s="58">
        <f>IF(Associates_Call_List_PQ!E49="","",Associates_Call_List_PQ!E49)</f>
        <v>85027</v>
      </c>
      <c r="F49" s="57" t="str">
        <f>IF(Associates_Call_List_PQ!F49="","",Associates_Call_List_PQ!F49)</f>
        <v>Opposed</v>
      </c>
      <c r="G49" s="57" t="str">
        <f>IF(Associates_Call_List_PQ!G49="","",Associates_Call_List_PQ!G49)</f>
        <v>https://images.edocket.azcc.gov/docketpdf/E000046155.pdf</v>
      </c>
      <c r="H49" s="59">
        <f>IF(Associates_Call_List_PQ!H49="","",Associates_Call_List_PQ!H49)</f>
        <v>2779220471</v>
      </c>
      <c r="I49" s="57" t="str">
        <f>IF(Associates_Call_List_PQ!I49="","",Associates_Call_List_PQ!I49)</f>
        <v>RTOUE47</v>
      </c>
      <c r="J49" s="57" t="str">
        <f>IF(Associates_Call_List_PQ!J49="","",Associates_Call_List_PQ!J49)</f>
        <v>No</v>
      </c>
      <c r="K49" s="57" t="str">
        <f>IF(Associates_Call_List_PQ!K49="","",Associates_Call_List_PQ!K49)</f>
        <v>No</v>
      </c>
      <c r="L49" s="57" t="str">
        <f>IF(Associates_Call_List_PQ!L49="","",Associates_Call_List_PQ!L49)</f>
        <v>No-MEP R3-47(23.66)</v>
      </c>
      <c r="M49" s="57" t="str">
        <f>IF(Associates_Call_List_PQ!M49="","",Associates_Call_List_PQ!M49)</f>
        <v>No</v>
      </c>
      <c r="N49" s="57" t="str">
        <f>IF(Associates_Call_List_PQ!N49="","",Associates_Call_List_PQ!N49)</f>
        <v>No</v>
      </c>
      <c r="O49" s="57" t="str">
        <f>IF(Associates_Call_List_PQ!O49="","",Associates_Call_List_PQ!O49)</f>
        <v>Yes</v>
      </c>
      <c r="P49" s="57" t="str">
        <f>IF(Associates_Call_List_PQ!P49="","",Associates_Call_List_PQ!P49)</f>
        <v>N</v>
      </c>
      <c r="Q49" s="57">
        <f>IF(Associates_Call_List_PQ!Q49="","",Associates_Call_List_PQ!Q49)</f>
        <v>45958</v>
      </c>
      <c r="R49" s="57" t="str">
        <f>IF(Associates_Call_List_PQ!R49="","",Associates_Call_List_PQ!R49)</f>
        <v/>
      </c>
      <c r="S49" s="57" t="str">
        <f>IF(Associates_Call_List_PQ!S49="","",Associates_Call_List_PQ!S49)</f>
        <v/>
      </c>
      <c r="T49" s="57" t="str">
        <f>IF(Associates_Call_List_PQ!T49="","",Associates_Call_List_PQ!T49)</f>
        <v/>
      </c>
      <c r="U49" s="57" t="s">
        <v>5494</v>
      </c>
      <c r="V49" s="68" t="s">
        <v>117</v>
      </c>
      <c r="W49" s="68">
        <v>46060</v>
      </c>
      <c r="X49" s="68" t="s">
        <v>5434</v>
      </c>
      <c r="Y49" s="68"/>
      <c r="Z49" s="72" t="s">
        <v>5503</v>
      </c>
    </row>
    <row r="50" spans="1:26">
      <c r="A50" s="71">
        <f>IFERROR(Associates_Call_List_PQ!A50,"")</f>
        <v>45902</v>
      </c>
      <c r="B50" s="57" t="str">
        <f>IF(Associates_Call_List_PQ!B50="","",Associates_Call_List_PQ!B50)</f>
        <v>Lafond</v>
      </c>
      <c r="C50" s="57" t="str">
        <f>IF(Associates_Call_List_PQ!C50="","",Associates_Call_List_PQ!C50)</f>
        <v>Ciara</v>
      </c>
      <c r="D50" s="57" t="str">
        <f>IF(Associates_Call_List_PQ!D50="","",Associates_Call_List_PQ!D50)</f>
        <v>Buckeye</v>
      </c>
      <c r="E50" s="58">
        <f>IF(Associates_Call_List_PQ!E50="","",Associates_Call_List_PQ!E50)</f>
        <v>85326</v>
      </c>
      <c r="F50" s="57" t="str">
        <f>IF(Associates_Call_List_PQ!F50="","",Associates_Call_List_PQ!F50)</f>
        <v>Opposed</v>
      </c>
      <c r="G50" s="57" t="str">
        <f>IF(Associates_Call_List_PQ!G50="","",Associates_Call_List_PQ!G50)</f>
        <v>https://images.edocket.azcc.gov/docketpdf/E000046155.pdf</v>
      </c>
      <c r="H50" s="59" t="str">
        <f>IF(Associates_Call_List_PQ!H50="","",Associates_Call_List_PQ!H50)</f>
        <v>7245245699</v>
      </c>
      <c r="I50" s="57" t="str">
        <f>IF(Associates_Call_List_PQ!I50="","",Associates_Call_List_PQ!I50)</f>
        <v>RTOUE47</v>
      </c>
      <c r="J50" s="57" t="str">
        <f>IF(Associates_Call_List_PQ!J50="","",Associates_Call_List_PQ!J50)</f>
        <v>No</v>
      </c>
      <c r="K50" s="57" t="str">
        <f>IF(Associates_Call_List_PQ!K50="","",Associates_Call_List_PQ!K50)</f>
        <v>No</v>
      </c>
      <c r="L50" s="57" t="str">
        <f>IF(Associates_Call_List_PQ!L50="","",Associates_Call_List_PQ!L50)</f>
        <v>Yes</v>
      </c>
      <c r="M50" s="57" t="str">
        <f>IF(Associates_Call_List_PQ!M50="","",Associates_Call_List_PQ!M50)</f>
        <v>No</v>
      </c>
      <c r="N50" s="57" t="str">
        <f>IF(Associates_Call_List_PQ!N50="","",Associates_Call_List_PQ!N50)</f>
        <v>No</v>
      </c>
      <c r="O50" s="57" t="str">
        <f>IF(Associates_Call_List_PQ!O50="","",Associates_Call_List_PQ!O50)</f>
        <v>Yes</v>
      </c>
      <c r="P50" s="57" t="str">
        <f>IF(Associates_Call_List_PQ!P50="","",Associates_Call_List_PQ!P50)</f>
        <v>N</v>
      </c>
      <c r="Q50" s="57">
        <f>IF(Associates_Call_List_PQ!Q50="","",Associates_Call_List_PQ!Q50)</f>
        <v>45958</v>
      </c>
      <c r="R50" s="57" t="str">
        <f>IF(Associates_Call_List_PQ!R50="","",Associates_Call_List_PQ!R50)</f>
        <v/>
      </c>
      <c r="S50" s="57" t="str">
        <f>IF(Associates_Call_List_PQ!S50="","",Associates_Call_List_PQ!S50)</f>
        <v/>
      </c>
      <c r="T50" s="57" t="str">
        <f>IF(Associates_Call_List_PQ!T50="","",Associates_Call_List_PQ!T50)</f>
        <v/>
      </c>
      <c r="U50" s="57" t="s">
        <v>5504</v>
      </c>
      <c r="V50" s="68" t="s">
        <v>117</v>
      </c>
      <c r="W50" s="68">
        <v>46067</v>
      </c>
      <c r="X50" s="68" t="s">
        <v>5405</v>
      </c>
      <c r="Y50" s="68"/>
      <c r="Z50" s="72" t="s">
        <v>5503</v>
      </c>
    </row>
    <row r="51" spans="1:26">
      <c r="A51" s="71">
        <f>IFERROR(Associates_Call_List_PQ!A51,"")</f>
        <v>45902</v>
      </c>
      <c r="B51" s="57" t="str">
        <f>IF(Associates_Call_List_PQ!B51="","",Associates_Call_List_PQ!B51)</f>
        <v>O'Gorman</v>
      </c>
      <c r="C51" s="57" t="str">
        <f>IF(Associates_Call_List_PQ!C51="","",Associates_Call_List_PQ!C51)</f>
        <v>Erin</v>
      </c>
      <c r="D51" s="57" t="str">
        <f>IF(Associates_Call_List_PQ!D51="","",Associates_Call_List_PQ!D51)</f>
        <v>Prescott Valley</v>
      </c>
      <c r="E51" s="58">
        <f>IF(Associates_Call_List_PQ!E51="","",Associates_Call_List_PQ!E51)</f>
        <v>86314</v>
      </c>
      <c r="F51" s="57" t="str">
        <f>IF(Associates_Call_List_PQ!F51="","",Associates_Call_List_PQ!F51)</f>
        <v>Opposed</v>
      </c>
      <c r="G51" s="57" t="str">
        <f>IF(Associates_Call_List_PQ!G51="","",Associates_Call_List_PQ!G51)</f>
        <v>https://images.edocket.azcc.gov/docketpdf/E000046155.pdf</v>
      </c>
      <c r="H51" s="59" t="str">
        <f>IF(Associates_Call_List_PQ!H51="","",Associates_Call_List_PQ!H51)</f>
        <v>644019886</v>
      </c>
      <c r="I51" s="57" t="str">
        <f>IF(Associates_Call_List_PQ!I51="","",Associates_Call_List_PQ!I51)</f>
        <v>R-BASIC</v>
      </c>
      <c r="J51" s="57" t="str">
        <f>IF(Associates_Call_List_PQ!J51="","",Associates_Call_List_PQ!J51)</f>
        <v>No</v>
      </c>
      <c r="K51" s="57" t="str">
        <f>IF(Associates_Call_List_PQ!K51="","",Associates_Call_List_PQ!K51)</f>
        <v>No</v>
      </c>
      <c r="L51" s="57" t="str">
        <f>IF(Associates_Call_List_PQ!L51="","",Associates_Call_List_PQ!L51)</f>
        <v>No-MEP R3-47($141.01)</v>
      </c>
      <c r="M51" s="57" t="str">
        <f>IF(Associates_Call_List_PQ!M51="","",Associates_Call_List_PQ!M51)</f>
        <v>Yes</v>
      </c>
      <c r="N51" s="57">
        <f>IF(Associates_Call_List_PQ!N51="","",Associates_Call_List_PQ!N51)</f>
        <v>605.92999999999995</v>
      </c>
      <c r="O51" s="57" t="str">
        <f>IF(Associates_Call_List_PQ!O51="","",Associates_Call_List_PQ!O51)</f>
        <v>Yes</v>
      </c>
      <c r="P51" s="57">
        <f>IF(Associates_Call_List_PQ!P51="","",Associates_Call_List_PQ!P51)</f>
        <v>45932</v>
      </c>
      <c r="Q51" s="57" t="str">
        <f>IF(Associates_Call_List_PQ!Q51="","",Associates_Call_List_PQ!Q51)</f>
        <v/>
      </c>
      <c r="R51" s="57" t="str">
        <f>IF(Associates_Call_List_PQ!R51="","",Associates_Call_List_PQ!R51)</f>
        <v xml:space="preserve">10/02 - LM </v>
      </c>
      <c r="S51" s="57" t="str">
        <f>IF(Associates_Call_List_PQ!S51="","",Associates_Call_List_PQ!S51)</f>
        <v/>
      </c>
      <c r="T51" s="57" t="str">
        <f>IF(Associates_Call_List_PQ!T51="","",Associates_Call_List_PQ!T51)</f>
        <v/>
      </c>
      <c r="U51" s="57" t="str">
        <f>IF(Associates_Call_List_PQ!U51="","",Associates_Call_List_PQ!U51)</f>
        <v/>
      </c>
      <c r="V51" s="68" t="s">
        <v>5433</v>
      </c>
      <c r="W51" s="68">
        <v>46011</v>
      </c>
      <c r="X51" s="68" t="s">
        <v>5434</v>
      </c>
      <c r="Y51" s="68"/>
      <c r="Z51" s="72" t="s">
        <v>5454</v>
      </c>
    </row>
    <row r="52" spans="1:26">
      <c r="A52" s="71">
        <f>IFERROR(Associates_Call_List_PQ!A52,"")</f>
        <v>45902</v>
      </c>
      <c r="B52" s="57" t="str">
        <f>IF(Associates_Call_List_PQ!B52="","",Associates_Call_List_PQ!B52)</f>
        <v>Lara</v>
      </c>
      <c r="C52" s="57" t="str">
        <f>IF(Associates_Call_List_PQ!C52="","",Associates_Call_List_PQ!C52)</f>
        <v>Gerardo</v>
      </c>
      <c r="D52" s="57" t="str">
        <f>IF(Associates_Call_List_PQ!D52="","",Associates_Call_List_PQ!D52)</f>
        <v>Glendale</v>
      </c>
      <c r="E52" s="58">
        <f>IF(Associates_Call_List_PQ!E52="","",Associates_Call_List_PQ!E52)</f>
        <v>85306</v>
      </c>
      <c r="F52" s="57" t="str">
        <f>IF(Associates_Call_List_PQ!F52="","",Associates_Call_List_PQ!F52)</f>
        <v>Form letter</v>
      </c>
      <c r="G52" s="57" t="str">
        <f>IF(Associates_Call_List_PQ!G52="","",Associates_Call_List_PQ!G52)</f>
        <v>https://images.edocket.azcc.gov/docketpdf/E000046155.pdf</v>
      </c>
      <c r="H52" s="59" t="str">
        <f>IF(Associates_Call_List_PQ!H52="","",Associates_Call_List_PQ!H52)</f>
        <v>6799425771</v>
      </c>
      <c r="I52" s="57" t="str">
        <f>IF(Associates_Call_List_PQ!I52="","",Associates_Call_List_PQ!I52)</f>
        <v>R-BASICL</v>
      </c>
      <c r="J52" s="57" t="str">
        <f>IF(Associates_Call_List_PQ!J52="","",Associates_Call_List_PQ!J52)</f>
        <v>No</v>
      </c>
      <c r="K52" s="57" t="str">
        <f>IF(Associates_Call_List_PQ!K52="","",Associates_Call_List_PQ!K52)</f>
        <v>No</v>
      </c>
      <c r="L52" s="57" t="str">
        <f>IF(Associates_Call_List_PQ!L52="","",Associates_Call_List_PQ!L52)</f>
        <v>No MEP R3-47(249.30)</v>
      </c>
      <c r="M52" s="57" t="str">
        <f>IF(Associates_Call_List_PQ!M52="","",Associates_Call_List_PQ!M52)</f>
        <v>Yes</v>
      </c>
      <c r="N52" s="57">
        <f>IF(Associates_Call_List_PQ!N52="","",Associates_Call_List_PQ!N52)</f>
        <v>591.48</v>
      </c>
      <c r="O52" s="57" t="str">
        <f>IF(Associates_Call_List_PQ!O52="","",Associates_Call_List_PQ!O52)</f>
        <v>Yes</v>
      </c>
      <c r="P52" s="57">
        <f>IF(Associates_Call_List_PQ!P52="","",Associates_Call_List_PQ!P52)</f>
        <v>45932</v>
      </c>
      <c r="Q52" s="57">
        <f>IF(Associates_Call_List_PQ!Q52="","",Associates_Call_List_PQ!Q52)</f>
        <v>45968</v>
      </c>
      <c r="R52" s="57" t="str">
        <f>IF(Associates_Call_List_PQ!R52="","",Associates_Call_List_PQ!R52)</f>
        <v>10/02 - LM - COR initiated rate change to MEP on 10/23</v>
      </c>
      <c r="S52" s="57" t="str">
        <f>IF(Associates_Call_List_PQ!S52="","",Associates_Call_List_PQ!S52)</f>
        <v/>
      </c>
      <c r="T52" s="57" t="str">
        <f>IF(Associates_Call_List_PQ!T52="","",Associates_Call_List_PQ!T52)</f>
        <v/>
      </c>
      <c r="U52" s="57" t="str">
        <f>IF(Associates_Call_List_PQ!U52="","",Associates_Call_List_PQ!U52)</f>
        <v/>
      </c>
      <c r="V52" s="68" t="s">
        <v>5433</v>
      </c>
      <c r="W52" s="68">
        <v>46011</v>
      </c>
      <c r="X52" s="68" t="s">
        <v>5405</v>
      </c>
      <c r="Y52" s="68" t="s">
        <v>5455</v>
      </c>
      <c r="Z52" s="72" t="s">
        <v>5456</v>
      </c>
    </row>
    <row r="53" spans="1:26">
      <c r="A53" s="71">
        <f>IFERROR(Associates_Call_List_PQ!A53,"")</f>
        <v>45902</v>
      </c>
      <c r="B53" s="57" t="str">
        <f>IF(Associates_Call_List_PQ!B53="","",Associates_Call_List_PQ!B53)</f>
        <v>Howell</v>
      </c>
      <c r="C53" s="57" t="str">
        <f>IF(Associates_Call_List_PQ!C53="","",Associates_Call_List_PQ!C53)</f>
        <v>Chris</v>
      </c>
      <c r="D53" s="57" t="str">
        <f>IF(Associates_Call_List_PQ!D53="","",Associates_Call_List_PQ!D53)</f>
        <v>Surprise</v>
      </c>
      <c r="E53" s="58">
        <f>IF(Associates_Call_List_PQ!E53="","",Associates_Call_List_PQ!E53)</f>
        <v>85387</v>
      </c>
      <c r="F53" s="57" t="str">
        <f>IF(Associates_Call_List_PQ!F53="","",Associates_Call_List_PQ!F53)</f>
        <v>Form letter</v>
      </c>
      <c r="G53" s="57" t="str">
        <f>IF(Associates_Call_List_PQ!G53="","",Associates_Call_List_PQ!G53)</f>
        <v>https://images.edocket.azcc.gov/docketpdf/E000046155.pdf</v>
      </c>
      <c r="H53" s="59" t="str">
        <f>IF(Associates_Call_List_PQ!H53="","",Associates_Call_List_PQ!H53)</f>
        <v>6635023227</v>
      </c>
      <c r="I53" s="57" t="str">
        <f>IF(Associates_Call_List_PQ!I53="","",Associates_Call_List_PQ!I53)</f>
        <v>RTOUE47</v>
      </c>
      <c r="J53" s="57" t="str">
        <f>IF(Associates_Call_List_PQ!J53="","",Associates_Call_List_PQ!J53)</f>
        <v>No</v>
      </c>
      <c r="K53" s="57" t="str">
        <f>IF(Associates_Call_List_PQ!K53="","",Associates_Call_List_PQ!K53)</f>
        <v>No</v>
      </c>
      <c r="L53" s="57" t="str">
        <f>IF(Associates_Call_List_PQ!L53="","",Associates_Call_List_PQ!L53)</f>
        <v>No MEP R3-47($2.91)</v>
      </c>
      <c r="M53" s="57" t="str">
        <f>IF(Associates_Call_List_PQ!M53="","",Associates_Call_List_PQ!M53)</f>
        <v>No</v>
      </c>
      <c r="N53" s="57" t="str">
        <f>IF(Associates_Call_List_PQ!N53="","",Associates_Call_List_PQ!N53)</f>
        <v>No</v>
      </c>
      <c r="O53" s="57" t="str">
        <f>IF(Associates_Call_List_PQ!O53="","",Associates_Call_List_PQ!O53)</f>
        <v>Yes</v>
      </c>
      <c r="P53" s="57" t="str">
        <f>IF(Associates_Call_List_PQ!P53="","",Associates_Call_List_PQ!P53)</f>
        <v>N</v>
      </c>
      <c r="Q53" s="57">
        <f>IF(Associates_Call_List_PQ!Q53="","",Associates_Call_List_PQ!Q53)</f>
        <v>45968</v>
      </c>
      <c r="R53" s="57" t="str">
        <f>IF(Associates_Call_List_PQ!R53="","",Associates_Call_List_PQ!R53)</f>
        <v/>
      </c>
      <c r="S53" s="57" t="str">
        <f>IF(Associates_Call_List_PQ!S53="","",Associates_Call_List_PQ!S53)</f>
        <v/>
      </c>
      <c r="T53" s="57" t="str">
        <f>IF(Associates_Call_List_PQ!T53="","",Associates_Call_List_PQ!T53)</f>
        <v/>
      </c>
      <c r="U53" s="57" t="s">
        <v>5505</v>
      </c>
      <c r="V53" s="68" t="s">
        <v>117</v>
      </c>
      <c r="W53" s="68">
        <v>46032</v>
      </c>
      <c r="X53" s="68" t="s">
        <v>5405</v>
      </c>
      <c r="Y53" s="68" t="s">
        <v>5463</v>
      </c>
      <c r="Z53" s="72" t="s">
        <v>5438</v>
      </c>
    </row>
    <row r="54" spans="1:26">
      <c r="A54" s="71">
        <f>IFERROR(Associates_Call_List_PQ!A54,"")</f>
        <v>45902</v>
      </c>
      <c r="B54" s="57" t="str">
        <f>IF(Associates_Call_List_PQ!B54="","",Associates_Call_List_PQ!B54)</f>
        <v>Torres</v>
      </c>
      <c r="C54" s="57" t="str">
        <f>IF(Associates_Call_List_PQ!C54="","",Associates_Call_List_PQ!C54)</f>
        <v>Kyle</v>
      </c>
      <c r="D54" s="57" t="str">
        <f>IF(Associates_Call_List_PQ!D54="","",Associates_Call_List_PQ!D54)</f>
        <v>Phoenix</v>
      </c>
      <c r="E54" s="58">
        <f>IF(Associates_Call_List_PQ!E54="","",Associates_Call_List_PQ!E54)</f>
        <v>85020</v>
      </c>
      <c r="F54" s="57" t="str">
        <f>IF(Associates_Call_List_PQ!F54="","",Associates_Call_List_PQ!F54)</f>
        <v>Form letter</v>
      </c>
      <c r="G54" s="57" t="str">
        <f>IF(Associates_Call_List_PQ!G54="","",Associates_Call_List_PQ!G54)</f>
        <v>https://images.edocket.azcc.gov/docketpdf/E000046155.pdf</v>
      </c>
      <c r="H54" s="59" t="str">
        <f>IF(Associates_Call_List_PQ!H54="","",Associates_Call_List_PQ!H54)</f>
        <v>9505905227</v>
      </c>
      <c r="I54" s="57" t="str">
        <f>IF(Associates_Call_List_PQ!I54="","",Associates_Call_List_PQ!I54)</f>
        <v>R-BASIC</v>
      </c>
      <c r="J54" s="57" t="str">
        <f>IF(Associates_Call_List_PQ!J54="","",Associates_Call_List_PQ!J54)</f>
        <v>No</v>
      </c>
      <c r="K54" s="57" t="str">
        <f>IF(Associates_Call_List_PQ!K54="","",Associates_Call_List_PQ!K54)</f>
        <v>No</v>
      </c>
      <c r="L54" s="57" t="str">
        <f>IF(Associates_Call_List_PQ!L54="","",Associates_Call_List_PQ!L54)</f>
        <v>No MEP R3-47($18.99)</v>
      </c>
      <c r="M54" s="57" t="str">
        <f>IF(Associates_Call_List_PQ!M54="","",Associates_Call_List_PQ!M54)</f>
        <v>No</v>
      </c>
      <c r="N54" s="57" t="str">
        <f>IF(Associates_Call_List_PQ!N54="","",Associates_Call_List_PQ!N54)</f>
        <v>No</v>
      </c>
      <c r="O54" s="57" t="str">
        <f>IF(Associates_Call_List_PQ!O54="","",Associates_Call_List_PQ!O54)</f>
        <v>Yes</v>
      </c>
      <c r="P54" s="57" t="str">
        <f>IF(Associates_Call_List_PQ!P54="","",Associates_Call_List_PQ!P54)</f>
        <v>N</v>
      </c>
      <c r="Q54" s="57">
        <f>IF(Associates_Call_List_PQ!Q54="","",Associates_Call_List_PQ!Q54)</f>
        <v>45968</v>
      </c>
      <c r="R54" s="57" t="str">
        <f>IF(Associates_Call_List_PQ!R54="","",Associates_Call_List_PQ!R54)</f>
        <v/>
      </c>
      <c r="S54" s="57" t="str">
        <f>IF(Associates_Call_List_PQ!S54="","",Associates_Call_List_PQ!S54)</f>
        <v/>
      </c>
      <c r="T54" s="57" t="str">
        <f>IF(Associates_Call_List_PQ!T54="","",Associates_Call_List_PQ!T54)</f>
        <v/>
      </c>
      <c r="U54" s="57" t="str">
        <f>IF(Associates_Call_List_PQ!U54="","",Associates_Call_List_PQ!U54)</f>
        <v/>
      </c>
      <c r="V54" s="68" t="s">
        <v>5433</v>
      </c>
      <c r="W54" s="68">
        <v>46011</v>
      </c>
      <c r="X54" s="68" t="s">
        <v>5434</v>
      </c>
      <c r="Y54" s="68"/>
      <c r="Z54" s="72"/>
    </row>
    <row r="55" spans="1:26">
      <c r="A55" s="71">
        <f>IFERROR(Associates_Call_List_PQ!A55,"")</f>
        <v>45902</v>
      </c>
      <c r="B55" s="57" t="str">
        <f>IF(Associates_Call_List_PQ!B55="","",Associates_Call_List_PQ!B55)</f>
        <v>Tighe</v>
      </c>
      <c r="C55" s="57" t="str">
        <f>IF(Associates_Call_List_PQ!C55="","",Associates_Call_List_PQ!C55)</f>
        <v>Paul</v>
      </c>
      <c r="D55" s="57" t="str">
        <f>IF(Associates_Call_List_PQ!D55="","",Associates_Call_List_PQ!D55)</f>
        <v>Litchfield Park</v>
      </c>
      <c r="E55" s="58">
        <f>IF(Associates_Call_List_PQ!E55="","",Associates_Call_List_PQ!E55)</f>
        <v>85340</v>
      </c>
      <c r="F55" s="57" t="str">
        <f>IF(Associates_Call_List_PQ!F55="","",Associates_Call_List_PQ!F55)</f>
        <v>Opposed</v>
      </c>
      <c r="G55" s="57" t="str">
        <f>IF(Associates_Call_List_PQ!G55="","",Associates_Call_List_PQ!G55)</f>
        <v>https://images.edocket.azcc.gov/docketpdf/E000046155.pdf</v>
      </c>
      <c r="H55" s="59" t="str">
        <f>IF(Associates_Call_List_PQ!H55="","",Associates_Call_List_PQ!H55)</f>
        <v>9937021000</v>
      </c>
      <c r="I55" s="57" t="str">
        <f>IF(Associates_Call_List_PQ!I55="","",Associates_Call_List_PQ!I55)</f>
        <v>R3-47</v>
      </c>
      <c r="J55" s="57" t="str">
        <f>IF(Associates_Call_List_PQ!J55="","",Associates_Call_List_PQ!J55)</f>
        <v>No</v>
      </c>
      <c r="K55" s="57" t="str">
        <f>IF(Associates_Call_List_PQ!K55="","",Associates_Call_List_PQ!K55)</f>
        <v>No</v>
      </c>
      <c r="L55" s="57" t="str">
        <f>IF(Associates_Call_List_PQ!L55="","",Associates_Call_List_PQ!L55)</f>
        <v>Yes</v>
      </c>
      <c r="M55" s="57" t="str">
        <f>IF(Associates_Call_List_PQ!M55="","",Associates_Call_List_PQ!M55)</f>
        <v>No</v>
      </c>
      <c r="N55" s="57" t="str">
        <f>IF(Associates_Call_List_PQ!N55="","",Associates_Call_List_PQ!N55)</f>
        <v>No</v>
      </c>
      <c r="O55" s="57" t="str">
        <f>IF(Associates_Call_List_PQ!O55="","",Associates_Call_List_PQ!O55)</f>
        <v>Yes</v>
      </c>
      <c r="P55" s="57" t="str">
        <f>IF(Associates_Call_List_PQ!P55="","",Associates_Call_List_PQ!P55)</f>
        <v>N</v>
      </c>
      <c r="Q55" s="57">
        <f>IF(Associates_Call_List_PQ!Q55="","",Associates_Call_List_PQ!Q55)</f>
        <v>45968</v>
      </c>
      <c r="R55" s="57" t="str">
        <f>IF(Associates_Call_List_PQ!R55="","",Associates_Call_List_PQ!R55)</f>
        <v/>
      </c>
      <c r="S55" s="57" t="str">
        <f>IF(Associates_Call_List_PQ!S55="","",Associates_Call_List_PQ!S55)</f>
        <v/>
      </c>
      <c r="T55" s="57" t="str">
        <f>IF(Associates_Call_List_PQ!T55="","",Associates_Call_List_PQ!T55)</f>
        <v/>
      </c>
      <c r="U55" s="57" t="str">
        <f>IF(Associates_Call_List_PQ!U55="","",Associates_Call_List_PQ!U55)</f>
        <v/>
      </c>
      <c r="V55" s="68"/>
      <c r="W55" s="68" t="s">
        <v>5432</v>
      </c>
      <c r="X55" s="68"/>
      <c r="Y55" s="68"/>
      <c r="Z55" s="72"/>
    </row>
    <row r="56" spans="1:26">
      <c r="A56" s="71">
        <f>IFERROR(Associates_Call_List_PQ!A56,"")</f>
        <v>45902</v>
      </c>
      <c r="B56" s="57" t="str">
        <f>IF(Associates_Call_List_PQ!B56="","",Associates_Call_List_PQ!B56)</f>
        <v>Ward</v>
      </c>
      <c r="C56" s="57" t="str">
        <f>IF(Associates_Call_List_PQ!C56="","",Associates_Call_List_PQ!C56)</f>
        <v>Karen</v>
      </c>
      <c r="D56" s="57" t="str">
        <f>IF(Associates_Call_List_PQ!D56="","",Associates_Call_List_PQ!D56)</f>
        <v>Surprise</v>
      </c>
      <c r="E56" s="58">
        <f>IF(Associates_Call_List_PQ!E56="","",Associates_Call_List_PQ!E56)</f>
        <v>85387</v>
      </c>
      <c r="F56" s="57" t="str">
        <f>IF(Associates_Call_List_PQ!F56="","",Associates_Call_List_PQ!F56)</f>
        <v>Opposed</v>
      </c>
      <c r="G56" s="57" t="str">
        <f>IF(Associates_Call_List_PQ!G56="","",Associates_Call_List_PQ!G56)</f>
        <v>https://images.edocket.azcc.gov/docketpdf/E000046155.pdf</v>
      </c>
      <c r="H56" s="59" t="str">
        <f>IF(Associates_Call_List_PQ!H56="","",Associates_Call_List_PQ!H56)</f>
        <v>7949496672</v>
      </c>
      <c r="I56" s="57" t="str">
        <f>IF(Associates_Call_List_PQ!I56="","",Associates_Call_List_PQ!I56)</f>
        <v xml:space="preserve">R-XS </v>
      </c>
      <c r="J56" s="57" t="str">
        <f>IF(Associates_Call_List_PQ!J56="","",Associates_Call_List_PQ!J56)</f>
        <v>Yes</v>
      </c>
      <c r="K56" s="57" t="str">
        <f>IF(Associates_Call_List_PQ!K56="","",Associates_Call_List_PQ!K56)</f>
        <v>No</v>
      </c>
      <c r="L56" s="57" t="str">
        <f>IF(Associates_Call_List_PQ!L56="","",Associates_Call_List_PQ!L56)</f>
        <v>Yes</v>
      </c>
      <c r="M56" s="57" t="str">
        <f>IF(Associates_Call_List_PQ!M56="","",Associates_Call_List_PQ!M56)</f>
        <v>No</v>
      </c>
      <c r="N56" s="57" t="str">
        <f>IF(Associates_Call_List_PQ!N56="","",Associates_Call_List_PQ!N56)</f>
        <v>No</v>
      </c>
      <c r="O56" s="57" t="str">
        <f>IF(Associates_Call_List_PQ!O56="","",Associates_Call_List_PQ!O56)</f>
        <v>Yes</v>
      </c>
      <c r="P56" s="57" t="str">
        <f>IF(Associates_Call_List_PQ!P56="","",Associates_Call_List_PQ!P56)</f>
        <v>N</v>
      </c>
      <c r="Q56" s="57">
        <f>IF(Associates_Call_List_PQ!Q56="","",Associates_Call_List_PQ!Q56)</f>
        <v>45968</v>
      </c>
      <c r="R56" s="57" t="str">
        <f>IF(Associates_Call_List_PQ!R56="","",Associates_Call_List_PQ!R56)</f>
        <v/>
      </c>
      <c r="S56" s="57" t="str">
        <f>IF(Associates_Call_List_PQ!S56="","",Associates_Call_List_PQ!S56)</f>
        <v/>
      </c>
      <c r="T56" s="57" t="str">
        <f>IF(Associates_Call_List_PQ!T56="","",Associates_Call_List_PQ!T56)</f>
        <v/>
      </c>
      <c r="U56" s="57" t="s">
        <v>5506</v>
      </c>
      <c r="V56" s="68" t="s">
        <v>117</v>
      </c>
      <c r="W56" s="68">
        <v>46067</v>
      </c>
      <c r="X56" s="68" t="s">
        <v>5434</v>
      </c>
      <c r="Y56" s="68"/>
      <c r="Z56" s="72"/>
    </row>
    <row r="57" spans="1:26">
      <c r="A57" s="71">
        <f>IFERROR(Associates_Call_List_PQ!A57,"")</f>
        <v>45902</v>
      </c>
      <c r="B57" s="57" t="str">
        <f>IF(Associates_Call_List_PQ!B57="","",Associates_Call_List_PQ!B57)</f>
        <v>Nash</v>
      </c>
      <c r="C57" s="57" t="str">
        <f>IF(Associates_Call_List_PQ!C57="","",Associates_Call_List_PQ!C57)</f>
        <v>Destiny</v>
      </c>
      <c r="D57" s="57" t="str">
        <f>IF(Associates_Call_List_PQ!D57="","",Associates_Call_List_PQ!D57)</f>
        <v>Chandler</v>
      </c>
      <c r="E57" s="58">
        <f>IF(Associates_Call_List_PQ!E57="","",Associates_Call_List_PQ!E57)</f>
        <v>85225</v>
      </c>
      <c r="F57" s="57" t="str">
        <f>IF(Associates_Call_List_PQ!F57="","",Associates_Call_List_PQ!F57)</f>
        <v>Opposed</v>
      </c>
      <c r="G57" s="57" t="str">
        <f>IF(Associates_Call_List_PQ!G57="","",Associates_Call_List_PQ!G57)</f>
        <v>https://images.edocket.azcc.gov/docketpdf/E000046155.pdf</v>
      </c>
      <c r="H57" s="59" t="str">
        <f>IF(Associates_Call_List_PQ!H57="","",Associates_Call_List_PQ!H57)</f>
        <v>8712521000</v>
      </c>
      <c r="I57" s="57" t="str">
        <f>IF(Associates_Call_List_PQ!I57="","",Associates_Call_List_PQ!I57)</f>
        <v>R3-47</v>
      </c>
      <c r="J57" s="57" t="str">
        <f>IF(Associates_Call_List_PQ!J57="","",Associates_Call_List_PQ!J57)</f>
        <v>No</v>
      </c>
      <c r="K57" s="57" t="str">
        <f>IF(Associates_Call_List_PQ!K57="","",Associates_Call_List_PQ!K57)</f>
        <v>No</v>
      </c>
      <c r="L57" s="57" t="str">
        <f>IF(Associates_Call_List_PQ!L57="","",Associates_Call_List_PQ!L57)</f>
        <v>Yes</v>
      </c>
      <c r="M57" s="57" t="str">
        <f>IF(Associates_Call_List_PQ!M57="","",Associates_Call_List_PQ!M57)</f>
        <v>No</v>
      </c>
      <c r="N57" s="57" t="str">
        <f>IF(Associates_Call_List_PQ!N57="","",Associates_Call_List_PQ!N57)</f>
        <v>No</v>
      </c>
      <c r="O57" s="57" t="str">
        <f>IF(Associates_Call_List_PQ!O57="","",Associates_Call_List_PQ!O57)</f>
        <v>Yes</v>
      </c>
      <c r="P57" s="57" t="str">
        <f>IF(Associates_Call_List_PQ!P57="","",Associates_Call_List_PQ!P57)</f>
        <v>N</v>
      </c>
      <c r="Q57" s="57">
        <f>IF(Associates_Call_List_PQ!Q57="","",Associates_Call_List_PQ!Q57)</f>
        <v>45968</v>
      </c>
      <c r="R57" s="57" t="str">
        <f>IF(Associates_Call_List_PQ!R57="","",Associates_Call_List_PQ!R57)</f>
        <v/>
      </c>
      <c r="S57" s="57" t="str">
        <f>IF(Associates_Call_List_PQ!S57="","",Associates_Call_List_PQ!S57)</f>
        <v/>
      </c>
      <c r="T57" s="57" t="str">
        <f>IF(Associates_Call_List_PQ!T57="","",Associates_Call_List_PQ!T57)</f>
        <v/>
      </c>
      <c r="U57" s="57" t="str">
        <f>IF(Associates_Call_List_PQ!U57="","",Associates_Call_List_PQ!U57)</f>
        <v/>
      </c>
      <c r="V57" s="68"/>
      <c r="W57" s="68" t="s">
        <v>5432</v>
      </c>
      <c r="X57" s="68"/>
      <c r="Y57" s="68"/>
      <c r="Z57" s="72"/>
    </row>
    <row r="58" spans="1:26">
      <c r="A58" s="71">
        <f>IFERROR(Associates_Call_List_PQ!A58,"")</f>
        <v>45902</v>
      </c>
      <c r="B58" s="57" t="str">
        <f>IF(Associates_Call_List_PQ!B58="","",Associates_Call_List_PQ!B58)</f>
        <v>Wilkymacky</v>
      </c>
      <c r="C58" s="57" t="str">
        <f>IF(Associates_Call_List_PQ!C58="","",Associates_Call_List_PQ!C58)</f>
        <v>Abby</v>
      </c>
      <c r="D58" s="57" t="str">
        <f>IF(Associates_Call_List_PQ!D58="","",Associates_Call_List_PQ!D58)</f>
        <v>Phoenix</v>
      </c>
      <c r="E58" s="58">
        <f>IF(Associates_Call_List_PQ!E58="","",Associates_Call_List_PQ!E58)</f>
        <v>85006</v>
      </c>
      <c r="F58" s="57" t="str">
        <f>IF(Associates_Call_List_PQ!F58="","",Associates_Call_List_PQ!F58)</f>
        <v>Opposed</v>
      </c>
      <c r="G58" s="57" t="str">
        <f>IF(Associates_Call_List_PQ!G58="","",Associates_Call_List_PQ!G58)</f>
        <v>https://images.edocket.azcc.gov/docketpdf/E000046155.pdf</v>
      </c>
      <c r="H58" s="59" t="str">
        <f>IF(Associates_Call_List_PQ!H58="","",Associates_Call_List_PQ!H58)</f>
        <v>2584149193</v>
      </c>
      <c r="I58" s="57" t="str">
        <f>IF(Associates_Call_List_PQ!I58="","",Associates_Call_List_PQ!I58)</f>
        <v>RTOUE47</v>
      </c>
      <c r="J58" s="57" t="str">
        <f>IF(Associates_Call_List_PQ!J58="","",Associates_Call_List_PQ!J58)</f>
        <v>No</v>
      </c>
      <c r="K58" s="57" t="str">
        <f>IF(Associates_Call_List_PQ!K58="","",Associates_Call_List_PQ!K58)</f>
        <v>No</v>
      </c>
      <c r="L58" s="57" t="str">
        <f>IF(Associates_Call_List_PQ!L58="","",Associates_Call_List_PQ!L58)</f>
        <v>Yes</v>
      </c>
      <c r="M58" s="57" t="str">
        <f>IF(Associates_Call_List_PQ!M58="","",Associates_Call_List_PQ!M58)</f>
        <v>No</v>
      </c>
      <c r="N58" s="57" t="str">
        <f>IF(Associates_Call_List_PQ!N58="","",Associates_Call_List_PQ!N58)</f>
        <v>No</v>
      </c>
      <c r="O58" s="57" t="str">
        <f>IF(Associates_Call_List_PQ!O58="","",Associates_Call_List_PQ!O58)</f>
        <v>Yes</v>
      </c>
      <c r="P58" s="57" t="str">
        <f>IF(Associates_Call_List_PQ!P58="","",Associates_Call_List_PQ!P58)</f>
        <v>N</v>
      </c>
      <c r="Q58" s="57">
        <f>IF(Associates_Call_List_PQ!Q58="","",Associates_Call_List_PQ!Q58)</f>
        <v>45968</v>
      </c>
      <c r="R58" s="57" t="str">
        <f>IF(Associates_Call_List_PQ!R58="","",Associates_Call_List_PQ!R58)</f>
        <v/>
      </c>
      <c r="S58" s="57" t="str">
        <f>IF(Associates_Call_List_PQ!S58="","",Associates_Call_List_PQ!S58)</f>
        <v/>
      </c>
      <c r="T58" s="57" t="str">
        <f>IF(Associates_Call_List_PQ!T58="","",Associates_Call_List_PQ!T58)</f>
        <v/>
      </c>
      <c r="U58" s="57" t="s">
        <v>5507</v>
      </c>
      <c r="V58" s="68" t="s">
        <v>117</v>
      </c>
      <c r="W58" s="68">
        <v>46067</v>
      </c>
      <c r="X58" s="68" t="s">
        <v>5434</v>
      </c>
      <c r="Y58" s="68"/>
      <c r="Z58" s="72"/>
    </row>
    <row r="59" spans="1:26">
      <c r="A59" s="71">
        <f>IFERROR(Associates_Call_List_PQ!A59,"")</f>
        <v>45902</v>
      </c>
      <c r="B59" s="57" t="str">
        <f>IF(Associates_Call_List_PQ!B59="","",Associates_Call_List_PQ!B59)</f>
        <v>Melendez</v>
      </c>
      <c r="C59" s="57" t="str">
        <f>IF(Associates_Call_List_PQ!C59="","",Associates_Call_List_PQ!C59)</f>
        <v>Jose</v>
      </c>
      <c r="D59" s="57" t="str">
        <f>IF(Associates_Call_List_PQ!D59="","",Associates_Call_List_PQ!D59)</f>
        <v>Surprise</v>
      </c>
      <c r="E59" s="58">
        <f>IF(Associates_Call_List_PQ!E59="","",Associates_Call_List_PQ!E59)</f>
        <v>85388</v>
      </c>
      <c r="F59" s="57" t="str">
        <f>IF(Associates_Call_List_PQ!F59="","",Associates_Call_List_PQ!F59)</f>
        <v>Opposed</v>
      </c>
      <c r="G59" s="57" t="str">
        <f>IF(Associates_Call_List_PQ!G59="","",Associates_Call_List_PQ!G59)</f>
        <v>https://images.edocket.azcc.gov/docketpdf/E000046155.pdf</v>
      </c>
      <c r="H59" s="59" t="str">
        <f>IF(Associates_Call_List_PQ!H59="","",Associates_Call_List_PQ!H59)</f>
        <v>3811821000</v>
      </c>
      <c r="I59" s="57" t="str">
        <f>IF(Associates_Call_List_PQ!I59="","",Associates_Call_List_PQ!I59)</f>
        <v>RTOUE47</v>
      </c>
      <c r="J59" s="57" t="str">
        <f>IF(Associates_Call_List_PQ!J59="","",Associates_Call_List_PQ!J59)</f>
        <v>No</v>
      </c>
      <c r="K59" s="57" t="str">
        <f>IF(Associates_Call_List_PQ!K59="","",Associates_Call_List_PQ!K59)</f>
        <v>No</v>
      </c>
      <c r="L59" s="57" t="str">
        <f>IF(Associates_Call_List_PQ!L59="","",Associates_Call_List_PQ!L59)</f>
        <v>No MEP R3-47 ($128.91)</v>
      </c>
      <c r="M59" s="57" t="str">
        <f>IF(Associates_Call_List_PQ!M59="","",Associates_Call_List_PQ!M59)</f>
        <v>No</v>
      </c>
      <c r="N59" s="57" t="str">
        <f>IF(Associates_Call_List_PQ!N59="","",Associates_Call_List_PQ!N59)</f>
        <v>No</v>
      </c>
      <c r="O59" s="57" t="str">
        <f>IF(Associates_Call_List_PQ!O59="","",Associates_Call_List_PQ!O59)</f>
        <v>Yes</v>
      </c>
      <c r="P59" s="57">
        <f>IF(Associates_Call_List_PQ!P59="","",Associates_Call_List_PQ!P59)</f>
        <v>45932</v>
      </c>
      <c r="Q59" s="57">
        <f>IF(Associates_Call_List_PQ!Q59="","",Associates_Call_List_PQ!Q59)</f>
        <v>45968</v>
      </c>
      <c r="R59" s="57" t="str">
        <f>IF(Associates_Call_List_PQ!R59="","",Associates_Call_List_PQ!R59)</f>
        <v xml:space="preserve">10/02 - LM </v>
      </c>
      <c r="S59" s="57" t="str">
        <f>IF(Associates_Call_List_PQ!S59="","",Associates_Call_List_PQ!S59)</f>
        <v/>
      </c>
      <c r="T59" s="57" t="str">
        <f>IF(Associates_Call_List_PQ!T59="","",Associates_Call_List_PQ!T59)</f>
        <v/>
      </c>
      <c r="U59" s="57" t="str">
        <f>IF(Associates_Call_List_PQ!U59="","",Associates_Call_List_PQ!U59)</f>
        <v/>
      </c>
      <c r="V59" s="68" t="s">
        <v>5433</v>
      </c>
      <c r="W59" s="68">
        <v>46011</v>
      </c>
      <c r="X59" s="68" t="s">
        <v>5434</v>
      </c>
      <c r="Y59" s="68"/>
      <c r="Z59" s="72" t="s">
        <v>5457</v>
      </c>
    </row>
    <row r="60" spans="1:26">
      <c r="A60" s="71">
        <f>IFERROR(Associates_Call_List_PQ!A60,"")</f>
        <v>45902</v>
      </c>
      <c r="B60" s="57" t="str">
        <f>IF(Associates_Call_List_PQ!B60="","",Associates_Call_List_PQ!B60)</f>
        <v>Crosbie</v>
      </c>
      <c r="C60" s="57" t="str">
        <f>IF(Associates_Call_List_PQ!C60="","",Associates_Call_List_PQ!C60)</f>
        <v>David</v>
      </c>
      <c r="D60" s="57" t="str">
        <f>IF(Associates_Call_List_PQ!D60="","",Associates_Call_List_PQ!D60)</f>
        <v>Goodyear</v>
      </c>
      <c r="E60" s="58">
        <f>IF(Associates_Call_List_PQ!E60="","",Associates_Call_List_PQ!E60)</f>
        <v>85338</v>
      </c>
      <c r="F60" s="57" t="str">
        <f>IF(Associates_Call_List_PQ!F60="","",Associates_Call_List_PQ!F60)</f>
        <v>Opposed</v>
      </c>
      <c r="G60" s="57" t="str">
        <f>IF(Associates_Call_List_PQ!G60="","",Associates_Call_List_PQ!G60)</f>
        <v>https://images.edocket.azcc.gov/docketpdf/E000046155.pdf</v>
      </c>
      <c r="H60" s="59" t="str">
        <f>IF(Associates_Call_List_PQ!H60="","",Associates_Call_List_PQ!H60)</f>
        <v>0814350000</v>
      </c>
      <c r="I60" s="57" t="str">
        <f>IF(Associates_Call_List_PQ!I60="","",Associates_Call_List_PQ!I60)</f>
        <v>RTOUE47</v>
      </c>
      <c r="J60" s="57" t="str">
        <f>IF(Associates_Call_List_PQ!J60="","",Associates_Call_List_PQ!J60)</f>
        <v>No</v>
      </c>
      <c r="K60" s="57" t="str">
        <f>IF(Associates_Call_List_PQ!K60="","",Associates_Call_List_PQ!K60)</f>
        <v>No</v>
      </c>
      <c r="L60" s="57" t="str">
        <f>IF(Associates_Call_List_PQ!L60="","",Associates_Call_List_PQ!L60)</f>
        <v>Yes</v>
      </c>
      <c r="M60" s="57" t="str">
        <f>IF(Associates_Call_List_PQ!M60="","",Associates_Call_List_PQ!M60)</f>
        <v>No</v>
      </c>
      <c r="N60" s="57" t="str">
        <f>IF(Associates_Call_List_PQ!N60="","",Associates_Call_List_PQ!N60)</f>
        <v>No</v>
      </c>
      <c r="O60" s="57" t="str">
        <f>IF(Associates_Call_List_PQ!O60="","",Associates_Call_List_PQ!O60)</f>
        <v>Yes</v>
      </c>
      <c r="P60" s="57" t="str">
        <f>IF(Associates_Call_List_PQ!P60="","",Associates_Call_List_PQ!P60)</f>
        <v>N</v>
      </c>
      <c r="Q60" s="57">
        <f>IF(Associates_Call_List_PQ!Q60="","",Associates_Call_List_PQ!Q60)</f>
        <v>45968</v>
      </c>
      <c r="R60" s="57" t="str">
        <f>IF(Associates_Call_List_PQ!R60="","",Associates_Call_List_PQ!R60)</f>
        <v/>
      </c>
      <c r="S60" s="57" t="str">
        <f>IF(Associates_Call_List_PQ!S60="","",Associates_Call_List_PQ!S60)</f>
        <v/>
      </c>
      <c r="T60" s="57" t="str">
        <f>IF(Associates_Call_List_PQ!T60="","",Associates_Call_List_PQ!T60)</f>
        <v/>
      </c>
      <c r="U60" s="57" t="s">
        <v>5508</v>
      </c>
      <c r="V60" s="68" t="s">
        <v>117</v>
      </c>
      <c r="W60" s="68">
        <v>46067</v>
      </c>
      <c r="X60" s="68" t="s">
        <v>5434</v>
      </c>
      <c r="Y60" s="68"/>
      <c r="Z60" s="72" t="s">
        <v>5503</v>
      </c>
    </row>
    <row r="61" spans="1:26">
      <c r="A61" s="71">
        <f>IFERROR(Associates_Call_List_PQ!A61,"")</f>
        <v>45902</v>
      </c>
      <c r="B61" s="57" t="str">
        <f>IF(Associates_Call_List_PQ!B61="","",Associates_Call_List_PQ!B61)</f>
        <v>Tolinos</v>
      </c>
      <c r="C61" s="57" t="str">
        <f>IF(Associates_Call_List_PQ!C61="","",Associates_Call_List_PQ!C61)</f>
        <v>Jacinta</v>
      </c>
      <c r="D61" s="57" t="str">
        <f>IF(Associates_Call_List_PQ!D61="","",Associates_Call_List_PQ!D61)</f>
        <v>Phoenix</v>
      </c>
      <c r="E61" s="58">
        <f>IF(Associates_Call_List_PQ!E61="","",Associates_Call_List_PQ!E61)</f>
        <v>85023</v>
      </c>
      <c r="F61" s="57" t="str">
        <f>IF(Associates_Call_List_PQ!F61="","",Associates_Call_List_PQ!F61)</f>
        <v>Opposed</v>
      </c>
      <c r="G61" s="57" t="str">
        <f>IF(Associates_Call_List_PQ!G61="","",Associates_Call_List_PQ!G61)</f>
        <v>https://images.edocket.azcc.gov/docketpdf/E000046155.pdf</v>
      </c>
      <c r="H61" s="59" t="str">
        <f>IF(Associates_Call_List_PQ!H61="","",Associates_Call_List_PQ!H61)</f>
        <v>0050340630 </v>
      </c>
      <c r="I61" s="57" t="str">
        <f>IF(Associates_Call_List_PQ!I61="","",Associates_Call_List_PQ!I61)</f>
        <v>R-BASIC</v>
      </c>
      <c r="J61" s="57" t="str">
        <f>IF(Associates_Call_List_PQ!J61="","",Associates_Call_List_PQ!J61)</f>
        <v>No</v>
      </c>
      <c r="K61" s="57" t="str">
        <f>IF(Associates_Call_List_PQ!K61="","",Associates_Call_List_PQ!K61)</f>
        <v>No</v>
      </c>
      <c r="L61" s="57" t="str">
        <f>IF(Associates_Call_List_PQ!L61="","",Associates_Call_List_PQ!L61)</f>
        <v>Yes</v>
      </c>
      <c r="M61" s="57" t="str">
        <f>IF(Associates_Call_List_PQ!M61="","",Associates_Call_List_PQ!M61)</f>
        <v>No</v>
      </c>
      <c r="N61" s="57" t="str">
        <f>IF(Associates_Call_List_PQ!N61="","",Associates_Call_List_PQ!N61)</f>
        <v>No</v>
      </c>
      <c r="O61" s="57" t="str">
        <f>IF(Associates_Call_List_PQ!O61="","",Associates_Call_List_PQ!O61)</f>
        <v>Yes</v>
      </c>
      <c r="P61" s="57" t="str">
        <f>IF(Associates_Call_List_PQ!P61="","",Associates_Call_List_PQ!P61)</f>
        <v>N</v>
      </c>
      <c r="Q61" s="57">
        <f>IF(Associates_Call_List_PQ!Q61="","",Associates_Call_List_PQ!Q61)</f>
        <v>45968</v>
      </c>
      <c r="R61" s="57" t="str">
        <f>IF(Associates_Call_List_PQ!R61="","",Associates_Call_List_PQ!R61)</f>
        <v/>
      </c>
      <c r="S61" s="57" t="str">
        <f>IF(Associates_Call_List_PQ!S61="","",Associates_Call_List_PQ!S61)</f>
        <v/>
      </c>
      <c r="T61" s="57" t="str">
        <f>IF(Associates_Call_List_PQ!T61="","",Associates_Call_List_PQ!T61)</f>
        <v/>
      </c>
      <c r="U61" s="57" t="s">
        <v>5509</v>
      </c>
      <c r="V61" s="68" t="s">
        <v>117</v>
      </c>
      <c r="W61" s="68">
        <v>45997</v>
      </c>
      <c r="X61" s="68" t="s">
        <v>5434</v>
      </c>
      <c r="Y61" s="68"/>
      <c r="Z61" s="72"/>
    </row>
    <row r="62" spans="1:26">
      <c r="A62" s="71">
        <f>IFERROR(Associates_Call_List_PQ!A62,"")</f>
        <v>45902</v>
      </c>
      <c r="B62" s="57" t="str">
        <f>IF(Associates_Call_List_PQ!B62="","",Associates_Call_List_PQ!B62)</f>
        <v>Findley</v>
      </c>
      <c r="C62" s="57" t="str">
        <f>IF(Associates_Call_List_PQ!C62="","",Associates_Call_List_PQ!C62)</f>
        <v>Moses</v>
      </c>
      <c r="D62" s="57" t="str">
        <f>IF(Associates_Call_List_PQ!D62="","",Associates_Call_List_PQ!D62)</f>
        <v>Goodyear</v>
      </c>
      <c r="E62" s="58">
        <f>IF(Associates_Call_List_PQ!E62="","",Associates_Call_List_PQ!E62)</f>
        <v>85338</v>
      </c>
      <c r="F62" s="57" t="str">
        <f>IF(Associates_Call_List_PQ!F62="","",Associates_Call_List_PQ!F62)</f>
        <v>Opposed</v>
      </c>
      <c r="G62" s="57" t="str">
        <f>IF(Associates_Call_List_PQ!G62="","",Associates_Call_List_PQ!G62)</f>
        <v>https://images.edocket.azcc.gov/docketpdf/E000046155.pdf</v>
      </c>
      <c r="H62" s="59" t="str">
        <f>IF(Associates_Call_List_PQ!H62="","",Associates_Call_List_PQ!H62)</f>
        <v>7949331000</v>
      </c>
      <c r="I62" s="57" t="str">
        <f>IF(Associates_Call_List_PQ!I62="","",Associates_Call_List_PQ!I62)</f>
        <v>EPR-6w/E-12</v>
      </c>
      <c r="J62" s="57" t="str">
        <f>IF(Associates_Call_List_PQ!J62="","",Associates_Call_List_PQ!J62)</f>
        <v>Yes</v>
      </c>
      <c r="K62" s="57" t="str">
        <f>IF(Associates_Call_List_PQ!K62="","",Associates_Call_List_PQ!K62)</f>
        <v>No</v>
      </c>
      <c r="L62" s="57" t="str">
        <f>IF(Associates_Call_List_PQ!L62="","",Associates_Call_List_PQ!L62)</f>
        <v>Frozen Rate</v>
      </c>
      <c r="M62" s="57" t="str">
        <f>IF(Associates_Call_List_PQ!M62="","",Associates_Call_List_PQ!M62)</f>
        <v>Yes</v>
      </c>
      <c r="N62" s="57">
        <f>IF(Associates_Call_List_PQ!N62="","",Associates_Call_List_PQ!N62)</f>
        <v>326.87</v>
      </c>
      <c r="O62" s="57" t="str">
        <f>IF(Associates_Call_List_PQ!O62="","",Associates_Call_List_PQ!O62)</f>
        <v>Yes</v>
      </c>
      <c r="P62" s="57" t="str">
        <f>IF(Associates_Call_List_PQ!P62="","",Associates_Call_List_PQ!P62)</f>
        <v>N</v>
      </c>
      <c r="Q62" s="57">
        <f>IF(Associates_Call_List_PQ!Q62="","",Associates_Call_List_PQ!Q62)</f>
        <v>45968</v>
      </c>
      <c r="R62" s="57" t="str">
        <f>IF(Associates_Call_List_PQ!R62="","",Associates_Call_List_PQ!R62)</f>
        <v>COR has spoken to CX several times in the last few weeks and been advised of assitance options and extended PA</v>
      </c>
      <c r="S62" s="57" t="str">
        <f>IF(Associates_Call_List_PQ!S62="","",Associates_Call_List_PQ!S62)</f>
        <v/>
      </c>
      <c r="T62" s="57" t="str">
        <f>IF(Associates_Call_List_PQ!T62="","",Associates_Call_List_PQ!T62)</f>
        <v/>
      </c>
      <c r="U62" s="57" t="s">
        <v>5510</v>
      </c>
      <c r="V62" s="68" t="s">
        <v>117</v>
      </c>
      <c r="W62" s="68">
        <v>46032</v>
      </c>
      <c r="X62" s="68" t="s">
        <v>5434</v>
      </c>
      <c r="Y62" s="68"/>
      <c r="Z62" s="72" t="s">
        <v>5438</v>
      </c>
    </row>
    <row r="63" spans="1:26">
      <c r="A63" s="71">
        <f>IFERROR(Associates_Call_List_PQ!A63,"")</f>
        <v>45902</v>
      </c>
      <c r="B63" s="57" t="str">
        <f>IF(Associates_Call_List_PQ!B63="","",Associates_Call_List_PQ!B63)</f>
        <v>Schmidt</v>
      </c>
      <c r="C63" s="57" t="str">
        <f>IF(Associates_Call_List_PQ!C63="","",Associates_Call_List_PQ!C63)</f>
        <v>Bryan</v>
      </c>
      <c r="D63" s="57" t="str">
        <f>IF(Associates_Call_List_PQ!D63="","",Associates_Call_List_PQ!D63)</f>
        <v>Goodyear</v>
      </c>
      <c r="E63" s="58">
        <f>IF(Associates_Call_List_PQ!E63="","",Associates_Call_List_PQ!E63)</f>
        <v>85338</v>
      </c>
      <c r="F63" s="57" t="str">
        <f>IF(Associates_Call_List_PQ!F63="","",Associates_Call_List_PQ!F63)</f>
        <v>Opposed</v>
      </c>
      <c r="G63" s="57" t="str">
        <f>IF(Associates_Call_List_PQ!G63="","",Associates_Call_List_PQ!G63)</f>
        <v>https://images.edocket.azcc.gov/docketpdf/E000046155.pdf</v>
      </c>
      <c r="H63" s="59" t="str">
        <f>IF(Associates_Call_List_PQ!H63="","",Associates_Call_List_PQ!H63)</f>
        <v>4676231000</v>
      </c>
      <c r="I63" s="57" t="str">
        <f>IF(Associates_Call_List_PQ!I63="","",Associates_Call_List_PQ!I63)</f>
        <v>R3-47</v>
      </c>
      <c r="J63" s="57" t="str">
        <f>IF(Associates_Call_List_PQ!J63="","",Associates_Call_List_PQ!J63)</f>
        <v>No</v>
      </c>
      <c r="K63" s="57" t="str">
        <f>IF(Associates_Call_List_PQ!K63="","",Associates_Call_List_PQ!K63)</f>
        <v>No</v>
      </c>
      <c r="L63" s="57" t="str">
        <f>IF(Associates_Call_List_PQ!L63="","",Associates_Call_List_PQ!L63)</f>
        <v>Yes</v>
      </c>
      <c r="M63" s="57" t="str">
        <f>IF(Associates_Call_List_PQ!M63="","",Associates_Call_List_PQ!M63)</f>
        <v>No</v>
      </c>
      <c r="N63" s="57" t="str">
        <f>IF(Associates_Call_List_PQ!N63="","",Associates_Call_List_PQ!N63)</f>
        <v>No</v>
      </c>
      <c r="O63" s="57" t="str">
        <f>IF(Associates_Call_List_PQ!O63="","",Associates_Call_List_PQ!O63)</f>
        <v>Yes</v>
      </c>
      <c r="P63" s="57" t="str">
        <f>IF(Associates_Call_List_PQ!P63="","",Associates_Call_List_PQ!P63)</f>
        <v>N</v>
      </c>
      <c r="Q63" s="57">
        <f>IF(Associates_Call_List_PQ!Q63="","",Associates_Call_List_PQ!Q63)</f>
        <v>45968</v>
      </c>
      <c r="R63" s="57" t="str">
        <f>IF(Associates_Call_List_PQ!R63="","",Associates_Call_List_PQ!R63)</f>
        <v/>
      </c>
      <c r="S63" s="57" t="str">
        <f>IF(Associates_Call_List_PQ!S63="","",Associates_Call_List_PQ!S63)</f>
        <v/>
      </c>
      <c r="T63" s="57" t="str">
        <f>IF(Associates_Call_List_PQ!T63="","",Associates_Call_List_PQ!T63)</f>
        <v/>
      </c>
      <c r="U63" s="57" t="str">
        <f>IF(Associates_Call_List_PQ!U63="","",Associates_Call_List_PQ!U63)</f>
        <v/>
      </c>
      <c r="V63" s="68"/>
      <c r="W63" s="68" t="s">
        <v>5432</v>
      </c>
      <c r="X63" s="68"/>
      <c r="Y63" s="68"/>
      <c r="Z63" s="72"/>
    </row>
    <row r="64" spans="1:26">
      <c r="A64" s="71">
        <f>IFERROR(Associates_Call_List_PQ!A64,"")</f>
        <v>45902</v>
      </c>
      <c r="B64" s="57" t="str">
        <f>IF(Associates_Call_List_PQ!B64="","",Associates_Call_List_PQ!B64)</f>
        <v>Bernardi</v>
      </c>
      <c r="C64" s="57" t="str">
        <f>IF(Associates_Call_List_PQ!C64="","",Associates_Call_List_PQ!C64)</f>
        <v>Patrick</v>
      </c>
      <c r="D64" s="57" t="str">
        <f>IF(Associates_Call_List_PQ!D64="","",Associates_Call_List_PQ!D64)</f>
        <v xml:space="preserve">Prescott  </v>
      </c>
      <c r="E64" s="58">
        <f>IF(Associates_Call_List_PQ!E64="","",Associates_Call_List_PQ!E64)</f>
        <v>85303</v>
      </c>
      <c r="F64" s="57" t="str">
        <f>IF(Associates_Call_List_PQ!F64="","",Associates_Call_List_PQ!F64)</f>
        <v>Opposed</v>
      </c>
      <c r="G64" s="57" t="str">
        <f>IF(Associates_Call_List_PQ!G64="","",Associates_Call_List_PQ!G64)</f>
        <v>https://images.edocket.azcc.gov/docketpdf/E000046155.pdf</v>
      </c>
      <c r="H64" s="59" t="str">
        <f>IF(Associates_Call_List_PQ!H64="","",Associates_Call_List_PQ!H64)</f>
        <v>6570141000</v>
      </c>
      <c r="I64" s="57" t="str">
        <f>IF(Associates_Call_List_PQ!I64="","",Associates_Call_List_PQ!I64)</f>
        <v>R-BASIC</v>
      </c>
      <c r="J64" s="57" t="str">
        <f>IF(Associates_Call_List_PQ!J64="","",Associates_Call_List_PQ!J64)</f>
        <v>No</v>
      </c>
      <c r="K64" s="57" t="str">
        <f>IF(Associates_Call_List_PQ!K64="","",Associates_Call_List_PQ!K64)</f>
        <v>No</v>
      </c>
      <c r="L64" s="57" t="str">
        <f>IF(Associates_Call_List_PQ!L64="","",Associates_Call_List_PQ!L64)</f>
        <v>Yes</v>
      </c>
      <c r="M64" s="57" t="str">
        <f>IF(Associates_Call_List_PQ!M64="","",Associates_Call_List_PQ!M64)</f>
        <v>No</v>
      </c>
      <c r="N64" s="57" t="str">
        <f>IF(Associates_Call_List_PQ!N64="","",Associates_Call_List_PQ!N64)</f>
        <v>No</v>
      </c>
      <c r="O64" s="57" t="str">
        <f>IF(Associates_Call_List_PQ!O64="","",Associates_Call_List_PQ!O64)</f>
        <v>Yes</v>
      </c>
      <c r="P64" s="57" t="str">
        <f>IF(Associates_Call_List_PQ!P64="","",Associates_Call_List_PQ!P64)</f>
        <v>N</v>
      </c>
      <c r="Q64" s="57">
        <f>IF(Associates_Call_List_PQ!Q64="","",Associates_Call_List_PQ!Q64)</f>
        <v>45968</v>
      </c>
      <c r="R64" s="57" t="str">
        <f>IF(Associates_Call_List_PQ!R64="","",Associates_Call_List_PQ!R64)</f>
        <v/>
      </c>
      <c r="S64" s="57" t="str">
        <f>IF(Associates_Call_List_PQ!S64="","",Associates_Call_List_PQ!S64)</f>
        <v/>
      </c>
      <c r="T64" s="57" t="str">
        <f>IF(Associates_Call_List_PQ!T64="","",Associates_Call_List_PQ!T64)</f>
        <v/>
      </c>
      <c r="U64" s="57" t="s">
        <v>5511</v>
      </c>
      <c r="V64" s="68" t="s">
        <v>117</v>
      </c>
      <c r="W64" s="68">
        <v>46067</v>
      </c>
      <c r="X64" s="68" t="s">
        <v>5434</v>
      </c>
      <c r="Y64" s="68"/>
      <c r="Z64" s="72"/>
    </row>
    <row r="65" spans="1:26">
      <c r="A65" s="71">
        <f>IFERROR(Associates_Call_List_PQ!A65,"")</f>
        <v>45902</v>
      </c>
      <c r="B65" s="57" t="str">
        <f>IF(Associates_Call_List_PQ!B65="","",Associates_Call_List_PQ!B65)</f>
        <v>Scharroo</v>
      </c>
      <c r="C65" s="57" t="str">
        <f>IF(Associates_Call_List_PQ!C65="","",Associates_Call_List_PQ!C65)</f>
        <v>George</v>
      </c>
      <c r="D65" s="57" t="str">
        <f>IF(Associates_Call_List_PQ!D65="","",Associates_Call_List_PQ!D65)</f>
        <v>Phoenix</v>
      </c>
      <c r="E65" s="58">
        <f>IF(Associates_Call_List_PQ!E65="","",Associates_Call_List_PQ!E65)</f>
        <v>85006</v>
      </c>
      <c r="F65" s="57" t="str">
        <f>IF(Associates_Call_List_PQ!F65="","",Associates_Call_List_PQ!F65)</f>
        <v>Opposed</v>
      </c>
      <c r="G65" s="57" t="str">
        <f>IF(Associates_Call_List_PQ!G65="","",Associates_Call_List_PQ!G65)</f>
        <v>https://images.edocket.azcc.gov/docketpdf/E000046155.pdf</v>
      </c>
      <c r="H65" s="59" t="str">
        <f>IF(Associates_Call_List_PQ!H65="","",Associates_Call_List_PQ!H65)</f>
        <v>6924836428</v>
      </c>
      <c r="I65" s="57" t="str">
        <f>IF(Associates_Call_List_PQ!I65="","",Associates_Call_List_PQ!I65)</f>
        <v>R3-47</v>
      </c>
      <c r="J65" s="57" t="str">
        <f>IF(Associates_Call_List_PQ!J65="","",Associates_Call_List_PQ!J65)</f>
        <v>No</v>
      </c>
      <c r="K65" s="57" t="str">
        <f>IF(Associates_Call_List_PQ!K65="","",Associates_Call_List_PQ!K65)</f>
        <v>No</v>
      </c>
      <c r="L65" s="57" t="str">
        <f>IF(Associates_Call_List_PQ!L65="","",Associates_Call_List_PQ!L65)</f>
        <v>Not eligible yet (needs 3 months)</v>
      </c>
      <c r="M65" s="57" t="str">
        <f>IF(Associates_Call_List_PQ!M65="","",Associates_Call_List_PQ!M65)</f>
        <v>No</v>
      </c>
      <c r="N65" s="57" t="str">
        <f>IF(Associates_Call_List_PQ!N65="","",Associates_Call_List_PQ!N65)</f>
        <v>No</v>
      </c>
      <c r="O65" s="57" t="str">
        <f>IF(Associates_Call_List_PQ!O65="","",Associates_Call_List_PQ!O65)</f>
        <v>Yes</v>
      </c>
      <c r="P65" s="57" t="str">
        <f>IF(Associates_Call_List_PQ!P65="","",Associates_Call_List_PQ!P65)</f>
        <v>N</v>
      </c>
      <c r="Q65" s="57">
        <f>IF(Associates_Call_List_PQ!Q65="","",Associates_Call_List_PQ!Q65)</f>
        <v>45968</v>
      </c>
      <c r="R65" s="57" t="str">
        <f>IF(Associates_Call_List_PQ!R65="","",Associates_Call_List_PQ!R65)</f>
        <v/>
      </c>
      <c r="S65" s="57" t="str">
        <f>IF(Associates_Call_List_PQ!S65="","",Associates_Call_List_PQ!S65)</f>
        <v/>
      </c>
      <c r="T65" s="57" t="str">
        <f>IF(Associates_Call_List_PQ!T65="","",Associates_Call_List_PQ!T65)</f>
        <v/>
      </c>
      <c r="U65" s="57" t="s">
        <v>5512</v>
      </c>
      <c r="V65" s="68" t="s">
        <v>117</v>
      </c>
      <c r="W65" s="68">
        <v>46053</v>
      </c>
      <c r="X65" s="68" t="s">
        <v>5405</v>
      </c>
      <c r="Y65" s="68" t="s">
        <v>5461</v>
      </c>
      <c r="Z65" s="72"/>
    </row>
    <row r="66" spans="1:26">
      <c r="A66" s="71">
        <f>IFERROR(Associates_Call_List_PQ!A66,"")</f>
        <v>45902</v>
      </c>
      <c r="B66" s="57" t="str">
        <f>IF(Associates_Call_List_PQ!B66="","",Associates_Call_List_PQ!B66)</f>
        <v>Nava</v>
      </c>
      <c r="C66" s="57" t="str">
        <f>IF(Associates_Call_List_PQ!C66="","",Associates_Call_List_PQ!C66)</f>
        <v>Alfredo</v>
      </c>
      <c r="D66" s="57" t="str">
        <f>IF(Associates_Call_List_PQ!D66="","",Associates_Call_List_PQ!D66)</f>
        <v>Glendale</v>
      </c>
      <c r="E66" s="58">
        <f>IF(Associates_Call_List_PQ!E66="","",Associates_Call_List_PQ!E66)</f>
        <v>85307</v>
      </c>
      <c r="F66" s="57" t="str">
        <f>IF(Associates_Call_List_PQ!F66="","",Associates_Call_List_PQ!F66)</f>
        <v>Form letter</v>
      </c>
      <c r="G66" s="57" t="str">
        <f>IF(Associates_Call_List_PQ!G66="","",Associates_Call_List_PQ!G66)</f>
        <v>https://images.edocket.azcc.gov/docketpdf/E000046155.pdf</v>
      </c>
      <c r="H66" s="59" t="str">
        <f>IF(Associates_Call_List_PQ!H66="","",Associates_Call_List_PQ!H66)</f>
        <v>1717959515</v>
      </c>
      <c r="I66" s="57" t="str">
        <f>IF(Associates_Call_List_PQ!I66="","",Associates_Call_List_PQ!I66)</f>
        <v>R-BASIC</v>
      </c>
      <c r="J66" s="57" t="str">
        <f>IF(Associates_Call_List_PQ!J66="","",Associates_Call_List_PQ!J66)</f>
        <v>No</v>
      </c>
      <c r="K66" s="57" t="str">
        <f>IF(Associates_Call_List_PQ!K66="","",Associates_Call_List_PQ!K66)</f>
        <v>No</v>
      </c>
      <c r="L66" s="57" t="str">
        <f>IF(Associates_Call_List_PQ!L66="","",Associates_Call_List_PQ!L66)</f>
        <v>No MEP-R3-47($66.86)</v>
      </c>
      <c r="M66" s="57" t="str">
        <f>IF(Associates_Call_List_PQ!M66="","",Associates_Call_List_PQ!M66)</f>
        <v>No</v>
      </c>
      <c r="N66" s="57" t="str">
        <f>IF(Associates_Call_List_PQ!N66="","",Associates_Call_List_PQ!N66)</f>
        <v>No</v>
      </c>
      <c r="O66" s="57" t="str">
        <f>IF(Associates_Call_List_PQ!O66="","",Associates_Call_List_PQ!O66)</f>
        <v>Yes</v>
      </c>
      <c r="P66" s="57" t="str">
        <f>IF(Associates_Call_List_PQ!P66="","",Associates_Call_List_PQ!P66)</f>
        <v>N</v>
      </c>
      <c r="Q66" s="57">
        <f>IF(Associates_Call_List_PQ!Q66="","",Associates_Call_List_PQ!Q66)</f>
        <v>45968</v>
      </c>
      <c r="R66" s="57" t="str">
        <f>IF(Associates_Call_List_PQ!R66="","",Associates_Call_List_PQ!R66)</f>
        <v/>
      </c>
      <c r="S66" s="57" t="str">
        <f>IF(Associates_Call_List_PQ!S66="","",Associates_Call_List_PQ!S66)</f>
        <v/>
      </c>
      <c r="T66" s="57" t="str">
        <f>IF(Associates_Call_List_PQ!T66="","",Associates_Call_List_PQ!T66)</f>
        <v/>
      </c>
      <c r="U66" s="57" t="str">
        <f>IF(Associates_Call_List_PQ!U66="","",Associates_Call_List_PQ!U66)</f>
        <v/>
      </c>
      <c r="V66" s="68" t="s">
        <v>5433</v>
      </c>
      <c r="W66" s="68">
        <v>46011</v>
      </c>
      <c r="X66" s="68" t="s">
        <v>5434</v>
      </c>
      <c r="Y66" s="68"/>
      <c r="Z66" s="72"/>
    </row>
    <row r="67" spans="1:26">
      <c r="A67" s="71">
        <f>IFERROR(Associates_Call_List_PQ!A67,"")</f>
        <v>45902</v>
      </c>
      <c r="B67" s="57" t="str">
        <f>IF(Associates_Call_List_PQ!B67="","",Associates_Call_List_PQ!B67)</f>
        <v>Hay</v>
      </c>
      <c r="C67" s="57" t="str">
        <f>IF(Associates_Call_List_PQ!C67="","",Associates_Call_List_PQ!C67)</f>
        <v>Leanne</v>
      </c>
      <c r="D67" s="57" t="str">
        <f>IF(Associates_Call_List_PQ!D67="","",Associates_Call_List_PQ!D67)</f>
        <v>Phoenix</v>
      </c>
      <c r="E67" s="58">
        <f>IF(Associates_Call_List_PQ!E67="","",Associates_Call_List_PQ!E67)</f>
        <v>85006</v>
      </c>
      <c r="F67" s="57" t="str">
        <f>IF(Associates_Call_List_PQ!F67="","",Associates_Call_List_PQ!F67)</f>
        <v>Opposed</v>
      </c>
      <c r="G67" s="57" t="str">
        <f>IF(Associates_Call_List_PQ!G67="","",Associates_Call_List_PQ!G67)</f>
        <v>https://images.edocket.azcc.gov/docketpdf/E000046155.pdf</v>
      </c>
      <c r="H67" s="59" t="str">
        <f>IF(Associates_Call_List_PQ!H67="","",Associates_Call_List_PQ!H67)</f>
        <v>1147845609</v>
      </c>
      <c r="I67" s="57" t="str">
        <f>IF(Associates_Call_List_PQ!I67="","",Associates_Call_List_PQ!I67)</f>
        <v>R-BASICL</v>
      </c>
      <c r="J67" s="57" t="str">
        <f>IF(Associates_Call_List_PQ!J67="","",Associates_Call_List_PQ!J67)</f>
        <v>No</v>
      </c>
      <c r="K67" s="57" t="str">
        <f>IF(Associates_Call_List_PQ!K67="","",Associates_Call_List_PQ!K67)</f>
        <v>No</v>
      </c>
      <c r="L67" s="57" t="str">
        <f>IF(Associates_Call_List_PQ!L67="","",Associates_Call_List_PQ!L67)</f>
        <v>No MEP R3-47($261.63)</v>
      </c>
      <c r="M67" s="57" t="str">
        <f>IF(Associates_Call_List_PQ!M67="","",Associates_Call_List_PQ!M67)</f>
        <v>No</v>
      </c>
      <c r="N67" s="57" t="str">
        <f>IF(Associates_Call_List_PQ!N67="","",Associates_Call_List_PQ!N67)</f>
        <v>No</v>
      </c>
      <c r="O67" s="57" t="str">
        <f>IF(Associates_Call_List_PQ!O67="","",Associates_Call_List_PQ!O67)</f>
        <v>Yes</v>
      </c>
      <c r="P67" s="57">
        <f>IF(Associates_Call_List_PQ!P67="","",Associates_Call_List_PQ!P67)</f>
        <v>45932</v>
      </c>
      <c r="Q67" s="57">
        <f>IF(Associates_Call_List_PQ!Q67="","",Associates_Call_List_PQ!Q67)</f>
        <v>45968</v>
      </c>
      <c r="R67" s="57" t="str">
        <f>IF(Associates_Call_List_PQ!R67="","",Associates_Call_List_PQ!R67)</f>
        <v xml:space="preserve">10/02 - LM </v>
      </c>
      <c r="S67" s="57" t="str">
        <f>IF(Associates_Call_List_PQ!S67="","",Associates_Call_List_PQ!S67)</f>
        <v/>
      </c>
      <c r="T67" s="57" t="str">
        <f>IF(Associates_Call_List_PQ!T67="","",Associates_Call_List_PQ!T67)</f>
        <v/>
      </c>
      <c r="U67" s="57" t="str">
        <f>IF(Associates_Call_List_PQ!U67="","",Associates_Call_List_PQ!U67)</f>
        <v/>
      </c>
      <c r="V67" s="68" t="s">
        <v>5433</v>
      </c>
      <c r="W67" s="68">
        <v>46011</v>
      </c>
      <c r="X67" s="68" t="s">
        <v>5434</v>
      </c>
      <c r="Y67" s="68"/>
      <c r="Z67" s="72"/>
    </row>
    <row r="68" spans="1:26">
      <c r="A68" s="71">
        <f>IFERROR(Associates_Call_List_PQ!A68,"")</f>
        <v>45902</v>
      </c>
      <c r="B68" s="57" t="str">
        <f>IF(Associates_Call_List_PQ!B68="","",Associates_Call_List_PQ!B68)</f>
        <v>Harmon</v>
      </c>
      <c r="C68" s="57" t="str">
        <f>IF(Associates_Call_List_PQ!C68="","",Associates_Call_List_PQ!C68)</f>
        <v>Austin</v>
      </c>
      <c r="D68" s="57" t="str">
        <f>IF(Associates_Call_List_PQ!D68="","",Associates_Call_List_PQ!D68)</f>
        <v>Arizona City</v>
      </c>
      <c r="E68" s="58">
        <f>IF(Associates_Call_List_PQ!E68="","",Associates_Call_List_PQ!E68)</f>
        <v>85123</v>
      </c>
      <c r="F68" s="57" t="str">
        <f>IF(Associates_Call_List_PQ!F68="","",Associates_Call_List_PQ!F68)</f>
        <v>Form letter</v>
      </c>
      <c r="G68" s="57" t="str">
        <f>IF(Associates_Call_List_PQ!G68="","",Associates_Call_List_PQ!G68)</f>
        <v>https://images.edocket.azcc.gov/docketpdf/E000046155.pdf</v>
      </c>
      <c r="H68" s="59" t="str">
        <f>IF(Associates_Call_List_PQ!H68="","",Associates_Call_List_PQ!H68)</f>
        <v>9462295527</v>
      </c>
      <c r="I68" s="57" t="str">
        <f>IF(Associates_Call_List_PQ!I68="","",Associates_Call_List_PQ!I68)</f>
        <v>RTOUE47</v>
      </c>
      <c r="J68" s="57" t="str">
        <f>IF(Associates_Call_List_PQ!J68="","",Associates_Call_List_PQ!J68)</f>
        <v>No</v>
      </c>
      <c r="K68" s="57" t="str">
        <f>IF(Associates_Call_List_PQ!K68="","",Associates_Call_List_PQ!K68)</f>
        <v>No</v>
      </c>
      <c r="L68" s="57" t="str">
        <f>IF(Associates_Call_List_PQ!L68="","",Associates_Call_List_PQ!L68)</f>
        <v>No MAEP R-BASIC($56.50)</v>
      </c>
      <c r="M68" s="57" t="str">
        <f>IF(Associates_Call_List_PQ!M68="","",Associates_Call_List_PQ!M68)</f>
        <v>No</v>
      </c>
      <c r="N68" s="57" t="str">
        <f>IF(Associates_Call_List_PQ!N68="","",Associates_Call_List_PQ!N68)</f>
        <v>No</v>
      </c>
      <c r="O68" s="57" t="str">
        <f>IF(Associates_Call_List_PQ!O68="","",Associates_Call_List_PQ!O68)</f>
        <v>Yes</v>
      </c>
      <c r="P68" s="57" t="str">
        <f>IF(Associates_Call_List_PQ!P68="","",Associates_Call_List_PQ!P68)</f>
        <v>N</v>
      </c>
      <c r="Q68" s="57">
        <f>IF(Associates_Call_List_PQ!Q68="","",Associates_Call_List_PQ!Q68)</f>
        <v>45968</v>
      </c>
      <c r="R68" s="57" t="str">
        <f>IF(Associates_Call_List_PQ!R68="","",Associates_Call_List_PQ!R68)</f>
        <v/>
      </c>
      <c r="S68" s="57" t="str">
        <f>IF(Associates_Call_List_PQ!S68="","",Associates_Call_List_PQ!S68)</f>
        <v/>
      </c>
      <c r="T68" s="57" t="str">
        <f>IF(Associates_Call_List_PQ!T68="","",Associates_Call_List_PQ!T68)</f>
        <v/>
      </c>
      <c r="U68" s="57" t="str">
        <f>IF(Associates_Call_List_PQ!U68="","",Associates_Call_List_PQ!U68)</f>
        <v/>
      </c>
      <c r="V68" s="68" t="s">
        <v>5433</v>
      </c>
      <c r="W68" s="68">
        <v>46011</v>
      </c>
      <c r="X68" s="68" t="s">
        <v>5434</v>
      </c>
      <c r="Y68" s="68"/>
      <c r="Z68" s="72"/>
    </row>
    <row r="69" spans="1:26">
      <c r="A69" s="71">
        <f>IFERROR(Associates_Call_List_PQ!A69,"")</f>
        <v>45902</v>
      </c>
      <c r="B69" s="57" t="str">
        <f>IF(Associates_Call_List_PQ!B69="","",Associates_Call_List_PQ!B69)</f>
        <v>Mangerie</v>
      </c>
      <c r="C69" s="57" t="str">
        <f>IF(Associates_Call_List_PQ!C69="","",Associates_Call_List_PQ!C69)</f>
        <v>Chelsea</v>
      </c>
      <c r="D69" s="57" t="str">
        <f>IF(Associates_Call_List_PQ!D69="","",Associates_Call_List_PQ!D69)</f>
        <v>Surprise</v>
      </c>
      <c r="E69" s="58">
        <f>IF(Associates_Call_List_PQ!E69="","",Associates_Call_List_PQ!E69)</f>
        <v>85379</v>
      </c>
      <c r="F69" s="57" t="str">
        <f>IF(Associates_Call_List_PQ!F69="","",Associates_Call_List_PQ!F69)</f>
        <v>Opposed</v>
      </c>
      <c r="G69" s="57" t="str">
        <f>IF(Associates_Call_List_PQ!G69="","",Associates_Call_List_PQ!G69)</f>
        <v>https://images.edocket.azcc.gov/docketpdf/E000046155.pdf</v>
      </c>
      <c r="H69" s="59" t="str">
        <f>IF(Associates_Call_List_PQ!H69="","",Associates_Call_List_PQ!H69)</f>
        <v>7850451000</v>
      </c>
      <c r="I69" s="57" t="str">
        <f>IF(Associates_Call_List_PQ!I69="","",Associates_Call_List_PQ!I69)</f>
        <v>EPR-6w/ET-2</v>
      </c>
      <c r="J69" s="57" t="str">
        <f>IF(Associates_Call_List_PQ!J69="","",Associates_Call_List_PQ!J69)</f>
        <v>No</v>
      </c>
      <c r="K69" s="57" t="str">
        <f>IF(Associates_Call_List_PQ!K69="","",Associates_Call_List_PQ!K69)</f>
        <v>No</v>
      </c>
      <c r="L69" s="57" t="str">
        <f>IF(Associates_Call_List_PQ!L69="","",Associates_Call_List_PQ!L69)</f>
        <v>Frozen Rate</v>
      </c>
      <c r="M69" s="57" t="str">
        <f>IF(Associates_Call_List_PQ!M69="","",Associates_Call_List_PQ!M69)</f>
        <v>No</v>
      </c>
      <c r="N69" s="57" t="str">
        <f>IF(Associates_Call_List_PQ!N69="","",Associates_Call_List_PQ!N69)</f>
        <v>No</v>
      </c>
      <c r="O69" s="57" t="str">
        <f>IF(Associates_Call_List_PQ!O69="","",Associates_Call_List_PQ!O69)</f>
        <v>Yes</v>
      </c>
      <c r="P69" s="57" t="str">
        <f>IF(Associates_Call_List_PQ!P69="","",Associates_Call_List_PQ!P69)</f>
        <v>N</v>
      </c>
      <c r="Q69" s="57">
        <f>IF(Associates_Call_List_PQ!Q69="","",Associates_Call_List_PQ!Q69)</f>
        <v>45968</v>
      </c>
      <c r="R69" s="57" t="str">
        <f>IF(Associates_Call_List_PQ!R69="","",Associates_Call_List_PQ!R69)</f>
        <v/>
      </c>
      <c r="S69" s="57" t="str">
        <f>IF(Associates_Call_List_PQ!S69="","",Associates_Call_List_PQ!S69)</f>
        <v/>
      </c>
      <c r="T69" s="57" t="str">
        <f>IF(Associates_Call_List_PQ!T69="","",Associates_Call_List_PQ!T69)</f>
        <v/>
      </c>
      <c r="U69" s="57" t="str">
        <f>IF(Associates_Call_List_PQ!U69="","",Associates_Call_List_PQ!U69)</f>
        <v/>
      </c>
      <c r="V69" s="68"/>
      <c r="W69" s="68" t="s">
        <v>5432</v>
      </c>
      <c r="X69" s="68"/>
      <c r="Y69" s="68"/>
      <c r="Z69" s="72"/>
    </row>
    <row r="70" spans="1:26">
      <c r="A70" s="71">
        <f>IFERROR(Associates_Call_List_PQ!A70,"")</f>
        <v>45902</v>
      </c>
      <c r="B70" s="57" t="str">
        <f>IF(Associates_Call_List_PQ!B70="","",Associates_Call_List_PQ!B70)</f>
        <v>Farr</v>
      </c>
      <c r="C70" s="57" t="str">
        <f>IF(Associates_Call_List_PQ!C70="","",Associates_Call_List_PQ!C70)</f>
        <v>Amanda</v>
      </c>
      <c r="D70" s="57" t="str">
        <f>IF(Associates_Call_List_PQ!D70="","",Associates_Call_List_PQ!D70)</f>
        <v>Phoenix</v>
      </c>
      <c r="E70" s="58">
        <f>IF(Associates_Call_List_PQ!E70="","",Associates_Call_List_PQ!E70)</f>
        <v>85054</v>
      </c>
      <c r="F70" s="57" t="str">
        <f>IF(Associates_Call_List_PQ!F70="","",Associates_Call_List_PQ!F70)</f>
        <v>Form letter</v>
      </c>
      <c r="G70" s="57" t="str">
        <f>IF(Associates_Call_List_PQ!G70="","",Associates_Call_List_PQ!G70)</f>
        <v>https://images.edocket.azcc.gov/docketpdf/E000046155.pdf</v>
      </c>
      <c r="H70" s="59">
        <f>IF(Associates_Call_List_PQ!H70="","",Associates_Call_List_PQ!H70)</f>
        <v>7035930772</v>
      </c>
      <c r="I70" s="57" t="str">
        <f>IF(Associates_Call_List_PQ!I70="","",Associates_Call_List_PQ!I70)</f>
        <v>RTOUE47</v>
      </c>
      <c r="J70" s="57" t="str">
        <f>IF(Associates_Call_List_PQ!J70="","",Associates_Call_List_PQ!J70)</f>
        <v>No</v>
      </c>
      <c r="K70" s="57" t="str">
        <f>IF(Associates_Call_List_PQ!K70="","",Associates_Call_List_PQ!K70)</f>
        <v>No</v>
      </c>
      <c r="L70" s="57" t="str">
        <f>IF(Associates_Call_List_PQ!L70="","",Associates_Call_List_PQ!L70)</f>
        <v>No MEP R3-47(463.60)</v>
      </c>
      <c r="M70" s="57" t="str">
        <f>IF(Associates_Call_List_PQ!M70="","",Associates_Call_List_PQ!M70)</f>
        <v>No</v>
      </c>
      <c r="N70" s="57" t="str">
        <f>IF(Associates_Call_List_PQ!N70="","",Associates_Call_List_PQ!N70)</f>
        <v>No</v>
      </c>
      <c r="O70" s="57" t="str">
        <f>IF(Associates_Call_List_PQ!O70="","",Associates_Call_List_PQ!O70)</f>
        <v>Yes</v>
      </c>
      <c r="P70" s="57">
        <f>IF(Associates_Call_List_PQ!P70="","",Associates_Call_List_PQ!P70)</f>
        <v>45932</v>
      </c>
      <c r="Q70" s="57">
        <f>IF(Associates_Call_List_PQ!Q70="","",Associates_Call_List_PQ!Q70)</f>
        <v>45958</v>
      </c>
      <c r="R70" s="57" t="str">
        <f>IF(Associates_Call_List_PQ!R70="","",Associates_Call_List_PQ!R70)</f>
        <v xml:space="preserve">10/02 - LM </v>
      </c>
      <c r="S70" s="57" t="str">
        <f>IF(Associates_Call_List_PQ!S70="","",Associates_Call_List_PQ!S70)</f>
        <v/>
      </c>
      <c r="T70" s="57" t="str">
        <f>IF(Associates_Call_List_PQ!T70="","",Associates_Call_List_PQ!T70)</f>
        <v/>
      </c>
      <c r="U70" s="57" t="s">
        <v>5513</v>
      </c>
      <c r="V70" s="68" t="s">
        <v>117</v>
      </c>
      <c r="W70" s="68">
        <v>46053</v>
      </c>
      <c r="X70" s="68" t="s">
        <v>5434</v>
      </c>
      <c r="Y70" s="68"/>
      <c r="Z70" s="72"/>
    </row>
    <row r="71" spans="1:26">
      <c r="A71" s="71">
        <f>IFERROR(Associates_Call_List_PQ!A71,"")</f>
        <v>45902</v>
      </c>
      <c r="B71" s="57" t="str">
        <f>IF(Associates_Call_List_PQ!B71="","",Associates_Call_List_PQ!B71)</f>
        <v>Strauss</v>
      </c>
      <c r="C71" s="57" t="str">
        <f>IF(Associates_Call_List_PQ!C71="","",Associates_Call_List_PQ!C71)</f>
        <v>John</v>
      </c>
      <c r="D71" s="57" t="str">
        <f>IF(Associates_Call_List_PQ!D71="","",Associates_Call_List_PQ!D71)</f>
        <v>Phoenix</v>
      </c>
      <c r="E71" s="58">
        <f>IF(Associates_Call_List_PQ!E71="","",Associates_Call_List_PQ!E71)</f>
        <v>85029</v>
      </c>
      <c r="F71" s="57" t="str">
        <f>IF(Associates_Call_List_PQ!F71="","",Associates_Call_List_PQ!F71)</f>
        <v>Form letter</v>
      </c>
      <c r="G71" s="57" t="str">
        <f>IF(Associates_Call_List_PQ!G71="","",Associates_Call_List_PQ!G71)</f>
        <v>https://images.edocket.azcc.gov/docketpdf/E000046155.pdf</v>
      </c>
      <c r="H71" s="59">
        <f>IF(Associates_Call_List_PQ!H71="","",Associates_Call_List_PQ!H71)</f>
        <v>7115261000</v>
      </c>
      <c r="I71" s="57" t="str">
        <f>IF(Associates_Call_List_PQ!I71="","",Associates_Call_List_PQ!I71)</f>
        <v>R3-47</v>
      </c>
      <c r="J71" s="57" t="str">
        <f>IF(Associates_Call_List_PQ!J71="","",Associates_Call_List_PQ!J71)</f>
        <v>Yes</v>
      </c>
      <c r="K71" s="57" t="str">
        <f>IF(Associates_Call_List_PQ!K71="","",Associates_Call_List_PQ!K71)</f>
        <v>No</v>
      </c>
      <c r="L71" s="57" t="str">
        <f>IF(Associates_Call_List_PQ!L71="","",Associates_Call_List_PQ!L71)</f>
        <v>Yes</v>
      </c>
      <c r="M71" s="57" t="str">
        <f>IF(Associates_Call_List_PQ!M71="","",Associates_Call_List_PQ!M71)</f>
        <v>No</v>
      </c>
      <c r="N71" s="57" t="str">
        <f>IF(Associates_Call_List_PQ!N71="","",Associates_Call_List_PQ!N71)</f>
        <v>No</v>
      </c>
      <c r="O71" s="57" t="str">
        <f>IF(Associates_Call_List_PQ!O71="","",Associates_Call_List_PQ!O71)</f>
        <v>Yes</v>
      </c>
      <c r="P71" s="57" t="str">
        <f>IF(Associates_Call_List_PQ!P71="","",Associates_Call_List_PQ!P71)</f>
        <v xml:space="preserve">N </v>
      </c>
      <c r="Q71" s="57">
        <f>IF(Associates_Call_List_PQ!Q71="","",Associates_Call_List_PQ!Q71)</f>
        <v>45958</v>
      </c>
      <c r="R71" s="57" t="str">
        <f>IF(Associates_Call_List_PQ!R71="","",Associates_Call_List_PQ!R71)</f>
        <v/>
      </c>
      <c r="S71" s="57" t="str">
        <f>IF(Associates_Call_List_PQ!S71="","",Associates_Call_List_PQ!S71)</f>
        <v/>
      </c>
      <c r="T71" s="57" t="str">
        <f>IF(Associates_Call_List_PQ!T71="","",Associates_Call_List_PQ!T71)</f>
        <v/>
      </c>
      <c r="U71" s="57" t="str">
        <f>IF(Associates_Call_List_PQ!U71="","",Associates_Call_List_PQ!U71)</f>
        <v/>
      </c>
      <c r="V71" s="68"/>
      <c r="W71" s="68" t="s">
        <v>5432</v>
      </c>
      <c r="X71" s="68"/>
      <c r="Y71" s="68"/>
      <c r="Z71" s="72"/>
    </row>
    <row r="72" spans="1:26">
      <c r="A72" s="71">
        <f>IFERROR(Associates_Call_List_PQ!A72,"")</f>
        <v>45902</v>
      </c>
      <c r="B72" s="57" t="str">
        <f>IF(Associates_Call_List_PQ!B72="","",Associates_Call_List_PQ!B72)</f>
        <v>Bauman</v>
      </c>
      <c r="C72" s="57" t="str">
        <f>IF(Associates_Call_List_PQ!C72="","",Associates_Call_List_PQ!C72)</f>
        <v>Raymie</v>
      </c>
      <c r="D72" s="57" t="str">
        <f>IF(Associates_Call_List_PQ!D72="","",Associates_Call_List_PQ!D72)</f>
        <v>Chino Valley</v>
      </c>
      <c r="E72" s="58">
        <f>IF(Associates_Call_List_PQ!E72="","",Associates_Call_List_PQ!E72)</f>
        <v>86323</v>
      </c>
      <c r="F72" s="57" t="str">
        <f>IF(Associates_Call_List_PQ!F72="","",Associates_Call_List_PQ!F72)</f>
        <v>Opposed</v>
      </c>
      <c r="G72" s="57" t="str">
        <f>IF(Associates_Call_List_PQ!G72="","",Associates_Call_List_PQ!G72)</f>
        <v>https://images.edocket.azcc.gov/docketpdf/E000046155.pdf</v>
      </c>
      <c r="H72" s="59">
        <f>IF(Associates_Call_List_PQ!H72="","",Associates_Call_List_PQ!H72)</f>
        <v>2773271262</v>
      </c>
      <c r="I72" s="57" t="str">
        <f>IF(Associates_Call_List_PQ!I72="","",Associates_Call_List_PQ!I72)</f>
        <v xml:space="preserve">R-XS </v>
      </c>
      <c r="J72" s="57" t="str">
        <f>IF(Associates_Call_List_PQ!J72="","",Associates_Call_List_PQ!J72)</f>
        <v>No</v>
      </c>
      <c r="K72" s="57" t="str">
        <f>IF(Associates_Call_List_PQ!K72="","",Associates_Call_List_PQ!K72)</f>
        <v>No</v>
      </c>
      <c r="L72" s="57" t="str">
        <f>IF(Associates_Call_List_PQ!L72="","",Associates_Call_List_PQ!L72)</f>
        <v>Yes</v>
      </c>
      <c r="M72" s="57" t="str">
        <f>IF(Associates_Call_List_PQ!M72="","",Associates_Call_List_PQ!M72)</f>
        <v>No</v>
      </c>
      <c r="N72" s="57" t="str">
        <f>IF(Associates_Call_List_PQ!N72="","",Associates_Call_List_PQ!N72)</f>
        <v>No</v>
      </c>
      <c r="O72" s="57" t="str">
        <f>IF(Associates_Call_List_PQ!O72="","",Associates_Call_List_PQ!O72)</f>
        <v>Yes</v>
      </c>
      <c r="P72" s="57" t="str">
        <f>IF(Associates_Call_List_PQ!P72="","",Associates_Call_List_PQ!P72)</f>
        <v>N</v>
      </c>
      <c r="Q72" s="57">
        <f>IF(Associates_Call_List_PQ!Q72="","",Associates_Call_List_PQ!Q72)</f>
        <v>45958</v>
      </c>
      <c r="R72" s="57" t="str">
        <f>IF(Associates_Call_List_PQ!R72="","",Associates_Call_List_PQ!R72)</f>
        <v/>
      </c>
      <c r="S72" s="57" t="str">
        <f>IF(Associates_Call_List_PQ!S72="","",Associates_Call_List_PQ!S72)</f>
        <v/>
      </c>
      <c r="T72" s="57" t="str">
        <f>IF(Associates_Call_List_PQ!T72="","",Associates_Call_List_PQ!T72)</f>
        <v/>
      </c>
      <c r="U72" s="57" t="s">
        <v>5514</v>
      </c>
      <c r="V72" s="68" t="s">
        <v>117</v>
      </c>
      <c r="W72" s="68">
        <v>46067</v>
      </c>
      <c r="X72" s="68" t="s">
        <v>5434</v>
      </c>
      <c r="Y72" s="68"/>
      <c r="Z72" s="72"/>
    </row>
    <row r="73" spans="1:26">
      <c r="A73" s="71">
        <f>IFERROR(Associates_Call_List_PQ!A73,"")</f>
        <v>45902</v>
      </c>
      <c r="B73" s="57" t="str">
        <f>IF(Associates_Call_List_PQ!B73="","",Associates_Call_List_PQ!B73)</f>
        <v>Bradley</v>
      </c>
      <c r="C73" s="57" t="str">
        <f>IF(Associates_Call_List_PQ!C73="","",Associates_Call_List_PQ!C73)</f>
        <v>Steven</v>
      </c>
      <c r="D73" s="57" t="str">
        <f>IF(Associates_Call_List_PQ!D73="","",Associates_Call_List_PQ!D73)</f>
        <v>Surprise</v>
      </c>
      <c r="E73" s="58">
        <f>IF(Associates_Call_List_PQ!E73="","",Associates_Call_List_PQ!E73)</f>
        <v>85379</v>
      </c>
      <c r="F73" s="57" t="str">
        <f>IF(Associates_Call_List_PQ!F73="","",Associates_Call_List_PQ!F73)</f>
        <v>Form letter</v>
      </c>
      <c r="G73" s="57" t="str">
        <f>IF(Associates_Call_List_PQ!G73="","",Associates_Call_List_PQ!G73)</f>
        <v>https://images.edocket.azcc.gov/docketpdf/E000046155.pdf</v>
      </c>
      <c r="H73" s="59" t="str">
        <f>IF(Associates_Call_List_PQ!H73="","",Associates_Call_List_PQ!H73)</f>
        <v>9091172317</v>
      </c>
      <c r="I73" s="57" t="str">
        <f>IF(Associates_Call_List_PQ!I73="","",Associates_Call_List_PQ!I73)</f>
        <v>R-BASIC</v>
      </c>
      <c r="J73" s="57" t="str">
        <f>IF(Associates_Call_List_PQ!J73="","",Associates_Call_List_PQ!J73)</f>
        <v>No</v>
      </c>
      <c r="K73" s="57" t="str">
        <f>IF(Associates_Call_List_PQ!K73="","",Associates_Call_List_PQ!K73)</f>
        <v>No</v>
      </c>
      <c r="L73" s="57" t="str">
        <f>IF(Associates_Call_List_PQ!L73="","",Associates_Call_List_PQ!L73)</f>
        <v>Yes</v>
      </c>
      <c r="M73" s="57" t="str">
        <f>IF(Associates_Call_List_PQ!M73="","",Associates_Call_List_PQ!M73)</f>
        <v>No</v>
      </c>
      <c r="N73" s="57" t="str">
        <f>IF(Associates_Call_List_PQ!N73="","",Associates_Call_List_PQ!N73)</f>
        <v>No</v>
      </c>
      <c r="O73" s="57" t="str">
        <f>IF(Associates_Call_List_PQ!O73="","",Associates_Call_List_PQ!O73)</f>
        <v>Yes</v>
      </c>
      <c r="P73" s="57" t="str">
        <f>IF(Associates_Call_List_PQ!P73="","",Associates_Call_List_PQ!P73)</f>
        <v>N</v>
      </c>
      <c r="Q73" s="57">
        <f>IF(Associates_Call_List_PQ!Q73="","",Associates_Call_List_PQ!Q73)</f>
        <v>45958</v>
      </c>
      <c r="R73" s="57" t="str">
        <f>IF(Associates_Call_List_PQ!R73="","",Associates_Call_List_PQ!R73)</f>
        <v/>
      </c>
      <c r="S73" s="57" t="str">
        <f>IF(Associates_Call_List_PQ!S73="","",Associates_Call_List_PQ!S73)</f>
        <v/>
      </c>
      <c r="T73" s="57" t="str">
        <f>IF(Associates_Call_List_PQ!T73="","",Associates_Call_List_PQ!T73)</f>
        <v/>
      </c>
      <c r="U73" s="57" t="str">
        <f>IF(Associates_Call_List_PQ!U73="","",Associates_Call_List_PQ!U73)</f>
        <v/>
      </c>
      <c r="V73" s="68"/>
      <c r="W73" s="68" t="s">
        <v>5432</v>
      </c>
      <c r="X73" s="68"/>
      <c r="Y73" s="68"/>
      <c r="Z73" s="72"/>
    </row>
    <row r="74" spans="1:26">
      <c r="A74" s="71">
        <f>IFERROR(Associates_Call_List_PQ!A74,"")</f>
        <v>45902</v>
      </c>
      <c r="B74" s="57" t="str">
        <f>IF(Associates_Call_List_PQ!B74="","",Associates_Call_List_PQ!B74)</f>
        <v>Frazier</v>
      </c>
      <c r="C74" s="57" t="str">
        <f>IF(Associates_Call_List_PQ!C74="","",Associates_Call_List_PQ!C74)</f>
        <v>Brandon</v>
      </c>
      <c r="D74" s="57" t="str">
        <f>IF(Associates_Call_List_PQ!D74="","",Associates_Call_List_PQ!D74)</f>
        <v>Goodyear</v>
      </c>
      <c r="E74" s="58">
        <f>IF(Associates_Call_List_PQ!E74="","",Associates_Call_List_PQ!E74)</f>
        <v>85338</v>
      </c>
      <c r="F74" s="57" t="str">
        <f>IF(Associates_Call_List_PQ!F74="","",Associates_Call_List_PQ!F74)</f>
        <v>Opposed</v>
      </c>
      <c r="G74" s="57" t="str">
        <f>IF(Associates_Call_List_PQ!G74="","",Associates_Call_List_PQ!G74)</f>
        <v>https://images.edocket.azcc.gov/docketpdf/E000046155.pdf</v>
      </c>
      <c r="H74" s="59" t="str">
        <f>IF(Associates_Call_List_PQ!H74="","",Associates_Call_List_PQ!H74)</f>
        <v>73064220000</v>
      </c>
      <c r="I74" s="57" t="str">
        <f>IF(Associates_Call_List_PQ!I74="","",Associates_Call_List_PQ!I74)</f>
        <v>EPR-6w/ET-2</v>
      </c>
      <c r="J74" s="57" t="str">
        <f>IF(Associates_Call_List_PQ!J74="","",Associates_Call_List_PQ!J74)</f>
        <v>Yes</v>
      </c>
      <c r="K74" s="57" t="str">
        <f>IF(Associates_Call_List_PQ!K74="","",Associates_Call_List_PQ!K74)</f>
        <v>No</v>
      </c>
      <c r="L74" s="57" t="str">
        <f>IF(Associates_Call_List_PQ!L74="","",Associates_Call_List_PQ!L74)</f>
        <v>Frozen Rate</v>
      </c>
      <c r="M74" s="57" t="str">
        <f>IF(Associates_Call_List_PQ!M74="","",Associates_Call_List_PQ!M74)</f>
        <v>Yes</v>
      </c>
      <c r="N74" s="57">
        <f>IF(Associates_Call_List_PQ!N74="","",Associates_Call_List_PQ!N74)</f>
        <v>179.9</v>
      </c>
      <c r="O74" s="57" t="str">
        <f>IF(Associates_Call_List_PQ!O74="","",Associates_Call_List_PQ!O74)</f>
        <v>Yes</v>
      </c>
      <c r="Q74" s="57">
        <f>IF(Associates_Call_List_PQ!Q74="","",Associates_Call_List_PQ!Q74)</f>
        <v>45968</v>
      </c>
      <c r="R74" s="57"/>
      <c r="S74" s="57" t="str">
        <f>IF(Associates_Call_List_PQ!S74="","",Associates_Call_List_PQ!S74)</f>
        <v/>
      </c>
      <c r="T74" s="57" t="str">
        <f>IF(Associates_Call_List_PQ!T74="","",Associates_Call_List_PQ!T74)</f>
        <v/>
      </c>
      <c r="U74" s="57" t="s">
        <v>5515</v>
      </c>
      <c r="V74" s="68" t="s">
        <v>117</v>
      </c>
      <c r="W74" s="68">
        <v>45997</v>
      </c>
      <c r="X74" s="68" t="s">
        <v>5434</v>
      </c>
      <c r="Y74" s="68"/>
      <c r="Z74" s="72" t="s">
        <v>5503</v>
      </c>
    </row>
    <row r="75" spans="1:26">
      <c r="A75" s="71">
        <f>IFERROR(Associates_Call_List_PQ!A75,"")</f>
        <v>45902</v>
      </c>
      <c r="B75" s="57" t="str">
        <f>IF(Associates_Call_List_PQ!B75="","",Associates_Call_List_PQ!B75)</f>
        <v>Hale</v>
      </c>
      <c r="C75" s="57" t="str">
        <f>IF(Associates_Call_List_PQ!C75="","",Associates_Call_List_PQ!C75)</f>
        <v>Catherine</v>
      </c>
      <c r="D75" s="57" t="str">
        <f>IF(Associates_Call_List_PQ!D75="","",Associates_Call_List_PQ!D75)</f>
        <v>Scottsdale</v>
      </c>
      <c r="E75" s="58">
        <f>IF(Associates_Call_List_PQ!E75="","",Associates_Call_List_PQ!E75)</f>
        <v>85254</v>
      </c>
      <c r="F75" s="57" t="str">
        <f>IF(Associates_Call_List_PQ!F75="","",Associates_Call_List_PQ!F75)</f>
        <v>Form letter</v>
      </c>
      <c r="G75" s="57" t="str">
        <f>IF(Associates_Call_List_PQ!G75="","",Associates_Call_List_PQ!G75)</f>
        <v>https://images.edocket.azcc.gov/docketpdf/E000046155.pdf</v>
      </c>
      <c r="H75" s="59" t="str">
        <f>IF(Associates_Call_List_PQ!H75="","",Associates_Call_List_PQ!H75)</f>
        <v>3411891368</v>
      </c>
      <c r="I75" s="57" t="str">
        <f>IF(Associates_Call_List_PQ!I75="","",Associates_Call_List_PQ!I75)</f>
        <v>R3-47</v>
      </c>
      <c r="J75" s="57" t="str">
        <f>IF(Associates_Call_List_PQ!J75="","",Associates_Call_List_PQ!J75)</f>
        <v>No</v>
      </c>
      <c r="K75" s="57" t="str">
        <f>IF(Associates_Call_List_PQ!K75="","",Associates_Call_List_PQ!K75)</f>
        <v>No</v>
      </c>
      <c r="L75" s="57" t="str">
        <f>IF(Associates_Call_List_PQ!L75="","",Associates_Call_List_PQ!L75)</f>
        <v>Yes</v>
      </c>
      <c r="M75" s="57" t="str">
        <f>IF(Associates_Call_List_PQ!M75="","",Associates_Call_List_PQ!M75)</f>
        <v>No</v>
      </c>
      <c r="N75" s="57" t="str">
        <f>IF(Associates_Call_List_PQ!N75="","",Associates_Call_List_PQ!N75)</f>
        <v>No</v>
      </c>
      <c r="O75" s="57" t="str">
        <f>IF(Associates_Call_List_PQ!O75="","",Associates_Call_List_PQ!O75)</f>
        <v>Yes</v>
      </c>
      <c r="P75" s="57" t="str">
        <f>IF(Associates_Call_List_PQ!P75="","",Associates_Call_List_PQ!P75)</f>
        <v>N</v>
      </c>
      <c r="Q75" s="57">
        <f>IF(Associates_Call_List_PQ!Q75="","",Associates_Call_List_PQ!Q75)</f>
        <v>45968</v>
      </c>
      <c r="R75" s="57" t="str">
        <f>IF(Associates_Call_List_PQ!R75="","",Associates_Call_List_PQ!R75)</f>
        <v/>
      </c>
      <c r="S75" s="57" t="str">
        <f>IF(Associates_Call_List_PQ!S75="","",Associates_Call_List_PQ!S75)</f>
        <v/>
      </c>
      <c r="T75" s="57" t="str">
        <f>IF(Associates_Call_List_PQ!T75="","",Associates_Call_List_PQ!T75)</f>
        <v/>
      </c>
      <c r="U75" s="57" t="str">
        <f>IF(Associates_Call_List_PQ!U75="","",Associates_Call_List_PQ!U75)</f>
        <v/>
      </c>
      <c r="V75" s="68"/>
      <c r="W75" s="68" t="s">
        <v>5432</v>
      </c>
      <c r="X75" s="68"/>
      <c r="Y75" s="68"/>
      <c r="Z75" s="72"/>
    </row>
    <row r="76" spans="1:26">
      <c r="A76" s="71">
        <f>IFERROR(Associates_Call_List_PQ!A76,"")</f>
        <v>45902</v>
      </c>
      <c r="B76" s="57" t="str">
        <f>IF(Associates_Call_List_PQ!B76="","",Associates_Call_List_PQ!B76)</f>
        <v>Norton</v>
      </c>
      <c r="C76" s="57" t="str">
        <f>IF(Associates_Call_List_PQ!C76="","",Associates_Call_List_PQ!C76)</f>
        <v>Colin</v>
      </c>
      <c r="D76" s="57" t="str">
        <f>IF(Associates_Call_List_PQ!D76="","",Associates_Call_List_PQ!D76)</f>
        <v>Phoenix</v>
      </c>
      <c r="E76" s="58">
        <f>IF(Associates_Call_List_PQ!E76="","",Associates_Call_List_PQ!E76)</f>
        <v>85032</v>
      </c>
      <c r="F76" s="57" t="str">
        <f>IF(Associates_Call_List_PQ!F76="","",Associates_Call_List_PQ!F76)</f>
        <v>Form letter</v>
      </c>
      <c r="G76" s="57" t="str">
        <f>IF(Associates_Call_List_PQ!G76="","",Associates_Call_List_PQ!G76)</f>
        <v>https://images.edocket.azcc.gov/docketpdf/E000046155.pdf</v>
      </c>
      <c r="H76" s="59" t="str">
        <f>IF(Associates_Call_List_PQ!H76="","",Associates_Call_List_PQ!H76)</f>
        <v>4659820000</v>
      </c>
      <c r="I76" s="57" t="str">
        <f>IF(Associates_Call_List_PQ!I76="","",Associates_Call_List_PQ!I76)</f>
        <v>RTOUE47</v>
      </c>
      <c r="J76" s="57" t="str">
        <f>IF(Associates_Call_List_PQ!J76="","",Associates_Call_List_PQ!J76)</f>
        <v>No</v>
      </c>
      <c r="K76" s="57" t="str">
        <f>IF(Associates_Call_List_PQ!K76="","",Associates_Call_List_PQ!K76)</f>
        <v>No</v>
      </c>
      <c r="L76" s="57" t="str">
        <f>IF(Associates_Call_List_PQ!L76="","",Associates_Call_List_PQ!L76)</f>
        <v>No-MEP R3-47($453.80)</v>
      </c>
      <c r="M76" s="57" t="str">
        <f>IF(Associates_Call_List_PQ!M76="","",Associates_Call_List_PQ!M76)</f>
        <v>No</v>
      </c>
      <c r="N76" s="57" t="str">
        <f>IF(Associates_Call_List_PQ!N76="","",Associates_Call_List_PQ!N76)</f>
        <v>No</v>
      </c>
      <c r="O76" s="57" t="str">
        <f>IF(Associates_Call_List_PQ!O76="","",Associates_Call_List_PQ!O76)</f>
        <v>Yes</v>
      </c>
      <c r="P76" s="57">
        <f>IF(Associates_Call_List_PQ!P76="","",Associates_Call_List_PQ!P76)</f>
        <v>45932</v>
      </c>
      <c r="Q76" s="57">
        <f>IF(Associates_Call_List_PQ!Q76="","",Associates_Call_List_PQ!Q76)</f>
        <v>45968</v>
      </c>
      <c r="R76" s="57" t="str">
        <f>IF(Associates_Call_List_PQ!R76="","",Associates_Call_List_PQ!R76)</f>
        <v xml:space="preserve">10/2 Spoke with customer and provided information regarding MEP. He wanted to review the details online. Also provided the information is available on his bill each month. Offered our number if he had any questions. </v>
      </c>
      <c r="S76" s="57" t="str">
        <f>IF(Associates_Call_List_PQ!S76="","",Associates_Call_List_PQ!S76)</f>
        <v/>
      </c>
      <c r="T76" s="57" t="str">
        <f>IF(Associates_Call_List_PQ!T76="","",Associates_Call_List_PQ!T76)</f>
        <v/>
      </c>
      <c r="U76" s="57" t="str">
        <f>IF(Associates_Call_List_PQ!U76="","",Associates_Call_List_PQ!U76)</f>
        <v/>
      </c>
      <c r="V76" s="68" t="s">
        <v>5433</v>
      </c>
      <c r="W76" s="68">
        <v>46018</v>
      </c>
      <c r="X76" s="68" t="s">
        <v>5434</v>
      </c>
      <c r="Y76" s="68"/>
      <c r="Z76" s="72"/>
    </row>
    <row r="77" spans="1:26">
      <c r="A77" s="71">
        <f>IFERROR(Associates_Call_List_PQ!A77,"")</f>
        <v>45902</v>
      </c>
      <c r="B77" s="57" t="str">
        <f>IF(Associates_Call_List_PQ!B77="","",Associates_Call_List_PQ!B77)</f>
        <v>Lindsey</v>
      </c>
      <c r="C77" s="57" t="str">
        <f>IF(Associates_Call_List_PQ!C77="","",Associates_Call_List_PQ!C77)</f>
        <v>Alexander</v>
      </c>
      <c r="D77" s="57" t="str">
        <f>IF(Associates_Call_List_PQ!D77="","",Associates_Call_List_PQ!D77)</f>
        <v>Scottsdale</v>
      </c>
      <c r="E77" s="58">
        <f>IF(Associates_Call_List_PQ!E77="","",Associates_Call_List_PQ!E77)</f>
        <v>85260</v>
      </c>
      <c r="F77" s="57" t="str">
        <f>IF(Associates_Call_List_PQ!F77="","",Associates_Call_List_PQ!F77)</f>
        <v>Form letter</v>
      </c>
      <c r="G77" s="57" t="str">
        <f>IF(Associates_Call_List_PQ!G77="","",Associates_Call_List_PQ!G77)</f>
        <v>https://images.edocket.azcc.gov/docketpdf/E000046155.pdf</v>
      </c>
      <c r="H77" s="59" t="str">
        <f>IF(Associates_Call_List_PQ!H77="","",Associates_Call_List_PQ!H77)</f>
        <v>26172433356</v>
      </c>
      <c r="I77" s="57" t="str">
        <f>IF(Associates_Call_List_PQ!I77="","",Associates_Call_List_PQ!I77)</f>
        <v>R-BASIC</v>
      </c>
      <c r="J77" s="57" t="str">
        <f>IF(Associates_Call_List_PQ!J77="","",Associates_Call_List_PQ!J77)</f>
        <v>No</v>
      </c>
      <c r="K77" s="57" t="str">
        <f>IF(Associates_Call_List_PQ!K77="","",Associates_Call_List_PQ!K77)</f>
        <v>No</v>
      </c>
      <c r="L77" s="57" t="str">
        <f>IF(Associates_Call_List_PQ!L77="","",Associates_Call_List_PQ!L77)</f>
        <v>Yes</v>
      </c>
      <c r="M77" s="57" t="str">
        <f>IF(Associates_Call_List_PQ!M77="","",Associates_Call_List_PQ!M77)</f>
        <v>No</v>
      </c>
      <c r="N77" s="57" t="str">
        <f>IF(Associates_Call_List_PQ!N77="","",Associates_Call_List_PQ!N77)</f>
        <v>No</v>
      </c>
      <c r="O77" s="57" t="str">
        <f>IF(Associates_Call_List_PQ!O77="","",Associates_Call_List_PQ!O77)</f>
        <v>Yes</v>
      </c>
      <c r="P77" s="57" t="str">
        <f>IF(Associates_Call_List_PQ!P77="","",Associates_Call_List_PQ!P77)</f>
        <v>N</v>
      </c>
      <c r="Q77" s="57">
        <f>IF(Associates_Call_List_PQ!Q77="","",Associates_Call_List_PQ!Q77)</f>
        <v>45968</v>
      </c>
      <c r="R77" s="57" t="str">
        <f>IF(Associates_Call_List_PQ!R77="","",Associates_Call_List_PQ!R77)</f>
        <v/>
      </c>
      <c r="S77" s="57" t="str">
        <f>IF(Associates_Call_List_PQ!S77="","",Associates_Call_List_PQ!S77)</f>
        <v/>
      </c>
      <c r="T77" s="57" t="str">
        <f>IF(Associates_Call_List_PQ!T77="","",Associates_Call_List_PQ!T77)</f>
        <v/>
      </c>
      <c r="U77" s="57" t="str">
        <f>IF(Associates_Call_List_PQ!U77="","",Associates_Call_List_PQ!U77)</f>
        <v/>
      </c>
      <c r="V77" s="68"/>
      <c r="W77" s="68" t="s">
        <v>5432</v>
      </c>
      <c r="X77" s="68"/>
      <c r="Y77" s="68"/>
      <c r="Z77" s="72"/>
    </row>
    <row r="78" spans="1:26">
      <c r="A78" s="71">
        <f>IFERROR(Associates_Call_List_PQ!A78,"")</f>
        <v>45902</v>
      </c>
      <c r="B78" s="57" t="str">
        <f>IF(Associates_Call_List_PQ!B78="","",Associates_Call_List_PQ!B78)</f>
        <v>Koduri</v>
      </c>
      <c r="C78" s="57" t="str">
        <f>IF(Associates_Call_List_PQ!C78="","",Associates_Call_List_PQ!C78)</f>
        <v>Divya</v>
      </c>
      <c r="D78" s="57" t="str">
        <f>IF(Associates_Call_List_PQ!D78="","",Associates_Call_List_PQ!D78)</f>
        <v>Scottsdale</v>
      </c>
      <c r="E78" s="58">
        <f>IF(Associates_Call_List_PQ!E78="","",Associates_Call_List_PQ!E78)</f>
        <v>85255</v>
      </c>
      <c r="F78" s="57" t="str">
        <f>IF(Associates_Call_List_PQ!F78="","",Associates_Call_List_PQ!F78)</f>
        <v>Form letter</v>
      </c>
      <c r="G78" s="57" t="str">
        <f>IF(Associates_Call_List_PQ!G78="","",Associates_Call_List_PQ!G78)</f>
        <v>https://images.edocket.azcc.gov/docketpdf/E000046155.pdf</v>
      </c>
      <c r="H78" s="59" t="str">
        <f>IF(Associates_Call_List_PQ!H78="","",Associates_Call_List_PQ!H78)</f>
        <v>4242991952</v>
      </c>
      <c r="I78" s="57" t="str">
        <f>IF(Associates_Call_List_PQ!I78="","",Associates_Call_List_PQ!I78)</f>
        <v xml:space="preserve">R-XS </v>
      </c>
      <c r="J78" s="57" t="str">
        <f>IF(Associates_Call_List_PQ!J78="","",Associates_Call_List_PQ!J78)</f>
        <v>No</v>
      </c>
      <c r="K78" s="57" t="str">
        <f>IF(Associates_Call_List_PQ!K78="","",Associates_Call_List_PQ!K78)</f>
        <v>No</v>
      </c>
      <c r="L78" s="57" t="str">
        <f>IF(Associates_Call_List_PQ!L78="","",Associates_Call_List_PQ!L78)</f>
        <v>Yes</v>
      </c>
      <c r="M78" s="57" t="str">
        <f>IF(Associates_Call_List_PQ!M78="","",Associates_Call_List_PQ!M78)</f>
        <v>No</v>
      </c>
      <c r="N78" s="57" t="str">
        <f>IF(Associates_Call_List_PQ!N78="","",Associates_Call_List_PQ!N78)</f>
        <v>No</v>
      </c>
      <c r="O78" s="57" t="str">
        <f>IF(Associates_Call_List_PQ!O78="","",Associates_Call_List_PQ!O78)</f>
        <v>Yes</v>
      </c>
      <c r="P78" s="57" t="str">
        <f>IF(Associates_Call_List_PQ!P78="","",Associates_Call_List_PQ!P78)</f>
        <v>N</v>
      </c>
      <c r="Q78" s="57">
        <f>IF(Associates_Call_List_PQ!Q78="","",Associates_Call_List_PQ!Q78)</f>
        <v>45968</v>
      </c>
      <c r="R78" s="57" t="str">
        <f>IF(Associates_Call_List_PQ!R78="","",Associates_Call_List_PQ!R78)</f>
        <v/>
      </c>
      <c r="S78" s="57" t="str">
        <f>IF(Associates_Call_List_PQ!S78="","",Associates_Call_List_PQ!S78)</f>
        <v/>
      </c>
      <c r="T78" s="57" t="str">
        <f>IF(Associates_Call_List_PQ!T78="","",Associates_Call_List_PQ!T78)</f>
        <v/>
      </c>
      <c r="U78" s="57" t="s">
        <v>5494</v>
      </c>
      <c r="V78" s="68" t="s">
        <v>117</v>
      </c>
      <c r="W78" s="68">
        <v>46067</v>
      </c>
      <c r="X78" s="68" t="s">
        <v>5434</v>
      </c>
      <c r="Y78" s="68"/>
      <c r="Z78" s="72"/>
    </row>
    <row r="79" spans="1:26">
      <c r="A79" s="71">
        <f>IFERROR(Associates_Call_List_PQ!A79,"")</f>
        <v>45902</v>
      </c>
      <c r="B79" s="57" t="str">
        <f>IF(Associates_Call_List_PQ!B79="","",Associates_Call_List_PQ!B79)</f>
        <v>Bauman</v>
      </c>
      <c r="C79" s="57" t="str">
        <f>IF(Associates_Call_List_PQ!C79="","",Associates_Call_List_PQ!C79)</f>
        <v>Cody</v>
      </c>
      <c r="D79" s="57" t="str">
        <f>IF(Associates_Call_List_PQ!D79="","",Associates_Call_List_PQ!D79)</f>
        <v>Chino Valley</v>
      </c>
      <c r="E79" s="58">
        <f>IF(Associates_Call_List_PQ!E79="","",Associates_Call_List_PQ!E79)</f>
        <v>86323</v>
      </c>
      <c r="F79" s="57" t="str">
        <f>IF(Associates_Call_List_PQ!F79="","",Associates_Call_List_PQ!F79)</f>
        <v>Form letter</v>
      </c>
      <c r="G79" s="57" t="str">
        <f>IF(Associates_Call_List_PQ!G79="","",Associates_Call_List_PQ!G79)</f>
        <v>https://images.edocket.azcc.gov/docketpdf/E000046155.pdf</v>
      </c>
      <c r="H79" s="59" t="str">
        <f>IF(Associates_Call_List_PQ!H79="","",Associates_Call_List_PQ!H79)</f>
        <v>2773271262</v>
      </c>
      <c r="I79" s="57" t="str">
        <f>IF(Associates_Call_List_PQ!I79="","",Associates_Call_List_PQ!I79)</f>
        <v xml:space="preserve">R-XS </v>
      </c>
      <c r="J79" s="57" t="str">
        <f>IF(Associates_Call_List_PQ!J79="","",Associates_Call_List_PQ!J79)</f>
        <v>No</v>
      </c>
      <c r="K79" s="57" t="str">
        <f>IF(Associates_Call_List_PQ!K79="","",Associates_Call_List_PQ!K79)</f>
        <v>No</v>
      </c>
      <c r="L79" s="57" t="str">
        <f>IF(Associates_Call_List_PQ!L79="","",Associates_Call_List_PQ!L79)</f>
        <v>Yes</v>
      </c>
      <c r="M79" s="57" t="str">
        <f>IF(Associates_Call_List_PQ!M79="","",Associates_Call_List_PQ!M79)</f>
        <v>No</v>
      </c>
      <c r="N79" s="57" t="str">
        <f>IF(Associates_Call_List_PQ!N79="","",Associates_Call_List_PQ!N79)</f>
        <v>No</v>
      </c>
      <c r="O79" s="57" t="str">
        <f>IF(Associates_Call_List_PQ!O79="","",Associates_Call_List_PQ!O79)</f>
        <v>Yes</v>
      </c>
      <c r="P79" s="57" t="str">
        <f>IF(Associates_Call_List_PQ!P79="","",Associates_Call_List_PQ!P79)</f>
        <v>N</v>
      </c>
      <c r="Q79" s="57">
        <f>IF(Associates_Call_List_PQ!Q79="","",Associates_Call_List_PQ!Q79)</f>
        <v>45968</v>
      </c>
      <c r="R79" s="57" t="str">
        <f>IF(Associates_Call_List_PQ!R79="","",Associates_Call_List_PQ!R79)</f>
        <v/>
      </c>
      <c r="S79" s="57" t="str">
        <f>IF(Associates_Call_List_PQ!S79="","",Associates_Call_List_PQ!S79)</f>
        <v/>
      </c>
      <c r="T79" s="57" t="str">
        <f>IF(Associates_Call_List_PQ!T79="","",Associates_Call_List_PQ!T79)</f>
        <v/>
      </c>
      <c r="U79" s="57" t="str">
        <f>IF(Associates_Call_List_PQ!U79="","",Associates_Call_List_PQ!U79)</f>
        <v/>
      </c>
      <c r="V79" s="68"/>
      <c r="W79" s="68" t="s">
        <v>5432</v>
      </c>
      <c r="X79" s="68"/>
      <c r="Y79" s="68"/>
      <c r="Z79" s="72"/>
    </row>
    <row r="80" spans="1:26">
      <c r="A80" s="71">
        <f>IFERROR(Associates_Call_List_PQ!A80,"")</f>
        <v>45902</v>
      </c>
      <c r="B80" s="57" t="str">
        <f>IF(Associates_Call_List_PQ!B80="","",Associates_Call_List_PQ!B80)</f>
        <v>Lyngaas</v>
      </c>
      <c r="C80" s="57" t="str">
        <f>IF(Associates_Call_List_PQ!C80="","",Associates_Call_List_PQ!C80)</f>
        <v>Owen</v>
      </c>
      <c r="D80" s="57" t="str">
        <f>IF(Associates_Call_List_PQ!D80="","",Associates_Call_List_PQ!D80)</f>
        <v>Scottsdale</v>
      </c>
      <c r="E80" s="58">
        <f>IF(Associates_Call_List_PQ!E80="","",Associates_Call_List_PQ!E80)</f>
        <v>85255</v>
      </c>
      <c r="F80" s="57" t="str">
        <f>IF(Associates_Call_List_PQ!F80="","",Associates_Call_List_PQ!F80)</f>
        <v>Form letter</v>
      </c>
      <c r="G80" s="57" t="str">
        <f>IF(Associates_Call_List_PQ!G80="","",Associates_Call_List_PQ!G80)</f>
        <v>https://images.edocket.azcc.gov/docketpdf/E000046155.pdf</v>
      </c>
      <c r="H80" s="59" t="str">
        <f>IF(Associates_Call_List_PQ!H80="","",Associates_Call_List_PQ!H80)</f>
        <v>2371502355</v>
      </c>
      <c r="I80" s="57" t="str">
        <f>IF(Associates_Call_List_PQ!I80="","",Associates_Call_List_PQ!I80)</f>
        <v xml:space="preserve">R-XS </v>
      </c>
      <c r="J80" s="57" t="str">
        <f>IF(Associates_Call_List_PQ!J80="","",Associates_Call_List_PQ!J80)</f>
        <v>No</v>
      </c>
      <c r="K80" s="57" t="str">
        <f>IF(Associates_Call_List_PQ!K80="","",Associates_Call_List_PQ!K80)</f>
        <v>No</v>
      </c>
      <c r="L80" s="57" t="str">
        <f>IF(Associates_Call_List_PQ!L80="","",Associates_Call_List_PQ!L80)</f>
        <v>Yes</v>
      </c>
      <c r="M80" s="57" t="str">
        <f>IF(Associates_Call_List_PQ!M80="","",Associates_Call_List_PQ!M80)</f>
        <v>No</v>
      </c>
      <c r="N80" s="57" t="str">
        <f>IF(Associates_Call_List_PQ!N80="","",Associates_Call_List_PQ!N80)</f>
        <v>No</v>
      </c>
      <c r="O80" s="57" t="str">
        <f>IF(Associates_Call_List_PQ!O80="","",Associates_Call_List_PQ!O80)</f>
        <v>Yes</v>
      </c>
      <c r="P80" s="57" t="str">
        <f>IF(Associates_Call_List_PQ!P80="","",Associates_Call_List_PQ!P80)</f>
        <v>N</v>
      </c>
      <c r="Q80" s="57">
        <f>IF(Associates_Call_List_PQ!Q80="","",Associates_Call_List_PQ!Q80)</f>
        <v>45968</v>
      </c>
      <c r="R80" s="57" t="str">
        <f>IF(Associates_Call_List_PQ!R80="","",Associates_Call_List_PQ!R80)</f>
        <v/>
      </c>
      <c r="S80" s="57" t="str">
        <f>IF(Associates_Call_List_PQ!S80="","",Associates_Call_List_PQ!S80)</f>
        <v/>
      </c>
      <c r="T80" s="57" t="str">
        <f>IF(Associates_Call_List_PQ!T80="","",Associates_Call_List_PQ!T80)</f>
        <v/>
      </c>
      <c r="U80" s="57" t="s">
        <v>5494</v>
      </c>
      <c r="V80" s="68" t="s">
        <v>117</v>
      </c>
      <c r="W80" s="68">
        <v>46067</v>
      </c>
      <c r="X80" s="68" t="s">
        <v>5434</v>
      </c>
      <c r="Y80" s="68"/>
      <c r="Z80" s="72"/>
    </row>
    <row r="81" spans="1:26">
      <c r="A81" s="71">
        <f>IFERROR(Associates_Call_List_PQ!A81,"")</f>
        <v>45902</v>
      </c>
      <c r="B81" s="57" t="str">
        <f>IF(Associates_Call_List_PQ!B81="","",Associates_Call_List_PQ!B81)</f>
        <v>Peluso</v>
      </c>
      <c r="C81" s="57" t="str">
        <f>IF(Associates_Call_List_PQ!C81="","",Associates_Call_List_PQ!C81)</f>
        <v>Colin</v>
      </c>
      <c r="D81" s="57" t="str">
        <f>IF(Associates_Call_List_PQ!D81="","",Associates_Call_List_PQ!D81)</f>
        <v>Scottsdale</v>
      </c>
      <c r="E81" s="58">
        <f>IF(Associates_Call_List_PQ!E81="","",Associates_Call_List_PQ!E81)</f>
        <v>85254</v>
      </c>
      <c r="F81" s="57" t="str">
        <f>IF(Associates_Call_List_PQ!F81="","",Associates_Call_List_PQ!F81)</f>
        <v>Form letter</v>
      </c>
      <c r="G81" s="57" t="str">
        <f>IF(Associates_Call_List_PQ!G81="","",Associates_Call_List_PQ!G81)</f>
        <v>https://images.edocket.azcc.gov/docketpdf/E000046155.pdf</v>
      </c>
      <c r="H81" s="59" t="str">
        <f>IF(Associates_Call_List_PQ!H81="","",Associates_Call_List_PQ!H81)</f>
        <v>4056801020</v>
      </c>
      <c r="I81" s="57" t="str">
        <f>IF(Associates_Call_List_PQ!I81="","",Associates_Call_List_PQ!I81)</f>
        <v>R3-47</v>
      </c>
      <c r="J81" s="57" t="str">
        <f>IF(Associates_Call_List_PQ!J81="","",Associates_Call_List_PQ!J81)</f>
        <v>No</v>
      </c>
      <c r="K81" s="57" t="str">
        <f>IF(Associates_Call_List_PQ!K81="","",Associates_Call_List_PQ!K81)</f>
        <v>No</v>
      </c>
      <c r="L81" s="57" t="str">
        <f>IF(Associates_Call_List_PQ!L81="","",Associates_Call_List_PQ!L81)</f>
        <v>Yes</v>
      </c>
      <c r="M81" s="57" t="str">
        <f>IF(Associates_Call_List_PQ!M81="","",Associates_Call_List_PQ!M81)</f>
        <v>No</v>
      </c>
      <c r="N81" s="57" t="str">
        <f>IF(Associates_Call_List_PQ!N81="","",Associates_Call_List_PQ!N81)</f>
        <v>No</v>
      </c>
      <c r="O81" s="57" t="str">
        <f>IF(Associates_Call_List_PQ!O81="","",Associates_Call_List_PQ!O81)</f>
        <v>Yes</v>
      </c>
      <c r="P81" s="57" t="str">
        <f>IF(Associates_Call_List_PQ!P81="","",Associates_Call_List_PQ!P81)</f>
        <v>N</v>
      </c>
      <c r="Q81" s="57">
        <f>IF(Associates_Call_List_PQ!Q81="","",Associates_Call_List_PQ!Q81)</f>
        <v>45968</v>
      </c>
      <c r="R81" s="57" t="str">
        <f>IF(Associates_Call_List_PQ!R81="","",Associates_Call_List_PQ!R81)</f>
        <v/>
      </c>
      <c r="S81" s="57" t="str">
        <f>IF(Associates_Call_List_PQ!S81="","",Associates_Call_List_PQ!S81)</f>
        <v/>
      </c>
      <c r="T81" s="57" t="str">
        <f>IF(Associates_Call_List_PQ!T81="","",Associates_Call_List_PQ!T81)</f>
        <v/>
      </c>
      <c r="U81" s="57" t="str">
        <f>IF(Associates_Call_List_PQ!U81="","",Associates_Call_List_PQ!U81)</f>
        <v/>
      </c>
      <c r="V81" s="68"/>
      <c r="W81" s="68" t="s">
        <v>5432</v>
      </c>
      <c r="X81" s="68"/>
      <c r="Y81" s="68"/>
      <c r="Z81" s="72"/>
    </row>
    <row r="82" spans="1:26">
      <c r="A82" s="71">
        <f>IFERROR(Associates_Call_List_PQ!A82,"")</f>
        <v>45902</v>
      </c>
      <c r="B82" s="57" t="str">
        <f>IF(Associates_Call_List_PQ!B82="","",Associates_Call_List_PQ!B82)</f>
        <v>Scaminaci</v>
      </c>
      <c r="C82" s="57" t="str">
        <f>IF(Associates_Call_List_PQ!C82="","",Associates_Call_List_PQ!C82)</f>
        <v>Todd</v>
      </c>
      <c r="D82" s="57" t="str">
        <f>IF(Associates_Call_List_PQ!D82="","",Associates_Call_List_PQ!D82)</f>
        <v>Phoenix</v>
      </c>
      <c r="E82" s="58">
        <f>IF(Associates_Call_List_PQ!E82="","",Associates_Call_List_PQ!E82)</f>
        <v>85024</v>
      </c>
      <c r="F82" s="57" t="str">
        <f>IF(Associates_Call_List_PQ!F82="","",Associates_Call_List_PQ!F82)</f>
        <v>Form letter</v>
      </c>
      <c r="G82" s="57" t="str">
        <f>IF(Associates_Call_List_PQ!G82="","",Associates_Call_List_PQ!G82)</f>
        <v>https://images.edocket.azcc.gov/docketpdf/E000046155.pdf</v>
      </c>
      <c r="H82" s="59" t="str">
        <f>IF(Associates_Call_List_PQ!H82="","",Associates_Call_List_PQ!H82)</f>
        <v>6322573684</v>
      </c>
      <c r="I82" s="57" t="str">
        <f>IF(Associates_Call_List_PQ!I82="","",Associates_Call_List_PQ!I82)</f>
        <v>EPR-6w/ET-2</v>
      </c>
      <c r="J82" s="57" t="str">
        <f>IF(Associates_Call_List_PQ!J82="","",Associates_Call_List_PQ!J82)</f>
        <v>No</v>
      </c>
      <c r="K82" s="57" t="str">
        <f>IF(Associates_Call_List_PQ!K82="","",Associates_Call_List_PQ!K82)</f>
        <v>No</v>
      </c>
      <c r="L82" s="57" t="str">
        <f>IF(Associates_Call_List_PQ!L82="","",Associates_Call_List_PQ!L82)</f>
        <v>Frozen Rate</v>
      </c>
      <c r="M82" s="57" t="str">
        <f>IF(Associates_Call_List_PQ!M82="","",Associates_Call_List_PQ!M82)</f>
        <v>No</v>
      </c>
      <c r="N82" s="57" t="str">
        <f>IF(Associates_Call_List_PQ!N82="","",Associates_Call_List_PQ!N82)</f>
        <v>No</v>
      </c>
      <c r="O82" s="57" t="str">
        <f>IF(Associates_Call_List_PQ!O82="","",Associates_Call_List_PQ!O82)</f>
        <v>Yes</v>
      </c>
      <c r="P82" s="57" t="str">
        <f>IF(Associates_Call_List_PQ!P82="","",Associates_Call_List_PQ!P82)</f>
        <v>N</v>
      </c>
      <c r="Q82" s="57">
        <f>IF(Associates_Call_List_PQ!Q82="","",Associates_Call_List_PQ!Q82)</f>
        <v>45968</v>
      </c>
      <c r="R82" s="57" t="str">
        <f>IF(Associates_Call_List_PQ!R82="","",Associates_Call_List_PQ!R82)</f>
        <v/>
      </c>
      <c r="S82" s="57" t="str">
        <f>IF(Associates_Call_List_PQ!S82="","",Associates_Call_List_PQ!S82)</f>
        <v/>
      </c>
      <c r="T82" s="57" t="str">
        <f>IF(Associates_Call_List_PQ!T82="","",Associates_Call_List_PQ!T82)</f>
        <v/>
      </c>
      <c r="U82" s="57" t="s">
        <v>5516</v>
      </c>
      <c r="V82" s="68" t="s">
        <v>117</v>
      </c>
      <c r="W82" s="68">
        <v>46067</v>
      </c>
      <c r="X82" s="68" t="s">
        <v>5434</v>
      </c>
      <c r="Y82" s="68"/>
      <c r="Z82" s="72" t="s">
        <v>5503</v>
      </c>
    </row>
    <row r="83" spans="1:26">
      <c r="A83" s="71">
        <f>IFERROR(Associates_Call_List_PQ!A83,"")</f>
        <v>45902</v>
      </c>
      <c r="B83" s="57" t="str">
        <f>IF(Associates_Call_List_PQ!B83="","",Associates_Call_List_PQ!B83)</f>
        <v>Bailey</v>
      </c>
      <c r="C83" s="57" t="str">
        <f>IF(Associates_Call_List_PQ!C83="","",Associates_Call_List_PQ!C83)</f>
        <v>Isaiah</v>
      </c>
      <c r="D83" s="57" t="str">
        <f>IF(Associates_Call_List_PQ!D83="","",Associates_Call_List_PQ!D83)</f>
        <v>Phoenix</v>
      </c>
      <c r="E83" s="58">
        <f>IF(Associates_Call_List_PQ!E83="","",Associates_Call_List_PQ!E83)</f>
        <v>85008</v>
      </c>
      <c r="F83" s="57" t="str">
        <f>IF(Associates_Call_List_PQ!F83="","",Associates_Call_List_PQ!F83)</f>
        <v>Form letter</v>
      </c>
      <c r="G83" s="57" t="str">
        <f>IF(Associates_Call_List_PQ!G83="","",Associates_Call_List_PQ!G83)</f>
        <v>https://images.edocket.azcc.gov/docketpdf/E000046155.pdf</v>
      </c>
      <c r="H83" s="59" t="str">
        <f>IF(Associates_Call_List_PQ!H83="","",Associates_Call_List_PQ!H83)</f>
        <v>6460103590</v>
      </c>
      <c r="I83" s="57" t="str">
        <f>IF(Associates_Call_List_PQ!I83="","",Associates_Call_List_PQ!I83)</f>
        <v>R3-47</v>
      </c>
      <c r="J83" s="57" t="str">
        <f>IF(Associates_Call_List_PQ!J83="","",Associates_Call_List_PQ!J83)</f>
        <v>No</v>
      </c>
      <c r="K83" s="57" t="str">
        <f>IF(Associates_Call_List_PQ!K83="","",Associates_Call_List_PQ!K83)</f>
        <v>No</v>
      </c>
      <c r="L83" s="57" t="str">
        <f>IF(Associates_Call_List_PQ!L83="","",Associates_Call_List_PQ!L83)</f>
        <v>Yes</v>
      </c>
      <c r="M83" s="57" t="str">
        <f>IF(Associates_Call_List_PQ!M83="","",Associates_Call_List_PQ!M83)</f>
        <v>No</v>
      </c>
      <c r="N83" s="57" t="str">
        <f>IF(Associates_Call_List_PQ!N83="","",Associates_Call_List_PQ!N83)</f>
        <v>No</v>
      </c>
      <c r="O83" s="57" t="str">
        <f>IF(Associates_Call_List_PQ!O83="","",Associates_Call_List_PQ!O83)</f>
        <v>Yes</v>
      </c>
      <c r="P83" s="57" t="str">
        <f>IF(Associates_Call_List_PQ!P83="","",Associates_Call_List_PQ!P83)</f>
        <v>N</v>
      </c>
      <c r="Q83" s="57">
        <f>IF(Associates_Call_List_PQ!Q83="","",Associates_Call_List_PQ!Q83)</f>
        <v>45968</v>
      </c>
      <c r="R83" s="57" t="str">
        <f>IF(Associates_Call_List_PQ!R83="","",Associates_Call_List_PQ!R83)</f>
        <v/>
      </c>
      <c r="S83" s="57" t="str">
        <f>IF(Associates_Call_List_PQ!S83="","",Associates_Call_List_PQ!S83)</f>
        <v/>
      </c>
      <c r="T83" s="57" t="str">
        <f>IF(Associates_Call_List_PQ!T83="","",Associates_Call_List_PQ!T83)</f>
        <v/>
      </c>
      <c r="U83" s="57" t="str">
        <f>IF(Associates_Call_List_PQ!U83="","",Associates_Call_List_PQ!U83)</f>
        <v/>
      </c>
      <c r="V83" s="68"/>
      <c r="W83" s="68" t="s">
        <v>5432</v>
      </c>
      <c r="X83" s="68"/>
      <c r="Y83" s="68"/>
      <c r="Z83" s="72"/>
    </row>
    <row r="84" spans="1:26">
      <c r="A84" s="71">
        <f>IFERROR(Associates_Call_List_PQ!A84,"")</f>
        <v>45902</v>
      </c>
      <c r="B84" s="57" t="str">
        <f>IF(Associates_Call_List_PQ!B84="","",Associates_Call_List_PQ!B84)</f>
        <v>Nadolski</v>
      </c>
      <c r="C84" s="57" t="str">
        <f>IF(Associates_Call_List_PQ!C84="","",Associates_Call_List_PQ!C84)</f>
        <v>Andrew</v>
      </c>
      <c r="D84" s="57" t="str">
        <f>IF(Associates_Call_List_PQ!D84="","",Associates_Call_List_PQ!D84)</f>
        <v>Phoenix</v>
      </c>
      <c r="E84" s="58">
        <f>IF(Associates_Call_List_PQ!E84="","",Associates_Call_List_PQ!E84)</f>
        <v>85004</v>
      </c>
      <c r="F84" s="57" t="str">
        <f>IF(Associates_Call_List_PQ!F84="","",Associates_Call_List_PQ!F84)</f>
        <v>Form letter</v>
      </c>
      <c r="G84" s="57" t="str">
        <f>IF(Associates_Call_List_PQ!G84="","",Associates_Call_List_PQ!G84)</f>
        <v>https://images.edocket.azcc.gov/docketpdf/E000046155.pdf</v>
      </c>
      <c r="H84" s="59" t="str">
        <f>IF(Associates_Call_List_PQ!H84="","",Associates_Call_List_PQ!H84)</f>
        <v>4452990070</v>
      </c>
      <c r="I84" s="57" t="str">
        <f>IF(Associates_Call_List_PQ!I84="","",Associates_Call_List_PQ!I84)</f>
        <v xml:space="preserve">R-XS </v>
      </c>
      <c r="J84" s="57" t="str">
        <f>IF(Associates_Call_List_PQ!J84="","",Associates_Call_List_PQ!J84)</f>
        <v>No</v>
      </c>
      <c r="K84" s="57" t="str">
        <f>IF(Associates_Call_List_PQ!K84="","",Associates_Call_List_PQ!K84)</f>
        <v>No</v>
      </c>
      <c r="L84" s="57" t="str">
        <f>IF(Associates_Call_List_PQ!L84="","",Associates_Call_List_PQ!L84)</f>
        <v>Yes</v>
      </c>
      <c r="M84" s="57" t="str">
        <f>IF(Associates_Call_List_PQ!M84="","",Associates_Call_List_PQ!M84)</f>
        <v>No</v>
      </c>
      <c r="N84" s="57" t="str">
        <f>IF(Associates_Call_List_PQ!N84="","",Associates_Call_List_PQ!N84)</f>
        <v>No</v>
      </c>
      <c r="O84" s="57" t="str">
        <f>IF(Associates_Call_List_PQ!O84="","",Associates_Call_List_PQ!O84)</f>
        <v>Yes</v>
      </c>
      <c r="P84" s="57" t="str">
        <f>IF(Associates_Call_List_PQ!P84="","",Associates_Call_List_PQ!P84)</f>
        <v>N</v>
      </c>
      <c r="Q84" s="57">
        <f>IF(Associates_Call_List_PQ!Q84="","",Associates_Call_List_PQ!Q84)</f>
        <v>45968</v>
      </c>
      <c r="R84" s="57" t="str">
        <f>IF(Associates_Call_List_PQ!R84="","",Associates_Call_List_PQ!R84)</f>
        <v/>
      </c>
      <c r="S84" s="57" t="str">
        <f>IF(Associates_Call_List_PQ!S84="","",Associates_Call_List_PQ!S84)</f>
        <v/>
      </c>
      <c r="T84" s="57" t="str">
        <f>IF(Associates_Call_List_PQ!T84="","",Associates_Call_List_PQ!T84)</f>
        <v/>
      </c>
      <c r="U84" s="57" t="s">
        <v>5517</v>
      </c>
      <c r="V84" s="68" t="s">
        <v>117</v>
      </c>
      <c r="W84" s="68">
        <v>46067</v>
      </c>
      <c r="X84" s="68" t="s">
        <v>5405</v>
      </c>
      <c r="Y84" s="68" t="s">
        <v>5461</v>
      </c>
      <c r="Z84" s="72"/>
    </row>
    <row r="85" spans="1:26">
      <c r="A85" s="71">
        <f>IFERROR(Associates_Call_List_PQ!A85,"")</f>
        <v>45902</v>
      </c>
      <c r="B85" s="57" t="str">
        <f>IF(Associates_Call_List_PQ!B85="","",Associates_Call_List_PQ!B85)</f>
        <v>Vargo</v>
      </c>
      <c r="C85" s="57" t="str">
        <f>IF(Associates_Call_List_PQ!C85="","",Associates_Call_List_PQ!C85)</f>
        <v xml:space="preserve">Daniel </v>
      </c>
      <c r="D85" s="57" t="str">
        <f>IF(Associates_Call_List_PQ!D85="","",Associates_Call_List_PQ!D85)</f>
        <v>Phoenix</v>
      </c>
      <c r="E85" s="58">
        <f>IF(Associates_Call_List_PQ!E85="","",Associates_Call_List_PQ!E85)</f>
        <v>85050</v>
      </c>
      <c r="F85" s="57" t="str">
        <f>IF(Associates_Call_List_PQ!F85="","",Associates_Call_List_PQ!F85)</f>
        <v>Opposed</v>
      </c>
      <c r="G85" s="57" t="str">
        <f>IF(Associates_Call_List_PQ!G85="","",Associates_Call_List_PQ!G85)</f>
        <v>https://images.edocket.azcc.gov/docketpdf/E000046155.pdf</v>
      </c>
      <c r="H85" s="59" t="str">
        <f>IF(Associates_Call_List_PQ!H85="","",Associates_Call_List_PQ!H85)</f>
        <v xml:space="preserve">8999251000 </v>
      </c>
      <c r="I85" s="57" t="str">
        <f>IF(Associates_Call_List_PQ!I85="","",Associates_Call_List_PQ!I85)</f>
        <v>R3-47</v>
      </c>
      <c r="J85" s="57" t="str">
        <f>IF(Associates_Call_List_PQ!J85="","",Associates_Call_List_PQ!J85)</f>
        <v>No</v>
      </c>
      <c r="K85" s="57" t="str">
        <f>IF(Associates_Call_List_PQ!K85="","",Associates_Call_List_PQ!K85)</f>
        <v>No</v>
      </c>
      <c r="L85" s="57" t="str">
        <f>IF(Associates_Call_List_PQ!L85="","",Associates_Call_List_PQ!L85)</f>
        <v>Yes</v>
      </c>
      <c r="M85" s="57" t="str">
        <f>IF(Associates_Call_List_PQ!M85="","",Associates_Call_List_PQ!M85)</f>
        <v>No</v>
      </c>
      <c r="N85" s="57" t="str">
        <f>IF(Associates_Call_List_PQ!N85="","",Associates_Call_List_PQ!N85)</f>
        <v>No</v>
      </c>
      <c r="O85" s="57" t="str">
        <f>IF(Associates_Call_List_PQ!O85="","",Associates_Call_List_PQ!O85)</f>
        <v>Yes</v>
      </c>
      <c r="P85" s="57" t="str">
        <f>IF(Associates_Call_List_PQ!P85="","",Associates_Call_List_PQ!P85)</f>
        <v>N</v>
      </c>
      <c r="Q85" s="57">
        <f>IF(Associates_Call_List_PQ!Q85="","",Associates_Call_List_PQ!Q85)</f>
        <v>45968</v>
      </c>
      <c r="R85" s="57" t="str">
        <f>IF(Associates_Call_List_PQ!R85="","",Associates_Call_List_PQ!R85)</f>
        <v/>
      </c>
      <c r="S85" s="57" t="str">
        <f>IF(Associates_Call_List_PQ!S85="","",Associates_Call_List_PQ!S85)</f>
        <v/>
      </c>
      <c r="T85" s="57" t="str">
        <f>IF(Associates_Call_List_PQ!T85="","",Associates_Call_List_PQ!T85)</f>
        <v/>
      </c>
      <c r="U85" s="57" t="str">
        <f>IF(Associates_Call_List_PQ!U85="","",Associates_Call_List_PQ!U85)</f>
        <v/>
      </c>
      <c r="V85" s="68"/>
      <c r="W85" s="68" t="s">
        <v>5432</v>
      </c>
      <c r="X85" s="68"/>
      <c r="Y85" s="68"/>
      <c r="Z85" s="72"/>
    </row>
    <row r="86" spans="1:26">
      <c r="A86" s="71">
        <f>IFERROR(Associates_Call_List_PQ!A86,"")</f>
        <v>45902</v>
      </c>
      <c r="B86" s="57" t="str">
        <f>IF(Associates_Call_List_PQ!B86="","",Associates_Call_List_PQ!B86)</f>
        <v>Wasserman</v>
      </c>
      <c r="C86" s="57" t="str">
        <f>IF(Associates_Call_List_PQ!C86="","",Associates_Call_List_PQ!C86)</f>
        <v>Michael</v>
      </c>
      <c r="D86" s="57" t="str">
        <f>IF(Associates_Call_List_PQ!D86="","",Associates_Call_List_PQ!D86)</f>
        <v>Phoenix</v>
      </c>
      <c r="E86" s="58">
        <f>IF(Associates_Call_List_PQ!E86="","",Associates_Call_List_PQ!E86)</f>
        <v>85083</v>
      </c>
      <c r="F86" s="57" t="str">
        <f>IF(Associates_Call_List_PQ!F86="","",Associates_Call_List_PQ!F86)</f>
        <v>Form letter</v>
      </c>
      <c r="G86" s="57" t="str">
        <f>IF(Associates_Call_List_PQ!G86="","",Associates_Call_List_PQ!G86)</f>
        <v>https://images.edocket.azcc.gov/docketpdf/E000046155.pdf</v>
      </c>
      <c r="H86" s="59" t="str">
        <f>IF(Associates_Call_List_PQ!H86="","",Associates_Call_List_PQ!H86)</f>
        <v>4048489946</v>
      </c>
      <c r="I86" s="57" t="str">
        <f>IF(Associates_Call_List_PQ!I86="","",Associates_Call_List_PQ!I86)</f>
        <v>RCPw/RTOUE47</v>
      </c>
      <c r="J86" s="57" t="str">
        <f>IF(Associates_Call_List_PQ!J86="","",Associates_Call_List_PQ!J86)</f>
        <v>No</v>
      </c>
      <c r="K86" s="57" t="str">
        <f>IF(Associates_Call_List_PQ!K86="","",Associates_Call_List_PQ!K86)</f>
        <v>No</v>
      </c>
      <c r="L86" s="57" t="str">
        <f>IF(Associates_Call_List_PQ!L86="","",Associates_Call_List_PQ!L86)</f>
        <v>No MEP R3-47($123.47)</v>
      </c>
      <c r="M86" s="57" t="str">
        <f>IF(Associates_Call_List_PQ!M86="","",Associates_Call_List_PQ!M86)</f>
        <v>No</v>
      </c>
      <c r="N86" s="57" t="str">
        <f>IF(Associates_Call_List_PQ!N86="","",Associates_Call_List_PQ!N86)</f>
        <v>No</v>
      </c>
      <c r="O86" s="57" t="str">
        <f>IF(Associates_Call_List_PQ!O86="","",Associates_Call_List_PQ!O86)</f>
        <v>Yes</v>
      </c>
      <c r="P86" s="57">
        <f>IF(Associates_Call_List_PQ!P86="","",Associates_Call_List_PQ!P86)</f>
        <v>45939</v>
      </c>
      <c r="Q86" s="57">
        <f>IF(Associates_Call_List_PQ!Q86="","",Associates_Call_List_PQ!Q86)</f>
        <v>45968</v>
      </c>
      <c r="R86" s="57" t="str">
        <f>IF(Associates_Call_List_PQ!R86="","",Associates_Call_List_PQ!R86)</f>
        <v>10/9 - Left VM</v>
      </c>
      <c r="S86" s="57" t="str">
        <f>IF(Associates_Call_List_PQ!S86="","",Associates_Call_List_PQ!S86)</f>
        <v/>
      </c>
      <c r="T86" s="57" t="str">
        <f>IF(Associates_Call_List_PQ!T86="","",Associates_Call_List_PQ!T86)</f>
        <v/>
      </c>
      <c r="U86" s="57" t="str">
        <f>IF(Associates_Call_List_PQ!U86="","",Associates_Call_List_PQ!U86)</f>
        <v/>
      </c>
      <c r="V86" s="68" t="s">
        <v>5433</v>
      </c>
      <c r="W86" s="68">
        <v>46011</v>
      </c>
      <c r="X86" s="68" t="s">
        <v>5434</v>
      </c>
      <c r="Y86" s="68"/>
      <c r="Z86" s="72" t="s">
        <v>5460</v>
      </c>
    </row>
    <row r="87" spans="1:26">
      <c r="A87" s="71">
        <f>IFERROR(Associates_Call_List_PQ!A87,"")</f>
        <v>45902</v>
      </c>
      <c r="B87" s="57" t="str">
        <f>IF(Associates_Call_List_PQ!B87="","",Associates_Call_List_PQ!B87)</f>
        <v>Nicosia</v>
      </c>
      <c r="C87" s="57" t="str">
        <f>IF(Associates_Call_List_PQ!C87="","",Associates_Call_List_PQ!C87)</f>
        <v>Marcella</v>
      </c>
      <c r="D87" s="57" t="str">
        <f>IF(Associates_Call_List_PQ!D87="","",Associates_Call_List_PQ!D87)</f>
        <v>Phoenix</v>
      </c>
      <c r="E87" s="58">
        <f>IF(Associates_Call_List_PQ!E87="","",Associates_Call_List_PQ!E87)</f>
        <v>85013</v>
      </c>
      <c r="F87" s="57" t="str">
        <f>IF(Associates_Call_List_PQ!F87="","",Associates_Call_List_PQ!F87)</f>
        <v>Form letter</v>
      </c>
      <c r="G87" s="57" t="str">
        <f>IF(Associates_Call_List_PQ!G87="","",Associates_Call_List_PQ!G87)</f>
        <v>https://images.edocket.azcc.gov/docketpdf/E000046155.pdf</v>
      </c>
      <c r="H87" s="59" t="str">
        <f>IF(Associates_Call_List_PQ!H87="","",Associates_Call_List_PQ!H87)</f>
        <v>1750915214</v>
      </c>
      <c r="I87" s="57" t="str">
        <f>IF(Associates_Call_List_PQ!I87="","",Associates_Call_List_PQ!I87)</f>
        <v>R-BASIC</v>
      </c>
      <c r="J87" s="57" t="str">
        <f>IF(Associates_Call_List_PQ!J87="","",Associates_Call_List_PQ!J87)</f>
        <v>No</v>
      </c>
      <c r="K87" s="57" t="str">
        <f>IF(Associates_Call_List_PQ!K87="","",Associates_Call_List_PQ!K87)</f>
        <v>No</v>
      </c>
      <c r="L87" s="57" t="str">
        <f>IF(Associates_Call_List_PQ!L87="","",Associates_Call_List_PQ!L87)</f>
        <v>Yes</v>
      </c>
      <c r="M87" s="57" t="str">
        <f>IF(Associates_Call_List_PQ!M87="","",Associates_Call_List_PQ!M87)</f>
        <v>No</v>
      </c>
      <c r="N87" s="57" t="str">
        <f>IF(Associates_Call_List_PQ!N87="","",Associates_Call_List_PQ!N87)</f>
        <v>No</v>
      </c>
      <c r="O87" s="57" t="str">
        <f>IF(Associates_Call_List_PQ!O87="","",Associates_Call_List_PQ!O87)</f>
        <v>Yes</v>
      </c>
      <c r="P87" s="57" t="str">
        <f>IF(Associates_Call_List_PQ!P87="","",Associates_Call_List_PQ!P87)</f>
        <v>N</v>
      </c>
      <c r="Q87" s="57">
        <f>IF(Associates_Call_List_PQ!Q87="","",Associates_Call_List_PQ!Q87)</f>
        <v>45968</v>
      </c>
      <c r="R87" s="57" t="str">
        <f>IF(Associates_Call_List_PQ!R87="","",Associates_Call_List_PQ!R87)</f>
        <v/>
      </c>
      <c r="S87" s="57" t="str">
        <f>IF(Associates_Call_List_PQ!S87="","",Associates_Call_List_PQ!S87)</f>
        <v/>
      </c>
      <c r="T87" s="57" t="str">
        <f>IF(Associates_Call_List_PQ!T87="","",Associates_Call_List_PQ!T87)</f>
        <v/>
      </c>
      <c r="U87" s="57" t="str">
        <f>IF(Associates_Call_List_PQ!U87="","",Associates_Call_List_PQ!U87)</f>
        <v/>
      </c>
      <c r="V87" s="68"/>
      <c r="W87" s="68" t="s">
        <v>5432</v>
      </c>
      <c r="X87" s="68"/>
      <c r="Y87" s="68"/>
      <c r="Z87" s="72"/>
    </row>
    <row r="88" spans="1:26">
      <c r="A88" s="71">
        <f>IFERROR(Associates_Call_List_PQ!A88,"")</f>
        <v>45902</v>
      </c>
      <c r="B88" s="57" t="str">
        <f>IF(Associates_Call_List_PQ!B88="","",Associates_Call_List_PQ!B88)</f>
        <v>Assaraf</v>
      </c>
      <c r="C88" s="57" t="str">
        <f>IF(Associates_Call_List_PQ!C88="","",Associates_Call_List_PQ!C88)</f>
        <v>Sandy</v>
      </c>
      <c r="D88" s="57" t="str">
        <f>IF(Associates_Call_List_PQ!D88="","",Associates_Call_List_PQ!D88)</f>
        <v>Unknown</v>
      </c>
      <c r="E88" s="58" t="str">
        <f>IF(Associates_Call_List_PQ!E88="","",Associates_Call_List_PQ!E88)</f>
        <v>Unknown</v>
      </c>
      <c r="F88" s="57" t="str">
        <f>IF(Associates_Call_List_PQ!F88="","",Associates_Call_List_PQ!F88)</f>
        <v>Opposed</v>
      </c>
      <c r="G88" s="57" t="str">
        <f>IF(Associates_Call_List_PQ!G88="","",Associates_Call_List_PQ!G88)</f>
        <v>https://images.edocket.azcc.gov/docketpdf/E000046155.pdf</v>
      </c>
      <c r="H88" s="59" t="str">
        <f>IF(Associates_Call_List_PQ!H88="","",Associates_Call_List_PQ!H88)</f>
        <v>4133921000</v>
      </c>
      <c r="I88" s="57" t="str">
        <f>IF(Associates_Call_List_PQ!I88="","",Associates_Call_List_PQ!I88)</f>
        <v>R-BASIC</v>
      </c>
      <c r="J88" s="57" t="str">
        <f>IF(Associates_Call_List_PQ!J88="","",Associates_Call_List_PQ!J88)</f>
        <v>Yes</v>
      </c>
      <c r="K88" s="57" t="str">
        <f>IF(Associates_Call_List_PQ!K88="","",Associates_Call_List_PQ!K88)</f>
        <v>No</v>
      </c>
      <c r="L88" s="57" t="str">
        <f>IF(Associates_Call_List_PQ!L88="","",Associates_Call_List_PQ!L88)</f>
        <v>Yes</v>
      </c>
      <c r="M88" s="57" t="str">
        <f>IF(Associates_Call_List_PQ!M88="","",Associates_Call_List_PQ!M88)</f>
        <v>No</v>
      </c>
      <c r="N88" s="57" t="str">
        <f>IF(Associates_Call_List_PQ!N88="","",Associates_Call_List_PQ!N88)</f>
        <v>No</v>
      </c>
      <c r="O88" s="57" t="str">
        <f>IF(Associates_Call_List_PQ!O88="","",Associates_Call_List_PQ!O88)</f>
        <v>Yes</v>
      </c>
      <c r="P88" s="57" t="str">
        <f>IF(Associates_Call_List_PQ!P88="","",Associates_Call_List_PQ!P88)</f>
        <v>N</v>
      </c>
      <c r="Q88" s="57">
        <f>IF(Associates_Call_List_PQ!Q88="","",Associates_Call_List_PQ!Q88)</f>
        <v>45968</v>
      </c>
      <c r="R88" s="57" t="str">
        <f>IF(Associates_Call_List_PQ!R88="","",Associates_Call_List_PQ!R88)</f>
        <v/>
      </c>
      <c r="S88" s="57" t="str">
        <f>IF(Associates_Call_List_PQ!S88="","",Associates_Call_List_PQ!S88)</f>
        <v/>
      </c>
      <c r="T88" s="57" t="str">
        <f>IF(Associates_Call_List_PQ!T88="","",Associates_Call_List_PQ!T88)</f>
        <v/>
      </c>
      <c r="U88" s="57" t="s">
        <v>5518</v>
      </c>
      <c r="V88" s="68" t="s">
        <v>117</v>
      </c>
      <c r="W88" s="68">
        <v>46067</v>
      </c>
      <c r="X88" s="68" t="s">
        <v>5405</v>
      </c>
      <c r="Y88" s="68" t="s">
        <v>5461</v>
      </c>
      <c r="Z88" s="72"/>
    </row>
    <row r="89" spans="1:26">
      <c r="A89" s="71">
        <f>IFERROR(Associates_Call_List_PQ!A89,"")</f>
        <v>45902</v>
      </c>
      <c r="B89" s="57" t="str">
        <f>IF(Associates_Call_List_PQ!B89="","",Associates_Call_List_PQ!B89)</f>
        <v>Roudette</v>
      </c>
      <c r="C89" s="57" t="str">
        <f>IF(Associates_Call_List_PQ!C89="","",Associates_Call_List_PQ!C89)</f>
        <v>Alexander</v>
      </c>
      <c r="D89" s="57" t="str">
        <f>IF(Associates_Call_List_PQ!D89="","",Associates_Call_List_PQ!D89)</f>
        <v>Phoenix</v>
      </c>
      <c r="E89" s="58">
        <f>IF(Associates_Call_List_PQ!E89="","",Associates_Call_List_PQ!E89)</f>
        <v>85009</v>
      </c>
      <c r="F89" s="57" t="str">
        <f>IF(Associates_Call_List_PQ!F89="","",Associates_Call_List_PQ!F89)</f>
        <v>Opposed</v>
      </c>
      <c r="G89" s="57" t="str">
        <f>IF(Associates_Call_List_PQ!G89="","",Associates_Call_List_PQ!G89)</f>
        <v>https://images.edocket.azcc.gov/docketpdf/E000046155.pdf</v>
      </c>
      <c r="H89" s="59" t="str">
        <f>IF(Associates_Call_List_PQ!H89="","",Associates_Call_List_PQ!H89)</f>
        <v>6230194725</v>
      </c>
      <c r="I89" s="57" t="str">
        <f>IF(Associates_Call_List_PQ!I89="","",Associates_Call_List_PQ!I89)</f>
        <v>R3-47</v>
      </c>
      <c r="J89" s="57" t="str">
        <f>IF(Associates_Call_List_PQ!J89="","",Associates_Call_List_PQ!J89)</f>
        <v>No</v>
      </c>
      <c r="K89" s="57" t="str">
        <f>IF(Associates_Call_List_PQ!K89="","",Associates_Call_List_PQ!K89)</f>
        <v>No</v>
      </c>
      <c r="L89" s="57" t="str">
        <f>IF(Associates_Call_List_PQ!L89="","",Associates_Call_List_PQ!L89)</f>
        <v>Yes</v>
      </c>
      <c r="M89" s="57" t="str">
        <f>IF(Associates_Call_List_PQ!M89="","",Associates_Call_List_PQ!M89)</f>
        <v>Yes</v>
      </c>
      <c r="N89" s="57">
        <f>IF(Associates_Call_List_PQ!N89="","",Associates_Call_List_PQ!N89)</f>
        <v>942.59</v>
      </c>
      <c r="O89" s="57" t="str">
        <f>IF(Associates_Call_List_PQ!O89="","",Associates_Call_List_PQ!O89)</f>
        <v>Yes</v>
      </c>
      <c r="P89" s="57" t="str">
        <f>IF(Associates_Call_List_PQ!P89="","",Associates_Call_List_PQ!P89)</f>
        <v/>
      </c>
      <c r="Q89" s="57">
        <f>IF(Associates_Call_List_PQ!Q89="","",Associates_Call_List_PQ!Q89)</f>
        <v>45968</v>
      </c>
      <c r="R89" s="57" t="str">
        <f>IF(Associates_Call_List_PQ!R89="","",Associates_Call_List_PQ!R89)</f>
        <v>Assistance?</v>
      </c>
      <c r="S89" s="57" t="str">
        <f>IF(Associates_Call_List_PQ!S89="","",Associates_Call_List_PQ!S89)</f>
        <v/>
      </c>
      <c r="T89" s="57" t="str">
        <f>IF(Associates_Call_List_PQ!T89="","",Associates_Call_List_PQ!T89)</f>
        <v/>
      </c>
      <c r="U89" s="57" t="str">
        <f>IF(Associates_Call_List_PQ!U89="","",Associates_Call_List_PQ!U89)</f>
        <v/>
      </c>
      <c r="V89" s="68" t="s">
        <v>5433</v>
      </c>
      <c r="W89" s="68">
        <v>46011</v>
      </c>
      <c r="X89" s="68" t="s">
        <v>5405</v>
      </c>
      <c r="Y89" s="68" t="s">
        <v>5461</v>
      </c>
      <c r="Z89" s="72" t="s">
        <v>5462</v>
      </c>
    </row>
    <row r="90" spans="1:26">
      <c r="A90" s="71">
        <f>IFERROR(Associates_Call_List_PQ!A90,"")</f>
        <v>45903</v>
      </c>
      <c r="B90" s="57" t="str">
        <f>IF(Associates_Call_List_PQ!B90="","",Associates_Call_List_PQ!B90)</f>
        <v>Esho</v>
      </c>
      <c r="C90" s="57" t="str">
        <f>IF(Associates_Call_List_PQ!C90="","",Associates_Call_List_PQ!C90)</f>
        <v>Jacob</v>
      </c>
      <c r="D90" s="57" t="str">
        <f>IF(Associates_Call_List_PQ!D90="","",Associates_Call_List_PQ!D90)</f>
        <v>Unknown</v>
      </c>
      <c r="E90" s="58" t="str">
        <f>IF(Associates_Call_List_PQ!E90="","",Associates_Call_List_PQ!E90)</f>
        <v>Unknown</v>
      </c>
      <c r="F90" s="57" t="str">
        <f>IF(Associates_Call_List_PQ!F90="","",Associates_Call_List_PQ!F90)</f>
        <v>Opposed</v>
      </c>
      <c r="G90" s="57" t="str">
        <f>IF(Associates_Call_List_PQ!G90="","",Associates_Call_List_PQ!G90)</f>
        <v>https://images.edocket.azcc.gov/docketpdf/0000215113.pdf</v>
      </c>
      <c r="H90" s="59" t="str">
        <f>IF(Associates_Call_List_PQ!H90="","",Associates_Call_List_PQ!H90)</f>
        <v>2806465032</v>
      </c>
      <c r="I90" s="57" t="str">
        <f>IF(Associates_Call_List_PQ!I90="","",Associates_Call_List_PQ!I90)</f>
        <v>R3-47</v>
      </c>
      <c r="J90" s="57" t="str">
        <f>IF(Associates_Call_List_PQ!J90="","",Associates_Call_List_PQ!J90)</f>
        <v>No</v>
      </c>
      <c r="K90" s="57" t="str">
        <f>IF(Associates_Call_List_PQ!K90="","",Associates_Call_List_PQ!K90)</f>
        <v>No</v>
      </c>
      <c r="L90" s="57" t="str">
        <f>IF(Associates_Call_List_PQ!L90="","",Associates_Call_List_PQ!L90)</f>
        <v>Yes</v>
      </c>
      <c r="M90" s="57" t="str">
        <f>IF(Associates_Call_List_PQ!M90="","",Associates_Call_List_PQ!M90)</f>
        <v>No</v>
      </c>
      <c r="N90" s="57" t="str">
        <f>IF(Associates_Call_List_PQ!N90="","",Associates_Call_List_PQ!N90)</f>
        <v>No</v>
      </c>
      <c r="O90" s="57" t="str">
        <f>IF(Associates_Call_List_PQ!O90="","",Associates_Call_List_PQ!O90)</f>
        <v>Yes</v>
      </c>
      <c r="P90" s="57" t="str">
        <f>IF(Associates_Call_List_PQ!P90="","",Associates_Call_List_PQ!P90)</f>
        <v>N</v>
      </c>
      <c r="Q90" s="57">
        <f>IF(Associates_Call_List_PQ!Q90="","",Associates_Call_List_PQ!Q90)</f>
        <v>45968</v>
      </c>
      <c r="R90" s="57" t="str">
        <f>IF(Associates_Call_List_PQ!R90="","",Associates_Call_List_PQ!R90)</f>
        <v/>
      </c>
      <c r="S90" s="57" t="str">
        <f>IF(Associates_Call_List_PQ!S90="","",Associates_Call_List_PQ!S90)</f>
        <v/>
      </c>
      <c r="T90" s="57" t="str">
        <f>IF(Associates_Call_List_PQ!T90="","",Associates_Call_List_PQ!T90)</f>
        <v/>
      </c>
      <c r="U90" s="57" t="s">
        <v>5519</v>
      </c>
      <c r="V90" s="68" t="s">
        <v>117</v>
      </c>
      <c r="W90" s="68">
        <v>46067</v>
      </c>
      <c r="X90" s="68" t="s">
        <v>5434</v>
      </c>
      <c r="Y90" s="68"/>
      <c r="Z90" s="72" t="s">
        <v>5503</v>
      </c>
    </row>
    <row r="91" spans="1:26">
      <c r="A91" s="71">
        <f>IFERROR(Associates_Call_List_PQ!A91,"")</f>
        <v>45903</v>
      </c>
      <c r="B91" s="57" t="str">
        <f>IF(Associates_Call_List_PQ!B91="","",Associates_Call_List_PQ!B91)</f>
        <v>Shuck</v>
      </c>
      <c r="C91" s="57" t="str">
        <f>IF(Associates_Call_List_PQ!C91="","",Associates_Call_List_PQ!C91)</f>
        <v>Ken</v>
      </c>
      <c r="D91" s="57" t="str">
        <f>IF(Associates_Call_List_PQ!D91="","",Associates_Call_List_PQ!D91)</f>
        <v>Flagstaff</v>
      </c>
      <c r="E91" s="58">
        <f>IF(Associates_Call_List_PQ!E91="","",Associates_Call_List_PQ!E91)</f>
        <v>86001</v>
      </c>
      <c r="F91" s="57" t="str">
        <f>IF(Associates_Call_List_PQ!F91="","",Associates_Call_List_PQ!F91)</f>
        <v>Would be a hardship</v>
      </c>
      <c r="G91" s="57" t="str">
        <f>IF(Associates_Call_List_PQ!G91="","",Associates_Call_List_PQ!G91)</f>
        <v>https://images.edocket.azcc.gov/docketpdf/E000046190.pdf</v>
      </c>
      <c r="H91" s="59" t="str">
        <f>IF(Associates_Call_List_PQ!H91="","",Associates_Call_List_PQ!H91)</f>
        <v>4871279597</v>
      </c>
      <c r="I91" s="57" t="str">
        <f>IF(Associates_Call_List_PQ!I91="","",Associates_Call_List_PQ!I91)</f>
        <v>R-XS</v>
      </c>
      <c r="J91" s="57" t="str">
        <f>IF(Associates_Call_List_PQ!J91="","",Associates_Call_List_PQ!J91)</f>
        <v>No</v>
      </c>
      <c r="K91" s="57" t="str">
        <f>IF(Associates_Call_List_PQ!K91="","",Associates_Call_List_PQ!K91)</f>
        <v>No</v>
      </c>
      <c r="L91" s="57" t="str">
        <f>IF(Associates_Call_List_PQ!L91="","",Associates_Call_List_PQ!L91)</f>
        <v>Yes</v>
      </c>
      <c r="M91" s="57" t="str">
        <f>IF(Associates_Call_List_PQ!M91="","",Associates_Call_List_PQ!M91)</f>
        <v>No</v>
      </c>
      <c r="N91" s="57" t="str">
        <f>IF(Associates_Call_List_PQ!N91="","",Associates_Call_List_PQ!N91)</f>
        <v>No</v>
      </c>
      <c r="O91" s="57" t="str">
        <f>IF(Associates_Call_List_PQ!O91="","",Associates_Call_List_PQ!O91)</f>
        <v>Yes</v>
      </c>
      <c r="P91" s="57" t="str">
        <f>IF(Associates_Call_List_PQ!P91="","",Associates_Call_List_PQ!P91)</f>
        <v>N</v>
      </c>
      <c r="Q91" s="57">
        <f>IF(Associates_Call_List_PQ!Q91="","",Associates_Call_List_PQ!Q91)</f>
        <v>45968</v>
      </c>
      <c r="R91" s="57" t="str">
        <f>IF(Associates_Call_List_PQ!R91="","",Associates_Call_List_PQ!R91)</f>
        <v/>
      </c>
      <c r="S91" s="57" t="str">
        <f>IF(Associates_Call_List_PQ!S91="","",Associates_Call_List_PQ!S91)</f>
        <v/>
      </c>
      <c r="T91" s="57" t="str">
        <f>IF(Associates_Call_List_PQ!T91="","",Associates_Call_List_PQ!T91)</f>
        <v/>
      </c>
      <c r="U91" s="57" t="str">
        <f>IF(Associates_Call_List_PQ!U91="","",Associates_Call_List_PQ!U91)</f>
        <v/>
      </c>
      <c r="V91" s="68"/>
      <c r="W91" s="68" t="s">
        <v>5432</v>
      </c>
      <c r="X91" s="68"/>
      <c r="Y91" s="68"/>
      <c r="Z91" s="72"/>
    </row>
    <row r="92" spans="1:26">
      <c r="A92" s="71">
        <f>IFERROR(Associates_Call_List_PQ!A92,"")</f>
        <v>45903</v>
      </c>
      <c r="B92" s="57" t="str">
        <f>IF(Associates_Call_List_PQ!B92="","",Associates_Call_List_PQ!B92)</f>
        <v>Gardner</v>
      </c>
      <c r="C92" s="57" t="str">
        <f>IF(Associates_Call_List_PQ!C92="","",Associates_Call_List_PQ!C92)</f>
        <v>Karece</v>
      </c>
      <c r="D92" s="57" t="str">
        <f>IF(Associates_Call_List_PQ!D92="","",Associates_Call_List_PQ!D92)</f>
        <v>Glendale</v>
      </c>
      <c r="E92" s="58">
        <f>IF(Associates_Call_List_PQ!E92="","",Associates_Call_List_PQ!E92)</f>
        <v>85308</v>
      </c>
      <c r="F92" s="57" t="str">
        <f>IF(Associates_Call_List_PQ!F92="","",Associates_Call_List_PQ!F92)</f>
        <v>Opposed</v>
      </c>
      <c r="G92" s="57" t="str">
        <f>IF(Associates_Call_List_PQ!G92="","",Associates_Call_List_PQ!G92)</f>
        <v>https://images.edocket.azcc.gov/docketpdf/E000046190.pdf</v>
      </c>
      <c r="H92" s="59" t="str">
        <f>IF(Associates_Call_List_PQ!H92="","",Associates_Call_List_PQ!H92)</f>
        <v>4436732938</v>
      </c>
      <c r="I92" s="57" t="str">
        <f>IF(Associates_Call_List_PQ!I92="","",Associates_Call_List_PQ!I92)</f>
        <v>RTOUE47</v>
      </c>
      <c r="J92" s="57" t="str">
        <f>IF(Associates_Call_List_PQ!J92="","",Associates_Call_List_PQ!J92)</f>
        <v>No</v>
      </c>
      <c r="K92" s="57" t="str">
        <f>IF(Associates_Call_List_PQ!K92="","",Associates_Call_List_PQ!K92)</f>
        <v>No</v>
      </c>
      <c r="L92" s="57" t="str">
        <f>IF(Associates_Call_List_PQ!L92="","",Associates_Call_List_PQ!L92)</f>
        <v>No MEP R3-47($216.65)</v>
      </c>
      <c r="M92" s="57" t="str">
        <f>IF(Associates_Call_List_PQ!M92="","",Associates_Call_List_PQ!M92)</f>
        <v>No</v>
      </c>
      <c r="N92" s="57" t="str">
        <f>IF(Associates_Call_List_PQ!N92="","",Associates_Call_List_PQ!N92)</f>
        <v>No</v>
      </c>
      <c r="O92" s="57" t="str">
        <f>IF(Associates_Call_List_PQ!O92="","",Associates_Call_List_PQ!O92)</f>
        <v>Yes</v>
      </c>
      <c r="P92" s="57">
        <f>IF(Associates_Call_List_PQ!P92="","",Associates_Call_List_PQ!P92)</f>
        <v>45932</v>
      </c>
      <c r="Q92" s="57">
        <f>IF(Associates_Call_List_PQ!Q92="","",Associates_Call_List_PQ!Q92)</f>
        <v>45968</v>
      </c>
      <c r="R92" s="57" t="str">
        <f>IF(Associates_Call_List_PQ!R92="","",Associates_Call_List_PQ!R92)</f>
        <v>10/2 - Left VM</v>
      </c>
      <c r="S92" s="57" t="str">
        <f>IF(Associates_Call_List_PQ!S92="","",Associates_Call_List_PQ!S92)</f>
        <v/>
      </c>
      <c r="T92" s="57" t="str">
        <f>IF(Associates_Call_List_PQ!T92="","",Associates_Call_List_PQ!T92)</f>
        <v/>
      </c>
      <c r="U92" s="57" t="str">
        <f>IF(Associates_Call_List_PQ!U92="","",Associates_Call_List_PQ!U92)</f>
        <v/>
      </c>
      <c r="V92" s="68" t="s">
        <v>5433</v>
      </c>
      <c r="W92" s="68">
        <v>46011</v>
      </c>
      <c r="X92" s="68" t="s">
        <v>5434</v>
      </c>
      <c r="Y92" s="68"/>
      <c r="Z92" s="72"/>
    </row>
    <row r="93" spans="1:26">
      <c r="A93" s="71">
        <f>IFERROR(Associates_Call_List_PQ!A93,"")</f>
        <v>45903</v>
      </c>
      <c r="B93" s="57" t="str">
        <f>IF(Associates_Call_List_PQ!B93="","",Associates_Call_List_PQ!B93)</f>
        <v>Hampton</v>
      </c>
      <c r="C93" s="57" t="str">
        <f>IF(Associates_Call_List_PQ!C93="","",Associates_Call_List_PQ!C93)</f>
        <v>Destiny</v>
      </c>
      <c r="D93" s="57" t="str">
        <f>IF(Associates_Call_List_PQ!D93="","",Associates_Call_List_PQ!D93)</f>
        <v>Phoenix</v>
      </c>
      <c r="E93" s="58">
        <f>IF(Associates_Call_List_PQ!E93="","",Associates_Call_List_PQ!E93)</f>
        <v>85024</v>
      </c>
      <c r="F93" s="57" t="str">
        <f>IF(Associates_Call_List_PQ!F93="","",Associates_Call_List_PQ!F93)</f>
        <v>Form letter</v>
      </c>
      <c r="G93" s="57" t="str">
        <f>IF(Associates_Call_List_PQ!G93="","",Associates_Call_List_PQ!G93)</f>
        <v>https://images.edocket.azcc.gov/docketpdf/E000046190.pdf</v>
      </c>
      <c r="H93" s="59" t="str">
        <f>IF(Associates_Call_List_PQ!H93="","",Associates_Call_List_PQ!H93)</f>
        <v>5172470768</v>
      </c>
      <c r="I93" s="57" t="str">
        <f>IF(Associates_Call_List_PQ!I93="","",Associates_Call_List_PQ!I93)</f>
        <v>R-BASIC</v>
      </c>
      <c r="J93" s="57" t="str">
        <f>IF(Associates_Call_List_PQ!J93="","",Associates_Call_List_PQ!J93)</f>
        <v>No</v>
      </c>
      <c r="K93" s="57" t="str">
        <f>IF(Associates_Call_List_PQ!K93="","",Associates_Call_List_PQ!K93)</f>
        <v>No</v>
      </c>
      <c r="L93" s="57" t="str">
        <f>IF(Associates_Call_List_PQ!L93="","",Associates_Call_List_PQ!L93)</f>
        <v>Yes</v>
      </c>
      <c r="M93" s="57" t="str">
        <f>IF(Associates_Call_List_PQ!M93="","",Associates_Call_List_PQ!M93)</f>
        <v>No</v>
      </c>
      <c r="N93" s="57" t="str">
        <f>IF(Associates_Call_List_PQ!N93="","",Associates_Call_List_PQ!N93)</f>
        <v>No</v>
      </c>
      <c r="O93" s="57" t="str">
        <f>IF(Associates_Call_List_PQ!O93="","",Associates_Call_List_PQ!O93)</f>
        <v>Yes</v>
      </c>
      <c r="P93" s="57" t="str">
        <f>IF(Associates_Call_List_PQ!P93="","",Associates_Call_List_PQ!P93)</f>
        <v>N</v>
      </c>
      <c r="Q93" s="57">
        <f>IF(Associates_Call_List_PQ!Q93="","",Associates_Call_List_PQ!Q93)</f>
        <v>45968</v>
      </c>
      <c r="R93" s="57" t="str">
        <f>IF(Associates_Call_List_PQ!R93="","",Associates_Call_List_PQ!R93)</f>
        <v/>
      </c>
      <c r="S93" s="57" t="str">
        <f>IF(Associates_Call_List_PQ!S93="","",Associates_Call_List_PQ!S93)</f>
        <v/>
      </c>
      <c r="T93" s="57" t="str">
        <f>IF(Associates_Call_List_PQ!T93="","",Associates_Call_List_PQ!T93)</f>
        <v/>
      </c>
      <c r="U93" s="57" t="str">
        <f>IF(Associates_Call_List_PQ!U93="","",Associates_Call_List_PQ!U93)</f>
        <v/>
      </c>
      <c r="V93" s="68"/>
      <c r="W93" s="68" t="s">
        <v>5432</v>
      </c>
      <c r="X93" s="68"/>
      <c r="Y93" s="68"/>
      <c r="Z93" s="72"/>
    </row>
    <row r="94" spans="1:26">
      <c r="A94" s="71">
        <f>IFERROR(Associates_Call_List_PQ!A94,"")</f>
        <v>45903</v>
      </c>
      <c r="B94" s="57" t="str">
        <f>IF(Associates_Call_List_PQ!B94="","",Associates_Call_List_PQ!B94)</f>
        <v>Premjee</v>
      </c>
      <c r="C94" s="57" t="str">
        <f>IF(Associates_Call_List_PQ!C94="","",Associates_Call_List_PQ!C94)</f>
        <v>Jayesh</v>
      </c>
      <c r="D94" s="57" t="str">
        <f>IF(Associates_Call_List_PQ!D94="","",Associates_Call_List_PQ!D94)</f>
        <v>Peoria</v>
      </c>
      <c r="E94" s="58">
        <f>IF(Associates_Call_List_PQ!E94="","",Associates_Call_List_PQ!E94)</f>
        <v>85383</v>
      </c>
      <c r="F94" s="57" t="str">
        <f>IF(Associates_Call_List_PQ!F94="","",Associates_Call_List_PQ!F94)</f>
        <v>Financial burden</v>
      </c>
      <c r="G94" s="57" t="str">
        <f>IF(Associates_Call_List_PQ!G94="","",Associates_Call_List_PQ!G94)</f>
        <v>https://images.edocket.azcc.gov/docketpdf/E000046190.pdf</v>
      </c>
      <c r="H94" s="59" t="str">
        <f>IF(Associates_Call_List_PQ!H94="","",Associates_Call_List_PQ!H94)</f>
        <v>4073651000</v>
      </c>
      <c r="I94" s="57" t="str">
        <f>IF(Associates_Call_List_PQ!I94="","",Associates_Call_List_PQ!I94)</f>
        <v>RTOUE47</v>
      </c>
      <c r="J94" s="57" t="str">
        <f>IF(Associates_Call_List_PQ!J94="","",Associates_Call_List_PQ!J94)</f>
        <v>No</v>
      </c>
      <c r="K94" s="57" t="str">
        <f>IF(Associates_Call_List_PQ!K94="","",Associates_Call_List_PQ!K94)</f>
        <v>No</v>
      </c>
      <c r="L94" s="57" t="str">
        <f>IF(Associates_Call_List_PQ!L94="","",Associates_Call_List_PQ!L94)</f>
        <v>No MEP R3-47($176.22)</v>
      </c>
      <c r="M94" s="57" t="str">
        <f>IF(Associates_Call_List_PQ!M94="","",Associates_Call_List_PQ!M94)</f>
        <v>No</v>
      </c>
      <c r="N94" s="57" t="str">
        <f>IF(Associates_Call_List_PQ!N94="","",Associates_Call_List_PQ!N94)</f>
        <v>No</v>
      </c>
      <c r="O94" s="57" t="str">
        <f>IF(Associates_Call_List_PQ!O94="","",Associates_Call_List_PQ!O94)</f>
        <v>Yes</v>
      </c>
      <c r="P94" s="57">
        <f>IF(Associates_Call_List_PQ!P94="","",Associates_Call_List_PQ!P94)</f>
        <v>45932</v>
      </c>
      <c r="Q94" s="57">
        <f>IF(Associates_Call_List_PQ!Q94="","",Associates_Call_List_PQ!Q94)</f>
        <v>45968</v>
      </c>
      <c r="R94" s="57" t="str">
        <f>IF(Associates_Call_List_PQ!R94="","",Associates_Call_List_PQ!R94)</f>
        <v>Spoke w/customer- he will think about it and either call back or change online</v>
      </c>
      <c r="S94" s="57" t="str">
        <f>IF(Associates_Call_List_PQ!S94="","",Associates_Call_List_PQ!S94)</f>
        <v/>
      </c>
      <c r="T94" s="57" t="str">
        <f>IF(Associates_Call_List_PQ!T94="","",Associates_Call_List_PQ!T94)</f>
        <v/>
      </c>
      <c r="U94" s="57" t="str">
        <f>IF(Associates_Call_List_PQ!U94="","",Associates_Call_List_PQ!U94)</f>
        <v/>
      </c>
      <c r="V94" s="68" t="s">
        <v>5433</v>
      </c>
      <c r="W94" s="68">
        <v>46011</v>
      </c>
      <c r="X94" s="68" t="s">
        <v>5405</v>
      </c>
      <c r="Y94" s="68" t="s">
        <v>5463</v>
      </c>
      <c r="Z94" s="72" t="s">
        <v>5464</v>
      </c>
    </row>
    <row r="95" spans="1:26">
      <c r="A95" s="71">
        <f>IFERROR(Associates_Call_List_PQ!A95,"")</f>
        <v>45903</v>
      </c>
      <c r="B95" s="57" t="str">
        <f>IF(Associates_Call_List_PQ!B95="","",Associates_Call_List_PQ!B95)</f>
        <v>Soledad</v>
      </c>
      <c r="C95" s="57" t="str">
        <f>IF(Associates_Call_List_PQ!C95="","",Associates_Call_List_PQ!C95)</f>
        <v>Ramon</v>
      </c>
      <c r="D95" s="57" t="str">
        <f>IF(Associates_Call_List_PQ!D95="","",Associates_Call_List_PQ!D95)</f>
        <v>Avondale</v>
      </c>
      <c r="E95" s="58">
        <f>IF(Associates_Call_List_PQ!E95="","",Associates_Call_List_PQ!E95)</f>
        <v>85392</v>
      </c>
      <c r="F95" s="57" t="str">
        <f>IF(Associates_Call_List_PQ!F95="","",Associates_Call_List_PQ!F95)</f>
        <v>Opposed</v>
      </c>
      <c r="G95" s="57" t="str">
        <f>IF(Associates_Call_List_PQ!G95="","",Associates_Call_List_PQ!G95)</f>
        <v>https://images.edocket.azcc.gov/docketpdf/E000046190.pdf</v>
      </c>
      <c r="H95" s="59" t="str">
        <f>IF(Associates_Call_List_PQ!H95="","",Associates_Call_List_PQ!H95)</f>
        <v>6354570000</v>
      </c>
      <c r="I95" s="57" t="str">
        <f>IF(Associates_Call_List_PQ!I95="","",Associates_Call_List_PQ!I95)</f>
        <v>R3-47</v>
      </c>
      <c r="J95" s="57" t="str">
        <f>IF(Associates_Call_List_PQ!J95="","",Associates_Call_List_PQ!J95)</f>
        <v>No</v>
      </c>
      <c r="K95" s="57" t="str">
        <f>IF(Associates_Call_List_PQ!K95="","",Associates_Call_List_PQ!K95)</f>
        <v>No</v>
      </c>
      <c r="L95" s="57" t="str">
        <f>IF(Associates_Call_List_PQ!L95="","",Associates_Call_List_PQ!L95)</f>
        <v>Yes</v>
      </c>
      <c r="M95" s="57" t="str">
        <f>IF(Associates_Call_List_PQ!M95="","",Associates_Call_List_PQ!M95)</f>
        <v>No</v>
      </c>
      <c r="N95" s="57" t="str">
        <f>IF(Associates_Call_List_PQ!N95="","",Associates_Call_List_PQ!N95)</f>
        <v>No</v>
      </c>
      <c r="O95" s="57" t="str">
        <f>IF(Associates_Call_List_PQ!O95="","",Associates_Call_List_PQ!O95)</f>
        <v>Yes</v>
      </c>
      <c r="P95" s="57" t="str">
        <f>IF(Associates_Call_List_PQ!P95="","",Associates_Call_List_PQ!P95)</f>
        <v>N</v>
      </c>
      <c r="Q95" s="57">
        <f>IF(Associates_Call_List_PQ!Q95="","",Associates_Call_List_PQ!Q95)</f>
        <v>45968</v>
      </c>
      <c r="R95" s="57" t="str">
        <f>IF(Associates_Call_List_PQ!R95="","",Associates_Call_List_PQ!R95)</f>
        <v>Spanish preference customer</v>
      </c>
      <c r="S95" s="57" t="str">
        <f>IF(Associates_Call_List_PQ!S95="","",Associates_Call_List_PQ!S95)</f>
        <v/>
      </c>
      <c r="T95" s="57" t="str">
        <f>IF(Associates_Call_List_PQ!T95="","",Associates_Call_List_PQ!T95)</f>
        <v/>
      </c>
      <c r="U95" s="57" t="str">
        <f>IF(Associates_Call_List_PQ!U95="","",Associates_Call_List_PQ!U95)</f>
        <v/>
      </c>
      <c r="V95" s="68"/>
      <c r="W95" s="68" t="s">
        <v>5432</v>
      </c>
      <c r="X95" s="68"/>
      <c r="Y95" s="68"/>
      <c r="Z95" s="72"/>
    </row>
    <row r="96" spans="1:26">
      <c r="A96" s="71">
        <f>IFERROR(Associates_Call_List_PQ!A96,"")</f>
        <v>45903</v>
      </c>
      <c r="B96" s="57" t="str">
        <f>IF(Associates_Call_List_PQ!B96="","",Associates_Call_List_PQ!B96)</f>
        <v>Simpson</v>
      </c>
      <c r="C96" s="57" t="str">
        <f>IF(Associates_Call_List_PQ!C96="","",Associates_Call_List_PQ!C96)</f>
        <v>Adam</v>
      </c>
      <c r="D96" s="57" t="str">
        <f>IF(Associates_Call_List_PQ!D96="","",Associates_Call_List_PQ!D96)</f>
        <v>Glendale</v>
      </c>
      <c r="E96" s="58">
        <f>IF(Associates_Call_List_PQ!E96="","",Associates_Call_List_PQ!E96)</f>
        <v>85310</v>
      </c>
      <c r="F96" s="57" t="str">
        <f>IF(Associates_Call_List_PQ!F96="","",Associates_Call_List_PQ!F96)</f>
        <v>Form letter</v>
      </c>
      <c r="G96" s="57" t="str">
        <f>IF(Associates_Call_List_PQ!G96="","",Associates_Call_List_PQ!G96)</f>
        <v>https://images.edocket.azcc.gov/docketpdf/E000046190.pdf</v>
      </c>
      <c r="H96" s="59" t="str">
        <f>IF(Associates_Call_List_PQ!H96="","",Associates_Call_List_PQ!H96)</f>
        <v>1541553890</v>
      </c>
      <c r="I96" s="57" t="str">
        <f>IF(Associates_Call_List_PQ!I96="","",Associates_Call_List_PQ!I96)</f>
        <v>RTOUE47</v>
      </c>
      <c r="J96" s="57" t="str">
        <f>IF(Associates_Call_List_PQ!J96="","",Associates_Call_List_PQ!J96)</f>
        <v>No</v>
      </c>
      <c r="K96" s="57" t="str">
        <f>IF(Associates_Call_List_PQ!K96="","",Associates_Call_List_PQ!K96)</f>
        <v>No</v>
      </c>
      <c r="L96" s="57" t="str">
        <f>IF(Associates_Call_List_PQ!L96="","",Associates_Call_List_PQ!L96)</f>
        <v>Yes</v>
      </c>
      <c r="M96" s="57" t="str">
        <f>IF(Associates_Call_List_PQ!M96="","",Associates_Call_List_PQ!M96)</f>
        <v>No</v>
      </c>
      <c r="N96" s="57" t="str">
        <f>IF(Associates_Call_List_PQ!N96="","",Associates_Call_List_PQ!N96)</f>
        <v>No</v>
      </c>
      <c r="O96" s="57" t="str">
        <f>IF(Associates_Call_List_PQ!O96="","",Associates_Call_List_PQ!O96)</f>
        <v>Yes</v>
      </c>
      <c r="P96" s="57" t="str">
        <f>IF(Associates_Call_List_PQ!P96="","",Associates_Call_List_PQ!P96)</f>
        <v>N</v>
      </c>
      <c r="Q96" s="57">
        <f>IF(Associates_Call_List_PQ!Q96="","",Associates_Call_List_PQ!Q96)</f>
        <v>45968</v>
      </c>
      <c r="R96" s="57" t="str">
        <f>IF(Associates_Call_List_PQ!R96="","",Associates_Call_List_PQ!R96)</f>
        <v/>
      </c>
      <c r="S96" s="57" t="str">
        <f>IF(Associates_Call_List_PQ!S96="","",Associates_Call_List_PQ!S96)</f>
        <v/>
      </c>
      <c r="T96" s="57" t="str">
        <f>IF(Associates_Call_List_PQ!T96="","",Associates_Call_List_PQ!T96)</f>
        <v/>
      </c>
      <c r="U96" s="57" t="s">
        <v>5520</v>
      </c>
      <c r="V96" s="68" t="s">
        <v>117</v>
      </c>
      <c r="W96" s="68">
        <v>46067</v>
      </c>
      <c r="X96" s="68" t="s">
        <v>5434</v>
      </c>
      <c r="Y96" s="68"/>
      <c r="Z96" s="72" t="s">
        <v>5503</v>
      </c>
    </row>
    <row r="97" spans="1:26">
      <c r="A97" s="71">
        <f>IFERROR(Associates_Call_List_PQ!A97,"")</f>
        <v>45903</v>
      </c>
      <c r="B97" s="57" t="str">
        <f>IF(Associates_Call_List_PQ!B97="","",Associates_Call_List_PQ!B97)</f>
        <v>Marr</v>
      </c>
      <c r="C97" s="57" t="str">
        <f>IF(Associates_Call_List_PQ!C97="","",Associates_Call_List_PQ!C97)</f>
        <v>Michaela</v>
      </c>
      <c r="D97" s="57" t="str">
        <f>IF(Associates_Call_List_PQ!D97="","",Associates_Call_List_PQ!D97)</f>
        <v>Goodyear</v>
      </c>
      <c r="E97" s="58">
        <f>IF(Associates_Call_List_PQ!E97="","",Associates_Call_List_PQ!E97)</f>
        <v>85395</v>
      </c>
      <c r="F97" s="57" t="str">
        <f>IF(Associates_Call_List_PQ!F97="","",Associates_Call_List_PQ!F97)</f>
        <v>Opposed</v>
      </c>
      <c r="G97" s="57" t="str">
        <f>IF(Associates_Call_List_PQ!G97="","",Associates_Call_List_PQ!G97)</f>
        <v>https://images.edocket.azcc.gov/docketpdf/E000046190.pdf</v>
      </c>
      <c r="H97" s="59" t="str">
        <f>IF(Associates_Call_List_PQ!H97="","",Associates_Call_List_PQ!H97)</f>
        <v>9149301000</v>
      </c>
      <c r="I97" s="57" t="str">
        <f>IF(Associates_Call_List_PQ!I97="","",Associates_Call_List_PQ!I97)</f>
        <v>R3-47</v>
      </c>
      <c r="J97" s="57" t="str">
        <f>IF(Associates_Call_List_PQ!J97="","",Associates_Call_List_PQ!J97)</f>
        <v>No</v>
      </c>
      <c r="K97" s="57" t="str">
        <f>IF(Associates_Call_List_PQ!K97="","",Associates_Call_List_PQ!K97)</f>
        <v>No</v>
      </c>
      <c r="L97" s="57" t="str">
        <f>IF(Associates_Call_List_PQ!L97="","",Associates_Call_List_PQ!L97)</f>
        <v>Yes</v>
      </c>
      <c r="M97" s="57" t="str">
        <f>IF(Associates_Call_List_PQ!M97="","",Associates_Call_List_PQ!M97)</f>
        <v>No</v>
      </c>
      <c r="N97" s="57" t="str">
        <f>IF(Associates_Call_List_PQ!N97="","",Associates_Call_List_PQ!N97)</f>
        <v>No</v>
      </c>
      <c r="O97" s="57" t="str">
        <f>IF(Associates_Call_List_PQ!O97="","",Associates_Call_List_PQ!O97)</f>
        <v>Yes</v>
      </c>
      <c r="P97" s="57" t="str">
        <f>IF(Associates_Call_List_PQ!P97="","",Associates_Call_List_PQ!P97)</f>
        <v>N</v>
      </c>
      <c r="Q97" s="57">
        <f>IF(Associates_Call_List_PQ!Q97="","",Associates_Call_List_PQ!Q97)</f>
        <v>45968</v>
      </c>
      <c r="R97" s="57" t="str">
        <f>IF(Associates_Call_List_PQ!R97="","",Associates_Call_List_PQ!R97)</f>
        <v/>
      </c>
      <c r="S97" s="57" t="str">
        <f>IF(Associates_Call_List_PQ!S97="","",Associates_Call_List_PQ!S97)</f>
        <v/>
      </c>
      <c r="T97" s="57" t="str">
        <f>IF(Associates_Call_List_PQ!T97="","",Associates_Call_List_PQ!T97)</f>
        <v/>
      </c>
      <c r="U97" s="57" t="str">
        <f>IF(Associates_Call_List_PQ!U97="","",Associates_Call_List_PQ!U97)</f>
        <v/>
      </c>
      <c r="V97" s="68"/>
      <c r="W97" s="68" t="s">
        <v>5432</v>
      </c>
      <c r="X97" s="68"/>
      <c r="Y97" s="68"/>
      <c r="Z97" s="72"/>
    </row>
    <row r="98" spans="1:26">
      <c r="A98" s="71">
        <f>IFERROR(Associates_Call_List_PQ!A98,"")</f>
        <v>45903</v>
      </c>
      <c r="B98" s="57" t="str">
        <f>IF(Associates_Call_List_PQ!B98="","",Associates_Call_List_PQ!B98)</f>
        <v>Hatch</v>
      </c>
      <c r="C98" s="57" t="str">
        <f>IF(Associates_Call_List_PQ!C98="","",Associates_Call_List_PQ!C98)</f>
        <v>Geoffrey</v>
      </c>
      <c r="D98" s="57" t="str">
        <f>IF(Associates_Call_List_PQ!D98="","",Associates_Call_List_PQ!D98)</f>
        <v>Avondale</v>
      </c>
      <c r="E98" s="58">
        <f>IF(Associates_Call_List_PQ!E98="","",Associates_Call_List_PQ!E98)</f>
        <v>85392</v>
      </c>
      <c r="F98" s="57" t="str">
        <f>IF(Associates_Call_List_PQ!F98="","",Associates_Call_List_PQ!F98)</f>
        <v>Opposed</v>
      </c>
      <c r="G98" s="57" t="str">
        <f>IF(Associates_Call_List_PQ!G98="","",Associates_Call_List_PQ!G98)</f>
        <v>https://images.edocket.azcc.gov/docketpdf/E000046190.pdf</v>
      </c>
      <c r="H98" s="59" t="str">
        <f>IF(Associates_Call_List_PQ!H98="","",Associates_Call_List_PQ!H98)</f>
        <v>8789670000</v>
      </c>
      <c r="I98" s="57" t="str">
        <f>IF(Associates_Call_List_PQ!I98="","",Associates_Call_List_PQ!I98)</f>
        <v>EPR-6w/ET-2</v>
      </c>
      <c r="J98" s="57" t="str">
        <f>IF(Associates_Call_List_PQ!J98="","",Associates_Call_List_PQ!J98)</f>
        <v>No</v>
      </c>
      <c r="K98" s="57" t="str">
        <f>IF(Associates_Call_List_PQ!K98="","",Associates_Call_List_PQ!K98)</f>
        <v>No</v>
      </c>
      <c r="L98" s="57" t="str">
        <f>IF(Associates_Call_List_PQ!L98="","",Associates_Call_List_PQ!L98)</f>
        <v>Frozen Rate</v>
      </c>
      <c r="M98" s="57" t="str">
        <f>IF(Associates_Call_List_PQ!M98="","",Associates_Call_List_PQ!M98)</f>
        <v>No</v>
      </c>
      <c r="N98" s="57" t="str">
        <f>IF(Associates_Call_List_PQ!N98="","",Associates_Call_List_PQ!N98)</f>
        <v>No</v>
      </c>
      <c r="O98" s="57" t="str">
        <f>IF(Associates_Call_List_PQ!O98="","",Associates_Call_List_PQ!O98)</f>
        <v>Yes</v>
      </c>
      <c r="P98" s="57" t="str">
        <f>IF(Associates_Call_List_PQ!P98="","",Associates_Call_List_PQ!P98)</f>
        <v>N</v>
      </c>
      <c r="Q98" s="57">
        <f>IF(Associates_Call_List_PQ!Q98="","",Associates_Call_List_PQ!Q98)</f>
        <v>45968</v>
      </c>
      <c r="R98" s="57" t="str">
        <f>IF(Associates_Call_List_PQ!R98="","",Associates_Call_List_PQ!R98)</f>
        <v/>
      </c>
      <c r="S98" s="57" t="str">
        <f>IF(Associates_Call_List_PQ!S98="","",Associates_Call_List_PQ!S98)</f>
        <v/>
      </c>
      <c r="T98" s="57" t="str">
        <f>IF(Associates_Call_List_PQ!T98="","",Associates_Call_List_PQ!T98)</f>
        <v/>
      </c>
      <c r="U98" s="57" t="s">
        <v>5521</v>
      </c>
      <c r="V98" s="68" t="s">
        <v>117</v>
      </c>
      <c r="W98" s="68">
        <v>46067</v>
      </c>
      <c r="X98" s="68" t="s">
        <v>5405</v>
      </c>
      <c r="Y98" s="68"/>
      <c r="Z98" s="72" t="s">
        <v>5503</v>
      </c>
    </row>
    <row r="99" spans="1:26">
      <c r="A99" s="71">
        <f>IFERROR(Associates_Call_List_PQ!A99,"")</f>
        <v>45903</v>
      </c>
      <c r="B99" s="57" t="str">
        <f>IF(Associates_Call_List_PQ!B99="","",Associates_Call_List_PQ!B99)</f>
        <v>Sutton</v>
      </c>
      <c r="C99" s="57" t="str">
        <f>IF(Associates_Call_List_PQ!C99="","",Associates_Call_List_PQ!C99)</f>
        <v>Terry</v>
      </c>
      <c r="D99" s="57" t="str">
        <f>IF(Associates_Call_List_PQ!D99="","",Associates_Call_List_PQ!D99)</f>
        <v>Casa Grande</v>
      </c>
      <c r="E99" s="58">
        <f>IF(Associates_Call_List_PQ!E99="","",Associates_Call_List_PQ!E99)</f>
        <v>85194</v>
      </c>
      <c r="F99" s="57" t="str">
        <f>IF(Associates_Call_List_PQ!F99="","",Associates_Call_List_PQ!F99)</f>
        <v>Form letter</v>
      </c>
      <c r="G99" s="57" t="str">
        <f>IF(Associates_Call_List_PQ!G99="","",Associates_Call_List_PQ!G99)</f>
        <v>https://images.edocket.azcc.gov/docketpdf/E000046190.pdf</v>
      </c>
      <c r="H99" s="59" t="str">
        <f>IF(Associates_Call_List_PQ!H99="","",Associates_Call_List_PQ!H99)</f>
        <v>4665180000</v>
      </c>
      <c r="I99" s="57" t="str">
        <f>IF(Associates_Call_List_PQ!I99="","",Associates_Call_List_PQ!I99)</f>
        <v>R-2</v>
      </c>
      <c r="J99" s="57" t="str">
        <f>IF(Associates_Call_List_PQ!J99="","",Associates_Call_List_PQ!J99)</f>
        <v>No</v>
      </c>
      <c r="K99" s="57" t="str">
        <f>IF(Associates_Call_List_PQ!K99="","",Associates_Call_List_PQ!K99)</f>
        <v>No</v>
      </c>
      <c r="L99" s="57" t="str">
        <f>IF(Associates_Call_List_PQ!L99="","",Associates_Call_List_PQ!L99)</f>
        <v>Frozen Rate</v>
      </c>
      <c r="M99" s="57" t="str">
        <f>IF(Associates_Call_List_PQ!M99="","",Associates_Call_List_PQ!M99)</f>
        <v>No</v>
      </c>
      <c r="N99" s="57" t="str">
        <f>IF(Associates_Call_List_PQ!N99="","",Associates_Call_List_PQ!N99)</f>
        <v>No</v>
      </c>
      <c r="O99" s="57" t="str">
        <f>IF(Associates_Call_List_PQ!O99="","",Associates_Call_List_PQ!O99)</f>
        <v>Yes</v>
      </c>
      <c r="P99" s="57" t="str">
        <f>IF(Associates_Call_List_PQ!P99="","",Associates_Call_List_PQ!P99)</f>
        <v>N</v>
      </c>
      <c r="Q99" s="57">
        <f>IF(Associates_Call_List_PQ!Q99="","",Associates_Call_List_PQ!Q99)</f>
        <v>45968</v>
      </c>
      <c r="R99" s="57" t="str">
        <f>IF(Associates_Call_List_PQ!R99="","",Associates_Call_List_PQ!R99)</f>
        <v/>
      </c>
      <c r="S99" s="57" t="str">
        <f>IF(Associates_Call_List_PQ!S99="","",Associates_Call_List_PQ!S99)</f>
        <v/>
      </c>
      <c r="T99" s="57" t="str">
        <f>IF(Associates_Call_List_PQ!T99="","",Associates_Call_List_PQ!T99)</f>
        <v/>
      </c>
      <c r="U99" s="57" t="str">
        <f>IF(Associates_Call_List_PQ!U99="","",Associates_Call_List_PQ!U99)</f>
        <v/>
      </c>
      <c r="V99" s="68"/>
      <c r="W99" s="68" t="s">
        <v>5432</v>
      </c>
      <c r="X99" s="68"/>
      <c r="Y99" s="68"/>
      <c r="Z99" s="72"/>
    </row>
    <row r="100" spans="1:26">
      <c r="A100" s="71">
        <f>IFERROR(Associates_Call_List_PQ!A100,"")</f>
        <v>45903</v>
      </c>
      <c r="B100" s="57" t="str">
        <f>IF(Associates_Call_List_PQ!B100="","",Associates_Call_List_PQ!B100)</f>
        <v>Klein</v>
      </c>
      <c r="C100" s="57" t="str">
        <f>IF(Associates_Call_List_PQ!C100="","",Associates_Call_List_PQ!C100)</f>
        <v>Christian</v>
      </c>
      <c r="D100" s="57" t="str">
        <f>IF(Associates_Call_List_PQ!D100="","",Associates_Call_List_PQ!D100)</f>
        <v>Phoenix</v>
      </c>
      <c r="E100" s="58">
        <f>IF(Associates_Call_List_PQ!E100="","",Associates_Call_List_PQ!E100)</f>
        <v>85050</v>
      </c>
      <c r="F100" s="57" t="str">
        <f>IF(Associates_Call_List_PQ!F100="","",Associates_Call_List_PQ!F100)</f>
        <v>Form letter</v>
      </c>
      <c r="G100" s="57" t="str">
        <f>IF(Associates_Call_List_PQ!G100="","",Associates_Call_List_PQ!G100)</f>
        <v>https://images.edocket.azcc.gov/docketpdf/E000046190.pdf</v>
      </c>
      <c r="H100" s="59" t="str">
        <f>IF(Associates_Call_List_PQ!H100="","",Associates_Call_List_PQ!H100)</f>
        <v>9867756348</v>
      </c>
      <c r="I100" s="57" t="str">
        <f>IF(Associates_Call_List_PQ!I100="","",Associates_Call_List_PQ!I100)</f>
        <v>R3-47</v>
      </c>
      <c r="J100" s="57" t="str">
        <f>IF(Associates_Call_List_PQ!J100="","",Associates_Call_List_PQ!J100)</f>
        <v>No</v>
      </c>
      <c r="K100" s="57" t="str">
        <f>IF(Associates_Call_List_PQ!K100="","",Associates_Call_List_PQ!K100)</f>
        <v>No</v>
      </c>
      <c r="L100" s="57" t="str">
        <f>IF(Associates_Call_List_PQ!L100="","",Associates_Call_List_PQ!L100)</f>
        <v>Yes</v>
      </c>
      <c r="M100" s="57" t="str">
        <f>IF(Associates_Call_List_PQ!M100="","",Associates_Call_List_PQ!M100)</f>
        <v>No</v>
      </c>
      <c r="N100" s="57" t="str">
        <f>IF(Associates_Call_List_PQ!N100="","",Associates_Call_List_PQ!N100)</f>
        <v>No</v>
      </c>
      <c r="O100" s="57" t="str">
        <f>IF(Associates_Call_List_PQ!O100="","",Associates_Call_List_PQ!O100)</f>
        <v>Yes</v>
      </c>
      <c r="P100" s="57" t="str">
        <f>IF(Associates_Call_List_PQ!P100="","",Associates_Call_List_PQ!P100)</f>
        <v>N</v>
      </c>
      <c r="Q100" s="57">
        <f>IF(Associates_Call_List_PQ!Q100="","",Associates_Call_List_PQ!Q100)</f>
        <v>45968</v>
      </c>
      <c r="R100" s="57" t="str">
        <f>IF(Associates_Call_List_PQ!R100="","",Associates_Call_List_PQ!R100)</f>
        <v/>
      </c>
      <c r="S100" s="57">
        <v>98</v>
      </c>
      <c r="T100" s="57" t="str">
        <f>IF(Associates_Call_List_PQ!T100="","",Associates_Call_List_PQ!T100)</f>
        <v/>
      </c>
      <c r="U100" s="57" t="s">
        <v>5522</v>
      </c>
      <c r="V100" s="68" t="s">
        <v>117</v>
      </c>
      <c r="W100" s="68">
        <v>46067</v>
      </c>
      <c r="X100" s="68" t="s">
        <v>5434</v>
      </c>
      <c r="Y100" s="68"/>
      <c r="Z100" s="72"/>
    </row>
    <row r="101" spans="1:26">
      <c r="A101" s="71">
        <f>IFERROR(Associates_Call_List_PQ!A101,"")</f>
        <v>45903</v>
      </c>
      <c r="B101" s="57" t="str">
        <f>IF(Associates_Call_List_PQ!B101="","",Associates_Call_List_PQ!B101)</f>
        <v>Becker</v>
      </c>
      <c r="C101" s="57" t="str">
        <f>IF(Associates_Call_List_PQ!C101="","",Associates_Call_List_PQ!C101)</f>
        <v>Nicholas</v>
      </c>
      <c r="D101" s="57" t="str">
        <f>IF(Associates_Call_List_PQ!D101="","",Associates_Call_List_PQ!D101)</f>
        <v>Goodyear</v>
      </c>
      <c r="E101" s="58">
        <f>IF(Associates_Call_List_PQ!E101="","",Associates_Call_List_PQ!E101)</f>
        <v>85338</v>
      </c>
      <c r="F101" s="57" t="str">
        <f>IF(Associates_Call_List_PQ!F101="","",Associates_Call_List_PQ!F101)</f>
        <v>Opposed</v>
      </c>
      <c r="G101" s="57" t="str">
        <f>IF(Associates_Call_List_PQ!G101="","",Associates_Call_List_PQ!G101)</f>
        <v>https://images.edocket.azcc.gov/docketpdf/E000046190.pdf</v>
      </c>
      <c r="H101" s="59" t="str">
        <f>IF(Associates_Call_List_PQ!H101="","",Associates_Call_List_PQ!H101)</f>
        <v>4619651000</v>
      </c>
      <c r="I101" s="57" t="str">
        <f>IF(Associates_Call_List_PQ!I101="","",Associates_Call_List_PQ!I101)</f>
        <v>R3-47</v>
      </c>
      <c r="J101" s="57" t="str">
        <f>IF(Associates_Call_List_PQ!J101="","",Associates_Call_List_PQ!J101)</f>
        <v>No</v>
      </c>
      <c r="K101" s="57" t="str">
        <f>IF(Associates_Call_List_PQ!K101="","",Associates_Call_List_PQ!K101)</f>
        <v>No</v>
      </c>
      <c r="L101" s="57" t="str">
        <f>IF(Associates_Call_List_PQ!L101="","",Associates_Call_List_PQ!L101)</f>
        <v>Yes</v>
      </c>
      <c r="M101" s="57" t="str">
        <f>IF(Associates_Call_List_PQ!M101="","",Associates_Call_List_PQ!M101)</f>
        <v>No</v>
      </c>
      <c r="N101" s="57" t="str">
        <f>IF(Associates_Call_List_PQ!N101="","",Associates_Call_List_PQ!N101)</f>
        <v>No</v>
      </c>
      <c r="O101" s="57" t="str">
        <f>IF(Associates_Call_List_PQ!O101="","",Associates_Call_List_PQ!O101)</f>
        <v>Yes</v>
      </c>
      <c r="P101" s="57" t="str">
        <f>IF(Associates_Call_List_PQ!P101="","",Associates_Call_List_PQ!P101)</f>
        <v>N</v>
      </c>
      <c r="Q101" s="57">
        <f>IF(Associates_Call_List_PQ!Q101="","",Associates_Call_List_PQ!Q101)</f>
        <v>45968</v>
      </c>
      <c r="R101" s="57" t="str">
        <f>IF(Associates_Call_List_PQ!R101="","",Associates_Call_List_PQ!R101)</f>
        <v/>
      </c>
      <c r="S101" s="57" t="str">
        <f>IF(Associates_Call_List_PQ!S101="","",Associates_Call_List_PQ!S101)</f>
        <v/>
      </c>
      <c r="T101" s="57" t="str">
        <f>IF(Associates_Call_List_PQ!T101="","",Associates_Call_List_PQ!T101)</f>
        <v/>
      </c>
      <c r="U101" s="57" t="str">
        <f>IF(Associates_Call_List_PQ!U101="","",Associates_Call_List_PQ!U101)</f>
        <v/>
      </c>
      <c r="V101" s="68"/>
      <c r="W101" s="68" t="s">
        <v>5432</v>
      </c>
      <c r="X101" s="68"/>
      <c r="Y101" s="68"/>
      <c r="Z101" s="72"/>
    </row>
    <row r="102" spans="1:26">
      <c r="A102" s="71">
        <f>IFERROR(Associates_Call_List_PQ!A102,"")</f>
        <v>45903</v>
      </c>
      <c r="B102" s="57" t="str">
        <f>IF(Associates_Call_List_PQ!B102="","",Associates_Call_List_PQ!B102)</f>
        <v>Shoop</v>
      </c>
      <c r="C102" s="57" t="str">
        <f>IF(Associates_Call_List_PQ!C102="","",Associates_Call_List_PQ!C102)</f>
        <v>Jordan</v>
      </c>
      <c r="D102" s="57" t="str">
        <f>IF(Associates_Call_List_PQ!D102="","",Associates_Call_List_PQ!D102)</f>
        <v>Phoenix</v>
      </c>
      <c r="E102" s="58">
        <f>IF(Associates_Call_List_PQ!E102="","",Associates_Call_List_PQ!E102)</f>
        <v>85012</v>
      </c>
      <c r="F102" s="57" t="str">
        <f>IF(Associates_Call_List_PQ!F102="","",Associates_Call_List_PQ!F102)</f>
        <v>Form letter</v>
      </c>
      <c r="G102" s="57" t="str">
        <f>IF(Associates_Call_List_PQ!G102="","",Associates_Call_List_PQ!G102)</f>
        <v>https://images.edocket.azcc.gov/docketpdf/E000046190.pdf</v>
      </c>
      <c r="H102" s="59" t="str">
        <f>IF(Associates_Call_List_PQ!H102="","",Associates_Call_List_PQ!H102)</f>
        <v>0066499647</v>
      </c>
      <c r="I102" s="57" t="str">
        <f>IF(Associates_Call_List_PQ!I102="","",Associates_Call_List_PQ!I102)</f>
        <v>R3-47</v>
      </c>
      <c r="J102" s="57" t="str">
        <f>IF(Associates_Call_List_PQ!J102="","",Associates_Call_List_PQ!J102)</f>
        <v>No</v>
      </c>
      <c r="K102" s="57" t="str">
        <f>IF(Associates_Call_List_PQ!K102="","",Associates_Call_List_PQ!K102)</f>
        <v>No</v>
      </c>
      <c r="L102" s="57" t="str">
        <f>IF(Associates_Call_List_PQ!L102="","",Associates_Call_List_PQ!L102)</f>
        <v>Yes</v>
      </c>
      <c r="M102" s="57" t="str">
        <f>IF(Associates_Call_List_PQ!M102="","",Associates_Call_List_PQ!M102)</f>
        <v>No</v>
      </c>
      <c r="N102" s="57" t="str">
        <f>IF(Associates_Call_List_PQ!N102="","",Associates_Call_List_PQ!N102)</f>
        <v>No</v>
      </c>
      <c r="O102" s="57" t="str">
        <f>IF(Associates_Call_List_PQ!O102="","",Associates_Call_List_PQ!O102)</f>
        <v>Yes</v>
      </c>
      <c r="P102" s="57" t="str">
        <f>IF(Associates_Call_List_PQ!P102="","",Associates_Call_List_PQ!P102)</f>
        <v>N</v>
      </c>
      <c r="Q102" s="57">
        <f>IF(Associates_Call_List_PQ!Q102="","",Associates_Call_List_PQ!Q102)</f>
        <v>45968</v>
      </c>
      <c r="R102" s="57" t="str">
        <f>IF(Associates_Call_List_PQ!R102="","",Associates_Call_List_PQ!R102)</f>
        <v/>
      </c>
      <c r="S102" s="57" t="str">
        <f>IF(Associates_Call_List_PQ!S102="","",Associates_Call_List_PQ!S102)</f>
        <v/>
      </c>
      <c r="T102" s="57" t="str">
        <f>IF(Associates_Call_List_PQ!T102="","",Associates_Call_List_PQ!T102)</f>
        <v/>
      </c>
      <c r="U102" s="57" t="s">
        <v>5523</v>
      </c>
      <c r="V102" s="68" t="s">
        <v>117</v>
      </c>
      <c r="W102" s="68">
        <v>46067</v>
      </c>
      <c r="X102" s="68" t="s">
        <v>5434</v>
      </c>
      <c r="Y102" s="68"/>
      <c r="Z102" s="72"/>
    </row>
    <row r="103" spans="1:26">
      <c r="A103" s="71">
        <f>IFERROR(Associates_Call_List_PQ!A103,"")</f>
        <v>45903</v>
      </c>
      <c r="B103" s="57" t="str">
        <f>IF(Associates_Call_List_PQ!B103="","",Associates_Call_List_PQ!B103)</f>
        <v>Bednarz</v>
      </c>
      <c r="C103" s="57" t="str">
        <f>IF(Associates_Call_List_PQ!C103="","",Associates_Call_List_PQ!C103)</f>
        <v>Taylor</v>
      </c>
      <c r="D103" s="57" t="str">
        <f>IF(Associates_Call_List_PQ!D103="","",Associates_Call_List_PQ!D103)</f>
        <v>Phoenix</v>
      </c>
      <c r="E103" s="58">
        <f>IF(Associates_Call_List_PQ!E103="","",Associates_Call_List_PQ!E103)</f>
        <v>85020</v>
      </c>
      <c r="F103" s="57" t="str">
        <f>IF(Associates_Call_List_PQ!F103="","",Associates_Call_List_PQ!F103)</f>
        <v>Form letter</v>
      </c>
      <c r="G103" s="57" t="str">
        <f>IF(Associates_Call_List_PQ!G103="","",Associates_Call_List_PQ!G103)</f>
        <v>https://images.edocket.azcc.gov/docketpdf/E000046190.pdf</v>
      </c>
      <c r="H103" s="59" t="str">
        <f>IF(Associates_Call_List_PQ!H103="","",Associates_Call_List_PQ!H103)</f>
        <v>4983424677</v>
      </c>
      <c r="I103" s="57" t="str">
        <f>IF(Associates_Call_List_PQ!I103="","",Associates_Call_List_PQ!I103)</f>
        <v>R-BASIC</v>
      </c>
      <c r="J103" s="57" t="str">
        <f>IF(Associates_Call_List_PQ!J103="","",Associates_Call_List_PQ!J103)</f>
        <v>No</v>
      </c>
      <c r="K103" s="57" t="str">
        <f>IF(Associates_Call_List_PQ!K103="","",Associates_Call_List_PQ!K103)</f>
        <v>No</v>
      </c>
      <c r="L103" s="57" t="str">
        <f>IF(Associates_Call_List_PQ!L103="","",Associates_Call_List_PQ!L103)</f>
        <v>No MEP R3-47($129.92)</v>
      </c>
      <c r="M103" s="57" t="str">
        <f>IF(Associates_Call_List_PQ!M103="","",Associates_Call_List_PQ!M103)</f>
        <v>No</v>
      </c>
      <c r="N103" s="57" t="str">
        <f>IF(Associates_Call_List_PQ!N103="","",Associates_Call_List_PQ!N103)</f>
        <v>No</v>
      </c>
      <c r="O103" s="57" t="str">
        <f>IF(Associates_Call_List_PQ!O103="","",Associates_Call_List_PQ!O103)</f>
        <v>Yes</v>
      </c>
      <c r="P103" s="57">
        <f>IF(Associates_Call_List_PQ!P103="","",Associates_Call_List_PQ!P103)</f>
        <v>45933</v>
      </c>
      <c r="Q103" s="57">
        <f>IF(Associates_Call_List_PQ!Q103="","",Associates_Call_List_PQ!Q103)</f>
        <v>45968</v>
      </c>
      <c r="R103" s="57" t="str">
        <f>IF(Associates_Call_List_PQ!R103="","",Associates_Call_List_PQ!R103)</f>
        <v>Left VM 10/03/2025</v>
      </c>
      <c r="S103" s="57" t="str">
        <f>IF(Associates_Call_List_PQ!S103="","",Associates_Call_List_PQ!S103)</f>
        <v/>
      </c>
      <c r="T103" s="57" t="str">
        <f>IF(Associates_Call_List_PQ!T103="","",Associates_Call_List_PQ!T103)</f>
        <v/>
      </c>
      <c r="U103" s="57" t="str">
        <f>IF(Associates_Call_List_PQ!U103="","",Associates_Call_List_PQ!U103)</f>
        <v/>
      </c>
      <c r="V103" s="68" t="s">
        <v>5433</v>
      </c>
      <c r="W103" s="68">
        <v>46011</v>
      </c>
      <c r="X103" s="68" t="s">
        <v>5434</v>
      </c>
      <c r="Y103" s="68"/>
      <c r="Z103" s="72" t="s">
        <v>5465</v>
      </c>
    </row>
    <row r="104" spans="1:26">
      <c r="A104" s="71">
        <f>IFERROR(Associates_Call_List_PQ!A104,"")</f>
        <v>45903</v>
      </c>
      <c r="B104" s="57" t="str">
        <f>IF(Associates_Call_List_PQ!B104="","",Associates_Call_List_PQ!B104)</f>
        <v>Kovar</v>
      </c>
      <c r="C104" s="57" t="str">
        <f>IF(Associates_Call_List_PQ!C104="","",Associates_Call_List_PQ!C104)</f>
        <v>Paul</v>
      </c>
      <c r="D104" s="57" t="str">
        <f>IF(Associates_Call_List_PQ!D104="","",Associates_Call_List_PQ!D104)</f>
        <v>Phoenix</v>
      </c>
      <c r="E104" s="58">
        <f>IF(Associates_Call_List_PQ!E104="","",Associates_Call_List_PQ!E104)</f>
        <v>85023</v>
      </c>
      <c r="F104" s="57" t="str">
        <f>IF(Associates_Call_List_PQ!F104="","",Associates_Call_List_PQ!F104)</f>
        <v>No rate hikes</v>
      </c>
      <c r="G104" s="57" t="str">
        <f>IF(Associates_Call_List_PQ!G104="","",Associates_Call_List_PQ!G104)</f>
        <v>https://images.edocket.azcc.gov/docketpdf/E000046190.pdf</v>
      </c>
      <c r="H104" s="59" t="str">
        <f>IF(Associates_Call_List_PQ!H104="","",Associates_Call_List_PQ!H104)</f>
        <v>5273951000</v>
      </c>
      <c r="I104" s="57" t="str">
        <f>IF(Associates_Call_List_PQ!I104="","",Associates_Call_List_PQ!I104)</f>
        <v>R3-47</v>
      </c>
      <c r="J104" s="57" t="str">
        <f>IF(Associates_Call_List_PQ!J104="","",Associates_Call_List_PQ!J104)</f>
        <v>No</v>
      </c>
      <c r="K104" s="57" t="str">
        <f>IF(Associates_Call_List_PQ!K104="","",Associates_Call_List_PQ!K104)</f>
        <v>No</v>
      </c>
      <c r="L104" s="57" t="str">
        <f>IF(Associates_Call_List_PQ!L104="","",Associates_Call_List_PQ!L104)</f>
        <v>Yes</v>
      </c>
      <c r="M104" s="57" t="str">
        <f>IF(Associates_Call_List_PQ!M104="","",Associates_Call_List_PQ!M104)</f>
        <v>No</v>
      </c>
      <c r="N104" s="57" t="str">
        <f>IF(Associates_Call_List_PQ!N104="","",Associates_Call_List_PQ!N104)</f>
        <v>No</v>
      </c>
      <c r="O104" s="57" t="str">
        <f>IF(Associates_Call_List_PQ!O104="","",Associates_Call_List_PQ!O104)</f>
        <v>Yes</v>
      </c>
      <c r="P104" s="57" t="str">
        <f>IF(Associates_Call_List_PQ!P104="","",Associates_Call_List_PQ!P104)</f>
        <v>N</v>
      </c>
      <c r="Q104" s="57">
        <f>IF(Associates_Call_List_PQ!Q104="","",Associates_Call_List_PQ!Q104)</f>
        <v>45968</v>
      </c>
      <c r="R104" s="57" t="str">
        <f>IF(Associates_Call_List_PQ!R104="","",Associates_Call_List_PQ!R104)</f>
        <v/>
      </c>
      <c r="S104" s="57" t="str">
        <f>IF(Associates_Call_List_PQ!S104="","",Associates_Call_List_PQ!S104)</f>
        <v/>
      </c>
      <c r="T104" s="57" t="str">
        <f>IF(Associates_Call_List_PQ!T104="","",Associates_Call_List_PQ!T104)</f>
        <v/>
      </c>
      <c r="U104" s="57" t="s">
        <v>5524</v>
      </c>
      <c r="V104" s="68" t="s">
        <v>117</v>
      </c>
      <c r="W104" s="68">
        <v>46067</v>
      </c>
      <c r="X104" s="68" t="s">
        <v>5405</v>
      </c>
      <c r="Y104" s="68"/>
      <c r="Z104" s="72" t="s">
        <v>5525</v>
      </c>
    </row>
    <row r="105" spans="1:26">
      <c r="A105" s="71">
        <f>IFERROR(Associates_Call_List_PQ!A105,"")</f>
        <v>45903</v>
      </c>
      <c r="B105" s="57" t="str">
        <f>IF(Associates_Call_List_PQ!B105="","",Associates_Call_List_PQ!B105)</f>
        <v>Lamb</v>
      </c>
      <c r="C105" s="57" t="str">
        <f>IF(Associates_Call_List_PQ!C105="","",Associates_Call_List_PQ!C105)</f>
        <v>Sarah</v>
      </c>
      <c r="D105" s="57" t="str">
        <f>IF(Associates_Call_List_PQ!D105="","",Associates_Call_List_PQ!D105)</f>
        <v>Phoenix</v>
      </c>
      <c r="E105" s="58">
        <f>IF(Associates_Call_List_PQ!E105="","",Associates_Call_List_PQ!E105)</f>
        <v>85020</v>
      </c>
      <c r="F105" s="57" t="str">
        <f>IF(Associates_Call_List_PQ!F105="","",Associates_Call_List_PQ!F105)</f>
        <v>Form letter</v>
      </c>
      <c r="G105" s="57" t="str">
        <f>IF(Associates_Call_List_PQ!G105="","",Associates_Call_List_PQ!G105)</f>
        <v>https://images.edocket.azcc.gov/docketpdf/E000046190.pdf</v>
      </c>
      <c r="H105" s="59" t="str">
        <f>IF(Associates_Call_List_PQ!H105="","",Associates_Call_List_PQ!H105)</f>
        <v>2204984346</v>
      </c>
      <c r="I105" s="57" t="str">
        <f>IF(Associates_Call_List_PQ!I105="","",Associates_Call_List_PQ!I105)</f>
        <v>RTOUE47</v>
      </c>
      <c r="J105" s="57" t="str">
        <f>IF(Associates_Call_List_PQ!J105="","",Associates_Call_List_PQ!J105)</f>
        <v>No</v>
      </c>
      <c r="K105" s="57" t="str">
        <f>IF(Associates_Call_List_PQ!K105="","",Associates_Call_List_PQ!K105)</f>
        <v>No</v>
      </c>
      <c r="L105" s="57" t="str">
        <f>IF(Associates_Call_List_PQ!L105="","",Associates_Call_List_PQ!L105)</f>
        <v>Yes</v>
      </c>
      <c r="M105" s="57" t="str">
        <f>IF(Associates_Call_List_PQ!M105="","",Associates_Call_List_PQ!M105)</f>
        <v>No</v>
      </c>
      <c r="N105" s="57" t="str">
        <f>IF(Associates_Call_List_PQ!N105="","",Associates_Call_List_PQ!N105)</f>
        <v>No</v>
      </c>
      <c r="O105" s="57" t="str">
        <f>IF(Associates_Call_List_PQ!O105="","",Associates_Call_List_PQ!O105)</f>
        <v>Yes</v>
      </c>
      <c r="P105" s="57" t="str">
        <f>IF(Associates_Call_List_PQ!P105="","",Associates_Call_List_PQ!P105)</f>
        <v>N</v>
      </c>
      <c r="Q105" s="57">
        <f>IF(Associates_Call_List_PQ!Q105="","",Associates_Call_List_PQ!Q105)</f>
        <v>45968</v>
      </c>
      <c r="R105" s="57" t="str">
        <f>IF(Associates_Call_List_PQ!R105="","",Associates_Call_List_PQ!R105)</f>
        <v/>
      </c>
      <c r="S105" s="57" t="str">
        <f>IF(Associates_Call_List_PQ!S105="","",Associates_Call_List_PQ!S105)</f>
        <v/>
      </c>
      <c r="T105" s="57" t="str">
        <f>IF(Associates_Call_List_PQ!T105="","",Associates_Call_List_PQ!T105)</f>
        <v/>
      </c>
      <c r="U105" s="57" t="str">
        <f>IF(Associates_Call_List_PQ!U105="","",Associates_Call_List_PQ!U105)</f>
        <v/>
      </c>
      <c r="V105" s="68"/>
      <c r="W105" s="68" t="s">
        <v>5432</v>
      </c>
      <c r="X105" s="68"/>
      <c r="Y105" s="68"/>
      <c r="Z105" s="72"/>
    </row>
    <row r="106" spans="1:26">
      <c r="A106" s="71">
        <f>IFERROR(Associates_Call_List_PQ!A106,"")</f>
        <v>45903</v>
      </c>
      <c r="B106" s="57" t="str">
        <f>IF(Associates_Call_List_PQ!B106="","",Associates_Call_List_PQ!B106)</f>
        <v>Munuswamy</v>
      </c>
      <c r="C106" s="57" t="str">
        <f>IF(Associates_Call_List_PQ!C106="","",Associates_Call_List_PQ!C106)</f>
        <v>Dinesh</v>
      </c>
      <c r="D106" s="57" t="str">
        <f>IF(Associates_Call_List_PQ!D106="","",Associates_Call_List_PQ!D106)</f>
        <v>Peoria</v>
      </c>
      <c r="E106" s="58">
        <f>IF(Associates_Call_List_PQ!E106="","",Associates_Call_List_PQ!E106)</f>
        <v>85383</v>
      </c>
      <c r="F106" s="57" t="str">
        <f>IF(Associates_Call_List_PQ!F106="","",Associates_Call_List_PQ!F106)</f>
        <v>Form letter</v>
      </c>
      <c r="G106" s="57" t="str">
        <f>IF(Associates_Call_List_PQ!G106="","",Associates_Call_List_PQ!G106)</f>
        <v>https://images.edocket.azcc.gov/docketpdf/E000046190.pdf</v>
      </c>
      <c r="H106" s="59" t="str">
        <f>IF(Associates_Call_List_PQ!H106="","",Associates_Call_List_PQ!H106)</f>
        <v>5930390000</v>
      </c>
      <c r="I106" s="57" t="str">
        <f>IF(Associates_Call_List_PQ!I106="","",Associates_Call_List_PQ!I106)</f>
        <v>R3-47</v>
      </c>
      <c r="J106" s="57" t="str">
        <f>IF(Associates_Call_List_PQ!J106="","",Associates_Call_List_PQ!J106)</f>
        <v>No</v>
      </c>
      <c r="K106" s="57" t="str">
        <f>IF(Associates_Call_List_PQ!K106="","",Associates_Call_List_PQ!K106)</f>
        <v>No</v>
      </c>
      <c r="L106" s="57" t="str">
        <f>IF(Associates_Call_List_PQ!L106="","",Associates_Call_List_PQ!L106)</f>
        <v>Yes</v>
      </c>
      <c r="M106" s="57" t="str">
        <f>IF(Associates_Call_List_PQ!M106="","",Associates_Call_List_PQ!M106)</f>
        <v>No</v>
      </c>
      <c r="N106" s="57" t="str">
        <f>IF(Associates_Call_List_PQ!N106="","",Associates_Call_List_PQ!N106)</f>
        <v>No</v>
      </c>
      <c r="O106" s="57" t="str">
        <f>IF(Associates_Call_List_PQ!O106="","",Associates_Call_List_PQ!O106)</f>
        <v>Yes</v>
      </c>
      <c r="P106" s="57" t="str">
        <f>IF(Associates_Call_List_PQ!P106="","",Associates_Call_List_PQ!P106)</f>
        <v>N</v>
      </c>
      <c r="Q106" s="57">
        <f>IF(Associates_Call_List_PQ!Q106="","",Associates_Call_List_PQ!Q106)</f>
        <v>45968</v>
      </c>
      <c r="R106" s="57" t="str">
        <f>IF(Associates_Call_List_PQ!R106="","",Associates_Call_List_PQ!R106)</f>
        <v/>
      </c>
      <c r="S106" s="57" t="str">
        <f>IF(Associates_Call_List_PQ!S106="","",Associates_Call_List_PQ!S106)</f>
        <v/>
      </c>
      <c r="T106" s="57" t="str">
        <f>IF(Associates_Call_List_PQ!T106="","",Associates_Call_List_PQ!T106)</f>
        <v/>
      </c>
      <c r="U106" s="57" t="s">
        <v>5526</v>
      </c>
      <c r="V106" s="68" t="s">
        <v>117</v>
      </c>
      <c r="W106" s="68">
        <v>46067</v>
      </c>
      <c r="X106" s="68" t="s">
        <v>5405</v>
      </c>
      <c r="Y106" s="68"/>
      <c r="Z106" s="72" t="s">
        <v>5527</v>
      </c>
    </row>
    <row r="107" spans="1:26">
      <c r="A107" s="71">
        <f>IFERROR(Associates_Call_List_PQ!A107,"")</f>
        <v>45903</v>
      </c>
      <c r="B107" s="57" t="str">
        <f>IF(Associates_Call_List_PQ!B107="","",Associates_Call_List_PQ!B107)</f>
        <v>Mandloi</v>
      </c>
      <c r="C107" s="57" t="str">
        <f>IF(Associates_Call_List_PQ!C107="","",Associates_Call_List_PQ!C107)</f>
        <v>Anurag</v>
      </c>
      <c r="D107" s="57" t="str">
        <f>IF(Associates_Call_List_PQ!D107="","",Associates_Call_List_PQ!D107)</f>
        <v>Phoenix</v>
      </c>
      <c r="E107" s="58">
        <f>IF(Associates_Call_List_PQ!E107="","",Associates_Call_List_PQ!E107)</f>
        <v>85024</v>
      </c>
      <c r="F107" s="57" t="str">
        <f>IF(Associates_Call_List_PQ!F107="","",Associates_Call_List_PQ!F107)</f>
        <v>Form letter</v>
      </c>
      <c r="G107" s="57" t="str">
        <f>IF(Associates_Call_List_PQ!G107="","",Associates_Call_List_PQ!G107)</f>
        <v>https://images.edocket.azcc.gov/docketpdf/E000046190.pdf</v>
      </c>
      <c r="H107" s="59" t="str">
        <f>IF(Associates_Call_List_PQ!H107="","",Associates_Call_List_PQ!H107)</f>
        <v>1742331189</v>
      </c>
      <c r="I107" s="57" t="str">
        <f>IF(Associates_Call_List_PQ!I107="","",Associates_Call_List_PQ!I107)</f>
        <v>RTOUE47</v>
      </c>
      <c r="J107" s="57" t="str">
        <f>IF(Associates_Call_List_PQ!J107="","",Associates_Call_List_PQ!J107)</f>
        <v>No</v>
      </c>
      <c r="K107" s="57" t="str">
        <f>IF(Associates_Call_List_PQ!K107="","",Associates_Call_List_PQ!K107)</f>
        <v>No</v>
      </c>
      <c r="L107" s="57" t="str">
        <f>IF(Associates_Call_List_PQ!L107="","",Associates_Call_List_PQ!L107)</f>
        <v>Yes</v>
      </c>
      <c r="M107" s="57" t="str">
        <f>IF(Associates_Call_List_PQ!M107="","",Associates_Call_List_PQ!M107)</f>
        <v>No</v>
      </c>
      <c r="N107" s="57" t="str">
        <f>IF(Associates_Call_List_PQ!N107="","",Associates_Call_List_PQ!N107)</f>
        <v>No</v>
      </c>
      <c r="O107" s="57" t="str">
        <f>IF(Associates_Call_List_PQ!O107="","",Associates_Call_List_PQ!O107)</f>
        <v>Yes</v>
      </c>
      <c r="P107" s="57" t="str">
        <f>IF(Associates_Call_List_PQ!P107="","",Associates_Call_List_PQ!P107)</f>
        <v>N</v>
      </c>
      <c r="Q107" s="57">
        <f>IF(Associates_Call_List_PQ!Q107="","",Associates_Call_List_PQ!Q107)</f>
        <v>45968</v>
      </c>
      <c r="R107" s="57" t="str">
        <f>IF(Associates_Call_List_PQ!R107="","",Associates_Call_List_PQ!R107)</f>
        <v/>
      </c>
      <c r="S107" s="57" t="str">
        <f>IF(Associates_Call_List_PQ!S107="","",Associates_Call_List_PQ!S107)</f>
        <v/>
      </c>
      <c r="T107" s="57" t="str">
        <f>IF(Associates_Call_List_PQ!T107="","",Associates_Call_List_PQ!T107)</f>
        <v/>
      </c>
      <c r="U107" s="57" t="str">
        <f>IF(Associates_Call_List_PQ!U107="","",Associates_Call_List_PQ!U107)</f>
        <v/>
      </c>
      <c r="V107" s="68" t="s">
        <v>117</v>
      </c>
      <c r="W107" s="68">
        <v>45997</v>
      </c>
      <c r="X107" s="68" t="s">
        <v>5434</v>
      </c>
      <c r="Y107" s="68"/>
      <c r="Z107" s="72" t="s">
        <v>5466</v>
      </c>
    </row>
    <row r="108" spans="1:26">
      <c r="A108" s="71">
        <f>IFERROR(Associates_Call_List_PQ!A108,"")</f>
        <v>45903</v>
      </c>
      <c r="B108" s="57" t="str">
        <f>IF(Associates_Call_List_PQ!B108="","",Associates_Call_List_PQ!B108)</f>
        <v>Kelly</v>
      </c>
      <c r="C108" s="57" t="str">
        <f>IF(Associates_Call_List_PQ!C108="","",Associates_Call_List_PQ!C108)</f>
        <v>Wilson</v>
      </c>
      <c r="D108" s="57" t="str">
        <f>IF(Associates_Call_List_PQ!D108="","",Associates_Call_List_PQ!D108)</f>
        <v>Phoenix</v>
      </c>
      <c r="E108" s="58">
        <f>IF(Associates_Call_List_PQ!E108="","",Associates_Call_List_PQ!E108)</f>
        <v>85004</v>
      </c>
      <c r="F108" s="57" t="str">
        <f>IF(Associates_Call_List_PQ!F108="","",Associates_Call_List_PQ!F108)</f>
        <v>Form letter</v>
      </c>
      <c r="G108" s="57" t="str">
        <f>IF(Associates_Call_List_PQ!G108="","",Associates_Call_List_PQ!G108)</f>
        <v>https://images.edocket.azcc.gov/docketpdf/E000046190.pdf</v>
      </c>
      <c r="H108" s="59" t="str">
        <f>IF(Associates_Call_List_PQ!H108="","",Associates_Call_List_PQ!H108)</f>
        <v>9268845654</v>
      </c>
      <c r="I108" s="57" t="str">
        <f>IF(Associates_Call_List_PQ!I108="","",Associates_Call_List_PQ!I108)</f>
        <v>R-XS</v>
      </c>
      <c r="J108" s="57" t="str">
        <f>IF(Associates_Call_List_PQ!J108="","",Associates_Call_List_PQ!J108)</f>
        <v>No</v>
      </c>
      <c r="K108" s="57" t="str">
        <f>IF(Associates_Call_List_PQ!K108="","",Associates_Call_List_PQ!K108)</f>
        <v>No</v>
      </c>
      <c r="L108" s="57" t="str">
        <f>IF(Associates_Call_List_PQ!L108="","",Associates_Call_List_PQ!L108)</f>
        <v>Yes</v>
      </c>
      <c r="M108" s="57" t="str">
        <f>IF(Associates_Call_List_PQ!M108="","",Associates_Call_List_PQ!M108)</f>
        <v>No</v>
      </c>
      <c r="N108" s="57" t="str">
        <f>IF(Associates_Call_List_PQ!N108="","",Associates_Call_List_PQ!N108)</f>
        <v>No</v>
      </c>
      <c r="O108" s="57" t="str">
        <f>IF(Associates_Call_List_PQ!O108="","",Associates_Call_List_PQ!O108)</f>
        <v>Yes</v>
      </c>
      <c r="P108" s="57" t="str">
        <f>IF(Associates_Call_List_PQ!P108="","",Associates_Call_List_PQ!P108)</f>
        <v>N</v>
      </c>
      <c r="Q108" s="57">
        <f>IF(Associates_Call_List_PQ!Q108="","",Associates_Call_List_PQ!Q108)</f>
        <v>45968</v>
      </c>
      <c r="R108" s="57" t="str">
        <f>IF(Associates_Call_List_PQ!R108="","",Associates_Call_List_PQ!R108)</f>
        <v/>
      </c>
      <c r="S108" s="57" t="str">
        <f>IF(Associates_Call_List_PQ!S108="","",Associates_Call_List_PQ!S108)</f>
        <v/>
      </c>
      <c r="T108" s="57" t="str">
        <f>IF(Associates_Call_List_PQ!T108="","",Associates_Call_List_PQ!T108)</f>
        <v/>
      </c>
      <c r="U108" s="57" t="s">
        <v>5528</v>
      </c>
      <c r="V108" s="68" t="s">
        <v>117</v>
      </c>
      <c r="W108" s="68">
        <v>46067</v>
      </c>
      <c r="X108" s="68" t="s">
        <v>5434</v>
      </c>
      <c r="Y108" s="68"/>
      <c r="Z108" s="72"/>
    </row>
    <row r="109" spans="1:26">
      <c r="A109" s="71">
        <f>IFERROR(Associates_Call_List_PQ!A109,"")</f>
        <v>45903</v>
      </c>
      <c r="B109" s="57" t="str">
        <f>IF(Associates_Call_List_PQ!B109="","",Associates_Call_List_PQ!B109)</f>
        <v>Sahoo</v>
      </c>
      <c r="C109" s="57" t="str">
        <f>IF(Associates_Call_List_PQ!C109="","",Associates_Call_List_PQ!C109)</f>
        <v>Prakash</v>
      </c>
      <c r="D109" s="57" t="str">
        <f>IF(Associates_Call_List_PQ!D109="","",Associates_Call_List_PQ!D109)</f>
        <v>Scottsdale</v>
      </c>
      <c r="E109" s="58">
        <f>IF(Associates_Call_List_PQ!E109="","",Associates_Call_List_PQ!E109)</f>
        <v>85260</v>
      </c>
      <c r="F109" s="57" t="str">
        <f>IF(Associates_Call_List_PQ!F109="","",Associates_Call_List_PQ!F109)</f>
        <v>Does not support</v>
      </c>
      <c r="G109" s="57" t="str">
        <f>IF(Associates_Call_List_PQ!G109="","",Associates_Call_List_PQ!G109)</f>
        <v>https://images.edocket.azcc.gov/docketpdf/E000046190.pdf</v>
      </c>
      <c r="H109" s="59" t="str">
        <f>IF(Associates_Call_List_PQ!H109="","",Associates_Call_List_PQ!H109)</f>
        <v>5872670000</v>
      </c>
      <c r="I109" s="57" t="str">
        <f>IF(Associates_Call_List_PQ!I109="","",Associates_Call_List_PQ!I109)</f>
        <v>RTOUE47</v>
      </c>
      <c r="J109" s="57" t="str">
        <f>IF(Associates_Call_List_PQ!J109="","",Associates_Call_List_PQ!J109)</f>
        <v>No</v>
      </c>
      <c r="K109" s="57" t="str">
        <f>IF(Associates_Call_List_PQ!K109="","",Associates_Call_List_PQ!K109)</f>
        <v>No</v>
      </c>
      <c r="L109" s="57" t="str">
        <f>IF(Associates_Call_List_PQ!L109="","",Associates_Call_List_PQ!L109)</f>
        <v>Yes</v>
      </c>
      <c r="M109" s="57" t="str">
        <f>IF(Associates_Call_List_PQ!M109="","",Associates_Call_List_PQ!M109)</f>
        <v>No</v>
      </c>
      <c r="N109" s="57" t="str">
        <f>IF(Associates_Call_List_PQ!N109="","",Associates_Call_List_PQ!N109)</f>
        <v>No</v>
      </c>
      <c r="O109" s="57" t="str">
        <f>IF(Associates_Call_List_PQ!O109="","",Associates_Call_List_PQ!O109)</f>
        <v>Yes</v>
      </c>
      <c r="P109" s="57" t="str">
        <f>IF(Associates_Call_List_PQ!P109="","",Associates_Call_List_PQ!P109)</f>
        <v>N</v>
      </c>
      <c r="Q109" s="57">
        <f>IF(Associates_Call_List_PQ!Q109="","",Associates_Call_List_PQ!Q109)</f>
        <v>45968</v>
      </c>
      <c r="R109" s="57" t="str">
        <f>IF(Associates_Call_List_PQ!R109="","",Associates_Call_List_PQ!R109)</f>
        <v/>
      </c>
      <c r="S109" s="57" t="str">
        <f>IF(Associates_Call_List_PQ!S109="","",Associates_Call_List_PQ!S109)</f>
        <v/>
      </c>
      <c r="T109" s="57" t="str">
        <f>IF(Associates_Call_List_PQ!T109="","",Associates_Call_List_PQ!T109)</f>
        <v/>
      </c>
      <c r="U109" s="57" t="str">
        <f>IF(Associates_Call_List_PQ!U109="","",Associates_Call_List_PQ!U109)</f>
        <v/>
      </c>
      <c r="V109" s="68"/>
      <c r="W109" s="68" t="s">
        <v>5432</v>
      </c>
      <c r="X109" s="68"/>
      <c r="Y109" s="68"/>
      <c r="Z109" s="72"/>
    </row>
    <row r="110" spans="1:26">
      <c r="A110" s="71">
        <f>IFERROR(Associates_Call_List_PQ!A110,"")</f>
        <v>45903</v>
      </c>
      <c r="B110" s="57" t="str">
        <f>IF(Associates_Call_List_PQ!B110="","",Associates_Call_List_PQ!B110)</f>
        <v>Lichtner</v>
      </c>
      <c r="C110" s="57" t="str">
        <f>IF(Associates_Call_List_PQ!C110="","",Associates_Call_List_PQ!C110)</f>
        <v>Nicholas</v>
      </c>
      <c r="D110" s="57" t="str">
        <f>IF(Associates_Call_List_PQ!D110="","",Associates_Call_List_PQ!D110)</f>
        <v>Phoenix</v>
      </c>
      <c r="E110" s="58">
        <f>IF(Associates_Call_List_PQ!E110="","",Associates_Call_List_PQ!E110)</f>
        <v>85015</v>
      </c>
      <c r="F110" s="57" t="str">
        <f>IF(Associates_Call_List_PQ!F110="","",Associates_Call_List_PQ!F110)</f>
        <v>Form letter</v>
      </c>
      <c r="G110" s="57" t="str">
        <f>IF(Associates_Call_List_PQ!G110="","",Associates_Call_List_PQ!G110)</f>
        <v>https://images.edocket.azcc.gov/docketpdf/E000046190.pdf</v>
      </c>
      <c r="H110" s="59" t="str">
        <f>IF(Associates_Call_List_PQ!H110="","",Associates_Call_List_PQ!H110)</f>
        <v>1567963536</v>
      </c>
      <c r="I110" s="57" t="str">
        <f>IF(Associates_Call_List_PQ!I110="","",Associates_Call_List_PQ!I110)</f>
        <v>R-BASICL</v>
      </c>
      <c r="J110" s="57" t="str">
        <f>IF(Associates_Call_List_PQ!J110="","",Associates_Call_List_PQ!J110)</f>
        <v>No</v>
      </c>
      <c r="K110" s="57" t="str">
        <f>IF(Associates_Call_List_PQ!K110="","",Associates_Call_List_PQ!K110)</f>
        <v>No</v>
      </c>
      <c r="L110" s="57" t="str">
        <f>IF(Associates_Call_List_PQ!L110="","",Associates_Call_List_PQ!L110)</f>
        <v>No MEP R3-47($45.27)</v>
      </c>
      <c r="M110" s="57" t="str">
        <f>IF(Associates_Call_List_PQ!M110="","",Associates_Call_List_PQ!M110)</f>
        <v>No</v>
      </c>
      <c r="N110" s="57" t="str">
        <f>IF(Associates_Call_List_PQ!N110="","",Associates_Call_List_PQ!N110)</f>
        <v>No</v>
      </c>
      <c r="O110" s="57" t="str">
        <f>IF(Associates_Call_List_PQ!O110="","",Associates_Call_List_PQ!O110)</f>
        <v>Yes</v>
      </c>
      <c r="P110" s="57" t="str">
        <f>IF(Associates_Call_List_PQ!P110="","",Associates_Call_List_PQ!P110)</f>
        <v>N</v>
      </c>
      <c r="Q110" s="57">
        <f>IF(Associates_Call_List_PQ!Q110="","",Associates_Call_List_PQ!Q110)</f>
        <v>45968</v>
      </c>
      <c r="R110" s="57" t="str">
        <f>IF(Associates_Call_List_PQ!R110="","",Associates_Call_List_PQ!R110)</f>
        <v/>
      </c>
      <c r="S110" s="57" t="str">
        <f>IF(Associates_Call_List_PQ!S110="","",Associates_Call_List_PQ!S110)</f>
        <v/>
      </c>
      <c r="T110" s="57" t="str">
        <f>IF(Associates_Call_List_PQ!T110="","",Associates_Call_List_PQ!T110)</f>
        <v/>
      </c>
      <c r="U110" s="57" t="str">
        <f>IF(Associates_Call_List_PQ!U110="","",Associates_Call_List_PQ!U110)</f>
        <v/>
      </c>
      <c r="V110" s="68" t="s">
        <v>5433</v>
      </c>
      <c r="W110" s="68">
        <v>46011</v>
      </c>
      <c r="X110" s="68" t="s">
        <v>5434</v>
      </c>
      <c r="Y110" s="68"/>
      <c r="Z110" s="72" t="s">
        <v>5446</v>
      </c>
    </row>
    <row r="111" spans="1:26">
      <c r="A111" s="71">
        <f>IFERROR(Associates_Call_List_PQ!A111,"")</f>
        <v>45903</v>
      </c>
      <c r="B111" s="57" t="str">
        <f>IF(Associates_Call_List_PQ!B111="","",Associates_Call_List_PQ!B111)</f>
        <v>Pela</v>
      </c>
      <c r="C111" s="57" t="str">
        <f>IF(Associates_Call_List_PQ!C111="","",Associates_Call_List_PQ!C111)</f>
        <v>Allison</v>
      </c>
      <c r="D111" s="57" t="str">
        <f>IF(Associates_Call_List_PQ!D111="","",Associates_Call_List_PQ!D111)</f>
        <v>Phoenix</v>
      </c>
      <c r="E111" s="58">
        <f>IF(Associates_Call_List_PQ!E111="","",Associates_Call_List_PQ!E111)</f>
        <v>85028</v>
      </c>
      <c r="F111" s="57" t="str">
        <f>IF(Associates_Call_List_PQ!F111="","",Associates_Call_List_PQ!F111)</f>
        <v>Punishing solar customers</v>
      </c>
      <c r="G111" s="57" t="str">
        <f>IF(Associates_Call_List_PQ!G111="","",Associates_Call_List_PQ!G111)</f>
        <v>https://images.edocket.azcc.gov/docketpdf/E000046190.pdf</v>
      </c>
      <c r="H111" s="59" t="str">
        <f>IF(Associates_Call_List_PQ!H111="","",Associates_Call_List_PQ!H111)</f>
        <v>7770645738</v>
      </c>
      <c r="I111" s="57" t="str">
        <f>IF(Associates_Call_List_PQ!I111="","",Associates_Call_List_PQ!I111)</f>
        <v>R3-47</v>
      </c>
      <c r="J111" s="57" t="str">
        <f>IF(Associates_Call_List_PQ!J111="","",Associates_Call_List_PQ!J111)</f>
        <v>No</v>
      </c>
      <c r="K111" s="57" t="str">
        <f>IF(Associates_Call_List_PQ!K111="","",Associates_Call_List_PQ!K111)</f>
        <v>No</v>
      </c>
      <c r="L111" s="57" t="str">
        <f>IF(Associates_Call_List_PQ!L111="","",Associates_Call_List_PQ!L111)</f>
        <v>Yes</v>
      </c>
      <c r="M111" s="57" t="str">
        <f>IF(Associates_Call_List_PQ!M111="","",Associates_Call_List_PQ!M111)</f>
        <v>No</v>
      </c>
      <c r="N111" s="57" t="str">
        <f>IF(Associates_Call_List_PQ!N111="","",Associates_Call_List_PQ!N111)</f>
        <v>No</v>
      </c>
      <c r="O111" s="57" t="str">
        <f>IF(Associates_Call_List_PQ!O111="","",Associates_Call_List_PQ!O111)</f>
        <v>Yes</v>
      </c>
      <c r="P111" s="57" t="str">
        <f>IF(Associates_Call_List_PQ!P111="","",Associates_Call_List_PQ!P111)</f>
        <v>N</v>
      </c>
      <c r="Q111" s="57">
        <f>IF(Associates_Call_List_PQ!Q111="","",Associates_Call_List_PQ!Q111)</f>
        <v>45968</v>
      </c>
      <c r="R111" s="57" t="str">
        <f>IF(Associates_Call_List_PQ!R111="","",Associates_Call_List_PQ!R111)</f>
        <v/>
      </c>
      <c r="S111" s="57" t="str">
        <f>IF(Associates_Call_List_PQ!S111="","",Associates_Call_List_PQ!S111)</f>
        <v/>
      </c>
      <c r="T111" s="57" t="str">
        <f>IF(Associates_Call_List_PQ!T111="","",Associates_Call_List_PQ!T111)</f>
        <v/>
      </c>
      <c r="U111" s="57" t="str">
        <f>IF(Associates_Call_List_PQ!U111="","",Associates_Call_List_PQ!U111)</f>
        <v/>
      </c>
      <c r="V111" s="68"/>
      <c r="W111" s="68" t="s">
        <v>5432</v>
      </c>
      <c r="X111" s="68"/>
      <c r="Y111" s="68"/>
      <c r="Z111" s="72"/>
    </row>
    <row r="112" spans="1:26">
      <c r="A112" s="71">
        <f>IFERROR(Associates_Call_List_PQ!A112,"")</f>
        <v>45903</v>
      </c>
      <c r="B112" s="57" t="str">
        <f>IF(Associates_Call_List_PQ!B112="","",Associates_Call_List_PQ!B112)</f>
        <v>Elliston</v>
      </c>
      <c r="C112" s="57" t="str">
        <f>IF(Associates_Call_List_PQ!C112="","",Associates_Call_List_PQ!C112)</f>
        <v>Juanita</v>
      </c>
      <c r="D112" s="57" t="str">
        <f>IF(Associates_Call_List_PQ!D112="","",Associates_Call_List_PQ!D112)</f>
        <v>Litchfield Park</v>
      </c>
      <c r="E112" s="58">
        <f>IF(Associates_Call_List_PQ!E112="","",Associates_Call_List_PQ!E112)</f>
        <v>85340</v>
      </c>
      <c r="F112" s="57" t="str">
        <f>IF(Associates_Call_List_PQ!F112="","",Associates_Call_List_PQ!F112)</f>
        <v>Opposed</v>
      </c>
      <c r="G112" s="57" t="str">
        <f>IF(Associates_Call_List_PQ!G112="","",Associates_Call_List_PQ!G112)</f>
        <v>https://images.edocket.azcc.gov/docketpdf/E000046190.pdf</v>
      </c>
      <c r="H112" s="59" t="str">
        <f>IF(Associates_Call_List_PQ!H112="","",Associates_Call_List_PQ!H112)</f>
        <v>2931588244</v>
      </c>
      <c r="I112" s="57" t="str">
        <f>IF(Associates_Call_List_PQ!I112="","",Associates_Call_List_PQ!I112)</f>
        <v>R3-47</v>
      </c>
      <c r="J112" s="57" t="str">
        <f>IF(Associates_Call_List_PQ!J112="","",Associates_Call_List_PQ!J112)</f>
        <v>No</v>
      </c>
      <c r="K112" s="57" t="str">
        <f>IF(Associates_Call_List_PQ!K112="","",Associates_Call_List_PQ!K112)</f>
        <v>No</v>
      </c>
      <c r="L112" s="57" t="str">
        <f>IF(Associates_Call_List_PQ!L112="","",Associates_Call_List_PQ!L112)</f>
        <v>Yes</v>
      </c>
      <c r="M112" s="57" t="str">
        <f>IF(Associates_Call_List_PQ!M112="","",Associates_Call_List_PQ!M112)</f>
        <v>No</v>
      </c>
      <c r="N112" s="57" t="str">
        <f>IF(Associates_Call_List_PQ!N112="","",Associates_Call_List_PQ!N112)</f>
        <v>No</v>
      </c>
      <c r="O112" s="57" t="str">
        <f>IF(Associates_Call_List_PQ!O112="","",Associates_Call_List_PQ!O112)</f>
        <v>Yes</v>
      </c>
      <c r="P112" s="57" t="str">
        <f>IF(Associates_Call_List_PQ!P112="","",Associates_Call_List_PQ!P112)</f>
        <v>N</v>
      </c>
      <c r="Q112" s="57">
        <f>IF(Associates_Call_List_PQ!Q112="","",Associates_Call_List_PQ!Q112)</f>
        <v>45968</v>
      </c>
      <c r="R112" s="57" t="str">
        <f>IF(Associates_Call_List_PQ!R112="","",Associates_Call_List_PQ!R112)</f>
        <v/>
      </c>
      <c r="S112" s="57" t="str">
        <f>IF(Associates_Call_List_PQ!S112="","",Associates_Call_List_PQ!S112)</f>
        <v/>
      </c>
      <c r="T112" s="57" t="str">
        <f>IF(Associates_Call_List_PQ!T112="","",Associates_Call_List_PQ!T112)</f>
        <v/>
      </c>
      <c r="U112" s="57" t="s">
        <v>5522</v>
      </c>
      <c r="V112" s="68" t="s">
        <v>117</v>
      </c>
      <c r="W112" s="68">
        <v>46074</v>
      </c>
      <c r="X112" s="68" t="s">
        <v>5434</v>
      </c>
      <c r="Y112" s="68"/>
      <c r="Z112" s="72"/>
    </row>
    <row r="113" spans="1:26">
      <c r="A113" s="71">
        <f>IFERROR(Associates_Call_List_PQ!A113,"")</f>
        <v>45903</v>
      </c>
      <c r="B113" s="57" t="str">
        <f>IF(Associates_Call_List_PQ!B113="","",Associates_Call_List_PQ!B113)</f>
        <v>Kroytoro</v>
      </c>
      <c r="C113" s="57" t="str">
        <f>IF(Associates_Call_List_PQ!C113="","",Associates_Call_List_PQ!C113)</f>
        <v>Eli</v>
      </c>
      <c r="D113" s="57" t="str">
        <f>IF(Associates_Call_List_PQ!D113="","",Associates_Call_List_PQ!D113)</f>
        <v>Phoenix</v>
      </c>
      <c r="E113" s="58">
        <f>IF(Associates_Call_List_PQ!E113="","",Associates_Call_List_PQ!E113)</f>
        <v>85024</v>
      </c>
      <c r="F113" s="57" t="str">
        <f>IF(Associates_Call_List_PQ!F113="","",Associates_Call_List_PQ!F113)</f>
        <v>Form letter</v>
      </c>
      <c r="G113" s="57" t="str">
        <f>IF(Associates_Call_List_PQ!G113="","",Associates_Call_List_PQ!G113)</f>
        <v>https://images.edocket.azcc.gov/docketpdf/E000046190.pdf</v>
      </c>
      <c r="H113" s="59" t="str">
        <f>IF(Associates_Call_List_PQ!H113="","",Associates_Call_List_PQ!H113)</f>
        <v>5428778750</v>
      </c>
      <c r="I113" s="57" t="str">
        <f>IF(Associates_Call_List_PQ!I113="","",Associates_Call_List_PQ!I113)</f>
        <v>R3-47</v>
      </c>
      <c r="J113" s="57" t="str">
        <f>IF(Associates_Call_List_PQ!J113="","",Associates_Call_List_PQ!J113)</f>
        <v>No</v>
      </c>
      <c r="K113" s="57" t="str">
        <f>IF(Associates_Call_List_PQ!K113="","",Associates_Call_List_PQ!K113)</f>
        <v>No</v>
      </c>
      <c r="L113" s="57" t="str">
        <f>IF(Associates_Call_List_PQ!L113="","",Associates_Call_List_PQ!L113)</f>
        <v>Yes</v>
      </c>
      <c r="M113" s="57" t="str">
        <f>IF(Associates_Call_List_PQ!M113="","",Associates_Call_List_PQ!M113)</f>
        <v>No</v>
      </c>
      <c r="N113" s="57" t="str">
        <f>IF(Associates_Call_List_PQ!N113="","",Associates_Call_List_PQ!N113)</f>
        <v>No</v>
      </c>
      <c r="O113" s="57" t="str">
        <f>IF(Associates_Call_List_PQ!O113="","",Associates_Call_List_PQ!O113)</f>
        <v>Yes</v>
      </c>
      <c r="P113" s="57" t="str">
        <f>IF(Associates_Call_List_PQ!P113="","",Associates_Call_List_PQ!P113)</f>
        <v>N</v>
      </c>
      <c r="Q113" s="57">
        <f>IF(Associates_Call_List_PQ!Q113="","",Associates_Call_List_PQ!Q113)</f>
        <v>45968</v>
      </c>
      <c r="R113" s="57" t="str">
        <f>IF(Associates_Call_List_PQ!R113="","",Associates_Call_List_PQ!R113)</f>
        <v/>
      </c>
      <c r="S113" s="57" t="str">
        <f>IF(Associates_Call_List_PQ!S113="","",Associates_Call_List_PQ!S113)</f>
        <v/>
      </c>
      <c r="T113" s="57" t="str">
        <f>IF(Associates_Call_List_PQ!T113="","",Associates_Call_List_PQ!T113)</f>
        <v/>
      </c>
      <c r="U113" s="57" t="str">
        <f>IF(Associates_Call_List_PQ!U113="","",Associates_Call_List_PQ!U113)</f>
        <v/>
      </c>
      <c r="V113" s="68"/>
      <c r="W113" s="68" t="s">
        <v>5432</v>
      </c>
      <c r="X113" s="68"/>
      <c r="Y113" s="68"/>
      <c r="Z113" s="72"/>
    </row>
    <row r="114" spans="1:26">
      <c r="A114" s="71">
        <f>IFERROR(Associates_Call_List_PQ!A114,"")</f>
        <v>45903</v>
      </c>
      <c r="B114" s="57" t="str">
        <f>IF(Associates_Call_List_PQ!B114="","",Associates_Call_List_PQ!B114)</f>
        <v>McCallum</v>
      </c>
      <c r="C114" s="57" t="str">
        <f>IF(Associates_Call_List_PQ!C114="","",Associates_Call_List_PQ!C114)</f>
        <v>Robert</v>
      </c>
      <c r="D114" s="57" t="str">
        <f>IF(Associates_Call_List_PQ!D114="","",Associates_Call_List_PQ!D114)</f>
        <v>Litchfield Park</v>
      </c>
      <c r="E114" s="58">
        <f>IF(Associates_Call_List_PQ!E114="","",Associates_Call_List_PQ!E114)</f>
        <v>85340</v>
      </c>
      <c r="F114" s="57" t="str">
        <f>IF(Associates_Call_List_PQ!F114="","",Associates_Call_List_PQ!F114)</f>
        <v xml:space="preserve">Cannot afford/retired </v>
      </c>
      <c r="G114" s="57" t="str">
        <f>IF(Associates_Call_List_PQ!G114="","",Associates_Call_List_PQ!G114)</f>
        <v>https://images.edocket.azcc.gov/docketpdf/E000046190.pdf</v>
      </c>
      <c r="H114" s="59" t="str">
        <f>IF(Associates_Call_List_PQ!H114="","",Associates_Call_List_PQ!H114)</f>
        <v>9593560000</v>
      </c>
      <c r="I114" s="57" t="str">
        <f>IF(Associates_Call_List_PQ!I114="","",Associates_Call_List_PQ!I114)</f>
        <v>R-BASIC</v>
      </c>
      <c r="J114" s="57" t="str">
        <f>IF(Associates_Call_List_PQ!J114="","",Associates_Call_List_PQ!J114)</f>
        <v>No</v>
      </c>
      <c r="K114" s="57" t="str">
        <f>IF(Associates_Call_List_PQ!K114="","",Associates_Call_List_PQ!K114)</f>
        <v>No</v>
      </c>
      <c r="L114" s="57" t="str">
        <f>IF(Associates_Call_List_PQ!L114="","",Associates_Call_List_PQ!L114)</f>
        <v>Yes</v>
      </c>
      <c r="M114" s="57" t="str">
        <f>IF(Associates_Call_List_PQ!M114="","",Associates_Call_List_PQ!M114)</f>
        <v>No</v>
      </c>
      <c r="N114" s="57" t="str">
        <f>IF(Associates_Call_List_PQ!N114="","",Associates_Call_List_PQ!N114)</f>
        <v>No</v>
      </c>
      <c r="O114" s="57" t="str">
        <f>IF(Associates_Call_List_PQ!O114="","",Associates_Call_List_PQ!O114)</f>
        <v>Yes</v>
      </c>
      <c r="P114" s="57" t="str">
        <f>IF(Associates_Call_List_PQ!P114="","",Associates_Call_List_PQ!P114)</f>
        <v>N</v>
      </c>
      <c r="Q114" s="57">
        <f>IF(Associates_Call_List_PQ!Q114="","",Associates_Call_List_PQ!Q114)</f>
        <v>45968</v>
      </c>
      <c r="R114" s="57" t="str">
        <f>IF(Associates_Call_List_PQ!R114="","",Associates_Call_List_PQ!R114)</f>
        <v/>
      </c>
      <c r="S114" s="57" t="str">
        <f>IF(Associates_Call_List_PQ!S114="","",Associates_Call_List_PQ!S114)</f>
        <v/>
      </c>
      <c r="T114" s="57" t="str">
        <f>IF(Associates_Call_List_PQ!T114="","",Associates_Call_List_PQ!T114)</f>
        <v/>
      </c>
      <c r="U114" s="57" t="s">
        <v>5514</v>
      </c>
      <c r="V114" s="68" t="s">
        <v>117</v>
      </c>
      <c r="W114" s="68">
        <v>46074</v>
      </c>
      <c r="X114" s="68" t="s">
        <v>5434</v>
      </c>
      <c r="Y114" s="68"/>
      <c r="Z114" s="72"/>
    </row>
    <row r="115" spans="1:26">
      <c r="A115" s="71">
        <f>IFERROR(Associates_Call_List_PQ!A115,"")</f>
        <v>45903</v>
      </c>
      <c r="B115" s="57" t="str">
        <f>IF(Associates_Call_List_PQ!B115="","",Associates_Call_List_PQ!B115)</f>
        <v>Kontryn</v>
      </c>
      <c r="C115" s="57" t="str">
        <f>IF(Associates_Call_List_PQ!C115="","",Associates_Call_List_PQ!C115)</f>
        <v xml:space="preserve">Sara </v>
      </c>
      <c r="D115" s="57" t="str">
        <f>IF(Associates_Call_List_PQ!D115="","",Associates_Call_List_PQ!D115)</f>
        <v>Phoenix</v>
      </c>
      <c r="E115" s="58">
        <f>IF(Associates_Call_List_PQ!E115="","",Associates_Call_List_PQ!E115)</f>
        <v>85022</v>
      </c>
      <c r="F115" s="57" t="str">
        <f>IF(Associates_Call_List_PQ!F115="","",Associates_Call_List_PQ!F115)</f>
        <v>Form letter</v>
      </c>
      <c r="G115" s="57" t="str">
        <f>IF(Associates_Call_List_PQ!G115="","",Associates_Call_List_PQ!G115)</f>
        <v>https://images.edocket.azcc.gov/docketpdf/E000046190.pdf</v>
      </c>
      <c r="H115" s="59" t="str">
        <f>IF(Associates_Call_List_PQ!H115="","",Associates_Call_List_PQ!H115)</f>
        <v>3405320000</v>
      </c>
      <c r="I115" s="57" t="str">
        <f>IF(Associates_Call_List_PQ!I115="","",Associates_Call_List_PQ!I115)</f>
        <v>RTOUE47</v>
      </c>
      <c r="J115" s="57" t="str">
        <f>IF(Associates_Call_List_PQ!J115="","",Associates_Call_List_PQ!J115)</f>
        <v>No</v>
      </c>
      <c r="K115" s="57" t="str">
        <f>IF(Associates_Call_List_PQ!K115="","",Associates_Call_List_PQ!K115)</f>
        <v>No</v>
      </c>
      <c r="L115" s="57" t="str">
        <f>IF(Associates_Call_List_PQ!L115="","",Associates_Call_List_PQ!L115)</f>
        <v>No MEP R3-47($91.81)</v>
      </c>
      <c r="M115" s="57" t="str">
        <f>IF(Associates_Call_List_PQ!M115="","",Associates_Call_List_PQ!M115)</f>
        <v>No</v>
      </c>
      <c r="N115" s="57" t="str">
        <f>IF(Associates_Call_List_PQ!N115="","",Associates_Call_List_PQ!N115)</f>
        <v>No</v>
      </c>
      <c r="O115" s="57" t="str">
        <f>IF(Associates_Call_List_PQ!O115="","",Associates_Call_List_PQ!O115)</f>
        <v>Yes</v>
      </c>
      <c r="P115" s="57">
        <f>IF(Associates_Call_List_PQ!P115="","",Associates_Call_List_PQ!P115)</f>
        <v>45933</v>
      </c>
      <c r="Q115" s="57">
        <f>IF(Associates_Call_List_PQ!Q115="","",Associates_Call_List_PQ!Q115)</f>
        <v>45968</v>
      </c>
      <c r="R115" s="57" t="str">
        <f>IF(Associates_Call_List_PQ!R115="","",Associates_Call_List_PQ!R115)</f>
        <v>Left VM 10/03/2025</v>
      </c>
      <c r="S115" s="57" t="str">
        <f>IF(Associates_Call_List_PQ!S115="","",Associates_Call_List_PQ!S115)</f>
        <v/>
      </c>
      <c r="T115" s="57" t="str">
        <f>IF(Associates_Call_List_PQ!T115="","",Associates_Call_List_PQ!T115)</f>
        <v/>
      </c>
      <c r="U115" s="57" t="str">
        <f>IF(Associates_Call_List_PQ!U115="","",Associates_Call_List_PQ!U115)</f>
        <v/>
      </c>
      <c r="V115" s="68" t="s">
        <v>5433</v>
      </c>
      <c r="W115" s="68">
        <v>46011</v>
      </c>
      <c r="X115" s="68" t="s">
        <v>5434</v>
      </c>
      <c r="Y115" s="68"/>
      <c r="Z115" s="72" t="s">
        <v>5446</v>
      </c>
    </row>
    <row r="116" spans="1:26">
      <c r="A116" s="71">
        <f>IFERROR(Associates_Call_List_PQ!A116,"")</f>
        <v>45903</v>
      </c>
      <c r="B116" s="57" t="str">
        <f>IF(Associates_Call_List_PQ!B116="","",Associates_Call_List_PQ!B116)</f>
        <v>Petersen</v>
      </c>
      <c r="C116" s="57" t="str">
        <f>IF(Associates_Call_List_PQ!C116="","",Associates_Call_List_PQ!C116)</f>
        <v>Ashley</v>
      </c>
      <c r="D116" s="57" t="str">
        <f>IF(Associates_Call_List_PQ!D116="","",Associates_Call_List_PQ!D116)</f>
        <v>Glendale</v>
      </c>
      <c r="E116" s="58">
        <f>IF(Associates_Call_List_PQ!E116="","",Associates_Call_List_PQ!E116)</f>
        <v>85308</v>
      </c>
      <c r="F116" s="57" t="str">
        <f>IF(Associates_Call_List_PQ!F116="","",Associates_Call_List_PQ!F116)</f>
        <v>Form letter</v>
      </c>
      <c r="G116" s="57" t="str">
        <f>IF(Associates_Call_List_PQ!G116="","",Associates_Call_List_PQ!G116)</f>
        <v>https://images.edocket.azcc.gov/docketpdf/E000046190.pdf</v>
      </c>
      <c r="H116" s="59">
        <f>IF(Associates_Call_List_PQ!H116="","",Associates_Call_List_PQ!H116)</f>
        <v>8043001000</v>
      </c>
      <c r="I116" s="57" t="str">
        <f>IF(Associates_Call_List_PQ!I116="","",Associates_Call_List_PQ!I116)</f>
        <v>R-XS</v>
      </c>
      <c r="J116" s="57" t="str">
        <f>IF(Associates_Call_List_PQ!J116="","",Associates_Call_List_PQ!J116)</f>
        <v>No</v>
      </c>
      <c r="K116" s="57" t="str">
        <f>IF(Associates_Call_List_PQ!K116="","",Associates_Call_List_PQ!K116)</f>
        <v/>
      </c>
      <c r="L116" s="57" t="str">
        <f>IF(Associates_Call_List_PQ!L116="","",Associates_Call_List_PQ!L116)</f>
        <v>Yes</v>
      </c>
      <c r="M116" s="57" t="str">
        <f>IF(Associates_Call_List_PQ!M116="","",Associates_Call_List_PQ!M116)</f>
        <v/>
      </c>
      <c r="N116" s="57" t="str">
        <f>IF(Associates_Call_List_PQ!N116="","",Associates_Call_List_PQ!N116)</f>
        <v/>
      </c>
      <c r="O116" s="57" t="str">
        <f>IF(Associates_Call_List_PQ!O116="","",Associates_Call_List_PQ!O116)</f>
        <v>Yes</v>
      </c>
      <c r="P116" s="57" t="str">
        <f>IF(Associates_Call_List_PQ!P116="","",Associates_Call_List_PQ!P116)</f>
        <v>N</v>
      </c>
      <c r="Q116" s="57" t="str">
        <f>IF(Associates_Call_List_PQ!Q116="","",Associates_Call_List_PQ!Q116)</f>
        <v/>
      </c>
      <c r="R116" s="57" t="str">
        <f>IF(Associates_Call_List_PQ!R116="","",Associates_Call_List_PQ!R116)</f>
        <v/>
      </c>
      <c r="S116" s="57" t="str">
        <f>IF(Associates_Call_List_PQ!S116="","",Associates_Call_List_PQ!S116)</f>
        <v/>
      </c>
      <c r="T116" s="57" t="str">
        <f>IF(Associates_Call_List_PQ!T116="","",Associates_Call_List_PQ!T116)</f>
        <v/>
      </c>
      <c r="U116" s="57" t="s">
        <v>5529</v>
      </c>
      <c r="V116" s="68" t="s">
        <v>117</v>
      </c>
      <c r="W116" s="68">
        <v>46074</v>
      </c>
      <c r="X116" s="68" t="s">
        <v>5405</v>
      </c>
      <c r="Y116" s="68" t="s">
        <v>5461</v>
      </c>
      <c r="Z116" s="72" t="s">
        <v>5530</v>
      </c>
    </row>
    <row r="117" spans="1:26">
      <c r="A117" s="71">
        <f>IFERROR(Associates_Call_List_PQ!A117,"")</f>
        <v>45903</v>
      </c>
      <c r="B117" s="57" t="str">
        <f>IF(Associates_Call_List_PQ!B117="","",Associates_Call_List_PQ!B117)</f>
        <v>Bergstrom</v>
      </c>
      <c r="C117" s="57" t="str">
        <f>IF(Associates_Call_List_PQ!C117="","",Associates_Call_List_PQ!C117)</f>
        <v>Shailey</v>
      </c>
      <c r="D117" s="57" t="str">
        <f>IF(Associates_Call_List_PQ!D117="","",Associates_Call_List_PQ!D117)</f>
        <v>Phoenix</v>
      </c>
      <c r="E117" s="58">
        <f>IF(Associates_Call_List_PQ!E117="","",Associates_Call_List_PQ!E117)</f>
        <v>85022</v>
      </c>
      <c r="F117" s="57" t="str">
        <f>IF(Associates_Call_List_PQ!F117="","",Associates_Call_List_PQ!F117)</f>
        <v>Apt electric bill is as high as her parent home in Tucson</v>
      </c>
      <c r="G117" s="57" t="str">
        <f>IF(Associates_Call_List_PQ!G117="","",Associates_Call_List_PQ!G117)</f>
        <v>https://images.edocket.azcc.gov/docketpdf/E000046190.pdf</v>
      </c>
      <c r="H117" s="59" t="str">
        <f>IF(Associates_Call_List_PQ!H117="","",Associates_Call_List_PQ!H117)</f>
        <v>7477798096</v>
      </c>
      <c r="I117" s="57" t="str">
        <f>IF(Associates_Call_List_PQ!I117="","",Associates_Call_List_PQ!I117)</f>
        <v>R-BASICL</v>
      </c>
      <c r="J117" s="57" t="str">
        <f>IF(Associates_Call_List_PQ!J117="","",Associates_Call_List_PQ!J117)</f>
        <v>No</v>
      </c>
      <c r="K117" s="57" t="str">
        <f>IF(Associates_Call_List_PQ!K117="","",Associates_Call_List_PQ!K117)</f>
        <v>No</v>
      </c>
      <c r="L117" s="57" t="str">
        <f>IF(Associates_Call_List_PQ!L117="","",Associates_Call_List_PQ!L117)</f>
        <v>No MEP R-BASIC(170.69)</v>
      </c>
      <c r="M117" s="57" t="str">
        <f>IF(Associates_Call_List_PQ!M117="","",Associates_Call_List_PQ!M117)</f>
        <v>No</v>
      </c>
      <c r="N117" s="57" t="str">
        <f>IF(Associates_Call_List_PQ!N117="","",Associates_Call_List_PQ!N117)</f>
        <v>No</v>
      </c>
      <c r="O117" s="57" t="str">
        <f>IF(Associates_Call_List_PQ!O117="","",Associates_Call_List_PQ!O117)</f>
        <v>Yes</v>
      </c>
      <c r="P117" s="57">
        <f>IF(Associates_Call_List_PQ!P117="","",Associates_Call_List_PQ!P117)</f>
        <v>45933</v>
      </c>
      <c r="Q117" s="57">
        <f>IF(Associates_Call_List_PQ!Q117="","",Associates_Call_List_PQ!Q117)</f>
        <v>45968</v>
      </c>
      <c r="R117" s="57" t="str">
        <f>IF(Associates_Call_List_PQ!R117="","",Associates_Call_List_PQ!R117)</f>
        <v>Left VM 10/03/2025 - Will be automatically reassigned to Tier 2 soon</v>
      </c>
      <c r="S117" s="57" t="str">
        <f>IF(Associates_Call_List_PQ!S117="","",Associates_Call_List_PQ!S117)</f>
        <v/>
      </c>
      <c r="T117" s="57" t="str">
        <f>IF(Associates_Call_List_PQ!T117="","",Associates_Call_List_PQ!T117)</f>
        <v/>
      </c>
      <c r="U117" s="57" t="s">
        <v>5531</v>
      </c>
      <c r="V117" s="68" t="s">
        <v>117</v>
      </c>
      <c r="W117" s="68">
        <v>46053</v>
      </c>
      <c r="X117" s="68" t="s">
        <v>5434</v>
      </c>
      <c r="Y117" s="68"/>
      <c r="Z117" s="72"/>
    </row>
    <row r="118" spans="1:26">
      <c r="A118" s="71">
        <f>IFERROR(Associates_Call_List_PQ!A118,"")</f>
        <v>45903</v>
      </c>
      <c r="B118" s="57" t="str">
        <f>IF(Associates_Call_List_PQ!B118="","",Associates_Call_List_PQ!B118)</f>
        <v>Rogers</v>
      </c>
      <c r="C118" s="57" t="str">
        <f>IF(Associates_Call_List_PQ!C118="","",Associates_Call_List_PQ!C118)</f>
        <v>Richard</v>
      </c>
      <c r="D118" s="57" t="str">
        <f>IF(Associates_Call_List_PQ!D118="","",Associates_Call_List_PQ!D118)</f>
        <v>Flagstaff</v>
      </c>
      <c r="E118" s="58">
        <f>IF(Associates_Call_List_PQ!E118="","",Associates_Call_List_PQ!E118)</f>
        <v>86001</v>
      </c>
      <c r="F118" s="57" t="str">
        <f>IF(Associates_Call_List_PQ!F118="","",Associates_Call_List_PQ!F118)</f>
        <v>Opposed</v>
      </c>
      <c r="G118" s="57" t="str">
        <f>IF(Associates_Call_List_PQ!G118="","",Associates_Call_List_PQ!G118)</f>
        <v>https://images.edocket.azcc.gov/docketpdf/E000046190.pdf</v>
      </c>
      <c r="H118" s="59" t="str">
        <f>IF(Associates_Call_List_PQ!H118="","",Associates_Call_List_PQ!H118)</f>
        <v>2605161000</v>
      </c>
      <c r="I118" s="57" t="str">
        <f>IF(Associates_Call_List_PQ!I118="","",Associates_Call_List_PQ!I118)</f>
        <v>R-BASIC</v>
      </c>
      <c r="J118" s="57" t="str">
        <f>IF(Associates_Call_List_PQ!J118="","",Associates_Call_List_PQ!J118)</f>
        <v>No</v>
      </c>
      <c r="K118" s="57" t="str">
        <f>IF(Associates_Call_List_PQ!K118="","",Associates_Call_List_PQ!K118)</f>
        <v>No</v>
      </c>
      <c r="L118" s="57" t="str">
        <f>IF(Associates_Call_List_PQ!L118="","",Associates_Call_List_PQ!L118)</f>
        <v>No Multiple SAs not on MEP</v>
      </c>
      <c r="M118" s="57" t="str">
        <f>IF(Associates_Call_List_PQ!M118="","",Associates_Call_List_PQ!M118)</f>
        <v>No</v>
      </c>
      <c r="N118" s="57" t="str">
        <f>IF(Associates_Call_List_PQ!N118="","",Associates_Call_List_PQ!N118)</f>
        <v>No</v>
      </c>
      <c r="O118" s="57" t="str">
        <f>IF(Associates_Call_List_PQ!O118="","",Associates_Call_List_PQ!O118)</f>
        <v>Yes</v>
      </c>
      <c r="P118" s="57">
        <f>IF(Associates_Call_List_PQ!P118="","",Associates_Call_List_PQ!P118)</f>
        <v>45933</v>
      </c>
      <c r="Q118" s="57">
        <f>IF(Associates_Call_List_PQ!Q118="","",Associates_Call_List_PQ!Q118)</f>
        <v>45968</v>
      </c>
      <c r="R118" s="57" t="str">
        <f>IF(Associates_Call_List_PQ!R118="","",Associates_Call_List_PQ!R118)</f>
        <v>Left VM 10/03/2025</v>
      </c>
      <c r="S118" s="57" t="str">
        <f>IF(Associates_Call_List_PQ!S118="","",Associates_Call_List_PQ!S118)</f>
        <v/>
      </c>
      <c r="T118" s="57" t="str">
        <f>IF(Associates_Call_List_PQ!T118="","",Associates_Call_List_PQ!T118)</f>
        <v/>
      </c>
      <c r="U118" s="57" t="s">
        <v>5532</v>
      </c>
      <c r="V118" s="68" t="s">
        <v>117</v>
      </c>
      <c r="W118" s="68">
        <v>46053</v>
      </c>
      <c r="X118" s="68" t="s">
        <v>5434</v>
      </c>
      <c r="Y118" s="68"/>
      <c r="Z118" s="72" t="s">
        <v>5531</v>
      </c>
    </row>
    <row r="119" spans="1:26">
      <c r="A119" s="71">
        <f>IFERROR(Associates_Call_List_PQ!A119,"")</f>
        <v>45903</v>
      </c>
      <c r="B119" s="57" t="str">
        <f>IF(Associates_Call_List_PQ!B119="","",Associates_Call_List_PQ!B119)</f>
        <v>Weaver</v>
      </c>
      <c r="C119" s="57" t="str">
        <f>IF(Associates_Call_List_PQ!C119="","",Associates_Call_List_PQ!C119)</f>
        <v>Jordan</v>
      </c>
      <c r="D119" s="57" t="str">
        <f>IF(Associates_Call_List_PQ!D119="","",Associates_Call_List_PQ!D119)</f>
        <v>Phoenix</v>
      </c>
      <c r="E119" s="58">
        <f>IF(Associates_Call_List_PQ!E119="","",Associates_Call_List_PQ!E119)</f>
        <v>85014</v>
      </c>
      <c r="F119" s="57" t="str">
        <f>IF(Associates_Call_List_PQ!F119="","",Associates_Call_List_PQ!F119)</f>
        <v>Make data centers pay more not people who are struggling</v>
      </c>
      <c r="G119" s="57" t="str">
        <f>IF(Associates_Call_List_PQ!G119="","",Associates_Call_List_PQ!G119)</f>
        <v>https://images.edocket.azcc.gov/docketpdf/E000046190.pdf</v>
      </c>
      <c r="H119" s="59" t="str">
        <f>IF(Associates_Call_List_PQ!H119="","",Associates_Call_List_PQ!H119)</f>
        <v>9938175305</v>
      </c>
      <c r="I119" s="57" t="str">
        <f>IF(Associates_Call_List_PQ!I119="","",Associates_Call_List_PQ!I119)</f>
        <v>R-XS</v>
      </c>
      <c r="J119" s="57" t="str">
        <f>IF(Associates_Call_List_PQ!J119="","",Associates_Call_List_PQ!J119)</f>
        <v>No</v>
      </c>
      <c r="K119" s="57" t="str">
        <f>IF(Associates_Call_List_PQ!K119="","",Associates_Call_List_PQ!K119)</f>
        <v>No</v>
      </c>
      <c r="L119" s="57" t="str">
        <f>IF(Associates_Call_List_PQ!L119="","",Associates_Call_List_PQ!L119)</f>
        <v>Yes</v>
      </c>
      <c r="M119" s="57" t="str">
        <f>IF(Associates_Call_List_PQ!M119="","",Associates_Call_List_PQ!M119)</f>
        <v>No</v>
      </c>
      <c r="N119" s="57" t="str">
        <f>IF(Associates_Call_List_PQ!N119="","",Associates_Call_List_PQ!N119)</f>
        <v>No</v>
      </c>
      <c r="O119" s="57" t="str">
        <f>IF(Associates_Call_List_PQ!O119="","",Associates_Call_List_PQ!O119)</f>
        <v>Yes</v>
      </c>
      <c r="P119" s="57" t="str">
        <f>IF(Associates_Call_List_PQ!P119="","",Associates_Call_List_PQ!P119)</f>
        <v>N</v>
      </c>
      <c r="Q119" s="57">
        <f>IF(Associates_Call_List_PQ!Q119="","",Associates_Call_List_PQ!Q119)</f>
        <v>45968</v>
      </c>
      <c r="R119" s="57" t="str">
        <f>IF(Associates_Call_List_PQ!R119="","",Associates_Call_List_PQ!R119)</f>
        <v/>
      </c>
      <c r="S119" s="57" t="str">
        <f>IF(Associates_Call_List_PQ!S119="","",Associates_Call_List_PQ!S119)</f>
        <v/>
      </c>
      <c r="T119" s="57" t="str">
        <f>IF(Associates_Call_List_PQ!T119="","",Associates_Call_List_PQ!T119)</f>
        <v/>
      </c>
      <c r="U119" s="57" t="str">
        <f>IF(Associates_Call_List_PQ!U119="","",Associates_Call_List_PQ!U119)</f>
        <v/>
      </c>
      <c r="V119" s="68"/>
      <c r="W119" s="68" t="s">
        <v>5432</v>
      </c>
      <c r="X119" s="68"/>
      <c r="Y119" s="68"/>
      <c r="Z119" s="72"/>
    </row>
    <row r="120" spans="1:26">
      <c r="A120" s="71">
        <f>IFERROR(Associates_Call_List_PQ!A120,"")</f>
        <v>45903</v>
      </c>
      <c r="B120" s="57" t="str">
        <f>IF(Associates_Call_List_PQ!B120="","",Associates_Call_List_PQ!B120)</f>
        <v>Gutierrez</v>
      </c>
      <c r="C120" s="57" t="str">
        <f>IF(Associates_Call_List_PQ!C120="","",Associates_Call_List_PQ!C120)</f>
        <v>Francisco</v>
      </c>
      <c r="D120" s="57" t="str">
        <f>IF(Associates_Call_List_PQ!D120="","",Associates_Call_List_PQ!D120)</f>
        <v>Yuma</v>
      </c>
      <c r="E120" s="58">
        <f>IF(Associates_Call_List_PQ!E120="","",Associates_Call_List_PQ!E120)</f>
        <v>85365</v>
      </c>
      <c r="F120" s="57" t="str">
        <f>IF(Associates_Call_List_PQ!F120="","",Associates_Call_List_PQ!F120)</f>
        <v>Form letter</v>
      </c>
      <c r="G120" s="57" t="str">
        <f>IF(Associates_Call_List_PQ!G120="","",Associates_Call_List_PQ!G120)</f>
        <v>https://images.edocket.azcc.gov/docketpdf/E000046190.pdf</v>
      </c>
      <c r="H120" s="59" t="str">
        <f>IF(Associates_Call_List_PQ!H120="","",Associates_Call_List_PQ!H120)</f>
        <v>1560131000</v>
      </c>
      <c r="I120" s="57" t="str">
        <f>IF(Associates_Call_List_PQ!I120="","",Associates_Call_List_PQ!I120)</f>
        <v>RTOUE47</v>
      </c>
      <c r="J120" s="57" t="str">
        <f>IF(Associates_Call_List_PQ!J120="","",Associates_Call_List_PQ!J120)</f>
        <v>No</v>
      </c>
      <c r="K120" s="57" t="str">
        <f>IF(Associates_Call_List_PQ!K120="","",Associates_Call_List_PQ!K120)</f>
        <v>No</v>
      </c>
      <c r="L120" s="57" t="str">
        <f>IF(Associates_Call_List_PQ!L120="","",Associates_Call_List_PQ!L120)</f>
        <v>No MEP R3-47($92.74)</v>
      </c>
      <c r="M120" s="57" t="str">
        <f>IF(Associates_Call_List_PQ!M120="","",Associates_Call_List_PQ!M120)</f>
        <v>No</v>
      </c>
      <c r="N120" s="57" t="str">
        <f>IF(Associates_Call_List_PQ!N120="","",Associates_Call_List_PQ!N120)</f>
        <v>No</v>
      </c>
      <c r="O120" s="57" t="str">
        <f>IF(Associates_Call_List_PQ!O120="","",Associates_Call_List_PQ!O120)</f>
        <v>Yes</v>
      </c>
      <c r="P120" s="57" t="str">
        <f>IF(Associates_Call_List_PQ!P120="","",Associates_Call_List_PQ!P120)</f>
        <v>N</v>
      </c>
      <c r="Q120" s="57">
        <f>IF(Associates_Call_List_PQ!Q120="","",Associates_Call_List_PQ!Q120)</f>
        <v>45968</v>
      </c>
      <c r="R120" s="57" t="str">
        <f>IF(Associates_Call_List_PQ!R120="","",Associates_Call_List_PQ!R120)</f>
        <v>Unable to leave VM- Mailbox full 10/03/25</v>
      </c>
      <c r="S120" s="57" t="str">
        <f>IF(Associates_Call_List_PQ!S120="","",Associates_Call_List_PQ!S120)</f>
        <v/>
      </c>
      <c r="T120" s="57" t="str">
        <f>IF(Associates_Call_List_PQ!T120="","",Associates_Call_List_PQ!T120)</f>
        <v/>
      </c>
      <c r="U120" s="57" t="str">
        <f>IF(Associates_Call_List_PQ!U120="","",Associates_Call_List_PQ!U120)</f>
        <v/>
      </c>
      <c r="V120" s="68" t="s">
        <v>5433</v>
      </c>
      <c r="W120" s="68">
        <v>46018</v>
      </c>
      <c r="X120" s="68" t="s">
        <v>5405</v>
      </c>
      <c r="Y120" s="68"/>
      <c r="Z120" s="72"/>
    </row>
    <row r="121" spans="1:26">
      <c r="A121" s="71">
        <f>IFERROR(Associates_Call_List_PQ!A121,"")</f>
        <v>45903</v>
      </c>
      <c r="B121" s="57" t="str">
        <f>IF(Associates_Call_List_PQ!B121="","",Associates_Call_List_PQ!B121)</f>
        <v>Ramakrishnan</v>
      </c>
      <c r="C121" s="57" t="str">
        <f>IF(Associates_Call_List_PQ!C121="","",Associates_Call_List_PQ!C121)</f>
        <v>Shyam Sundar</v>
      </c>
      <c r="D121" s="57" t="str">
        <f>IF(Associates_Call_List_PQ!D121="","",Associates_Call_List_PQ!D121)</f>
        <v>Phoenix</v>
      </c>
      <c r="E121" s="58">
        <f>IF(Associates_Call_List_PQ!E121="","",Associates_Call_List_PQ!E121)</f>
        <v>85085</v>
      </c>
      <c r="F121" s="57" t="str">
        <f>IF(Associates_Call_List_PQ!F121="","",Associates_Call_List_PQ!F121)</f>
        <v>Unnecessary financial strain</v>
      </c>
      <c r="G121" s="57" t="str">
        <f>IF(Associates_Call_List_PQ!G121="","",Associates_Call_List_PQ!G121)</f>
        <v>https://images.edocket.azcc.gov/docketpdf/E000046190.pdf</v>
      </c>
      <c r="H121" s="59" t="str">
        <f>IF(Associates_Call_List_PQ!H121="","",Associates_Call_List_PQ!H121)</f>
        <v>9679340000</v>
      </c>
      <c r="I121" s="57" t="str">
        <f>IF(Associates_Call_List_PQ!I121="","",Associates_Call_List_PQ!I121)</f>
        <v>R3-47</v>
      </c>
      <c r="J121" s="57" t="str">
        <f>IF(Associates_Call_List_PQ!J121="","",Associates_Call_List_PQ!J121)</f>
        <v>No</v>
      </c>
      <c r="K121" s="57" t="str">
        <f>IF(Associates_Call_List_PQ!K121="","",Associates_Call_List_PQ!K121)</f>
        <v>No</v>
      </c>
      <c r="L121" s="57" t="str">
        <f>IF(Associates_Call_List_PQ!L121="","",Associates_Call_List_PQ!L121)</f>
        <v>Yes</v>
      </c>
      <c r="M121" s="57" t="str">
        <f>IF(Associates_Call_List_PQ!M121="","",Associates_Call_List_PQ!M121)</f>
        <v>No</v>
      </c>
      <c r="N121" s="57" t="str">
        <f>IF(Associates_Call_List_PQ!N121="","",Associates_Call_List_PQ!N121)</f>
        <v>No</v>
      </c>
      <c r="O121" s="57" t="str">
        <f>IF(Associates_Call_List_PQ!O121="","",Associates_Call_List_PQ!O121)</f>
        <v>Yes</v>
      </c>
      <c r="P121" s="57" t="str">
        <f>IF(Associates_Call_List_PQ!P121="","",Associates_Call_List_PQ!P121)</f>
        <v>N</v>
      </c>
      <c r="Q121" s="57">
        <f>IF(Associates_Call_List_PQ!Q121="","",Associates_Call_List_PQ!Q121)</f>
        <v>45968</v>
      </c>
      <c r="R121" s="57" t="str">
        <f>IF(Associates_Call_List_PQ!R121="","",Associates_Call_List_PQ!R121)</f>
        <v/>
      </c>
      <c r="S121" s="57" t="str">
        <f>IF(Associates_Call_List_PQ!S121="","",Associates_Call_List_PQ!S121)</f>
        <v/>
      </c>
      <c r="T121" s="57" t="str">
        <f>IF(Associates_Call_List_PQ!T121="","",Associates_Call_List_PQ!T121)</f>
        <v/>
      </c>
      <c r="U121" s="57" t="str">
        <f>IF(Associates_Call_List_PQ!U121="","",Associates_Call_List_PQ!U121)</f>
        <v/>
      </c>
      <c r="V121" s="68"/>
      <c r="W121" s="68" t="s">
        <v>5432</v>
      </c>
      <c r="X121" s="68"/>
      <c r="Y121" s="68"/>
      <c r="Z121" s="72"/>
    </row>
    <row r="122" spans="1:26">
      <c r="A122" s="71">
        <f>IFERROR(Associates_Call_List_PQ!A122,"")</f>
        <v>45903</v>
      </c>
      <c r="B122" s="57" t="str">
        <f>IF(Associates_Call_List_PQ!B122="","",Associates_Call_List_PQ!B122)</f>
        <v>Vandiver</v>
      </c>
      <c r="C122" s="57" t="str">
        <f>IF(Associates_Call_List_PQ!C122="","",Associates_Call_List_PQ!C122)</f>
        <v>Kaneshea</v>
      </c>
      <c r="D122" s="57" t="str">
        <f>IF(Associates_Call_List_PQ!D122="","",Associates_Call_List_PQ!D122)</f>
        <v>Avondale</v>
      </c>
      <c r="E122" s="58">
        <f>IF(Associates_Call_List_PQ!E122="","",Associates_Call_List_PQ!E122)</f>
        <v>85392</v>
      </c>
      <c r="F122" s="57" t="str">
        <f>IF(Associates_Call_List_PQ!F122="","",Associates_Call_List_PQ!F122)</f>
        <v>Already having a hard time affording electric bill</v>
      </c>
      <c r="G122" s="57" t="str">
        <f>IF(Associates_Call_List_PQ!G122="","",Associates_Call_List_PQ!G122)</f>
        <v>https://images.edocket.azcc.gov/docketpdf/E000046190.pdf</v>
      </c>
      <c r="H122" s="59" t="str">
        <f>IF(Associates_Call_List_PQ!H122="","",Associates_Call_List_PQ!H122)</f>
        <v>5347487924</v>
      </c>
      <c r="I122" s="57" t="str">
        <f>IF(Associates_Call_List_PQ!I122="","",Associates_Call_List_PQ!I122)</f>
        <v>R-BASIC</v>
      </c>
      <c r="J122" s="57" t="str">
        <f>IF(Associates_Call_List_PQ!J122="","",Associates_Call_List_PQ!J122)</f>
        <v>No</v>
      </c>
      <c r="K122" s="57" t="str">
        <f>IF(Associates_Call_List_PQ!K122="","",Associates_Call_List_PQ!K122)</f>
        <v>No</v>
      </c>
      <c r="L122" s="57" t="str">
        <f>IF(Associates_Call_List_PQ!L122="","",Associates_Call_List_PQ!L122)</f>
        <v>Yes</v>
      </c>
      <c r="M122" s="57" t="str">
        <f>IF(Associates_Call_List_PQ!M122="","",Associates_Call_List_PQ!M122)</f>
        <v>No</v>
      </c>
      <c r="N122" s="57" t="str">
        <f>IF(Associates_Call_List_PQ!N122="","",Associates_Call_List_PQ!N122)</f>
        <v>No</v>
      </c>
      <c r="O122" s="57" t="str">
        <f>IF(Associates_Call_List_PQ!O122="","",Associates_Call_List_PQ!O122)</f>
        <v>Yes</v>
      </c>
      <c r="P122" s="57" t="str">
        <f>IF(Associates_Call_List_PQ!P122="","",Associates_Call_List_PQ!P122)</f>
        <v>N</v>
      </c>
      <c r="Q122" s="57">
        <f>IF(Associates_Call_List_PQ!Q122="","",Associates_Call_List_PQ!Q122)</f>
        <v>45968</v>
      </c>
      <c r="R122" s="57" t="str">
        <f>IF(Associates_Call_List_PQ!R122="","",Associates_Call_List_PQ!R122)</f>
        <v/>
      </c>
      <c r="S122" s="57" t="str">
        <f>IF(Associates_Call_List_PQ!S122="","",Associates_Call_List_PQ!S122)</f>
        <v/>
      </c>
      <c r="T122" s="57" t="str">
        <f>IF(Associates_Call_List_PQ!T122="","",Associates_Call_List_PQ!T122)</f>
        <v/>
      </c>
      <c r="U122" s="57" t="s">
        <v>5533</v>
      </c>
      <c r="V122" s="68" t="s">
        <v>117</v>
      </c>
      <c r="W122" s="68">
        <v>46074</v>
      </c>
      <c r="X122" s="68" t="s">
        <v>5434</v>
      </c>
      <c r="Y122" s="68"/>
      <c r="Z122" s="72"/>
    </row>
    <row r="123" spans="1:26">
      <c r="A123" s="71">
        <f>IFERROR(Associates_Call_List_PQ!A123,"")</f>
        <v>45903</v>
      </c>
      <c r="B123" s="57" t="str">
        <f>IF(Associates_Call_List_PQ!B123="","",Associates_Call_List_PQ!B123)</f>
        <v>Fajardo</v>
      </c>
      <c r="C123" s="57" t="str">
        <f>IF(Associates_Call_List_PQ!C123="","",Associates_Call_List_PQ!C123)</f>
        <v>Adam</v>
      </c>
      <c r="D123" s="57" t="str">
        <f>IF(Associates_Call_List_PQ!D123="","",Associates_Call_List_PQ!D123)</f>
        <v>Flagstaff</v>
      </c>
      <c r="E123" s="58">
        <f>IF(Associates_Call_List_PQ!E123="","",Associates_Call_List_PQ!E123)</f>
        <v>86001</v>
      </c>
      <c r="F123" s="57" t="str">
        <f>IF(Associates_Call_List_PQ!F123="","",Associates_Call_List_PQ!F123)</f>
        <v>Form letter</v>
      </c>
      <c r="G123" s="57" t="str">
        <f>IF(Associates_Call_List_PQ!G123="","",Associates_Call_List_PQ!G123)</f>
        <v>https://images.edocket.azcc.gov/docketpdf/E000046190.pdf</v>
      </c>
      <c r="H123" s="59" t="str">
        <f>IF(Associates_Call_List_PQ!H123="","",Associates_Call_List_PQ!H123)</f>
        <v>9687504618</v>
      </c>
      <c r="I123" s="57" t="str">
        <f>IF(Associates_Call_List_PQ!I123="","",Associates_Call_List_PQ!I123)</f>
        <v>R-XS</v>
      </c>
      <c r="J123" s="57" t="str">
        <f>IF(Associates_Call_List_PQ!J123="","",Associates_Call_List_PQ!J123)</f>
        <v>No</v>
      </c>
      <c r="K123" s="57" t="str">
        <f>IF(Associates_Call_List_PQ!K123="","",Associates_Call_List_PQ!K123)</f>
        <v>No</v>
      </c>
      <c r="L123" s="57" t="str">
        <f>IF(Associates_Call_List_PQ!L123="","",Associates_Call_List_PQ!L123)</f>
        <v>Yes</v>
      </c>
      <c r="M123" s="57" t="str">
        <f>IF(Associates_Call_List_PQ!M123="","",Associates_Call_List_PQ!M123)</f>
        <v>No</v>
      </c>
      <c r="N123" s="57" t="str">
        <f>IF(Associates_Call_List_PQ!N123="","",Associates_Call_List_PQ!N123)</f>
        <v>No</v>
      </c>
      <c r="O123" s="57" t="str">
        <f>IF(Associates_Call_List_PQ!O123="","",Associates_Call_List_PQ!O123)</f>
        <v>Yes</v>
      </c>
      <c r="P123" s="57" t="str">
        <f>IF(Associates_Call_List_PQ!P123="","",Associates_Call_List_PQ!P123)</f>
        <v>N</v>
      </c>
      <c r="Q123" s="57">
        <f>IF(Associates_Call_List_PQ!Q123="","",Associates_Call_List_PQ!Q123)</f>
        <v>45968</v>
      </c>
      <c r="R123" s="57" t="str">
        <f>IF(Associates_Call_List_PQ!R123="","",Associates_Call_List_PQ!R123)</f>
        <v/>
      </c>
      <c r="S123" s="57" t="str">
        <f>IF(Associates_Call_List_PQ!S123="","",Associates_Call_List_PQ!S123)</f>
        <v/>
      </c>
      <c r="T123" s="57" t="str">
        <f>IF(Associates_Call_List_PQ!T123="","",Associates_Call_List_PQ!T123)</f>
        <v/>
      </c>
      <c r="U123" s="57" t="str">
        <f>IF(Associates_Call_List_PQ!U123="","",Associates_Call_List_PQ!U123)</f>
        <v/>
      </c>
      <c r="V123" s="68"/>
      <c r="W123" s="68" t="s">
        <v>5432</v>
      </c>
      <c r="X123" s="68"/>
      <c r="Y123" s="68"/>
      <c r="Z123" s="72"/>
    </row>
    <row r="124" spans="1:26">
      <c r="A124" s="71">
        <f>IFERROR(Associates_Call_List_PQ!A124,"")</f>
        <v>45903</v>
      </c>
      <c r="B124" s="57" t="str">
        <f>IF(Associates_Call_List_PQ!B124="","",Associates_Call_List_PQ!B124)</f>
        <v>Mohapatra</v>
      </c>
      <c r="C124" s="57" t="str">
        <f>IF(Associates_Call_List_PQ!C124="","",Associates_Call_List_PQ!C124)</f>
        <v>Sangram</v>
      </c>
      <c r="D124" s="57" t="str">
        <f>IF(Associates_Call_List_PQ!D124="","",Associates_Call_List_PQ!D124)</f>
        <v>Peoria</v>
      </c>
      <c r="E124" s="58">
        <f>IF(Associates_Call_List_PQ!E124="","",Associates_Call_List_PQ!E124)</f>
        <v>85383</v>
      </c>
      <c r="F124" s="57" t="str">
        <f>IF(Associates_Call_List_PQ!F124="","",Associates_Call_List_PQ!F124)</f>
        <v>Form letter</v>
      </c>
      <c r="G124" s="57" t="str">
        <f>IF(Associates_Call_List_PQ!G124="","",Associates_Call_List_PQ!G124)</f>
        <v>https://images.edocket.azcc.gov/docketpdf/E000046190.pdf</v>
      </c>
      <c r="H124" s="59" t="str">
        <f>IF(Associates_Call_List_PQ!H124="","",Associates_Call_List_PQ!H124)</f>
        <v>4557041000</v>
      </c>
      <c r="I124" s="57" t="str">
        <f>IF(Associates_Call_List_PQ!I124="","",Associates_Call_List_PQ!I124)</f>
        <v>RTOUE47</v>
      </c>
      <c r="J124" s="57" t="str">
        <f>IF(Associates_Call_List_PQ!J124="","",Associates_Call_List_PQ!J124)</f>
        <v>No</v>
      </c>
      <c r="K124" s="57" t="str">
        <f>IF(Associates_Call_List_PQ!K124="","",Associates_Call_List_PQ!K124)</f>
        <v>No</v>
      </c>
      <c r="L124" s="57" t="str">
        <f>IF(Associates_Call_List_PQ!L124="","",Associates_Call_List_PQ!L124)</f>
        <v>No MEP R3-47($197.05)</v>
      </c>
      <c r="M124" s="57" t="str">
        <f>IF(Associates_Call_List_PQ!M124="","",Associates_Call_List_PQ!M124)</f>
        <v>No</v>
      </c>
      <c r="N124" s="57" t="str">
        <f>IF(Associates_Call_List_PQ!N124="","",Associates_Call_List_PQ!N124)</f>
        <v>No</v>
      </c>
      <c r="O124" s="57" t="str">
        <f>IF(Associates_Call_List_PQ!O124="","",Associates_Call_List_PQ!O124)</f>
        <v>Yes</v>
      </c>
      <c r="P124" s="57">
        <f>IF(Associates_Call_List_PQ!P124="","",Associates_Call_List_PQ!P124)</f>
        <v>45933</v>
      </c>
      <c r="Q124" s="57">
        <f>IF(Associates_Call_List_PQ!Q124="","",Associates_Call_List_PQ!Q124)</f>
        <v>45968</v>
      </c>
      <c r="R124" s="57" t="str">
        <f>IF(Associates_Call_List_PQ!R124="","",Associates_Call_List_PQ!R124)</f>
        <v>Left VM 10/03/2025</v>
      </c>
      <c r="S124" s="57" t="str">
        <f>IF(Associates_Call_List_PQ!S124="","",Associates_Call_List_PQ!S124)</f>
        <v/>
      </c>
      <c r="T124" s="57" t="str">
        <f>IF(Associates_Call_List_PQ!T124="","",Associates_Call_List_PQ!T124)</f>
        <v/>
      </c>
      <c r="U124" s="57" t="s">
        <v>5534</v>
      </c>
      <c r="V124" s="68" t="s">
        <v>117</v>
      </c>
      <c r="W124" s="68">
        <v>46032</v>
      </c>
      <c r="X124" s="68" t="s">
        <v>5405</v>
      </c>
      <c r="Y124" s="68" t="s">
        <v>5461</v>
      </c>
      <c r="Z124" s="72" t="s">
        <v>5438</v>
      </c>
    </row>
    <row r="125" spans="1:26">
      <c r="A125" s="71">
        <f>IFERROR(Associates_Call_List_PQ!A125,"")</f>
        <v>45903</v>
      </c>
      <c r="B125" s="57" t="str">
        <f>IF(Associates_Call_List_PQ!B125="","",Associates_Call_List_PQ!B125)</f>
        <v>Purohit</v>
      </c>
      <c r="C125" s="57" t="str">
        <f>IF(Associates_Call_List_PQ!C125="","",Associates_Call_List_PQ!C125)</f>
        <v>Amit Kumar</v>
      </c>
      <c r="D125" s="57" t="str">
        <f>IF(Associates_Call_List_PQ!D125="","",Associates_Call_List_PQ!D125)</f>
        <v>Scottsdale</v>
      </c>
      <c r="E125" s="58">
        <f>IF(Associates_Call_List_PQ!E125="","",Associates_Call_List_PQ!E125)</f>
        <v>85255</v>
      </c>
      <c r="F125" s="57" t="str">
        <f>IF(Associates_Call_List_PQ!F125="","",Associates_Call_List_PQ!F125)</f>
        <v>Form letter</v>
      </c>
      <c r="G125" s="57" t="str">
        <f>IF(Associates_Call_List_PQ!G125="","",Associates_Call_List_PQ!G125)</f>
        <v>https://images.edocket.azcc.gov/docketpdf/E000046190.pdf</v>
      </c>
      <c r="H125" s="59" t="str">
        <f>IF(Associates_Call_List_PQ!H125="","",Associates_Call_List_PQ!H125)</f>
        <v>3105621000</v>
      </c>
      <c r="I125" s="57" t="str">
        <f>IF(Associates_Call_List_PQ!I125="","",Associates_Call_List_PQ!I125)</f>
        <v>R3-47</v>
      </c>
      <c r="J125" s="57" t="str">
        <f>IF(Associates_Call_List_PQ!J125="","",Associates_Call_List_PQ!J125)</f>
        <v>No</v>
      </c>
      <c r="K125" s="57" t="str">
        <f>IF(Associates_Call_List_PQ!K125="","",Associates_Call_List_PQ!K125)</f>
        <v>No</v>
      </c>
      <c r="L125" s="57" t="str">
        <f>IF(Associates_Call_List_PQ!L125="","",Associates_Call_List_PQ!L125)</f>
        <v>Yes</v>
      </c>
      <c r="M125" s="57" t="str">
        <f>IF(Associates_Call_List_PQ!M125="","",Associates_Call_List_PQ!M125)</f>
        <v>No</v>
      </c>
      <c r="N125" s="57" t="str">
        <f>IF(Associates_Call_List_PQ!N125="","",Associates_Call_List_PQ!N125)</f>
        <v>No</v>
      </c>
      <c r="O125" s="57" t="str">
        <f>IF(Associates_Call_List_PQ!O125="","",Associates_Call_List_PQ!O125)</f>
        <v>Yes</v>
      </c>
      <c r="P125" s="57" t="str">
        <f>IF(Associates_Call_List_PQ!P125="","",Associates_Call_List_PQ!P125)</f>
        <v>N</v>
      </c>
      <c r="Q125" s="57">
        <f>IF(Associates_Call_List_PQ!Q125="","",Associates_Call_List_PQ!Q125)</f>
        <v>45968</v>
      </c>
      <c r="R125" s="57" t="str">
        <f>IF(Associates_Call_List_PQ!R125="","",Associates_Call_List_PQ!R125)</f>
        <v/>
      </c>
      <c r="S125" s="57" t="str">
        <f>IF(Associates_Call_List_PQ!S125="","",Associates_Call_List_PQ!S125)</f>
        <v/>
      </c>
      <c r="T125" s="57" t="str">
        <f>IF(Associates_Call_List_PQ!T125="","",Associates_Call_List_PQ!T125)</f>
        <v/>
      </c>
      <c r="U125" s="57" t="str">
        <f>IF(Associates_Call_List_PQ!U125="","",Associates_Call_List_PQ!U125)</f>
        <v/>
      </c>
      <c r="V125" s="68"/>
      <c r="W125" s="68" t="s">
        <v>5432</v>
      </c>
      <c r="X125" s="68"/>
      <c r="Y125" s="68"/>
      <c r="Z125" s="72"/>
    </row>
    <row r="126" spans="1:26">
      <c r="A126" s="71">
        <f>IFERROR(Associates_Call_List_PQ!A126,"")</f>
        <v>45903</v>
      </c>
      <c r="B126" s="57" t="str">
        <f>IF(Associates_Call_List_PQ!B126="","",Associates_Call_List_PQ!B126)</f>
        <v>Theis</v>
      </c>
      <c r="C126" s="57" t="str">
        <f>IF(Associates_Call_List_PQ!C126="","",Associates_Call_List_PQ!C126)</f>
        <v>Madison</v>
      </c>
      <c r="D126" s="57" t="str">
        <f>IF(Associates_Call_List_PQ!D126="","",Associates_Call_List_PQ!D126)</f>
        <v>Phoenix</v>
      </c>
      <c r="E126" s="58">
        <f>IF(Associates_Call_List_PQ!E126="","",Associates_Call_List_PQ!E126)</f>
        <v>85022</v>
      </c>
      <c r="F126" s="57" t="str">
        <f>IF(Associates_Call_List_PQ!F126="","",Associates_Call_List_PQ!F126)</f>
        <v>Form letter</v>
      </c>
      <c r="G126" s="57" t="str">
        <f>IF(Associates_Call_List_PQ!G126="","",Associates_Call_List_PQ!G126)</f>
        <v>https://images.edocket.azcc.gov/docketpdf/E000046190.pdf</v>
      </c>
      <c r="H126" s="59" t="str">
        <f>IF(Associates_Call_List_PQ!H126="","",Associates_Call_List_PQ!H126)</f>
        <v>49371600000</v>
      </c>
      <c r="I126" s="57" t="str">
        <f>IF(Associates_Call_List_PQ!I126="","",Associates_Call_List_PQ!I126)</f>
        <v>R-XS</v>
      </c>
      <c r="J126" s="57" t="str">
        <f>IF(Associates_Call_List_PQ!J126="","",Associates_Call_List_PQ!J126)</f>
        <v>No</v>
      </c>
      <c r="K126" s="57" t="str">
        <f>IF(Associates_Call_List_PQ!K126="","",Associates_Call_List_PQ!K126)</f>
        <v>No</v>
      </c>
      <c r="L126" s="57" t="str">
        <f>IF(Associates_Call_List_PQ!L126="","",Associates_Call_List_PQ!L126)</f>
        <v>Yes</v>
      </c>
      <c r="M126" s="57" t="str">
        <f>IF(Associates_Call_List_PQ!M126="","",Associates_Call_List_PQ!M126)</f>
        <v>No</v>
      </c>
      <c r="N126" s="57" t="str">
        <f>IF(Associates_Call_List_PQ!N126="","",Associates_Call_List_PQ!N126)</f>
        <v>No</v>
      </c>
      <c r="O126" s="57" t="str">
        <f>IF(Associates_Call_List_PQ!O126="","",Associates_Call_List_PQ!O126)</f>
        <v>Yes</v>
      </c>
      <c r="P126" s="57" t="str">
        <f>IF(Associates_Call_List_PQ!P126="","",Associates_Call_List_PQ!P126)</f>
        <v>N</v>
      </c>
      <c r="Q126" s="57">
        <f>IF(Associates_Call_List_PQ!Q126="","",Associates_Call_List_PQ!Q126)</f>
        <v>45968</v>
      </c>
      <c r="R126" s="57" t="str">
        <f>IF(Associates_Call_List_PQ!R126="","",Associates_Call_List_PQ!R126)</f>
        <v/>
      </c>
      <c r="S126" s="57" t="str">
        <f>IF(Associates_Call_List_PQ!S126="","",Associates_Call_List_PQ!S126)</f>
        <v/>
      </c>
      <c r="T126" s="57" t="str">
        <f>IF(Associates_Call_List_PQ!T126="","",Associates_Call_List_PQ!T126)</f>
        <v/>
      </c>
      <c r="U126" s="57" t="s">
        <v>5522</v>
      </c>
      <c r="V126" s="68" t="s">
        <v>117</v>
      </c>
      <c r="W126" s="68">
        <v>46074</v>
      </c>
      <c r="X126" s="68" t="s">
        <v>5434</v>
      </c>
      <c r="Y126" s="68"/>
      <c r="Z126" s="72"/>
    </row>
    <row r="127" spans="1:26">
      <c r="A127" s="71">
        <f>IFERROR(Associates_Call_List_PQ!A127,"")</f>
        <v>45903</v>
      </c>
      <c r="B127" s="57" t="str">
        <f>IF(Associates_Call_List_PQ!B127="","",Associates_Call_List_PQ!B127)</f>
        <v>Hupka</v>
      </c>
      <c r="C127" s="57" t="str">
        <f>IF(Associates_Call_List_PQ!C127="","",Associates_Call_List_PQ!C127)</f>
        <v>Tanner</v>
      </c>
      <c r="D127" s="57" t="str">
        <f>IF(Associates_Call_List_PQ!D127="","",Associates_Call_List_PQ!D127)</f>
        <v>Unknown</v>
      </c>
      <c r="E127" s="58">
        <f>IF(Associates_Call_List_PQ!E127="","",Associates_Call_List_PQ!E127)</f>
        <v>85254</v>
      </c>
      <c r="F127" s="57" t="str">
        <f>IF(Associates_Call_List_PQ!F127="","",Associates_Call_List_PQ!F127)</f>
        <v>Form letter</v>
      </c>
      <c r="G127" s="57" t="str">
        <f>IF(Associates_Call_List_PQ!G127="","",Associates_Call_List_PQ!G127)</f>
        <v>https://images.edocket.azcc.gov/docketpdf/E000046190.pdf</v>
      </c>
      <c r="H127" s="59" t="str">
        <f>IF(Associates_Call_List_PQ!H127="","",Associates_Call_List_PQ!H127)</f>
        <v>8701977261</v>
      </c>
      <c r="I127" s="57" t="str">
        <f>IF(Associates_Call_List_PQ!I127="","",Associates_Call_List_PQ!I127)</f>
        <v>R-BASIC</v>
      </c>
      <c r="J127" s="57" t="str">
        <f>IF(Associates_Call_List_PQ!J127="","",Associates_Call_List_PQ!J127)</f>
        <v>No</v>
      </c>
      <c r="K127" s="57" t="str">
        <f>IF(Associates_Call_List_PQ!K127="","",Associates_Call_List_PQ!K127)</f>
        <v>No</v>
      </c>
      <c r="L127" s="57" t="str">
        <f>IF(Associates_Call_List_PQ!L127="","",Associates_Call_List_PQ!L127)</f>
        <v>Yes</v>
      </c>
      <c r="M127" s="57" t="str">
        <f>IF(Associates_Call_List_PQ!M127="","",Associates_Call_List_PQ!M127)</f>
        <v>Yes</v>
      </c>
      <c r="N127" s="57">
        <f>IF(Associates_Call_List_PQ!N127="","",Associates_Call_List_PQ!N127)</f>
        <v>664.06</v>
      </c>
      <c r="O127" s="57" t="str">
        <f>IF(Associates_Call_List_PQ!O127="","",Associates_Call_List_PQ!O127)</f>
        <v>Yes</v>
      </c>
      <c r="P127" s="57" t="str">
        <f>IF(Associates_Call_List_PQ!P127="","",Associates_Call_List_PQ!P127)</f>
        <v/>
      </c>
      <c r="Q127" s="57">
        <f>IF(Associates_Call_List_PQ!Q127="","",Associates_Call_List_PQ!Q127)</f>
        <v>45968</v>
      </c>
      <c r="R127" s="57" t="str">
        <f>IF(Associates_Call_List_PQ!R127="","",Associates_Call_List_PQ!R127)</f>
        <v/>
      </c>
      <c r="S127" s="57" t="str">
        <f>IF(Associates_Call_List_PQ!S127="","",Associates_Call_List_PQ!S127)</f>
        <v/>
      </c>
      <c r="T127" s="57" t="str">
        <f>IF(Associates_Call_List_PQ!T127="","",Associates_Call_List_PQ!T127)</f>
        <v/>
      </c>
      <c r="U127" s="57" t="s">
        <v>5531</v>
      </c>
      <c r="V127" s="68" t="s">
        <v>117</v>
      </c>
      <c r="W127" s="68">
        <v>46018</v>
      </c>
      <c r="X127" s="68" t="s">
        <v>5434</v>
      </c>
      <c r="Y127" s="68"/>
      <c r="Z127" s="72"/>
    </row>
    <row r="128" spans="1:26">
      <c r="A128" s="71">
        <f>IFERROR(Associates_Call_List_PQ!A128,"")</f>
        <v>45903</v>
      </c>
      <c r="B128" s="57" t="str">
        <f>IF(Associates_Call_List_PQ!B128="","",Associates_Call_List_PQ!B128)</f>
        <v>Coudriet</v>
      </c>
      <c r="C128" s="57" t="str">
        <f>IF(Associates_Call_List_PQ!C128="","",Associates_Call_List_PQ!C128)</f>
        <v>Lise</v>
      </c>
      <c r="D128" s="57" t="str">
        <f>IF(Associates_Call_List_PQ!D128="","",Associates_Call_List_PQ!D128)</f>
        <v>Goodyear</v>
      </c>
      <c r="E128" s="58">
        <f>IF(Associates_Call_List_PQ!E128="","",Associates_Call_List_PQ!E128)</f>
        <v>85338</v>
      </c>
      <c r="F128" s="57" t="str">
        <f>IF(Associates_Call_List_PQ!F128="","",Associates_Call_List_PQ!F128)</f>
        <v xml:space="preserve">Will cause hardships </v>
      </c>
      <c r="G128" s="57" t="str">
        <f>IF(Associates_Call_List_PQ!G128="","",Associates_Call_List_PQ!G128)</f>
        <v>https://images.edocket.azcc.gov/docketpdf/E000046190.pdf</v>
      </c>
      <c r="H128" s="59" t="str">
        <f>IF(Associates_Call_List_PQ!H128="","",Associates_Call_List_PQ!H128)</f>
        <v>5411325149</v>
      </c>
      <c r="I128" s="57" t="str">
        <f>IF(Associates_Call_List_PQ!I128="","",Associates_Call_List_PQ!I128)</f>
        <v>R-BASICL</v>
      </c>
      <c r="J128" s="57" t="str">
        <f>IF(Associates_Call_List_PQ!J128="","",Associates_Call_List_PQ!J128)</f>
        <v>Yes</v>
      </c>
      <c r="K128" s="57" t="str">
        <f>IF(Associates_Call_List_PQ!K128="","",Associates_Call_List_PQ!K128)</f>
        <v>No</v>
      </c>
      <c r="L128" s="57" t="str">
        <f>IF(Associates_Call_List_PQ!L128="","",Associates_Call_List_PQ!L128)</f>
        <v>No MEP R3-47(755.73)</v>
      </c>
      <c r="M128" s="57" t="str">
        <f>IF(Associates_Call_List_PQ!M128="","",Associates_Call_List_PQ!M128)</f>
        <v>Yes</v>
      </c>
      <c r="N128" s="57">
        <f>IF(Associates_Call_List_PQ!N128="","",Associates_Call_List_PQ!N128)</f>
        <v>3681.83</v>
      </c>
      <c r="O128" s="57" t="str">
        <f>IF(Associates_Call_List_PQ!O128="","",Associates_Call_List_PQ!O128)</f>
        <v>Yes</v>
      </c>
      <c r="P128" s="57">
        <f>IF(Associates_Call_List_PQ!P128="","",Associates_Call_List_PQ!P128)</f>
        <v>45933</v>
      </c>
      <c r="Q128" s="57">
        <f>IF(Associates_Call_List_PQ!Q128="","",Associates_Call_List_PQ!Q128)</f>
        <v>45968</v>
      </c>
      <c r="R128" s="57" t="str">
        <f>IF(Associates_Call_List_PQ!R128="","",Associates_Call_List_PQ!R128)</f>
        <v>Left VM 10/03/2025 - Initiated rate change to MEP on 10/10 - MAY NEED MORE ASSISTANCE</v>
      </c>
      <c r="S128" s="57" t="str">
        <f>IF(Associates_Call_List_PQ!S128="","",Associates_Call_List_PQ!S128)</f>
        <v/>
      </c>
      <c r="T128" s="57" t="str">
        <f>IF(Associates_Call_List_PQ!T128="","",Associates_Call_List_PQ!T128)</f>
        <v/>
      </c>
      <c r="U128" s="57" t="s">
        <v>5531</v>
      </c>
      <c r="V128" s="68" t="s">
        <v>117</v>
      </c>
      <c r="W128" s="68">
        <v>46025</v>
      </c>
      <c r="X128" s="68" t="s">
        <v>5434</v>
      </c>
      <c r="Y128" s="68"/>
      <c r="Z128" s="72"/>
    </row>
    <row r="129" spans="1:26">
      <c r="A129" s="71">
        <f>IFERROR(Associates_Call_List_PQ!A129,"")</f>
        <v>45903</v>
      </c>
      <c r="B129" s="57" t="str">
        <f>IF(Associates_Call_List_PQ!B129="","",Associates_Call_List_PQ!B129)</f>
        <v>Deep</v>
      </c>
      <c r="C129" s="57" t="str">
        <f>IF(Associates_Call_List_PQ!C129="","",Associates_Call_List_PQ!C129)</f>
        <v>Varun</v>
      </c>
      <c r="D129" s="57" t="str">
        <f>IF(Associates_Call_List_PQ!D129="","",Associates_Call_List_PQ!D129)</f>
        <v>Peoria</v>
      </c>
      <c r="E129" s="58">
        <f>IF(Associates_Call_List_PQ!E129="","",Associates_Call_List_PQ!E129)</f>
        <v>85382</v>
      </c>
      <c r="F129" s="57" t="str">
        <f>IF(Associates_Call_List_PQ!F129="","",Associates_Call_List_PQ!F129)</f>
        <v>Opposed</v>
      </c>
      <c r="G129" s="57" t="str">
        <f>IF(Associates_Call_List_PQ!G129="","",Associates_Call_List_PQ!G129)</f>
        <v>https://images.edocket.azcc.gov/docketpdf/E000046190.pdf</v>
      </c>
      <c r="H129" s="59" t="str">
        <f>IF(Associates_Call_List_PQ!H129="","",Associates_Call_List_PQ!H129)</f>
        <v>4664521000</v>
      </c>
      <c r="I129" s="57" t="str">
        <f>IF(Associates_Call_List_PQ!I129="","",Associates_Call_List_PQ!I129)</f>
        <v>R-XS</v>
      </c>
      <c r="J129" s="57" t="str">
        <f>IF(Associates_Call_List_PQ!J129="","",Associates_Call_List_PQ!J129)</f>
        <v>No</v>
      </c>
      <c r="K129" s="57" t="str">
        <f>IF(Associates_Call_List_PQ!K129="","",Associates_Call_List_PQ!K129)</f>
        <v>No</v>
      </c>
      <c r="L129" s="57" t="str">
        <f>IF(Associates_Call_List_PQ!L129="","",Associates_Call_List_PQ!L129)</f>
        <v>Yes</v>
      </c>
      <c r="M129" s="57" t="str">
        <f>IF(Associates_Call_List_PQ!M129="","",Associates_Call_List_PQ!M129)</f>
        <v>No</v>
      </c>
      <c r="N129" s="57" t="str">
        <f>IF(Associates_Call_List_PQ!N129="","",Associates_Call_List_PQ!N129)</f>
        <v>No</v>
      </c>
      <c r="O129" s="57" t="str">
        <f>IF(Associates_Call_List_PQ!O129="","",Associates_Call_List_PQ!O129)</f>
        <v>Yes</v>
      </c>
      <c r="P129" s="57" t="str">
        <f>IF(Associates_Call_List_PQ!P129="","",Associates_Call_List_PQ!P129)</f>
        <v>N</v>
      </c>
      <c r="Q129" s="57">
        <f>IF(Associates_Call_List_PQ!Q129="","",Associates_Call_List_PQ!Q129)</f>
        <v>45968</v>
      </c>
      <c r="R129" s="57" t="str">
        <f>IF(Associates_Call_List_PQ!R129="","",Associates_Call_List_PQ!R129)</f>
        <v/>
      </c>
      <c r="S129" s="57" t="str">
        <f>IF(Associates_Call_List_PQ!S129="","",Associates_Call_List_PQ!S129)</f>
        <v/>
      </c>
      <c r="T129" s="57" t="str">
        <f>IF(Associates_Call_List_PQ!T129="","",Associates_Call_List_PQ!T129)</f>
        <v/>
      </c>
      <c r="U129" s="57" t="str">
        <f>IF(Associates_Call_List_PQ!U129="","",Associates_Call_List_PQ!U129)</f>
        <v/>
      </c>
      <c r="V129" s="68"/>
      <c r="W129" s="68" t="s">
        <v>5432</v>
      </c>
      <c r="X129" s="68"/>
      <c r="Y129" s="68"/>
      <c r="Z129" s="72"/>
    </row>
    <row r="130" spans="1:26">
      <c r="A130" s="71">
        <f>IFERROR(Associates_Call_List_PQ!A130,"")</f>
        <v>45903</v>
      </c>
      <c r="B130" s="57" t="str">
        <f>IF(Associates_Call_List_PQ!B130="","",Associates_Call_List_PQ!B130)</f>
        <v>Skidmore</v>
      </c>
      <c r="C130" s="57" t="str">
        <f>IF(Associates_Call_List_PQ!C130="","",Associates_Call_List_PQ!C130)</f>
        <v>Marie</v>
      </c>
      <c r="D130" s="57" t="str">
        <f>IF(Associates_Call_List_PQ!D130="","",Associates_Call_List_PQ!D130)</f>
        <v>Avondale</v>
      </c>
      <c r="E130" s="58">
        <f>IF(Associates_Call_List_PQ!E130="","",Associates_Call_List_PQ!E130)</f>
        <v>85392</v>
      </c>
      <c r="F130" s="57" t="str">
        <f>IF(Associates_Call_List_PQ!F130="","",Associates_Call_List_PQ!F130)</f>
        <v>Not affordable</v>
      </c>
      <c r="G130" s="57" t="str">
        <f>IF(Associates_Call_List_PQ!G130="","",Associates_Call_List_PQ!G130)</f>
        <v>https://images.edocket.azcc.gov/docketpdf/E000046190.pdf</v>
      </c>
      <c r="H130" s="59" t="str">
        <f>IF(Associates_Call_List_PQ!H130="","",Associates_Call_List_PQ!H130)</f>
        <v>1037080000</v>
      </c>
      <c r="I130" s="57" t="str">
        <f>IF(Associates_Call_List_PQ!I130="","",Associates_Call_List_PQ!I130)</f>
        <v>R3-47</v>
      </c>
      <c r="J130" s="57" t="str">
        <f>IF(Associates_Call_List_PQ!J130="","",Associates_Call_List_PQ!J130)</f>
        <v>No</v>
      </c>
      <c r="K130" s="57" t="str">
        <f>IF(Associates_Call_List_PQ!K130="","",Associates_Call_List_PQ!K130)</f>
        <v>No</v>
      </c>
      <c r="L130" s="57" t="str">
        <f>IF(Associates_Call_List_PQ!L130="","",Associates_Call_List_PQ!L130)</f>
        <v>Yes</v>
      </c>
      <c r="M130" s="57" t="str">
        <f>IF(Associates_Call_List_PQ!M130="","",Associates_Call_List_PQ!M130)</f>
        <v>No</v>
      </c>
      <c r="N130" s="57" t="str">
        <f>IF(Associates_Call_List_PQ!N130="","",Associates_Call_List_PQ!N130)</f>
        <v>No</v>
      </c>
      <c r="O130" s="57" t="str">
        <f>IF(Associates_Call_List_PQ!O130="","",Associates_Call_List_PQ!O130)</f>
        <v>Yes</v>
      </c>
      <c r="P130" s="57" t="str">
        <f>IF(Associates_Call_List_PQ!P130="","",Associates_Call_List_PQ!P130)</f>
        <v>N</v>
      </c>
      <c r="Q130" s="57">
        <f>IF(Associates_Call_List_PQ!Q130="","",Associates_Call_List_PQ!Q130)</f>
        <v>45968</v>
      </c>
      <c r="R130" s="57" t="str">
        <f>IF(Associates_Call_List_PQ!R130="","",Associates_Call_List_PQ!R130)</f>
        <v/>
      </c>
      <c r="S130" s="57" t="str">
        <f>IF(Associates_Call_List_PQ!S130="","",Associates_Call_List_PQ!S130)</f>
        <v/>
      </c>
      <c r="T130" s="57" t="str">
        <f>IF(Associates_Call_List_PQ!T130="","",Associates_Call_List_PQ!T130)</f>
        <v/>
      </c>
      <c r="U130" s="57" t="s">
        <v>5535</v>
      </c>
      <c r="V130" s="68" t="s">
        <v>117</v>
      </c>
      <c r="W130" s="68">
        <v>46074</v>
      </c>
      <c r="X130" s="68" t="s">
        <v>5405</v>
      </c>
      <c r="Y130" s="68" t="s">
        <v>5461</v>
      </c>
      <c r="Z130" s="72"/>
    </row>
    <row r="131" spans="1:26">
      <c r="A131" s="71">
        <f>IFERROR(Associates_Call_List_PQ!A131,"")</f>
        <v>45903</v>
      </c>
      <c r="B131" s="57" t="str">
        <f>IF(Associates_Call_List_PQ!B131="","",Associates_Call_List_PQ!B131)</f>
        <v>Floyd</v>
      </c>
      <c r="C131" s="57" t="str">
        <f>IF(Associates_Call_List_PQ!C131="","",Associates_Call_List_PQ!C131)</f>
        <v>Casey</v>
      </c>
      <c r="D131" s="57" t="str">
        <f>IF(Associates_Call_List_PQ!D131="","",Associates_Call_List_PQ!D131)</f>
        <v>Peoria</v>
      </c>
      <c r="E131" s="58">
        <f>IF(Associates_Call_List_PQ!E131="","",Associates_Call_List_PQ!E131)</f>
        <v>85383</v>
      </c>
      <c r="F131" s="57" t="str">
        <f>IF(Associates_Call_List_PQ!F131="","",Associates_Call_List_PQ!F131)</f>
        <v>Form letter</v>
      </c>
      <c r="G131" s="57" t="str">
        <f>IF(Associates_Call_List_PQ!G131="","",Associates_Call_List_PQ!G131)</f>
        <v>https://images.edocket.azcc.gov/docketpdf/E000046190.pdf</v>
      </c>
      <c r="H131" s="59" t="str">
        <f>IF(Associates_Call_List_PQ!H131="","",Associates_Call_List_PQ!H131)</f>
        <v>7246270000</v>
      </c>
      <c r="I131" s="57" t="str">
        <f>IF(Associates_Call_List_PQ!I131="","",Associates_Call_List_PQ!I131)</f>
        <v>R3-47</v>
      </c>
      <c r="J131" s="57" t="str">
        <f>IF(Associates_Call_List_PQ!J131="","",Associates_Call_List_PQ!J131)</f>
        <v>No</v>
      </c>
      <c r="K131" s="57" t="str">
        <f>IF(Associates_Call_List_PQ!K131="","",Associates_Call_List_PQ!K131)</f>
        <v>No</v>
      </c>
      <c r="L131" s="57" t="str">
        <f>IF(Associates_Call_List_PQ!L131="","",Associates_Call_List_PQ!L131)</f>
        <v>Yes</v>
      </c>
      <c r="M131" s="57" t="str">
        <f>IF(Associates_Call_List_PQ!M131="","",Associates_Call_List_PQ!M131)</f>
        <v>No</v>
      </c>
      <c r="N131" s="57" t="str">
        <f>IF(Associates_Call_List_PQ!N131="","",Associates_Call_List_PQ!N131)</f>
        <v>No</v>
      </c>
      <c r="O131" s="57" t="str">
        <f>IF(Associates_Call_List_PQ!O131="","",Associates_Call_List_PQ!O131)</f>
        <v>Yes</v>
      </c>
      <c r="P131" s="57" t="str">
        <f>IF(Associates_Call_List_PQ!P131="","",Associates_Call_List_PQ!P131)</f>
        <v>N</v>
      </c>
      <c r="Q131" s="57">
        <f>IF(Associates_Call_List_PQ!Q131="","",Associates_Call_List_PQ!Q131)</f>
        <v>45968</v>
      </c>
      <c r="R131" s="57" t="str">
        <f>IF(Associates_Call_List_PQ!R131="","",Associates_Call_List_PQ!R131)</f>
        <v/>
      </c>
      <c r="S131" s="57" t="str">
        <f>IF(Associates_Call_List_PQ!S131="","",Associates_Call_List_PQ!S131)</f>
        <v/>
      </c>
      <c r="T131" s="57" t="str">
        <f>IF(Associates_Call_List_PQ!T131="","",Associates_Call_List_PQ!T131)</f>
        <v/>
      </c>
      <c r="U131" s="57" t="str">
        <f>IF(Associates_Call_List_PQ!U131="","",Associates_Call_List_PQ!U131)</f>
        <v/>
      </c>
      <c r="V131" s="68"/>
      <c r="W131" s="68" t="s">
        <v>5432</v>
      </c>
      <c r="X131" s="68"/>
      <c r="Y131" s="68"/>
      <c r="Z131" s="72"/>
    </row>
    <row r="132" spans="1:26">
      <c r="A132" s="71">
        <f>IFERROR(Associates_Call_List_PQ!A132,"")</f>
        <v>45903</v>
      </c>
      <c r="B132" s="57" t="str">
        <f>IF(Associates_Call_List_PQ!B132="","",Associates_Call_List_PQ!B132)</f>
        <v xml:space="preserve">Gurram </v>
      </c>
      <c r="C132" s="57" t="str">
        <f>IF(Associates_Call_List_PQ!C132="","",Associates_Call_List_PQ!C132)</f>
        <v>Tanooj Kumar Reddy</v>
      </c>
      <c r="D132" s="57" t="str">
        <f>IF(Associates_Call_List_PQ!D132="","",Associates_Call_List_PQ!D132)</f>
        <v>Peoria</v>
      </c>
      <c r="E132" s="58">
        <f>IF(Associates_Call_List_PQ!E132="","",Associates_Call_List_PQ!E132)</f>
        <v>85383</v>
      </c>
      <c r="F132" s="57" t="str">
        <f>IF(Associates_Call_List_PQ!F132="","",Associates_Call_List_PQ!F132)</f>
        <v>Form letter</v>
      </c>
      <c r="G132" s="57" t="str">
        <f>IF(Associates_Call_List_PQ!G132="","",Associates_Call_List_PQ!G132)</f>
        <v>https://images.edocket.azcc.gov/docketpdf/E000046190.pdf</v>
      </c>
      <c r="H132" s="59" t="str">
        <f>IF(Associates_Call_List_PQ!H132="","",Associates_Call_List_PQ!H132)</f>
        <v>7001761000</v>
      </c>
      <c r="I132" s="57" t="str">
        <f>IF(Associates_Call_List_PQ!I132="","",Associates_Call_List_PQ!I132)</f>
        <v>RTOUE47</v>
      </c>
      <c r="J132" s="57" t="str">
        <f>IF(Associates_Call_List_PQ!J132="","",Associates_Call_List_PQ!J132)</f>
        <v>No</v>
      </c>
      <c r="K132" s="57" t="str">
        <f>IF(Associates_Call_List_PQ!K132="","",Associates_Call_List_PQ!K132)</f>
        <v>No</v>
      </c>
      <c r="L132" s="57" t="str">
        <f>IF(Associates_Call_List_PQ!L132="","",Associates_Call_List_PQ!L132)</f>
        <v>No MEP R3-47($194.29)</v>
      </c>
      <c r="M132" s="57" t="str">
        <f>IF(Associates_Call_List_PQ!M132="","",Associates_Call_List_PQ!M132)</f>
        <v>No</v>
      </c>
      <c r="N132" s="57" t="str">
        <f>IF(Associates_Call_List_PQ!N132="","",Associates_Call_List_PQ!N132)</f>
        <v>No</v>
      </c>
      <c r="O132" s="57" t="str">
        <f>IF(Associates_Call_List_PQ!O132="","",Associates_Call_List_PQ!O132)</f>
        <v>Yes</v>
      </c>
      <c r="P132" s="57">
        <f>IF(Associates_Call_List_PQ!P132="","",Associates_Call_List_PQ!P132)</f>
        <v>45933</v>
      </c>
      <c r="Q132" s="57">
        <f>IF(Associates_Call_List_PQ!Q132="","",Associates_Call_List_PQ!Q132)</f>
        <v>45968</v>
      </c>
      <c r="R132" s="57" t="str">
        <f>IF(Associates_Call_List_PQ!R132="","",Associates_Call_List_PQ!R132)</f>
        <v>Left VM 10/03/2025</v>
      </c>
      <c r="S132" s="57" t="str">
        <f>IF(Associates_Call_List_PQ!S132="","",Associates_Call_List_PQ!S132)</f>
        <v/>
      </c>
      <c r="T132" s="57" t="str">
        <f>IF(Associates_Call_List_PQ!T132="","",Associates_Call_List_PQ!T132)</f>
        <v/>
      </c>
      <c r="U132" s="57" t="s">
        <v>5513</v>
      </c>
      <c r="V132" s="68" t="s">
        <v>117</v>
      </c>
      <c r="W132" s="68">
        <v>46039</v>
      </c>
      <c r="X132" s="68" t="s">
        <v>5434</v>
      </c>
      <c r="Y132" s="68"/>
      <c r="Z132" s="72" t="s">
        <v>5438</v>
      </c>
    </row>
    <row r="133" spans="1:26">
      <c r="A133" s="71">
        <f>IFERROR(Associates_Call_List_PQ!A133,"")</f>
        <v>45903</v>
      </c>
      <c r="B133" s="57" t="str">
        <f>IF(Associates_Call_List_PQ!B133="","",Associates_Call_List_PQ!B133)</f>
        <v>Vogt</v>
      </c>
      <c r="C133" s="57" t="str">
        <f>IF(Associates_Call_List_PQ!C133="","",Associates_Call_List_PQ!C133)</f>
        <v>Gary</v>
      </c>
      <c r="D133" s="57" t="str">
        <f>IF(Associates_Call_List_PQ!D133="","",Associates_Call_List_PQ!D133)</f>
        <v>Sun City West</v>
      </c>
      <c r="E133" s="58">
        <f>IF(Associates_Call_List_PQ!E133="","",Associates_Call_List_PQ!E133)</f>
        <v>85375</v>
      </c>
      <c r="F133" s="57" t="str">
        <f>IF(Associates_Call_List_PQ!F133="","",Associates_Call_List_PQ!F133)</f>
        <v>APS profits high/fixed income, will strain budget</v>
      </c>
      <c r="G133" s="57" t="str">
        <f>IF(Associates_Call_List_PQ!G133="","",Associates_Call_List_PQ!G133)</f>
        <v>https://images.edocket.azcc.gov/docketpdf/E000046190.pdf</v>
      </c>
      <c r="H133" s="59" t="str">
        <f>IF(Associates_Call_List_PQ!H133="","",Associates_Call_List_PQ!H133)</f>
        <v>7345723859</v>
      </c>
      <c r="I133" s="57" t="str">
        <f>IF(Associates_Call_List_PQ!I133="","",Associates_Call_List_PQ!I133)</f>
        <v>R-XS</v>
      </c>
      <c r="J133" s="57" t="str">
        <f>IF(Associates_Call_List_PQ!J133="","",Associates_Call_List_PQ!J133)</f>
        <v>No</v>
      </c>
      <c r="K133" s="57" t="str">
        <f>IF(Associates_Call_List_PQ!K133="","",Associates_Call_List_PQ!K133)</f>
        <v>No</v>
      </c>
      <c r="L133" s="57" t="str">
        <f>IF(Associates_Call_List_PQ!L133="","",Associates_Call_List_PQ!L133)</f>
        <v>Yes</v>
      </c>
      <c r="M133" s="57" t="str">
        <f>IF(Associates_Call_List_PQ!M133="","",Associates_Call_List_PQ!M133)</f>
        <v>No</v>
      </c>
      <c r="N133" s="57" t="str">
        <f>IF(Associates_Call_List_PQ!N133="","",Associates_Call_List_PQ!N133)</f>
        <v>No</v>
      </c>
      <c r="O133" s="57" t="str">
        <f>IF(Associates_Call_List_PQ!O133="","",Associates_Call_List_PQ!O133)</f>
        <v>Yes</v>
      </c>
      <c r="P133" s="57" t="str">
        <f>IF(Associates_Call_List_PQ!P133="","",Associates_Call_List_PQ!P133)</f>
        <v>N</v>
      </c>
      <c r="Q133" s="57">
        <f>IF(Associates_Call_List_PQ!Q133="","",Associates_Call_List_PQ!Q133)</f>
        <v>45968</v>
      </c>
      <c r="R133" s="57" t="str">
        <f>IF(Associates_Call_List_PQ!R133="","",Associates_Call_List_PQ!R133)</f>
        <v/>
      </c>
      <c r="S133" s="57" t="str">
        <f>IF(Associates_Call_List_PQ!S133="","",Associates_Call_List_PQ!S133)</f>
        <v/>
      </c>
      <c r="T133" s="57" t="str">
        <f>IF(Associates_Call_List_PQ!T133="","",Associates_Call_List_PQ!T133)</f>
        <v/>
      </c>
      <c r="U133" s="57" t="str">
        <f>IF(Associates_Call_List_PQ!U133="","",Associates_Call_List_PQ!U133)</f>
        <v/>
      </c>
      <c r="V133" s="68"/>
      <c r="W133" s="68" t="s">
        <v>5432</v>
      </c>
      <c r="X133" s="68"/>
      <c r="Y133" s="68"/>
      <c r="Z133" s="72"/>
    </row>
    <row r="134" spans="1:26">
      <c r="A134" s="71">
        <f>IFERROR(Associates_Call_List_PQ!A134,"")</f>
        <v>45903</v>
      </c>
      <c r="B134" s="57" t="str">
        <f>IF(Associates_Call_List_PQ!B134="","",Associates_Call_List_PQ!B134)</f>
        <v>Heck</v>
      </c>
      <c r="C134" s="57" t="str">
        <f>IF(Associates_Call_List_PQ!C134="","",Associates_Call_List_PQ!C134)</f>
        <v>Traci</v>
      </c>
      <c r="D134" s="57" t="str">
        <f>IF(Associates_Call_List_PQ!D134="","",Associates_Call_List_PQ!D134)</f>
        <v>Surprise</v>
      </c>
      <c r="E134" s="58">
        <f>IF(Associates_Call_List_PQ!E134="","",Associates_Call_List_PQ!E134)</f>
        <v>85388</v>
      </c>
      <c r="F134" s="57" t="str">
        <f>IF(Associates_Call_List_PQ!F134="","",Associates_Call_List_PQ!F134)</f>
        <v>Paying $100s for house at 80 degrees</v>
      </c>
      <c r="G134" s="57" t="str">
        <f>IF(Associates_Call_List_PQ!G134="","",Associates_Call_List_PQ!G134)</f>
        <v>https://images.edocket.azcc.gov/docketpdf/E000046190.pdf</v>
      </c>
      <c r="H134" s="59" t="str">
        <f>IF(Associates_Call_List_PQ!H134="","",Associates_Call_List_PQ!H134)</f>
        <v>9712385989</v>
      </c>
      <c r="I134" s="57" t="str">
        <f>IF(Associates_Call_List_PQ!I134="","",Associates_Call_List_PQ!I134)</f>
        <v>R3-47</v>
      </c>
      <c r="J134" s="57" t="str">
        <f>IF(Associates_Call_List_PQ!J134="","",Associates_Call_List_PQ!J134)</f>
        <v>No</v>
      </c>
      <c r="K134" s="57" t="str">
        <f>IF(Associates_Call_List_PQ!K134="","",Associates_Call_List_PQ!K134)</f>
        <v>No</v>
      </c>
      <c r="L134" s="57" t="str">
        <f>IF(Associates_Call_List_PQ!L134="","",Associates_Call_List_PQ!L134)</f>
        <v>Yes</v>
      </c>
      <c r="M134" s="57" t="str">
        <f>IF(Associates_Call_List_PQ!M134="","",Associates_Call_List_PQ!M134)</f>
        <v>No</v>
      </c>
      <c r="N134" s="57" t="str">
        <f>IF(Associates_Call_List_PQ!N134="","",Associates_Call_List_PQ!N134)</f>
        <v>No</v>
      </c>
      <c r="O134" s="57" t="str">
        <f>IF(Associates_Call_List_PQ!O134="","",Associates_Call_List_PQ!O134)</f>
        <v>Yes</v>
      </c>
      <c r="P134" s="57" t="str">
        <f>IF(Associates_Call_List_PQ!P134="","",Associates_Call_List_PQ!P134)</f>
        <v>N</v>
      </c>
      <c r="Q134" s="57">
        <f>IF(Associates_Call_List_PQ!Q134="","",Associates_Call_List_PQ!Q134)</f>
        <v>45968</v>
      </c>
      <c r="R134" s="57" t="str">
        <f>IF(Associates_Call_List_PQ!R134="","",Associates_Call_List_PQ!R134)</f>
        <v/>
      </c>
      <c r="S134" s="57" t="str">
        <f>IF(Associates_Call_List_PQ!S134="","",Associates_Call_List_PQ!S134)</f>
        <v/>
      </c>
      <c r="T134" s="57" t="str">
        <f>IF(Associates_Call_List_PQ!T134="","",Associates_Call_List_PQ!T134)</f>
        <v/>
      </c>
      <c r="U134" s="57" t="s">
        <v>5536</v>
      </c>
      <c r="V134" s="68" t="s">
        <v>117</v>
      </c>
      <c r="W134" s="68">
        <v>46074</v>
      </c>
      <c r="X134" s="68" t="s">
        <v>5434</v>
      </c>
      <c r="Y134" s="68"/>
      <c r="Z134" s="72"/>
    </row>
    <row r="135" spans="1:26">
      <c r="A135" s="71">
        <f>IFERROR(Associates_Call_List_PQ!A135,"")</f>
        <v>45903</v>
      </c>
      <c r="B135" s="57" t="str">
        <f>IF(Associates_Call_List_PQ!B135="","",Associates_Call_List_PQ!B135)</f>
        <v>Dhamotharan</v>
      </c>
      <c r="C135" s="57" t="str">
        <f>IF(Associates_Call_List_PQ!C135="","",Associates_Call_List_PQ!C135)</f>
        <v>Madhavan</v>
      </c>
      <c r="D135" s="57" t="str">
        <f>IF(Associates_Call_List_PQ!D135="","",Associates_Call_List_PQ!D135)</f>
        <v>Phoenix</v>
      </c>
      <c r="E135" s="58">
        <f>IF(Associates_Call_List_PQ!E135="","",Associates_Call_List_PQ!E135)</f>
        <v>85085</v>
      </c>
      <c r="F135" s="57" t="str">
        <f>IF(Associates_Call_List_PQ!F135="","",Associates_Call_List_PQ!F135)</f>
        <v>Form letter</v>
      </c>
      <c r="G135" s="57" t="str">
        <f>IF(Associates_Call_List_PQ!G135="","",Associates_Call_List_PQ!G135)</f>
        <v>https://images.edocket.azcc.gov/docketpdf/E000046190.pdf</v>
      </c>
      <c r="H135" s="59" t="str">
        <f>IF(Associates_Call_List_PQ!H135="","",Associates_Call_List_PQ!H135)</f>
        <v>6558990000</v>
      </c>
      <c r="I135" s="57" t="str">
        <f>IF(Associates_Call_List_PQ!I135="","",Associates_Call_List_PQ!I135)</f>
        <v>R3-47</v>
      </c>
      <c r="J135" s="57" t="str">
        <f>IF(Associates_Call_List_PQ!J135="","",Associates_Call_List_PQ!J135)</f>
        <v>No</v>
      </c>
      <c r="K135" s="57" t="str">
        <f>IF(Associates_Call_List_PQ!K135="","",Associates_Call_List_PQ!K135)</f>
        <v>No</v>
      </c>
      <c r="L135" s="57" t="str">
        <f>IF(Associates_Call_List_PQ!L135="","",Associates_Call_List_PQ!L135)</f>
        <v>Yes</v>
      </c>
      <c r="M135" s="57" t="str">
        <f>IF(Associates_Call_List_PQ!M135="","",Associates_Call_List_PQ!M135)</f>
        <v>No</v>
      </c>
      <c r="N135" s="57" t="str">
        <f>IF(Associates_Call_List_PQ!N135="","",Associates_Call_List_PQ!N135)</f>
        <v>No</v>
      </c>
      <c r="O135" s="57" t="str">
        <f>IF(Associates_Call_List_PQ!O135="","",Associates_Call_List_PQ!O135)</f>
        <v>Yes</v>
      </c>
      <c r="P135" s="57" t="str">
        <f>IF(Associates_Call_List_PQ!P135="","",Associates_Call_List_PQ!P135)</f>
        <v>N</v>
      </c>
      <c r="Q135" s="57">
        <f>IF(Associates_Call_List_PQ!Q135="","",Associates_Call_List_PQ!Q135)</f>
        <v>45968</v>
      </c>
      <c r="R135" s="57" t="str">
        <f>IF(Associates_Call_List_PQ!R135="","",Associates_Call_List_PQ!R135)</f>
        <v/>
      </c>
      <c r="S135" s="57" t="str">
        <f>IF(Associates_Call_List_PQ!S135="","",Associates_Call_List_PQ!S135)</f>
        <v/>
      </c>
      <c r="T135" s="57" t="str">
        <f>IF(Associates_Call_List_PQ!T135="","",Associates_Call_List_PQ!T135)</f>
        <v/>
      </c>
      <c r="U135" s="57" t="str">
        <f>IF(Associates_Call_List_PQ!U135="","",Associates_Call_List_PQ!U135)</f>
        <v/>
      </c>
      <c r="V135" s="68"/>
      <c r="W135" s="68" t="s">
        <v>5432</v>
      </c>
      <c r="X135" s="68"/>
      <c r="Y135" s="68"/>
      <c r="Z135" s="72"/>
    </row>
    <row r="136" spans="1:26">
      <c r="A136" s="71">
        <f>IFERROR(Associates_Call_List_PQ!A136,"")</f>
        <v>45903</v>
      </c>
      <c r="B136" s="57" t="str">
        <f>IF(Associates_Call_List_PQ!B136="","",Associates_Call_List_PQ!B136)</f>
        <v>Johnson</v>
      </c>
      <c r="C136" s="57" t="str">
        <f>IF(Associates_Call_List_PQ!C136="","",Associates_Call_List_PQ!C136)</f>
        <v xml:space="preserve">Ty </v>
      </c>
      <c r="D136" s="57" t="str">
        <f>IF(Associates_Call_List_PQ!D136="","",Associates_Call_List_PQ!D136)</f>
        <v>Chandler</v>
      </c>
      <c r="E136" s="58">
        <f>IF(Associates_Call_List_PQ!E136="","",Associates_Call_List_PQ!E136)</f>
        <v>85225</v>
      </c>
      <c r="F136" s="57" t="str">
        <f>IF(Associates_Call_List_PQ!F136="","",Associates_Call_List_PQ!F136)</f>
        <v>Form letter</v>
      </c>
      <c r="G136" s="57" t="str">
        <f>IF(Associates_Call_List_PQ!G136="","",Associates_Call_List_PQ!G136)</f>
        <v>https://images.edocket.azcc.gov/docketpdf/E000046190.pdf</v>
      </c>
      <c r="H136" s="59" t="str">
        <f>IF(Associates_Call_List_PQ!H136="","",Associates_Call_List_PQ!H136)</f>
        <v>8773518025</v>
      </c>
      <c r="I136" s="57" t="str">
        <f>IF(Associates_Call_List_PQ!I136="","",Associates_Call_List_PQ!I136)</f>
        <v>R3-47</v>
      </c>
      <c r="J136" s="57" t="str">
        <f>IF(Associates_Call_List_PQ!J136="","",Associates_Call_List_PQ!J136)</f>
        <v>No</v>
      </c>
      <c r="K136" s="57" t="str">
        <f>IF(Associates_Call_List_PQ!K136="","",Associates_Call_List_PQ!K136)</f>
        <v>No</v>
      </c>
      <c r="L136" s="57" t="str">
        <f>IF(Associates_Call_List_PQ!L136="","",Associates_Call_List_PQ!L136)</f>
        <v>Yes</v>
      </c>
      <c r="M136" s="57" t="str">
        <f>IF(Associates_Call_List_PQ!M136="","",Associates_Call_List_PQ!M136)</f>
        <v>No</v>
      </c>
      <c r="N136" s="57" t="str">
        <f>IF(Associates_Call_List_PQ!N136="","",Associates_Call_List_PQ!N136)</f>
        <v>No</v>
      </c>
      <c r="O136" s="57" t="str">
        <f>IF(Associates_Call_List_PQ!O136="","",Associates_Call_List_PQ!O136)</f>
        <v>Yes</v>
      </c>
      <c r="P136" s="57" t="str">
        <f>IF(Associates_Call_List_PQ!P136="","",Associates_Call_List_PQ!P136)</f>
        <v>N</v>
      </c>
      <c r="Q136" s="57">
        <f>IF(Associates_Call_List_PQ!Q136="","",Associates_Call_List_PQ!Q136)</f>
        <v>45968</v>
      </c>
      <c r="R136" s="57" t="str">
        <f>IF(Associates_Call_List_PQ!R136="","",Associates_Call_List_PQ!R136)</f>
        <v/>
      </c>
      <c r="S136" s="57" t="str">
        <f>IF(Associates_Call_List_PQ!S136="","",Associates_Call_List_PQ!S136)</f>
        <v/>
      </c>
      <c r="T136" s="57" t="str">
        <f>IF(Associates_Call_List_PQ!T136="","",Associates_Call_List_PQ!T136)</f>
        <v/>
      </c>
      <c r="U136" s="57" t="s">
        <v>5537</v>
      </c>
      <c r="V136" s="68" t="s">
        <v>117</v>
      </c>
      <c r="W136" s="68">
        <v>46074</v>
      </c>
      <c r="X136" s="68" t="s">
        <v>5405</v>
      </c>
      <c r="Y136" s="68" t="s">
        <v>5538</v>
      </c>
      <c r="Z136" s="72"/>
    </row>
    <row r="137" spans="1:26">
      <c r="A137" s="71">
        <f>IFERROR(Associates_Call_List_PQ!A137,"")</f>
        <v>45903</v>
      </c>
      <c r="B137" s="57" t="str">
        <f>IF(Associates_Call_List_PQ!B137="","",Associates_Call_List_PQ!B137)</f>
        <v>Willett</v>
      </c>
      <c r="C137" s="57" t="str">
        <f>IF(Associates_Call_List_PQ!C137="","",Associates_Call_List_PQ!C137)</f>
        <v>Wayne</v>
      </c>
      <c r="D137" s="57" t="str">
        <f>IF(Associates_Call_List_PQ!D137="","",Associates_Call_List_PQ!D137)</f>
        <v>Phoenix</v>
      </c>
      <c r="E137" s="58">
        <f>IF(Associates_Call_List_PQ!E137="","",Associates_Call_List_PQ!E137)</f>
        <v>85051</v>
      </c>
      <c r="F137" s="57" t="str">
        <f>IF(Associates_Call_List_PQ!F137="","",Associates_Call_List_PQ!F137)</f>
        <v>Form letter</v>
      </c>
      <c r="G137" s="57" t="str">
        <f>IF(Associates_Call_List_PQ!G137="","",Associates_Call_List_PQ!G137)</f>
        <v>https://images.edocket.azcc.gov/docketpdf/E000046190.pdf</v>
      </c>
      <c r="H137" s="59" t="str">
        <f>IF(Associates_Call_List_PQ!H137="","",Associates_Call_List_PQ!H137)</f>
        <v>5425180000</v>
      </c>
      <c r="I137" s="57" t="str">
        <f>IF(Associates_Call_List_PQ!I137="","",Associates_Call_List_PQ!I137)</f>
        <v>R-XS</v>
      </c>
      <c r="J137" s="57" t="str">
        <f>IF(Associates_Call_List_PQ!J137="","",Associates_Call_List_PQ!J137)</f>
        <v>No</v>
      </c>
      <c r="K137" s="57" t="str">
        <f>IF(Associates_Call_List_PQ!K137="","",Associates_Call_List_PQ!K137)</f>
        <v>No</v>
      </c>
      <c r="L137" s="57" t="str">
        <f>IF(Associates_Call_List_PQ!L137="","",Associates_Call_List_PQ!L137)</f>
        <v>Yes</v>
      </c>
      <c r="M137" s="57" t="str">
        <f>IF(Associates_Call_List_PQ!M137="","",Associates_Call_List_PQ!M137)</f>
        <v>No</v>
      </c>
      <c r="N137" s="57" t="str">
        <f>IF(Associates_Call_List_PQ!N137="","",Associates_Call_List_PQ!N137)</f>
        <v>No</v>
      </c>
      <c r="O137" s="57" t="str">
        <f>IF(Associates_Call_List_PQ!O137="","",Associates_Call_List_PQ!O137)</f>
        <v>Yes</v>
      </c>
      <c r="P137" s="57" t="str">
        <f>IF(Associates_Call_List_PQ!P137="","",Associates_Call_List_PQ!P137)</f>
        <v>N</v>
      </c>
      <c r="Q137" s="57">
        <f>IF(Associates_Call_List_PQ!Q137="","",Associates_Call_List_PQ!Q137)</f>
        <v>45968</v>
      </c>
      <c r="R137" s="57" t="str">
        <f>IF(Associates_Call_List_PQ!R137="","",Associates_Call_List_PQ!R137)</f>
        <v/>
      </c>
      <c r="S137" s="57" t="str">
        <f>IF(Associates_Call_List_PQ!S137="","",Associates_Call_List_PQ!S137)</f>
        <v/>
      </c>
      <c r="T137" s="57" t="str">
        <f>IF(Associates_Call_List_PQ!T137="","",Associates_Call_List_PQ!T137)</f>
        <v/>
      </c>
      <c r="U137" s="57" t="str">
        <f>IF(Associates_Call_List_PQ!U137="","",Associates_Call_List_PQ!U137)</f>
        <v/>
      </c>
      <c r="V137" s="68"/>
      <c r="W137" s="68" t="s">
        <v>5432</v>
      </c>
      <c r="X137" s="68"/>
      <c r="Y137" s="68"/>
      <c r="Z137" s="72"/>
    </row>
    <row r="138" spans="1:26">
      <c r="A138" s="71">
        <f>IFERROR(Associates_Call_List_PQ!A138,"")</f>
        <v>45903</v>
      </c>
      <c r="B138" s="57" t="str">
        <f>IF(Associates_Call_List_PQ!B138="","",Associates_Call_List_PQ!B138)</f>
        <v>Schwartz</v>
      </c>
      <c r="C138" s="57" t="str">
        <f>IF(Associates_Call_List_PQ!C138="","",Associates_Call_List_PQ!C138)</f>
        <v>Alan</v>
      </c>
      <c r="D138" s="57" t="str">
        <f>IF(Associates_Call_List_PQ!D138="","",Associates_Call_List_PQ!D138)</f>
        <v>Surprise</v>
      </c>
      <c r="E138" s="58">
        <f>IF(Associates_Call_List_PQ!E138="","",Associates_Call_List_PQ!E138)</f>
        <v>85388</v>
      </c>
      <c r="F138" s="57" t="str">
        <f>IF(Associates_Call_List_PQ!F138="","",Associates_Call_List_PQ!F138)</f>
        <v>Doesn't deserve another rate increase</v>
      </c>
      <c r="G138" s="57" t="str">
        <f>IF(Associates_Call_List_PQ!G138="","",Associates_Call_List_PQ!G138)</f>
        <v>https://images.edocket.azcc.gov/docketpdf/E000046190.pdf</v>
      </c>
      <c r="H138" s="59" t="str">
        <f>IF(Associates_Call_List_PQ!H138="","",Associates_Call_List_PQ!H138)</f>
        <v>0726041000</v>
      </c>
      <c r="I138" s="57" t="str">
        <f>IF(Associates_Call_List_PQ!I138="","",Associates_Call_List_PQ!I138)</f>
        <v>RCPw/RTOUE47</v>
      </c>
      <c r="J138" s="57" t="str">
        <f>IF(Associates_Call_List_PQ!J138="","",Associates_Call_List_PQ!J138)</f>
        <v>No</v>
      </c>
      <c r="K138" s="57" t="str">
        <f>IF(Associates_Call_List_PQ!K138="","",Associates_Call_List_PQ!K138)</f>
        <v>No</v>
      </c>
      <c r="L138" s="57" t="str">
        <f>IF(Associates_Call_List_PQ!L138="","",Associates_Call_List_PQ!L138)</f>
        <v>Yes</v>
      </c>
      <c r="M138" s="57" t="str">
        <f>IF(Associates_Call_List_PQ!M138="","",Associates_Call_List_PQ!M138)</f>
        <v>No</v>
      </c>
      <c r="N138" s="57" t="str">
        <f>IF(Associates_Call_List_PQ!N138="","",Associates_Call_List_PQ!N138)</f>
        <v>No</v>
      </c>
      <c r="O138" s="57" t="str">
        <f>IF(Associates_Call_List_PQ!O138="","",Associates_Call_List_PQ!O138)</f>
        <v>Yes</v>
      </c>
      <c r="P138" s="57" t="str">
        <f>IF(Associates_Call_List_PQ!P138="","",Associates_Call_List_PQ!P138)</f>
        <v>N</v>
      </c>
      <c r="Q138" s="57">
        <f>IF(Associates_Call_List_PQ!Q138="","",Associates_Call_List_PQ!Q138)</f>
        <v>45968</v>
      </c>
      <c r="R138" s="57" t="str">
        <f>IF(Associates_Call_List_PQ!R138="","",Associates_Call_List_PQ!R138)</f>
        <v/>
      </c>
      <c r="S138" s="57" t="str">
        <f>IF(Associates_Call_List_PQ!S138="","",Associates_Call_List_PQ!S138)</f>
        <v/>
      </c>
      <c r="T138" s="57" t="str">
        <f>IF(Associates_Call_List_PQ!T138="","",Associates_Call_List_PQ!T138)</f>
        <v/>
      </c>
      <c r="U138" s="57" t="s">
        <v>5539</v>
      </c>
      <c r="V138" s="68" t="s">
        <v>117</v>
      </c>
      <c r="W138" s="68">
        <v>46074</v>
      </c>
      <c r="X138" s="68" t="s">
        <v>5405</v>
      </c>
      <c r="Y138" s="68"/>
      <c r="Z138" s="72" t="s">
        <v>5438</v>
      </c>
    </row>
    <row r="139" spans="1:26">
      <c r="A139" s="71">
        <f>IFERROR(Associates_Call_List_PQ!A139,"")</f>
        <v>45903</v>
      </c>
      <c r="B139" s="57" t="str">
        <f>IF(Associates_Call_List_PQ!B139="","",Associates_Call_List_PQ!B139)</f>
        <v>Nance</v>
      </c>
      <c r="C139" s="57" t="str">
        <f>IF(Associates_Call_List_PQ!C139="","",Associates_Call_List_PQ!C139)</f>
        <v>Stacy</v>
      </c>
      <c r="D139" s="57" t="str">
        <f>IF(Associates_Call_List_PQ!D139="","",Associates_Call_List_PQ!D139)</f>
        <v>Goodyear</v>
      </c>
      <c r="E139" s="58">
        <f>IF(Associates_Call_List_PQ!E139="","",Associates_Call_List_PQ!E139)</f>
        <v>85338</v>
      </c>
      <c r="F139" s="57" t="str">
        <f>IF(Associates_Call_List_PQ!F139="","",Associates_Call_List_PQ!F139)</f>
        <v>No more increases, already paycheck to paycheck</v>
      </c>
      <c r="G139" s="57" t="str">
        <f>IF(Associates_Call_List_PQ!G139="","",Associates_Call_List_PQ!G139)</f>
        <v>https://images.edocket.azcc.gov/docketpdf/E000046190.pdf</v>
      </c>
      <c r="H139" s="59" t="str">
        <f>IF(Associates_Call_List_PQ!H139="","",Associates_Call_List_PQ!H139)</f>
        <v>2439620000</v>
      </c>
      <c r="I139" s="57" t="str">
        <f>IF(Associates_Call_List_PQ!I139="","",Associates_Call_List_PQ!I139)</f>
        <v>R-XS</v>
      </c>
      <c r="J139" s="57" t="str">
        <f>IF(Associates_Call_List_PQ!J139="","",Associates_Call_List_PQ!J139)</f>
        <v>No</v>
      </c>
      <c r="K139" s="57" t="str">
        <f>IF(Associates_Call_List_PQ!K139="","",Associates_Call_List_PQ!K139)</f>
        <v>No</v>
      </c>
      <c r="L139" s="57" t="str">
        <f>IF(Associates_Call_List_PQ!L139="","",Associates_Call_List_PQ!L139)</f>
        <v>Yes</v>
      </c>
      <c r="M139" s="57" t="str">
        <f>IF(Associates_Call_List_PQ!M139="","",Associates_Call_List_PQ!M139)</f>
        <v>No</v>
      </c>
      <c r="N139" s="57" t="str">
        <f>IF(Associates_Call_List_PQ!N139="","",Associates_Call_List_PQ!N139)</f>
        <v>No</v>
      </c>
      <c r="O139" s="57" t="str">
        <f>IF(Associates_Call_List_PQ!O139="","",Associates_Call_List_PQ!O139)</f>
        <v>Yes</v>
      </c>
      <c r="P139" s="57" t="str">
        <f>IF(Associates_Call_List_PQ!P139="","",Associates_Call_List_PQ!P139)</f>
        <v>N</v>
      </c>
      <c r="Q139" s="57">
        <f>IF(Associates_Call_List_PQ!Q139="","",Associates_Call_List_PQ!Q139)</f>
        <v>45968</v>
      </c>
      <c r="R139" s="57" t="str">
        <f>IF(Associates_Call_List_PQ!R139="","",Associates_Call_List_PQ!R139)</f>
        <v/>
      </c>
      <c r="S139" s="57" t="str">
        <f>IF(Associates_Call_List_PQ!S139="","",Associates_Call_List_PQ!S139)</f>
        <v/>
      </c>
      <c r="T139" s="57" t="str">
        <f>IF(Associates_Call_List_PQ!T139="","",Associates_Call_List_PQ!T139)</f>
        <v/>
      </c>
      <c r="U139" s="57" t="str">
        <f>IF(Associates_Call_List_PQ!U139="","",Associates_Call_List_PQ!U139)</f>
        <v/>
      </c>
      <c r="V139" s="68"/>
      <c r="W139" s="68" t="s">
        <v>5432</v>
      </c>
      <c r="X139" s="68"/>
      <c r="Y139" s="68"/>
      <c r="Z139" s="72"/>
    </row>
    <row r="140" spans="1:26">
      <c r="A140" s="71">
        <f>IFERROR(Associates_Call_List_PQ!A140,"")</f>
        <v>45903</v>
      </c>
      <c r="B140" s="57" t="str">
        <f>IF(Associates_Call_List_PQ!B140="","",Associates_Call_List_PQ!B140)</f>
        <v>Beatty</v>
      </c>
      <c r="C140" s="57" t="str">
        <f>IF(Associates_Call_List_PQ!C140="","",Associates_Call_List_PQ!C140)</f>
        <v>Austin</v>
      </c>
      <c r="D140" s="57" t="str">
        <f>IF(Associates_Call_List_PQ!D140="","",Associates_Call_List_PQ!D140)</f>
        <v>Cottonwood</v>
      </c>
      <c r="E140" s="58">
        <f>IF(Associates_Call_List_PQ!E140="","",Associates_Call_List_PQ!E140)</f>
        <v>86326</v>
      </c>
      <c r="F140" s="57" t="str">
        <f>IF(Associates_Call_List_PQ!F140="","",Associates_Call_List_PQ!F140)</f>
        <v>Unacceptable financial burden</v>
      </c>
      <c r="G140" s="57" t="str">
        <f>IF(Associates_Call_List_PQ!G140="","",Associates_Call_List_PQ!G140)</f>
        <v>https://images.edocket.azcc.gov/docketpdf/E000046190.pdf</v>
      </c>
      <c r="H140" s="59" t="str">
        <f>IF(Associates_Call_List_PQ!H140="","",Associates_Call_List_PQ!H140)</f>
        <v>0217135178</v>
      </c>
      <c r="I140" s="57" t="str">
        <f>IF(Associates_Call_List_PQ!I140="","",Associates_Call_List_PQ!I140)</f>
        <v>R-2</v>
      </c>
      <c r="J140" s="57" t="str">
        <f>IF(Associates_Call_List_PQ!J140="","",Associates_Call_List_PQ!J140)</f>
        <v>No</v>
      </c>
      <c r="K140" s="57" t="str">
        <f>IF(Associates_Call_List_PQ!K140="","",Associates_Call_List_PQ!K140)</f>
        <v>No</v>
      </c>
      <c r="L140" s="57" t="str">
        <f>IF(Associates_Call_List_PQ!L140="","",Associates_Call_List_PQ!L140)</f>
        <v>Frozen Rate</v>
      </c>
      <c r="M140" s="57" t="str">
        <f>IF(Associates_Call_List_PQ!M140="","",Associates_Call_List_PQ!M140)</f>
        <v>No</v>
      </c>
      <c r="N140" s="57" t="str">
        <f>IF(Associates_Call_List_PQ!N140="","",Associates_Call_List_PQ!N140)</f>
        <v>No</v>
      </c>
      <c r="O140" s="57" t="str">
        <f>IF(Associates_Call_List_PQ!O140="","",Associates_Call_List_PQ!O140)</f>
        <v>Yes</v>
      </c>
      <c r="P140" s="57" t="str">
        <f>IF(Associates_Call_List_PQ!P140="","",Associates_Call_List_PQ!P140)</f>
        <v>N</v>
      </c>
      <c r="Q140" s="57">
        <f>IF(Associates_Call_List_PQ!Q140="","",Associates_Call_List_PQ!Q140)</f>
        <v>45968</v>
      </c>
      <c r="R140" s="57" t="str">
        <f>IF(Associates_Call_List_PQ!R140="","",Associates_Call_List_PQ!R140)</f>
        <v/>
      </c>
      <c r="S140" s="57" t="str">
        <f>IF(Associates_Call_List_PQ!S140="","",Associates_Call_List_PQ!S140)</f>
        <v/>
      </c>
      <c r="T140" s="57" t="str">
        <f>IF(Associates_Call_List_PQ!T140="","",Associates_Call_List_PQ!T140)</f>
        <v/>
      </c>
      <c r="U140" s="57" t="s">
        <v>5540</v>
      </c>
      <c r="V140" s="68" t="s">
        <v>117</v>
      </c>
      <c r="W140" s="68">
        <v>46074</v>
      </c>
      <c r="X140" s="68" t="s">
        <v>5434</v>
      </c>
      <c r="Y140" s="68"/>
      <c r="Z140" s="72"/>
    </row>
    <row r="141" spans="1:26">
      <c r="A141" s="71">
        <f>IFERROR(Associates_Call_List_PQ!A141,"")</f>
        <v>45903</v>
      </c>
      <c r="B141" s="57" t="str">
        <f>IF(Associates_Call_List_PQ!B141="","",Associates_Call_List_PQ!B141)</f>
        <v>Embrey</v>
      </c>
      <c r="C141" s="57" t="str">
        <f>IF(Associates_Call_List_PQ!C141="","",Associates_Call_List_PQ!C141)</f>
        <v>Robert</v>
      </c>
      <c r="D141" s="57" t="str">
        <f>IF(Associates_Call_List_PQ!D141="","",Associates_Call_List_PQ!D141)</f>
        <v>Goodyear</v>
      </c>
      <c r="E141" s="58">
        <f>IF(Associates_Call_List_PQ!E141="","",Associates_Call_List_PQ!E141)</f>
        <v>85338</v>
      </c>
      <c r="F141" s="57" t="str">
        <f>IF(Associates_Call_List_PQ!F141="","",Associates_Call_List_PQ!F141)</f>
        <v xml:space="preserve">Fixed income </v>
      </c>
      <c r="G141" s="57" t="str">
        <f>IF(Associates_Call_List_PQ!G141="","",Associates_Call_List_PQ!G141)</f>
        <v>https://images.edocket.azcc.gov/docketpdf/E000046190.pdf</v>
      </c>
      <c r="H141" s="59" t="str">
        <f>IF(Associates_Call_List_PQ!H141="","",Associates_Call_List_PQ!H141)</f>
        <v>0110711000</v>
      </c>
      <c r="I141" s="57" t="str">
        <f>IF(Associates_Call_List_PQ!I141="","",Associates_Call_List_PQ!I141)</f>
        <v>R-2</v>
      </c>
      <c r="J141" s="57" t="str">
        <f>IF(Associates_Call_List_PQ!J141="","",Associates_Call_List_PQ!J141)</f>
        <v>No</v>
      </c>
      <c r="K141" s="57" t="str">
        <f>IF(Associates_Call_List_PQ!K141="","",Associates_Call_List_PQ!K141)</f>
        <v>No</v>
      </c>
      <c r="L141" s="57" t="str">
        <f>IF(Associates_Call_List_PQ!L141="","",Associates_Call_List_PQ!L141)</f>
        <v>Frozen Rate</v>
      </c>
      <c r="M141" s="57" t="str">
        <f>IF(Associates_Call_List_PQ!M141="","",Associates_Call_List_PQ!M141)</f>
        <v>No</v>
      </c>
      <c r="N141" s="57" t="str">
        <f>IF(Associates_Call_List_PQ!N141="","",Associates_Call_List_PQ!N141)</f>
        <v>No</v>
      </c>
      <c r="O141" s="57" t="str">
        <f>IF(Associates_Call_List_PQ!O141="","",Associates_Call_List_PQ!O141)</f>
        <v>Yes</v>
      </c>
      <c r="P141" s="57" t="str">
        <f>IF(Associates_Call_List_PQ!P141="","",Associates_Call_List_PQ!P141)</f>
        <v>N</v>
      </c>
      <c r="Q141" s="57">
        <f>IF(Associates_Call_List_PQ!Q141="","",Associates_Call_List_PQ!Q141)</f>
        <v>45968</v>
      </c>
      <c r="R141" s="57" t="str">
        <f>IF(Associates_Call_List_PQ!R141="","",Associates_Call_List_PQ!R141)</f>
        <v/>
      </c>
      <c r="S141" s="57" t="str">
        <f>IF(Associates_Call_List_PQ!S141="","",Associates_Call_List_PQ!S141)</f>
        <v/>
      </c>
      <c r="T141" s="57" t="str">
        <f>IF(Associates_Call_List_PQ!T141="","",Associates_Call_List_PQ!T141)</f>
        <v/>
      </c>
      <c r="U141" s="57" t="str">
        <f>IF(Associates_Call_List_PQ!U141="","",Associates_Call_List_PQ!U141)</f>
        <v/>
      </c>
      <c r="V141" s="68"/>
      <c r="W141" s="68" t="s">
        <v>5432</v>
      </c>
      <c r="X141" s="68"/>
      <c r="Y141" s="68"/>
      <c r="Z141" s="72"/>
    </row>
    <row r="142" spans="1:26">
      <c r="A142" s="71">
        <f>IFERROR(Associates_Call_List_PQ!A142,"")</f>
        <v>45903</v>
      </c>
      <c r="B142" s="57" t="str">
        <f>IF(Associates_Call_List_PQ!B142="","",Associates_Call_List_PQ!B142)</f>
        <v>Oakley</v>
      </c>
      <c r="C142" s="57" t="str">
        <f>IF(Associates_Call_List_PQ!C142="","",Associates_Call_List_PQ!C142)</f>
        <v>Abraham</v>
      </c>
      <c r="D142" s="57" t="str">
        <f>IF(Associates_Call_List_PQ!D142="","",Associates_Call_List_PQ!D142)</f>
        <v>Phoenix</v>
      </c>
      <c r="E142" s="58">
        <f>IF(Associates_Call_List_PQ!E142="","",Associates_Call_List_PQ!E142)</f>
        <v>85023</v>
      </c>
      <c r="F142" s="57" t="str">
        <f>IF(Associates_Call_List_PQ!F142="","",Associates_Call_List_PQ!F142)</f>
        <v>Form letter</v>
      </c>
      <c r="G142" s="57" t="str">
        <f>IF(Associates_Call_List_PQ!G142="","",Associates_Call_List_PQ!G142)</f>
        <v>https://images.edocket.azcc.gov/docketpdf/E000046190.pdf</v>
      </c>
      <c r="H142" s="59" t="str">
        <f>IF(Associates_Call_List_PQ!H142="","",Associates_Call_List_PQ!H142)</f>
        <v>8799324553</v>
      </c>
      <c r="I142" s="57" t="str">
        <f>IF(Associates_Call_List_PQ!I142="","",Associates_Call_List_PQ!I142)</f>
        <v>R3-47</v>
      </c>
      <c r="J142" s="57" t="str">
        <f>IF(Associates_Call_List_PQ!J142="","",Associates_Call_List_PQ!J142)</f>
        <v>No</v>
      </c>
      <c r="K142" s="57" t="str">
        <f>IF(Associates_Call_List_PQ!K142="","",Associates_Call_List_PQ!K142)</f>
        <v>No</v>
      </c>
      <c r="L142" s="57" t="str">
        <f>IF(Associates_Call_List_PQ!L142="","",Associates_Call_List_PQ!L142)</f>
        <v>Yes</v>
      </c>
      <c r="M142" s="57" t="str">
        <f>IF(Associates_Call_List_PQ!M142="","",Associates_Call_List_PQ!M142)</f>
        <v>No</v>
      </c>
      <c r="N142" s="57" t="str">
        <f>IF(Associates_Call_List_PQ!N142="","",Associates_Call_List_PQ!N142)</f>
        <v>No</v>
      </c>
      <c r="O142" s="57" t="str">
        <f>IF(Associates_Call_List_PQ!O142="","",Associates_Call_List_PQ!O142)</f>
        <v>Yes</v>
      </c>
      <c r="P142" s="57" t="str">
        <f>IF(Associates_Call_List_PQ!P142="","",Associates_Call_List_PQ!P142)</f>
        <v>N</v>
      </c>
      <c r="Q142" s="57">
        <f>IF(Associates_Call_List_PQ!Q142="","",Associates_Call_List_PQ!Q142)</f>
        <v>45968</v>
      </c>
      <c r="R142" s="57" t="str">
        <f>IF(Associates_Call_List_PQ!R142="","",Associates_Call_List_PQ!R142)</f>
        <v/>
      </c>
      <c r="S142" s="57" t="str">
        <f>IF(Associates_Call_List_PQ!S142="","",Associates_Call_List_PQ!S142)</f>
        <v/>
      </c>
      <c r="T142" s="57" t="str">
        <f>IF(Associates_Call_List_PQ!T142="","",Associates_Call_List_PQ!T142)</f>
        <v/>
      </c>
      <c r="U142" s="57" t="s">
        <v>5514</v>
      </c>
      <c r="V142" s="68" t="s">
        <v>117</v>
      </c>
      <c r="W142" s="68">
        <v>46074</v>
      </c>
      <c r="X142" s="68" t="s">
        <v>5434</v>
      </c>
      <c r="Y142" s="68"/>
      <c r="Z142" s="72"/>
    </row>
    <row r="143" spans="1:26">
      <c r="A143" s="71">
        <f>IFERROR(Associates_Call_List_PQ!A143,"")</f>
        <v>45903</v>
      </c>
      <c r="B143" s="57" t="str">
        <f>IF(Associates_Call_List_PQ!B143="","",Associates_Call_List_PQ!B143)</f>
        <v>Grow</v>
      </c>
      <c r="C143" s="57" t="str">
        <f>IF(Associates_Call_List_PQ!C143="","",Associates_Call_List_PQ!C143)</f>
        <v>Scott</v>
      </c>
      <c r="D143" s="57" t="str">
        <f>IF(Associates_Call_List_PQ!D143="","",Associates_Call_List_PQ!D143)</f>
        <v>Peoria</v>
      </c>
      <c r="E143" s="58">
        <f>IF(Associates_Call_List_PQ!E143="","",Associates_Call_List_PQ!E143)</f>
        <v>85383</v>
      </c>
      <c r="F143" s="57" t="str">
        <f>IF(Associates_Call_List_PQ!F143="","",Associates_Call_List_PQ!F143)</f>
        <v>Bill has gone up every year</v>
      </c>
      <c r="G143" s="57" t="str">
        <f>IF(Associates_Call_List_PQ!G143="","",Associates_Call_List_PQ!G143)</f>
        <v>https://images.edocket.azcc.gov/docketpdf/E000046190.pdf</v>
      </c>
      <c r="H143" s="59" t="str">
        <f>IF(Associates_Call_List_PQ!H143="","",Associates_Call_List_PQ!H143)</f>
        <v>0072923417</v>
      </c>
      <c r="I143" s="57" t="str">
        <f>IF(Associates_Call_List_PQ!I143="","",Associates_Call_List_PQ!I143)</f>
        <v>R-BASIC</v>
      </c>
      <c r="J143" s="57" t="str">
        <f>IF(Associates_Call_List_PQ!J143="","",Associates_Call_List_PQ!J143)</f>
        <v>No</v>
      </c>
      <c r="K143" s="57" t="str">
        <f>IF(Associates_Call_List_PQ!K143="","",Associates_Call_List_PQ!K143)</f>
        <v>No</v>
      </c>
      <c r="L143" s="57" t="str">
        <f>IF(Associates_Call_List_PQ!L143="","",Associates_Call_List_PQ!L143)</f>
        <v>Yes</v>
      </c>
      <c r="M143" s="57" t="str">
        <f>IF(Associates_Call_List_PQ!M143="","",Associates_Call_List_PQ!M143)</f>
        <v>No</v>
      </c>
      <c r="N143" s="57" t="str">
        <f>IF(Associates_Call_List_PQ!N143="","",Associates_Call_List_PQ!N143)</f>
        <v>No</v>
      </c>
      <c r="O143" s="57" t="str">
        <f>IF(Associates_Call_List_PQ!O143="","",Associates_Call_List_PQ!O143)</f>
        <v>Yes</v>
      </c>
      <c r="P143" s="57" t="str">
        <f>IF(Associates_Call_List_PQ!P143="","",Associates_Call_List_PQ!P143)</f>
        <v>N</v>
      </c>
      <c r="Q143" s="57">
        <f>IF(Associates_Call_List_PQ!Q143="","",Associates_Call_List_PQ!Q143)</f>
        <v>45968</v>
      </c>
      <c r="R143" s="57" t="str">
        <f>IF(Associates_Call_List_PQ!R143="","",Associates_Call_List_PQ!R143)</f>
        <v/>
      </c>
      <c r="S143" s="57" t="str">
        <f>IF(Associates_Call_List_PQ!S143="","",Associates_Call_List_PQ!S143)</f>
        <v/>
      </c>
      <c r="T143" s="57" t="str">
        <f>IF(Associates_Call_List_PQ!T143="","",Associates_Call_List_PQ!T143)</f>
        <v/>
      </c>
      <c r="U143" s="57" t="str">
        <f>IF(Associates_Call_List_PQ!U143="","",Associates_Call_List_PQ!U143)</f>
        <v/>
      </c>
      <c r="V143" s="68"/>
      <c r="W143" s="68" t="s">
        <v>5432</v>
      </c>
      <c r="X143" s="68"/>
      <c r="Y143" s="68"/>
      <c r="Z143" s="72"/>
    </row>
    <row r="144" spans="1:26">
      <c r="A144" s="71">
        <f>IFERROR(Associates_Call_List_PQ!A144,"")</f>
        <v>45903</v>
      </c>
      <c r="B144" s="57" t="str">
        <f>IF(Associates_Call_List_PQ!B144="","",Associates_Call_List_PQ!B144)</f>
        <v>Satawa</v>
      </c>
      <c r="C144" s="57" t="str">
        <f>IF(Associates_Call_List_PQ!C144="","",Associates_Call_List_PQ!C144)</f>
        <v>Austin</v>
      </c>
      <c r="D144" s="57" t="str">
        <f>IF(Associates_Call_List_PQ!D144="","",Associates_Call_List_PQ!D144)</f>
        <v>Phoenix</v>
      </c>
      <c r="E144" s="58">
        <f>IF(Associates_Call_List_PQ!E144="","",Associates_Call_List_PQ!E144)</f>
        <v>85085</v>
      </c>
      <c r="F144" s="57" t="str">
        <f>IF(Associates_Call_List_PQ!F144="","",Associates_Call_List_PQ!F144)</f>
        <v>Form letter</v>
      </c>
      <c r="G144" s="57" t="str">
        <f>IF(Associates_Call_List_PQ!G144="","",Associates_Call_List_PQ!G144)</f>
        <v>https://images.edocket.azcc.gov/docketpdf/E000046190.pdf</v>
      </c>
      <c r="H144" s="59" t="str">
        <f>IF(Associates_Call_List_PQ!H144="","",Associates_Call_List_PQ!H144)</f>
        <v>6591717645</v>
      </c>
      <c r="I144" s="57" t="str">
        <f>IF(Associates_Call_List_PQ!I144="","",Associates_Call_List_PQ!I144)</f>
        <v>R-XS</v>
      </c>
      <c r="J144" s="57" t="str">
        <f>IF(Associates_Call_List_PQ!J144="","",Associates_Call_List_PQ!J144)</f>
        <v>No</v>
      </c>
      <c r="K144" s="57" t="str">
        <f>IF(Associates_Call_List_PQ!K144="","",Associates_Call_List_PQ!K144)</f>
        <v>No</v>
      </c>
      <c r="L144" s="57" t="str">
        <f>IF(Associates_Call_List_PQ!L144="","",Associates_Call_List_PQ!L144)</f>
        <v>Yes</v>
      </c>
      <c r="M144" s="57" t="str">
        <f>IF(Associates_Call_List_PQ!M144="","",Associates_Call_List_PQ!M144)</f>
        <v>No</v>
      </c>
      <c r="N144" s="57" t="str">
        <f>IF(Associates_Call_List_PQ!N144="","",Associates_Call_List_PQ!N144)</f>
        <v>No</v>
      </c>
      <c r="O144" s="57" t="str">
        <f>IF(Associates_Call_List_PQ!O144="","",Associates_Call_List_PQ!O144)</f>
        <v>Yes</v>
      </c>
      <c r="P144" s="57" t="str">
        <f>IF(Associates_Call_List_PQ!P144="","",Associates_Call_List_PQ!P144)</f>
        <v>N</v>
      </c>
      <c r="Q144" s="57">
        <f>IF(Associates_Call_List_PQ!Q144="","",Associates_Call_List_PQ!Q144)</f>
        <v>45968</v>
      </c>
      <c r="R144" s="57" t="str">
        <f>IF(Associates_Call_List_PQ!R144="","",Associates_Call_List_PQ!R144)</f>
        <v/>
      </c>
      <c r="S144" s="57" t="str">
        <f>IF(Associates_Call_List_PQ!S144="","",Associates_Call_List_PQ!S144)</f>
        <v/>
      </c>
      <c r="T144" s="57" t="str">
        <f>IF(Associates_Call_List_PQ!T144="","",Associates_Call_List_PQ!T144)</f>
        <v/>
      </c>
      <c r="U144" s="57" t="s">
        <v>5494</v>
      </c>
      <c r="V144" s="68" t="s">
        <v>117</v>
      </c>
      <c r="W144" s="68">
        <v>46074</v>
      </c>
      <c r="X144" s="68" t="s">
        <v>5434</v>
      </c>
      <c r="Y144" s="68"/>
      <c r="Z144" s="72"/>
    </row>
    <row r="145" spans="1:26">
      <c r="A145" s="71">
        <f>IFERROR(Associates_Call_List_PQ!A145,"")</f>
        <v>45903</v>
      </c>
      <c r="B145" s="57" t="str">
        <f>IF(Associates_Call_List_PQ!B145="","",Associates_Call_List_PQ!B145)</f>
        <v>Messner</v>
      </c>
      <c r="C145" s="57" t="str">
        <f>IF(Associates_Call_List_PQ!C145="","",Associates_Call_List_PQ!C145)</f>
        <v>Matthew</v>
      </c>
      <c r="D145" s="57" t="str">
        <f>IF(Associates_Call_List_PQ!D145="","",Associates_Call_List_PQ!D145)</f>
        <v>Glendale</v>
      </c>
      <c r="E145" s="58">
        <f>IF(Associates_Call_List_PQ!E145="","",Associates_Call_List_PQ!E145)</f>
        <v>85310</v>
      </c>
      <c r="F145" s="57" t="str">
        <f>IF(Associates_Call_List_PQ!F145="","",Associates_Call_List_PQ!F145)</f>
        <v>Data centers shouldn't be residents cross to bear</v>
      </c>
      <c r="G145" s="57" t="str">
        <f>IF(Associates_Call_List_PQ!G145="","",Associates_Call_List_PQ!G145)</f>
        <v>https://images.edocket.azcc.gov/docketpdf/E000046190.pdf</v>
      </c>
      <c r="H145" s="59" t="str">
        <f>IF(Associates_Call_List_PQ!H145="","",Associates_Call_List_PQ!H145)</f>
        <v>7297283438</v>
      </c>
      <c r="I145" s="57" t="str">
        <f>IF(Associates_Call_List_PQ!I145="","",Associates_Call_List_PQ!I145)</f>
        <v>R3-47</v>
      </c>
      <c r="J145" s="57" t="str">
        <f>IF(Associates_Call_List_PQ!J145="","",Associates_Call_List_PQ!J145)</f>
        <v>No</v>
      </c>
      <c r="K145" s="57" t="str">
        <f>IF(Associates_Call_List_PQ!K145="","",Associates_Call_List_PQ!K145)</f>
        <v>No</v>
      </c>
      <c r="L145" s="57" t="str">
        <f>IF(Associates_Call_List_PQ!L145="","",Associates_Call_List_PQ!L145)</f>
        <v>Yes</v>
      </c>
      <c r="M145" s="57" t="str">
        <f>IF(Associates_Call_List_PQ!M145="","",Associates_Call_List_PQ!M145)</f>
        <v>No</v>
      </c>
      <c r="N145" s="57" t="str">
        <f>IF(Associates_Call_List_PQ!N145="","",Associates_Call_List_PQ!N145)</f>
        <v>No</v>
      </c>
      <c r="O145" s="57" t="str">
        <f>IF(Associates_Call_List_PQ!O145="","",Associates_Call_List_PQ!O145)</f>
        <v>Yes</v>
      </c>
      <c r="P145" s="57" t="str">
        <f>IF(Associates_Call_List_PQ!P145="","",Associates_Call_List_PQ!P145)</f>
        <v>N</v>
      </c>
      <c r="Q145" s="57">
        <f>IF(Associates_Call_List_PQ!Q145="","",Associates_Call_List_PQ!Q145)</f>
        <v>45968</v>
      </c>
      <c r="R145" s="57" t="str">
        <f>IF(Associates_Call_List_PQ!R145="","",Associates_Call_List_PQ!R145)</f>
        <v/>
      </c>
      <c r="S145" s="57" t="str">
        <f>IF(Associates_Call_List_PQ!S145="","",Associates_Call_List_PQ!S145)</f>
        <v/>
      </c>
      <c r="T145" s="57" t="str">
        <f>IF(Associates_Call_List_PQ!T145="","",Associates_Call_List_PQ!T145)</f>
        <v/>
      </c>
      <c r="U145" s="57" t="str">
        <f>IF(Associates_Call_List_PQ!U145="","",Associates_Call_List_PQ!U145)</f>
        <v/>
      </c>
      <c r="V145" s="68"/>
      <c r="W145" s="68" t="s">
        <v>5432</v>
      </c>
      <c r="X145" s="68"/>
      <c r="Y145" s="68"/>
      <c r="Z145" s="72"/>
    </row>
    <row r="146" spans="1:26">
      <c r="A146" s="71">
        <f>IFERROR(Associates_Call_List_PQ!A146,"")</f>
        <v>45903</v>
      </c>
      <c r="B146" s="57" t="str">
        <f>IF(Associates_Call_List_PQ!B146="","",Associates_Call_List_PQ!B146)</f>
        <v>Crowley</v>
      </c>
      <c r="C146" s="57" t="str">
        <f>IF(Associates_Call_List_PQ!C146="","",Associates_Call_List_PQ!C146)</f>
        <v>Kendell</v>
      </c>
      <c r="D146" s="57" t="str">
        <f>IF(Associates_Call_List_PQ!D146="","",Associates_Call_List_PQ!D146)</f>
        <v>Phoenix</v>
      </c>
      <c r="E146" s="58">
        <f>IF(Associates_Call_List_PQ!E146="","",Associates_Call_List_PQ!E146)</f>
        <v>85006</v>
      </c>
      <c r="F146" s="57" t="str">
        <f>IF(Associates_Call_List_PQ!F146="","",Associates_Call_List_PQ!F146)</f>
        <v>Form letter</v>
      </c>
      <c r="G146" s="57" t="str">
        <f>IF(Associates_Call_List_PQ!G146="","",Associates_Call_List_PQ!G146)</f>
        <v>https://images.edocket.azcc.gov/docketpdf/E000046190.pdf</v>
      </c>
      <c r="H146" s="59" t="str">
        <f>IF(Associates_Call_List_PQ!H146="","",Associates_Call_List_PQ!H146)</f>
        <v>5849875191</v>
      </c>
      <c r="I146" s="57" t="str">
        <f>IF(Associates_Call_List_PQ!I146="","",Associates_Call_List_PQ!I146)</f>
        <v>RTOUE47</v>
      </c>
      <c r="J146" s="57" t="str">
        <f>IF(Associates_Call_List_PQ!J146="","",Associates_Call_List_PQ!J146)</f>
        <v>No</v>
      </c>
      <c r="K146" s="57" t="str">
        <f>IF(Associates_Call_List_PQ!K146="","",Associates_Call_List_PQ!K146)</f>
        <v>No</v>
      </c>
      <c r="L146" s="57" t="str">
        <f>IF(Associates_Call_List_PQ!L146="","",Associates_Call_List_PQ!L146)</f>
        <v>N o MEP R-XS(136.68)</v>
      </c>
      <c r="M146" s="57" t="str">
        <f>IF(Associates_Call_List_PQ!M146="","",Associates_Call_List_PQ!M146)</f>
        <v>No</v>
      </c>
      <c r="N146" s="57" t="str">
        <f>IF(Associates_Call_List_PQ!N146="","",Associates_Call_List_PQ!N146)</f>
        <v>No</v>
      </c>
      <c r="O146" s="57" t="str">
        <f>IF(Associates_Call_List_PQ!O146="","",Associates_Call_List_PQ!O146)</f>
        <v>Yes</v>
      </c>
      <c r="P146" s="57">
        <f>IF(Associates_Call_List_PQ!P146="","",Associates_Call_List_PQ!P146)</f>
        <v>45933</v>
      </c>
      <c r="Q146" s="57">
        <f>IF(Associates_Call_List_PQ!Q146="","",Associates_Call_List_PQ!Q146)</f>
        <v>45968</v>
      </c>
      <c r="R146" s="57" t="str">
        <f>IF(Associates_Call_List_PQ!R146="","",Associates_Call_List_PQ!R146)</f>
        <v>Left VM 10/03/2025 - Initiated rate change on 10/19</v>
      </c>
      <c r="S146" s="57" t="str">
        <f>IF(Associates_Call_List_PQ!S146="","",Associates_Call_List_PQ!S146)</f>
        <v/>
      </c>
      <c r="T146" s="57" t="str">
        <f>IF(Associates_Call_List_PQ!T146="","",Associates_Call_List_PQ!T146)</f>
        <v/>
      </c>
      <c r="U146" s="57" t="s">
        <v>5541</v>
      </c>
      <c r="V146" s="68" t="s">
        <v>117</v>
      </c>
      <c r="W146" s="68">
        <v>46074</v>
      </c>
      <c r="X146" s="68" t="s">
        <v>5405</v>
      </c>
      <c r="Y146" s="68" t="s">
        <v>5461</v>
      </c>
      <c r="Z146" s="72"/>
    </row>
    <row r="147" spans="1:26">
      <c r="A147" s="71">
        <f>IFERROR(Associates_Call_List_PQ!A147,"")</f>
        <v>45903</v>
      </c>
      <c r="B147" s="57" t="str">
        <f>IF(Associates_Call_List_PQ!B147="","",Associates_Call_List_PQ!B147)</f>
        <v>Wasylenko</v>
      </c>
      <c r="C147" s="57" t="str">
        <f>IF(Associates_Call_List_PQ!C147="","",Associates_Call_List_PQ!C147)</f>
        <v>Emily</v>
      </c>
      <c r="D147" s="57" t="str">
        <f>IF(Associates_Call_List_PQ!D147="","",Associates_Call_List_PQ!D147)</f>
        <v>Scottsdale</v>
      </c>
      <c r="E147" s="58">
        <f>IF(Associates_Call_List_PQ!E147="","",Associates_Call_List_PQ!E147)</f>
        <v>85254</v>
      </c>
      <c r="F147" s="57" t="str">
        <f>IF(Associates_Call_List_PQ!F147="","",Associates_Call_List_PQ!F147)</f>
        <v>Form letter</v>
      </c>
      <c r="G147" s="57" t="str">
        <f>IF(Associates_Call_List_PQ!G147="","",Associates_Call_List_PQ!G147)</f>
        <v>https://images.edocket.azcc.gov/docketpdf/E000046190.pdf</v>
      </c>
      <c r="H147" s="59" t="str">
        <f>IF(Associates_Call_List_PQ!H147="","",Associates_Call_List_PQ!H147)</f>
        <v>8720343919</v>
      </c>
      <c r="I147" s="57" t="str">
        <f>IF(Associates_Call_List_PQ!I147="","",Associates_Call_List_PQ!I147)</f>
        <v>RTOUE47</v>
      </c>
      <c r="J147" s="57" t="str">
        <f>IF(Associates_Call_List_PQ!J147="","",Associates_Call_List_PQ!J147)</f>
        <v>No</v>
      </c>
      <c r="K147" s="57" t="str">
        <f>IF(Associates_Call_List_PQ!K147="","",Associates_Call_List_PQ!K147)</f>
        <v>No</v>
      </c>
      <c r="L147" s="57" t="str">
        <f>IF(Associates_Call_List_PQ!L147="","",Associates_Call_List_PQ!L147)</f>
        <v>Yes</v>
      </c>
      <c r="M147" s="57" t="str">
        <f>IF(Associates_Call_List_PQ!M147="","",Associates_Call_List_PQ!M147)</f>
        <v>No</v>
      </c>
      <c r="N147" s="57" t="str">
        <f>IF(Associates_Call_List_PQ!N147="","",Associates_Call_List_PQ!N147)</f>
        <v>No</v>
      </c>
      <c r="O147" s="57" t="str">
        <f>IF(Associates_Call_List_PQ!O147="","",Associates_Call_List_PQ!O147)</f>
        <v>Yes</v>
      </c>
      <c r="P147" s="57" t="str">
        <f>IF(Associates_Call_List_PQ!P147="","",Associates_Call_List_PQ!P147)</f>
        <v>N</v>
      </c>
      <c r="Q147" s="57">
        <f>IF(Associates_Call_List_PQ!Q147="","",Associates_Call_List_PQ!Q147)</f>
        <v>45968</v>
      </c>
      <c r="R147" s="57" t="str">
        <f>IF(Associates_Call_List_PQ!R147="","",Associates_Call_List_PQ!R147)</f>
        <v/>
      </c>
      <c r="S147" s="57" t="str">
        <f>IF(Associates_Call_List_PQ!S147="","",Associates_Call_List_PQ!S147)</f>
        <v/>
      </c>
      <c r="T147" s="57" t="str">
        <f>IF(Associates_Call_List_PQ!T147="","",Associates_Call_List_PQ!T147)</f>
        <v/>
      </c>
      <c r="U147" s="57" t="str">
        <f>IF(Associates_Call_List_PQ!U147="","",Associates_Call_List_PQ!U147)</f>
        <v/>
      </c>
      <c r="V147" s="68"/>
      <c r="W147" s="68" t="s">
        <v>5432</v>
      </c>
      <c r="X147" s="68"/>
      <c r="Y147" s="68"/>
      <c r="Z147" s="72"/>
    </row>
    <row r="148" spans="1:26">
      <c r="A148" s="71">
        <f>IFERROR(Associates_Call_List_PQ!A148,"")</f>
        <v>45903</v>
      </c>
      <c r="B148" s="57" t="str">
        <f>IF(Associates_Call_List_PQ!B148="","",Associates_Call_List_PQ!B148)</f>
        <v>Pernatozzi</v>
      </c>
      <c r="C148" s="57" t="str">
        <f>IF(Associates_Call_List_PQ!C148="","",Associates_Call_List_PQ!C148)</f>
        <v>Lauren</v>
      </c>
      <c r="D148" s="57" t="str">
        <f>IF(Associates_Call_List_PQ!D148="","",Associates_Call_List_PQ!D148)</f>
        <v>Peoria</v>
      </c>
      <c r="E148" s="58">
        <f>IF(Associates_Call_List_PQ!E148="","",Associates_Call_List_PQ!E148)</f>
        <v>85383</v>
      </c>
      <c r="F148" s="57" t="str">
        <f>IF(Associates_Call_List_PQ!F148="","",Associates_Call_List_PQ!F148)</f>
        <v xml:space="preserve">Data centers </v>
      </c>
      <c r="G148" s="57" t="str">
        <f>IF(Associates_Call_List_PQ!G148="","",Associates_Call_List_PQ!G148)</f>
        <v>https://images.edocket.azcc.gov/docketpdf/E000046190.pdf</v>
      </c>
      <c r="H148" s="59" t="str">
        <f>IF(Associates_Call_List_PQ!H148="","",Associates_Call_List_PQ!H148)</f>
        <v>7849027455</v>
      </c>
      <c r="I148" s="57" t="str">
        <f>IF(Associates_Call_List_PQ!I148="","",Associates_Call_List_PQ!I148)</f>
        <v>RTOUE47</v>
      </c>
      <c r="J148" s="57" t="str">
        <f>IF(Associates_Call_List_PQ!J148="","",Associates_Call_List_PQ!J148)</f>
        <v>Yes</v>
      </c>
      <c r="K148" s="57" t="str">
        <f>IF(Associates_Call_List_PQ!K148="","",Associates_Call_List_PQ!K148)</f>
        <v>No</v>
      </c>
      <c r="L148" s="57" t="str">
        <f>IF(Associates_Call_List_PQ!L148="","",Associates_Call_List_PQ!L148)</f>
        <v>Yes</v>
      </c>
      <c r="M148" s="57" t="str">
        <f>IF(Associates_Call_List_PQ!M148="","",Associates_Call_List_PQ!M148)</f>
        <v>No</v>
      </c>
      <c r="N148" s="57" t="str">
        <f>IF(Associates_Call_List_PQ!N148="","",Associates_Call_List_PQ!N148)</f>
        <v>No</v>
      </c>
      <c r="O148" s="57" t="str">
        <f>IF(Associates_Call_List_PQ!O148="","",Associates_Call_List_PQ!O148)</f>
        <v>Yes</v>
      </c>
      <c r="P148" s="57" t="str">
        <f>IF(Associates_Call_List_PQ!P148="","",Associates_Call_List_PQ!P148)</f>
        <v>N</v>
      </c>
      <c r="Q148" s="57">
        <f>IF(Associates_Call_List_PQ!Q148="","",Associates_Call_List_PQ!Q148)</f>
        <v>45968</v>
      </c>
      <c r="R148" s="57" t="str">
        <f>IF(Associates_Call_List_PQ!R148="","",Associates_Call_List_PQ!R148)</f>
        <v/>
      </c>
      <c r="S148" s="57" t="str">
        <f>IF(Associates_Call_List_PQ!S148="","",Associates_Call_List_PQ!S148)</f>
        <v/>
      </c>
      <c r="T148" s="57" t="str">
        <f>IF(Associates_Call_List_PQ!T148="","",Associates_Call_List_PQ!T148)</f>
        <v/>
      </c>
      <c r="U148" s="57" t="s">
        <v>5542</v>
      </c>
      <c r="V148" s="68" t="s">
        <v>117</v>
      </c>
      <c r="W148" s="68">
        <v>46074</v>
      </c>
      <c r="X148" s="68" t="s">
        <v>5434</v>
      </c>
      <c r="Y148" s="68"/>
      <c r="Z148" s="72" t="s">
        <v>5438</v>
      </c>
    </row>
    <row r="149" spans="1:26">
      <c r="A149" s="71">
        <f>IFERROR(Associates_Call_List_PQ!A149,"")</f>
        <v>45903</v>
      </c>
      <c r="B149" s="57" t="str">
        <f>IF(Associates_Call_List_PQ!B149="","",Associates_Call_List_PQ!B149)</f>
        <v>Hansen</v>
      </c>
      <c r="C149" s="57" t="str">
        <f>IF(Associates_Call_List_PQ!C149="","",Associates_Call_List_PQ!C149)</f>
        <v>Jennifer</v>
      </c>
      <c r="D149" s="57" t="str">
        <f>IF(Associates_Call_List_PQ!D149="","",Associates_Call_List_PQ!D149)</f>
        <v>El Mirage</v>
      </c>
      <c r="E149" s="58">
        <f>IF(Associates_Call_List_PQ!E149="","",Associates_Call_List_PQ!E149)</f>
        <v>85335</v>
      </c>
      <c r="F149" s="57" t="str">
        <f>IF(Associates_Call_List_PQ!F149="","",Associates_Call_List_PQ!F149)</f>
        <v>Form letter</v>
      </c>
      <c r="G149" s="57" t="str">
        <f>IF(Associates_Call_List_PQ!G149="","",Associates_Call_List_PQ!G149)</f>
        <v>https://images.edocket.azcc.gov/docketpdf/E000046190.pdf</v>
      </c>
      <c r="H149" s="59" t="str">
        <f>IF(Associates_Call_List_PQ!H149="","",Associates_Call_List_PQ!H149)</f>
        <v>4225001000</v>
      </c>
      <c r="I149" s="57" t="str">
        <f>IF(Associates_Call_List_PQ!I149="","",Associates_Call_List_PQ!I149)</f>
        <v>R3-47</v>
      </c>
      <c r="J149" s="57" t="str">
        <f>IF(Associates_Call_List_PQ!J149="","",Associates_Call_List_PQ!J149)</f>
        <v>No</v>
      </c>
      <c r="K149" s="57" t="str">
        <f>IF(Associates_Call_List_PQ!K149="","",Associates_Call_List_PQ!K149)</f>
        <v>No</v>
      </c>
      <c r="L149" s="57" t="str">
        <f>IF(Associates_Call_List_PQ!L149="","",Associates_Call_List_PQ!L149)</f>
        <v>Yes</v>
      </c>
      <c r="M149" s="57" t="str">
        <f>IF(Associates_Call_List_PQ!M149="","",Associates_Call_List_PQ!M149)</f>
        <v>No</v>
      </c>
      <c r="N149" s="57" t="str">
        <f>IF(Associates_Call_List_PQ!N149="","",Associates_Call_List_PQ!N149)</f>
        <v>No</v>
      </c>
      <c r="O149" s="57" t="str">
        <f>IF(Associates_Call_List_PQ!O149="","",Associates_Call_List_PQ!O149)</f>
        <v>Yes</v>
      </c>
      <c r="P149" s="57" t="str">
        <f>IF(Associates_Call_List_PQ!P149="","",Associates_Call_List_PQ!P149)</f>
        <v>N</v>
      </c>
      <c r="Q149" s="57">
        <f>IF(Associates_Call_List_PQ!Q149="","",Associates_Call_List_PQ!Q149)</f>
        <v>45968</v>
      </c>
      <c r="R149" s="57" t="str">
        <f>IF(Associates_Call_List_PQ!R149="","",Associates_Call_List_PQ!R149)</f>
        <v/>
      </c>
      <c r="S149" s="57" t="str">
        <f>IF(Associates_Call_List_PQ!S149="","",Associates_Call_List_PQ!S149)</f>
        <v/>
      </c>
      <c r="T149" s="57" t="str">
        <f>IF(Associates_Call_List_PQ!T149="","",Associates_Call_List_PQ!T149)</f>
        <v/>
      </c>
      <c r="U149" s="57" t="str">
        <f>IF(Associates_Call_List_PQ!U149="","",Associates_Call_List_PQ!U149)</f>
        <v/>
      </c>
      <c r="V149" s="68"/>
      <c r="W149" s="68" t="s">
        <v>5432</v>
      </c>
      <c r="X149" s="68"/>
      <c r="Y149" s="68"/>
      <c r="Z149" s="72"/>
    </row>
    <row r="150" spans="1:26">
      <c r="A150" s="71">
        <f>IFERROR(Associates_Call_List_PQ!A150,"")</f>
        <v>45903</v>
      </c>
      <c r="B150" s="57" t="str">
        <f>IF(Associates_Call_List_PQ!B150="","",Associates_Call_List_PQ!B150)</f>
        <v>Millwee</v>
      </c>
      <c r="C150" s="57" t="str">
        <f>IF(Associates_Call_List_PQ!C150="","",Associates_Call_List_PQ!C150)</f>
        <v>Elizabeth</v>
      </c>
      <c r="D150" s="57" t="str">
        <f>IF(Associates_Call_List_PQ!D150="","",Associates_Call_List_PQ!D150)</f>
        <v>Buckeye</v>
      </c>
      <c r="E150" s="58">
        <f>IF(Associates_Call_List_PQ!E150="","",Associates_Call_List_PQ!E150)</f>
        <v>85326</v>
      </c>
      <c r="F150" s="57" t="str">
        <f>IF(Associates_Call_List_PQ!F150="","",Associates_Call_List_PQ!F150)</f>
        <v>Form letter</v>
      </c>
      <c r="G150" s="57" t="str">
        <f>IF(Associates_Call_List_PQ!G150="","",Associates_Call_List_PQ!G150)</f>
        <v>https://images.edocket.azcc.gov/docketpdf/E000046190.pdf</v>
      </c>
      <c r="H150" s="59" t="str">
        <f>IF(Associates_Call_List_PQ!H150="","",Associates_Call_List_PQ!H150)</f>
        <v>9240700000 </v>
      </c>
      <c r="I150" s="57" t="str">
        <f>IF(Associates_Call_List_PQ!I150="","",Associates_Call_List_PQ!I150)</f>
        <v>R3-47</v>
      </c>
      <c r="J150" s="57" t="str">
        <f>IF(Associates_Call_List_PQ!J150="","",Associates_Call_List_PQ!J150)</f>
        <v>No</v>
      </c>
      <c r="K150" s="57" t="str">
        <f>IF(Associates_Call_List_PQ!K150="","",Associates_Call_List_PQ!K150)</f>
        <v>No</v>
      </c>
      <c r="L150" s="57" t="str">
        <f>IF(Associates_Call_List_PQ!L150="","",Associates_Call_List_PQ!L150)</f>
        <v>Yes</v>
      </c>
      <c r="M150" s="57" t="str">
        <f>IF(Associates_Call_List_PQ!M150="","",Associates_Call_List_PQ!M150)</f>
        <v>No</v>
      </c>
      <c r="N150" s="57" t="str">
        <f>IF(Associates_Call_List_PQ!N150="","",Associates_Call_List_PQ!N150)</f>
        <v>No</v>
      </c>
      <c r="O150" s="57" t="str">
        <f>IF(Associates_Call_List_PQ!O150="","",Associates_Call_List_PQ!O150)</f>
        <v>Yes</v>
      </c>
      <c r="P150" s="57" t="str">
        <f>IF(Associates_Call_List_PQ!P150="","",Associates_Call_List_PQ!P150)</f>
        <v>N</v>
      </c>
      <c r="Q150" s="57">
        <f>IF(Associates_Call_List_PQ!Q150="","",Associates_Call_List_PQ!Q150)</f>
        <v>45968</v>
      </c>
      <c r="R150" s="57" t="str">
        <f>IF(Associates_Call_List_PQ!R150="","",Associates_Call_List_PQ!R150)</f>
        <v/>
      </c>
      <c r="S150" s="57" t="str">
        <f>IF(Associates_Call_List_PQ!S150="","",Associates_Call_List_PQ!S150)</f>
        <v/>
      </c>
      <c r="T150" s="57" t="str">
        <f>IF(Associates_Call_List_PQ!T150="","",Associates_Call_List_PQ!T150)</f>
        <v/>
      </c>
      <c r="U150" s="57" t="s">
        <v>5514</v>
      </c>
      <c r="V150" s="68" t="s">
        <v>117</v>
      </c>
      <c r="W150" s="68">
        <v>46074</v>
      </c>
      <c r="X150" s="68" t="s">
        <v>5434</v>
      </c>
      <c r="Y150" s="68"/>
      <c r="Z150" s="72"/>
    </row>
    <row r="151" spans="1:26">
      <c r="A151" s="71">
        <f>IFERROR(Associates_Call_List_PQ!A151,"")</f>
        <v>45903</v>
      </c>
      <c r="B151" s="57" t="str">
        <f>IF(Associates_Call_List_PQ!B151="","",Associates_Call_List_PQ!B151)</f>
        <v>Salameh</v>
      </c>
      <c r="C151" s="57" t="str">
        <f>IF(Associates_Call_List_PQ!C151="","",Associates_Call_List_PQ!C151)</f>
        <v>Samira</v>
      </c>
      <c r="D151" s="57" t="str">
        <f>IF(Associates_Call_List_PQ!D151="","",Associates_Call_List_PQ!D151)</f>
        <v xml:space="preserve">Peoria </v>
      </c>
      <c r="E151" s="58">
        <f>IF(Associates_Call_List_PQ!E151="","",Associates_Call_List_PQ!E151)</f>
        <v>85383</v>
      </c>
      <c r="F151" s="57" t="str">
        <f>IF(Associates_Call_List_PQ!F151="","",Associates_Call_List_PQ!F151)</f>
        <v>Form letter</v>
      </c>
      <c r="G151" s="57" t="str">
        <f>IF(Associates_Call_List_PQ!G151="","",Associates_Call_List_PQ!G151)</f>
        <v>https://images.edocket.azcc.gov/docketpdf/E000046190.pdf</v>
      </c>
      <c r="H151" s="59" t="str">
        <f>IF(Associates_Call_List_PQ!H151="","",Associates_Call_List_PQ!H151)</f>
        <v>3462131000</v>
      </c>
      <c r="I151" s="57" t="str">
        <f>IF(Associates_Call_List_PQ!I151="","",Associates_Call_List_PQ!I151)</f>
        <v>R3-47</v>
      </c>
      <c r="J151" s="57" t="str">
        <f>IF(Associates_Call_List_PQ!J151="","",Associates_Call_List_PQ!J151)</f>
        <v>No</v>
      </c>
      <c r="K151" s="57" t="str">
        <f>IF(Associates_Call_List_PQ!K151="","",Associates_Call_List_PQ!K151)</f>
        <v>No</v>
      </c>
      <c r="L151" s="57" t="str">
        <f>IF(Associates_Call_List_PQ!L151="","",Associates_Call_List_PQ!L151)</f>
        <v>Yes</v>
      </c>
      <c r="M151" s="57" t="str">
        <f>IF(Associates_Call_List_PQ!M151="","",Associates_Call_List_PQ!M151)</f>
        <v>No</v>
      </c>
      <c r="N151" s="57" t="str">
        <f>IF(Associates_Call_List_PQ!N151="","",Associates_Call_List_PQ!N151)</f>
        <v>No</v>
      </c>
      <c r="O151" s="57" t="str">
        <f>IF(Associates_Call_List_PQ!O151="","",Associates_Call_List_PQ!O151)</f>
        <v>Yes</v>
      </c>
      <c r="P151" s="57" t="str">
        <f>IF(Associates_Call_List_PQ!P151="","",Associates_Call_List_PQ!P151)</f>
        <v>N</v>
      </c>
      <c r="Q151" s="57">
        <f>IF(Associates_Call_List_PQ!Q151="","",Associates_Call_List_PQ!Q151)</f>
        <v>45968</v>
      </c>
      <c r="R151" s="57" t="str">
        <f>IF(Associates_Call_List_PQ!R151="","",Associates_Call_List_PQ!R151)</f>
        <v/>
      </c>
      <c r="S151" s="57" t="str">
        <f>IF(Associates_Call_List_PQ!S151="","",Associates_Call_List_PQ!S151)</f>
        <v/>
      </c>
      <c r="T151" s="57" t="str">
        <f>IF(Associates_Call_List_PQ!T151="","",Associates_Call_List_PQ!T151)</f>
        <v/>
      </c>
      <c r="U151" s="57" t="str">
        <f>IF(Associates_Call_List_PQ!U151="","",Associates_Call_List_PQ!U151)</f>
        <v/>
      </c>
      <c r="V151" s="68"/>
      <c r="W151" s="68" t="s">
        <v>5432</v>
      </c>
      <c r="X151" s="68"/>
      <c r="Y151" s="68"/>
      <c r="Z151" s="72"/>
    </row>
    <row r="152" spans="1:26">
      <c r="A152" s="71">
        <f>IFERROR(Associates_Call_List_PQ!A152,"")</f>
        <v>45903</v>
      </c>
      <c r="B152" s="57" t="str">
        <f>IF(Associates_Call_List_PQ!B152="","",Associates_Call_List_PQ!B152)</f>
        <v>Kotagiri</v>
      </c>
      <c r="C152" s="57" t="str">
        <f>IF(Associates_Call_List_PQ!C152="","",Associates_Call_List_PQ!C152)</f>
        <v>Sanjay</v>
      </c>
      <c r="D152" s="57" t="str">
        <f>IF(Associates_Call_List_PQ!D152="","",Associates_Call_List_PQ!D152)</f>
        <v>Phoenix</v>
      </c>
      <c r="E152" s="58">
        <f>IF(Associates_Call_List_PQ!E152="","",Associates_Call_List_PQ!E152)</f>
        <v>85028</v>
      </c>
      <c r="F152" s="57" t="str">
        <f>IF(Associates_Call_List_PQ!F152="","",Associates_Call_List_PQ!F152)</f>
        <v>Form letter</v>
      </c>
      <c r="G152" s="57" t="str">
        <f>IF(Associates_Call_List_PQ!G152="","",Associates_Call_List_PQ!G152)</f>
        <v>https://images.edocket.azcc.gov/docketpdf/E000046190.pdf</v>
      </c>
      <c r="H152" s="59" t="str">
        <f>IF(Associates_Call_List_PQ!H152="","",Associates_Call_List_PQ!H152)</f>
        <v>4826470000 </v>
      </c>
      <c r="I152" s="57" t="str">
        <f>IF(Associates_Call_List_PQ!I152="","",Associates_Call_List_PQ!I152)</f>
        <v>R3-47</v>
      </c>
      <c r="J152" s="57" t="str">
        <f>IF(Associates_Call_List_PQ!J152="","",Associates_Call_List_PQ!J152)</f>
        <v>No</v>
      </c>
      <c r="K152" s="57" t="str">
        <f>IF(Associates_Call_List_PQ!K152="","",Associates_Call_List_PQ!K152)</f>
        <v>No</v>
      </c>
      <c r="L152" s="57" t="str">
        <f>IF(Associates_Call_List_PQ!L152="","",Associates_Call_List_PQ!L152)</f>
        <v>Yes</v>
      </c>
      <c r="M152" s="57" t="str">
        <f>IF(Associates_Call_List_PQ!M152="","",Associates_Call_List_PQ!M152)</f>
        <v>No</v>
      </c>
      <c r="N152" s="57" t="str">
        <f>IF(Associates_Call_List_PQ!N152="","",Associates_Call_List_PQ!N152)</f>
        <v>No</v>
      </c>
      <c r="O152" s="57" t="str">
        <f>IF(Associates_Call_List_PQ!O152="","",Associates_Call_List_PQ!O152)</f>
        <v>Yes</v>
      </c>
      <c r="P152" s="57" t="str">
        <f>IF(Associates_Call_List_PQ!P152="","",Associates_Call_List_PQ!P152)</f>
        <v>N</v>
      </c>
      <c r="Q152" s="57">
        <f>IF(Associates_Call_List_PQ!Q152="","",Associates_Call_List_PQ!Q152)</f>
        <v>45968</v>
      </c>
      <c r="R152" s="57" t="str">
        <f>IF(Associates_Call_List_PQ!R152="","",Associates_Call_List_PQ!R152)</f>
        <v/>
      </c>
      <c r="S152" s="57" t="str">
        <f>IF(Associates_Call_List_PQ!S152="","",Associates_Call_List_PQ!S152)</f>
        <v/>
      </c>
      <c r="T152" s="57" t="str">
        <f>IF(Associates_Call_List_PQ!T152="","",Associates_Call_List_PQ!T152)</f>
        <v/>
      </c>
      <c r="U152" s="57" t="s">
        <v>5494</v>
      </c>
      <c r="V152" s="68" t="s">
        <v>117</v>
      </c>
      <c r="W152" s="68">
        <v>46074</v>
      </c>
      <c r="X152" s="68" t="s">
        <v>5434</v>
      </c>
      <c r="Y152" s="68"/>
      <c r="Z152" s="72"/>
    </row>
    <row r="153" spans="1:26">
      <c r="A153" s="71">
        <f>IFERROR(Associates_Call_List_PQ!A153,"")</f>
        <v>45903</v>
      </c>
      <c r="B153" s="57" t="str">
        <f>IF(Associates_Call_List_PQ!B153="","",Associates_Call_List_PQ!B153)</f>
        <v>Benchwick</v>
      </c>
      <c r="C153" s="57" t="str">
        <f>IF(Associates_Call_List_PQ!C153="","",Associates_Call_List_PQ!C153)</f>
        <v>Paul</v>
      </c>
      <c r="D153" s="57" t="str">
        <f>IF(Associates_Call_List_PQ!D153="","",Associates_Call_List_PQ!D153)</f>
        <v>Scottsdale</v>
      </c>
      <c r="E153" s="58">
        <f>IF(Associates_Call_List_PQ!E153="","",Associates_Call_List_PQ!E153)</f>
        <v>85258</v>
      </c>
      <c r="F153" s="57" t="str">
        <f>IF(Associates_Call_List_PQ!F153="","",Associates_Call_List_PQ!F153)</f>
        <v>Outrageous</v>
      </c>
      <c r="G153" s="57" t="str">
        <f>IF(Associates_Call_List_PQ!G153="","",Associates_Call_List_PQ!G153)</f>
        <v>https://images.edocket.azcc.gov/docketpdf/E000046190.pdf</v>
      </c>
      <c r="H153" s="59" t="str">
        <f>IF(Associates_Call_List_PQ!H153="","",Associates_Call_List_PQ!H153)</f>
        <v xml:space="preserve">9797240000 </v>
      </c>
      <c r="I153" s="57" t="str">
        <f>IF(Associates_Call_List_PQ!I153="","",Associates_Call_List_PQ!I153)</f>
        <v>R3-47</v>
      </c>
      <c r="J153" s="57" t="str">
        <f>IF(Associates_Call_List_PQ!J153="","",Associates_Call_List_PQ!J153)</f>
        <v>No</v>
      </c>
      <c r="K153" s="57" t="str">
        <f>IF(Associates_Call_List_PQ!K153="","",Associates_Call_List_PQ!K153)</f>
        <v>No</v>
      </c>
      <c r="L153" s="57" t="str">
        <f>IF(Associates_Call_List_PQ!L153="","",Associates_Call_List_PQ!L153)</f>
        <v>Yes</v>
      </c>
      <c r="M153" s="57" t="str">
        <f>IF(Associates_Call_List_PQ!M153="","",Associates_Call_List_PQ!M153)</f>
        <v>No</v>
      </c>
      <c r="N153" s="57" t="str">
        <f>IF(Associates_Call_List_PQ!N153="","",Associates_Call_List_PQ!N153)</f>
        <v>No</v>
      </c>
      <c r="O153" s="57" t="str">
        <f>IF(Associates_Call_List_PQ!O153="","",Associates_Call_List_PQ!O153)</f>
        <v>Yes</v>
      </c>
      <c r="P153" s="57" t="str">
        <f>IF(Associates_Call_List_PQ!P153="","",Associates_Call_List_PQ!P153)</f>
        <v>N</v>
      </c>
      <c r="Q153" s="57">
        <f>IF(Associates_Call_List_PQ!Q153="","",Associates_Call_List_PQ!Q153)</f>
        <v>45968</v>
      </c>
      <c r="R153" s="57" t="str">
        <f>IF(Associates_Call_List_PQ!R153="","",Associates_Call_List_PQ!R153)</f>
        <v/>
      </c>
      <c r="S153" s="57" t="str">
        <f>IF(Associates_Call_List_PQ!S153="","",Associates_Call_List_PQ!S153)</f>
        <v/>
      </c>
      <c r="T153" s="57" t="str">
        <f>IF(Associates_Call_List_PQ!T153="","",Associates_Call_List_PQ!T153)</f>
        <v/>
      </c>
      <c r="U153" s="57" t="str">
        <f>IF(Associates_Call_List_PQ!U153="","",Associates_Call_List_PQ!U153)</f>
        <v/>
      </c>
      <c r="V153" s="68"/>
      <c r="W153" s="68" t="s">
        <v>5432</v>
      </c>
      <c r="X153" s="68"/>
      <c r="Y153" s="68"/>
      <c r="Z153" s="72"/>
    </row>
    <row r="154" spans="1:26">
      <c r="A154" s="71">
        <f>IFERROR(Associates_Call_List_PQ!A154,"")</f>
        <v>45903</v>
      </c>
      <c r="B154" s="57" t="str">
        <f>IF(Associates_Call_List_PQ!B154="","",Associates_Call_List_PQ!B154)</f>
        <v>Amoroso</v>
      </c>
      <c r="C154" s="57" t="str">
        <f>IF(Associates_Call_List_PQ!C154="","",Associates_Call_List_PQ!C154)</f>
        <v>Terri</v>
      </c>
      <c r="D154" s="57" t="str">
        <f>IF(Associates_Call_List_PQ!D154="","",Associates_Call_List_PQ!D154)</f>
        <v>Phoenix</v>
      </c>
      <c r="E154" s="58">
        <f>IF(Associates_Call_List_PQ!E154="","",Associates_Call_List_PQ!E154)</f>
        <v>85028</v>
      </c>
      <c r="F154" s="57" t="str">
        <f>IF(Associates_Call_List_PQ!F154="","",Associates_Call_List_PQ!F154)</f>
        <v>Form letter</v>
      </c>
      <c r="G154" s="57" t="str">
        <f>IF(Associates_Call_List_PQ!G154="","",Associates_Call_List_PQ!G154)</f>
        <v>https://images.edocket.azcc.gov/docketpdf/E000046190.pdf</v>
      </c>
      <c r="H154" s="59" t="str">
        <f>IF(Associates_Call_List_PQ!H154="","",Associates_Call_List_PQ!H154)</f>
        <v>4949150000 </v>
      </c>
      <c r="I154" s="57" t="str">
        <f>IF(Associates_Call_List_PQ!I154="","",Associates_Call_List_PQ!I154)</f>
        <v>R-XS</v>
      </c>
      <c r="J154" s="57" t="str">
        <f>IF(Associates_Call_List_PQ!J154="","",Associates_Call_List_PQ!J154)</f>
        <v>No</v>
      </c>
      <c r="K154" s="57" t="str">
        <f>IF(Associates_Call_List_PQ!K154="","",Associates_Call_List_PQ!K154)</f>
        <v>No</v>
      </c>
      <c r="L154" s="57" t="str">
        <f>IF(Associates_Call_List_PQ!L154="","",Associates_Call_List_PQ!L154)</f>
        <v>Yes</v>
      </c>
      <c r="M154" s="57" t="str">
        <f>IF(Associates_Call_List_PQ!M154="","",Associates_Call_List_PQ!M154)</f>
        <v>No</v>
      </c>
      <c r="N154" s="57" t="str">
        <f>IF(Associates_Call_List_PQ!N154="","",Associates_Call_List_PQ!N154)</f>
        <v>No</v>
      </c>
      <c r="O154" s="57" t="str">
        <f>IF(Associates_Call_List_PQ!O154="","",Associates_Call_List_PQ!O154)</f>
        <v>Yes</v>
      </c>
      <c r="P154" s="57" t="str">
        <f>IF(Associates_Call_List_PQ!P154="","",Associates_Call_List_PQ!P154)</f>
        <v>N</v>
      </c>
      <c r="Q154" s="57">
        <f>IF(Associates_Call_List_PQ!Q154="","",Associates_Call_List_PQ!Q154)</f>
        <v>45968</v>
      </c>
      <c r="R154" s="57" t="str">
        <f>IF(Associates_Call_List_PQ!R154="","",Associates_Call_List_PQ!R154)</f>
        <v/>
      </c>
      <c r="S154" s="57" t="str">
        <f>IF(Associates_Call_List_PQ!S154="","",Associates_Call_List_PQ!S154)</f>
        <v/>
      </c>
      <c r="T154" s="57" t="str">
        <f>IF(Associates_Call_List_PQ!T154="","",Associates_Call_List_PQ!T154)</f>
        <v/>
      </c>
      <c r="U154" s="57" t="s">
        <v>5494</v>
      </c>
      <c r="V154" s="68" t="s">
        <v>117</v>
      </c>
      <c r="W154" s="68">
        <v>46074</v>
      </c>
      <c r="X154" s="68" t="s">
        <v>5434</v>
      </c>
      <c r="Y154" s="68"/>
      <c r="Z154" s="72"/>
    </row>
    <row r="155" spans="1:26">
      <c r="A155" s="71">
        <f>IFERROR(Associates_Call_List_PQ!A155,"")</f>
        <v>45903</v>
      </c>
      <c r="B155" s="57" t="str">
        <f>IF(Associates_Call_List_PQ!B155="","",Associates_Call_List_PQ!B155)</f>
        <v>Berumen</v>
      </c>
      <c r="C155" s="57" t="str">
        <f>IF(Associates_Call_List_PQ!C155="","",Associates_Call_List_PQ!C155)</f>
        <v>Justice</v>
      </c>
      <c r="D155" s="57" t="str">
        <f>IF(Associates_Call_List_PQ!D155="","",Associates_Call_List_PQ!D155)</f>
        <v>Phoenix</v>
      </c>
      <c r="E155" s="58">
        <f>IF(Associates_Call_List_PQ!E155="","",Associates_Call_List_PQ!E155)</f>
        <v>85085</v>
      </c>
      <c r="F155" s="57" t="str">
        <f>IF(Associates_Call_List_PQ!F155="","",Associates_Call_List_PQ!F155)</f>
        <v xml:space="preserve">Outraged </v>
      </c>
      <c r="G155" s="57" t="str">
        <f>IF(Associates_Call_List_PQ!G155="","",Associates_Call_List_PQ!G155)</f>
        <v>https://images.edocket.azcc.gov/docketpdf/E000046190.pdf</v>
      </c>
      <c r="H155" s="59" t="str">
        <f>IF(Associates_Call_List_PQ!H155="","",Associates_Call_List_PQ!H155)</f>
        <v>7700448567 </v>
      </c>
      <c r="I155" s="57" t="str">
        <f>IF(Associates_Call_List_PQ!I155="","",Associates_Call_List_PQ!I155)</f>
        <v>RTOUE47</v>
      </c>
      <c r="J155" s="57" t="str">
        <f>IF(Associates_Call_List_PQ!J155="","",Associates_Call_List_PQ!J155)</f>
        <v>No</v>
      </c>
      <c r="K155" s="57" t="str">
        <f>IF(Associates_Call_List_PQ!K155="","",Associates_Call_List_PQ!K155)</f>
        <v>No</v>
      </c>
      <c r="L155" s="57" t="str">
        <f>IF(Associates_Call_List_PQ!L155="","",Associates_Call_List_PQ!L155)</f>
        <v>Yes</v>
      </c>
      <c r="M155" s="57" t="str">
        <f>IF(Associates_Call_List_PQ!M155="","",Associates_Call_List_PQ!M155)</f>
        <v>No</v>
      </c>
      <c r="N155" s="57" t="str">
        <f>IF(Associates_Call_List_PQ!N155="","",Associates_Call_List_PQ!N155)</f>
        <v>No</v>
      </c>
      <c r="O155" s="57" t="str">
        <f>IF(Associates_Call_List_PQ!O155="","",Associates_Call_List_PQ!O155)</f>
        <v>Yes</v>
      </c>
      <c r="P155" s="57" t="str">
        <f>IF(Associates_Call_List_PQ!P155="","",Associates_Call_List_PQ!P155)</f>
        <v>N</v>
      </c>
      <c r="Q155" s="57">
        <f>IF(Associates_Call_List_PQ!Q155="","",Associates_Call_List_PQ!Q155)</f>
        <v>45968</v>
      </c>
      <c r="R155" s="57" t="str">
        <f>IF(Associates_Call_List_PQ!R155="","",Associates_Call_List_PQ!R155)</f>
        <v/>
      </c>
      <c r="S155" s="57" t="str">
        <f>IF(Associates_Call_List_PQ!S155="","",Associates_Call_List_PQ!S155)</f>
        <v/>
      </c>
      <c r="T155" s="57" t="str">
        <f>IF(Associates_Call_List_PQ!T155="","",Associates_Call_List_PQ!T155)</f>
        <v/>
      </c>
      <c r="U155" s="57" t="str">
        <f>IF(Associates_Call_List_PQ!U155="","",Associates_Call_List_PQ!U155)</f>
        <v/>
      </c>
      <c r="V155" s="68"/>
      <c r="W155" s="68" t="s">
        <v>5432</v>
      </c>
      <c r="X155" s="68"/>
      <c r="Y155" s="68"/>
      <c r="Z155" s="72"/>
    </row>
    <row r="156" spans="1:26">
      <c r="A156" s="71">
        <f>IFERROR(Associates_Call_List_PQ!A156,"")</f>
        <v>45903</v>
      </c>
      <c r="B156" s="57" t="str">
        <f>IF(Associates_Call_List_PQ!B156="","",Associates_Call_List_PQ!B156)</f>
        <v>Wellen</v>
      </c>
      <c r="C156" s="57" t="str">
        <f>IF(Associates_Call_List_PQ!C156="","",Associates_Call_List_PQ!C156)</f>
        <v>Bev</v>
      </c>
      <c r="D156" s="57" t="str">
        <f>IF(Associates_Call_List_PQ!D156="","",Associates_Call_List_PQ!D156)</f>
        <v>Goodyear</v>
      </c>
      <c r="E156" s="58">
        <f>IF(Associates_Call_List_PQ!E156="","",Associates_Call_List_PQ!E156)</f>
        <v>85338</v>
      </c>
      <c r="F156" s="57" t="str">
        <f>IF(Associates_Call_List_PQ!F156="","",Associates_Call_List_PQ!F156)</f>
        <v>No more rate hikes</v>
      </c>
      <c r="G156" s="57" t="str">
        <f>IF(Associates_Call_List_PQ!G156="","",Associates_Call_List_PQ!G156)</f>
        <v>https://images.edocket.azcc.gov/docketpdf/E000046190.pdf</v>
      </c>
      <c r="H156" s="59" t="str">
        <f>IF(Associates_Call_List_PQ!H156="","",Associates_Call_List_PQ!H156)</f>
        <v>6608972636 </v>
      </c>
      <c r="I156" s="57" t="str">
        <f>IF(Associates_Call_List_PQ!I156="","",Associates_Call_List_PQ!I156)</f>
        <v>R-2</v>
      </c>
      <c r="J156" s="57" t="str">
        <f>IF(Associates_Call_List_PQ!J156="","",Associates_Call_List_PQ!J156)</f>
        <v>No</v>
      </c>
      <c r="K156" s="57" t="str">
        <f>IF(Associates_Call_List_PQ!K156="","",Associates_Call_List_PQ!K156)</f>
        <v>No</v>
      </c>
      <c r="L156" s="57" t="str">
        <f>IF(Associates_Call_List_PQ!L156="","",Associates_Call_List_PQ!L156)</f>
        <v>Frozen Rate</v>
      </c>
      <c r="M156" s="57" t="str">
        <f>IF(Associates_Call_List_PQ!M156="","",Associates_Call_List_PQ!M156)</f>
        <v>No</v>
      </c>
      <c r="N156" s="57" t="str">
        <f>IF(Associates_Call_List_PQ!N156="","",Associates_Call_List_PQ!N156)</f>
        <v>No</v>
      </c>
      <c r="O156" s="57" t="str">
        <f>IF(Associates_Call_List_PQ!O156="","",Associates_Call_List_PQ!O156)</f>
        <v>Yes</v>
      </c>
      <c r="P156" s="57" t="str">
        <f>IF(Associates_Call_List_PQ!P156="","",Associates_Call_List_PQ!P156)</f>
        <v>N</v>
      </c>
      <c r="Q156" s="57">
        <f>IF(Associates_Call_List_PQ!Q156="","",Associates_Call_List_PQ!Q156)</f>
        <v>45968</v>
      </c>
      <c r="R156" s="57" t="str">
        <f>IF(Associates_Call_List_PQ!R156="","",Associates_Call_List_PQ!R156)</f>
        <v/>
      </c>
      <c r="S156" s="57" t="str">
        <f>IF(Associates_Call_List_PQ!S156="","",Associates_Call_List_PQ!S156)</f>
        <v/>
      </c>
      <c r="T156" s="57" t="str">
        <f>IF(Associates_Call_List_PQ!T156="","",Associates_Call_List_PQ!T156)</f>
        <v/>
      </c>
      <c r="U156" s="57" t="s">
        <v>5543</v>
      </c>
      <c r="V156" s="68" t="s">
        <v>117</v>
      </c>
      <c r="W156" s="68">
        <v>46074</v>
      </c>
      <c r="X156" s="68" t="s">
        <v>5434</v>
      </c>
      <c r="Y156" s="68"/>
      <c r="Z156" s="72" t="s">
        <v>5438</v>
      </c>
    </row>
    <row r="157" spans="1:26">
      <c r="A157" s="71">
        <f>IFERROR(Associates_Call_List_PQ!A157,"")</f>
        <v>45903</v>
      </c>
      <c r="B157" s="57" t="str">
        <f>IF(Associates_Call_List_PQ!B157="","",Associates_Call_List_PQ!B157)</f>
        <v>Brutinel</v>
      </c>
      <c r="C157" s="57" t="str">
        <f>IF(Associates_Call_List_PQ!C157="","",Associates_Call_List_PQ!C157)</f>
        <v>Shea</v>
      </c>
      <c r="D157" s="57" t="str">
        <f>IF(Associates_Call_List_PQ!D157="","",Associates_Call_List_PQ!D157)</f>
        <v>Prescott</v>
      </c>
      <c r="E157" s="58">
        <f>IF(Associates_Call_List_PQ!E157="","",Associates_Call_List_PQ!E157)</f>
        <v>86303</v>
      </c>
      <c r="F157" s="57" t="str">
        <f>IF(Associates_Call_List_PQ!F157="","",Associates_Call_List_PQ!F157)</f>
        <v>Form letter</v>
      </c>
      <c r="G157" s="57" t="str">
        <f>IF(Associates_Call_List_PQ!G157="","",Associates_Call_List_PQ!G157)</f>
        <v>https://images.edocket.azcc.gov/docketpdf/E000046190.pdf</v>
      </c>
      <c r="H157" s="59" t="str">
        <f>IF(Associates_Call_List_PQ!H157="","",Associates_Call_List_PQ!H157)</f>
        <v>5797101000 </v>
      </c>
      <c r="I157" s="57" t="str">
        <f>IF(Associates_Call_List_PQ!I157="","",Associates_Call_List_PQ!I157)</f>
        <v>R-XS</v>
      </c>
      <c r="J157" s="57" t="str">
        <f>IF(Associates_Call_List_PQ!J157="","",Associates_Call_List_PQ!J157)</f>
        <v>No</v>
      </c>
      <c r="K157" s="57" t="str">
        <f>IF(Associates_Call_List_PQ!K157="","",Associates_Call_List_PQ!K157)</f>
        <v>No</v>
      </c>
      <c r="L157" s="57" t="str">
        <f>IF(Associates_Call_List_PQ!L157="","",Associates_Call_List_PQ!L157)</f>
        <v>Yes</v>
      </c>
      <c r="M157" s="57" t="str">
        <f>IF(Associates_Call_List_PQ!M157="","",Associates_Call_List_PQ!M157)</f>
        <v>No</v>
      </c>
      <c r="N157" s="57" t="str">
        <f>IF(Associates_Call_List_PQ!N157="","",Associates_Call_List_PQ!N157)</f>
        <v>No</v>
      </c>
      <c r="O157" s="57" t="str">
        <f>IF(Associates_Call_List_PQ!O157="","",Associates_Call_List_PQ!O157)</f>
        <v>Yes</v>
      </c>
      <c r="P157" s="57" t="str">
        <f>IF(Associates_Call_List_PQ!P157="","",Associates_Call_List_PQ!P157)</f>
        <v>N</v>
      </c>
      <c r="Q157" s="57">
        <f>IF(Associates_Call_List_PQ!Q157="","",Associates_Call_List_PQ!Q157)</f>
        <v>45968</v>
      </c>
      <c r="R157" s="57" t="str">
        <f>IF(Associates_Call_List_PQ!R157="","",Associates_Call_List_PQ!R157)</f>
        <v/>
      </c>
      <c r="S157" s="57" t="str">
        <f>IF(Associates_Call_List_PQ!S157="","",Associates_Call_List_PQ!S157)</f>
        <v/>
      </c>
      <c r="T157" s="57" t="str">
        <f>IF(Associates_Call_List_PQ!T157="","",Associates_Call_List_PQ!T157)</f>
        <v/>
      </c>
      <c r="U157" s="57" t="str">
        <f>IF(Associates_Call_List_PQ!U157="","",Associates_Call_List_PQ!U157)</f>
        <v/>
      </c>
      <c r="V157" s="68"/>
      <c r="W157" s="68" t="s">
        <v>5432</v>
      </c>
      <c r="X157" s="68"/>
      <c r="Y157" s="68"/>
      <c r="Z157" s="72"/>
    </row>
    <row r="158" spans="1:26">
      <c r="A158" s="71">
        <f>IFERROR(Associates_Call_List_PQ!A158,"")</f>
        <v>45903</v>
      </c>
      <c r="B158" s="57" t="str">
        <f>IF(Associates_Call_List_PQ!B158="","",Associates_Call_List_PQ!B158)</f>
        <v>Lipfert</v>
      </c>
      <c r="C158" s="57" t="str">
        <f>IF(Associates_Call_List_PQ!C158="","",Associates_Call_List_PQ!C158)</f>
        <v>Christine</v>
      </c>
      <c r="D158" s="57" t="str">
        <f>IF(Associates_Call_List_PQ!D158="","",Associates_Call_List_PQ!D158)</f>
        <v>Phoenix</v>
      </c>
      <c r="E158" s="58">
        <f>IF(Associates_Call_List_PQ!E158="","",Associates_Call_List_PQ!E158)</f>
        <v>85028</v>
      </c>
      <c r="F158" s="57" t="str">
        <f>IF(Associates_Call_List_PQ!F158="","",Associates_Call_List_PQ!F158)</f>
        <v>Form letter</v>
      </c>
      <c r="G158" s="57" t="str">
        <f>IF(Associates_Call_List_PQ!G158="","",Associates_Call_List_PQ!G158)</f>
        <v>https://images.edocket.azcc.gov/docketpdf/E000046190.pdf</v>
      </c>
      <c r="H158" s="59" t="str">
        <f>IF(Associates_Call_List_PQ!H158="","",Associates_Call_List_PQ!H158)</f>
        <v xml:space="preserve">	9798231000</v>
      </c>
      <c r="I158" s="57" t="str">
        <f>IF(Associates_Call_List_PQ!I158="","",Associates_Call_List_PQ!I158)</f>
        <v>R3-47</v>
      </c>
      <c r="J158" s="57" t="str">
        <f>IF(Associates_Call_List_PQ!J158="","",Associates_Call_List_PQ!J158)</f>
        <v>No</v>
      </c>
      <c r="K158" s="57" t="str">
        <f>IF(Associates_Call_List_PQ!K158="","",Associates_Call_List_PQ!K158)</f>
        <v>No</v>
      </c>
      <c r="L158" s="57" t="str">
        <f>IF(Associates_Call_List_PQ!L158="","",Associates_Call_List_PQ!L158)</f>
        <v>Yes</v>
      </c>
      <c r="M158" s="57" t="str">
        <f>IF(Associates_Call_List_PQ!M158="","",Associates_Call_List_PQ!M158)</f>
        <v>No</v>
      </c>
      <c r="N158" s="57" t="str">
        <f>IF(Associates_Call_List_PQ!N158="","",Associates_Call_List_PQ!N158)</f>
        <v>No</v>
      </c>
      <c r="O158" s="57" t="str">
        <f>IF(Associates_Call_List_PQ!O158="","",Associates_Call_List_PQ!O158)</f>
        <v>Yes</v>
      </c>
      <c r="P158" s="57" t="str">
        <f>IF(Associates_Call_List_PQ!P158="","",Associates_Call_List_PQ!P158)</f>
        <v>N</v>
      </c>
      <c r="Q158" s="57">
        <f>IF(Associates_Call_List_PQ!Q158="","",Associates_Call_List_PQ!Q158)</f>
        <v>45968</v>
      </c>
      <c r="R158" s="57" t="str">
        <f>IF(Associates_Call_List_PQ!R158="","",Associates_Call_List_PQ!R158)</f>
        <v/>
      </c>
      <c r="S158" s="57" t="str">
        <f>IF(Associates_Call_List_PQ!S158="","",Associates_Call_List_PQ!S158)</f>
        <v/>
      </c>
      <c r="T158" s="57" t="str">
        <f>IF(Associates_Call_List_PQ!T158="","",Associates_Call_List_PQ!T158)</f>
        <v/>
      </c>
      <c r="U158" s="57" t="s">
        <v>5544</v>
      </c>
      <c r="V158" s="68" t="s">
        <v>117</v>
      </c>
      <c r="W158" s="68">
        <v>46074</v>
      </c>
      <c r="X158" s="68" t="s">
        <v>5405</v>
      </c>
      <c r="Y158" s="68"/>
      <c r="Z158" s="72"/>
    </row>
    <row r="159" spans="1:26">
      <c r="A159" s="71">
        <f>IFERROR(Associates_Call_List_PQ!A159,"")</f>
        <v>45903</v>
      </c>
      <c r="B159" s="57" t="str">
        <f>IF(Associates_Call_List_PQ!B159="","",Associates_Call_List_PQ!B159)</f>
        <v>Hozian</v>
      </c>
      <c r="C159" s="57" t="str">
        <f>IF(Associates_Call_List_PQ!C159="","",Associates_Call_List_PQ!C159)</f>
        <v>Cathy</v>
      </c>
      <c r="D159" s="57" t="str">
        <f>IF(Associates_Call_List_PQ!D159="","",Associates_Call_List_PQ!D159)</f>
        <v>Goodyear</v>
      </c>
      <c r="E159" s="58">
        <f>IF(Associates_Call_List_PQ!E159="","",Associates_Call_List_PQ!E159)</f>
        <v>85338</v>
      </c>
      <c r="F159" s="57" t="str">
        <f>IF(Associates_Call_List_PQ!F159="","",Associates_Call_List_PQ!F159)</f>
        <v>APS is greedy and evil</v>
      </c>
      <c r="G159" s="57" t="str">
        <f>IF(Associates_Call_List_PQ!G159="","",Associates_Call_List_PQ!G159)</f>
        <v>https://images.edocket.azcc.gov/docketpdf/E000046190.pdf</v>
      </c>
      <c r="H159" s="59" t="str">
        <f>IF(Associates_Call_List_PQ!H159="","",Associates_Call_List_PQ!H159)</f>
        <v xml:space="preserve">5733698031 </v>
      </c>
      <c r="I159" s="57" t="str">
        <f>IF(Associates_Call_List_PQ!I159="","",Associates_Call_List_PQ!I159)</f>
        <v>R3-47</v>
      </c>
      <c r="J159" s="57" t="str">
        <f>IF(Associates_Call_List_PQ!J159="","",Associates_Call_List_PQ!J159)</f>
        <v>No</v>
      </c>
      <c r="K159" s="57" t="str">
        <f>IF(Associates_Call_List_PQ!K159="","",Associates_Call_List_PQ!K159)</f>
        <v>No</v>
      </c>
      <c r="L159" s="57" t="str">
        <f>IF(Associates_Call_List_PQ!L159="","",Associates_Call_List_PQ!L159)</f>
        <v>Yes</v>
      </c>
      <c r="M159" s="57" t="str">
        <f>IF(Associates_Call_List_PQ!M159="","",Associates_Call_List_PQ!M159)</f>
        <v>No</v>
      </c>
      <c r="N159" s="57" t="str">
        <f>IF(Associates_Call_List_PQ!N159="","",Associates_Call_List_PQ!N159)</f>
        <v>No</v>
      </c>
      <c r="O159" s="57" t="str">
        <f>IF(Associates_Call_List_PQ!O159="","",Associates_Call_List_PQ!O159)</f>
        <v>Yes</v>
      </c>
      <c r="P159" s="57" t="str">
        <f>IF(Associates_Call_List_PQ!P159="","",Associates_Call_List_PQ!P159)</f>
        <v>N</v>
      </c>
      <c r="Q159" s="57">
        <f>IF(Associates_Call_List_PQ!Q159="","",Associates_Call_List_PQ!Q159)</f>
        <v>45968</v>
      </c>
      <c r="R159" s="57" t="str">
        <f>IF(Associates_Call_List_PQ!R159="","",Associates_Call_List_PQ!R159)</f>
        <v/>
      </c>
      <c r="S159" s="57" t="str">
        <f>IF(Associates_Call_List_PQ!S159="","",Associates_Call_List_PQ!S159)</f>
        <v/>
      </c>
      <c r="T159" s="57" t="str">
        <f>IF(Associates_Call_List_PQ!T159="","",Associates_Call_List_PQ!T159)</f>
        <v/>
      </c>
      <c r="U159" s="57" t="str">
        <f>IF(Associates_Call_List_PQ!U159="","",Associates_Call_List_PQ!U159)</f>
        <v/>
      </c>
      <c r="V159" s="68"/>
      <c r="W159" s="68" t="s">
        <v>5432</v>
      </c>
      <c r="X159" s="68"/>
      <c r="Y159" s="68"/>
      <c r="Z159" s="72"/>
    </row>
    <row r="160" spans="1:26">
      <c r="A160" s="71">
        <f>IFERROR(Associates_Call_List_PQ!A160,"")</f>
        <v>45903</v>
      </c>
      <c r="B160" s="57" t="str">
        <f>IF(Associates_Call_List_PQ!B160="","",Associates_Call_List_PQ!B160)</f>
        <v>Hendrickson</v>
      </c>
      <c r="C160" s="57" t="str">
        <f>IF(Associates_Call_List_PQ!C160="","",Associates_Call_List_PQ!C160)</f>
        <v>Ria</v>
      </c>
      <c r="D160" s="57" t="str">
        <f>IF(Associates_Call_List_PQ!D160="","",Associates_Call_List_PQ!D160)</f>
        <v>Phoenix</v>
      </c>
      <c r="E160" s="58">
        <f>IF(Associates_Call_List_PQ!E160="","",Associates_Call_List_PQ!E160)</f>
        <v>85013</v>
      </c>
      <c r="F160" s="57" t="str">
        <f>IF(Associates_Call_List_PQ!F160="","",Associates_Call_List_PQ!F160)</f>
        <v>Form letter</v>
      </c>
      <c r="G160" s="57" t="str">
        <f>IF(Associates_Call_List_PQ!G160="","",Associates_Call_List_PQ!G160)</f>
        <v>https://images.edocket.azcc.gov/docketpdf/E000046190.pdf</v>
      </c>
      <c r="H160" s="59" t="str">
        <f>IF(Associates_Call_List_PQ!H160="","",Associates_Call_List_PQ!H160)</f>
        <v xml:space="preserve">1391416918 </v>
      </c>
      <c r="I160" s="57" t="str">
        <f>IF(Associates_Call_List_PQ!I160="","",Associates_Call_List_PQ!I160)</f>
        <v>R-XS</v>
      </c>
      <c r="J160" s="57" t="str">
        <f>IF(Associates_Call_List_PQ!J160="","",Associates_Call_List_PQ!J160)</f>
        <v>No</v>
      </c>
      <c r="K160" s="57" t="str">
        <f>IF(Associates_Call_List_PQ!K160="","",Associates_Call_List_PQ!K160)</f>
        <v>No</v>
      </c>
      <c r="L160" s="57" t="str">
        <f>IF(Associates_Call_List_PQ!L160="","",Associates_Call_List_PQ!L160)</f>
        <v>Yes</v>
      </c>
      <c r="M160" s="57" t="str">
        <f>IF(Associates_Call_List_PQ!M160="","",Associates_Call_List_PQ!M160)</f>
        <v>No</v>
      </c>
      <c r="N160" s="57" t="str">
        <f>IF(Associates_Call_List_PQ!N160="","",Associates_Call_List_PQ!N160)</f>
        <v>No</v>
      </c>
      <c r="O160" s="57" t="str">
        <f>IF(Associates_Call_List_PQ!O160="","",Associates_Call_List_PQ!O160)</f>
        <v>Yes</v>
      </c>
      <c r="P160" s="57" t="str">
        <f>IF(Associates_Call_List_PQ!P160="","",Associates_Call_List_PQ!P160)</f>
        <v>N</v>
      </c>
      <c r="Q160" s="57">
        <f>IF(Associates_Call_List_PQ!Q160="","",Associates_Call_List_PQ!Q160)</f>
        <v>45968</v>
      </c>
      <c r="R160" s="57" t="str">
        <f>IF(Associates_Call_List_PQ!R160="","",Associates_Call_List_PQ!R160)</f>
        <v/>
      </c>
      <c r="S160" s="57" t="str">
        <f>IF(Associates_Call_List_PQ!S160="","",Associates_Call_List_PQ!S160)</f>
        <v/>
      </c>
      <c r="T160" s="57" t="str">
        <f>IF(Associates_Call_List_PQ!T160="","",Associates_Call_List_PQ!T160)</f>
        <v/>
      </c>
      <c r="U160" s="57" t="s">
        <v>5514</v>
      </c>
      <c r="V160" s="68" t="s">
        <v>117</v>
      </c>
      <c r="W160" s="68">
        <v>46074</v>
      </c>
      <c r="X160" s="68" t="s">
        <v>5434</v>
      </c>
      <c r="Y160" s="68"/>
      <c r="Z160" s="72"/>
    </row>
    <row r="161" spans="1:26">
      <c r="A161" s="71">
        <f>IFERROR(Associates_Call_List_PQ!A161,"")</f>
        <v>45903</v>
      </c>
      <c r="B161" s="57" t="str">
        <f>IF(Associates_Call_List_PQ!B161="","",Associates_Call_List_PQ!B161)</f>
        <v>Romanek</v>
      </c>
      <c r="C161" s="57" t="str">
        <f>IF(Associates_Call_List_PQ!C161="","",Associates_Call_List_PQ!C161)</f>
        <v>Sarah</v>
      </c>
      <c r="D161" s="57" t="str">
        <f>IF(Associates_Call_List_PQ!D161="","",Associates_Call_List_PQ!D161)</f>
        <v>Phoenix</v>
      </c>
      <c r="E161" s="58">
        <f>IF(Associates_Call_List_PQ!E161="","",Associates_Call_List_PQ!E161)</f>
        <v>85083</v>
      </c>
      <c r="F161" s="57" t="str">
        <f>IF(Associates_Call_List_PQ!F161="","",Associates_Call_List_PQ!F161)</f>
        <v>Form letter</v>
      </c>
      <c r="G161" s="57" t="str">
        <f>IF(Associates_Call_List_PQ!G161="","",Associates_Call_List_PQ!G161)</f>
        <v>https://images.edocket.azcc.gov/docketpdf/E000046190.pdf</v>
      </c>
      <c r="H161" s="59" t="str">
        <f>IF(Associates_Call_List_PQ!H161="","",Associates_Call_List_PQ!H161)</f>
        <v>5257583600 </v>
      </c>
      <c r="I161" s="57" t="str">
        <f>IF(Associates_Call_List_PQ!I161="","",Associates_Call_List_PQ!I161)</f>
        <v>R3-47</v>
      </c>
      <c r="J161" s="57" t="str">
        <f>IF(Associates_Call_List_PQ!J161="","",Associates_Call_List_PQ!J161)</f>
        <v>No</v>
      </c>
      <c r="K161" s="57" t="str">
        <f>IF(Associates_Call_List_PQ!K161="","",Associates_Call_List_PQ!K161)</f>
        <v>No</v>
      </c>
      <c r="L161" s="57" t="str">
        <f>IF(Associates_Call_List_PQ!L161="","",Associates_Call_List_PQ!L161)</f>
        <v>No MEP RTOUE ($45.35)</v>
      </c>
      <c r="M161" s="57" t="str">
        <f>IF(Associates_Call_List_PQ!M161="","",Associates_Call_List_PQ!M161)</f>
        <v>No</v>
      </c>
      <c r="N161" s="57" t="str">
        <f>IF(Associates_Call_List_PQ!N161="","",Associates_Call_List_PQ!N161)</f>
        <v>No</v>
      </c>
      <c r="O161" s="57" t="str">
        <f>IF(Associates_Call_List_PQ!O161="","",Associates_Call_List_PQ!O161)</f>
        <v>Yes</v>
      </c>
      <c r="P161" s="57" t="str">
        <f>IF(Associates_Call_List_PQ!P161="","",Associates_Call_List_PQ!P161)</f>
        <v>N</v>
      </c>
      <c r="Q161" s="57">
        <f>IF(Associates_Call_List_PQ!Q161="","",Associates_Call_List_PQ!Q161)</f>
        <v>45968</v>
      </c>
      <c r="R161" s="57" t="str">
        <f>IF(Associates_Call_List_PQ!R161="","",Associates_Call_List_PQ!R161)</f>
        <v/>
      </c>
      <c r="S161" s="57" t="str">
        <f>IF(Associates_Call_List_PQ!S161="","",Associates_Call_List_PQ!S161)</f>
        <v/>
      </c>
      <c r="T161" s="57" t="str">
        <f>IF(Associates_Call_List_PQ!T161="","",Associates_Call_List_PQ!T161)</f>
        <v/>
      </c>
      <c r="U161" s="57" t="s">
        <v>5545</v>
      </c>
      <c r="V161" s="68" t="s">
        <v>117</v>
      </c>
      <c r="W161" s="68">
        <v>46018</v>
      </c>
      <c r="X161" s="68" t="s">
        <v>5434</v>
      </c>
      <c r="Y161" s="68"/>
      <c r="Z161" s="72"/>
    </row>
    <row r="162" spans="1:26">
      <c r="A162" s="71">
        <f>IFERROR(Associates_Call_List_PQ!A162,"")</f>
        <v>45903</v>
      </c>
      <c r="B162" s="57" t="str">
        <f>IF(Associates_Call_List_PQ!B162="","",Associates_Call_List_PQ!B162)</f>
        <v>Selvaraj</v>
      </c>
      <c r="C162" s="57" t="str">
        <f>IF(Associates_Call_List_PQ!C162="","",Associates_Call_List_PQ!C162)</f>
        <v xml:space="preserve">Sara </v>
      </c>
      <c r="D162" s="57" t="str">
        <f>IF(Associates_Call_List_PQ!D162="","",Associates_Call_List_PQ!D162)</f>
        <v>Phoenix</v>
      </c>
      <c r="E162" s="58">
        <f>IF(Associates_Call_List_PQ!E162="","",Associates_Call_List_PQ!E162)</f>
        <v>85013</v>
      </c>
      <c r="F162" s="57" t="str">
        <f>IF(Associates_Call_List_PQ!F162="","",Associates_Call_List_PQ!F162)</f>
        <v>Form letter</v>
      </c>
      <c r="G162" s="57" t="str">
        <f>IF(Associates_Call_List_PQ!G162="","",Associates_Call_List_PQ!G162)</f>
        <v>https://images.edocket.azcc.gov/docketpdf/E000046190.pdf</v>
      </c>
      <c r="H162" s="59" t="str">
        <f>IF(Associates_Call_List_PQ!H162="","",Associates_Call_List_PQ!H162)</f>
        <v>2484289538 </v>
      </c>
      <c r="I162" s="57" t="str">
        <f>IF(Associates_Call_List_PQ!I162="","",Associates_Call_List_PQ!I162)</f>
        <v>R-XS</v>
      </c>
      <c r="J162" s="57" t="str">
        <f>IF(Associates_Call_List_PQ!J162="","",Associates_Call_List_PQ!J162)</f>
        <v>No</v>
      </c>
      <c r="K162" s="57" t="str">
        <f>IF(Associates_Call_List_PQ!K162="","",Associates_Call_List_PQ!K162)</f>
        <v>No</v>
      </c>
      <c r="L162" s="57" t="str">
        <f>IF(Associates_Call_List_PQ!L162="","",Associates_Call_List_PQ!L162)</f>
        <v>Yes</v>
      </c>
      <c r="M162" s="57" t="str">
        <f>IF(Associates_Call_List_PQ!M162="","",Associates_Call_List_PQ!M162)</f>
        <v>No</v>
      </c>
      <c r="N162" s="57" t="str">
        <f>IF(Associates_Call_List_PQ!N162="","",Associates_Call_List_PQ!N162)</f>
        <v>No</v>
      </c>
      <c r="O162" s="57" t="str">
        <f>IF(Associates_Call_List_PQ!O162="","",Associates_Call_List_PQ!O162)</f>
        <v>Yes</v>
      </c>
      <c r="P162" s="57" t="str">
        <f>IF(Associates_Call_List_PQ!P162="","",Associates_Call_List_PQ!P162)</f>
        <v>N</v>
      </c>
      <c r="Q162" s="57">
        <f>IF(Associates_Call_List_PQ!Q162="","",Associates_Call_List_PQ!Q162)</f>
        <v>45968</v>
      </c>
      <c r="R162" s="57" t="str">
        <f>IF(Associates_Call_List_PQ!R162="","",Associates_Call_List_PQ!R162)</f>
        <v/>
      </c>
      <c r="S162" s="57" t="str">
        <f>IF(Associates_Call_List_PQ!S162="","",Associates_Call_List_PQ!S162)</f>
        <v/>
      </c>
      <c r="T162" s="57" t="str">
        <f>IF(Associates_Call_List_PQ!T162="","",Associates_Call_List_PQ!T162)</f>
        <v/>
      </c>
      <c r="U162" s="57" t="s">
        <v>5546</v>
      </c>
      <c r="V162" s="68" t="s">
        <v>117</v>
      </c>
      <c r="W162" s="68">
        <v>46081</v>
      </c>
      <c r="X162" s="68" t="s">
        <v>5405</v>
      </c>
      <c r="Y162" s="68" t="s">
        <v>5461</v>
      </c>
      <c r="Z162" s="72"/>
    </row>
    <row r="163" spans="1:26">
      <c r="A163" s="71">
        <f>IFERROR(Associates_Call_List_PQ!A163,"")</f>
        <v>45903</v>
      </c>
      <c r="B163" s="57" t="str">
        <f>IF(Associates_Call_List_PQ!B163="","",Associates_Call_List_PQ!B163)</f>
        <v>LaFevre</v>
      </c>
      <c r="C163" s="57" t="str">
        <f>IF(Associates_Call_List_PQ!C163="","",Associates_Call_List_PQ!C163)</f>
        <v>Ryan</v>
      </c>
      <c r="D163" s="57" t="str">
        <f>IF(Associates_Call_List_PQ!D163="","",Associates_Call_List_PQ!D163)</f>
        <v>Phoenix</v>
      </c>
      <c r="E163" s="58">
        <f>IF(Associates_Call_List_PQ!E163="","",Associates_Call_List_PQ!E163)</f>
        <v>85024</v>
      </c>
      <c r="F163" s="57" t="str">
        <f>IF(Associates_Call_List_PQ!F163="","",Associates_Call_List_PQ!F163)</f>
        <v>Form letter</v>
      </c>
      <c r="G163" s="57" t="str">
        <f>IF(Associates_Call_List_PQ!G163="","",Associates_Call_List_PQ!G163)</f>
        <v>https://images.edocket.azcc.gov/docketpdf/E000046190.pdf</v>
      </c>
      <c r="H163" s="59" t="str">
        <f>IF(Associates_Call_List_PQ!H163="","",Associates_Call_List_PQ!H163)</f>
        <v>2318631000 </v>
      </c>
      <c r="I163" s="57" t="str">
        <f>IF(Associates_Call_List_PQ!I163="","",Associates_Call_List_PQ!I163)</f>
        <v>EPR-6w/ET-2</v>
      </c>
      <c r="J163" s="57" t="str">
        <f>IF(Associates_Call_List_PQ!J163="","",Associates_Call_List_PQ!J163)</f>
        <v>No</v>
      </c>
      <c r="K163" s="57" t="str">
        <f>IF(Associates_Call_List_PQ!K163="","",Associates_Call_List_PQ!K163)</f>
        <v>No</v>
      </c>
      <c r="L163" s="57" t="str">
        <f>IF(Associates_Call_List_PQ!L163="","",Associates_Call_List_PQ!L163)</f>
        <v>Frozen Rate</v>
      </c>
      <c r="M163" s="57" t="str">
        <f>IF(Associates_Call_List_PQ!M163="","",Associates_Call_List_PQ!M163)</f>
        <v>No</v>
      </c>
      <c r="N163" s="57" t="str">
        <f>IF(Associates_Call_List_PQ!N163="","",Associates_Call_List_PQ!N163)</f>
        <v>No</v>
      </c>
      <c r="O163" s="57" t="str">
        <f>IF(Associates_Call_List_PQ!O163="","",Associates_Call_List_PQ!O163)</f>
        <v>Yes</v>
      </c>
      <c r="P163" s="57" t="str">
        <f>IF(Associates_Call_List_PQ!P163="","",Associates_Call_List_PQ!P163)</f>
        <v>N</v>
      </c>
      <c r="Q163" s="57">
        <f>IF(Associates_Call_List_PQ!Q163="","",Associates_Call_List_PQ!Q163)</f>
        <v>45968</v>
      </c>
      <c r="R163" s="57" t="str">
        <f>IF(Associates_Call_List_PQ!R163="","",Associates_Call_List_PQ!R163)</f>
        <v/>
      </c>
      <c r="S163" s="57" t="str">
        <f>IF(Associates_Call_List_PQ!S163="","",Associates_Call_List_PQ!S163)</f>
        <v/>
      </c>
      <c r="T163" s="57" t="str">
        <f>IF(Associates_Call_List_PQ!T163="","",Associates_Call_List_PQ!T163)</f>
        <v/>
      </c>
      <c r="U163" s="57" t="str">
        <f>IF(Associates_Call_List_PQ!U163="","",Associates_Call_List_PQ!U163)</f>
        <v/>
      </c>
      <c r="V163" s="68"/>
      <c r="W163" s="68" t="s">
        <v>5432</v>
      </c>
      <c r="X163" s="68"/>
      <c r="Y163" s="68"/>
      <c r="Z163" s="72"/>
    </row>
    <row r="164" spans="1:26">
      <c r="A164" s="71">
        <f>IFERROR(Associates_Call_List_PQ!A164,"")</f>
        <v>45903</v>
      </c>
      <c r="B164" s="57" t="str">
        <f>IF(Associates_Call_List_PQ!B164="","",Associates_Call_List_PQ!B164)</f>
        <v>Patel</v>
      </c>
      <c r="C164" s="57" t="str">
        <f>IF(Associates_Call_List_PQ!C164="","",Associates_Call_List_PQ!C164)</f>
        <v>Kevin</v>
      </c>
      <c r="D164" s="57" t="str">
        <f>IF(Associates_Call_List_PQ!D164="","",Associates_Call_List_PQ!D164)</f>
        <v>Glendale</v>
      </c>
      <c r="E164" s="58">
        <f>IF(Associates_Call_List_PQ!E164="","",Associates_Call_List_PQ!E164)</f>
        <v>85308</v>
      </c>
      <c r="F164" s="57" t="str">
        <f>IF(Associates_Call_List_PQ!F164="","",Associates_Call_List_PQ!F164)</f>
        <v>Form letter</v>
      </c>
      <c r="G164" s="57" t="str">
        <f>IF(Associates_Call_List_PQ!G164="","",Associates_Call_List_PQ!G164)</f>
        <v>https://images.edocket.azcc.gov/docketpdf/E000046190.pdf</v>
      </c>
      <c r="H164" s="59" t="str">
        <f>IF(Associates_Call_List_PQ!H164="","",Associates_Call_List_PQ!H164)</f>
        <v>2287263111 </v>
      </c>
      <c r="I164" s="57" t="str">
        <f>IF(Associates_Call_List_PQ!I164="","",Associates_Call_List_PQ!I164)</f>
        <v>RTOUE47</v>
      </c>
      <c r="J164" s="57" t="str">
        <f>IF(Associates_Call_List_PQ!J164="","",Associates_Call_List_PQ!J164)</f>
        <v>No</v>
      </c>
      <c r="K164" s="57" t="str">
        <f>IF(Associates_Call_List_PQ!K164="","",Associates_Call_List_PQ!K164)</f>
        <v>No</v>
      </c>
      <c r="L164" s="57" t="str">
        <f>IF(Associates_Call_List_PQ!L164="","",Associates_Call_List_PQ!L164)</f>
        <v>No MEP R3-47($402.81)</v>
      </c>
      <c r="M164" s="57" t="str">
        <f>IF(Associates_Call_List_PQ!M164="","",Associates_Call_List_PQ!M164)</f>
        <v>No</v>
      </c>
      <c r="N164" s="57" t="str">
        <f>IF(Associates_Call_List_PQ!N164="","",Associates_Call_List_PQ!N164)</f>
        <v>No</v>
      </c>
      <c r="O164" s="57" t="str">
        <f>IF(Associates_Call_List_PQ!O164="","",Associates_Call_List_PQ!O164)</f>
        <v>Yes</v>
      </c>
      <c r="P164" s="57">
        <f>IF(Associates_Call_List_PQ!P164="","",Associates_Call_List_PQ!P164)</f>
        <v>45933</v>
      </c>
      <c r="Q164" s="57">
        <f>IF(Associates_Call_List_PQ!Q164="","",Associates_Call_List_PQ!Q164)</f>
        <v>45968</v>
      </c>
      <c r="R164" s="57" t="str">
        <f>IF(Associates_Call_List_PQ!R164="","",Associates_Call_List_PQ!R164)</f>
        <v>Left VM 10/03/2025</v>
      </c>
      <c r="S164" s="57" t="str">
        <f>IF(Associates_Call_List_PQ!S164="","",Associates_Call_List_PQ!S164)</f>
        <v/>
      </c>
      <c r="T164" s="57" t="str">
        <f>IF(Associates_Call_List_PQ!T164="","",Associates_Call_List_PQ!T164)</f>
        <v/>
      </c>
      <c r="U164" s="57" t="s">
        <v>5547</v>
      </c>
      <c r="V164" s="68" t="s">
        <v>117</v>
      </c>
      <c r="W164" s="68">
        <v>46025</v>
      </c>
      <c r="X164" s="68" t="s">
        <v>5434</v>
      </c>
      <c r="Y164" s="68"/>
      <c r="Z164" s="72"/>
    </row>
    <row r="165" spans="1:26">
      <c r="A165" s="71">
        <f>IFERROR(Associates_Call_List_PQ!A165,"")</f>
        <v>45903</v>
      </c>
      <c r="B165" s="57" t="str">
        <f>IF(Associates_Call_List_PQ!B165="","",Associates_Call_List_PQ!B165)</f>
        <v>Johnston</v>
      </c>
      <c r="C165" s="57" t="str">
        <f>IF(Associates_Call_List_PQ!C165="","",Associates_Call_List_PQ!C165)</f>
        <v>Kendra</v>
      </c>
      <c r="D165" s="57" t="str">
        <f>IF(Associates_Call_List_PQ!D165="","",Associates_Call_List_PQ!D165)</f>
        <v>Phoenix</v>
      </c>
      <c r="E165" s="58">
        <f>IF(Associates_Call_List_PQ!E165="","",Associates_Call_List_PQ!E165)</f>
        <v>85050</v>
      </c>
      <c r="F165" s="57" t="str">
        <f>IF(Associates_Call_List_PQ!F165="","",Associates_Call_List_PQ!F165)</f>
        <v>Opposed</v>
      </c>
      <c r="G165" s="57" t="str">
        <f>IF(Associates_Call_List_PQ!G165="","",Associates_Call_List_PQ!G165)</f>
        <v>https://images.edocket.azcc.gov/docketpdf/E000046190.pdf</v>
      </c>
      <c r="H165" s="59" t="str">
        <f>IF(Associates_Call_List_PQ!H165="","",Associates_Call_List_PQ!H165)</f>
        <v>4330169654 </v>
      </c>
      <c r="I165" s="57" t="str">
        <f>IF(Associates_Call_List_PQ!I165="","",Associates_Call_List_PQ!I165)</f>
        <v>R-XS</v>
      </c>
      <c r="J165" s="57" t="str">
        <f>IF(Associates_Call_List_PQ!J165="","",Associates_Call_List_PQ!J165)</f>
        <v>No</v>
      </c>
      <c r="K165" s="57" t="str">
        <f>IF(Associates_Call_List_PQ!K165="","",Associates_Call_List_PQ!K165)</f>
        <v>No</v>
      </c>
      <c r="L165" s="57" t="str">
        <f>IF(Associates_Call_List_PQ!L165="","",Associates_Call_List_PQ!L165)</f>
        <v>Yes</v>
      </c>
      <c r="M165" s="57" t="str">
        <f>IF(Associates_Call_List_PQ!M165="","",Associates_Call_List_PQ!M165)</f>
        <v>No</v>
      </c>
      <c r="N165" s="57" t="str">
        <f>IF(Associates_Call_List_PQ!N165="","",Associates_Call_List_PQ!N165)</f>
        <v>No</v>
      </c>
      <c r="O165" s="57" t="str">
        <f>IF(Associates_Call_List_PQ!O165="","",Associates_Call_List_PQ!O165)</f>
        <v>Yes</v>
      </c>
      <c r="P165" s="57" t="str">
        <f>IF(Associates_Call_List_PQ!P165="","",Associates_Call_List_PQ!P165)</f>
        <v>N</v>
      </c>
      <c r="Q165" s="57">
        <f>IF(Associates_Call_List_PQ!Q165="","",Associates_Call_List_PQ!Q165)</f>
        <v>45968</v>
      </c>
      <c r="R165" s="57" t="str">
        <f>IF(Associates_Call_List_PQ!R165="","",Associates_Call_List_PQ!R165)</f>
        <v/>
      </c>
      <c r="S165" s="57" t="str">
        <f>IF(Associates_Call_List_PQ!S165="","",Associates_Call_List_PQ!S165)</f>
        <v/>
      </c>
      <c r="T165" s="57" t="str">
        <f>IF(Associates_Call_List_PQ!T165="","",Associates_Call_List_PQ!T165)</f>
        <v/>
      </c>
      <c r="U165" s="57" t="str">
        <f>IF(Associates_Call_List_PQ!U165="","",Associates_Call_List_PQ!U165)</f>
        <v/>
      </c>
      <c r="V165" s="68"/>
      <c r="W165" s="68" t="s">
        <v>5432</v>
      </c>
      <c r="X165" s="68"/>
      <c r="Y165" s="68"/>
      <c r="Z165" s="72"/>
    </row>
    <row r="166" spans="1:26">
      <c r="A166" s="71">
        <f>IFERROR(Associates_Call_List_PQ!A166,"")</f>
        <v>45903</v>
      </c>
      <c r="B166" s="57" t="str">
        <f>IF(Associates_Call_List_PQ!B166="","",Associates_Call_List_PQ!B166)</f>
        <v>Lee</v>
      </c>
      <c r="C166" s="57" t="str">
        <f>IF(Associates_Call_List_PQ!C166="","",Associates_Call_List_PQ!C166)</f>
        <v>Antonio</v>
      </c>
      <c r="D166" s="57" t="str">
        <f>IF(Associates_Call_List_PQ!D166="","",Associates_Call_List_PQ!D166)</f>
        <v>Phoenix</v>
      </c>
      <c r="E166" s="58">
        <f>IF(Associates_Call_List_PQ!E166="","",Associates_Call_List_PQ!E166)</f>
        <v>85029</v>
      </c>
      <c r="F166" s="57" t="str">
        <f>IF(Associates_Call_List_PQ!F166="","",Associates_Call_List_PQ!F166)</f>
        <v>Opposed</v>
      </c>
      <c r="G166" s="57" t="str">
        <f>IF(Associates_Call_List_PQ!G166="","",Associates_Call_List_PQ!G166)</f>
        <v>https://images.edocket.azcc.gov/docketpdf/E000046190.pdf</v>
      </c>
      <c r="H166" s="59" t="str">
        <f>IF(Associates_Call_List_PQ!H166="","",Associates_Call_List_PQ!H166)</f>
        <v>7809411352 </v>
      </c>
      <c r="I166" s="57" t="str">
        <f>IF(Associates_Call_List_PQ!I166="","",Associates_Call_List_PQ!I166)</f>
        <v>R3-47</v>
      </c>
      <c r="J166" s="57" t="str">
        <f>IF(Associates_Call_List_PQ!J166="","",Associates_Call_List_PQ!J166)</f>
        <v>No</v>
      </c>
      <c r="K166" s="57" t="str">
        <f>IF(Associates_Call_List_PQ!K166="","",Associates_Call_List_PQ!K166)</f>
        <v>No</v>
      </c>
      <c r="L166" s="57" t="str">
        <f>IF(Associates_Call_List_PQ!L166="","",Associates_Call_List_PQ!L166)</f>
        <v>Yes</v>
      </c>
      <c r="M166" s="57" t="str">
        <f>IF(Associates_Call_List_PQ!M166="","",Associates_Call_List_PQ!M166)</f>
        <v>No</v>
      </c>
      <c r="N166" s="57" t="str">
        <f>IF(Associates_Call_List_PQ!N166="","",Associates_Call_List_PQ!N166)</f>
        <v>No</v>
      </c>
      <c r="O166" s="57" t="str">
        <f>IF(Associates_Call_List_PQ!O166="","",Associates_Call_List_PQ!O166)</f>
        <v>Yes</v>
      </c>
      <c r="P166" s="57" t="str">
        <f>IF(Associates_Call_List_PQ!P166="","",Associates_Call_List_PQ!P166)</f>
        <v>N</v>
      </c>
      <c r="Q166" s="57">
        <f>IF(Associates_Call_List_PQ!Q166="","",Associates_Call_List_PQ!Q166)</f>
        <v>45968</v>
      </c>
      <c r="R166" s="57" t="str">
        <f>IF(Associates_Call_List_PQ!R166="","",Associates_Call_List_PQ!R166)</f>
        <v/>
      </c>
      <c r="S166" s="57" t="str">
        <f>IF(Associates_Call_List_PQ!S166="","",Associates_Call_List_PQ!S166)</f>
        <v/>
      </c>
      <c r="T166" s="57" t="str">
        <f>IF(Associates_Call_List_PQ!T166="","",Associates_Call_List_PQ!T166)</f>
        <v/>
      </c>
      <c r="U166" s="57" t="s">
        <v>5548</v>
      </c>
      <c r="V166" s="68" t="s">
        <v>117</v>
      </c>
      <c r="W166" s="68">
        <v>46081</v>
      </c>
      <c r="X166" s="68" t="s">
        <v>5405</v>
      </c>
      <c r="Y166" s="68" t="s">
        <v>5461</v>
      </c>
      <c r="Z166" s="72"/>
    </row>
    <row r="167" spans="1:26">
      <c r="A167" s="71">
        <f>IFERROR(Associates_Call_List_PQ!A167,"")</f>
        <v>45903</v>
      </c>
      <c r="B167" s="57" t="str">
        <f>IF(Associates_Call_List_PQ!B167="","",Associates_Call_List_PQ!B167)</f>
        <v>Gross</v>
      </c>
      <c r="C167" s="57" t="str">
        <f>IF(Associates_Call_List_PQ!C167="","",Associates_Call_List_PQ!C167)</f>
        <v>Cindy</v>
      </c>
      <c r="D167" s="57" t="str">
        <f>IF(Associates_Call_List_PQ!D167="","",Associates_Call_List_PQ!D167)</f>
        <v>Phoenix</v>
      </c>
      <c r="E167" s="58">
        <f>IF(Associates_Call_List_PQ!E167="","",Associates_Call_List_PQ!E167)</f>
        <v>85028</v>
      </c>
      <c r="F167" s="57" t="str">
        <f>IF(Associates_Call_List_PQ!F167="","",Associates_Call_List_PQ!F167)</f>
        <v>Opposed</v>
      </c>
      <c r="G167" s="57" t="str">
        <f>IF(Associates_Call_List_PQ!G167="","",Associates_Call_List_PQ!G167)</f>
        <v>https://images.edocket.azcc.gov/docketpdf/E000046190.pdf</v>
      </c>
      <c r="H167" s="59" t="str">
        <f>IF(Associates_Call_List_PQ!H167="","",Associates_Call_List_PQ!H167)</f>
        <v>1901940000 </v>
      </c>
      <c r="I167" s="57" t="str">
        <f>IF(Associates_Call_List_PQ!I167="","",Associates_Call_List_PQ!I167)</f>
        <v>R3-47</v>
      </c>
      <c r="J167" s="57" t="str">
        <f>IF(Associates_Call_List_PQ!J167="","",Associates_Call_List_PQ!J167)</f>
        <v>Yes</v>
      </c>
      <c r="K167" s="57" t="str">
        <f>IF(Associates_Call_List_PQ!K167="","",Associates_Call_List_PQ!K167)</f>
        <v>No</v>
      </c>
      <c r="L167" s="57" t="str">
        <f>IF(Associates_Call_List_PQ!L167="","",Associates_Call_List_PQ!L167)</f>
        <v>Yes</v>
      </c>
      <c r="M167" s="57" t="str">
        <f>IF(Associates_Call_List_PQ!M167="","",Associates_Call_List_PQ!M167)</f>
        <v>No</v>
      </c>
      <c r="N167" s="57" t="str">
        <f>IF(Associates_Call_List_PQ!N167="","",Associates_Call_List_PQ!N167)</f>
        <v>No</v>
      </c>
      <c r="O167" s="57" t="str">
        <f>IF(Associates_Call_List_PQ!O167="","",Associates_Call_List_PQ!O167)</f>
        <v>Yes</v>
      </c>
      <c r="P167" s="57" t="str">
        <f>IF(Associates_Call_List_PQ!P167="","",Associates_Call_List_PQ!P167)</f>
        <v>N</v>
      </c>
      <c r="Q167" s="57">
        <f>IF(Associates_Call_List_PQ!Q167="","",Associates_Call_List_PQ!Q167)</f>
        <v>45968</v>
      </c>
      <c r="R167" s="57" t="str">
        <f>IF(Associates_Call_List_PQ!R167="","",Associates_Call_List_PQ!R167)</f>
        <v/>
      </c>
      <c r="S167" s="57" t="str">
        <f>IF(Associates_Call_List_PQ!S167="","",Associates_Call_List_PQ!S167)</f>
        <v/>
      </c>
      <c r="T167" s="57" t="str">
        <f>IF(Associates_Call_List_PQ!T167="","",Associates_Call_List_PQ!T167)</f>
        <v/>
      </c>
      <c r="U167" s="57" t="str">
        <f>IF(Associates_Call_List_PQ!U167="","",Associates_Call_List_PQ!U167)</f>
        <v/>
      </c>
      <c r="V167" s="68"/>
      <c r="W167" s="68" t="s">
        <v>5432</v>
      </c>
      <c r="X167" s="68"/>
      <c r="Y167" s="68"/>
      <c r="Z167" s="72"/>
    </row>
    <row r="168" spans="1:26">
      <c r="A168" s="71">
        <f>IFERROR(Associates_Call_List_PQ!A168,"")</f>
        <v>45903</v>
      </c>
      <c r="B168" s="57" t="str">
        <f>IF(Associates_Call_List_PQ!B168="","",Associates_Call_List_PQ!B168)</f>
        <v>Dubner</v>
      </c>
      <c r="C168" s="57" t="str">
        <f>IF(Associates_Call_List_PQ!C168="","",Associates_Call_List_PQ!C168)</f>
        <v>Daren</v>
      </c>
      <c r="D168" s="57" t="str">
        <f>IF(Associates_Call_List_PQ!D168="","",Associates_Call_List_PQ!D168)</f>
        <v>Tempe</v>
      </c>
      <c r="E168" s="58">
        <f>IF(Associates_Call_List_PQ!E168="","",Associates_Call_List_PQ!E168)</f>
        <v>85281</v>
      </c>
      <c r="F168" s="57" t="str">
        <f>IF(Associates_Call_List_PQ!F168="","",Associates_Call_List_PQ!F168)</f>
        <v>Struggling to pay bills &amp; to find renters willing to pay rates</v>
      </c>
      <c r="G168" s="57" t="str">
        <f>IF(Associates_Call_List_PQ!G168="","",Associates_Call_List_PQ!G168)</f>
        <v>https://images.edocket.azcc.gov/docketpdf/E000046190.pdf</v>
      </c>
      <c r="H168" s="59" t="str">
        <f>IF(Associates_Call_List_PQ!H168="","",Associates_Call_List_PQ!H168)</f>
        <v>2344543728 </v>
      </c>
      <c r="I168" s="57" t="str">
        <f>IF(Associates_Call_List_PQ!I168="","",Associates_Call_List_PQ!I168)</f>
        <v>R-2</v>
      </c>
      <c r="J168" s="57" t="str">
        <f>IF(Associates_Call_List_PQ!J168="","",Associates_Call_List_PQ!J168)</f>
        <v>No</v>
      </c>
      <c r="K168" s="57" t="str">
        <f>IF(Associates_Call_List_PQ!K168="","",Associates_Call_List_PQ!K168)</f>
        <v>No</v>
      </c>
      <c r="L168" s="57" t="str">
        <f>IF(Associates_Call_List_PQ!L168="","",Associates_Call_List_PQ!L168)</f>
        <v>Frozen Rate</v>
      </c>
      <c r="M168" s="57" t="str">
        <f>IF(Associates_Call_List_PQ!M168="","",Associates_Call_List_PQ!M168)</f>
        <v>No</v>
      </c>
      <c r="N168" s="57" t="str">
        <f>IF(Associates_Call_List_PQ!N168="","",Associates_Call_List_PQ!N168)</f>
        <v>No</v>
      </c>
      <c r="O168" s="57" t="str">
        <f>IF(Associates_Call_List_PQ!O168="","",Associates_Call_List_PQ!O168)</f>
        <v>Yes</v>
      </c>
      <c r="P168" s="57" t="str">
        <f>IF(Associates_Call_List_PQ!P168="","",Associates_Call_List_PQ!P168)</f>
        <v>N</v>
      </c>
      <c r="Q168" s="57">
        <f>IF(Associates_Call_List_PQ!Q168="","",Associates_Call_List_PQ!Q168)</f>
        <v>45968</v>
      </c>
      <c r="R168" s="57" t="str">
        <f>IF(Associates_Call_List_PQ!R168="","",Associates_Call_List_PQ!R168)</f>
        <v/>
      </c>
      <c r="S168" s="57" t="str">
        <f>IF(Associates_Call_List_PQ!S168="","",Associates_Call_List_PQ!S168)</f>
        <v/>
      </c>
      <c r="T168" s="57" t="str">
        <f>IF(Associates_Call_List_PQ!T168="","",Associates_Call_List_PQ!T168)</f>
        <v/>
      </c>
      <c r="U168" s="57" t="s">
        <v>5549</v>
      </c>
      <c r="V168" s="68" t="s">
        <v>117</v>
      </c>
      <c r="W168" s="68">
        <v>46081</v>
      </c>
      <c r="X168" s="68" t="s">
        <v>5405</v>
      </c>
      <c r="Y168" s="68" t="s">
        <v>5461</v>
      </c>
      <c r="Z168" s="72"/>
    </row>
    <row r="169" spans="1:26">
      <c r="A169" s="71">
        <f>IFERROR(Associates_Call_List_PQ!A169,"")</f>
        <v>45903</v>
      </c>
      <c r="B169" s="57" t="str">
        <f>IF(Associates_Call_List_PQ!B169="","",Associates_Call_List_PQ!B169)</f>
        <v>Schroeder</v>
      </c>
      <c r="C169" s="57" t="str">
        <f>IF(Associates_Call_List_PQ!C169="","",Associates_Call_List_PQ!C169)</f>
        <v>John</v>
      </c>
      <c r="D169" s="57" t="str">
        <f>IF(Associates_Call_List_PQ!D169="","",Associates_Call_List_PQ!D169)</f>
        <v>Goodyear</v>
      </c>
      <c r="E169" s="58">
        <f>IF(Associates_Call_List_PQ!E169="","",Associates_Call_List_PQ!E169)</f>
        <v>85338</v>
      </c>
      <c r="F169" s="57" t="str">
        <f>IF(Associates_Call_List_PQ!F169="","",Associates_Call_List_PQ!F169)</f>
        <v>People are suffering financially</v>
      </c>
      <c r="G169" s="57" t="str">
        <f>IF(Associates_Call_List_PQ!G169="","",Associates_Call_List_PQ!G169)</f>
        <v>https://images.edocket.azcc.gov/docketpdf/E000046190.pdf</v>
      </c>
      <c r="H169" s="59" t="str">
        <f>IF(Associates_Call_List_PQ!H169="","",Associates_Call_List_PQ!H169)</f>
        <v xml:space="preserve">4014511000 </v>
      </c>
      <c r="I169" s="57" t="str">
        <f>IF(Associates_Call_List_PQ!I169="","",Associates_Call_List_PQ!I169)</f>
        <v>RTOUE47</v>
      </c>
      <c r="J169" s="57" t="str">
        <f>IF(Associates_Call_List_PQ!J169="","",Associates_Call_List_PQ!J169)</f>
        <v>No</v>
      </c>
      <c r="K169" s="57" t="str">
        <f>IF(Associates_Call_List_PQ!K169="","",Associates_Call_List_PQ!K169)</f>
        <v>No</v>
      </c>
      <c r="L169" s="57" t="str">
        <f>IF(Associates_Call_List_PQ!L169="","",Associates_Call_List_PQ!L169)</f>
        <v>No MEP R3-47 ($369.17)</v>
      </c>
      <c r="M169" s="57" t="str">
        <f>IF(Associates_Call_List_PQ!M169="","",Associates_Call_List_PQ!M169)</f>
        <v>No</v>
      </c>
      <c r="N169" s="57" t="str">
        <f>IF(Associates_Call_List_PQ!N169="","",Associates_Call_List_PQ!N169)</f>
        <v>No</v>
      </c>
      <c r="O169" s="57" t="str">
        <f>IF(Associates_Call_List_PQ!O169="","",Associates_Call_List_PQ!O169)</f>
        <v>Yes</v>
      </c>
      <c r="P169" s="57" t="str">
        <f>IF(Associates_Call_List_PQ!P169="","",Associates_Call_List_PQ!P169)</f>
        <v>N</v>
      </c>
      <c r="Q169" s="57">
        <f>IF(Associates_Call_List_PQ!Q169="","",Associates_Call_List_PQ!Q169)</f>
        <v>45968</v>
      </c>
      <c r="R169" s="57" t="str">
        <f>IF(Associates_Call_List_PQ!R169="","",Associates_Call_List_PQ!R169)</f>
        <v>COR made rate change on 9/18</v>
      </c>
      <c r="S169" s="57" t="str">
        <f>IF(Associates_Call_List_PQ!S169="","",Associates_Call_List_PQ!S169)</f>
        <v/>
      </c>
      <c r="T169" s="57" t="str">
        <f>IF(Associates_Call_List_PQ!T169="","",Associates_Call_List_PQ!T169)</f>
        <v/>
      </c>
      <c r="U169" s="57" t="s">
        <v>5550</v>
      </c>
      <c r="V169" s="68" t="s">
        <v>117</v>
      </c>
      <c r="W169" s="68">
        <v>46032</v>
      </c>
      <c r="X169" s="68" t="s">
        <v>5434</v>
      </c>
      <c r="Y169" s="68"/>
      <c r="Z169" s="72" t="s">
        <v>5438</v>
      </c>
    </row>
    <row r="170" spans="1:26">
      <c r="A170" s="71">
        <f>IFERROR(Associates_Call_List_PQ!A170,"")</f>
        <v>45903</v>
      </c>
      <c r="B170" s="57" t="str">
        <f>IF(Associates_Call_List_PQ!B170="","",Associates_Call_List_PQ!B170)</f>
        <v>De Fina</v>
      </c>
      <c r="C170" s="57" t="str">
        <f>IF(Associates_Call_List_PQ!C170="","",Associates_Call_List_PQ!C170)</f>
        <v>Ellana</v>
      </c>
      <c r="D170" s="57" t="str">
        <f>IF(Associates_Call_List_PQ!D170="","",Associates_Call_List_PQ!D170)</f>
        <v>Phoenix</v>
      </c>
      <c r="E170" s="58">
        <f>IF(Associates_Call_List_PQ!E170="","",Associates_Call_List_PQ!E170)</f>
        <v>85016</v>
      </c>
      <c r="F170" s="57" t="str">
        <f>IF(Associates_Call_List_PQ!F170="","",Associates_Call_List_PQ!F170)</f>
        <v>Opposed</v>
      </c>
      <c r="G170" s="57" t="str">
        <f>IF(Associates_Call_List_PQ!G170="","",Associates_Call_List_PQ!G170)</f>
        <v>https://images.edocket.azcc.gov/docketpdf/E000046190.pdf</v>
      </c>
      <c r="H170" s="59" t="str">
        <f>IF(Associates_Call_List_PQ!H170="","",Associates_Call_List_PQ!H170)</f>
        <v>4400568112 </v>
      </c>
      <c r="I170" s="57" t="str">
        <f>IF(Associates_Call_List_PQ!I170="","",Associates_Call_List_PQ!I170)</f>
        <v>R-BASICL</v>
      </c>
      <c r="J170" s="57" t="str">
        <f>IF(Associates_Call_List_PQ!J170="","",Associates_Call_List_PQ!J170)</f>
        <v>No</v>
      </c>
      <c r="K170" s="57" t="str">
        <f>IF(Associates_Call_List_PQ!K170="","",Associates_Call_List_PQ!K170)</f>
        <v>No</v>
      </c>
      <c r="L170" s="57" t="str">
        <f>IF(Associates_Call_List_PQ!L170="","",Associates_Call_List_PQ!L170)</f>
        <v>No MEP R3-47($43.55)</v>
      </c>
      <c r="M170" s="57" t="str">
        <f>IF(Associates_Call_List_PQ!M170="","",Associates_Call_List_PQ!M170)</f>
        <v>No</v>
      </c>
      <c r="N170" s="57" t="str">
        <f>IF(Associates_Call_List_PQ!N170="","",Associates_Call_List_PQ!N170)</f>
        <v>No</v>
      </c>
      <c r="O170" s="57" t="str">
        <f>IF(Associates_Call_List_PQ!O170="","",Associates_Call_List_PQ!O170)</f>
        <v>Yes</v>
      </c>
      <c r="P170" s="57" t="str">
        <f>IF(Associates_Call_List_PQ!P170="","",Associates_Call_List_PQ!P170)</f>
        <v>N</v>
      </c>
      <c r="Q170" s="57">
        <f>IF(Associates_Call_List_PQ!Q170="","",Associates_Call_List_PQ!Q170)</f>
        <v>45968</v>
      </c>
      <c r="R170" s="57" t="str">
        <f>IF(Associates_Call_List_PQ!R170="","",Associates_Call_List_PQ!R170)</f>
        <v/>
      </c>
      <c r="S170" s="57" t="str">
        <f>IF(Associates_Call_List_PQ!S170="","",Associates_Call_List_PQ!S170)</f>
        <v/>
      </c>
      <c r="T170" s="57" t="str">
        <f>IF(Associates_Call_List_PQ!T170="","",Associates_Call_List_PQ!T170)</f>
        <v/>
      </c>
      <c r="U170" s="57" t="s">
        <v>5551</v>
      </c>
      <c r="V170" s="68" t="s">
        <v>117</v>
      </c>
      <c r="W170" s="68">
        <v>46018</v>
      </c>
      <c r="X170" s="68" t="s">
        <v>5434</v>
      </c>
      <c r="Y170" s="68"/>
      <c r="Z170" s="72"/>
    </row>
    <row r="171" spans="1:26">
      <c r="A171" s="71">
        <f>IFERROR(Associates_Call_List_PQ!A171,"")</f>
        <v>45903</v>
      </c>
      <c r="B171" s="57" t="str">
        <f>IF(Associates_Call_List_PQ!B171="","",Associates_Call_List_PQ!B171)</f>
        <v xml:space="preserve">Hays </v>
      </c>
      <c r="C171" s="57" t="str">
        <f>IF(Associates_Call_List_PQ!C171="","",Associates_Call_List_PQ!C171)</f>
        <v>Timoth</v>
      </c>
      <c r="D171" s="57" t="str">
        <f>IF(Associates_Call_List_PQ!D171="","",Associates_Call_List_PQ!D171)</f>
        <v>Phoenix</v>
      </c>
      <c r="E171" s="58">
        <f>IF(Associates_Call_List_PQ!E171="","",Associates_Call_List_PQ!E171)</f>
        <v>85028</v>
      </c>
      <c r="F171" s="57" t="str">
        <f>IF(Associates_Call_List_PQ!F171="","",Associates_Call_List_PQ!F171)</f>
        <v>Form letter</v>
      </c>
      <c r="G171" s="57" t="str">
        <f>IF(Associates_Call_List_PQ!G171="","",Associates_Call_List_PQ!G171)</f>
        <v>https://images.edocket.azcc.gov/docketpdf/E000046190.pdf</v>
      </c>
      <c r="H171" s="59" t="str">
        <f>IF(Associates_Call_List_PQ!H171="","",Associates_Call_List_PQ!H171)</f>
        <v>0337770119 </v>
      </c>
      <c r="I171" s="57" t="str">
        <f>IF(Associates_Call_List_PQ!I171="","",Associates_Call_List_PQ!I171)</f>
        <v>R3-47</v>
      </c>
      <c r="J171" s="57" t="str">
        <f>IF(Associates_Call_List_PQ!J171="","",Associates_Call_List_PQ!J171)</f>
        <v>No</v>
      </c>
      <c r="K171" s="57" t="str">
        <f>IF(Associates_Call_List_PQ!K171="","",Associates_Call_List_PQ!K171)</f>
        <v>No</v>
      </c>
      <c r="L171" s="57" t="str">
        <f>IF(Associates_Call_List_PQ!L171="","",Associates_Call_List_PQ!L171)</f>
        <v>Yes</v>
      </c>
      <c r="M171" s="57" t="str">
        <f>IF(Associates_Call_List_PQ!M171="","",Associates_Call_List_PQ!M171)</f>
        <v>No</v>
      </c>
      <c r="N171" s="57" t="str">
        <f>IF(Associates_Call_List_PQ!N171="","",Associates_Call_List_PQ!N171)</f>
        <v>No</v>
      </c>
      <c r="O171" s="57" t="str">
        <f>IF(Associates_Call_List_PQ!O171="","",Associates_Call_List_PQ!O171)</f>
        <v>Yes</v>
      </c>
      <c r="P171" s="57" t="str">
        <f>IF(Associates_Call_List_PQ!P171="","",Associates_Call_List_PQ!P171)</f>
        <v>N</v>
      </c>
      <c r="Q171" s="57">
        <f>IF(Associates_Call_List_PQ!Q171="","",Associates_Call_List_PQ!Q171)</f>
        <v>45968</v>
      </c>
      <c r="R171" s="57" t="str">
        <f>IF(Associates_Call_List_PQ!R171="","",Associates_Call_List_PQ!R171)</f>
        <v/>
      </c>
      <c r="S171" s="57" t="str">
        <f>IF(Associates_Call_List_PQ!S171="","",Associates_Call_List_PQ!S171)</f>
        <v/>
      </c>
      <c r="T171" s="57" t="str">
        <f>IF(Associates_Call_List_PQ!T171="","",Associates_Call_List_PQ!T171)</f>
        <v/>
      </c>
      <c r="U171" s="57" t="str">
        <f>IF(Associates_Call_List_PQ!U171="","",Associates_Call_List_PQ!U171)</f>
        <v/>
      </c>
      <c r="V171" s="68"/>
      <c r="W171" s="68" t="s">
        <v>5432</v>
      </c>
      <c r="X171" s="68"/>
      <c r="Y171" s="68"/>
      <c r="Z171" s="72"/>
    </row>
    <row r="172" spans="1:26">
      <c r="A172" s="71">
        <f>IFERROR(Associates_Call_List_PQ!A172,"")</f>
        <v>45903</v>
      </c>
      <c r="B172" s="57" t="str">
        <f>IF(Associates_Call_List_PQ!B172="","",Associates_Call_List_PQ!B172)</f>
        <v>Sanchez</v>
      </c>
      <c r="C172" s="57" t="str">
        <f>IF(Associates_Call_List_PQ!C172="","",Associates_Call_List_PQ!C172)</f>
        <v>Ana</v>
      </c>
      <c r="D172" s="57" t="str">
        <f>IF(Associates_Call_List_PQ!D172="","",Associates_Call_List_PQ!D172)</f>
        <v>Avondale</v>
      </c>
      <c r="E172" s="58">
        <f>IF(Associates_Call_List_PQ!E172="","",Associates_Call_List_PQ!E172)</f>
        <v>85392</v>
      </c>
      <c r="F172" s="57" t="str">
        <f>IF(Associates_Call_List_PQ!F172="","",Associates_Call_List_PQ!F172)</f>
        <v>Making it harder for middle class</v>
      </c>
      <c r="G172" s="57" t="str">
        <f>IF(Associates_Call_List_PQ!G172="","",Associates_Call_List_PQ!G172)</f>
        <v>https://images.edocket.azcc.gov/docketpdf/E000046190.pdf</v>
      </c>
      <c r="H172" s="59" t="str">
        <f>IF(Associates_Call_List_PQ!H172="","",Associates_Call_List_PQ!H172)</f>
        <v>1084589454 </v>
      </c>
      <c r="I172" s="57" t="str">
        <f>IF(Associates_Call_List_PQ!I172="","",Associates_Call_List_PQ!I172)</f>
        <v>RTOUE47</v>
      </c>
      <c r="J172" s="57" t="str">
        <f>IF(Associates_Call_List_PQ!J172="","",Associates_Call_List_PQ!J172)</f>
        <v>Yes</v>
      </c>
      <c r="K172" s="57" t="str">
        <f>IF(Associates_Call_List_PQ!K172="","",Associates_Call_List_PQ!K172)</f>
        <v>No</v>
      </c>
      <c r="L172" s="57" t="str">
        <f>IF(Associates_Call_List_PQ!L172="","",Associates_Call_List_PQ!L172)</f>
        <v>Yes</v>
      </c>
      <c r="M172" s="57" t="str">
        <f>IF(Associates_Call_List_PQ!M172="","",Associates_Call_List_PQ!M172)</f>
        <v>No</v>
      </c>
      <c r="N172" s="57" t="str">
        <f>IF(Associates_Call_List_PQ!N172="","",Associates_Call_List_PQ!N172)</f>
        <v>No</v>
      </c>
      <c r="O172" s="57" t="str">
        <f>IF(Associates_Call_List_PQ!O172="","",Associates_Call_List_PQ!O172)</f>
        <v>Yes</v>
      </c>
      <c r="P172" s="57" t="str">
        <f>IF(Associates_Call_List_PQ!P172="","",Associates_Call_List_PQ!P172)</f>
        <v>N</v>
      </c>
      <c r="Q172" s="57">
        <f>IF(Associates_Call_List_PQ!Q172="","",Associates_Call_List_PQ!Q172)</f>
        <v>45968</v>
      </c>
      <c r="R172" s="57" t="str">
        <f>IF(Associates_Call_List_PQ!R172="","",Associates_Call_List_PQ!R172)</f>
        <v/>
      </c>
      <c r="S172" s="57" t="str">
        <f>IF(Associates_Call_List_PQ!S172="","",Associates_Call_List_PQ!S172)</f>
        <v/>
      </c>
      <c r="T172" s="57" t="str">
        <f>IF(Associates_Call_List_PQ!T172="","",Associates_Call_List_PQ!T172)</f>
        <v/>
      </c>
      <c r="U172" s="57" t="s">
        <v>5552</v>
      </c>
      <c r="V172" s="68" t="s">
        <v>117</v>
      </c>
      <c r="W172" s="68">
        <v>46081</v>
      </c>
      <c r="X172" s="68" t="s">
        <v>5434</v>
      </c>
      <c r="Y172" s="68"/>
      <c r="Z172" s="72" t="s">
        <v>5438</v>
      </c>
    </row>
    <row r="173" spans="1:26">
      <c r="A173" s="71">
        <f>IFERROR(Associates_Call_List_PQ!A173,"")</f>
        <v>45903</v>
      </c>
      <c r="B173" s="57" t="str">
        <f>IF(Associates_Call_List_PQ!B173="","",Associates_Call_List_PQ!B173)</f>
        <v>Messmer</v>
      </c>
      <c r="C173" s="57" t="str">
        <f>IF(Associates_Call_List_PQ!C173="","",Associates_Call_List_PQ!C173)</f>
        <v>Catherine</v>
      </c>
      <c r="D173" s="57" t="str">
        <f>IF(Associates_Call_List_PQ!D173="","",Associates_Call_List_PQ!D173)</f>
        <v>Goodyear</v>
      </c>
      <c r="E173" s="58">
        <f>IF(Associates_Call_List_PQ!E173="","",Associates_Call_List_PQ!E173)</f>
        <v>85338</v>
      </c>
      <c r="F173" s="57" t="str">
        <f>IF(Associates_Call_List_PQ!F173="","",Associates_Call_List_PQ!F173)</f>
        <v>Widow on limited income</v>
      </c>
      <c r="G173" s="57" t="str">
        <f>IF(Associates_Call_List_PQ!G173="","",Associates_Call_List_PQ!G173)</f>
        <v>https://images.edocket.azcc.gov/docketpdf/E000046190.pdf</v>
      </c>
      <c r="H173" s="59" t="str">
        <f>IF(Associates_Call_List_PQ!H173="","",Associates_Call_List_PQ!H173)</f>
        <v xml:space="preserve">5131511000 </v>
      </c>
      <c r="I173" s="57" t="str">
        <f>IF(Associates_Call_List_PQ!I173="","",Associates_Call_List_PQ!I173)</f>
        <v>RTOUE47</v>
      </c>
      <c r="J173" s="57" t="str">
        <f>IF(Associates_Call_List_PQ!J173="","",Associates_Call_List_PQ!J173)</f>
        <v>No</v>
      </c>
      <c r="K173" s="57" t="str">
        <f>IF(Associates_Call_List_PQ!K173="","",Associates_Call_List_PQ!K173)</f>
        <v>No</v>
      </c>
      <c r="L173" s="57" t="str">
        <f>IF(Associates_Call_List_PQ!L173="","",Associates_Call_List_PQ!L173)</f>
        <v>No MEP R3-47($87.48)</v>
      </c>
      <c r="M173" s="57" t="str">
        <f>IF(Associates_Call_List_PQ!M173="","",Associates_Call_List_PQ!M173)</f>
        <v>No</v>
      </c>
      <c r="N173" s="57" t="str">
        <f>IF(Associates_Call_List_PQ!N173="","",Associates_Call_List_PQ!N173)</f>
        <v>No</v>
      </c>
      <c r="O173" s="57" t="str">
        <f>IF(Associates_Call_List_PQ!O173="","",Associates_Call_List_PQ!O173)</f>
        <v>Yes</v>
      </c>
      <c r="P173" s="57" t="str">
        <f>IF(Associates_Call_List_PQ!P173="","",Associates_Call_List_PQ!P173)</f>
        <v>N</v>
      </c>
      <c r="Q173" s="57">
        <f>IF(Associates_Call_List_PQ!Q173="","",Associates_Call_List_PQ!Q173)</f>
        <v>45968</v>
      </c>
      <c r="R173" s="57" t="str">
        <f>IF(Associates_Call_List_PQ!R173="","",Associates_Call_List_PQ!R173)</f>
        <v/>
      </c>
      <c r="S173" s="57" t="str">
        <f>IF(Associates_Call_List_PQ!S173="","",Associates_Call_List_PQ!S173)</f>
        <v/>
      </c>
      <c r="T173" s="57" t="str">
        <f>IF(Associates_Call_List_PQ!T173="","",Associates_Call_List_PQ!T173)</f>
        <v/>
      </c>
      <c r="U173" s="57" t="s">
        <v>5553</v>
      </c>
      <c r="V173" s="68" t="s">
        <v>117</v>
      </c>
      <c r="W173" s="68">
        <v>46018</v>
      </c>
      <c r="X173" s="68" t="s">
        <v>5405</v>
      </c>
      <c r="Y173" s="68"/>
      <c r="Z173" s="72"/>
    </row>
    <row r="174" spans="1:26">
      <c r="A174" s="71">
        <f>IFERROR(Associates_Call_List_PQ!A174,"")</f>
        <v>45903</v>
      </c>
      <c r="B174" s="57" t="str">
        <f>IF(Associates_Call_List_PQ!B174="","",Associates_Call_List_PQ!B174)</f>
        <v>Harmes</v>
      </c>
      <c r="C174" s="57" t="str">
        <f>IF(Associates_Call_List_PQ!C174="","",Associates_Call_List_PQ!C174)</f>
        <v>Kim</v>
      </c>
      <c r="D174" s="57" t="str">
        <f>IF(Associates_Call_List_PQ!D174="","",Associates_Call_List_PQ!D174)</f>
        <v>Goodyear</v>
      </c>
      <c r="E174" s="58">
        <f>IF(Associates_Call_List_PQ!E174="","",Associates_Call_List_PQ!E174)</f>
        <v>85395</v>
      </c>
      <c r="F174" s="57" t="str">
        <f>IF(Associates_Call_List_PQ!F174="","",Associates_Call_List_PQ!F174)</f>
        <v>Fixed income and august bill was $588</v>
      </c>
      <c r="G174" s="57" t="str">
        <f>IF(Associates_Call_List_PQ!G174="","",Associates_Call_List_PQ!G174)</f>
        <v>https://images.edocket.azcc.gov/docketpdf/E000046190.pdf</v>
      </c>
      <c r="H174" s="59" t="str">
        <f>IF(Associates_Call_List_PQ!H174="","",Associates_Call_List_PQ!H174)</f>
        <v>8809578171 </v>
      </c>
      <c r="I174" s="57" t="str">
        <f>IF(Associates_Call_List_PQ!I174="","",Associates_Call_List_PQ!I174)</f>
        <v>R3-47</v>
      </c>
      <c r="J174" s="57" t="str">
        <f>IF(Associates_Call_List_PQ!J174="","",Associates_Call_List_PQ!J174)</f>
        <v>No</v>
      </c>
      <c r="K174" s="57" t="str">
        <f>IF(Associates_Call_List_PQ!K174="","",Associates_Call_List_PQ!K174)</f>
        <v>No</v>
      </c>
      <c r="L174" s="57" t="str">
        <f>IF(Associates_Call_List_PQ!L174="","",Associates_Call_List_PQ!L174)</f>
        <v>Yes</v>
      </c>
      <c r="M174" s="57" t="str">
        <f>IF(Associates_Call_List_PQ!M174="","",Associates_Call_List_PQ!M174)</f>
        <v>No</v>
      </c>
      <c r="N174" s="57" t="str">
        <f>IF(Associates_Call_List_PQ!N174="","",Associates_Call_List_PQ!N174)</f>
        <v>No</v>
      </c>
      <c r="O174" s="57" t="str">
        <f>IF(Associates_Call_List_PQ!O174="","",Associates_Call_List_PQ!O174)</f>
        <v>Yes</v>
      </c>
      <c r="P174" s="57" t="str">
        <f>IF(Associates_Call_List_PQ!P174="","",Associates_Call_List_PQ!P174)</f>
        <v>N</v>
      </c>
      <c r="Q174" s="57">
        <f>IF(Associates_Call_List_PQ!Q174="","",Associates_Call_List_PQ!Q174)</f>
        <v>45968</v>
      </c>
      <c r="R174" s="57" t="str">
        <f>IF(Associates_Call_List_PQ!R174="","",Associates_Call_List_PQ!R174)</f>
        <v/>
      </c>
      <c r="S174" s="57" t="str">
        <f>IF(Associates_Call_List_PQ!S174="","",Associates_Call_List_PQ!S174)</f>
        <v/>
      </c>
      <c r="T174" s="57" t="str">
        <f>IF(Associates_Call_List_PQ!T174="","",Associates_Call_List_PQ!T174)</f>
        <v/>
      </c>
      <c r="U174" s="57" t="s">
        <v>5491</v>
      </c>
      <c r="V174" s="68" t="s">
        <v>117</v>
      </c>
      <c r="W174" s="68">
        <v>46081</v>
      </c>
      <c r="X174" s="68" t="s">
        <v>5405</v>
      </c>
      <c r="Y174" s="68"/>
      <c r="Z174" s="72" t="s">
        <v>5554</v>
      </c>
    </row>
    <row r="175" spans="1:26">
      <c r="A175" s="71">
        <f>IFERROR(Associates_Call_List_PQ!A175,"")</f>
        <v>45903</v>
      </c>
      <c r="B175" s="57" t="str">
        <f>IF(Associates_Call_List_PQ!B175="","",Associates_Call_List_PQ!B175)</f>
        <v>Crane</v>
      </c>
      <c r="C175" s="57" t="str">
        <f>IF(Associates_Call_List_PQ!C175="","",Associates_Call_List_PQ!C175)</f>
        <v>Frank</v>
      </c>
      <c r="D175" s="57" t="str">
        <f>IF(Associates_Call_List_PQ!D175="","",Associates_Call_List_PQ!D175)</f>
        <v>Anthem</v>
      </c>
      <c r="E175" s="58">
        <f>IF(Associates_Call_List_PQ!E175="","",Associates_Call_List_PQ!E175)</f>
        <v>85086</v>
      </c>
      <c r="F175" s="57" t="str">
        <f>IF(Associates_Call_List_PQ!F175="","",Associates_Call_List_PQ!F175)</f>
        <v>Outrageous</v>
      </c>
      <c r="G175" s="57" t="str">
        <f>IF(Associates_Call_List_PQ!G175="","",Associates_Call_List_PQ!G175)</f>
        <v>https://images.edocket.azcc.gov/docketpdf/E000046190.pdf</v>
      </c>
      <c r="H175" s="59" t="str">
        <f>IF(Associates_Call_List_PQ!H175="","",Associates_Call_List_PQ!H175)</f>
        <v>0138600000 </v>
      </c>
      <c r="I175" s="57" t="str">
        <f>IF(Associates_Call_List_PQ!I175="","",Associates_Call_List_PQ!I175)</f>
        <v>R3-47</v>
      </c>
      <c r="J175" s="57" t="str">
        <f>IF(Associates_Call_List_PQ!J175="","",Associates_Call_List_PQ!J175)</f>
        <v>No</v>
      </c>
      <c r="K175" s="57" t="str">
        <f>IF(Associates_Call_List_PQ!K175="","",Associates_Call_List_PQ!K175)</f>
        <v>No</v>
      </c>
      <c r="L175" s="57" t="str">
        <f>IF(Associates_Call_List_PQ!L175="","",Associates_Call_List_PQ!L175)</f>
        <v>No MEP RTOUE47($28.13)</v>
      </c>
      <c r="M175" s="57" t="str">
        <f>IF(Associates_Call_List_PQ!M175="","",Associates_Call_List_PQ!M175)</f>
        <v>No</v>
      </c>
      <c r="N175" s="57" t="str">
        <f>IF(Associates_Call_List_PQ!N175="","",Associates_Call_List_PQ!N175)</f>
        <v>No</v>
      </c>
      <c r="O175" s="57" t="str">
        <f>IF(Associates_Call_List_PQ!O175="","",Associates_Call_List_PQ!O175)</f>
        <v>Yes</v>
      </c>
      <c r="P175" s="57" t="str">
        <f>IF(Associates_Call_List_PQ!P175="","",Associates_Call_List_PQ!P175)</f>
        <v>N</v>
      </c>
      <c r="Q175" s="57">
        <f>IF(Associates_Call_List_PQ!Q175="","",Associates_Call_List_PQ!Q175)</f>
        <v>45968</v>
      </c>
      <c r="R175" s="57" t="str">
        <f>IF(Associates_Call_List_PQ!R175="","",Associates_Call_List_PQ!R175)</f>
        <v/>
      </c>
      <c r="S175" s="57" t="str">
        <f>IF(Associates_Call_List_PQ!S175="","",Associates_Call_List_PQ!S175)</f>
        <v/>
      </c>
      <c r="T175" s="57" t="str">
        <f>IF(Associates_Call_List_PQ!T175="","",Associates_Call_List_PQ!T175)</f>
        <v/>
      </c>
      <c r="U175" s="57" t="s">
        <v>5555</v>
      </c>
      <c r="V175" s="68" t="s">
        <v>117</v>
      </c>
      <c r="W175" s="68">
        <v>46025</v>
      </c>
      <c r="X175" s="68" t="s">
        <v>5405</v>
      </c>
      <c r="Y175" s="68"/>
      <c r="Z175" s="72"/>
    </row>
    <row r="176" spans="1:26">
      <c r="A176" s="71">
        <f>IFERROR(Associates_Call_List_PQ!A176,"")</f>
        <v>45903</v>
      </c>
      <c r="B176" s="57" t="str">
        <f>IF(Associates_Call_List_PQ!B176="","",Associates_Call_List_PQ!B176)</f>
        <v>McReynolds</v>
      </c>
      <c r="C176" s="57" t="str">
        <f>IF(Associates_Call_List_PQ!C176="","",Associates_Call_List_PQ!C176)</f>
        <v>Owen</v>
      </c>
      <c r="D176" s="57" t="str">
        <f>IF(Associates_Call_List_PQ!D176="","",Associates_Call_List_PQ!D176)</f>
        <v>Phoenix</v>
      </c>
      <c r="E176" s="58">
        <f>IF(Associates_Call_List_PQ!E176="","",Associates_Call_List_PQ!E176)</f>
        <v>85024</v>
      </c>
      <c r="F176" s="57" t="str">
        <f>IF(Associates_Call_List_PQ!F176="","",Associates_Call_List_PQ!F176)</f>
        <v>Form letter</v>
      </c>
      <c r="G176" s="57" t="str">
        <f>IF(Associates_Call_List_PQ!G176="","",Associates_Call_List_PQ!G176)</f>
        <v>https://images.edocket.azcc.gov/docketpdf/E000046190.pdf</v>
      </c>
      <c r="H176" s="59" t="str">
        <f>IF(Associates_Call_List_PQ!H176="","",Associates_Call_List_PQ!H176)</f>
        <v>9851454126 </v>
      </c>
      <c r="I176" s="57" t="str">
        <f>IF(Associates_Call_List_PQ!I176="","",Associates_Call_List_PQ!I176)</f>
        <v>RTOUE47</v>
      </c>
      <c r="J176" s="57" t="str">
        <f>IF(Associates_Call_List_PQ!J176="","",Associates_Call_List_PQ!J176)</f>
        <v>No</v>
      </c>
      <c r="K176" s="57" t="str">
        <f>IF(Associates_Call_List_PQ!K176="","",Associates_Call_List_PQ!K176)</f>
        <v>No</v>
      </c>
      <c r="L176" s="57" t="str">
        <f>IF(Associates_Call_List_PQ!L176="","",Associates_Call_List_PQ!L176)</f>
        <v>No MEP R3-47($158.60)</v>
      </c>
      <c r="M176" s="57" t="str">
        <f>IF(Associates_Call_List_PQ!M176="","",Associates_Call_List_PQ!M176)</f>
        <v>No</v>
      </c>
      <c r="N176" s="57" t="str">
        <f>IF(Associates_Call_List_PQ!N176="","",Associates_Call_List_PQ!N176)</f>
        <v>No</v>
      </c>
      <c r="O176" s="57" t="str">
        <f>IF(Associates_Call_List_PQ!O176="","",Associates_Call_List_PQ!O176)</f>
        <v>Yes</v>
      </c>
      <c r="P176" s="57">
        <f>IF(Associates_Call_List_PQ!P176="","",Associates_Call_List_PQ!P176)</f>
        <v>45933</v>
      </c>
      <c r="Q176" s="57">
        <f>IF(Associates_Call_List_PQ!Q176="","",Associates_Call_List_PQ!Q176)</f>
        <v>45968</v>
      </c>
      <c r="R176" s="57" t="str">
        <f>IF(Associates_Call_List_PQ!R176="","",Associates_Call_List_PQ!R176)</f>
        <v>Left VM 10/03/2025</v>
      </c>
      <c r="S176" s="57" t="str">
        <f>IF(Associates_Call_List_PQ!S176="","",Associates_Call_List_PQ!S176)</f>
        <v/>
      </c>
      <c r="T176" s="57" t="str">
        <f>IF(Associates_Call_List_PQ!T176="","",Associates_Call_List_PQ!T176)</f>
        <v/>
      </c>
      <c r="U176" s="57" t="s">
        <v>5556</v>
      </c>
      <c r="V176" s="68" t="s">
        <v>117</v>
      </c>
      <c r="W176" s="68">
        <v>46025</v>
      </c>
      <c r="X176" s="68" t="s">
        <v>5434</v>
      </c>
      <c r="Y176" s="68"/>
      <c r="Z176" s="72"/>
    </row>
    <row r="177" spans="1:26">
      <c r="A177" s="71">
        <f>IFERROR(Associates_Call_List_PQ!A177,"")</f>
        <v>45903</v>
      </c>
      <c r="B177" s="57" t="str">
        <f>IF(Associates_Call_List_PQ!B177="","",Associates_Call_List_PQ!B177)</f>
        <v>Meraz</v>
      </c>
      <c r="C177" s="57" t="str">
        <f>IF(Associates_Call_List_PQ!C177="","",Associates_Call_List_PQ!C177)</f>
        <v>Victor</v>
      </c>
      <c r="D177" s="57" t="str">
        <f>IF(Associates_Call_List_PQ!D177="","",Associates_Call_List_PQ!D177)</f>
        <v>Goodyear</v>
      </c>
      <c r="E177" s="58">
        <f>IF(Associates_Call_List_PQ!E177="","",Associates_Call_List_PQ!E177)</f>
        <v>85338</v>
      </c>
      <c r="F177" s="57" t="str">
        <f>IF(Associates_Call_List_PQ!F177="","",Associates_Call_List_PQ!F177)</f>
        <v>Already expensive enough</v>
      </c>
      <c r="G177" s="57" t="str">
        <f>IF(Associates_Call_List_PQ!G177="","",Associates_Call_List_PQ!G177)</f>
        <v>https://images.edocket.azcc.gov/docketpdf/E000046190.pdf</v>
      </c>
      <c r="H177" s="59">
        <f>IF(Associates_Call_List_PQ!H177="","",Associates_Call_List_PQ!H177)</f>
        <v>6626729560</v>
      </c>
      <c r="I177" s="57" t="str">
        <f>IF(Associates_Call_List_PQ!I177="","",Associates_Call_List_PQ!I177)</f>
        <v>R-XS</v>
      </c>
      <c r="J177" s="57" t="str">
        <f>IF(Associates_Call_List_PQ!J177="","",Associates_Call_List_PQ!J177)</f>
        <v>No</v>
      </c>
      <c r="K177" s="57" t="str">
        <f>IF(Associates_Call_List_PQ!K177="","",Associates_Call_List_PQ!K177)</f>
        <v>No</v>
      </c>
      <c r="L177" s="57" t="str">
        <f>IF(Associates_Call_List_PQ!L177="","",Associates_Call_List_PQ!L177)</f>
        <v>Yes</v>
      </c>
      <c r="M177" s="57" t="str">
        <f>IF(Associates_Call_List_PQ!M177="","",Associates_Call_List_PQ!M177)</f>
        <v>No</v>
      </c>
      <c r="N177" s="57" t="str">
        <f>IF(Associates_Call_List_PQ!N177="","",Associates_Call_List_PQ!N177)</f>
        <v>No</v>
      </c>
      <c r="O177" s="57" t="str">
        <f>IF(Associates_Call_List_PQ!O177="","",Associates_Call_List_PQ!O177)</f>
        <v>Yes</v>
      </c>
      <c r="P177" s="57" t="str">
        <f>IF(Associates_Call_List_PQ!P177="","",Associates_Call_List_PQ!P177)</f>
        <v>N</v>
      </c>
      <c r="Q177" s="57">
        <f>IF(Associates_Call_List_PQ!Q177="","",Associates_Call_List_PQ!Q177)</f>
        <v>45968</v>
      </c>
      <c r="R177" s="57" t="str">
        <f>IF(Associates_Call_List_PQ!R177="","",Associates_Call_List_PQ!R177)</f>
        <v/>
      </c>
      <c r="S177" s="57" t="str">
        <f>IF(Associates_Call_List_PQ!S177="","",Associates_Call_List_PQ!S177)</f>
        <v/>
      </c>
      <c r="T177" s="57" t="str">
        <f>IF(Associates_Call_List_PQ!T177="","",Associates_Call_List_PQ!T177)</f>
        <v/>
      </c>
      <c r="U177" s="57" t="str">
        <f>IF(Associates_Call_List_PQ!U177="","",Associates_Call_List_PQ!U177)</f>
        <v/>
      </c>
      <c r="V177" s="68"/>
      <c r="W177" s="68" t="s">
        <v>5432</v>
      </c>
      <c r="X177" s="68"/>
      <c r="Y177" s="68"/>
      <c r="Z177" s="72"/>
    </row>
    <row r="178" spans="1:26">
      <c r="A178" s="71">
        <f>IFERROR(Associates_Call_List_PQ!A178,"")</f>
        <v>45903</v>
      </c>
      <c r="B178" s="57" t="str">
        <f>IF(Associates_Call_List_PQ!B178="","",Associates_Call_List_PQ!B178)</f>
        <v>Repaka</v>
      </c>
      <c r="C178" s="57" t="str">
        <f>IF(Associates_Call_List_PQ!C178="","",Associates_Call_List_PQ!C178)</f>
        <v>Veerraju</v>
      </c>
      <c r="D178" s="57" t="str">
        <f>IF(Associates_Call_List_PQ!D178="","",Associates_Call_List_PQ!D178)</f>
        <v>Peoria</v>
      </c>
      <c r="E178" s="58">
        <f>IF(Associates_Call_List_PQ!E178="","",Associates_Call_List_PQ!E178)</f>
        <v>85383</v>
      </c>
      <c r="F178" s="57" t="str">
        <f>IF(Associates_Call_List_PQ!F178="","",Associates_Call_List_PQ!F178)</f>
        <v>Opposed</v>
      </c>
      <c r="G178" s="57" t="str">
        <f>IF(Associates_Call_List_PQ!G178="","",Associates_Call_List_PQ!G178)</f>
        <v>https://images.edocket.azcc.gov/docketpdf/E000046190.pdf</v>
      </c>
      <c r="H178" s="59" t="str">
        <f>IF(Associates_Call_List_PQ!H178="","",Associates_Call_List_PQ!H178)</f>
        <v>7113636850 </v>
      </c>
      <c r="I178" s="57" t="str">
        <f>IF(Associates_Call_List_PQ!I178="","",Associates_Call_List_PQ!I178)</f>
        <v>RTOUE47</v>
      </c>
      <c r="J178" s="57" t="str">
        <f>IF(Associates_Call_List_PQ!J178="","",Associates_Call_List_PQ!J178)</f>
        <v>No</v>
      </c>
      <c r="K178" s="57" t="str">
        <f>IF(Associates_Call_List_PQ!K178="","",Associates_Call_List_PQ!K178)</f>
        <v>No</v>
      </c>
      <c r="L178" s="57" t="str">
        <f>IF(Associates_Call_List_PQ!L178="","",Associates_Call_List_PQ!L178)</f>
        <v>No MEP R3-47($18.51)</v>
      </c>
      <c r="M178" s="57" t="str">
        <f>IF(Associates_Call_List_PQ!M178="","",Associates_Call_List_PQ!M178)</f>
        <v>No</v>
      </c>
      <c r="N178" s="57" t="str">
        <f>IF(Associates_Call_List_PQ!N178="","",Associates_Call_List_PQ!N178)</f>
        <v>No</v>
      </c>
      <c r="O178" s="57" t="str">
        <f>IF(Associates_Call_List_PQ!O178="","",Associates_Call_List_PQ!O178)</f>
        <v>Yes</v>
      </c>
      <c r="P178" s="57" t="str">
        <f>IF(Associates_Call_List_PQ!P178="","",Associates_Call_List_PQ!P178)</f>
        <v>N</v>
      </c>
      <c r="Q178" s="57">
        <f>IF(Associates_Call_List_PQ!Q178="","",Associates_Call_List_PQ!Q178)</f>
        <v>45968</v>
      </c>
      <c r="R178" s="57" t="str">
        <f>IF(Associates_Call_List_PQ!R178="","",Associates_Call_List_PQ!R178)</f>
        <v/>
      </c>
      <c r="S178" s="57" t="str">
        <f>IF(Associates_Call_List_PQ!S178="","",Associates_Call_List_PQ!S178)</f>
        <v/>
      </c>
      <c r="T178" s="57" t="str">
        <f>IF(Associates_Call_List_PQ!T178="","",Associates_Call_List_PQ!T178)</f>
        <v/>
      </c>
      <c r="U178" s="57" t="s">
        <v>5557</v>
      </c>
      <c r="V178" s="68" t="s">
        <v>117</v>
      </c>
      <c r="W178" s="68">
        <v>46032</v>
      </c>
      <c r="X178" s="68" t="s">
        <v>5405</v>
      </c>
      <c r="Y178" s="68"/>
      <c r="Z178" s="72" t="s">
        <v>5438</v>
      </c>
    </row>
    <row r="179" spans="1:26">
      <c r="A179" s="71">
        <f>IFERROR(Associates_Call_List_PQ!A179,"")</f>
        <v>45903</v>
      </c>
      <c r="B179" s="57" t="str">
        <f>IF(Associates_Call_List_PQ!B179="","",Associates_Call_List_PQ!B179)</f>
        <v>Rood</v>
      </c>
      <c r="C179" s="57" t="str">
        <f>IF(Associates_Call_List_PQ!C179="","",Associates_Call_List_PQ!C179)</f>
        <v>Elizabeth</v>
      </c>
      <c r="D179" s="57" t="str">
        <f>IF(Associates_Call_List_PQ!D179="","",Associates_Call_List_PQ!D179)</f>
        <v>Glendale</v>
      </c>
      <c r="E179" s="58">
        <f>IF(Associates_Call_List_PQ!E179="","",Associates_Call_List_PQ!E179)</f>
        <v>85308</v>
      </c>
      <c r="F179" s="57" t="str">
        <f>IF(Associates_Call_List_PQ!F179="","",Associates_Call_List_PQ!F179)</f>
        <v>Families struggling</v>
      </c>
      <c r="G179" s="57" t="str">
        <f>IF(Associates_Call_List_PQ!G179="","",Associates_Call_List_PQ!G179)</f>
        <v>https://images.edocket.azcc.gov/docketpdf/E000046190.pdf</v>
      </c>
      <c r="H179" s="59" t="str">
        <f>IF(Associates_Call_List_PQ!H179="","",Associates_Call_List_PQ!H179)</f>
        <v>8707818706 </v>
      </c>
      <c r="I179" s="57" t="str">
        <f>IF(Associates_Call_List_PQ!I179="","",Associates_Call_List_PQ!I179)</f>
        <v>R-XS</v>
      </c>
      <c r="J179" s="57" t="str">
        <f>IF(Associates_Call_List_PQ!J179="","",Associates_Call_List_PQ!J179)</f>
        <v>No</v>
      </c>
      <c r="K179" s="57" t="str">
        <f>IF(Associates_Call_List_PQ!K179="","",Associates_Call_List_PQ!K179)</f>
        <v>No</v>
      </c>
      <c r="L179" s="57" t="str">
        <f>IF(Associates_Call_List_PQ!L179="","",Associates_Call_List_PQ!L179)</f>
        <v>Yes</v>
      </c>
      <c r="M179" s="57" t="str">
        <f>IF(Associates_Call_List_PQ!M179="","",Associates_Call_List_PQ!M179)</f>
        <v>No</v>
      </c>
      <c r="N179" s="57" t="str">
        <f>IF(Associates_Call_List_PQ!N179="","",Associates_Call_List_PQ!N179)</f>
        <v>No</v>
      </c>
      <c r="O179" s="57" t="str">
        <f>IF(Associates_Call_List_PQ!O179="","",Associates_Call_List_PQ!O179)</f>
        <v>Yes</v>
      </c>
      <c r="P179" s="57" t="str">
        <f>IF(Associates_Call_List_PQ!P179="","",Associates_Call_List_PQ!P179)</f>
        <v>N</v>
      </c>
      <c r="Q179" s="57">
        <f>IF(Associates_Call_List_PQ!Q179="","",Associates_Call_List_PQ!Q179)</f>
        <v>45968</v>
      </c>
      <c r="R179" s="57" t="str">
        <f>IF(Associates_Call_List_PQ!R179="","",Associates_Call_List_PQ!R179)</f>
        <v/>
      </c>
      <c r="S179" s="57" t="str">
        <f>IF(Associates_Call_List_PQ!S179="","",Associates_Call_List_PQ!S179)</f>
        <v/>
      </c>
      <c r="T179" s="57" t="str">
        <f>IF(Associates_Call_List_PQ!T179="","",Associates_Call_List_PQ!T179)</f>
        <v/>
      </c>
      <c r="U179" s="57" t="str">
        <f>IF(Associates_Call_List_PQ!U179="","",Associates_Call_List_PQ!U179)</f>
        <v/>
      </c>
      <c r="V179" s="68"/>
      <c r="W179" s="68" t="s">
        <v>5432</v>
      </c>
      <c r="X179" s="68"/>
      <c r="Y179" s="68"/>
      <c r="Z179" s="72"/>
    </row>
    <row r="180" spans="1:26">
      <c r="A180" s="71">
        <f>IFERROR(Associates_Call_List_PQ!A180,"")</f>
        <v>45903</v>
      </c>
      <c r="B180" s="57" t="str">
        <f>IF(Associates_Call_List_PQ!B180="","",Associates_Call_List_PQ!B180)</f>
        <v>Garrick</v>
      </c>
      <c r="C180" s="57" t="str">
        <f>IF(Associates_Call_List_PQ!C180="","",Associates_Call_List_PQ!C180)</f>
        <v>Jacqueline</v>
      </c>
      <c r="D180" s="57" t="str">
        <f>IF(Associates_Call_List_PQ!D180="","",Associates_Call_List_PQ!D180)</f>
        <v>Litchfield Park</v>
      </c>
      <c r="E180" s="58">
        <f>IF(Associates_Call_List_PQ!E180="","",Associates_Call_List_PQ!E180)</f>
        <v>85340</v>
      </c>
      <c r="F180" s="57" t="str">
        <f>IF(Associates_Call_List_PQ!F180="","",Associates_Call_List_PQ!F180)</f>
        <v>Opposed</v>
      </c>
      <c r="G180" s="57" t="str">
        <f>IF(Associates_Call_List_PQ!G180="","",Associates_Call_List_PQ!G180)</f>
        <v>https://images.edocket.azcc.gov/docketpdf/E000046190.pdf</v>
      </c>
      <c r="H180" s="59" t="str">
        <f>IF(Associates_Call_List_PQ!H180="","",Associates_Call_List_PQ!H180)</f>
        <v xml:space="preserve">6218364523 </v>
      </c>
      <c r="I180" s="57" t="str">
        <f>IF(Associates_Call_List_PQ!I180="","",Associates_Call_List_PQ!I180)</f>
        <v>R-XS</v>
      </c>
      <c r="J180" s="57" t="str">
        <f>IF(Associates_Call_List_PQ!J180="","",Associates_Call_List_PQ!J180)</f>
        <v>No</v>
      </c>
      <c r="K180" s="57" t="str">
        <f>IF(Associates_Call_List_PQ!K180="","",Associates_Call_List_PQ!K180)</f>
        <v>No</v>
      </c>
      <c r="L180" s="57" t="str">
        <f>IF(Associates_Call_List_PQ!L180="","",Associates_Call_List_PQ!L180)</f>
        <v>Yes</v>
      </c>
      <c r="M180" s="57" t="str">
        <f>IF(Associates_Call_List_PQ!M180="","",Associates_Call_List_PQ!M180)</f>
        <v>No</v>
      </c>
      <c r="N180" s="57" t="str">
        <f>IF(Associates_Call_List_PQ!N180="","",Associates_Call_List_PQ!N180)</f>
        <v>No</v>
      </c>
      <c r="O180" s="57" t="str">
        <f>IF(Associates_Call_List_PQ!O180="","",Associates_Call_List_PQ!O180)</f>
        <v>Yes</v>
      </c>
      <c r="P180" s="57" t="str">
        <f>IF(Associates_Call_List_PQ!P180="","",Associates_Call_List_PQ!P180)</f>
        <v>N</v>
      </c>
      <c r="Q180" s="57">
        <f>IF(Associates_Call_List_PQ!Q180="","",Associates_Call_List_PQ!Q180)</f>
        <v>45968</v>
      </c>
      <c r="R180" s="57" t="str">
        <f>IF(Associates_Call_List_PQ!R180="","",Associates_Call_List_PQ!R180)</f>
        <v/>
      </c>
      <c r="S180" s="57" t="str">
        <f>IF(Associates_Call_List_PQ!S180="","",Associates_Call_List_PQ!S180)</f>
        <v/>
      </c>
      <c r="T180" s="57" t="str">
        <f>IF(Associates_Call_List_PQ!T180="","",Associates_Call_List_PQ!T180)</f>
        <v/>
      </c>
      <c r="U180" s="57" t="s">
        <v>5558</v>
      </c>
      <c r="V180" s="68" t="s">
        <v>117</v>
      </c>
      <c r="W180" s="68">
        <v>46081</v>
      </c>
      <c r="X180" s="68" t="s">
        <v>5405</v>
      </c>
      <c r="Y180" s="68" t="s">
        <v>5461</v>
      </c>
      <c r="Z180" s="72"/>
    </row>
    <row r="181" spans="1:26">
      <c r="A181" s="71">
        <f>IFERROR(Associates_Call_List_PQ!A181,"")</f>
        <v>45903</v>
      </c>
      <c r="B181" s="57" t="str">
        <f>IF(Associates_Call_List_PQ!B181="","",Associates_Call_List_PQ!B181)</f>
        <v>Priess</v>
      </c>
      <c r="C181" s="57" t="str">
        <f>IF(Associates_Call_List_PQ!C181="","",Associates_Call_List_PQ!C181)</f>
        <v>Felipe</v>
      </c>
      <c r="D181" s="57" t="str">
        <f>IF(Associates_Call_List_PQ!D181="","",Associates_Call_List_PQ!D181)</f>
        <v>Scottsdale</v>
      </c>
      <c r="E181" s="58">
        <f>IF(Associates_Call_List_PQ!E181="","",Associates_Call_List_PQ!E181)</f>
        <v>85255</v>
      </c>
      <c r="F181" s="57" t="str">
        <f>IF(Associates_Call_List_PQ!F181="","",Associates_Call_List_PQ!F181)</f>
        <v>Form letter</v>
      </c>
      <c r="G181" s="57" t="str">
        <f>IF(Associates_Call_List_PQ!G181="","",Associates_Call_List_PQ!G181)</f>
        <v>https://images.edocket.azcc.gov/docketpdf/E000046190.pdf</v>
      </c>
      <c r="H181" s="59" t="str">
        <f>IF(Associates_Call_List_PQ!H181="","",Associates_Call_List_PQ!H181)</f>
        <v>0014802989 </v>
      </c>
      <c r="I181" s="57" t="str">
        <f>IF(Associates_Call_List_PQ!I181="","",Associates_Call_List_PQ!I181)</f>
        <v>R3-47</v>
      </c>
      <c r="J181" s="57" t="str">
        <f>IF(Associates_Call_List_PQ!J181="","",Associates_Call_List_PQ!J181)</f>
        <v>No</v>
      </c>
      <c r="K181" s="57" t="str">
        <f>IF(Associates_Call_List_PQ!K181="","",Associates_Call_List_PQ!K181)</f>
        <v>No</v>
      </c>
      <c r="L181" s="57" t="str">
        <f>IF(Associates_Call_List_PQ!L181="","",Associates_Call_List_PQ!L181)</f>
        <v>Yes</v>
      </c>
      <c r="M181" s="57" t="str">
        <f>IF(Associates_Call_List_PQ!M181="","",Associates_Call_List_PQ!M181)</f>
        <v>No</v>
      </c>
      <c r="N181" s="57" t="str">
        <f>IF(Associates_Call_List_PQ!N181="","",Associates_Call_List_PQ!N181)</f>
        <v>No</v>
      </c>
      <c r="O181" s="57" t="str">
        <f>IF(Associates_Call_List_PQ!O181="","",Associates_Call_List_PQ!O181)</f>
        <v>Yes</v>
      </c>
      <c r="P181" s="57" t="str">
        <f>IF(Associates_Call_List_PQ!P181="","",Associates_Call_List_PQ!P181)</f>
        <v>N</v>
      </c>
      <c r="Q181" s="57">
        <f>IF(Associates_Call_List_PQ!Q181="","",Associates_Call_List_PQ!Q181)</f>
        <v>45968</v>
      </c>
      <c r="R181" s="57" t="str">
        <f>IF(Associates_Call_List_PQ!R181="","",Associates_Call_List_PQ!R181)</f>
        <v/>
      </c>
      <c r="S181" s="57" t="str">
        <f>IF(Associates_Call_List_PQ!S181="","",Associates_Call_List_PQ!S181)</f>
        <v/>
      </c>
      <c r="T181" s="57" t="str">
        <f>IF(Associates_Call_List_PQ!T181="","",Associates_Call_List_PQ!T181)</f>
        <v/>
      </c>
      <c r="U181" s="57" t="str">
        <f>IF(Associates_Call_List_PQ!U181="","",Associates_Call_List_PQ!U181)</f>
        <v/>
      </c>
      <c r="V181" s="68"/>
      <c r="W181" s="68" t="s">
        <v>5432</v>
      </c>
      <c r="X181" s="68"/>
      <c r="Y181" s="68"/>
      <c r="Z181" s="72"/>
    </row>
    <row r="182" spans="1:26">
      <c r="A182" s="71">
        <f>IFERROR(Associates_Call_List_PQ!A182,"")</f>
        <v>45903</v>
      </c>
      <c r="B182" s="57" t="str">
        <f>IF(Associates_Call_List_PQ!B182="","",Associates_Call_List_PQ!B182)</f>
        <v>Meyer</v>
      </c>
      <c r="C182" s="57" t="str">
        <f>IF(Associates_Call_List_PQ!C182="","",Associates_Call_List_PQ!C182)</f>
        <v>Randell</v>
      </c>
      <c r="D182" s="57" t="str">
        <f>IF(Associates_Call_List_PQ!D182="","",Associates_Call_List_PQ!D182)</f>
        <v>Litchfield Park</v>
      </c>
      <c r="E182" s="58">
        <f>IF(Associates_Call_List_PQ!E182="","",Associates_Call_List_PQ!E182)</f>
        <v>85340</v>
      </c>
      <c r="F182" s="57" t="str">
        <f>IF(Associates_Call_List_PQ!F182="","",Associates_Call_List_PQ!F182)</f>
        <v>Opposed to FRM</v>
      </c>
      <c r="G182" s="57" t="str">
        <f>IF(Associates_Call_List_PQ!G182="","",Associates_Call_List_PQ!G182)</f>
        <v>https://images.edocket.azcc.gov/docketpdf/E000046190.pdf</v>
      </c>
      <c r="H182" s="59" t="str">
        <f>IF(Associates_Call_List_PQ!H182="","",Associates_Call_List_PQ!H182)</f>
        <v>8729590000 </v>
      </c>
      <c r="I182" s="57" t="str">
        <f>IF(Associates_Call_List_PQ!I182="","",Associates_Call_List_PQ!I182)</f>
        <v>R3-47</v>
      </c>
      <c r="J182" s="57" t="str">
        <f>IF(Associates_Call_List_PQ!J182="","",Associates_Call_List_PQ!J182)</f>
        <v>No</v>
      </c>
      <c r="K182" s="57" t="str">
        <f>IF(Associates_Call_List_PQ!K182="","",Associates_Call_List_PQ!K182)</f>
        <v>No</v>
      </c>
      <c r="L182" s="57" t="str">
        <f>IF(Associates_Call_List_PQ!L182="","",Associates_Call_List_PQ!L182)</f>
        <v>Yes</v>
      </c>
      <c r="M182" s="57" t="str">
        <f>IF(Associates_Call_List_PQ!M182="","",Associates_Call_List_PQ!M182)</f>
        <v>No</v>
      </c>
      <c r="N182" s="57" t="str">
        <f>IF(Associates_Call_List_PQ!N182="","",Associates_Call_List_PQ!N182)</f>
        <v>No</v>
      </c>
      <c r="O182" s="57" t="str">
        <f>IF(Associates_Call_List_PQ!O182="","",Associates_Call_List_PQ!O182)</f>
        <v>Yes</v>
      </c>
      <c r="P182" s="57" t="str">
        <f>IF(Associates_Call_List_PQ!P182="","",Associates_Call_List_PQ!P182)</f>
        <v>N</v>
      </c>
      <c r="Q182" s="57">
        <f>IF(Associates_Call_List_PQ!Q182="","",Associates_Call_List_PQ!Q182)</f>
        <v>45968</v>
      </c>
      <c r="R182" s="57" t="str">
        <f>IF(Associates_Call_List_PQ!R182="","",Associates_Call_List_PQ!R182)</f>
        <v/>
      </c>
      <c r="S182" s="57" t="str">
        <f>IF(Associates_Call_List_PQ!S182="","",Associates_Call_List_PQ!S182)</f>
        <v/>
      </c>
      <c r="T182" s="57" t="str">
        <f>IF(Associates_Call_List_PQ!T182="","",Associates_Call_List_PQ!T182)</f>
        <v/>
      </c>
      <c r="U182" s="57" t="s">
        <v>5544</v>
      </c>
      <c r="V182" s="68" t="s">
        <v>117</v>
      </c>
      <c r="W182" s="68">
        <v>46081</v>
      </c>
      <c r="X182" s="68" t="s">
        <v>5405</v>
      </c>
      <c r="Y182" s="68"/>
      <c r="Z182" s="72"/>
    </row>
    <row r="183" spans="1:26">
      <c r="A183" s="71">
        <f>IFERROR(Associates_Call_List_PQ!A183,"")</f>
        <v>45903</v>
      </c>
      <c r="B183" s="57" t="str">
        <f>IF(Associates_Call_List_PQ!B183="","",Associates_Call_List_PQ!B183)</f>
        <v>Farmer</v>
      </c>
      <c r="C183" s="57" t="str">
        <f>IF(Associates_Call_List_PQ!C183="","",Associates_Call_List_PQ!C183)</f>
        <v>Eric</v>
      </c>
      <c r="D183" s="57" t="str">
        <f>IF(Associates_Call_List_PQ!D183="","",Associates_Call_List_PQ!D183)</f>
        <v>Glendale</v>
      </c>
      <c r="E183" s="58">
        <f>IF(Associates_Call_List_PQ!E183="","",Associates_Call_List_PQ!E183)</f>
        <v>85301</v>
      </c>
      <c r="F183" s="57" t="str">
        <f>IF(Associates_Call_List_PQ!F183="","",Associates_Call_List_PQ!F183)</f>
        <v>Form letter</v>
      </c>
      <c r="G183" s="57" t="str">
        <f>IF(Associates_Call_List_PQ!G183="","",Associates_Call_List_PQ!G183)</f>
        <v>https://images.edocket.azcc.gov/docketpdf/E000046190.pdf</v>
      </c>
      <c r="H183" s="59" t="str">
        <f>IF(Associates_Call_List_PQ!H183="","",Associates_Call_List_PQ!H183)</f>
        <v>5144511000 </v>
      </c>
      <c r="I183" s="57" t="str">
        <f>IF(Associates_Call_List_PQ!I183="","",Associates_Call_List_PQ!I183)</f>
        <v>RTOUE47</v>
      </c>
      <c r="J183" s="57" t="str">
        <f>IF(Associates_Call_List_PQ!J183="","",Associates_Call_List_PQ!J183)</f>
        <v>No</v>
      </c>
      <c r="K183" s="57" t="str">
        <f>IF(Associates_Call_List_PQ!K183="","",Associates_Call_List_PQ!K183)</f>
        <v>No</v>
      </c>
      <c r="L183" s="57" t="str">
        <f>IF(Associates_Call_List_PQ!L183="","",Associates_Call_List_PQ!L183)</f>
        <v>Yes</v>
      </c>
      <c r="M183" s="57" t="str">
        <f>IF(Associates_Call_List_PQ!M183="","",Associates_Call_List_PQ!M183)</f>
        <v>No</v>
      </c>
      <c r="N183" s="57" t="str">
        <f>IF(Associates_Call_List_PQ!N183="","",Associates_Call_List_PQ!N183)</f>
        <v>No</v>
      </c>
      <c r="O183" s="57" t="str">
        <f>IF(Associates_Call_List_PQ!O183="","",Associates_Call_List_PQ!O183)</f>
        <v>Yes</v>
      </c>
      <c r="P183" s="57" t="str">
        <f>IF(Associates_Call_List_PQ!P183="","",Associates_Call_List_PQ!P183)</f>
        <v>N</v>
      </c>
      <c r="Q183" s="57">
        <f>IF(Associates_Call_List_PQ!Q183="","",Associates_Call_List_PQ!Q183)</f>
        <v>45968</v>
      </c>
      <c r="R183" s="57" t="str">
        <f>IF(Associates_Call_List_PQ!R183="","",Associates_Call_List_PQ!R183)</f>
        <v/>
      </c>
      <c r="S183" s="57" t="str">
        <f>IF(Associates_Call_List_PQ!S183="","",Associates_Call_List_PQ!S183)</f>
        <v/>
      </c>
      <c r="T183" s="57" t="str">
        <f>IF(Associates_Call_List_PQ!T183="","",Associates_Call_List_PQ!T183)</f>
        <v/>
      </c>
      <c r="U183" s="57" t="str">
        <f>IF(Associates_Call_List_PQ!U183="","",Associates_Call_List_PQ!U183)</f>
        <v/>
      </c>
      <c r="V183" s="68"/>
      <c r="W183" s="68" t="s">
        <v>5432</v>
      </c>
      <c r="X183" s="68"/>
      <c r="Y183" s="68"/>
      <c r="Z183" s="72"/>
    </row>
    <row r="184" spans="1:26">
      <c r="A184" s="71">
        <f>IFERROR(Associates_Call_List_PQ!A184,"")</f>
        <v>45903</v>
      </c>
      <c r="B184" s="57" t="str">
        <f>IF(Associates_Call_List_PQ!B184="","",Associates_Call_List_PQ!B184)</f>
        <v>Deleon</v>
      </c>
      <c r="C184" s="57" t="str">
        <f>IF(Associates_Call_List_PQ!C184="","",Associates_Call_List_PQ!C184)</f>
        <v>Doneen</v>
      </c>
      <c r="D184" s="57" t="str">
        <f>IF(Associates_Call_List_PQ!D184="","",Associates_Call_List_PQ!D184)</f>
        <v>Surprise</v>
      </c>
      <c r="E184" s="58">
        <f>IF(Associates_Call_List_PQ!E184="","",Associates_Call_List_PQ!E184)</f>
        <v>85388</v>
      </c>
      <c r="F184" s="57" t="str">
        <f>IF(Associates_Call_List_PQ!F184="","",Associates_Call_List_PQ!F184)</f>
        <v>Form letter</v>
      </c>
      <c r="G184" s="57" t="str">
        <f>IF(Associates_Call_List_PQ!G184="","",Associates_Call_List_PQ!G184)</f>
        <v>https://images.edocket.azcc.gov/docketpdf/E000046190.pdf</v>
      </c>
      <c r="H184" s="59" t="str">
        <f>IF(Associates_Call_List_PQ!H184="","",Associates_Call_List_PQ!H184)</f>
        <v>4233804978 </v>
      </c>
      <c r="I184" s="57" t="str">
        <f>IF(Associates_Call_List_PQ!I184="","",Associates_Call_List_PQ!I184)</f>
        <v>R3-47</v>
      </c>
      <c r="J184" s="57" t="str">
        <f>IF(Associates_Call_List_PQ!J184="","",Associates_Call_List_PQ!J184)</f>
        <v>No</v>
      </c>
      <c r="K184" s="57" t="str">
        <f>IF(Associates_Call_List_PQ!K184="","",Associates_Call_List_PQ!K184)</f>
        <v>No</v>
      </c>
      <c r="L184" s="57" t="str">
        <f>IF(Associates_Call_List_PQ!L184="","",Associates_Call_List_PQ!L184)</f>
        <v>Yes</v>
      </c>
      <c r="M184" s="57" t="str">
        <f>IF(Associates_Call_List_PQ!M184="","",Associates_Call_List_PQ!M184)</f>
        <v>No</v>
      </c>
      <c r="N184" s="57" t="str">
        <f>IF(Associates_Call_List_PQ!N184="","",Associates_Call_List_PQ!N184)</f>
        <v>No</v>
      </c>
      <c r="O184" s="57" t="str">
        <f>IF(Associates_Call_List_PQ!O184="","",Associates_Call_List_PQ!O184)</f>
        <v>Yes</v>
      </c>
      <c r="P184" s="57" t="str">
        <f>IF(Associates_Call_List_PQ!P184="","",Associates_Call_List_PQ!P184)</f>
        <v>N</v>
      </c>
      <c r="Q184" s="57">
        <f>IF(Associates_Call_List_PQ!Q184="","",Associates_Call_List_PQ!Q184)</f>
        <v>45968</v>
      </c>
      <c r="R184" s="57" t="str">
        <f>IF(Associates_Call_List_PQ!R184="","",Associates_Call_List_PQ!R184)</f>
        <v/>
      </c>
      <c r="S184" s="57" t="str">
        <f>IF(Associates_Call_List_PQ!S184="","",Associates_Call_List_PQ!S184)</f>
        <v/>
      </c>
      <c r="T184" s="57" t="str">
        <f>IF(Associates_Call_List_PQ!T184="","",Associates_Call_List_PQ!T184)</f>
        <v/>
      </c>
      <c r="U184" s="57" t="s">
        <v>5514</v>
      </c>
      <c r="V184" s="68" t="s">
        <v>117</v>
      </c>
      <c r="W184" s="68">
        <v>46081</v>
      </c>
      <c r="X184" s="68" t="s">
        <v>5434</v>
      </c>
      <c r="Y184" s="68"/>
      <c r="Z184" s="72"/>
    </row>
    <row r="185" spans="1:26">
      <c r="A185" s="71">
        <f>IFERROR(Associates_Call_List_PQ!A185,"")</f>
        <v>45903</v>
      </c>
      <c r="B185" s="57" t="str">
        <f>IF(Associates_Call_List_PQ!B185="","",Associates_Call_List_PQ!B185)</f>
        <v>Zuniga</v>
      </c>
      <c r="C185" s="57" t="str">
        <f>IF(Associates_Call_List_PQ!C185="","",Associates_Call_List_PQ!C185)</f>
        <v>Dante</v>
      </c>
      <c r="D185" s="57" t="str">
        <f>IF(Associates_Call_List_PQ!D185="","",Associates_Call_List_PQ!D185)</f>
        <v>Glendale</v>
      </c>
      <c r="E185" s="58">
        <f>IF(Associates_Call_List_PQ!E185="","",Associates_Call_List_PQ!E185)</f>
        <v>85301</v>
      </c>
      <c r="F185" s="57" t="str">
        <f>IF(Associates_Call_List_PQ!F185="","",Associates_Call_List_PQ!F185)</f>
        <v>Opposed</v>
      </c>
      <c r="G185" s="57" t="str">
        <f>IF(Associates_Call_List_PQ!G185="","",Associates_Call_List_PQ!G185)</f>
        <v>https://images.edocket.azcc.gov/docketpdf/E000046190.pdf</v>
      </c>
      <c r="H185" s="59" t="str">
        <f>IF(Associates_Call_List_PQ!H185="","",Associates_Call_List_PQ!H185)</f>
        <v xml:space="preserve">3352572159 </v>
      </c>
      <c r="I185" s="57" t="str">
        <f>IF(Associates_Call_List_PQ!I185="","",Associates_Call_List_PQ!I185)</f>
        <v>R-XS</v>
      </c>
      <c r="J185" s="57" t="str">
        <f>IF(Associates_Call_List_PQ!J185="","",Associates_Call_List_PQ!J185)</f>
        <v>No</v>
      </c>
      <c r="K185" s="57" t="str">
        <f>IF(Associates_Call_List_PQ!K185="","",Associates_Call_List_PQ!K185)</f>
        <v>No</v>
      </c>
      <c r="L185" s="57" t="str">
        <f>IF(Associates_Call_List_PQ!L185="","",Associates_Call_List_PQ!L185)</f>
        <v>Yes</v>
      </c>
      <c r="M185" s="57" t="str">
        <f>IF(Associates_Call_List_PQ!M185="","",Associates_Call_List_PQ!M185)</f>
        <v>No</v>
      </c>
      <c r="N185" s="57" t="str">
        <f>IF(Associates_Call_List_PQ!N185="","",Associates_Call_List_PQ!N185)</f>
        <v>No</v>
      </c>
      <c r="O185" s="57" t="str">
        <f>IF(Associates_Call_List_PQ!O185="","",Associates_Call_List_PQ!O185)</f>
        <v>Yes</v>
      </c>
      <c r="P185" s="57" t="str">
        <f>IF(Associates_Call_List_PQ!P185="","",Associates_Call_List_PQ!P185)</f>
        <v>N</v>
      </c>
      <c r="Q185" s="57">
        <f>IF(Associates_Call_List_PQ!Q185="","",Associates_Call_List_PQ!Q185)</f>
        <v>45968</v>
      </c>
      <c r="R185" s="57" t="str">
        <f>IF(Associates_Call_List_PQ!R185="","",Associates_Call_List_PQ!R185)</f>
        <v/>
      </c>
      <c r="S185" s="57" t="str">
        <f>IF(Associates_Call_List_PQ!S185="","",Associates_Call_List_PQ!S185)</f>
        <v/>
      </c>
      <c r="T185" s="57" t="str">
        <f>IF(Associates_Call_List_PQ!T185="","",Associates_Call_List_PQ!T185)</f>
        <v/>
      </c>
      <c r="U185" s="57" t="str">
        <f>IF(Associates_Call_List_PQ!U185="","",Associates_Call_List_PQ!U185)</f>
        <v/>
      </c>
      <c r="V185" s="68"/>
      <c r="W185" s="68" t="s">
        <v>5432</v>
      </c>
      <c r="X185" s="68"/>
      <c r="Y185" s="68"/>
      <c r="Z185" s="72"/>
    </row>
    <row r="186" spans="1:26">
      <c r="A186" s="71">
        <f>IFERROR(Associates_Call_List_PQ!A186,"")</f>
        <v>45903</v>
      </c>
      <c r="B186" s="57" t="str">
        <f>IF(Associates_Call_List_PQ!B186="","",Associates_Call_List_PQ!B186)</f>
        <v>Bambulum</v>
      </c>
      <c r="C186" s="57" t="str">
        <f>IF(Associates_Call_List_PQ!C186="","",Associates_Call_List_PQ!C186)</f>
        <v>Grace</v>
      </c>
      <c r="D186" s="57" t="str">
        <f>IF(Associates_Call_List_PQ!D186="","",Associates_Call_List_PQ!D186)</f>
        <v>Globe</v>
      </c>
      <c r="E186" s="58">
        <f>IF(Associates_Call_List_PQ!E186="","",Associates_Call_List_PQ!E186)</f>
        <v>85501</v>
      </c>
      <c r="F186" s="57" t="str">
        <f>IF(Associates_Call_List_PQ!F186="","",Associates_Call_List_PQ!F186)</f>
        <v>Opposed</v>
      </c>
      <c r="G186" s="57" t="str">
        <f>IF(Associates_Call_List_PQ!G186="","",Associates_Call_List_PQ!G186)</f>
        <v>https://images.edocket.azcc.gov/docketpdf/E000046190.pdf</v>
      </c>
      <c r="H186" s="59" t="str">
        <f>IF(Associates_Call_List_PQ!H186="","",Associates_Call_List_PQ!H186)</f>
        <v>3487507055 </v>
      </c>
      <c r="I186" s="57" t="str">
        <f>IF(Associates_Call_List_PQ!I186="","",Associates_Call_List_PQ!I186)</f>
        <v>RTOUE47</v>
      </c>
      <c r="J186" s="57" t="str">
        <f>IF(Associates_Call_List_PQ!J186="","",Associates_Call_List_PQ!J186)</f>
        <v>No</v>
      </c>
      <c r="K186" s="57" t="str">
        <f>IF(Associates_Call_List_PQ!K186="","",Associates_Call_List_PQ!K186)</f>
        <v>No</v>
      </c>
      <c r="L186" s="57" t="str">
        <f>IF(Associates_Call_List_PQ!L186="","",Associates_Call_List_PQ!L186)</f>
        <v>No MEP R-BASIC ($102.86)</v>
      </c>
      <c r="M186" s="57" t="str">
        <f>IF(Associates_Call_List_PQ!M186="","",Associates_Call_List_PQ!M186)</f>
        <v>No</v>
      </c>
      <c r="N186" s="57" t="str">
        <f>IF(Associates_Call_List_PQ!N186="","",Associates_Call_List_PQ!N186)</f>
        <v>No</v>
      </c>
      <c r="O186" s="57" t="str">
        <f>IF(Associates_Call_List_PQ!O186="","",Associates_Call_List_PQ!O186)</f>
        <v>Yes</v>
      </c>
      <c r="P186" s="57" t="str">
        <f>IF(Associates_Call_List_PQ!P186="","",Associates_Call_List_PQ!P186)</f>
        <v>N</v>
      </c>
      <c r="Q186" s="57">
        <f>IF(Associates_Call_List_PQ!Q186="","",Associates_Call_List_PQ!Q186)</f>
        <v>45968</v>
      </c>
      <c r="R186" s="57" t="str">
        <f>IF(Associates_Call_List_PQ!R186="","",Associates_Call_List_PQ!R186)</f>
        <v/>
      </c>
      <c r="S186" s="57" t="str">
        <f>IF(Associates_Call_List_PQ!S186="","",Associates_Call_List_PQ!S186)</f>
        <v/>
      </c>
      <c r="T186" s="57" t="str">
        <f>IF(Associates_Call_List_PQ!T186="","",Associates_Call_List_PQ!T186)</f>
        <v/>
      </c>
      <c r="U186" s="57" t="s">
        <v>5559</v>
      </c>
      <c r="V186" s="68" t="s">
        <v>117</v>
      </c>
      <c r="W186" s="68">
        <v>46025</v>
      </c>
      <c r="X186" s="68" t="s">
        <v>5434</v>
      </c>
      <c r="Y186" s="68"/>
      <c r="Z186" s="72"/>
    </row>
    <row r="187" spans="1:26">
      <c r="A187" s="71">
        <f>IFERROR(Associates_Call_List_PQ!A187,"")</f>
        <v>45903</v>
      </c>
      <c r="B187" s="57" t="str">
        <f>IF(Associates_Call_List_PQ!B187="","",Associates_Call_List_PQ!B187)</f>
        <v>Gonzalez</v>
      </c>
      <c r="C187" s="57" t="str">
        <f>IF(Associates_Call_List_PQ!C187="","",Associates_Call_List_PQ!C187)</f>
        <v>Kadence</v>
      </c>
      <c r="D187" s="57" t="str">
        <f>IF(Associates_Call_List_PQ!D187="","",Associates_Call_List_PQ!D187)</f>
        <v>Phoenix</v>
      </c>
      <c r="E187" s="58">
        <f>IF(Associates_Call_List_PQ!E187="","",Associates_Call_List_PQ!E187)</f>
        <v>85013</v>
      </c>
      <c r="F187" s="57" t="str">
        <f>IF(Associates_Call_List_PQ!F187="","",Associates_Call_List_PQ!F187)</f>
        <v>Form letter</v>
      </c>
      <c r="G187" s="57" t="str">
        <f>IF(Associates_Call_List_PQ!G187="","",Associates_Call_List_PQ!G187)</f>
        <v>https://images.edocket.azcc.gov/docketpdf/E000046190.pdf</v>
      </c>
      <c r="H187" s="59" t="str">
        <f>IF(Associates_Call_List_PQ!H187="","",Associates_Call_List_PQ!H187)</f>
        <v>1028298226 </v>
      </c>
      <c r="I187" s="57" t="str">
        <f>IF(Associates_Call_List_PQ!I187="","",Associates_Call_List_PQ!I187)</f>
        <v>R-BASIC</v>
      </c>
      <c r="J187" s="57" t="str">
        <f>IF(Associates_Call_List_PQ!J187="","",Associates_Call_List_PQ!J187)</f>
        <v>No</v>
      </c>
      <c r="K187" s="57" t="str">
        <f>IF(Associates_Call_List_PQ!K187="","",Associates_Call_List_PQ!K187)</f>
        <v>No</v>
      </c>
      <c r="L187" s="57" t="str">
        <f>IF(Associates_Call_List_PQ!L187="","",Associates_Call_List_PQ!L187)</f>
        <v>No MEP R3-47($36.09)</v>
      </c>
      <c r="M187" s="57" t="str">
        <f>IF(Associates_Call_List_PQ!M187="","",Associates_Call_List_PQ!M187)</f>
        <v>No</v>
      </c>
      <c r="N187" s="57" t="str">
        <f>IF(Associates_Call_List_PQ!N187="","",Associates_Call_List_PQ!N187)</f>
        <v>No</v>
      </c>
      <c r="O187" s="57" t="str">
        <f>IF(Associates_Call_List_PQ!O187="","",Associates_Call_List_PQ!O187)</f>
        <v>Yes</v>
      </c>
      <c r="P187" s="57" t="str">
        <f>IF(Associates_Call_List_PQ!P187="","",Associates_Call_List_PQ!P187)</f>
        <v>N</v>
      </c>
      <c r="Q187" s="57">
        <f>IF(Associates_Call_List_PQ!Q187="","",Associates_Call_List_PQ!Q187)</f>
        <v>45968</v>
      </c>
      <c r="R187" s="57" t="str">
        <f>IF(Associates_Call_List_PQ!R187="","",Associates_Call_List_PQ!R187)</f>
        <v/>
      </c>
      <c r="S187" s="57" t="str">
        <f>IF(Associates_Call_List_PQ!S187="","",Associates_Call_List_PQ!S187)</f>
        <v/>
      </c>
      <c r="T187" s="57" t="str">
        <f>IF(Associates_Call_List_PQ!T187="","",Associates_Call_List_PQ!T187)</f>
        <v/>
      </c>
      <c r="U187" s="57" t="s">
        <v>5531</v>
      </c>
      <c r="V187" s="68" t="s">
        <v>117</v>
      </c>
      <c r="W187" s="68">
        <v>46018</v>
      </c>
      <c r="X187" s="68" t="s">
        <v>5434</v>
      </c>
      <c r="Y187" s="68"/>
      <c r="Z187" s="72"/>
    </row>
    <row r="188" spans="1:26">
      <c r="A188" s="71">
        <f>IFERROR(Associates_Call_List_PQ!A188,"")</f>
        <v>45903</v>
      </c>
      <c r="B188" s="57" t="str">
        <f>IF(Associates_Call_List_PQ!B188="","",Associates_Call_List_PQ!B188)</f>
        <v>Brown</v>
      </c>
      <c r="C188" s="57" t="str">
        <f>IF(Associates_Call_List_PQ!C188="","",Associates_Call_List_PQ!C188)</f>
        <v>Theodore</v>
      </c>
      <c r="D188" s="57" t="str">
        <f>IF(Associates_Call_List_PQ!D188="","",Associates_Call_List_PQ!D188)</f>
        <v>Goodyear</v>
      </c>
      <c r="E188" s="58">
        <f>IF(Associates_Call_List_PQ!E188="","",Associates_Call_List_PQ!E188)</f>
        <v>85395</v>
      </c>
      <c r="F188" s="57" t="str">
        <f>IF(Associates_Call_List_PQ!F188="","",Associates_Call_List_PQ!F188)</f>
        <v>Opposed</v>
      </c>
      <c r="G188" s="57" t="str">
        <f>IF(Associates_Call_List_PQ!G188="","",Associates_Call_List_PQ!G188)</f>
        <v>https://images.edocket.azcc.gov/docketpdf/E000046190.pdf</v>
      </c>
      <c r="H188" s="59" t="str">
        <f>IF(Associates_Call_List_PQ!H188="","",Associates_Call_List_PQ!H188)</f>
        <v>3000474278 </v>
      </c>
      <c r="I188" s="57" t="str">
        <f>IF(Associates_Call_List_PQ!I188="","",Associates_Call_List_PQ!I188)</f>
        <v>R3-47</v>
      </c>
      <c r="J188" s="57" t="str">
        <f>IF(Associates_Call_List_PQ!J188="","",Associates_Call_List_PQ!J188)</f>
        <v>No</v>
      </c>
      <c r="K188" s="57" t="str">
        <f>IF(Associates_Call_List_PQ!K188="","",Associates_Call_List_PQ!K188)</f>
        <v>No</v>
      </c>
      <c r="L188" s="57" t="str">
        <f>IF(Associates_Call_List_PQ!L188="","",Associates_Call_List_PQ!L188)</f>
        <v>No MEP R-BASIC ($49.11)</v>
      </c>
      <c r="M188" s="57" t="str">
        <f>IF(Associates_Call_List_PQ!M188="","",Associates_Call_List_PQ!M188)</f>
        <v>No</v>
      </c>
      <c r="N188" s="57" t="str">
        <f>IF(Associates_Call_List_PQ!N188="","",Associates_Call_List_PQ!N188)</f>
        <v>No</v>
      </c>
      <c r="O188" s="57" t="str">
        <f>IF(Associates_Call_List_PQ!O188="","",Associates_Call_List_PQ!O188)</f>
        <v>Yes</v>
      </c>
      <c r="P188" s="57" t="str">
        <f>IF(Associates_Call_List_PQ!P188="","",Associates_Call_List_PQ!P188)</f>
        <v>N</v>
      </c>
      <c r="Q188" s="57">
        <f>IF(Associates_Call_List_PQ!Q188="","",Associates_Call_List_PQ!Q188)</f>
        <v>45968</v>
      </c>
      <c r="R188" s="57" t="str">
        <f>IF(Associates_Call_List_PQ!R188="","",Associates_Call_List_PQ!R188)</f>
        <v/>
      </c>
      <c r="S188" s="57" t="str">
        <f>IF(Associates_Call_List_PQ!S188="","",Associates_Call_List_PQ!S188)</f>
        <v/>
      </c>
      <c r="T188" s="57" t="str">
        <f>IF(Associates_Call_List_PQ!T188="","",Associates_Call_List_PQ!T188)</f>
        <v/>
      </c>
      <c r="U188" s="57" t="s">
        <v>5559</v>
      </c>
      <c r="V188" s="68" t="s">
        <v>117</v>
      </c>
      <c r="W188" s="68">
        <v>46025</v>
      </c>
      <c r="X188" s="68" t="s">
        <v>5434</v>
      </c>
      <c r="Y188" s="68"/>
      <c r="Z188" s="72"/>
    </row>
    <row r="189" spans="1:26">
      <c r="A189" s="71">
        <f>IFERROR(Associates_Call_List_PQ!A189,"")</f>
        <v>45903</v>
      </c>
      <c r="B189" s="57" t="str">
        <f>IF(Associates_Call_List_PQ!B189="","",Associates_Call_List_PQ!B189)</f>
        <v>Cherukumilli</v>
      </c>
      <c r="C189" s="57" t="str">
        <f>IF(Associates_Call_List_PQ!C189="","",Associates_Call_List_PQ!C189)</f>
        <v>Kameswar Naveen</v>
      </c>
      <c r="D189" s="57" t="str">
        <f>IF(Associates_Call_List_PQ!D189="","",Associates_Call_List_PQ!D189)</f>
        <v>Peoria</v>
      </c>
      <c r="E189" s="58">
        <f>IF(Associates_Call_List_PQ!E189="","",Associates_Call_List_PQ!E189)</f>
        <v>85383</v>
      </c>
      <c r="F189" s="57" t="str">
        <f>IF(Associates_Call_List_PQ!F189="","",Associates_Call_List_PQ!F189)</f>
        <v>Form letter</v>
      </c>
      <c r="G189" s="57" t="str">
        <f>IF(Associates_Call_List_PQ!G189="","",Associates_Call_List_PQ!G189)</f>
        <v>https://images.edocket.azcc.gov/docketpdf/E000046190.pdf</v>
      </c>
      <c r="H189" s="59" t="str">
        <f>IF(Associates_Call_List_PQ!H189="","",Associates_Call_List_PQ!H189)</f>
        <v>9689247354 </v>
      </c>
      <c r="I189" s="57" t="str">
        <f>IF(Associates_Call_List_PQ!I189="","",Associates_Call_List_PQ!I189)</f>
        <v>R-2</v>
      </c>
      <c r="J189" s="57" t="str">
        <f>IF(Associates_Call_List_PQ!J189="","",Associates_Call_List_PQ!J189)</f>
        <v>No</v>
      </c>
      <c r="K189" s="57" t="str">
        <f>IF(Associates_Call_List_PQ!K189="","",Associates_Call_List_PQ!K189)</f>
        <v>No</v>
      </c>
      <c r="L189" s="57" t="str">
        <f>IF(Associates_Call_List_PQ!L189="","",Associates_Call_List_PQ!L189)</f>
        <v>Frozen Rate</v>
      </c>
      <c r="M189" s="57" t="str">
        <f>IF(Associates_Call_List_PQ!M189="","",Associates_Call_List_PQ!M189)</f>
        <v>No</v>
      </c>
      <c r="N189" s="57" t="str">
        <f>IF(Associates_Call_List_PQ!N189="","",Associates_Call_List_PQ!N189)</f>
        <v>No</v>
      </c>
      <c r="O189" s="57" t="str">
        <f>IF(Associates_Call_List_PQ!O189="","",Associates_Call_List_PQ!O189)</f>
        <v>Yes</v>
      </c>
      <c r="P189" s="57" t="str">
        <f>IF(Associates_Call_List_PQ!P189="","",Associates_Call_List_PQ!P189)</f>
        <v>N</v>
      </c>
      <c r="Q189" s="57">
        <f>IF(Associates_Call_List_PQ!Q189="","",Associates_Call_List_PQ!Q189)</f>
        <v>45968</v>
      </c>
      <c r="R189" s="57" t="str">
        <f>IF(Associates_Call_List_PQ!R189="","",Associates_Call_List_PQ!R189)</f>
        <v/>
      </c>
      <c r="S189" s="57" t="str">
        <f>IF(Associates_Call_List_PQ!S189="","",Associates_Call_List_PQ!S189)</f>
        <v/>
      </c>
      <c r="T189" s="57" t="str">
        <f>IF(Associates_Call_List_PQ!T189="","",Associates_Call_List_PQ!T189)</f>
        <v/>
      </c>
      <c r="U189" s="57" t="str">
        <f>IF(Associates_Call_List_PQ!U189="","",Associates_Call_List_PQ!U189)</f>
        <v/>
      </c>
      <c r="V189" s="68"/>
      <c r="W189" s="68" t="s">
        <v>5432</v>
      </c>
      <c r="X189" s="68"/>
      <c r="Y189" s="68"/>
      <c r="Z189" s="72"/>
    </row>
    <row r="190" spans="1:26">
      <c r="A190" s="71">
        <f>IFERROR(Associates_Call_List_PQ!A190,"")</f>
        <v>45903</v>
      </c>
      <c r="B190" s="57" t="str">
        <f>IF(Associates_Call_List_PQ!B190="","",Associates_Call_List_PQ!B190)</f>
        <v>Clasby</v>
      </c>
      <c r="C190" s="57" t="str">
        <f>IF(Associates_Call_List_PQ!C190="","",Associates_Call_List_PQ!C190)</f>
        <v>Brendan</v>
      </c>
      <c r="D190" s="57" t="str">
        <f>IF(Associates_Call_List_PQ!D190="","",Associates_Call_List_PQ!D190)</f>
        <v>Phoenix</v>
      </c>
      <c r="E190" s="58">
        <f>IF(Associates_Call_List_PQ!E190="","",Associates_Call_List_PQ!E190)</f>
        <v>85083</v>
      </c>
      <c r="F190" s="57" t="str">
        <f>IF(Associates_Call_List_PQ!F190="","",Associates_Call_List_PQ!F190)</f>
        <v>Opposed</v>
      </c>
      <c r="G190" s="57" t="str">
        <f>IF(Associates_Call_List_PQ!G190="","",Associates_Call_List_PQ!G190)</f>
        <v>https://images.edocket.azcc.gov/docketpdf/E000046190.pdf</v>
      </c>
      <c r="H190" s="59" t="str">
        <f>IF(Associates_Call_List_PQ!H190="","",Associates_Call_List_PQ!H190)</f>
        <v>4535728753 </v>
      </c>
      <c r="I190" s="57" t="str">
        <f>IF(Associates_Call_List_PQ!I190="","",Associates_Call_List_PQ!I190)</f>
        <v>R-XS</v>
      </c>
      <c r="J190" s="57" t="str">
        <f>IF(Associates_Call_List_PQ!J190="","",Associates_Call_List_PQ!J190)</f>
        <v>No</v>
      </c>
      <c r="K190" s="57" t="str">
        <f>IF(Associates_Call_List_PQ!K190="","",Associates_Call_List_PQ!K190)</f>
        <v>No</v>
      </c>
      <c r="L190" s="57" t="str">
        <f>IF(Associates_Call_List_PQ!L190="","",Associates_Call_List_PQ!L190)</f>
        <v>Not eligible yet (needs 3 months)</v>
      </c>
      <c r="M190" s="57" t="str">
        <f>IF(Associates_Call_List_PQ!M190="","",Associates_Call_List_PQ!M190)</f>
        <v>No</v>
      </c>
      <c r="N190" s="57" t="str">
        <f>IF(Associates_Call_List_PQ!N190="","",Associates_Call_List_PQ!N190)</f>
        <v>No</v>
      </c>
      <c r="O190" s="57" t="str">
        <f>IF(Associates_Call_List_PQ!O190="","",Associates_Call_List_PQ!O190)</f>
        <v>Yes</v>
      </c>
      <c r="P190" s="57" t="str">
        <f>IF(Associates_Call_List_PQ!P190="","",Associates_Call_List_PQ!P190)</f>
        <v>N</v>
      </c>
      <c r="Q190" s="57">
        <f>IF(Associates_Call_List_PQ!Q190="","",Associates_Call_List_PQ!Q190)</f>
        <v>45968</v>
      </c>
      <c r="R190" s="57" t="str">
        <f>IF(Associates_Call_List_PQ!R190="","",Associates_Call_List_PQ!R190)</f>
        <v/>
      </c>
      <c r="S190" s="57" t="str">
        <f>IF(Associates_Call_List_PQ!S190="","",Associates_Call_List_PQ!S190)</f>
        <v/>
      </c>
      <c r="T190" s="57" t="str">
        <f>IF(Associates_Call_List_PQ!T190="","",Associates_Call_List_PQ!T190)</f>
        <v/>
      </c>
      <c r="U190" s="57" t="s">
        <v>5509</v>
      </c>
      <c r="V190" s="68" t="s">
        <v>117</v>
      </c>
      <c r="W190" s="68">
        <v>46053</v>
      </c>
      <c r="X190" s="68" t="s">
        <v>5434</v>
      </c>
      <c r="Y190" s="68"/>
      <c r="Z190" s="72"/>
    </row>
    <row r="191" spans="1:26">
      <c r="A191" s="71">
        <f>IFERROR(Associates_Call_List_PQ!A191,"")</f>
        <v>45903</v>
      </c>
      <c r="B191" s="57" t="str">
        <f>IF(Associates_Call_List_PQ!B191="","",Associates_Call_List_PQ!B191)</f>
        <v>Roy</v>
      </c>
      <c r="C191" s="57" t="str">
        <f>IF(Associates_Call_List_PQ!C191="","",Associates_Call_List_PQ!C191)</f>
        <v>Jackson</v>
      </c>
      <c r="D191" s="57" t="str">
        <f>IF(Associates_Call_List_PQ!D191="","",Associates_Call_List_PQ!D191)</f>
        <v>Phoenix</v>
      </c>
      <c r="E191" s="58">
        <f>IF(Associates_Call_List_PQ!E191="","",Associates_Call_List_PQ!E191)</f>
        <v>85014</v>
      </c>
      <c r="F191" s="57" t="str">
        <f>IF(Associates_Call_List_PQ!F191="","",Associates_Call_List_PQ!F191)</f>
        <v>Form letter</v>
      </c>
      <c r="G191" s="57" t="str">
        <f>IF(Associates_Call_List_PQ!G191="","",Associates_Call_List_PQ!G191)</f>
        <v>https://images.edocket.azcc.gov/docketpdf/E000046190.pdf</v>
      </c>
      <c r="H191" s="59" t="str">
        <f>IF(Associates_Call_List_PQ!H191="","",Associates_Call_List_PQ!H191)</f>
        <v>6477491967 </v>
      </c>
      <c r="I191" s="57" t="str">
        <f>IF(Associates_Call_List_PQ!I191="","",Associates_Call_List_PQ!I191)</f>
        <v>R-XS</v>
      </c>
      <c r="J191" s="57" t="str">
        <f>IF(Associates_Call_List_PQ!J191="","",Associates_Call_List_PQ!J191)</f>
        <v>No</v>
      </c>
      <c r="K191" s="57" t="str">
        <f>IF(Associates_Call_List_PQ!K191="","",Associates_Call_List_PQ!K191)</f>
        <v>No</v>
      </c>
      <c r="L191" s="57" t="str">
        <f>IF(Associates_Call_List_PQ!L191="","",Associates_Call_List_PQ!L191)</f>
        <v>Yes</v>
      </c>
      <c r="M191" s="57" t="str">
        <f>IF(Associates_Call_List_PQ!M191="","",Associates_Call_List_PQ!M191)</f>
        <v>No</v>
      </c>
      <c r="N191" s="57" t="str">
        <f>IF(Associates_Call_List_PQ!N191="","",Associates_Call_List_PQ!N191)</f>
        <v>No</v>
      </c>
      <c r="O191" s="57" t="str">
        <f>IF(Associates_Call_List_PQ!O191="","",Associates_Call_List_PQ!O191)</f>
        <v>Yes</v>
      </c>
      <c r="P191" s="57" t="str">
        <f>IF(Associates_Call_List_PQ!P191="","",Associates_Call_List_PQ!P191)</f>
        <v>N</v>
      </c>
      <c r="Q191" s="57">
        <f>IF(Associates_Call_List_PQ!Q191="","",Associates_Call_List_PQ!Q191)</f>
        <v>45968</v>
      </c>
      <c r="R191" s="57" t="str">
        <f>IF(Associates_Call_List_PQ!R191="","",Associates_Call_List_PQ!R191)</f>
        <v/>
      </c>
      <c r="S191" s="57" t="str">
        <f>IF(Associates_Call_List_PQ!S191="","",Associates_Call_List_PQ!S191)</f>
        <v/>
      </c>
      <c r="T191" s="57" t="str">
        <f>IF(Associates_Call_List_PQ!T191="","",Associates_Call_List_PQ!T191)</f>
        <v/>
      </c>
      <c r="U191" s="57" t="str">
        <f>IF(Associates_Call_List_PQ!U191="","",Associates_Call_List_PQ!U191)</f>
        <v/>
      </c>
      <c r="V191" s="68"/>
      <c r="W191" s="68" t="s">
        <v>5432</v>
      </c>
      <c r="X191" s="68"/>
      <c r="Y191" s="68"/>
      <c r="Z191" s="72"/>
    </row>
    <row r="192" spans="1:26">
      <c r="A192" s="71">
        <f>IFERROR(Associates_Call_List_PQ!A192,"")</f>
        <v>45903</v>
      </c>
      <c r="B192" s="57" t="str">
        <f>IF(Associates_Call_List_PQ!B192="","",Associates_Call_List_PQ!B192)</f>
        <v>Pranesh</v>
      </c>
      <c r="C192" s="57" t="str">
        <f>IF(Associates_Call_List_PQ!C192="","",Associates_Call_List_PQ!C192)</f>
        <v>Vinay</v>
      </c>
      <c r="D192" s="57" t="str">
        <f>IF(Associates_Call_List_PQ!D192="","",Associates_Call_List_PQ!D192)</f>
        <v>Peoria</v>
      </c>
      <c r="E192" s="58">
        <f>IF(Associates_Call_List_PQ!E192="","",Associates_Call_List_PQ!E192)</f>
        <v>85382</v>
      </c>
      <c r="F192" s="57" t="str">
        <f>IF(Associates_Call_List_PQ!F192="","",Associates_Call_List_PQ!F192)</f>
        <v>Form letter</v>
      </c>
      <c r="G192" s="57" t="str">
        <f>IF(Associates_Call_List_PQ!G192="","",Associates_Call_List_PQ!G192)</f>
        <v>https://images.edocket.azcc.gov/docketpdf/E000046190.pdf</v>
      </c>
      <c r="H192" s="59" t="str">
        <f>IF(Associates_Call_List_PQ!H192="","",Associates_Call_List_PQ!H192)</f>
        <v xml:space="preserve">0487982450 </v>
      </c>
      <c r="I192" s="57" t="str">
        <f>IF(Associates_Call_List_PQ!I192="","",Associates_Call_List_PQ!I192)</f>
        <v>R3-47</v>
      </c>
      <c r="J192" s="57" t="str">
        <f>IF(Associates_Call_List_PQ!J192="","",Associates_Call_List_PQ!J192)</f>
        <v>No</v>
      </c>
      <c r="K192" s="57" t="str">
        <f>IF(Associates_Call_List_PQ!K192="","",Associates_Call_List_PQ!K192)</f>
        <v>No</v>
      </c>
      <c r="L192" s="57" t="str">
        <f>IF(Associates_Call_List_PQ!L192="","",Associates_Call_List_PQ!L192)</f>
        <v>No MEP R-BASIC ($95.94)</v>
      </c>
      <c r="M192" s="57" t="str">
        <f>IF(Associates_Call_List_PQ!M192="","",Associates_Call_List_PQ!M192)</f>
        <v>No</v>
      </c>
      <c r="N192" s="57" t="str">
        <f>IF(Associates_Call_List_PQ!N192="","",Associates_Call_List_PQ!N192)</f>
        <v>No</v>
      </c>
      <c r="O192" s="57" t="str">
        <f>IF(Associates_Call_List_PQ!O192="","",Associates_Call_List_PQ!O192)</f>
        <v>Yes</v>
      </c>
      <c r="P192" s="57" t="str">
        <f>IF(Associates_Call_List_PQ!P192="","",Associates_Call_List_PQ!P192)</f>
        <v>N</v>
      </c>
      <c r="Q192" s="57">
        <f>IF(Associates_Call_List_PQ!Q192="","",Associates_Call_List_PQ!Q192)</f>
        <v>45968</v>
      </c>
      <c r="R192" s="57" t="str">
        <f>IF(Associates_Call_List_PQ!R192="","",Associates_Call_List_PQ!R192)</f>
        <v/>
      </c>
      <c r="S192" s="57" t="str">
        <f>IF(Associates_Call_List_PQ!S192="","",Associates_Call_List_PQ!S192)</f>
        <v/>
      </c>
      <c r="T192" s="57" t="str">
        <f>IF(Associates_Call_List_PQ!T192="","",Associates_Call_List_PQ!T192)</f>
        <v/>
      </c>
      <c r="U192" s="57" t="s">
        <v>5560</v>
      </c>
      <c r="V192" s="68" t="s">
        <v>117</v>
      </c>
      <c r="W192" s="68">
        <v>46025</v>
      </c>
      <c r="X192" s="68" t="s">
        <v>5434</v>
      </c>
      <c r="Y192" s="68"/>
      <c r="Z192" s="72"/>
    </row>
    <row r="193" spans="1:26">
      <c r="A193" s="71">
        <f>IFERROR(Associates_Call_List_PQ!A193,"")</f>
        <v>45903</v>
      </c>
      <c r="B193" s="57" t="str">
        <f>IF(Associates_Call_List_PQ!B193="","",Associates_Call_List_PQ!B193)</f>
        <v>Cunico</v>
      </c>
      <c r="C193" s="57" t="str">
        <f>IF(Associates_Call_List_PQ!C193="","",Associates_Call_List_PQ!C193)</f>
        <v>Shayla</v>
      </c>
      <c r="D193" s="57" t="str">
        <f>IF(Associates_Call_List_PQ!D193="","",Associates_Call_List_PQ!D193)</f>
        <v>Scottsdale</v>
      </c>
      <c r="E193" s="58">
        <f>IF(Associates_Call_List_PQ!E193="","",Associates_Call_List_PQ!E193)</f>
        <v>85251</v>
      </c>
      <c r="F193" s="57" t="str">
        <f>IF(Associates_Call_List_PQ!F193="","",Associates_Call_List_PQ!F193)</f>
        <v>Form letter</v>
      </c>
      <c r="G193" s="57" t="str">
        <f>IF(Associates_Call_List_PQ!G193="","",Associates_Call_List_PQ!G193)</f>
        <v>https://images.edocket.azcc.gov/docketpdf/E000046190.pdf</v>
      </c>
      <c r="H193" s="59" t="str">
        <f>IF(Associates_Call_List_PQ!H193="","",Associates_Call_List_PQ!H193)</f>
        <v>1080436652 </v>
      </c>
      <c r="I193" s="57" t="str">
        <f>IF(Associates_Call_List_PQ!I193="","",Associates_Call_List_PQ!I193)</f>
        <v>R-XS</v>
      </c>
      <c r="J193" s="57" t="str">
        <f>IF(Associates_Call_List_PQ!J193="","",Associates_Call_List_PQ!J193)</f>
        <v>No</v>
      </c>
      <c r="K193" s="57" t="str">
        <f>IF(Associates_Call_List_PQ!K193="","",Associates_Call_List_PQ!K193)</f>
        <v>No</v>
      </c>
      <c r="L193" s="57" t="str">
        <f>IF(Associates_Call_List_PQ!L193="","",Associates_Call_List_PQ!L193)</f>
        <v>Yes</v>
      </c>
      <c r="M193" s="57" t="str">
        <f>IF(Associates_Call_List_PQ!M193="","",Associates_Call_List_PQ!M193)</f>
        <v>No</v>
      </c>
      <c r="N193" s="57" t="str">
        <f>IF(Associates_Call_List_PQ!N193="","",Associates_Call_List_PQ!N193)</f>
        <v>No</v>
      </c>
      <c r="O193" s="57" t="str">
        <f>IF(Associates_Call_List_PQ!O193="","",Associates_Call_List_PQ!O193)</f>
        <v>Yes</v>
      </c>
      <c r="P193" s="57" t="str">
        <f>IF(Associates_Call_List_PQ!P193="","",Associates_Call_List_PQ!P193)</f>
        <v>N</v>
      </c>
      <c r="Q193" s="57">
        <f>IF(Associates_Call_List_PQ!Q193="","",Associates_Call_List_PQ!Q193)</f>
        <v>45968</v>
      </c>
      <c r="R193" s="57" t="str">
        <f>IF(Associates_Call_List_PQ!R193="","",Associates_Call_List_PQ!R193)</f>
        <v/>
      </c>
      <c r="S193" s="57" t="str">
        <f>IF(Associates_Call_List_PQ!S193="","",Associates_Call_List_PQ!S193)</f>
        <v/>
      </c>
      <c r="T193" s="57" t="str">
        <f>IF(Associates_Call_List_PQ!T193="","",Associates_Call_List_PQ!T193)</f>
        <v/>
      </c>
      <c r="U193" s="57" t="str">
        <f>IF(Associates_Call_List_PQ!U193="","",Associates_Call_List_PQ!U193)</f>
        <v/>
      </c>
      <c r="V193" s="68"/>
      <c r="W193" s="68" t="s">
        <v>5432</v>
      </c>
      <c r="X193" s="68"/>
      <c r="Y193" s="68"/>
      <c r="Z193" s="72"/>
    </row>
    <row r="194" spans="1:26">
      <c r="A194" s="71">
        <f>IFERROR(Associates_Call_List_PQ!A194,"")</f>
        <v>45903</v>
      </c>
      <c r="B194" s="57" t="str">
        <f>IF(Associates_Call_List_PQ!B194="","",Associates_Call_List_PQ!B194)</f>
        <v>Castre</v>
      </c>
      <c r="C194" s="57" t="str">
        <f>IF(Associates_Call_List_PQ!C194="","",Associates_Call_List_PQ!C194)</f>
        <v>Ryan</v>
      </c>
      <c r="D194" s="57" t="str">
        <f>IF(Associates_Call_List_PQ!D194="","",Associates_Call_List_PQ!D194)</f>
        <v>Phoenix</v>
      </c>
      <c r="E194" s="58">
        <f>IF(Associates_Call_List_PQ!E194="","",Associates_Call_List_PQ!E194)</f>
        <v>85016</v>
      </c>
      <c r="F194" s="57" t="str">
        <f>IF(Associates_Call_List_PQ!F194="","",Associates_Call_List_PQ!F194)</f>
        <v>Form letter</v>
      </c>
      <c r="G194" s="57" t="str">
        <f>IF(Associates_Call_List_PQ!G194="","",Associates_Call_List_PQ!G194)</f>
        <v>https://images.edocket.azcc.gov/docketpdf/E000046190.pdf</v>
      </c>
      <c r="H194" s="59" t="str">
        <f>IF(Associates_Call_List_PQ!H194="","",Associates_Call_List_PQ!H194)</f>
        <v>9868570000 </v>
      </c>
      <c r="I194" s="57" t="str">
        <f>IF(Associates_Call_List_PQ!I194="","",Associates_Call_List_PQ!I194)</f>
        <v>R-BASIC</v>
      </c>
      <c r="J194" s="57" t="str">
        <f>IF(Associates_Call_List_PQ!J194="","",Associates_Call_List_PQ!J194)</f>
        <v>No</v>
      </c>
      <c r="K194" s="57" t="str">
        <f>IF(Associates_Call_List_PQ!K194="","",Associates_Call_List_PQ!K194)</f>
        <v>No</v>
      </c>
      <c r="L194" s="57" t="str">
        <f>IF(Associates_Call_List_PQ!L194="","",Associates_Call_List_PQ!L194)</f>
        <v>No MEP R3-47($63.87)</v>
      </c>
      <c r="M194" s="57" t="str">
        <f>IF(Associates_Call_List_PQ!M194="","",Associates_Call_List_PQ!M194)</f>
        <v>No</v>
      </c>
      <c r="N194" s="57" t="str">
        <f>IF(Associates_Call_List_PQ!N194="","",Associates_Call_List_PQ!N194)</f>
        <v>No</v>
      </c>
      <c r="O194" s="57" t="str">
        <f>IF(Associates_Call_List_PQ!O194="","",Associates_Call_List_PQ!O194)</f>
        <v>Yes</v>
      </c>
      <c r="P194" s="57" t="str">
        <f>IF(Associates_Call_List_PQ!P194="","",Associates_Call_List_PQ!P194)</f>
        <v>N</v>
      </c>
      <c r="Q194" s="57">
        <f>IF(Associates_Call_List_PQ!Q194="","",Associates_Call_List_PQ!Q194)</f>
        <v>45968</v>
      </c>
      <c r="R194" s="57" t="str">
        <f>IF(Associates_Call_List_PQ!R194="","",Associates_Call_List_PQ!R194)</f>
        <v/>
      </c>
      <c r="S194" s="57" t="str">
        <f>IF(Associates_Call_List_PQ!S194="","",Associates_Call_List_PQ!S194)</f>
        <v/>
      </c>
      <c r="T194" s="57" t="str">
        <f>IF(Associates_Call_List_PQ!T194="","",Associates_Call_List_PQ!T194)</f>
        <v/>
      </c>
      <c r="U194" s="57" t="s">
        <v>5509</v>
      </c>
      <c r="V194" s="68" t="s">
        <v>117</v>
      </c>
      <c r="W194" s="68">
        <v>46025</v>
      </c>
      <c r="X194" s="68" t="s">
        <v>5434</v>
      </c>
      <c r="Y194" s="68"/>
      <c r="Z194" s="72"/>
    </row>
    <row r="195" spans="1:26">
      <c r="A195" s="71">
        <f>IFERROR(Associates_Call_List_PQ!A195,"")</f>
        <v>45903</v>
      </c>
      <c r="B195" s="57" t="str">
        <f>IF(Associates_Call_List_PQ!B195="","",Associates_Call_List_PQ!B195)</f>
        <v>Waterman</v>
      </c>
      <c r="C195" s="57" t="str">
        <f>IF(Associates_Call_List_PQ!C195="","",Associates_Call_List_PQ!C195)</f>
        <v>Jade</v>
      </c>
      <c r="D195" s="57" t="str">
        <f>IF(Associates_Call_List_PQ!D195="","",Associates_Call_List_PQ!D195)</f>
        <v>Phoenix</v>
      </c>
      <c r="E195" s="58">
        <f>IF(Associates_Call_List_PQ!E195="","",Associates_Call_List_PQ!E195)</f>
        <v>85013</v>
      </c>
      <c r="F195" s="57" t="str">
        <f>IF(Associates_Call_List_PQ!F195="","",Associates_Call_List_PQ!F195)</f>
        <v>Form letter</v>
      </c>
      <c r="G195" s="57" t="str">
        <f>IF(Associates_Call_List_PQ!G195="","",Associates_Call_List_PQ!G195)</f>
        <v>https://images.edocket.azcc.gov/docketpdf/E000046190.pdf</v>
      </c>
      <c r="H195" s="59" t="str">
        <f>IF(Associates_Call_List_PQ!H195="","",Associates_Call_List_PQ!H195)</f>
        <v>9812684449 </v>
      </c>
      <c r="I195" s="57" t="str">
        <f>IF(Associates_Call_List_PQ!I195="","",Associates_Call_List_PQ!I195)</f>
        <v>R-XS</v>
      </c>
      <c r="J195" s="57" t="str">
        <f>IF(Associates_Call_List_PQ!J195="","",Associates_Call_List_PQ!J195)</f>
        <v>No</v>
      </c>
      <c r="K195" s="57" t="str">
        <f>IF(Associates_Call_List_PQ!K195="","",Associates_Call_List_PQ!K195)</f>
        <v>No</v>
      </c>
      <c r="L195" s="57" t="str">
        <f>IF(Associates_Call_List_PQ!L195="","",Associates_Call_List_PQ!L195)</f>
        <v>Yes</v>
      </c>
      <c r="M195" s="57" t="str">
        <f>IF(Associates_Call_List_PQ!M195="","",Associates_Call_List_PQ!M195)</f>
        <v>No</v>
      </c>
      <c r="N195" s="57" t="str">
        <f>IF(Associates_Call_List_PQ!N195="","",Associates_Call_List_PQ!N195)</f>
        <v>No</v>
      </c>
      <c r="O195" s="57" t="str">
        <f>IF(Associates_Call_List_PQ!O195="","",Associates_Call_List_PQ!O195)</f>
        <v>Yes</v>
      </c>
      <c r="P195" s="57" t="str">
        <f>IF(Associates_Call_List_PQ!P195="","",Associates_Call_List_PQ!P195)</f>
        <v>N</v>
      </c>
      <c r="Q195" s="57">
        <f>IF(Associates_Call_List_PQ!Q195="","",Associates_Call_List_PQ!Q195)</f>
        <v>45968</v>
      </c>
      <c r="R195" s="57" t="str">
        <f>IF(Associates_Call_List_PQ!R195="","",Associates_Call_List_PQ!R195)</f>
        <v/>
      </c>
      <c r="S195" s="57" t="str">
        <f>IF(Associates_Call_List_PQ!S195="","",Associates_Call_List_PQ!S195)</f>
        <v/>
      </c>
      <c r="T195" s="57" t="str">
        <f>IF(Associates_Call_List_PQ!T195="","",Associates_Call_List_PQ!T195)</f>
        <v/>
      </c>
      <c r="U195" s="57" t="str">
        <f>IF(Associates_Call_List_PQ!U195="","",Associates_Call_List_PQ!U195)</f>
        <v/>
      </c>
      <c r="V195" s="68"/>
      <c r="W195" s="68" t="s">
        <v>5432</v>
      </c>
      <c r="X195" s="68"/>
      <c r="Y195" s="68"/>
      <c r="Z195" s="72"/>
    </row>
    <row r="196" spans="1:26">
      <c r="A196" s="71">
        <f>IFERROR(Associates_Call_List_PQ!A196,"")</f>
        <v>45903</v>
      </c>
      <c r="B196" s="57" t="str">
        <f>IF(Associates_Call_List_PQ!B196="","",Associates_Call_List_PQ!B196)</f>
        <v>Rumery</v>
      </c>
      <c r="C196" s="57" t="str">
        <f>IF(Associates_Call_List_PQ!C196="","",Associates_Call_List_PQ!C196)</f>
        <v>Ashlee</v>
      </c>
      <c r="D196" s="57" t="str">
        <f>IF(Associates_Call_List_PQ!D196="","",Associates_Call_List_PQ!D196)</f>
        <v>Phoenix</v>
      </c>
      <c r="E196" s="58">
        <f>IF(Associates_Call_List_PQ!E196="","",Associates_Call_List_PQ!E196)</f>
        <v>85028</v>
      </c>
      <c r="F196" s="57" t="str">
        <f>IF(Associates_Call_List_PQ!F196="","",Associates_Call_List_PQ!F196)</f>
        <v>Form letter</v>
      </c>
      <c r="G196" s="57" t="str">
        <f>IF(Associates_Call_List_PQ!G196="","",Associates_Call_List_PQ!G196)</f>
        <v>https://images.edocket.azcc.gov/docketpdf/E000046190.pdf</v>
      </c>
      <c r="H196" s="59" t="str">
        <f>IF(Associates_Call_List_PQ!H196="","",Associates_Call_List_PQ!H196)</f>
        <v>7263223413 </v>
      </c>
      <c r="I196" s="57" t="str">
        <f>IF(Associates_Call_List_PQ!I196="","",Associates_Call_List_PQ!I196)</f>
        <v>RTOUE47</v>
      </c>
      <c r="J196" s="57" t="str">
        <f>IF(Associates_Call_List_PQ!J196="","",Associates_Call_List_PQ!J196)</f>
        <v>No</v>
      </c>
      <c r="K196" s="57" t="str">
        <f>IF(Associates_Call_List_PQ!K196="","",Associates_Call_List_PQ!K196)</f>
        <v>No</v>
      </c>
      <c r="L196" s="57" t="str">
        <f>IF(Associates_Call_List_PQ!L196="","",Associates_Call_List_PQ!L196)</f>
        <v>No MEP R3-47($20.52)</v>
      </c>
      <c r="M196" s="57" t="str">
        <f>IF(Associates_Call_List_PQ!M196="","",Associates_Call_List_PQ!M196)</f>
        <v>No</v>
      </c>
      <c r="N196" s="57" t="str">
        <f>IF(Associates_Call_List_PQ!N196="","",Associates_Call_List_PQ!N196)</f>
        <v>No</v>
      </c>
      <c r="O196" s="57" t="str">
        <f>IF(Associates_Call_List_PQ!O196="","",Associates_Call_List_PQ!O196)</f>
        <v>Yes</v>
      </c>
      <c r="P196" s="57" t="str">
        <f>IF(Associates_Call_List_PQ!P196="","",Associates_Call_List_PQ!P196)</f>
        <v>N</v>
      </c>
      <c r="Q196" s="57">
        <f>IF(Associates_Call_List_PQ!Q196="","",Associates_Call_List_PQ!Q196)</f>
        <v>45968</v>
      </c>
      <c r="R196" s="57" t="str">
        <f>IF(Associates_Call_List_PQ!R196="","",Associates_Call_List_PQ!R196)</f>
        <v/>
      </c>
      <c r="S196" s="57" t="str">
        <f>IF(Associates_Call_List_PQ!S196="","",Associates_Call_List_PQ!S196)</f>
        <v/>
      </c>
      <c r="T196" s="57" t="str">
        <f>IF(Associates_Call_List_PQ!T196="","",Associates_Call_List_PQ!T196)</f>
        <v/>
      </c>
      <c r="U196" s="57" t="s">
        <v>5561</v>
      </c>
      <c r="V196" s="68" t="s">
        <v>117</v>
      </c>
      <c r="W196" s="68">
        <v>46025</v>
      </c>
      <c r="X196" s="68" t="s">
        <v>5405</v>
      </c>
      <c r="Y196" s="68"/>
      <c r="Z196" s="72"/>
    </row>
    <row r="197" spans="1:26">
      <c r="A197" s="71">
        <f>IFERROR(Associates_Call_List_PQ!A197,"")</f>
        <v>45903</v>
      </c>
      <c r="B197" s="57" t="str">
        <f>IF(Associates_Call_List_PQ!B197="","",Associates_Call_List_PQ!B197)</f>
        <v>Tobey</v>
      </c>
      <c r="C197" s="57" t="str">
        <f>IF(Associates_Call_List_PQ!C197="","",Associates_Call_List_PQ!C197)</f>
        <v>Jeff</v>
      </c>
      <c r="D197" s="57" t="str">
        <f>IF(Associates_Call_List_PQ!D197="","",Associates_Call_List_PQ!D197)</f>
        <v>Peoria</v>
      </c>
      <c r="E197" s="58">
        <f>IF(Associates_Call_List_PQ!E197="","",Associates_Call_List_PQ!E197)</f>
        <v>85381</v>
      </c>
      <c r="F197" s="57" t="str">
        <f>IF(Associates_Call_List_PQ!F197="","",Associates_Call_List_PQ!F197)</f>
        <v>Opposed</v>
      </c>
      <c r="G197" s="57" t="str">
        <f>IF(Associates_Call_List_PQ!G197="","",Associates_Call_List_PQ!G197)</f>
        <v>https://images.edocket.azcc.gov/docketpdf/E000046190.pdf</v>
      </c>
      <c r="H197" s="59" t="str">
        <f>IF(Associates_Call_List_PQ!H197="","",Associates_Call_List_PQ!H197)</f>
        <v>5323810000 </v>
      </c>
      <c r="I197" s="57" t="str">
        <f>IF(Associates_Call_List_PQ!I197="","",Associates_Call_List_PQ!I197)</f>
        <v>R3-47</v>
      </c>
      <c r="J197" s="57" t="str">
        <f>IF(Associates_Call_List_PQ!J197="","",Associates_Call_List_PQ!J197)</f>
        <v>No</v>
      </c>
      <c r="K197" s="57" t="str">
        <f>IF(Associates_Call_List_PQ!K197="","",Associates_Call_List_PQ!K197)</f>
        <v>No</v>
      </c>
      <c r="L197" s="57" t="str">
        <f>IF(Associates_Call_List_PQ!L197="","",Associates_Call_List_PQ!L197)</f>
        <v>Yes</v>
      </c>
      <c r="M197" s="57" t="str">
        <f>IF(Associates_Call_List_PQ!M197="","",Associates_Call_List_PQ!M197)</f>
        <v>No</v>
      </c>
      <c r="N197" s="57" t="str">
        <f>IF(Associates_Call_List_PQ!N197="","",Associates_Call_List_PQ!N197)</f>
        <v>No</v>
      </c>
      <c r="O197" s="57" t="str">
        <f>IF(Associates_Call_List_PQ!O197="","",Associates_Call_List_PQ!O197)</f>
        <v>Yes</v>
      </c>
      <c r="P197" s="57" t="str">
        <f>IF(Associates_Call_List_PQ!P197="","",Associates_Call_List_PQ!P197)</f>
        <v>N</v>
      </c>
      <c r="Q197" s="57">
        <f>IF(Associates_Call_List_PQ!Q197="","",Associates_Call_List_PQ!Q197)</f>
        <v>45968</v>
      </c>
      <c r="R197" s="57" t="str">
        <f>IF(Associates_Call_List_PQ!R197="","",Associates_Call_List_PQ!R197)</f>
        <v/>
      </c>
      <c r="S197" s="57" t="str">
        <f>IF(Associates_Call_List_PQ!S197="","",Associates_Call_List_PQ!S197)</f>
        <v/>
      </c>
      <c r="T197" s="57" t="str">
        <f>IF(Associates_Call_List_PQ!T197="","",Associates_Call_List_PQ!T197)</f>
        <v/>
      </c>
      <c r="U197" s="57" t="str">
        <f>IF(Associates_Call_List_PQ!U197="","",Associates_Call_List_PQ!U197)</f>
        <v/>
      </c>
      <c r="V197" s="68"/>
      <c r="W197" s="68" t="s">
        <v>5432</v>
      </c>
      <c r="X197" s="68"/>
      <c r="Y197" s="68"/>
      <c r="Z197" s="72"/>
    </row>
    <row r="198" spans="1:26">
      <c r="A198" s="71">
        <f>IFERROR(Associates_Call_List_PQ!A198,"")</f>
        <v>45903</v>
      </c>
      <c r="B198" s="57" t="str">
        <f>IF(Associates_Call_List_PQ!B198="","",Associates_Call_List_PQ!B198)</f>
        <v>Patino</v>
      </c>
      <c r="C198" s="57" t="str">
        <f>IF(Associates_Call_List_PQ!C198="","",Associates_Call_List_PQ!C198)</f>
        <v>Sean</v>
      </c>
      <c r="D198" s="57" t="str">
        <f>IF(Associates_Call_List_PQ!D198="","",Associates_Call_List_PQ!D198)</f>
        <v>Surprise</v>
      </c>
      <c r="E198" s="58">
        <f>IF(Associates_Call_List_PQ!E198="","",Associates_Call_List_PQ!E198)</f>
        <v>85388</v>
      </c>
      <c r="F198" s="57" t="str">
        <f>IF(Associates_Call_List_PQ!F198="","",Associates_Call_List_PQ!F198)</f>
        <v>Form letter</v>
      </c>
      <c r="G198" s="57" t="str">
        <f>IF(Associates_Call_List_PQ!G198="","",Associates_Call_List_PQ!G198)</f>
        <v>https://images.edocket.azcc.gov/docketpdf/E000046190.pdf</v>
      </c>
      <c r="H198" s="59" t="str">
        <f>IF(Associates_Call_List_PQ!H198="","",Associates_Call_List_PQ!H198)</f>
        <v>6377618578 </v>
      </c>
      <c r="I198" s="57" t="str">
        <f>IF(Associates_Call_List_PQ!I198="","",Associates_Call_List_PQ!I198)</f>
        <v>EPR-6w/ET-2</v>
      </c>
      <c r="J198" s="57" t="str">
        <f>IF(Associates_Call_List_PQ!J198="","",Associates_Call_List_PQ!J198)</f>
        <v>No</v>
      </c>
      <c r="K198" s="57" t="str">
        <f>IF(Associates_Call_List_PQ!K198="","",Associates_Call_List_PQ!K198)</f>
        <v>No</v>
      </c>
      <c r="L198" s="57" t="str">
        <f>IF(Associates_Call_List_PQ!L198="","",Associates_Call_List_PQ!L198)</f>
        <v>Frozen Rate</v>
      </c>
      <c r="M198" s="57" t="str">
        <f>IF(Associates_Call_List_PQ!M198="","",Associates_Call_List_PQ!M198)</f>
        <v>No</v>
      </c>
      <c r="N198" s="57" t="str">
        <f>IF(Associates_Call_List_PQ!N198="","",Associates_Call_List_PQ!N198)</f>
        <v>No</v>
      </c>
      <c r="O198" s="57" t="str">
        <f>IF(Associates_Call_List_PQ!O198="","",Associates_Call_List_PQ!O198)</f>
        <v>Yes</v>
      </c>
      <c r="P198" s="57" t="str">
        <f>IF(Associates_Call_List_PQ!P198="","",Associates_Call_List_PQ!P198)</f>
        <v>N</v>
      </c>
      <c r="Q198" s="57">
        <f>IF(Associates_Call_List_PQ!Q198="","",Associates_Call_List_PQ!Q198)</f>
        <v>45968</v>
      </c>
      <c r="R198" s="57" t="str">
        <f>IF(Associates_Call_List_PQ!R198="","",Associates_Call_List_PQ!R198)</f>
        <v/>
      </c>
      <c r="S198" s="57" t="str">
        <f>IF(Associates_Call_List_PQ!S198="","",Associates_Call_List_PQ!S198)</f>
        <v/>
      </c>
      <c r="T198" s="57" t="str">
        <f>IF(Associates_Call_List_PQ!T198="","",Associates_Call_List_PQ!T198)</f>
        <v/>
      </c>
      <c r="U198" s="57" t="s">
        <v>5552</v>
      </c>
      <c r="V198" s="68" t="s">
        <v>117</v>
      </c>
      <c r="W198" s="68">
        <v>46081</v>
      </c>
      <c r="X198" s="68" t="s">
        <v>5434</v>
      </c>
      <c r="Y198" s="68"/>
      <c r="Z198" s="72" t="s">
        <v>5438</v>
      </c>
    </row>
    <row r="199" spans="1:26">
      <c r="A199" s="71">
        <f>IFERROR(Associates_Call_List_PQ!A199,"")</f>
        <v>45903</v>
      </c>
      <c r="B199" s="57" t="str">
        <f>IF(Associates_Call_List_PQ!B199="","",Associates_Call_List_PQ!B199)</f>
        <v>Pugliese</v>
      </c>
      <c r="C199" s="57" t="str">
        <f>IF(Associates_Call_List_PQ!C199="","",Associates_Call_List_PQ!C199)</f>
        <v>Jeffrey</v>
      </c>
      <c r="D199" s="57" t="str">
        <f>IF(Associates_Call_List_PQ!D199="","",Associates_Call_List_PQ!D199)</f>
        <v>Scottsdale</v>
      </c>
      <c r="E199" s="58">
        <f>IF(Associates_Call_List_PQ!E199="","",Associates_Call_List_PQ!E199)</f>
        <v>85254</v>
      </c>
      <c r="F199" s="57" t="str">
        <f>IF(Associates_Call_List_PQ!F199="","",Associates_Call_List_PQ!F199)</f>
        <v>Opposed</v>
      </c>
      <c r="G199" s="57" t="str">
        <f>IF(Associates_Call_List_PQ!G199="","",Associates_Call_List_PQ!G199)</f>
        <v>https://images.edocket.azcc.gov/docketpdf/E000046190.pdf</v>
      </c>
      <c r="H199" s="59" t="str">
        <f>IF(Associates_Call_List_PQ!H199="","",Associates_Call_List_PQ!H199)</f>
        <v>5100177684 </v>
      </c>
      <c r="I199" s="57" t="str">
        <f>IF(Associates_Call_List_PQ!I199="","",Associates_Call_List_PQ!I199)</f>
        <v>RTOUE47</v>
      </c>
      <c r="J199" s="57" t="str">
        <f>IF(Associates_Call_List_PQ!J199="","",Associates_Call_List_PQ!J199)</f>
        <v>No</v>
      </c>
      <c r="K199" s="57" t="str">
        <f>IF(Associates_Call_List_PQ!K199="","",Associates_Call_List_PQ!K199)</f>
        <v>No</v>
      </c>
      <c r="L199" s="57" t="str">
        <f>IF(Associates_Call_List_PQ!L199="","",Associates_Call_List_PQ!L199)</f>
        <v>Yes</v>
      </c>
      <c r="M199" s="57" t="str">
        <f>IF(Associates_Call_List_PQ!M199="","",Associates_Call_List_PQ!M199)</f>
        <v>No</v>
      </c>
      <c r="N199" s="57" t="str">
        <f>IF(Associates_Call_List_PQ!N199="","",Associates_Call_List_PQ!N199)</f>
        <v>No</v>
      </c>
      <c r="O199" s="57" t="str">
        <f>IF(Associates_Call_List_PQ!O199="","",Associates_Call_List_PQ!O199)</f>
        <v>Yes</v>
      </c>
      <c r="P199" s="57" t="str">
        <f>IF(Associates_Call_List_PQ!P199="","",Associates_Call_List_PQ!P199)</f>
        <v>N</v>
      </c>
      <c r="Q199" s="57">
        <f>IF(Associates_Call_List_PQ!Q199="","",Associates_Call_List_PQ!Q199)</f>
        <v>45968</v>
      </c>
      <c r="R199" s="57" t="str">
        <f>IF(Associates_Call_List_PQ!R199="","",Associates_Call_List_PQ!R199)</f>
        <v/>
      </c>
      <c r="S199" s="57" t="str">
        <f>IF(Associates_Call_List_PQ!S199="","",Associates_Call_List_PQ!S199)</f>
        <v/>
      </c>
      <c r="T199" s="57" t="str">
        <f>IF(Associates_Call_List_PQ!T199="","",Associates_Call_List_PQ!T199)</f>
        <v/>
      </c>
      <c r="U199" s="57" t="str">
        <f>IF(Associates_Call_List_PQ!U199="","",Associates_Call_List_PQ!U199)</f>
        <v/>
      </c>
      <c r="V199" s="68"/>
      <c r="W199" s="68" t="s">
        <v>5432</v>
      </c>
      <c r="X199" s="68"/>
      <c r="Y199" s="68"/>
      <c r="Z199" s="72"/>
    </row>
    <row r="200" spans="1:26">
      <c r="A200" s="71">
        <f>IFERROR(Associates_Call_List_PQ!A200,"")</f>
        <v>45903</v>
      </c>
      <c r="B200" s="57" t="str">
        <f>IF(Associates_Call_List_PQ!B200="","",Associates_Call_List_PQ!B200)</f>
        <v>McChesney</v>
      </c>
      <c r="C200" s="57" t="str">
        <f>IF(Associates_Call_List_PQ!C200="","",Associates_Call_List_PQ!C200)</f>
        <v>Chris</v>
      </c>
      <c r="D200" s="57" t="str">
        <f>IF(Associates_Call_List_PQ!D200="","",Associates_Call_List_PQ!D200)</f>
        <v>Peoria</v>
      </c>
      <c r="E200" s="58">
        <f>IF(Associates_Call_List_PQ!E200="","",Associates_Call_List_PQ!E200)</f>
        <v>85382</v>
      </c>
      <c r="F200" s="57" t="str">
        <f>IF(Associates_Call_List_PQ!F200="","",Associates_Call_List_PQ!F200)</f>
        <v>Unneeded money grab</v>
      </c>
      <c r="G200" s="57" t="str">
        <f>IF(Associates_Call_List_PQ!G200="","",Associates_Call_List_PQ!G200)</f>
        <v>https://images.edocket.azcc.gov/docketpdf/E000046190.pdf</v>
      </c>
      <c r="H200" s="59" t="str">
        <f>IF(Associates_Call_List_PQ!H200="","",Associates_Call_List_PQ!H200)</f>
        <v>2213731000 </v>
      </c>
      <c r="I200" s="57" t="str">
        <f>IF(Associates_Call_List_PQ!I200="","",Associates_Call_List_PQ!I200)</f>
        <v>R-2</v>
      </c>
      <c r="J200" s="57" t="str">
        <f>IF(Associates_Call_List_PQ!J200="","",Associates_Call_List_PQ!J200)</f>
        <v>No</v>
      </c>
      <c r="K200" s="57" t="str">
        <f>IF(Associates_Call_List_PQ!K200="","",Associates_Call_List_PQ!K200)</f>
        <v>No</v>
      </c>
      <c r="L200" s="57" t="str">
        <f>IF(Associates_Call_List_PQ!L200="","",Associates_Call_List_PQ!L200)</f>
        <v>Frozen Rate</v>
      </c>
      <c r="M200" s="57" t="str">
        <f>IF(Associates_Call_List_PQ!M200="","",Associates_Call_List_PQ!M200)</f>
        <v>No</v>
      </c>
      <c r="N200" s="57" t="str">
        <f>IF(Associates_Call_List_PQ!N200="","",Associates_Call_List_PQ!N200)</f>
        <v>No</v>
      </c>
      <c r="O200" s="57" t="str">
        <f>IF(Associates_Call_List_PQ!O200="","",Associates_Call_List_PQ!O200)</f>
        <v>Yes</v>
      </c>
      <c r="P200" s="57" t="str">
        <f>IF(Associates_Call_List_PQ!P200="","",Associates_Call_List_PQ!P200)</f>
        <v>N</v>
      </c>
      <c r="Q200" s="57">
        <f>IF(Associates_Call_List_PQ!Q200="","",Associates_Call_List_PQ!Q200)</f>
        <v>45968</v>
      </c>
      <c r="R200" s="57" t="str">
        <f>IF(Associates_Call_List_PQ!R200="","",Associates_Call_List_PQ!R200)</f>
        <v/>
      </c>
      <c r="S200" s="57" t="str">
        <f>IF(Associates_Call_List_PQ!S200="","",Associates_Call_List_PQ!S200)</f>
        <v/>
      </c>
      <c r="T200" s="57" t="str">
        <f>IF(Associates_Call_List_PQ!T200="","",Associates_Call_List_PQ!T200)</f>
        <v/>
      </c>
      <c r="U200" s="57" t="s">
        <v>5562</v>
      </c>
      <c r="V200" s="68" t="s">
        <v>117</v>
      </c>
      <c r="W200" s="68">
        <v>46081</v>
      </c>
      <c r="X200" s="68" t="s">
        <v>5405</v>
      </c>
      <c r="Y200" s="68"/>
      <c r="Z200" s="72"/>
    </row>
    <row r="201" spans="1:26">
      <c r="A201" s="71">
        <f>IFERROR(Associates_Call_List_PQ!A201,"")</f>
        <v>45903</v>
      </c>
      <c r="B201" s="57" t="str">
        <f>IF(Associates_Call_List_PQ!B201="","",Associates_Call_List_PQ!B201)</f>
        <v>Wilson</v>
      </c>
      <c r="C201" s="57" t="str">
        <f>IF(Associates_Call_List_PQ!C201="","",Associates_Call_List_PQ!C201)</f>
        <v>Carter</v>
      </c>
      <c r="D201" s="57" t="str">
        <f>IF(Associates_Call_List_PQ!D201="","",Associates_Call_List_PQ!D201)</f>
        <v>Litchfield Park</v>
      </c>
      <c r="E201" s="58">
        <f>IF(Associates_Call_List_PQ!E201="","",Associates_Call_List_PQ!E201)</f>
        <v>85340</v>
      </c>
      <c r="F201" s="57" t="str">
        <f>IF(Associates_Call_List_PQ!F201="","",Associates_Call_List_PQ!F201)</f>
        <v>Opposed</v>
      </c>
      <c r="G201" s="57" t="str">
        <f>IF(Associates_Call_List_PQ!G201="","",Associates_Call_List_PQ!G201)</f>
        <v>https://images.edocket.azcc.gov/docketpdf/E000046190.pdf</v>
      </c>
      <c r="H201" s="59" t="str">
        <f>IF(Associates_Call_List_PQ!H201="","",Associates_Call_List_PQ!H201)</f>
        <v>7194070000 </v>
      </c>
      <c r="I201" s="57" t="str">
        <f>IF(Associates_Call_List_PQ!I201="","",Associates_Call_List_PQ!I201)</f>
        <v>EPR-6w/ET-2</v>
      </c>
      <c r="J201" s="57" t="str">
        <f>IF(Associates_Call_List_PQ!J201="","",Associates_Call_List_PQ!J201)</f>
        <v>No</v>
      </c>
      <c r="K201" s="57" t="str">
        <f>IF(Associates_Call_List_PQ!K201="","",Associates_Call_List_PQ!K201)</f>
        <v>No</v>
      </c>
      <c r="L201" s="57" t="str">
        <f>IF(Associates_Call_List_PQ!L201="","",Associates_Call_List_PQ!L201)</f>
        <v>Frozen Rate</v>
      </c>
      <c r="M201" s="57" t="str">
        <f>IF(Associates_Call_List_PQ!M201="","",Associates_Call_List_PQ!M201)</f>
        <v>No</v>
      </c>
      <c r="N201" s="57" t="str">
        <f>IF(Associates_Call_List_PQ!N201="","",Associates_Call_List_PQ!N201)</f>
        <v>No</v>
      </c>
      <c r="O201" s="57" t="str">
        <f>IF(Associates_Call_List_PQ!O201="","",Associates_Call_List_PQ!O201)</f>
        <v>Yes</v>
      </c>
      <c r="P201" s="57" t="str">
        <f>IF(Associates_Call_List_PQ!P201="","",Associates_Call_List_PQ!P201)</f>
        <v>N</v>
      </c>
      <c r="Q201" s="57">
        <f>IF(Associates_Call_List_PQ!Q201="","",Associates_Call_List_PQ!Q201)</f>
        <v>45968</v>
      </c>
      <c r="R201" s="57" t="str">
        <f>IF(Associates_Call_List_PQ!R201="","",Associates_Call_List_PQ!R201)</f>
        <v/>
      </c>
      <c r="S201" s="57" t="str">
        <f>IF(Associates_Call_List_PQ!S201="","",Associates_Call_List_PQ!S201)</f>
        <v/>
      </c>
      <c r="T201" s="57" t="str">
        <f>IF(Associates_Call_List_PQ!T201="","",Associates_Call_List_PQ!T201)</f>
        <v/>
      </c>
      <c r="U201" s="57" t="str">
        <f>IF(Associates_Call_List_PQ!U201="","",Associates_Call_List_PQ!U201)</f>
        <v/>
      </c>
      <c r="V201" s="68"/>
      <c r="W201" s="68" t="s">
        <v>5432</v>
      </c>
      <c r="X201" s="68"/>
      <c r="Y201" s="68"/>
      <c r="Z201" s="72"/>
    </row>
    <row r="202" spans="1:26">
      <c r="A202" s="71">
        <f>IFERROR(Associates_Call_List_PQ!A202,"")</f>
        <v>45903</v>
      </c>
      <c r="B202" s="57" t="str">
        <f>IF(Associates_Call_List_PQ!B202="","",Associates_Call_List_PQ!B202)</f>
        <v>Rall</v>
      </c>
      <c r="C202" s="57" t="str">
        <f>IF(Associates_Call_List_PQ!C202="","",Associates_Call_List_PQ!C202)</f>
        <v>Draeque</v>
      </c>
      <c r="D202" s="57" t="str">
        <f>IF(Associates_Call_List_PQ!D202="","",Associates_Call_List_PQ!D202)</f>
        <v>Scottsdale</v>
      </c>
      <c r="E202" s="58">
        <f>IF(Associates_Call_List_PQ!E202="","",Associates_Call_List_PQ!E202)</f>
        <v>85251</v>
      </c>
      <c r="F202" s="57" t="str">
        <f>IF(Associates_Call_List_PQ!F202="","",Associates_Call_List_PQ!F202)</f>
        <v>Form letter</v>
      </c>
      <c r="G202" s="57" t="str">
        <f>IF(Associates_Call_List_PQ!G202="","",Associates_Call_List_PQ!G202)</f>
        <v>https://images.edocket.azcc.gov/docketpdf/E000046190.pdf</v>
      </c>
      <c r="H202" s="59" t="str">
        <f>IF(Associates_Call_List_PQ!H202="","",Associates_Call_List_PQ!H202)</f>
        <v>3556070925 </v>
      </c>
      <c r="I202" s="57" t="str">
        <f>IF(Associates_Call_List_PQ!I202="","",Associates_Call_List_PQ!I202)</f>
        <v>R-BASIC</v>
      </c>
      <c r="J202" s="57" t="str">
        <f>IF(Associates_Call_List_PQ!J202="","",Associates_Call_List_PQ!J202)</f>
        <v>No</v>
      </c>
      <c r="K202" s="57" t="str">
        <f>IF(Associates_Call_List_PQ!K202="","",Associates_Call_List_PQ!K202)</f>
        <v>No</v>
      </c>
      <c r="L202" s="57" t="str">
        <f>IF(Associates_Call_List_PQ!L202="","",Associates_Call_List_PQ!L202)</f>
        <v>No MEP R-XS($104.50)</v>
      </c>
      <c r="M202" s="57" t="str">
        <f>IF(Associates_Call_List_PQ!M202="","",Associates_Call_List_PQ!M202)</f>
        <v>No</v>
      </c>
      <c r="N202" s="57" t="str">
        <f>IF(Associates_Call_List_PQ!N202="","",Associates_Call_List_PQ!N202)</f>
        <v>No</v>
      </c>
      <c r="O202" s="57" t="str">
        <f>IF(Associates_Call_List_PQ!O202="","",Associates_Call_List_PQ!O202)</f>
        <v>Yes</v>
      </c>
      <c r="P202" s="57">
        <f>IF(Associates_Call_List_PQ!P202="","",Associates_Call_List_PQ!P202)</f>
        <v>45933</v>
      </c>
      <c r="Q202" s="57">
        <f>IF(Associates_Call_List_PQ!Q202="","",Associates_Call_List_PQ!Q202)</f>
        <v>45967</v>
      </c>
      <c r="R202" s="57" t="str">
        <f>IF(Associates_Call_List_PQ!R202="","",Associates_Call_List_PQ!R202)</f>
        <v>Left VM 10/03/2025 - Will be automatically reassigned to Tier 1 soon</v>
      </c>
      <c r="S202" s="57" t="str">
        <f>IF(Associates_Call_List_PQ!S202="","",Associates_Call_List_PQ!S202)</f>
        <v/>
      </c>
      <c r="T202" s="57" t="str">
        <f>IF(Associates_Call_List_PQ!T202="","",Associates_Call_List_PQ!T202)</f>
        <v/>
      </c>
      <c r="U202" s="57" t="s">
        <v>5563</v>
      </c>
      <c r="V202" s="68" t="s">
        <v>117</v>
      </c>
      <c r="W202" s="68">
        <v>46025</v>
      </c>
      <c r="X202" s="68" t="s">
        <v>5434</v>
      </c>
      <c r="Y202" s="68"/>
      <c r="Z202" s="72"/>
    </row>
    <row r="203" spans="1:26">
      <c r="A203" s="71">
        <f>IFERROR(Associates_Call_List_PQ!A203,"")</f>
        <v>45903</v>
      </c>
      <c r="B203" s="57" t="str">
        <f>IF(Associates_Call_List_PQ!B203="","",Associates_Call_List_PQ!B203)</f>
        <v>Dandasi</v>
      </c>
      <c r="C203" s="57" t="str">
        <f>IF(Associates_Call_List_PQ!C203="","",Associates_Call_List_PQ!C203)</f>
        <v>Varun</v>
      </c>
      <c r="D203" s="57" t="str">
        <f>IF(Associates_Call_List_PQ!D203="","",Associates_Call_List_PQ!D203)</f>
        <v>Peoria</v>
      </c>
      <c r="E203" s="58">
        <f>IF(Associates_Call_List_PQ!E203="","",Associates_Call_List_PQ!E203)</f>
        <v>85383</v>
      </c>
      <c r="F203" s="57" t="str">
        <f>IF(Associates_Call_List_PQ!F203="","",Associates_Call_List_PQ!F203)</f>
        <v>Form letter</v>
      </c>
      <c r="G203" s="57" t="str">
        <f>IF(Associates_Call_List_PQ!G203="","",Associates_Call_List_PQ!G203)</f>
        <v>https://images.edocket.azcc.gov/docketpdf/E000046190.pdf</v>
      </c>
      <c r="H203" s="59" t="str">
        <f>IF(Associates_Call_List_PQ!H203="","",Associates_Call_List_PQ!H203)</f>
        <v>9646530000 </v>
      </c>
      <c r="I203" s="57" t="str">
        <f>IF(Associates_Call_List_PQ!I203="","",Associates_Call_List_PQ!I203)</f>
        <v>R3-47</v>
      </c>
      <c r="J203" s="57" t="str">
        <f>IF(Associates_Call_List_PQ!J203="","",Associates_Call_List_PQ!J203)</f>
        <v>No</v>
      </c>
      <c r="K203" s="57" t="str">
        <f>IF(Associates_Call_List_PQ!K203="","",Associates_Call_List_PQ!K203)</f>
        <v>No</v>
      </c>
      <c r="L203" s="57" t="str">
        <f>IF(Associates_Call_List_PQ!L203="","",Associates_Call_List_PQ!L203)</f>
        <v>Yes</v>
      </c>
      <c r="M203" s="57" t="str">
        <f>IF(Associates_Call_List_PQ!M203="","",Associates_Call_List_PQ!M203)</f>
        <v>No</v>
      </c>
      <c r="N203" s="57" t="str">
        <f>IF(Associates_Call_List_PQ!N203="","",Associates_Call_List_PQ!N203)</f>
        <v>No</v>
      </c>
      <c r="O203" s="57" t="str">
        <f>IF(Associates_Call_List_PQ!O203="","",Associates_Call_List_PQ!O203)</f>
        <v>Yes</v>
      </c>
      <c r="P203" s="57" t="str">
        <f>IF(Associates_Call_List_PQ!P203="","",Associates_Call_List_PQ!P203)</f>
        <v>N</v>
      </c>
      <c r="Q203" s="57">
        <f>IF(Associates_Call_List_PQ!Q203="","",Associates_Call_List_PQ!Q203)</f>
        <v>45967</v>
      </c>
      <c r="R203" s="57" t="str">
        <f>IF(Associates_Call_List_PQ!R203="","",Associates_Call_List_PQ!R203)</f>
        <v/>
      </c>
      <c r="S203" s="57" t="str">
        <f>IF(Associates_Call_List_PQ!S203="","",Associates_Call_List_PQ!S203)</f>
        <v/>
      </c>
      <c r="T203" s="57" t="str">
        <f>IF(Associates_Call_List_PQ!T203="","",Associates_Call_List_PQ!T203)</f>
        <v/>
      </c>
      <c r="U203" s="57" t="str">
        <f>IF(Associates_Call_List_PQ!U203="","",Associates_Call_List_PQ!U203)</f>
        <v/>
      </c>
      <c r="V203" s="68"/>
      <c r="W203" s="68" t="s">
        <v>5432</v>
      </c>
      <c r="X203" s="68"/>
      <c r="Y203" s="68"/>
      <c r="Z203" s="72"/>
    </row>
    <row r="204" spans="1:26">
      <c r="A204" s="71">
        <f>IFERROR(Associates_Call_List_PQ!A204,"")</f>
        <v>45903</v>
      </c>
      <c r="B204" s="57" t="str">
        <f>IF(Associates_Call_List_PQ!B204="","",Associates_Call_List_PQ!B204)</f>
        <v>Fargher</v>
      </c>
      <c r="C204" s="57" t="str">
        <f>IF(Associates_Call_List_PQ!C204="","",Associates_Call_List_PQ!C204)</f>
        <v>Thomas</v>
      </c>
      <c r="D204" s="57" t="str">
        <f>IF(Associates_Call_List_PQ!D204="","",Associates_Call_List_PQ!D204)</f>
        <v>Prescott Valley</v>
      </c>
      <c r="E204" s="58">
        <f>IF(Associates_Call_List_PQ!E204="","",Associates_Call_List_PQ!E204)</f>
        <v>86314</v>
      </c>
      <c r="F204" s="57" t="str">
        <f>IF(Associates_Call_List_PQ!F204="","",Associates_Call_List_PQ!F204)</f>
        <v>Opposed</v>
      </c>
      <c r="G204" s="57" t="str">
        <f>IF(Associates_Call_List_PQ!G204="","",Associates_Call_List_PQ!G204)</f>
        <v>https://images.edocket.azcc.gov/docketpdf/E000046190.pdf</v>
      </c>
      <c r="H204" s="59" t="str">
        <f>IF(Associates_Call_List_PQ!H204="","",Associates_Call_List_PQ!H204)</f>
        <v>9467621419 </v>
      </c>
      <c r="I204" s="57" t="str">
        <f>IF(Associates_Call_List_PQ!I204="","",Associates_Call_List_PQ!I204)</f>
        <v>R-BASIC</v>
      </c>
      <c r="J204" s="57" t="str">
        <f>IF(Associates_Call_List_PQ!J204="","",Associates_Call_List_PQ!J204)</f>
        <v>No</v>
      </c>
      <c r="K204" s="57" t="str">
        <f>IF(Associates_Call_List_PQ!K204="","",Associates_Call_List_PQ!K204)</f>
        <v>No</v>
      </c>
      <c r="L204" s="57" t="str">
        <f>IF(Associates_Call_List_PQ!L204="","",Associates_Call_List_PQ!L204)</f>
        <v>No MEP R-XS ($126.43)</v>
      </c>
      <c r="M204" s="57" t="str">
        <f>IF(Associates_Call_List_PQ!M204="","",Associates_Call_List_PQ!M204)</f>
        <v>No</v>
      </c>
      <c r="N204" s="57" t="str">
        <f>IF(Associates_Call_List_PQ!N204="","",Associates_Call_List_PQ!N204)</f>
        <v>No</v>
      </c>
      <c r="O204" s="57" t="str">
        <f>IF(Associates_Call_List_PQ!O204="","",Associates_Call_List_PQ!O204)</f>
        <v>Yes</v>
      </c>
      <c r="P204" s="57" t="str">
        <f>IF(Associates_Call_List_PQ!P204="","",Associates_Call_List_PQ!P204)</f>
        <v>N</v>
      </c>
      <c r="Q204" s="57">
        <f>IF(Associates_Call_List_PQ!Q204="","",Associates_Call_List_PQ!Q204)</f>
        <v>45967</v>
      </c>
      <c r="R204" s="57" t="str">
        <f>IF(Associates_Call_List_PQ!R204="","",Associates_Call_List_PQ!R204)</f>
        <v>Will be automatically reassigned to Tier 1 soon</v>
      </c>
      <c r="S204" s="57" t="str">
        <f>IF(Associates_Call_List_PQ!S204="","",Associates_Call_List_PQ!S204)</f>
        <v/>
      </c>
      <c r="T204" s="57" t="str">
        <f>IF(Associates_Call_List_PQ!T204="","",Associates_Call_List_PQ!T204)</f>
        <v/>
      </c>
      <c r="U204" s="57" t="s">
        <v>5564</v>
      </c>
      <c r="V204" s="68" t="s">
        <v>117</v>
      </c>
      <c r="W204" s="68">
        <v>46025</v>
      </c>
      <c r="X204" s="68" t="s">
        <v>5434</v>
      </c>
      <c r="Y204" s="68"/>
      <c r="Z204" s="72"/>
    </row>
    <row r="205" spans="1:26">
      <c r="A205" s="71">
        <f>IFERROR(Associates_Call_List_PQ!A205,"")</f>
        <v>45903</v>
      </c>
      <c r="B205" s="57" t="str">
        <f>IF(Associates_Call_List_PQ!B205="","",Associates_Call_List_PQ!B205)</f>
        <v>Sutinen</v>
      </c>
      <c r="C205" s="57" t="str">
        <f>IF(Associates_Call_List_PQ!C205="","",Associates_Call_List_PQ!C205)</f>
        <v>Valerie</v>
      </c>
      <c r="D205" s="57" t="str">
        <f>IF(Associates_Call_List_PQ!D205="","",Associates_Call_List_PQ!D205)</f>
        <v>Goodyear</v>
      </c>
      <c r="E205" s="58">
        <f>IF(Associates_Call_List_PQ!E205="","",Associates_Call_List_PQ!E205)</f>
        <v>85395</v>
      </c>
      <c r="F205" s="57" t="str">
        <f>IF(Associates_Call_List_PQ!F205="","",Associates_Call_List_PQ!F205)</f>
        <v>Family struggling to make ends meet</v>
      </c>
      <c r="G205" s="57" t="str">
        <f>IF(Associates_Call_List_PQ!G205="","",Associates_Call_List_PQ!G205)</f>
        <v>https://images.edocket.azcc.gov/docketpdf/E000046190.pdf</v>
      </c>
      <c r="H205" s="59" t="str">
        <f>IF(Associates_Call_List_PQ!H205="","",Associates_Call_List_PQ!H205)</f>
        <v>4222480000 </v>
      </c>
      <c r="I205" s="57" t="str">
        <f>IF(Associates_Call_List_PQ!I205="","",Associates_Call_List_PQ!I205)</f>
        <v>RTOUE47</v>
      </c>
      <c r="J205" s="57" t="str">
        <f>IF(Associates_Call_List_PQ!J205="","",Associates_Call_List_PQ!J205)</f>
        <v>No</v>
      </c>
      <c r="K205" s="57" t="str">
        <f>IF(Associates_Call_List_PQ!K205="","",Associates_Call_List_PQ!K205)</f>
        <v>No</v>
      </c>
      <c r="L205" s="57" t="str">
        <f>IF(Associates_Call_List_PQ!L205="","",Associates_Call_List_PQ!L205)</f>
        <v>Yes</v>
      </c>
      <c r="M205" s="57" t="str">
        <f>IF(Associates_Call_List_PQ!M205="","",Associates_Call_List_PQ!M205)</f>
        <v>No</v>
      </c>
      <c r="N205" s="57" t="str">
        <f>IF(Associates_Call_List_PQ!N205="","",Associates_Call_List_PQ!N205)</f>
        <v>No</v>
      </c>
      <c r="O205" s="57" t="str">
        <f>IF(Associates_Call_List_PQ!O205="","",Associates_Call_List_PQ!O205)</f>
        <v>Yes</v>
      </c>
      <c r="P205" s="57" t="str">
        <f>IF(Associates_Call_List_PQ!P205="","",Associates_Call_List_PQ!P205)</f>
        <v>N</v>
      </c>
      <c r="Q205" s="57">
        <f>IF(Associates_Call_List_PQ!Q205="","",Associates_Call_List_PQ!Q205)</f>
        <v>45967</v>
      </c>
      <c r="R205" s="57" t="str">
        <f>IF(Associates_Call_List_PQ!R205="","",Associates_Call_List_PQ!R205)</f>
        <v/>
      </c>
      <c r="S205" s="57" t="str">
        <f>IF(Associates_Call_List_PQ!S205="","",Associates_Call_List_PQ!S205)</f>
        <v/>
      </c>
      <c r="T205" s="57" t="str">
        <f>IF(Associates_Call_List_PQ!T205="","",Associates_Call_List_PQ!T205)</f>
        <v/>
      </c>
      <c r="U205" s="57" t="str">
        <f>IF(Associates_Call_List_PQ!U205="","",Associates_Call_List_PQ!U205)</f>
        <v/>
      </c>
      <c r="V205" s="68"/>
      <c r="W205" s="68" t="s">
        <v>5432</v>
      </c>
      <c r="X205" s="68"/>
      <c r="Y205" s="68"/>
      <c r="Z205" s="72"/>
    </row>
    <row r="206" spans="1:26">
      <c r="A206" s="71">
        <f>IFERROR(Associates_Call_List_PQ!A206,"")</f>
        <v>45903</v>
      </c>
      <c r="B206" s="57" t="str">
        <f>IF(Associates_Call_List_PQ!B206="","",Associates_Call_List_PQ!B206)</f>
        <v>Wilson</v>
      </c>
      <c r="C206" s="57" t="str">
        <f>IF(Associates_Call_List_PQ!C206="","",Associates_Call_List_PQ!C206)</f>
        <v>Elizabeth</v>
      </c>
      <c r="D206" s="57" t="str">
        <f>IF(Associates_Call_List_PQ!D206="","",Associates_Call_List_PQ!D206)</f>
        <v>Litchfield Park</v>
      </c>
      <c r="E206" s="58">
        <f>IF(Associates_Call_List_PQ!E206="","",Associates_Call_List_PQ!E206)</f>
        <v>85340</v>
      </c>
      <c r="F206" s="57" t="str">
        <f>IF(Associates_Call_List_PQ!F206="","",Associates_Call_List_PQ!F206)</f>
        <v>Opposed</v>
      </c>
      <c r="G206" s="57" t="str">
        <f>IF(Associates_Call_List_PQ!G206="","",Associates_Call_List_PQ!G206)</f>
        <v>https://images.edocket.azcc.gov/docketpdf/E000046190.pdf</v>
      </c>
      <c r="H206" s="59" t="str">
        <f>IF(Associates_Call_List_PQ!H206="","",Associates_Call_List_PQ!H206)</f>
        <v>8800511000 </v>
      </c>
      <c r="I206" s="57" t="str">
        <f>IF(Associates_Call_List_PQ!I206="","",Associates_Call_List_PQ!I206)</f>
        <v>EPR-6w/E-12</v>
      </c>
      <c r="J206" s="57" t="str">
        <f>IF(Associates_Call_List_PQ!J206="","",Associates_Call_List_PQ!J206)</f>
        <v>No</v>
      </c>
      <c r="K206" s="57" t="str">
        <f>IF(Associates_Call_List_PQ!K206="","",Associates_Call_List_PQ!K206)</f>
        <v>No</v>
      </c>
      <c r="L206" s="57" t="str">
        <f>IF(Associates_Call_List_PQ!L206="","",Associates_Call_List_PQ!L206)</f>
        <v>Frozen Rate</v>
      </c>
      <c r="M206" s="57" t="str">
        <f>IF(Associates_Call_List_PQ!M206="","",Associates_Call_List_PQ!M206)</f>
        <v>No</v>
      </c>
      <c r="N206" s="57" t="str">
        <f>IF(Associates_Call_List_PQ!N206="","",Associates_Call_List_PQ!N206)</f>
        <v>No</v>
      </c>
      <c r="O206" s="57" t="str">
        <f>IF(Associates_Call_List_PQ!O206="","",Associates_Call_List_PQ!O206)</f>
        <v>Yes</v>
      </c>
      <c r="P206" s="57" t="str">
        <f>IF(Associates_Call_List_PQ!P206="","",Associates_Call_List_PQ!P206)</f>
        <v>N</v>
      </c>
      <c r="Q206" s="57">
        <f>IF(Associates_Call_List_PQ!Q206="","",Associates_Call_List_PQ!Q206)</f>
        <v>45967</v>
      </c>
      <c r="R206" s="57" t="str">
        <f>IF(Associates_Call_List_PQ!R206="","",Associates_Call_List_PQ!R206)</f>
        <v/>
      </c>
      <c r="S206" s="57" t="str">
        <f>IF(Associates_Call_List_PQ!S206="","",Associates_Call_List_PQ!S206)</f>
        <v/>
      </c>
      <c r="T206" s="57" t="str">
        <f>IF(Associates_Call_List_PQ!T206="","",Associates_Call_List_PQ!T206)</f>
        <v/>
      </c>
      <c r="U206" s="57" t="s">
        <v>5552</v>
      </c>
      <c r="V206" s="68" t="s">
        <v>117</v>
      </c>
      <c r="W206" s="68">
        <v>46081</v>
      </c>
      <c r="X206" s="68" t="s">
        <v>5434</v>
      </c>
      <c r="Y206" s="68"/>
      <c r="Z206" s="72" t="s">
        <v>5438</v>
      </c>
    </row>
    <row r="207" spans="1:26">
      <c r="A207" s="71">
        <f>IFERROR(Associates_Call_List_PQ!A207,"")</f>
        <v>45903</v>
      </c>
      <c r="B207" s="57" t="str">
        <f>IF(Associates_Call_List_PQ!B207="","",Associates_Call_List_PQ!B207)</f>
        <v>Cunningham</v>
      </c>
      <c r="C207" s="57" t="str">
        <f>IF(Associates_Call_List_PQ!C207="","",Associates_Call_List_PQ!C207)</f>
        <v>Barbara</v>
      </c>
      <c r="D207" s="57" t="str">
        <f>IF(Associates_Call_List_PQ!D207="","",Associates_Call_List_PQ!D207)</f>
        <v>Goodyear</v>
      </c>
      <c r="E207" s="58">
        <f>IF(Associates_Call_List_PQ!E207="","",Associates_Call_List_PQ!E207)</f>
        <v>85338</v>
      </c>
      <c r="F207" s="57" t="str">
        <f>IF(Associates_Call_List_PQ!F207="","",Associates_Call_List_PQ!F207)</f>
        <v>Too much</v>
      </c>
      <c r="G207" s="57" t="str">
        <f>IF(Associates_Call_List_PQ!G207="","",Associates_Call_List_PQ!G207)</f>
        <v>https://images.edocket.azcc.gov/docketpdf/E000046190.pdf</v>
      </c>
      <c r="H207" s="59" t="str">
        <f>IF(Associates_Call_List_PQ!H207="","",Associates_Call_List_PQ!H207)</f>
        <v>6965120000 </v>
      </c>
      <c r="I207" s="57" t="str">
        <f>IF(Associates_Call_List_PQ!I207="","",Associates_Call_List_PQ!I207)</f>
        <v>EPR-6w/ET-2</v>
      </c>
      <c r="J207" s="57" t="str">
        <f>IF(Associates_Call_List_PQ!J207="","",Associates_Call_List_PQ!J207)</f>
        <v>No</v>
      </c>
      <c r="K207" s="57" t="str">
        <f>IF(Associates_Call_List_PQ!K207="","",Associates_Call_List_PQ!K207)</f>
        <v>No</v>
      </c>
      <c r="L207" s="57" t="str">
        <f>IF(Associates_Call_List_PQ!L207="","",Associates_Call_List_PQ!L207)</f>
        <v>Frozen Rate</v>
      </c>
      <c r="M207" s="57" t="str">
        <f>IF(Associates_Call_List_PQ!M207="","",Associates_Call_List_PQ!M207)</f>
        <v>No</v>
      </c>
      <c r="N207" s="57" t="str">
        <f>IF(Associates_Call_List_PQ!N207="","",Associates_Call_List_PQ!N207)</f>
        <v>No</v>
      </c>
      <c r="O207" s="57" t="str">
        <f>IF(Associates_Call_List_PQ!O207="","",Associates_Call_List_PQ!O207)</f>
        <v>Yes</v>
      </c>
      <c r="P207" s="57" t="str">
        <f>IF(Associates_Call_List_PQ!P207="","",Associates_Call_List_PQ!P207)</f>
        <v>N</v>
      </c>
      <c r="Q207" s="57">
        <f>IF(Associates_Call_List_PQ!Q207="","",Associates_Call_List_PQ!Q207)</f>
        <v>45967</v>
      </c>
      <c r="R207" s="57" t="str">
        <f>IF(Associates_Call_List_PQ!R207="","",Associates_Call_List_PQ!R207)</f>
        <v/>
      </c>
      <c r="S207" s="57" t="str">
        <f>IF(Associates_Call_List_PQ!S207="","",Associates_Call_List_PQ!S207)</f>
        <v/>
      </c>
      <c r="T207" s="57" t="str">
        <f>IF(Associates_Call_List_PQ!T207="","",Associates_Call_List_PQ!T207)</f>
        <v/>
      </c>
      <c r="U207" s="57" t="str">
        <f>IF(Associates_Call_List_PQ!U207="","",Associates_Call_List_PQ!U207)</f>
        <v/>
      </c>
      <c r="V207" s="68"/>
      <c r="W207" s="68" t="s">
        <v>5432</v>
      </c>
      <c r="X207" s="68"/>
      <c r="Y207" s="68"/>
      <c r="Z207" s="72"/>
    </row>
    <row r="208" spans="1:26">
      <c r="A208" s="71">
        <f>IFERROR(Associates_Call_List_PQ!A208,"")</f>
        <v>45903</v>
      </c>
      <c r="B208" s="57" t="str">
        <f>IF(Associates_Call_List_PQ!B208="","",Associates_Call_List_PQ!B208)</f>
        <v>Lopez</v>
      </c>
      <c r="C208" s="57" t="str">
        <f>IF(Associates_Call_List_PQ!C208="","",Associates_Call_List_PQ!C208)</f>
        <v>Patricia</v>
      </c>
      <c r="D208" s="57" t="str">
        <f>IF(Associates_Call_List_PQ!D208="","",Associates_Call_List_PQ!D208)</f>
        <v>Goodyear</v>
      </c>
      <c r="E208" s="58">
        <f>IF(Associates_Call_List_PQ!E208="","",Associates_Call_List_PQ!E208)</f>
        <v>85395</v>
      </c>
      <c r="F208" s="57" t="str">
        <f>IF(Associates_Call_List_PQ!F208="","",Associates_Call_List_PQ!F208)</f>
        <v>Opposed</v>
      </c>
      <c r="G208" s="57" t="str">
        <f>IF(Associates_Call_List_PQ!G208="","",Associates_Call_List_PQ!G208)</f>
        <v>https://images.edocket.azcc.gov/docketpdf/E000046190.pdf</v>
      </c>
      <c r="H208" s="59" t="str">
        <f>IF(Associates_Call_List_PQ!H208="","",Associates_Call_List_PQ!H208)</f>
        <v>4144330000 </v>
      </c>
      <c r="I208" s="57" t="str">
        <f>IF(Associates_Call_List_PQ!I208="","",Associates_Call_List_PQ!I208)</f>
        <v>R-2</v>
      </c>
      <c r="J208" s="57" t="str">
        <f>IF(Associates_Call_List_PQ!J208="","",Associates_Call_List_PQ!J208)</f>
        <v>No</v>
      </c>
      <c r="K208" s="57" t="str">
        <f>IF(Associates_Call_List_PQ!K208="","",Associates_Call_List_PQ!K208)</f>
        <v>No</v>
      </c>
      <c r="L208" s="57" t="str">
        <f>IF(Associates_Call_List_PQ!L208="","",Associates_Call_List_PQ!L208)</f>
        <v>Frozen Rate</v>
      </c>
      <c r="M208" s="57" t="str">
        <f>IF(Associates_Call_List_PQ!M208="","",Associates_Call_List_PQ!M208)</f>
        <v>No</v>
      </c>
      <c r="N208" s="57" t="str">
        <f>IF(Associates_Call_List_PQ!N208="","",Associates_Call_List_PQ!N208)</f>
        <v>No</v>
      </c>
      <c r="O208" s="57" t="str">
        <f>IF(Associates_Call_List_PQ!O208="","",Associates_Call_List_PQ!O208)</f>
        <v>Yes</v>
      </c>
      <c r="P208" s="57" t="str">
        <f>IF(Associates_Call_List_PQ!P208="","",Associates_Call_List_PQ!P208)</f>
        <v>N</v>
      </c>
      <c r="Q208" s="57">
        <f>IF(Associates_Call_List_PQ!Q208="","",Associates_Call_List_PQ!Q208)</f>
        <v>45967</v>
      </c>
      <c r="R208" s="57" t="str">
        <f>IF(Associates_Call_List_PQ!R208="","",Associates_Call_List_PQ!R208)</f>
        <v/>
      </c>
      <c r="S208" s="57" t="str">
        <f>IF(Associates_Call_List_PQ!S208="","",Associates_Call_List_PQ!S208)</f>
        <v/>
      </c>
      <c r="T208" s="57" t="str">
        <f>IF(Associates_Call_List_PQ!T208="","",Associates_Call_List_PQ!T208)</f>
        <v/>
      </c>
      <c r="U208" s="57" t="s">
        <v>5552</v>
      </c>
      <c r="V208" s="68" t="s">
        <v>117</v>
      </c>
      <c r="W208" s="68">
        <v>46081</v>
      </c>
      <c r="X208" s="68" t="s">
        <v>5434</v>
      </c>
      <c r="Y208" s="68"/>
      <c r="Z208" s="72" t="s">
        <v>5438</v>
      </c>
    </row>
    <row r="209" spans="1:26">
      <c r="A209" s="71">
        <f>IFERROR(Associates_Call_List_PQ!A209,"")</f>
        <v>45903</v>
      </c>
      <c r="B209" s="57" t="str">
        <f>IF(Associates_Call_List_PQ!B209="","",Associates_Call_List_PQ!B209)</f>
        <v>Renberg</v>
      </c>
      <c r="C209" s="57" t="str">
        <f>IF(Associates_Call_List_PQ!C209="","",Associates_Call_List_PQ!C209)</f>
        <v>Rebecca</v>
      </c>
      <c r="D209" s="57" t="str">
        <f>IF(Associates_Call_List_PQ!D209="","",Associates_Call_List_PQ!D209)</f>
        <v>Phoenix</v>
      </c>
      <c r="E209" s="58">
        <f>IF(Associates_Call_List_PQ!E209="","",Associates_Call_List_PQ!E209)</f>
        <v>85004</v>
      </c>
      <c r="F209" s="57" t="str">
        <f>IF(Associates_Call_List_PQ!F209="","",Associates_Call_List_PQ!F209)</f>
        <v>Form letter</v>
      </c>
      <c r="G209" s="57" t="str">
        <f>IF(Associates_Call_List_PQ!G209="","",Associates_Call_List_PQ!G209)</f>
        <v>https://images.edocket.azcc.gov/docketpdf/E000046190.pdf</v>
      </c>
      <c r="H209" s="59" t="str">
        <f>IF(Associates_Call_List_PQ!H209="","",Associates_Call_List_PQ!H209)</f>
        <v>7638863637 </v>
      </c>
      <c r="I209" s="57" t="str">
        <f>IF(Associates_Call_List_PQ!I209="","",Associates_Call_List_PQ!I209)</f>
        <v>R-BASIC</v>
      </c>
      <c r="J209" s="57" t="str">
        <f>IF(Associates_Call_List_PQ!J209="","",Associates_Call_List_PQ!J209)</f>
        <v>Yes</v>
      </c>
      <c r="K209" s="57" t="str">
        <f>IF(Associates_Call_List_PQ!K209="","",Associates_Call_List_PQ!K209)</f>
        <v>No</v>
      </c>
      <c r="L209" s="57" t="str">
        <f>IF(Associates_Call_List_PQ!L209="","",Associates_Call_List_PQ!L209)</f>
        <v>Yes</v>
      </c>
      <c r="M209" s="57" t="str">
        <f>IF(Associates_Call_List_PQ!M209="","",Associates_Call_List_PQ!M209)</f>
        <v>No</v>
      </c>
      <c r="N209" s="57" t="str">
        <f>IF(Associates_Call_List_PQ!N209="","",Associates_Call_List_PQ!N209)</f>
        <v>No</v>
      </c>
      <c r="O209" s="57" t="str">
        <f>IF(Associates_Call_List_PQ!O209="","",Associates_Call_List_PQ!O209)</f>
        <v>Yes</v>
      </c>
      <c r="P209" s="57" t="str">
        <f>IF(Associates_Call_List_PQ!P209="","",Associates_Call_List_PQ!P209)</f>
        <v>N</v>
      </c>
      <c r="Q209" s="57">
        <f>IF(Associates_Call_List_PQ!Q209="","",Associates_Call_List_PQ!Q209)</f>
        <v>45967</v>
      </c>
      <c r="R209" s="57" t="str">
        <f>IF(Associates_Call_List_PQ!R209="","",Associates_Call_List_PQ!R209)</f>
        <v/>
      </c>
      <c r="S209" s="57" t="str">
        <f>IF(Associates_Call_List_PQ!S209="","",Associates_Call_List_PQ!S209)</f>
        <v/>
      </c>
      <c r="T209" s="57" t="str">
        <f>IF(Associates_Call_List_PQ!T209="","",Associates_Call_List_PQ!T209)</f>
        <v/>
      </c>
      <c r="U209" s="57" t="str">
        <f>IF(Associates_Call_List_PQ!U209="","",Associates_Call_List_PQ!U209)</f>
        <v/>
      </c>
      <c r="V209" s="68"/>
      <c r="W209" s="68" t="s">
        <v>5432</v>
      </c>
      <c r="X209" s="68"/>
      <c r="Y209" s="68"/>
      <c r="Z209" s="72"/>
    </row>
    <row r="210" spans="1:26">
      <c r="A210" s="71">
        <f>IFERROR(Associates_Call_List_PQ!A210,"")</f>
        <v>45903</v>
      </c>
      <c r="B210" s="57" t="str">
        <f>IF(Associates_Call_List_PQ!B210="","",Associates_Call_List_PQ!B210)</f>
        <v>Pannila</v>
      </c>
      <c r="C210" s="57" t="str">
        <f>IF(Associates_Call_List_PQ!C210="","",Associates_Call_List_PQ!C210)</f>
        <v>Samudi</v>
      </c>
      <c r="D210" s="57" t="str">
        <f>IF(Associates_Call_List_PQ!D210="","",Associates_Call_List_PQ!D210)</f>
        <v>Phoenix</v>
      </c>
      <c r="E210" s="58">
        <f>IF(Associates_Call_List_PQ!E210="","",Associates_Call_List_PQ!E210)</f>
        <v>85012</v>
      </c>
      <c r="F210" s="57" t="str">
        <f>IF(Associates_Call_List_PQ!F210="","",Associates_Call_List_PQ!F210)</f>
        <v>Stop being greedy</v>
      </c>
      <c r="G210" s="57" t="str">
        <f>IF(Associates_Call_List_PQ!G210="","",Associates_Call_List_PQ!G210)</f>
        <v>https://images.edocket.azcc.gov/docketpdf/E000046190.pdf</v>
      </c>
      <c r="H210" s="59" t="str">
        <f>IF(Associates_Call_List_PQ!H210="","",Associates_Call_List_PQ!H210)</f>
        <v>8212166884 </v>
      </c>
      <c r="I210" s="57" t="str">
        <f>IF(Associates_Call_List_PQ!I210="","",Associates_Call_List_PQ!I210)</f>
        <v>R3-47</v>
      </c>
      <c r="J210" s="57" t="str">
        <f>IF(Associates_Call_List_PQ!J210="","",Associates_Call_List_PQ!J210)</f>
        <v>No</v>
      </c>
      <c r="K210" s="57" t="str">
        <f>IF(Associates_Call_List_PQ!K210="","",Associates_Call_List_PQ!K210)</f>
        <v>No</v>
      </c>
      <c r="L210" s="57" t="str">
        <f>IF(Associates_Call_List_PQ!L210="","",Associates_Call_List_PQ!L210)</f>
        <v>No MEP R-XS ($22.77)</v>
      </c>
      <c r="M210" s="57" t="str">
        <f>IF(Associates_Call_List_PQ!M210="","",Associates_Call_List_PQ!M210)</f>
        <v>No</v>
      </c>
      <c r="N210" s="57" t="str">
        <f>IF(Associates_Call_List_PQ!N210="","",Associates_Call_List_PQ!N210)</f>
        <v>No</v>
      </c>
      <c r="O210" s="57" t="str">
        <f>IF(Associates_Call_List_PQ!O210="","",Associates_Call_List_PQ!O210)</f>
        <v>Yes</v>
      </c>
      <c r="P210" s="57" t="str">
        <f>IF(Associates_Call_List_PQ!P210="","",Associates_Call_List_PQ!P210)</f>
        <v>N</v>
      </c>
      <c r="Q210" s="57">
        <f>IF(Associates_Call_List_PQ!Q210="","",Associates_Call_List_PQ!Q210)</f>
        <v>45967</v>
      </c>
      <c r="R210" s="57" t="str">
        <f>IF(Associates_Call_List_PQ!R210="","",Associates_Call_List_PQ!R210)</f>
        <v/>
      </c>
      <c r="S210" s="57" t="str">
        <f>IF(Associates_Call_List_PQ!S210="","",Associates_Call_List_PQ!S210)</f>
        <v/>
      </c>
      <c r="T210" s="57" t="str">
        <f>IF(Associates_Call_List_PQ!T210="","",Associates_Call_List_PQ!T210)</f>
        <v/>
      </c>
      <c r="U210" s="57" t="s">
        <v>5565</v>
      </c>
      <c r="V210" s="68" t="s">
        <v>117</v>
      </c>
      <c r="W210" s="68">
        <v>46025</v>
      </c>
      <c r="X210" s="68" t="s">
        <v>5405</v>
      </c>
      <c r="Y210" s="68"/>
      <c r="Z210" s="72"/>
    </row>
    <row r="211" spans="1:26">
      <c r="A211" s="71">
        <f>IFERROR(Associates_Call_List_PQ!A211,"")</f>
        <v>45903</v>
      </c>
      <c r="B211" s="57" t="str">
        <f>IF(Associates_Call_List_PQ!B211="","",Associates_Call_List_PQ!B211)</f>
        <v>Didier</v>
      </c>
      <c r="C211" s="57" t="str">
        <f>IF(Associates_Call_List_PQ!C211="","",Associates_Call_List_PQ!C211)</f>
        <v>Laurel</v>
      </c>
      <c r="D211" s="57" t="str">
        <f>IF(Associates_Call_List_PQ!D211="","",Associates_Call_List_PQ!D211)</f>
        <v>Phoenix</v>
      </c>
      <c r="E211" s="58">
        <f>IF(Associates_Call_List_PQ!E211="","",Associates_Call_List_PQ!E211)</f>
        <v>85085</v>
      </c>
      <c r="F211" s="57" t="str">
        <f>IF(Associates_Call_List_PQ!F211="","",Associates_Call_List_PQ!F211)</f>
        <v>Opposed</v>
      </c>
      <c r="G211" s="57" t="str">
        <f>IF(Associates_Call_List_PQ!G211="","",Associates_Call_List_PQ!G211)</f>
        <v>https://images.edocket.azcc.gov/docketpdf/E000046190.pdf</v>
      </c>
      <c r="H211" s="59" t="str">
        <f>IF(Associates_Call_List_PQ!H211="","",Associates_Call_List_PQ!H211)</f>
        <v>9811726626 </v>
      </c>
      <c r="I211" s="57" t="str">
        <f>IF(Associates_Call_List_PQ!I211="","",Associates_Call_List_PQ!I211)</f>
        <v>R3-47</v>
      </c>
      <c r="J211" s="57" t="str">
        <f>IF(Associates_Call_List_PQ!J211="","",Associates_Call_List_PQ!J211)</f>
        <v>No</v>
      </c>
      <c r="K211" s="57" t="str">
        <f>IF(Associates_Call_List_PQ!K211="","",Associates_Call_List_PQ!K211)</f>
        <v>No</v>
      </c>
      <c r="L211" s="57" t="str">
        <f>IF(Associates_Call_List_PQ!L211="","",Associates_Call_List_PQ!L211)</f>
        <v>Yes</v>
      </c>
      <c r="M211" s="57" t="str">
        <f>IF(Associates_Call_List_PQ!M211="","",Associates_Call_List_PQ!M211)</f>
        <v>No</v>
      </c>
      <c r="N211" s="57" t="str">
        <f>IF(Associates_Call_List_PQ!N211="","",Associates_Call_List_PQ!N211)</f>
        <v>No</v>
      </c>
      <c r="O211" s="57" t="str">
        <f>IF(Associates_Call_List_PQ!O211="","",Associates_Call_List_PQ!O211)</f>
        <v>Yes</v>
      </c>
      <c r="P211" s="57" t="str">
        <f>IF(Associates_Call_List_PQ!P211="","",Associates_Call_List_PQ!P211)</f>
        <v>N</v>
      </c>
      <c r="Q211" s="57">
        <f>IF(Associates_Call_List_PQ!Q211="","",Associates_Call_List_PQ!Q211)</f>
        <v>45967</v>
      </c>
      <c r="R211" s="57" t="str">
        <f>IF(Associates_Call_List_PQ!R211="","",Associates_Call_List_PQ!R211)</f>
        <v/>
      </c>
      <c r="S211" s="57" t="str">
        <f>IF(Associates_Call_List_PQ!S211="","",Associates_Call_List_PQ!S211)</f>
        <v/>
      </c>
      <c r="T211" s="57" t="str">
        <f>IF(Associates_Call_List_PQ!T211="","",Associates_Call_List_PQ!T211)</f>
        <v/>
      </c>
      <c r="U211" s="57" t="str">
        <f>IF(Associates_Call_List_PQ!U211="","",Associates_Call_List_PQ!U211)</f>
        <v>Solar Partner Program</v>
      </c>
      <c r="V211" s="68"/>
      <c r="W211" s="68" t="s">
        <v>5432</v>
      </c>
      <c r="X211" s="68"/>
      <c r="Y211" s="68"/>
      <c r="Z211" s="72"/>
    </row>
    <row r="212" spans="1:26">
      <c r="A212" s="71">
        <f>IFERROR(Associates_Call_List_PQ!A212,"")</f>
        <v>45903</v>
      </c>
      <c r="B212" s="57" t="str">
        <f>IF(Associates_Call_List_PQ!B212="","",Associates_Call_List_PQ!B212)</f>
        <v>Ranganathan</v>
      </c>
      <c r="C212" s="57" t="str">
        <f>IF(Associates_Call_List_PQ!C212="","",Associates_Call_List_PQ!C212)</f>
        <v>Vengadesh</v>
      </c>
      <c r="D212" s="57" t="str">
        <f>IF(Associates_Call_List_PQ!D212="","",Associates_Call_List_PQ!D212)</f>
        <v>Phoenix</v>
      </c>
      <c r="E212" s="58">
        <f>IF(Associates_Call_List_PQ!E212="","",Associates_Call_List_PQ!E212)</f>
        <v>85024</v>
      </c>
      <c r="F212" s="57" t="str">
        <f>IF(Associates_Call_List_PQ!F212="","",Associates_Call_List_PQ!F212)</f>
        <v>Form letter</v>
      </c>
      <c r="G212" s="57" t="str">
        <f>IF(Associates_Call_List_PQ!G212="","",Associates_Call_List_PQ!G212)</f>
        <v>https://images.edocket.azcc.gov/docketpdf/E000046190.pdf</v>
      </c>
      <c r="H212" s="59" t="str">
        <f>IF(Associates_Call_List_PQ!H212="","",Associates_Call_List_PQ!H212)</f>
        <v>2143830000 </v>
      </c>
      <c r="I212" s="57" t="str">
        <f>IF(Associates_Call_List_PQ!I212="","",Associates_Call_List_PQ!I212)</f>
        <v>RTOUE47</v>
      </c>
      <c r="J212" s="57" t="str">
        <f>IF(Associates_Call_List_PQ!J212="","",Associates_Call_List_PQ!J212)</f>
        <v>No</v>
      </c>
      <c r="K212" s="57" t="str">
        <f>IF(Associates_Call_List_PQ!K212="","",Associates_Call_List_PQ!K212)</f>
        <v>No</v>
      </c>
      <c r="L212" s="57" t="str">
        <f>IF(Associates_Call_List_PQ!L212="","",Associates_Call_List_PQ!L212)</f>
        <v>Yes</v>
      </c>
      <c r="M212" s="57" t="str">
        <f>IF(Associates_Call_List_PQ!M212="","",Associates_Call_List_PQ!M212)</f>
        <v>No</v>
      </c>
      <c r="N212" s="57" t="str">
        <f>IF(Associates_Call_List_PQ!N212="","",Associates_Call_List_PQ!N212)</f>
        <v>No</v>
      </c>
      <c r="O212" s="57" t="str">
        <f>IF(Associates_Call_List_PQ!O212="","",Associates_Call_List_PQ!O212)</f>
        <v>Yes</v>
      </c>
      <c r="P212" s="57" t="str">
        <f>IF(Associates_Call_List_PQ!P212="","",Associates_Call_List_PQ!P212)</f>
        <v>N</v>
      </c>
      <c r="Q212" s="57">
        <f>IF(Associates_Call_List_PQ!Q212="","",Associates_Call_List_PQ!Q212)</f>
        <v>45967</v>
      </c>
      <c r="R212" s="57" t="str">
        <f>IF(Associates_Call_List_PQ!R212="","",Associates_Call_List_PQ!R212)</f>
        <v/>
      </c>
      <c r="S212" s="57" t="str">
        <f>IF(Associates_Call_List_PQ!S212="","",Associates_Call_List_PQ!S212)</f>
        <v/>
      </c>
      <c r="T212" s="57" t="str">
        <f>IF(Associates_Call_List_PQ!T212="","",Associates_Call_List_PQ!T212)</f>
        <v/>
      </c>
      <c r="U212" s="57" t="s">
        <v>5566</v>
      </c>
      <c r="V212" s="68" t="s">
        <v>117</v>
      </c>
      <c r="W212" s="68">
        <v>46081</v>
      </c>
      <c r="X212" s="68" t="s">
        <v>5405</v>
      </c>
      <c r="Y212" s="68"/>
      <c r="Z212" s="72" t="s">
        <v>5567</v>
      </c>
    </row>
    <row r="213" spans="1:26">
      <c r="A213" s="71">
        <f>IFERROR(Associates_Call_List_PQ!A213,"")</f>
        <v>45903</v>
      </c>
      <c r="B213" s="57" t="str">
        <f>IF(Associates_Call_List_PQ!B213="","",Associates_Call_List_PQ!B213)</f>
        <v>Corona</v>
      </c>
      <c r="C213" s="57" t="str">
        <f>IF(Associates_Call_List_PQ!C213="","",Associates_Call_List_PQ!C213)</f>
        <v>Anthony</v>
      </c>
      <c r="D213" s="57" t="str">
        <f>IF(Associates_Call_List_PQ!D213="","",Associates_Call_List_PQ!D213)</f>
        <v>Phoenix</v>
      </c>
      <c r="E213" s="58">
        <f>IF(Associates_Call_List_PQ!E213="","",Associates_Call_List_PQ!E213)</f>
        <v>85023</v>
      </c>
      <c r="F213" s="57" t="str">
        <f>IF(Associates_Call_List_PQ!F213="","",Associates_Call_List_PQ!F213)</f>
        <v>Opposed</v>
      </c>
      <c r="G213" s="57" t="str">
        <f>IF(Associates_Call_List_PQ!G213="","",Associates_Call_List_PQ!G213)</f>
        <v>https://images.edocket.azcc.gov/docketpdf/E000046190.pdf</v>
      </c>
      <c r="H213" s="59" t="str">
        <f>IF(Associates_Call_List_PQ!H213="","",Associates_Call_List_PQ!H213)</f>
        <v xml:space="preserve">3322263490 </v>
      </c>
      <c r="I213" s="57" t="str">
        <f>IF(Associates_Call_List_PQ!I213="","",Associates_Call_List_PQ!I213)</f>
        <v>R-2</v>
      </c>
      <c r="J213" s="57" t="str">
        <f>IF(Associates_Call_List_PQ!J213="","",Associates_Call_List_PQ!J213)</f>
        <v>Yes</v>
      </c>
      <c r="K213" s="57" t="str">
        <f>IF(Associates_Call_List_PQ!K213="","",Associates_Call_List_PQ!K213)</f>
        <v>No</v>
      </c>
      <c r="L213" s="57" t="str">
        <f>IF(Associates_Call_List_PQ!L213="","",Associates_Call_List_PQ!L213)</f>
        <v>Frozen Rate</v>
      </c>
      <c r="M213" s="57" t="str">
        <f>IF(Associates_Call_List_PQ!M213="","",Associates_Call_List_PQ!M213)</f>
        <v>No</v>
      </c>
      <c r="N213" s="57" t="str">
        <f>IF(Associates_Call_List_PQ!N213="","",Associates_Call_List_PQ!N213)</f>
        <v>No</v>
      </c>
      <c r="O213" s="57" t="str">
        <f>IF(Associates_Call_List_PQ!O213="","",Associates_Call_List_PQ!O213)</f>
        <v>Yes</v>
      </c>
      <c r="P213" s="57" t="str">
        <f>IF(Associates_Call_List_PQ!P213="","",Associates_Call_List_PQ!P213)</f>
        <v>N</v>
      </c>
      <c r="Q213" s="57">
        <f>IF(Associates_Call_List_PQ!Q213="","",Associates_Call_List_PQ!Q213)</f>
        <v>45967</v>
      </c>
      <c r="R213" s="57" t="str">
        <f>IF(Associates_Call_List_PQ!R213="","",Associates_Call_List_PQ!R213)</f>
        <v/>
      </c>
      <c r="S213" s="57" t="str">
        <f>IF(Associates_Call_List_PQ!S213="","",Associates_Call_List_PQ!S213)</f>
        <v/>
      </c>
      <c r="T213" s="57" t="str">
        <f>IF(Associates_Call_List_PQ!T213="","",Associates_Call_List_PQ!T213)</f>
        <v/>
      </c>
      <c r="U213" s="57" t="str">
        <f>IF(Associates_Call_List_PQ!U213="","",Associates_Call_List_PQ!U213)</f>
        <v/>
      </c>
      <c r="V213" s="68"/>
      <c r="W213" s="68" t="s">
        <v>5432</v>
      </c>
      <c r="X213" s="68"/>
      <c r="Y213" s="68"/>
      <c r="Z213" s="72"/>
    </row>
    <row r="214" spans="1:26">
      <c r="A214" s="71">
        <f>IFERROR(Associates_Call_List_PQ!A214,"")</f>
        <v>45903</v>
      </c>
      <c r="B214" s="57" t="str">
        <f>IF(Associates_Call_List_PQ!B214="","",Associates_Call_List_PQ!B214)</f>
        <v>Czyzewicz</v>
      </c>
      <c r="C214" s="57" t="str">
        <f>IF(Associates_Call_List_PQ!C214="","",Associates_Call_List_PQ!C214)</f>
        <v>Savannah</v>
      </c>
      <c r="D214" s="57" t="str">
        <f>IF(Associates_Call_List_PQ!D214="","",Associates_Call_List_PQ!D214)</f>
        <v>Surprise</v>
      </c>
      <c r="E214" s="58">
        <f>IF(Associates_Call_List_PQ!E214="","",Associates_Call_List_PQ!E214)</f>
        <v>85387</v>
      </c>
      <c r="F214" s="57" t="str">
        <f>IF(Associates_Call_List_PQ!F214="","",Associates_Call_List_PQ!F214)</f>
        <v>Form letter</v>
      </c>
      <c r="G214" s="57" t="str">
        <f>IF(Associates_Call_List_PQ!G214="","",Associates_Call_List_PQ!G214)</f>
        <v>https://images.edocket.azcc.gov/docketpdf/E000046190.pdf</v>
      </c>
      <c r="H214" s="59" t="str">
        <f>IF(Associates_Call_List_PQ!H214="","",Associates_Call_List_PQ!H214)</f>
        <v>9099805696 </v>
      </c>
      <c r="I214" s="57" t="str">
        <f>IF(Associates_Call_List_PQ!I214="","",Associates_Call_List_PQ!I214)</f>
        <v>R-BASIC</v>
      </c>
      <c r="J214" s="57" t="str">
        <f>IF(Associates_Call_List_PQ!J214="","",Associates_Call_List_PQ!J214)</f>
        <v>No</v>
      </c>
      <c r="K214" s="57" t="str">
        <f>IF(Associates_Call_List_PQ!K214="","",Associates_Call_List_PQ!K214)</f>
        <v>No</v>
      </c>
      <c r="L214" s="57" t="str">
        <f>IF(Associates_Call_List_PQ!L214="","",Associates_Call_List_PQ!L214)</f>
        <v>Yes</v>
      </c>
      <c r="M214" s="57" t="str">
        <f>IF(Associates_Call_List_PQ!M214="","",Associates_Call_List_PQ!M214)</f>
        <v>No</v>
      </c>
      <c r="N214" s="57" t="str">
        <f>IF(Associates_Call_List_PQ!N214="","",Associates_Call_List_PQ!N214)</f>
        <v>No</v>
      </c>
      <c r="O214" s="57" t="str">
        <f>IF(Associates_Call_List_PQ!O214="","",Associates_Call_List_PQ!O214)</f>
        <v>Yes</v>
      </c>
      <c r="P214" s="57" t="str">
        <f>IF(Associates_Call_List_PQ!P214="","",Associates_Call_List_PQ!P214)</f>
        <v>N</v>
      </c>
      <c r="Q214" s="57">
        <f>IF(Associates_Call_List_PQ!Q214="","",Associates_Call_List_PQ!Q214)</f>
        <v>45967</v>
      </c>
      <c r="R214" s="57" t="str">
        <f>IF(Associates_Call_List_PQ!R214="","",Associates_Call_List_PQ!R214)</f>
        <v/>
      </c>
      <c r="S214" s="57" t="str">
        <f>IF(Associates_Call_List_PQ!S214="","",Associates_Call_List_PQ!S214)</f>
        <v/>
      </c>
      <c r="T214" s="57" t="str">
        <f>IF(Associates_Call_List_PQ!T214="","",Associates_Call_List_PQ!T214)</f>
        <v/>
      </c>
      <c r="U214" s="57" t="s">
        <v>5568</v>
      </c>
      <c r="V214" s="68" t="s">
        <v>117</v>
      </c>
      <c r="W214" s="68">
        <v>46081</v>
      </c>
      <c r="X214" s="68" t="s">
        <v>5434</v>
      </c>
      <c r="Y214" s="68"/>
      <c r="Z214" s="72"/>
    </row>
    <row r="215" spans="1:26">
      <c r="A215" s="71">
        <f>IFERROR(Associates_Call_List_PQ!A215,"")</f>
        <v>45903</v>
      </c>
      <c r="B215" s="57" t="str">
        <f>IF(Associates_Call_List_PQ!B215="","",Associates_Call_List_PQ!B215)</f>
        <v xml:space="preserve">Breining </v>
      </c>
      <c r="C215" s="57" t="str">
        <f>IF(Associates_Call_List_PQ!C215="","",Associates_Call_List_PQ!C215)</f>
        <v>Lauren</v>
      </c>
      <c r="D215" s="57" t="str">
        <f>IF(Associates_Call_List_PQ!D215="","",Associates_Call_List_PQ!D215)</f>
        <v>Scottsdale</v>
      </c>
      <c r="E215" s="58">
        <f>IF(Associates_Call_List_PQ!E215="","",Associates_Call_List_PQ!E215)</f>
        <v>85258</v>
      </c>
      <c r="F215" s="57" t="str">
        <f>IF(Associates_Call_List_PQ!F215="","",Associates_Call_List_PQ!F215)</f>
        <v>Form letter</v>
      </c>
      <c r="G215" s="57" t="str">
        <f>IF(Associates_Call_List_PQ!G215="","",Associates_Call_List_PQ!G215)</f>
        <v>https://images.edocket.azcc.gov/docketpdf/E000046190.pdf</v>
      </c>
      <c r="H215" s="59" t="str">
        <f>IF(Associates_Call_List_PQ!H215="","",Associates_Call_List_PQ!H215)</f>
        <v>7750680041 </v>
      </c>
      <c r="I215" s="57" t="str">
        <f>IF(Associates_Call_List_PQ!I215="","",Associates_Call_List_PQ!I215)</f>
        <v>R3-47</v>
      </c>
      <c r="J215" s="57" t="str">
        <f>IF(Associates_Call_List_PQ!J215="","",Associates_Call_List_PQ!J215)</f>
        <v>No</v>
      </c>
      <c r="K215" s="57" t="str">
        <f>IF(Associates_Call_List_PQ!K215="","",Associates_Call_List_PQ!K215)</f>
        <v>No</v>
      </c>
      <c r="L215" s="57" t="str">
        <f>IF(Associates_Call_List_PQ!L215="","",Associates_Call_List_PQ!L215)</f>
        <v>No MEP R-BASIC($196.33)</v>
      </c>
      <c r="M215" s="57" t="str">
        <f>IF(Associates_Call_List_PQ!M215="","",Associates_Call_List_PQ!M215)</f>
        <v>No</v>
      </c>
      <c r="N215" s="57" t="str">
        <f>IF(Associates_Call_List_PQ!N215="","",Associates_Call_List_PQ!N215)</f>
        <v>No</v>
      </c>
      <c r="O215" s="57" t="str">
        <f>IF(Associates_Call_List_PQ!O215="","",Associates_Call_List_PQ!O215)</f>
        <v>Yes</v>
      </c>
      <c r="P215" s="57" t="str">
        <f>IF(Associates_Call_List_PQ!P215="","",Associates_Call_List_PQ!P215)</f>
        <v>N</v>
      </c>
      <c r="Q215" s="57">
        <f>IF(Associates_Call_List_PQ!Q215="","",Associates_Call_List_PQ!Q215)</f>
        <v>45967</v>
      </c>
      <c r="R215" s="57" t="str">
        <f>IF(Associates_Call_List_PQ!R215="","",Associates_Call_List_PQ!R215)</f>
        <v>Number not in service</v>
      </c>
      <c r="S215" s="57" t="str">
        <f>IF(Associates_Call_List_PQ!S215="","",Associates_Call_List_PQ!S215)</f>
        <v/>
      </c>
      <c r="T215" s="57" t="str">
        <f>IF(Associates_Call_List_PQ!T215="","",Associates_Call_List_PQ!T215)</f>
        <v/>
      </c>
      <c r="U215" s="57" t="s">
        <v>5513</v>
      </c>
      <c r="V215" s="68" t="s">
        <v>117</v>
      </c>
      <c r="W215" s="68">
        <v>46025</v>
      </c>
      <c r="X215" s="68" t="s">
        <v>5434</v>
      </c>
      <c r="Y215" s="68"/>
      <c r="Z215" s="72"/>
    </row>
    <row r="216" spans="1:26">
      <c r="A216" s="71">
        <f>IFERROR(Associates_Call_List_PQ!A216,"")</f>
        <v>45903</v>
      </c>
      <c r="B216" s="57" t="str">
        <f>IF(Associates_Call_List_PQ!B216="","",Associates_Call_List_PQ!B216)</f>
        <v>Rajkaran</v>
      </c>
      <c r="C216" s="57" t="str">
        <f>IF(Associates_Call_List_PQ!C216="","",Associates_Call_List_PQ!C216)</f>
        <v>Rupesh</v>
      </c>
      <c r="D216" s="57" t="str">
        <f>IF(Associates_Call_List_PQ!D216="","",Associates_Call_List_PQ!D216)</f>
        <v>Peoria</v>
      </c>
      <c r="E216" s="58">
        <f>IF(Associates_Call_List_PQ!E216="","",Associates_Call_List_PQ!E216)</f>
        <v>85383</v>
      </c>
      <c r="F216" s="57" t="str">
        <f>IF(Associates_Call_List_PQ!F216="","",Associates_Call_List_PQ!F216)</f>
        <v>Opposed</v>
      </c>
      <c r="G216" s="57" t="str">
        <f>IF(Associates_Call_List_PQ!G216="","",Associates_Call_List_PQ!G216)</f>
        <v>https://images.edocket.azcc.gov/docketpdf/E000046190.pdf</v>
      </c>
      <c r="H216" s="59" t="str">
        <f>IF(Associates_Call_List_PQ!H216="","",Associates_Call_List_PQ!H216)</f>
        <v>7639960000 </v>
      </c>
      <c r="I216" s="57" t="str">
        <f>IF(Associates_Call_List_PQ!I216="","",Associates_Call_List_PQ!I216)</f>
        <v>R-BASIC</v>
      </c>
      <c r="J216" s="57" t="str">
        <f>IF(Associates_Call_List_PQ!J216="","",Associates_Call_List_PQ!J216)</f>
        <v>No</v>
      </c>
      <c r="K216" s="57" t="str">
        <f>IF(Associates_Call_List_PQ!K216="","",Associates_Call_List_PQ!K216)</f>
        <v>No</v>
      </c>
      <c r="L216" s="57" t="str">
        <f>IF(Associates_Call_List_PQ!L216="","",Associates_Call_List_PQ!L216)</f>
        <v>No MEP R-XS(19.31)</v>
      </c>
      <c r="M216" s="57" t="str">
        <f>IF(Associates_Call_List_PQ!M216="","",Associates_Call_List_PQ!M216)</f>
        <v>No</v>
      </c>
      <c r="N216" s="57" t="str">
        <f>IF(Associates_Call_List_PQ!N216="","",Associates_Call_List_PQ!N216)</f>
        <v>No</v>
      </c>
      <c r="O216" s="57" t="str">
        <f>IF(Associates_Call_List_PQ!O216="","",Associates_Call_List_PQ!O216)</f>
        <v>Yes</v>
      </c>
      <c r="P216" s="57" t="str">
        <f>IF(Associates_Call_List_PQ!P216="","",Associates_Call_List_PQ!P216)</f>
        <v>N</v>
      </c>
      <c r="Q216" s="57">
        <f>IF(Associates_Call_List_PQ!Q216="","",Associates_Call_List_PQ!Q216)</f>
        <v>45967</v>
      </c>
      <c r="R216" s="57" t="str">
        <f>IF(Associates_Call_List_PQ!R216="","",Associates_Call_List_PQ!R216)</f>
        <v>2 SAs on account should be automatically reassigned to Tier 1 soon</v>
      </c>
      <c r="S216" s="57" t="str">
        <f>IF(Associates_Call_List_PQ!S216="","",Associates_Call_List_PQ!S216)</f>
        <v/>
      </c>
      <c r="T216" s="57" t="str">
        <f>IF(Associates_Call_List_PQ!T216="","",Associates_Call_List_PQ!T216)</f>
        <v/>
      </c>
      <c r="U216" s="57" t="s">
        <v>5569</v>
      </c>
      <c r="V216" s="68" t="s">
        <v>117</v>
      </c>
      <c r="W216" s="68">
        <v>46053</v>
      </c>
      <c r="X216" s="68" t="s">
        <v>5405</v>
      </c>
      <c r="Y216" s="68"/>
      <c r="Z216" s="72" t="s">
        <v>5570</v>
      </c>
    </row>
    <row r="217" spans="1:26">
      <c r="A217" s="71">
        <f>IFERROR(Associates_Call_List_PQ!A217,"")</f>
        <v>45903</v>
      </c>
      <c r="B217" s="57" t="str">
        <f>IF(Associates_Call_List_PQ!B217="","",Associates_Call_List_PQ!B217)</f>
        <v>Lipfert</v>
      </c>
      <c r="C217" s="57" t="str">
        <f>IF(Associates_Call_List_PQ!C217="","",Associates_Call_List_PQ!C217)</f>
        <v>John</v>
      </c>
      <c r="D217" s="57" t="str">
        <f>IF(Associates_Call_List_PQ!D217="","",Associates_Call_List_PQ!D217)</f>
        <v>Phoenix</v>
      </c>
      <c r="E217" s="58">
        <f>IF(Associates_Call_List_PQ!E217="","",Associates_Call_List_PQ!E217)</f>
        <v>85028</v>
      </c>
      <c r="F217" s="57" t="str">
        <f>IF(Associates_Call_List_PQ!F217="","",Associates_Call_List_PQ!F217)</f>
        <v>Opposed</v>
      </c>
      <c r="G217" s="57" t="str">
        <f>IF(Associates_Call_List_PQ!G217="","",Associates_Call_List_PQ!G217)</f>
        <v>https://images.edocket.azcc.gov/docketpdf/E000046190.pdf</v>
      </c>
      <c r="H217" s="59" t="str">
        <f>IF(Associates_Call_List_PQ!H217="","",Associates_Call_List_PQ!H217)</f>
        <v>9798231000 </v>
      </c>
      <c r="I217" s="57" t="str">
        <f>IF(Associates_Call_List_PQ!I217="","",Associates_Call_List_PQ!I217)</f>
        <v>R3-47</v>
      </c>
      <c r="J217" s="57" t="str">
        <f>IF(Associates_Call_List_PQ!J217="","",Associates_Call_List_PQ!J217)</f>
        <v>No</v>
      </c>
      <c r="K217" s="57" t="str">
        <f>IF(Associates_Call_List_PQ!K217="","",Associates_Call_List_PQ!K217)</f>
        <v>No</v>
      </c>
      <c r="L217" s="57" t="str">
        <f>IF(Associates_Call_List_PQ!L217="","",Associates_Call_List_PQ!L217)</f>
        <v>Yes</v>
      </c>
      <c r="M217" s="57" t="str">
        <f>IF(Associates_Call_List_PQ!M217="","",Associates_Call_List_PQ!M217)</f>
        <v>No</v>
      </c>
      <c r="N217" s="57" t="str">
        <f>IF(Associates_Call_List_PQ!N217="","",Associates_Call_List_PQ!N217)</f>
        <v>No</v>
      </c>
      <c r="O217" s="57" t="str">
        <f>IF(Associates_Call_List_PQ!O217="","",Associates_Call_List_PQ!O217)</f>
        <v>Yes</v>
      </c>
      <c r="P217" s="57" t="str">
        <f>IF(Associates_Call_List_PQ!P217="","",Associates_Call_List_PQ!P217)</f>
        <v>N</v>
      </c>
      <c r="Q217" s="57">
        <f>IF(Associates_Call_List_PQ!Q217="","",Associates_Call_List_PQ!Q217)</f>
        <v>45967</v>
      </c>
      <c r="R217" s="57" t="str">
        <f>IF(Associates_Call_List_PQ!R217="","",Associates_Call_List_PQ!R217)</f>
        <v/>
      </c>
      <c r="S217" s="57" t="str">
        <f>IF(Associates_Call_List_PQ!S217="","",Associates_Call_List_PQ!S217)</f>
        <v/>
      </c>
      <c r="T217" s="57" t="str">
        <f>IF(Associates_Call_List_PQ!T217="","",Associates_Call_List_PQ!T217)</f>
        <v/>
      </c>
      <c r="U217" s="57" t="str">
        <f>IF(Associates_Call_List_PQ!U217="","",Associates_Call_List_PQ!U217)</f>
        <v>filed 2x on this day</v>
      </c>
      <c r="V217" s="68"/>
      <c r="W217" s="68" t="s">
        <v>5432</v>
      </c>
      <c r="X217" s="68"/>
      <c r="Y217" s="68"/>
      <c r="Z217" s="72"/>
    </row>
    <row r="218" spans="1:26">
      <c r="A218" s="71">
        <f>IFERROR(Associates_Call_List_PQ!A218,"")</f>
        <v>45903</v>
      </c>
      <c r="B218" s="57" t="str">
        <f>IF(Associates_Call_List_PQ!B218="","",Associates_Call_List_PQ!B218)</f>
        <v>Caldwell</v>
      </c>
      <c r="C218" s="57" t="str">
        <f>IF(Associates_Call_List_PQ!C218="","",Associates_Call_List_PQ!C218)</f>
        <v>Davis</v>
      </c>
      <c r="D218" s="57" t="str">
        <f>IF(Associates_Call_List_PQ!D218="","",Associates_Call_List_PQ!D218)</f>
        <v>Phoenix</v>
      </c>
      <c r="E218" s="58">
        <f>IF(Associates_Call_List_PQ!E218="","",Associates_Call_List_PQ!E218)</f>
        <v>85016</v>
      </c>
      <c r="F218" s="57" t="str">
        <f>IF(Associates_Call_List_PQ!F218="","",Associates_Call_List_PQ!F218)</f>
        <v>Form letter</v>
      </c>
      <c r="G218" s="57" t="str">
        <f>IF(Associates_Call_List_PQ!G218="","",Associates_Call_List_PQ!G218)</f>
        <v>https://images.edocket.azcc.gov/docketpdf/E000046190.pdf</v>
      </c>
      <c r="H218" s="59" t="str">
        <f>IF(Associates_Call_List_PQ!H218="","",Associates_Call_List_PQ!H218)</f>
        <v>4834742574 </v>
      </c>
      <c r="I218" s="57" t="str">
        <f>IF(Associates_Call_List_PQ!I218="","",Associates_Call_List_PQ!I218)</f>
        <v>R3-47</v>
      </c>
      <c r="J218" s="57" t="str">
        <f>IF(Associates_Call_List_PQ!J218="","",Associates_Call_List_PQ!J218)</f>
        <v>No</v>
      </c>
      <c r="K218" s="57" t="str">
        <f>IF(Associates_Call_List_PQ!K218="","",Associates_Call_List_PQ!K218)</f>
        <v>No</v>
      </c>
      <c r="L218" s="57" t="str">
        <f>IF(Associates_Call_List_PQ!L218="","",Associates_Call_List_PQ!L218)</f>
        <v>Yes</v>
      </c>
      <c r="M218" s="57" t="str">
        <f>IF(Associates_Call_List_PQ!M218="","",Associates_Call_List_PQ!M218)</f>
        <v>No</v>
      </c>
      <c r="N218" s="57" t="str">
        <f>IF(Associates_Call_List_PQ!N218="","",Associates_Call_List_PQ!N218)</f>
        <v>No</v>
      </c>
      <c r="O218" s="57" t="str">
        <f>IF(Associates_Call_List_PQ!O218="","",Associates_Call_List_PQ!O218)</f>
        <v>Yes</v>
      </c>
      <c r="P218" s="57" t="str">
        <f>IF(Associates_Call_List_PQ!P218="","",Associates_Call_List_PQ!P218)</f>
        <v>N</v>
      </c>
      <c r="Q218" s="57">
        <f>IF(Associates_Call_List_PQ!Q218="","",Associates_Call_List_PQ!Q218)</f>
        <v>45967</v>
      </c>
      <c r="R218" s="57" t="str">
        <f>IF(Associates_Call_List_PQ!R218="","",Associates_Call_List_PQ!R218)</f>
        <v/>
      </c>
      <c r="S218" s="57" t="str">
        <f>IF(Associates_Call_List_PQ!S218="","",Associates_Call_List_PQ!S218)</f>
        <v/>
      </c>
      <c r="T218" s="57" t="str">
        <f>IF(Associates_Call_List_PQ!T218="","",Associates_Call_List_PQ!T218)</f>
        <v/>
      </c>
      <c r="U218" s="57" t="s">
        <v>5514</v>
      </c>
      <c r="V218" s="68" t="s">
        <v>117</v>
      </c>
      <c r="W218" s="68">
        <v>46081</v>
      </c>
      <c r="X218" s="68" t="s">
        <v>5434</v>
      </c>
      <c r="Y218" s="68"/>
      <c r="Z218" s="72"/>
    </row>
    <row r="219" spans="1:26">
      <c r="A219" s="71">
        <f>IFERROR(Associates_Call_List_PQ!A219,"")</f>
        <v>45903</v>
      </c>
      <c r="B219" s="57" t="str">
        <f>IF(Associates_Call_List_PQ!B219="","",Associates_Call_List_PQ!B219)</f>
        <v>Ollerton</v>
      </c>
      <c r="C219" s="57" t="str">
        <f>IF(Associates_Call_List_PQ!C219="","",Associates_Call_List_PQ!C219)</f>
        <v>Diana</v>
      </c>
      <c r="D219" s="57" t="str">
        <f>IF(Associates_Call_List_PQ!D219="","",Associates_Call_List_PQ!D219)</f>
        <v>Goodyear</v>
      </c>
      <c r="E219" s="58">
        <f>IF(Associates_Call_List_PQ!E219="","",Associates_Call_List_PQ!E219)</f>
        <v>85395</v>
      </c>
      <c r="F219" s="57" t="str">
        <f>IF(Associates_Call_List_PQ!F219="","",Associates_Call_List_PQ!F219)</f>
        <v>Senior / Fixed Income</v>
      </c>
      <c r="G219" s="57" t="str">
        <f>IF(Associates_Call_List_PQ!G219="","",Associates_Call_List_PQ!G219)</f>
        <v>https://images.edocket.azcc.gov/docketpdf/E000046190.pdf</v>
      </c>
      <c r="H219" s="59" t="str">
        <f>IF(Associates_Call_List_PQ!H219="","",Associates_Call_List_PQ!H219)</f>
        <v>3713921000 </v>
      </c>
      <c r="I219" s="57" t="str">
        <f>IF(Associates_Call_List_PQ!I219="","",Associates_Call_List_PQ!I219)</f>
        <v>R3-47</v>
      </c>
      <c r="J219" s="57" t="str">
        <f>IF(Associates_Call_List_PQ!J219="","",Associates_Call_List_PQ!J219)</f>
        <v>No</v>
      </c>
      <c r="K219" s="57" t="str">
        <f>IF(Associates_Call_List_PQ!K219="","",Associates_Call_List_PQ!K219)</f>
        <v>No</v>
      </c>
      <c r="L219" s="57" t="str">
        <f>IF(Associates_Call_List_PQ!L219="","",Associates_Call_List_PQ!L219)</f>
        <v>Yes</v>
      </c>
      <c r="M219" s="57" t="str">
        <f>IF(Associates_Call_List_PQ!M219="","",Associates_Call_List_PQ!M219)</f>
        <v>No</v>
      </c>
      <c r="N219" s="57" t="str">
        <f>IF(Associates_Call_List_PQ!N219="","",Associates_Call_List_PQ!N219)</f>
        <v>No</v>
      </c>
      <c r="O219" s="57" t="str">
        <f>IF(Associates_Call_List_PQ!O219="","",Associates_Call_List_PQ!O219)</f>
        <v>Yes</v>
      </c>
      <c r="P219" s="57" t="str">
        <f>IF(Associates_Call_List_PQ!P219="","",Associates_Call_List_PQ!P219)</f>
        <v>N</v>
      </c>
      <c r="Q219" s="57">
        <f>IF(Associates_Call_List_PQ!Q219="","",Associates_Call_List_PQ!Q219)</f>
        <v>45967</v>
      </c>
      <c r="R219" s="57" t="str">
        <f>IF(Associates_Call_List_PQ!R219="","",Associates_Call_List_PQ!R219)</f>
        <v/>
      </c>
      <c r="S219" s="57" t="str">
        <f>IF(Associates_Call_List_PQ!S219="","",Associates_Call_List_PQ!S219)</f>
        <v/>
      </c>
      <c r="T219" s="57" t="str">
        <f>IF(Associates_Call_List_PQ!T219="","",Associates_Call_List_PQ!T219)</f>
        <v/>
      </c>
      <c r="U219" s="57" t="str">
        <f>IF(Associates_Call_List_PQ!U219="","",Associates_Call_List_PQ!U219)</f>
        <v/>
      </c>
      <c r="V219" s="68"/>
      <c r="W219" s="68" t="s">
        <v>5432</v>
      </c>
      <c r="X219" s="68"/>
      <c r="Y219" s="68"/>
      <c r="Z219" s="72"/>
    </row>
    <row r="220" spans="1:26">
      <c r="A220" s="71">
        <f>IFERROR(Associates_Call_List_PQ!A220,"")</f>
        <v>45903</v>
      </c>
      <c r="B220" s="57" t="str">
        <f>IF(Associates_Call_List_PQ!B220="","",Associates_Call_List_PQ!B220)</f>
        <v>Nukala</v>
      </c>
      <c r="C220" s="57" t="str">
        <f>IF(Associates_Call_List_PQ!C220="","",Associates_Call_List_PQ!C220)</f>
        <v>Vijay</v>
      </c>
      <c r="D220" s="57" t="str">
        <f>IF(Associates_Call_List_PQ!D220="","",Associates_Call_List_PQ!D220)</f>
        <v>Peoria</v>
      </c>
      <c r="E220" s="58">
        <f>IF(Associates_Call_List_PQ!E220="","",Associates_Call_List_PQ!E220)</f>
        <v>85383</v>
      </c>
      <c r="F220" s="57" t="str">
        <f>IF(Associates_Call_List_PQ!F220="","",Associates_Call_List_PQ!F220)</f>
        <v>Opposed</v>
      </c>
      <c r="G220" s="57" t="str">
        <f>IF(Associates_Call_List_PQ!G220="","",Associates_Call_List_PQ!G220)</f>
        <v>https://images.edocket.azcc.gov/docketpdf/E000046190.pdf</v>
      </c>
      <c r="H220" s="59" t="str">
        <f>IF(Associates_Call_List_PQ!H220="","",Associates_Call_List_PQ!H220)</f>
        <v>8169892620 </v>
      </c>
      <c r="I220" s="57" t="str">
        <f>IF(Associates_Call_List_PQ!I220="","",Associates_Call_List_PQ!I220)</f>
        <v>REV47</v>
      </c>
      <c r="J220" s="57" t="str">
        <f>IF(Associates_Call_List_PQ!J220="","",Associates_Call_List_PQ!J220)</f>
        <v>No</v>
      </c>
      <c r="K220" s="57" t="str">
        <f>IF(Associates_Call_List_PQ!K220="","",Associates_Call_List_PQ!K220)</f>
        <v>No</v>
      </c>
      <c r="L220" s="57" t="str">
        <f>IF(Associates_Call_List_PQ!L220="","",Associates_Call_List_PQ!L220)</f>
        <v>Not eligible yet (needs 3 months)</v>
      </c>
      <c r="M220" s="57" t="str">
        <f>IF(Associates_Call_List_PQ!M220="","",Associates_Call_List_PQ!M220)</f>
        <v>No</v>
      </c>
      <c r="N220" s="57" t="str">
        <f>IF(Associates_Call_List_PQ!N220="","",Associates_Call_List_PQ!N220)</f>
        <v>No</v>
      </c>
      <c r="O220" s="57" t="str">
        <f>IF(Associates_Call_List_PQ!O220="","",Associates_Call_List_PQ!O220)</f>
        <v>Yes</v>
      </c>
      <c r="P220" s="57" t="str">
        <f>IF(Associates_Call_List_PQ!P220="","",Associates_Call_List_PQ!P220)</f>
        <v>N</v>
      </c>
      <c r="Q220" s="57">
        <f>IF(Associates_Call_List_PQ!Q220="","",Associates_Call_List_PQ!Q220)</f>
        <v>45967</v>
      </c>
      <c r="R220" s="57" t="str">
        <f>IF(Associates_Call_List_PQ!R220="","",Associates_Call_List_PQ!R220)</f>
        <v/>
      </c>
      <c r="S220" s="57" t="str">
        <f>IF(Associates_Call_List_PQ!S220="","",Associates_Call_List_PQ!S220)</f>
        <v/>
      </c>
      <c r="T220" s="57" t="str">
        <f>IF(Associates_Call_List_PQ!T220="","",Associates_Call_List_PQ!T220)</f>
        <v/>
      </c>
      <c r="U220" s="57" t="s">
        <v>5571</v>
      </c>
      <c r="V220" s="68" t="s">
        <v>117</v>
      </c>
      <c r="W220" s="68">
        <v>46060</v>
      </c>
      <c r="X220" s="68" t="s">
        <v>5434</v>
      </c>
      <c r="Y220" s="68"/>
      <c r="Z220" s="72" t="s">
        <v>5438</v>
      </c>
    </row>
    <row r="221" spans="1:26">
      <c r="A221" s="71">
        <f>IFERROR(Associates_Call_List_PQ!A221,"")</f>
        <v>45903</v>
      </c>
      <c r="B221" s="57" t="str">
        <f>IF(Associates_Call_List_PQ!B221="","",Associates_Call_List_PQ!B221)</f>
        <v>Virigineni</v>
      </c>
      <c r="C221" s="57" t="str">
        <f>IF(Associates_Call_List_PQ!C221="","",Associates_Call_List_PQ!C221)</f>
        <v>Udayakumar</v>
      </c>
      <c r="D221" s="57" t="str">
        <f>IF(Associates_Call_List_PQ!D221="","",Associates_Call_List_PQ!D221)</f>
        <v>Peoria</v>
      </c>
      <c r="E221" s="58">
        <f>IF(Associates_Call_List_PQ!E221="","",Associates_Call_List_PQ!E221)</f>
        <v>85483</v>
      </c>
      <c r="F221" s="57" t="str">
        <f>IF(Associates_Call_List_PQ!F221="","",Associates_Call_List_PQ!F221)</f>
        <v>Form letter</v>
      </c>
      <c r="G221" s="57" t="str">
        <f>IF(Associates_Call_List_PQ!G221="","",Associates_Call_List_PQ!G221)</f>
        <v>https://images.edocket.azcc.gov/docketpdf/E000046190.pdf</v>
      </c>
      <c r="H221" s="59" t="str">
        <f>IF(Associates_Call_List_PQ!H221="","",Associates_Call_List_PQ!H221)</f>
        <v>0539435347 </v>
      </c>
      <c r="I221" s="57" t="str">
        <f>IF(Associates_Call_List_PQ!I221="","",Associates_Call_List_PQ!I221)</f>
        <v>R3-47</v>
      </c>
      <c r="J221" s="57" t="str">
        <f>IF(Associates_Call_List_PQ!J221="","",Associates_Call_List_PQ!J221)</f>
        <v>No</v>
      </c>
      <c r="K221" s="57" t="str">
        <f>IF(Associates_Call_List_PQ!K221="","",Associates_Call_List_PQ!K221)</f>
        <v>No</v>
      </c>
      <c r="L221" s="57" t="str">
        <f>IF(Associates_Call_List_PQ!L221="","",Associates_Call_List_PQ!L221)</f>
        <v>Yes</v>
      </c>
      <c r="M221" s="57" t="str">
        <f>IF(Associates_Call_List_PQ!M221="","",Associates_Call_List_PQ!M221)</f>
        <v>No</v>
      </c>
      <c r="N221" s="57" t="str">
        <f>IF(Associates_Call_List_PQ!N221="","",Associates_Call_List_PQ!N221)</f>
        <v>No</v>
      </c>
      <c r="O221" s="57" t="str">
        <f>IF(Associates_Call_List_PQ!O221="","",Associates_Call_List_PQ!O221)</f>
        <v>Yes</v>
      </c>
      <c r="P221" s="57" t="str">
        <f>IF(Associates_Call_List_PQ!P221="","",Associates_Call_List_PQ!P221)</f>
        <v>N</v>
      </c>
      <c r="Q221" s="57">
        <f>IF(Associates_Call_List_PQ!Q221="","",Associates_Call_List_PQ!Q221)</f>
        <v>45967</v>
      </c>
      <c r="R221" s="57" t="str">
        <f>IF(Associates_Call_List_PQ!R221="","",Associates_Call_List_PQ!R221)</f>
        <v/>
      </c>
      <c r="S221" s="57" t="str">
        <f>IF(Associates_Call_List_PQ!S221="","",Associates_Call_List_PQ!S221)</f>
        <v/>
      </c>
      <c r="T221" s="57" t="str">
        <f>IF(Associates_Call_List_PQ!T221="","",Associates_Call_List_PQ!T221)</f>
        <v/>
      </c>
      <c r="U221" s="57" t="str">
        <f>IF(Associates_Call_List_PQ!U221="","",Associates_Call_List_PQ!U221)</f>
        <v/>
      </c>
      <c r="V221" s="68"/>
      <c r="W221" s="68" t="s">
        <v>5432</v>
      </c>
      <c r="X221" s="68"/>
      <c r="Y221" s="68"/>
      <c r="Z221" s="72"/>
    </row>
    <row r="222" spans="1:26">
      <c r="A222" s="71">
        <f>IFERROR(Associates_Call_List_PQ!A222,"")</f>
        <v>45903</v>
      </c>
      <c r="B222" s="57" t="str">
        <f>IF(Associates_Call_List_PQ!B222="","",Associates_Call_List_PQ!B222)</f>
        <v>Carrillo</v>
      </c>
      <c r="C222" s="57" t="str">
        <f>IF(Associates_Call_List_PQ!C222="","",Associates_Call_List_PQ!C222)</f>
        <v>Robert</v>
      </c>
      <c r="D222" s="57" t="str">
        <f>IF(Associates_Call_List_PQ!D222="","",Associates_Call_List_PQ!D222)</f>
        <v>Phoenix</v>
      </c>
      <c r="E222" s="58">
        <f>IF(Associates_Call_List_PQ!E222="","",Associates_Call_List_PQ!E222)</f>
        <v>85015</v>
      </c>
      <c r="F222" s="57" t="str">
        <f>IF(Associates_Call_List_PQ!F222="","",Associates_Call_List_PQ!F222)</f>
        <v>Form letter</v>
      </c>
      <c r="G222" s="57" t="str">
        <f>IF(Associates_Call_List_PQ!G222="","",Associates_Call_List_PQ!G222)</f>
        <v>https://images.edocket.azcc.gov/docketpdf/E000046190.pdf</v>
      </c>
      <c r="H222" s="59" t="str">
        <f>IF(Associates_Call_List_PQ!H222="","",Associates_Call_List_PQ!H222)</f>
        <v>5702540000 </v>
      </c>
      <c r="I222" s="57" t="str">
        <f>IF(Associates_Call_List_PQ!I222="","",Associates_Call_List_PQ!I222)</f>
        <v>RTOUE47</v>
      </c>
      <c r="J222" s="57" t="str">
        <f>IF(Associates_Call_List_PQ!J222="","",Associates_Call_List_PQ!J222)</f>
        <v>No</v>
      </c>
      <c r="K222" s="57" t="str">
        <f>IF(Associates_Call_List_PQ!K222="","",Associates_Call_List_PQ!K222)</f>
        <v>No</v>
      </c>
      <c r="L222" s="57" t="str">
        <f>IF(Associates_Call_List_PQ!L222="","",Associates_Call_List_PQ!L222)</f>
        <v>Yes</v>
      </c>
      <c r="M222" s="57" t="str">
        <f>IF(Associates_Call_List_PQ!M222="","",Associates_Call_List_PQ!M222)</f>
        <v>No</v>
      </c>
      <c r="N222" s="57" t="str">
        <f>IF(Associates_Call_List_PQ!N222="","",Associates_Call_List_PQ!N222)</f>
        <v>No</v>
      </c>
      <c r="O222" s="57" t="str">
        <f>IF(Associates_Call_List_PQ!O222="","",Associates_Call_List_PQ!O222)</f>
        <v>Yes</v>
      </c>
      <c r="P222" s="57" t="str">
        <f>IF(Associates_Call_List_PQ!P222="","",Associates_Call_List_PQ!P222)</f>
        <v>N</v>
      </c>
      <c r="Q222" s="57">
        <f>IF(Associates_Call_List_PQ!Q222="","",Associates_Call_List_PQ!Q222)</f>
        <v>45967</v>
      </c>
      <c r="R222" s="57" t="str">
        <f>IF(Associates_Call_List_PQ!R222="","",Associates_Call_List_PQ!R222)</f>
        <v/>
      </c>
      <c r="S222" s="57" t="str">
        <f>IF(Associates_Call_List_PQ!S222="","",Associates_Call_List_PQ!S222)</f>
        <v/>
      </c>
      <c r="T222" s="57" t="str">
        <f>IF(Associates_Call_List_PQ!T222="","",Associates_Call_List_PQ!T222)</f>
        <v/>
      </c>
      <c r="U222" s="57" t="s">
        <v>5516</v>
      </c>
      <c r="V222" s="68" t="s">
        <v>117</v>
      </c>
      <c r="W222" s="68">
        <v>46081</v>
      </c>
      <c r="X222" s="68" t="s">
        <v>5434</v>
      </c>
      <c r="Y222" s="68"/>
      <c r="Z222" s="72" t="s">
        <v>5438</v>
      </c>
    </row>
    <row r="223" spans="1:26">
      <c r="A223" s="71">
        <f>IFERROR(Associates_Call_List_PQ!A223,"")</f>
        <v>45903</v>
      </c>
      <c r="B223" s="57" t="str">
        <f>IF(Associates_Call_List_PQ!B223="","",Associates_Call_List_PQ!B223)</f>
        <v>Schmoldt</v>
      </c>
      <c r="C223" s="57" t="str">
        <f>IF(Associates_Call_List_PQ!C223="","",Associates_Call_List_PQ!C223)</f>
        <v>Lia</v>
      </c>
      <c r="D223" s="57" t="str">
        <f>IF(Associates_Call_List_PQ!D223="","",Associates_Call_List_PQ!D223)</f>
        <v>Scottsdale</v>
      </c>
      <c r="E223" s="58">
        <f>IF(Associates_Call_List_PQ!E223="","",Associates_Call_List_PQ!E223)</f>
        <v>85260</v>
      </c>
      <c r="F223" s="57" t="str">
        <f>IF(Associates_Call_List_PQ!F223="","",Associates_Call_List_PQ!F223)</f>
        <v>Form letter</v>
      </c>
      <c r="G223" s="57" t="str">
        <f>IF(Associates_Call_List_PQ!G223="","",Associates_Call_List_PQ!G223)</f>
        <v>https://images.edocket.azcc.gov/docketpdf/E000046190.pdf</v>
      </c>
      <c r="H223" s="59" t="str">
        <f>IF(Associates_Call_List_PQ!H223="","",Associates_Call_List_PQ!H223)</f>
        <v>2813530000 </v>
      </c>
      <c r="I223" s="57" t="str">
        <f>IF(Associates_Call_List_PQ!I223="","",Associates_Call_List_PQ!I223)</f>
        <v>R3-47</v>
      </c>
      <c r="J223" s="57" t="str">
        <f>IF(Associates_Call_List_PQ!J223="","",Associates_Call_List_PQ!J223)</f>
        <v>No</v>
      </c>
      <c r="K223" s="57" t="str">
        <f>IF(Associates_Call_List_PQ!K223="","",Associates_Call_List_PQ!K223)</f>
        <v>No</v>
      </c>
      <c r="L223" s="57" t="str">
        <f>IF(Associates_Call_List_PQ!L223="","",Associates_Call_List_PQ!L223)</f>
        <v>Yes</v>
      </c>
      <c r="M223" s="57" t="str">
        <f>IF(Associates_Call_List_PQ!M223="","",Associates_Call_List_PQ!M223)</f>
        <v>No</v>
      </c>
      <c r="N223" s="57" t="str">
        <f>IF(Associates_Call_List_PQ!N223="","",Associates_Call_List_PQ!N223)</f>
        <v>No</v>
      </c>
      <c r="O223" s="57" t="str">
        <f>IF(Associates_Call_List_PQ!O223="","",Associates_Call_List_PQ!O223)</f>
        <v>Yes</v>
      </c>
      <c r="P223" s="57" t="str">
        <f>IF(Associates_Call_List_PQ!P223="","",Associates_Call_List_PQ!P223)</f>
        <v>N</v>
      </c>
      <c r="Q223" s="57">
        <f>IF(Associates_Call_List_PQ!Q223="","",Associates_Call_List_PQ!Q223)</f>
        <v>45967</v>
      </c>
      <c r="R223" s="57" t="str">
        <f>IF(Associates_Call_List_PQ!R223="","",Associates_Call_List_PQ!R223)</f>
        <v/>
      </c>
      <c r="S223" s="57" t="str">
        <f>IF(Associates_Call_List_PQ!S223="","",Associates_Call_List_PQ!S223)</f>
        <v/>
      </c>
      <c r="T223" s="57" t="str">
        <f>IF(Associates_Call_List_PQ!T223="","",Associates_Call_List_PQ!T223)</f>
        <v/>
      </c>
      <c r="U223" s="57" t="str">
        <f>IF(Associates_Call_List_PQ!U223="","",Associates_Call_List_PQ!U223)</f>
        <v/>
      </c>
      <c r="V223" s="68"/>
      <c r="W223" s="68" t="s">
        <v>5432</v>
      </c>
      <c r="X223" s="68"/>
      <c r="Y223" s="68"/>
      <c r="Z223" s="72"/>
    </row>
    <row r="224" spans="1:26">
      <c r="A224" s="71">
        <f>IFERROR(Associates_Call_List_PQ!A224,"")</f>
        <v>45903</v>
      </c>
      <c r="B224" s="57" t="str">
        <f>IF(Associates_Call_List_PQ!B224="","",Associates_Call_List_PQ!B224)</f>
        <v>Reber</v>
      </c>
      <c r="C224" s="57" t="str">
        <f>IF(Associates_Call_List_PQ!C224="","",Associates_Call_List_PQ!C224)</f>
        <v>Brad</v>
      </c>
      <c r="D224" s="57" t="str">
        <f>IF(Associates_Call_List_PQ!D224="","",Associates_Call_List_PQ!D224)</f>
        <v>Phoenix</v>
      </c>
      <c r="E224" s="58">
        <f>IF(Associates_Call_List_PQ!E224="","",Associates_Call_List_PQ!E224)</f>
        <v>85085</v>
      </c>
      <c r="F224" s="57" t="str">
        <f>IF(Associates_Call_List_PQ!F224="","",Associates_Call_List_PQ!F224)</f>
        <v>Form letter</v>
      </c>
      <c r="G224" s="57" t="str">
        <f>IF(Associates_Call_List_PQ!G224="","",Associates_Call_List_PQ!G224)</f>
        <v>https://images.edocket.azcc.gov/docketpdf/E000046190.pdf</v>
      </c>
      <c r="H224" s="59" t="str">
        <f>IF(Associates_Call_List_PQ!H224="","",Associates_Call_List_PQ!H224)</f>
        <v>4260226461 </v>
      </c>
      <c r="I224" s="57" t="str">
        <f>IF(Associates_Call_List_PQ!I224="","",Associates_Call_List_PQ!I224)</f>
        <v>R3-47</v>
      </c>
      <c r="J224" s="57" t="str">
        <f>IF(Associates_Call_List_PQ!J224="","",Associates_Call_List_PQ!J224)</f>
        <v>No</v>
      </c>
      <c r="K224" s="57" t="str">
        <f>IF(Associates_Call_List_PQ!K224="","",Associates_Call_List_PQ!K224)</f>
        <v>No</v>
      </c>
      <c r="L224" s="57" t="str">
        <f>IF(Associates_Call_List_PQ!L224="","",Associates_Call_List_PQ!L224)</f>
        <v>Yes</v>
      </c>
      <c r="M224" s="57" t="str">
        <f>IF(Associates_Call_List_PQ!M224="","",Associates_Call_List_PQ!M224)</f>
        <v>No</v>
      </c>
      <c r="N224" s="57" t="str">
        <f>IF(Associates_Call_List_PQ!N224="","",Associates_Call_List_PQ!N224)</f>
        <v>No</v>
      </c>
      <c r="O224" s="57" t="str">
        <f>IF(Associates_Call_List_PQ!O224="","",Associates_Call_List_PQ!O224)</f>
        <v>Yes</v>
      </c>
      <c r="P224" s="57" t="str">
        <f>IF(Associates_Call_List_PQ!P224="","",Associates_Call_List_PQ!P224)</f>
        <v>N</v>
      </c>
      <c r="Q224" s="57">
        <f>IF(Associates_Call_List_PQ!Q224="","",Associates_Call_List_PQ!Q224)</f>
        <v>45967</v>
      </c>
      <c r="R224" s="57" t="str">
        <f>IF(Associates_Call_List_PQ!R224="","",Associates_Call_List_PQ!R224)</f>
        <v/>
      </c>
      <c r="S224" s="57" t="str">
        <f>IF(Associates_Call_List_PQ!S224="","",Associates_Call_List_PQ!S224)</f>
        <v/>
      </c>
      <c r="T224" s="57" t="str">
        <f>IF(Associates_Call_List_PQ!T224="","",Associates_Call_List_PQ!T224)</f>
        <v/>
      </c>
      <c r="U224" s="57" t="s">
        <v>5494</v>
      </c>
      <c r="V224" s="68" t="s">
        <v>117</v>
      </c>
      <c r="W224" s="68">
        <v>46081</v>
      </c>
      <c r="X224" s="68" t="s">
        <v>5434</v>
      </c>
      <c r="Y224" s="68"/>
      <c r="Z224" s="72"/>
    </row>
    <row r="225" spans="1:26">
      <c r="A225" s="71">
        <f>IFERROR(Associates_Call_List_PQ!A225,"")</f>
        <v>45903</v>
      </c>
      <c r="B225" s="57" t="str">
        <f>IF(Associates_Call_List_PQ!B225="","",Associates_Call_List_PQ!B225)</f>
        <v>Osteen</v>
      </c>
      <c r="C225" s="57" t="str">
        <f>IF(Associates_Call_List_PQ!C225="","",Associates_Call_List_PQ!C225)</f>
        <v>Matthew</v>
      </c>
      <c r="D225" s="57" t="str">
        <f>IF(Associates_Call_List_PQ!D225="","",Associates_Call_List_PQ!D225)</f>
        <v>Phoenix</v>
      </c>
      <c r="E225" s="58">
        <f>IF(Associates_Call_List_PQ!E225="","",Associates_Call_List_PQ!E225)</f>
        <v>85024</v>
      </c>
      <c r="F225" s="57" t="str">
        <f>IF(Associates_Call_List_PQ!F225="","",Associates_Call_List_PQ!F225)</f>
        <v>Opposed</v>
      </c>
      <c r="G225" s="57" t="str">
        <f>IF(Associates_Call_List_PQ!G225="","",Associates_Call_List_PQ!G225)</f>
        <v>https://images.edocket.azcc.gov/docketpdf/E000046190.pdf</v>
      </c>
      <c r="H225" s="59" t="str">
        <f>IF(Associates_Call_List_PQ!H225="","",Associates_Call_List_PQ!H225)</f>
        <v>7175791215 </v>
      </c>
      <c r="I225" s="57" t="str">
        <f>IF(Associates_Call_List_PQ!I225="","",Associates_Call_List_PQ!I225)</f>
        <v>RTOUE47</v>
      </c>
      <c r="J225" s="57" t="str">
        <f>IF(Associates_Call_List_PQ!J225="","",Associates_Call_List_PQ!J225)</f>
        <v>No</v>
      </c>
      <c r="K225" s="57" t="str">
        <f>IF(Associates_Call_List_PQ!K225="","",Associates_Call_List_PQ!K225)</f>
        <v>No</v>
      </c>
      <c r="L225" s="57" t="str">
        <f>IF(Associates_Call_List_PQ!L225="","",Associates_Call_List_PQ!L225)</f>
        <v>No MEP R3-47($174.04)</v>
      </c>
      <c r="M225" s="57" t="str">
        <f>IF(Associates_Call_List_PQ!M225="","",Associates_Call_List_PQ!M225)</f>
        <v>No</v>
      </c>
      <c r="N225" s="57" t="str">
        <f>IF(Associates_Call_List_PQ!N225="","",Associates_Call_List_PQ!N225)</f>
        <v>No</v>
      </c>
      <c r="O225" s="57" t="str">
        <f>IF(Associates_Call_List_PQ!O225="","",Associates_Call_List_PQ!O225)</f>
        <v>Yes</v>
      </c>
      <c r="P225" s="57">
        <f>IF(Associates_Call_List_PQ!P225="","",Associates_Call_List_PQ!P225)</f>
        <v>45936</v>
      </c>
      <c r="Q225" s="57">
        <f>IF(Associates_Call_List_PQ!Q225="","",Associates_Call_List_PQ!Q225)</f>
        <v>45967</v>
      </c>
      <c r="R225" s="57" t="str">
        <f>IF(Associates_Call_List_PQ!R225="","",Associates_Call_List_PQ!R225)</f>
        <v xml:space="preserve">OBC 10/06/2025 COR declined changing to MEP </v>
      </c>
      <c r="S225" s="57" t="str">
        <f>IF(Associates_Call_List_PQ!S225="","",Associates_Call_List_PQ!S225)</f>
        <v/>
      </c>
      <c r="T225" s="57" t="str">
        <f>IF(Associates_Call_List_PQ!T225="","",Associates_Call_List_PQ!T225)</f>
        <v/>
      </c>
      <c r="U225" s="57" t="s">
        <v>5572</v>
      </c>
      <c r="V225" s="68" t="s">
        <v>117</v>
      </c>
      <c r="W225" s="68">
        <v>46032</v>
      </c>
      <c r="X225" s="68" t="s">
        <v>5434</v>
      </c>
      <c r="Y225" s="68"/>
      <c r="Z225" s="72" t="s">
        <v>5438</v>
      </c>
    </row>
    <row r="226" spans="1:26">
      <c r="A226" s="71">
        <f>IFERROR(Associates_Call_List_PQ!A226,"")</f>
        <v>45903</v>
      </c>
      <c r="B226" s="57" t="str">
        <f>IF(Associates_Call_List_PQ!B226="","",Associates_Call_List_PQ!B226)</f>
        <v xml:space="preserve">Small </v>
      </c>
      <c r="C226" s="57" t="str">
        <f>IF(Associates_Call_List_PQ!C226="","",Associates_Call_List_PQ!C226)</f>
        <v>John</v>
      </c>
      <c r="D226" s="57" t="str">
        <f>IF(Associates_Call_List_PQ!D226="","",Associates_Call_List_PQ!D226)</f>
        <v>Goodyear</v>
      </c>
      <c r="E226" s="58">
        <f>IF(Associates_Call_List_PQ!E226="","",Associates_Call_List_PQ!E226)</f>
        <v>85338</v>
      </c>
      <c r="F226" s="57" t="str">
        <f>IF(Associates_Call_List_PQ!F226="","",Associates_Call_List_PQ!F226)</f>
        <v>Senior / everything is too much money</v>
      </c>
      <c r="G226" s="57" t="str">
        <f>IF(Associates_Call_List_PQ!G226="","",Associates_Call_List_PQ!G226)</f>
        <v>https://images.edocket.azcc.gov/docketpdf/E000046190.pdf</v>
      </c>
      <c r="H226" s="59" t="str">
        <f>IF(Associates_Call_List_PQ!H226="","",Associates_Call_List_PQ!H226)</f>
        <v>4884885514 </v>
      </c>
      <c r="I226" s="57" t="str">
        <f>IF(Associates_Call_List_PQ!I226="","",Associates_Call_List_PQ!I226)</f>
        <v>R3-47</v>
      </c>
      <c r="J226" s="57" t="str">
        <f>IF(Associates_Call_List_PQ!J226="","",Associates_Call_List_PQ!J226)</f>
        <v>No</v>
      </c>
      <c r="K226" s="57" t="str">
        <f>IF(Associates_Call_List_PQ!K226="","",Associates_Call_List_PQ!K226)</f>
        <v>No</v>
      </c>
      <c r="L226" s="57" t="str">
        <f>IF(Associates_Call_List_PQ!L226="","",Associates_Call_List_PQ!L226)</f>
        <v>Yes</v>
      </c>
      <c r="M226" s="57" t="str">
        <f>IF(Associates_Call_List_PQ!M226="","",Associates_Call_List_PQ!M226)</f>
        <v>No</v>
      </c>
      <c r="N226" s="57" t="str">
        <f>IF(Associates_Call_List_PQ!N226="","",Associates_Call_List_PQ!N226)</f>
        <v>No</v>
      </c>
      <c r="O226" s="57" t="str">
        <f>IF(Associates_Call_List_PQ!O226="","",Associates_Call_List_PQ!O226)</f>
        <v>Yes</v>
      </c>
      <c r="P226" s="57" t="str">
        <f>IF(Associates_Call_List_PQ!P226="","",Associates_Call_List_PQ!P226)</f>
        <v>N</v>
      </c>
      <c r="Q226" s="57">
        <f>IF(Associates_Call_List_PQ!Q226="","",Associates_Call_List_PQ!Q226)</f>
        <v>45967</v>
      </c>
      <c r="R226" s="57" t="str">
        <f>IF(Associates_Call_List_PQ!R226="","",Associates_Call_List_PQ!R226)</f>
        <v/>
      </c>
      <c r="S226" s="57" t="str">
        <f>IF(Associates_Call_List_PQ!S226="","",Associates_Call_List_PQ!S226)</f>
        <v/>
      </c>
      <c r="T226" s="57" t="str">
        <f>IF(Associates_Call_List_PQ!T226="","",Associates_Call_List_PQ!T226)</f>
        <v/>
      </c>
      <c r="U226" s="57" t="s">
        <v>5494</v>
      </c>
      <c r="V226" s="68" t="s">
        <v>117</v>
      </c>
      <c r="W226" s="68">
        <v>46081</v>
      </c>
      <c r="X226" s="68" t="s">
        <v>5434</v>
      </c>
      <c r="Y226" s="68"/>
      <c r="Z226" s="72"/>
    </row>
    <row r="227" spans="1:26">
      <c r="A227" s="71">
        <f>IFERROR(Associates_Call_List_PQ!A227,"")</f>
        <v>45903</v>
      </c>
      <c r="B227" s="57" t="str">
        <f>IF(Associates_Call_List_PQ!B227="","",Associates_Call_List_PQ!B227)</f>
        <v>Swinson</v>
      </c>
      <c r="C227" s="57" t="str">
        <f>IF(Associates_Call_List_PQ!C227="","",Associates_Call_List_PQ!C227)</f>
        <v>Tony</v>
      </c>
      <c r="D227" s="57" t="str">
        <f>IF(Associates_Call_List_PQ!D227="","",Associates_Call_List_PQ!D227)</f>
        <v>Peoria</v>
      </c>
      <c r="E227" s="58">
        <f>IF(Associates_Call_List_PQ!E227="","",Associates_Call_List_PQ!E227)</f>
        <v>85345</v>
      </c>
      <c r="F227" s="57" t="str">
        <f>IF(Associates_Call_List_PQ!F227="","",Associates_Call_List_PQ!F227)</f>
        <v>Form letter</v>
      </c>
      <c r="G227" s="57" t="str">
        <f>IF(Associates_Call_List_PQ!G227="","",Associates_Call_List_PQ!G227)</f>
        <v>https://images.edocket.azcc.gov/docketpdf/E000046190.pdf</v>
      </c>
      <c r="H227" s="59" t="str">
        <f>IF(Associates_Call_List_PQ!H227="","",Associates_Call_List_PQ!H227)</f>
        <v>6673831000 </v>
      </c>
      <c r="I227" s="57" t="str">
        <f>IF(Associates_Call_List_PQ!I227="","",Associates_Call_List_PQ!I227)</f>
        <v>R3-47</v>
      </c>
      <c r="J227" s="57" t="str">
        <f>IF(Associates_Call_List_PQ!J227="","",Associates_Call_List_PQ!J227)</f>
        <v>No</v>
      </c>
      <c r="K227" s="57" t="str">
        <f>IF(Associates_Call_List_PQ!K227="","",Associates_Call_List_PQ!K227)</f>
        <v>No</v>
      </c>
      <c r="L227" s="57" t="str">
        <f>IF(Associates_Call_List_PQ!L227="","",Associates_Call_List_PQ!L227)</f>
        <v>Yes</v>
      </c>
      <c r="M227" s="57" t="str">
        <f>IF(Associates_Call_List_PQ!M227="","",Associates_Call_List_PQ!M227)</f>
        <v>No</v>
      </c>
      <c r="N227" s="57" t="str">
        <f>IF(Associates_Call_List_PQ!N227="","",Associates_Call_List_PQ!N227)</f>
        <v>No</v>
      </c>
      <c r="O227" s="57" t="str">
        <f>IF(Associates_Call_List_PQ!O227="","",Associates_Call_List_PQ!O227)</f>
        <v>Yes</v>
      </c>
      <c r="P227" s="57" t="str">
        <f>IF(Associates_Call_List_PQ!P227="","",Associates_Call_List_PQ!P227)</f>
        <v>N</v>
      </c>
      <c r="Q227" s="57">
        <f>IF(Associates_Call_List_PQ!Q227="","",Associates_Call_List_PQ!Q227)</f>
        <v>45967</v>
      </c>
      <c r="R227" s="57" t="str">
        <f>IF(Associates_Call_List_PQ!R227="","",Associates_Call_List_PQ!R227)</f>
        <v/>
      </c>
      <c r="S227" s="57" t="str">
        <f>IF(Associates_Call_List_PQ!S227="","",Associates_Call_List_PQ!S227)</f>
        <v/>
      </c>
      <c r="T227" s="57" t="str">
        <f>IF(Associates_Call_List_PQ!T227="","",Associates_Call_List_PQ!T227)</f>
        <v/>
      </c>
      <c r="U227" s="57" t="str">
        <f>IF(Associates_Call_List_PQ!U227="","",Associates_Call_List_PQ!U227)</f>
        <v/>
      </c>
      <c r="V227" s="68"/>
      <c r="W227" s="68" t="s">
        <v>5432</v>
      </c>
      <c r="X227" s="68"/>
      <c r="Y227" s="68"/>
      <c r="Z227" s="72"/>
    </row>
    <row r="228" spans="1:26">
      <c r="A228" s="71">
        <f>IFERROR(Associates_Call_List_PQ!A228,"")</f>
        <v>45903</v>
      </c>
      <c r="B228" s="57" t="str">
        <f>IF(Associates_Call_List_PQ!B228="","",Associates_Call_List_PQ!B228)</f>
        <v>Kote</v>
      </c>
      <c r="C228" s="57" t="str">
        <f>IF(Associates_Call_List_PQ!C228="","",Associates_Call_List_PQ!C228)</f>
        <v>Raghavendra</v>
      </c>
      <c r="D228" s="57" t="str">
        <f>IF(Associates_Call_List_PQ!D228="","",Associates_Call_List_PQ!D228)</f>
        <v>Peoria</v>
      </c>
      <c r="E228" s="58">
        <f>IF(Associates_Call_List_PQ!E228="","",Associates_Call_List_PQ!E228)</f>
        <v>85383</v>
      </c>
      <c r="F228" s="57" t="str">
        <f>IF(Associates_Call_List_PQ!F228="","",Associates_Call_List_PQ!F228)</f>
        <v>Form letter</v>
      </c>
      <c r="G228" s="57" t="str">
        <f>IF(Associates_Call_List_PQ!G228="","",Associates_Call_List_PQ!G228)</f>
        <v>https://images.edocket.azcc.gov/docketpdf/E000046190.pdf</v>
      </c>
      <c r="H228" s="59" t="str">
        <f>IF(Associates_Call_List_PQ!H228="","",Associates_Call_List_PQ!H228)</f>
        <v>7999643303 </v>
      </c>
      <c r="I228" s="57" t="str">
        <f>IF(Associates_Call_List_PQ!I228="","",Associates_Call_List_PQ!I228)</f>
        <v>RTOUE47</v>
      </c>
      <c r="J228" s="57" t="str">
        <f>IF(Associates_Call_List_PQ!J228="","",Associates_Call_List_PQ!J228)</f>
        <v>No</v>
      </c>
      <c r="K228" s="57" t="str">
        <f>IF(Associates_Call_List_PQ!K228="","",Associates_Call_List_PQ!K228)</f>
        <v>No</v>
      </c>
      <c r="L228" s="57" t="str">
        <f>IF(Associates_Call_List_PQ!L228="","",Associates_Call_List_PQ!L228)</f>
        <v>Yes</v>
      </c>
      <c r="M228" s="57" t="str">
        <f>IF(Associates_Call_List_PQ!M228="","",Associates_Call_List_PQ!M228)</f>
        <v>No</v>
      </c>
      <c r="N228" s="57" t="str">
        <f>IF(Associates_Call_List_PQ!N228="","",Associates_Call_List_PQ!N228)</f>
        <v>No</v>
      </c>
      <c r="O228" s="57" t="str">
        <f>IF(Associates_Call_List_PQ!O228="","",Associates_Call_List_PQ!O228)</f>
        <v>Yes</v>
      </c>
      <c r="P228" s="57" t="str">
        <f>IF(Associates_Call_List_PQ!P228="","",Associates_Call_List_PQ!P228)</f>
        <v>N</v>
      </c>
      <c r="Q228" s="57">
        <f>IF(Associates_Call_List_PQ!Q228="","",Associates_Call_List_PQ!Q228)</f>
        <v>45967</v>
      </c>
      <c r="R228" s="57" t="str">
        <f>IF(Associates_Call_List_PQ!R228="","",Associates_Call_List_PQ!R228)</f>
        <v/>
      </c>
      <c r="S228" s="57" t="str">
        <f>IF(Associates_Call_List_PQ!S228="","",Associates_Call_List_PQ!S228)</f>
        <v/>
      </c>
      <c r="T228" s="57" t="str">
        <f>IF(Associates_Call_List_PQ!T228="","",Associates_Call_List_PQ!T228)</f>
        <v/>
      </c>
      <c r="U228" s="57" t="str">
        <f>IF(Associates_Call_List_PQ!U228="","",Associates_Call_List_PQ!U228)</f>
        <v/>
      </c>
      <c r="V228" s="68"/>
      <c r="W228" s="68" t="s">
        <v>5432</v>
      </c>
      <c r="X228" s="68"/>
      <c r="Y228" s="68"/>
      <c r="Z228" s="72"/>
    </row>
    <row r="229" spans="1:26">
      <c r="A229" s="71">
        <f>IFERROR(Associates_Call_List_PQ!A229,"")</f>
        <v>45903</v>
      </c>
      <c r="B229" s="57" t="str">
        <f>IF(Associates_Call_List_PQ!B229="","",Associates_Call_List_PQ!B229)</f>
        <v>Chakka</v>
      </c>
      <c r="C229" s="57" t="str">
        <f>IF(Associates_Call_List_PQ!C229="","",Associates_Call_List_PQ!C229)</f>
        <v>Sriramulu</v>
      </c>
      <c r="D229" s="57" t="str">
        <f>IF(Associates_Call_List_PQ!D229="","",Associates_Call_List_PQ!D229)</f>
        <v>Peoria</v>
      </c>
      <c r="E229" s="58">
        <f>IF(Associates_Call_List_PQ!E229="","",Associates_Call_List_PQ!E229)</f>
        <v>85383</v>
      </c>
      <c r="F229" s="57" t="str">
        <f>IF(Associates_Call_List_PQ!F229="","",Associates_Call_List_PQ!F229)</f>
        <v>Form letter</v>
      </c>
      <c r="G229" s="57" t="str">
        <f>IF(Associates_Call_List_PQ!G229="","",Associates_Call_List_PQ!G229)</f>
        <v>https://images.edocket.azcc.gov/docketpdf/E000046190.pdf</v>
      </c>
      <c r="H229" s="59" t="str">
        <f>IF(Associates_Call_List_PQ!H229="","",Associates_Call_List_PQ!H229)</f>
        <v>5909021014 </v>
      </c>
      <c r="I229" s="57" t="str">
        <f>IF(Associates_Call_List_PQ!I229="","",Associates_Call_List_PQ!I229)</f>
        <v>RTOUE47</v>
      </c>
      <c r="J229" s="57" t="str">
        <f>IF(Associates_Call_List_PQ!J229="","",Associates_Call_List_PQ!J229)</f>
        <v>No</v>
      </c>
      <c r="K229" s="57" t="str">
        <f>IF(Associates_Call_List_PQ!K229="","",Associates_Call_List_PQ!K229)</f>
        <v>No</v>
      </c>
      <c r="L229" s="57" t="str">
        <f>IF(Associates_Call_List_PQ!L229="","",Associates_Call_List_PQ!L229)</f>
        <v>No MEP R3-47(105.89)</v>
      </c>
      <c r="M229" s="57" t="str">
        <f>IF(Associates_Call_List_PQ!M229="","",Associates_Call_List_PQ!M229)</f>
        <v>No</v>
      </c>
      <c r="N229" s="57" t="str">
        <f>IF(Associates_Call_List_PQ!N229="","",Associates_Call_List_PQ!N229)</f>
        <v>No</v>
      </c>
      <c r="O229" s="57" t="str">
        <f>IF(Associates_Call_List_PQ!O229="","",Associates_Call_List_PQ!O229)</f>
        <v>Yes</v>
      </c>
      <c r="P229" s="57">
        <f>IF(Associates_Call_List_PQ!P229="","",Associates_Call_List_PQ!P229)</f>
        <v>45936</v>
      </c>
      <c r="Q229" s="57">
        <f>IF(Associates_Call_List_PQ!Q229="","",Associates_Call_List_PQ!Q229)</f>
        <v>45967</v>
      </c>
      <c r="R229" s="57" t="str">
        <f>IF(Associates_Call_List_PQ!R229="","",Associates_Call_List_PQ!R229)</f>
        <v>Left VM 10/06/2025// COR CB AND STATED HE WILL THINK ABOUT CHANGING PLANS</v>
      </c>
      <c r="S229" s="57" t="str">
        <f>IF(Associates_Call_List_PQ!S229="","",Associates_Call_List_PQ!S229)</f>
        <v/>
      </c>
      <c r="T229" s="57" t="str">
        <f>IF(Associates_Call_List_PQ!T229="","",Associates_Call_List_PQ!T229)</f>
        <v/>
      </c>
      <c r="U229" s="57" t="s">
        <v>5513</v>
      </c>
      <c r="V229" s="68" t="s">
        <v>117</v>
      </c>
      <c r="W229" s="68">
        <v>46053</v>
      </c>
      <c r="X229" s="68" t="s">
        <v>5434</v>
      </c>
      <c r="Y229" s="68"/>
      <c r="Z229" s="72"/>
    </row>
    <row r="230" spans="1:26">
      <c r="A230" s="71">
        <f>IFERROR(Associates_Call_List_PQ!A230,"")</f>
        <v>45903</v>
      </c>
      <c r="B230" s="57" t="str">
        <f>IF(Associates_Call_List_PQ!B230="","",Associates_Call_List_PQ!B230)</f>
        <v>Vasanthakumar</v>
      </c>
      <c r="C230" s="57" t="str">
        <f>IF(Associates_Call_List_PQ!C230="","",Associates_Call_List_PQ!C230)</f>
        <v>Amar</v>
      </c>
      <c r="D230" s="57" t="str">
        <f>IF(Associates_Call_List_PQ!D230="","",Associates_Call_List_PQ!D230)</f>
        <v>Peoria</v>
      </c>
      <c r="E230" s="58">
        <f>IF(Associates_Call_List_PQ!E230="","",Associates_Call_List_PQ!E230)</f>
        <v>85383</v>
      </c>
      <c r="F230" s="57" t="str">
        <f>IF(Associates_Call_List_PQ!F230="","",Associates_Call_List_PQ!F230)</f>
        <v>Form letter</v>
      </c>
      <c r="G230" s="57" t="str">
        <f>IF(Associates_Call_List_PQ!G230="","",Associates_Call_List_PQ!G230)</f>
        <v>https://images.edocket.azcc.gov/docketpdf/E000046190.pdf</v>
      </c>
      <c r="H230" s="59" t="str">
        <f>IF(Associates_Call_List_PQ!H230="","",Associates_Call_List_PQ!H230)</f>
        <v>1040821177 </v>
      </c>
      <c r="I230" s="57" t="str">
        <f>IF(Associates_Call_List_PQ!I230="","",Associates_Call_List_PQ!I230)</f>
        <v>R3-47</v>
      </c>
      <c r="J230" s="57" t="str">
        <f>IF(Associates_Call_List_PQ!J230="","",Associates_Call_List_PQ!J230)</f>
        <v>No</v>
      </c>
      <c r="K230" s="57" t="str">
        <f>IF(Associates_Call_List_PQ!K230="","",Associates_Call_List_PQ!K230)</f>
        <v>No</v>
      </c>
      <c r="L230" s="57" t="str">
        <f>IF(Associates_Call_List_PQ!L230="","",Associates_Call_List_PQ!L230)</f>
        <v>Yes</v>
      </c>
      <c r="M230" s="57" t="str">
        <f>IF(Associates_Call_List_PQ!M230="","",Associates_Call_List_PQ!M230)</f>
        <v>No</v>
      </c>
      <c r="N230" s="57" t="str">
        <f>IF(Associates_Call_List_PQ!N230="","",Associates_Call_List_PQ!N230)</f>
        <v>No</v>
      </c>
      <c r="O230" s="57" t="str">
        <f>IF(Associates_Call_List_PQ!O230="","",Associates_Call_List_PQ!O230)</f>
        <v>Yes</v>
      </c>
      <c r="P230" s="57" t="str">
        <f>IF(Associates_Call_List_PQ!P230="","",Associates_Call_List_PQ!P230)</f>
        <v>N</v>
      </c>
      <c r="Q230" s="57">
        <f>IF(Associates_Call_List_PQ!Q230="","",Associates_Call_List_PQ!Q230)</f>
        <v>45967</v>
      </c>
      <c r="R230" s="57" t="str">
        <f>IF(Associates_Call_List_PQ!R230="","",Associates_Call_List_PQ!R230)</f>
        <v>Stopped services 10/27</v>
      </c>
      <c r="S230" s="57" t="str">
        <f>IF(Associates_Call_List_PQ!S230="","",Associates_Call_List_PQ!S230)</f>
        <v/>
      </c>
      <c r="T230" s="57" t="str">
        <f>IF(Associates_Call_List_PQ!T230="","",Associates_Call_List_PQ!T230)</f>
        <v/>
      </c>
      <c r="U230" s="57" t="str">
        <f>IF(Associates_Call_List_PQ!U230="","",Associates_Call_List_PQ!U230)</f>
        <v/>
      </c>
      <c r="V230" s="68"/>
      <c r="W230" s="68" t="s">
        <v>5432</v>
      </c>
      <c r="X230" s="68"/>
      <c r="Y230" s="68"/>
      <c r="Z230" s="72"/>
    </row>
    <row r="231" spans="1:26">
      <c r="A231" s="71">
        <f>IFERROR(Associates_Call_List_PQ!A231,"")</f>
        <v>45903</v>
      </c>
      <c r="B231" s="57" t="str">
        <f>IF(Associates_Call_List_PQ!B231="","",Associates_Call_List_PQ!B231)</f>
        <v>Nunez</v>
      </c>
      <c r="C231" s="57" t="str">
        <f>IF(Associates_Call_List_PQ!C231="","",Associates_Call_List_PQ!C231)</f>
        <v>Maria</v>
      </c>
      <c r="D231" s="57" t="str">
        <f>IF(Associates_Call_List_PQ!D231="","",Associates_Call_List_PQ!D231)</f>
        <v>Goodyear</v>
      </c>
      <c r="E231" s="58">
        <f>IF(Associates_Call_List_PQ!E231="","",Associates_Call_List_PQ!E231)</f>
        <v>85338</v>
      </c>
      <c r="F231" s="57" t="str">
        <f>IF(Associates_Call_List_PQ!F231="","",Associates_Call_List_PQ!F231)</f>
        <v>Opposed</v>
      </c>
      <c r="G231" s="57" t="str">
        <f>IF(Associates_Call_List_PQ!G231="","",Associates_Call_List_PQ!G231)</f>
        <v>https://images.edocket.azcc.gov/docketpdf/E000046190.pdf</v>
      </c>
      <c r="H231" s="59" t="str">
        <f>IF(Associates_Call_List_PQ!H231="","",Associates_Call_List_PQ!H231)</f>
        <v>6593130000 </v>
      </c>
      <c r="I231" s="57" t="str">
        <f>IF(Associates_Call_List_PQ!I231="","",Associates_Call_List_PQ!I231)</f>
        <v>EPR-6w/ET-2</v>
      </c>
      <c r="J231" s="57" t="str">
        <f>IF(Associates_Call_List_PQ!J231="","",Associates_Call_List_PQ!J231)</f>
        <v>No</v>
      </c>
      <c r="K231" s="57" t="str">
        <f>IF(Associates_Call_List_PQ!K231="","",Associates_Call_List_PQ!K231)</f>
        <v>No</v>
      </c>
      <c r="L231" s="57" t="str">
        <f>IF(Associates_Call_List_PQ!L231="","",Associates_Call_List_PQ!L231)</f>
        <v>Frozen Rate</v>
      </c>
      <c r="M231" s="57" t="str">
        <f>IF(Associates_Call_List_PQ!M231="","",Associates_Call_List_PQ!M231)</f>
        <v>No</v>
      </c>
      <c r="N231" s="57" t="str">
        <f>IF(Associates_Call_List_PQ!N231="","",Associates_Call_List_PQ!N231)</f>
        <v>No</v>
      </c>
      <c r="O231" s="57" t="str">
        <f>IF(Associates_Call_List_PQ!O231="","",Associates_Call_List_PQ!O231)</f>
        <v>Yes</v>
      </c>
      <c r="P231" s="57" t="str">
        <f>IF(Associates_Call_List_PQ!P231="","",Associates_Call_List_PQ!P231)</f>
        <v>N</v>
      </c>
      <c r="Q231" s="57">
        <f>IF(Associates_Call_List_PQ!Q231="","",Associates_Call_List_PQ!Q231)</f>
        <v>45967</v>
      </c>
      <c r="R231" s="57" t="str">
        <f>IF(Associates_Call_List_PQ!R231="","",Associates_Call_List_PQ!R231)</f>
        <v/>
      </c>
      <c r="S231" s="57" t="str">
        <f>IF(Associates_Call_List_PQ!S231="","",Associates_Call_List_PQ!S231)</f>
        <v/>
      </c>
      <c r="T231" s="57" t="str">
        <f>IF(Associates_Call_List_PQ!T231="","",Associates_Call_List_PQ!T231)</f>
        <v/>
      </c>
      <c r="U231" s="57" t="str">
        <f>IF(Associates_Call_List_PQ!U231="","",Associates_Call_List_PQ!U231)</f>
        <v/>
      </c>
      <c r="V231" s="68"/>
      <c r="W231" s="68" t="s">
        <v>5432</v>
      </c>
      <c r="X231" s="68"/>
      <c r="Y231" s="68"/>
      <c r="Z231" s="72"/>
    </row>
    <row r="232" spans="1:26">
      <c r="A232" s="71">
        <f>IFERROR(Associates_Call_List_PQ!A232,"")</f>
        <v>45903</v>
      </c>
      <c r="B232" s="57" t="str">
        <f>IF(Associates_Call_List_PQ!B232="","",Associates_Call_List_PQ!B232)</f>
        <v>Calcaterra</v>
      </c>
      <c r="C232" s="57" t="str">
        <f>IF(Associates_Call_List_PQ!C232="","",Associates_Call_List_PQ!C232)</f>
        <v>Drew</v>
      </c>
      <c r="D232" s="57" t="str">
        <f>IF(Associates_Call_List_PQ!D232="","",Associates_Call_List_PQ!D232)</f>
        <v>Avondale</v>
      </c>
      <c r="E232" s="58">
        <f>IF(Associates_Call_List_PQ!E232="","",Associates_Call_List_PQ!E232)</f>
        <v>85392</v>
      </c>
      <c r="F232" s="57" t="str">
        <f>IF(Associates_Call_List_PQ!F232="","",Associates_Call_List_PQ!F232)</f>
        <v>Form letter</v>
      </c>
      <c r="G232" s="57" t="str">
        <f>IF(Associates_Call_List_PQ!G232="","",Associates_Call_List_PQ!G232)</f>
        <v>https://images.edocket.azcc.gov/docketpdf/E000046190.pdf</v>
      </c>
      <c r="H232" s="59" t="str">
        <f>IF(Associates_Call_List_PQ!H232="","",Associates_Call_List_PQ!H232)</f>
        <v>3151454631 </v>
      </c>
      <c r="I232" s="57" t="str">
        <f>IF(Associates_Call_List_PQ!I232="","",Associates_Call_List_PQ!I232)</f>
        <v>R3-47</v>
      </c>
      <c r="J232" s="57" t="str">
        <f>IF(Associates_Call_List_PQ!J232="","",Associates_Call_List_PQ!J232)</f>
        <v>No</v>
      </c>
      <c r="K232" s="57" t="str">
        <f>IF(Associates_Call_List_PQ!K232="","",Associates_Call_List_PQ!K232)</f>
        <v>No</v>
      </c>
      <c r="L232" s="57" t="str">
        <f>IF(Associates_Call_List_PQ!L232="","",Associates_Call_List_PQ!L232)</f>
        <v>Yes</v>
      </c>
      <c r="M232" s="57" t="str">
        <f>IF(Associates_Call_List_PQ!M232="","",Associates_Call_List_PQ!M232)</f>
        <v>No</v>
      </c>
      <c r="N232" s="57" t="str">
        <f>IF(Associates_Call_List_PQ!N232="","",Associates_Call_List_PQ!N232)</f>
        <v>No</v>
      </c>
      <c r="O232" s="57" t="str">
        <f>IF(Associates_Call_List_PQ!O232="","",Associates_Call_List_PQ!O232)</f>
        <v>Yes</v>
      </c>
      <c r="P232" s="57" t="str">
        <f>IF(Associates_Call_List_PQ!P232="","",Associates_Call_List_PQ!P232)</f>
        <v>N</v>
      </c>
      <c r="Q232" s="57">
        <f>IF(Associates_Call_List_PQ!Q232="","",Associates_Call_List_PQ!Q232)</f>
        <v>45967</v>
      </c>
      <c r="R232" s="57" t="str">
        <f>IF(Associates_Call_List_PQ!R232="","",Associates_Call_List_PQ!R232)</f>
        <v/>
      </c>
      <c r="S232" s="57" t="str">
        <f>IF(Associates_Call_List_PQ!S232="","",Associates_Call_List_PQ!S232)</f>
        <v/>
      </c>
      <c r="T232" s="57" t="str">
        <f>IF(Associates_Call_List_PQ!T232="","",Associates_Call_List_PQ!T232)</f>
        <v/>
      </c>
      <c r="U232" s="57" t="str">
        <f>IF(Associates_Call_List_PQ!U232="","",Associates_Call_List_PQ!U232)</f>
        <v/>
      </c>
      <c r="V232" s="68"/>
      <c r="W232" s="68" t="s">
        <v>5432</v>
      </c>
      <c r="X232" s="68"/>
      <c r="Y232" s="68"/>
      <c r="Z232" s="72"/>
    </row>
    <row r="233" spans="1:26">
      <c r="A233" s="71">
        <f>IFERROR(Associates_Call_List_PQ!A233,"")</f>
        <v>45903</v>
      </c>
      <c r="B233" s="57" t="str">
        <f>IF(Associates_Call_List_PQ!B233="","",Associates_Call_List_PQ!B233)</f>
        <v>Jenkins</v>
      </c>
      <c r="C233" s="57" t="str">
        <f>IF(Associates_Call_List_PQ!C233="","",Associates_Call_List_PQ!C233)</f>
        <v>Camille</v>
      </c>
      <c r="D233" s="57" t="str">
        <f>IF(Associates_Call_List_PQ!D233="","",Associates_Call_List_PQ!D233)</f>
        <v>Goodyear</v>
      </c>
      <c r="E233" s="58">
        <f>IF(Associates_Call_List_PQ!E233="","",Associates_Call_List_PQ!E233)</f>
        <v>85395</v>
      </c>
      <c r="F233" s="57" t="str">
        <f>IF(Associates_Call_List_PQ!F233="","",Associates_Call_List_PQ!F233)</f>
        <v>Spend more on electricity than food</v>
      </c>
      <c r="G233" s="57" t="str">
        <f>IF(Associates_Call_List_PQ!G233="","",Associates_Call_List_PQ!G233)</f>
        <v>https://images.edocket.azcc.gov/docketpdf/E000046190.pdf</v>
      </c>
      <c r="H233" s="59" t="str">
        <f>IF(Associates_Call_List_PQ!H233="","",Associates_Call_List_PQ!H233)</f>
        <v>5982620000 </v>
      </c>
      <c r="I233" s="57" t="str">
        <f>IF(Associates_Call_List_PQ!I233="","",Associates_Call_List_PQ!I233)</f>
        <v>R3-47</v>
      </c>
      <c r="J233" s="57" t="str">
        <f>IF(Associates_Call_List_PQ!J233="","",Associates_Call_List_PQ!J233)</f>
        <v>No</v>
      </c>
      <c r="K233" s="57" t="str">
        <f>IF(Associates_Call_List_PQ!K233="","",Associates_Call_List_PQ!K233)</f>
        <v>No</v>
      </c>
      <c r="L233" s="57" t="str">
        <f>IF(Associates_Call_List_PQ!L233="","",Associates_Call_List_PQ!L233)</f>
        <v>Yes</v>
      </c>
      <c r="M233" s="57" t="str">
        <f>IF(Associates_Call_List_PQ!M233="","",Associates_Call_List_PQ!M233)</f>
        <v>No</v>
      </c>
      <c r="N233" s="57" t="str">
        <f>IF(Associates_Call_List_PQ!N233="","",Associates_Call_List_PQ!N233)</f>
        <v>No</v>
      </c>
      <c r="O233" s="57" t="str">
        <f>IF(Associates_Call_List_PQ!O233="","",Associates_Call_List_PQ!O233)</f>
        <v>Yes</v>
      </c>
      <c r="P233" s="57" t="str">
        <f>IF(Associates_Call_List_PQ!P233="","",Associates_Call_List_PQ!P233)</f>
        <v>N</v>
      </c>
      <c r="Q233" s="57">
        <f>IF(Associates_Call_List_PQ!Q233="","",Associates_Call_List_PQ!Q233)</f>
        <v>45967</v>
      </c>
      <c r="R233" s="57" t="str">
        <f>IF(Associates_Call_List_PQ!R233="","",Associates_Call_List_PQ!R233)</f>
        <v/>
      </c>
      <c r="S233" s="57" t="str">
        <f>IF(Associates_Call_List_PQ!S233="","",Associates_Call_List_PQ!S233)</f>
        <v/>
      </c>
      <c r="T233" s="57" t="str">
        <f>IF(Associates_Call_List_PQ!T233="","",Associates_Call_List_PQ!T233)</f>
        <v/>
      </c>
      <c r="U233" s="57" t="str">
        <f>IF(Associates_Call_List_PQ!U233="","",Associates_Call_List_PQ!U233)</f>
        <v/>
      </c>
      <c r="V233" s="68"/>
      <c r="W233" s="68" t="s">
        <v>5432</v>
      </c>
      <c r="X233" s="68"/>
      <c r="Y233" s="68"/>
      <c r="Z233" s="72"/>
    </row>
    <row r="234" spans="1:26">
      <c r="A234" s="71">
        <f>IFERROR(Associates_Call_List_PQ!A234,"")</f>
        <v>45903</v>
      </c>
      <c r="B234" s="57" t="str">
        <f>IF(Associates_Call_List_PQ!B234="","",Associates_Call_List_PQ!B234)</f>
        <v>Lawler</v>
      </c>
      <c r="C234" s="57" t="str">
        <f>IF(Associates_Call_List_PQ!C234="","",Associates_Call_List_PQ!C234)</f>
        <v>Donna</v>
      </c>
      <c r="D234" s="57" t="str">
        <f>IF(Associates_Call_List_PQ!D234="","",Associates_Call_List_PQ!D234)</f>
        <v>Goodyear</v>
      </c>
      <c r="E234" s="58">
        <f>IF(Associates_Call_List_PQ!E234="","",Associates_Call_List_PQ!E234)</f>
        <v>85338</v>
      </c>
      <c r="F234" s="57" t="str">
        <f>IF(Associates_Call_List_PQ!F234="","",Associates_Call_List_PQ!F234)</f>
        <v>Barely afford it now</v>
      </c>
      <c r="G234" s="57" t="str">
        <f>IF(Associates_Call_List_PQ!G234="","",Associates_Call_List_PQ!G234)</f>
        <v>https://images.edocket.azcc.gov/docketpdf/E000046190.pdf</v>
      </c>
      <c r="H234" s="59" t="str">
        <f>IF(Associates_Call_List_PQ!H234="","",Associates_Call_List_PQ!H234)</f>
        <v>9823890000 </v>
      </c>
      <c r="I234" s="57" t="str">
        <f>IF(Associates_Call_List_PQ!I234="","",Associates_Call_List_PQ!I234)</f>
        <v>R3-47</v>
      </c>
      <c r="J234" s="57" t="str">
        <f>IF(Associates_Call_List_PQ!J234="","",Associates_Call_List_PQ!J234)</f>
        <v>No</v>
      </c>
      <c r="K234" s="57" t="str">
        <f>IF(Associates_Call_List_PQ!K234="","",Associates_Call_List_PQ!K234)</f>
        <v>No</v>
      </c>
      <c r="L234" s="57" t="str">
        <f>IF(Associates_Call_List_PQ!L234="","",Associates_Call_List_PQ!L234)</f>
        <v>Yes</v>
      </c>
      <c r="M234" s="57" t="str">
        <f>IF(Associates_Call_List_PQ!M234="","",Associates_Call_List_PQ!M234)</f>
        <v>Yes</v>
      </c>
      <c r="N234" s="57">
        <f>IF(Associates_Call_List_PQ!N234="","",Associates_Call_List_PQ!N234)</f>
        <v>2144.27</v>
      </c>
      <c r="O234" s="57" t="str">
        <f>IF(Associates_Call_List_PQ!O234="","",Associates_Call_List_PQ!O234)</f>
        <v>Yes</v>
      </c>
      <c r="P234" s="57" t="str">
        <f>IF(Associates_Call_List_PQ!P234="","",Associates_Call_List_PQ!P234)</f>
        <v/>
      </c>
      <c r="Q234" s="57">
        <f>IF(Associates_Call_List_PQ!Q234="","",Associates_Call_List_PQ!Q234)</f>
        <v>45967</v>
      </c>
      <c r="R234" s="57" t="str">
        <f>IF(Associates_Call_List_PQ!R234="","",Associates_Call_List_PQ!R234)</f>
        <v>Assistance?</v>
      </c>
      <c r="S234" s="57" t="str">
        <f>IF(Associates_Call_List_PQ!S234="","",Associates_Call_List_PQ!S234)</f>
        <v/>
      </c>
      <c r="T234" s="57" t="str">
        <f>IF(Associates_Call_List_PQ!T234="","",Associates_Call_List_PQ!T234)</f>
        <v/>
      </c>
      <c r="U234" s="57" t="s">
        <v>5573</v>
      </c>
      <c r="V234" s="68" t="s">
        <v>117</v>
      </c>
      <c r="W234" s="68">
        <v>46025</v>
      </c>
      <c r="X234" s="68" t="s">
        <v>5405</v>
      </c>
      <c r="Y234" s="68"/>
      <c r="Z234" s="72"/>
    </row>
    <row r="235" spans="1:26">
      <c r="A235" s="71">
        <f>IFERROR(Associates_Call_List_PQ!A235,"")</f>
        <v>45903</v>
      </c>
      <c r="B235" s="57" t="str">
        <f>IF(Associates_Call_List_PQ!B235="","",Associates_Call_List_PQ!B235)</f>
        <v>Raymond</v>
      </c>
      <c r="C235" s="57" t="str">
        <f>IF(Associates_Call_List_PQ!C235="","",Associates_Call_List_PQ!C235)</f>
        <v>Peter</v>
      </c>
      <c r="D235" s="57" t="str">
        <f>IF(Associates_Call_List_PQ!D235="","",Associates_Call_List_PQ!D235)</f>
        <v>Peoria</v>
      </c>
      <c r="E235" s="58">
        <f>IF(Associates_Call_List_PQ!E235="","",Associates_Call_List_PQ!E235)</f>
        <v>85383</v>
      </c>
      <c r="F235" s="57" t="str">
        <f>IF(Associates_Call_List_PQ!F235="","",Associates_Call_List_PQ!F235)</f>
        <v>Form letter</v>
      </c>
      <c r="G235" s="57" t="str">
        <f>IF(Associates_Call_List_PQ!G235="","",Associates_Call_List_PQ!G235)</f>
        <v>https://images.edocket.azcc.gov/docketpdf/E000046190.pdf</v>
      </c>
      <c r="H235" s="59" t="str">
        <f>IF(Associates_Call_List_PQ!H235="","",Associates_Call_List_PQ!H235)</f>
        <v>5408340000 </v>
      </c>
      <c r="I235" s="57" t="str">
        <f>IF(Associates_Call_List_PQ!I235="","",Associates_Call_List_PQ!I235)</f>
        <v>R3-47</v>
      </c>
      <c r="J235" s="57" t="str">
        <f>IF(Associates_Call_List_PQ!J235="","",Associates_Call_List_PQ!J235)</f>
        <v>No</v>
      </c>
      <c r="K235" s="57" t="str">
        <f>IF(Associates_Call_List_PQ!K235="","",Associates_Call_List_PQ!K235)</f>
        <v>No</v>
      </c>
      <c r="L235" s="57" t="str">
        <f>IF(Associates_Call_List_PQ!L235="","",Associates_Call_List_PQ!L235)</f>
        <v>Yes</v>
      </c>
      <c r="M235" s="57" t="str">
        <f>IF(Associates_Call_List_PQ!M235="","",Associates_Call_List_PQ!M235)</f>
        <v>No</v>
      </c>
      <c r="N235" s="57" t="str">
        <f>IF(Associates_Call_List_PQ!N235="","",Associates_Call_List_PQ!N235)</f>
        <v>No</v>
      </c>
      <c r="O235" s="57" t="str">
        <f>IF(Associates_Call_List_PQ!O235="","",Associates_Call_List_PQ!O235)</f>
        <v>Yes</v>
      </c>
      <c r="P235" s="57" t="str">
        <f>IF(Associates_Call_List_PQ!P235="","",Associates_Call_List_PQ!P235)</f>
        <v>N</v>
      </c>
      <c r="Q235" s="57">
        <f>IF(Associates_Call_List_PQ!Q235="","",Associates_Call_List_PQ!Q235)</f>
        <v>45967</v>
      </c>
      <c r="R235" s="57" t="str">
        <f>IF(Associates_Call_List_PQ!R235="","",Associates_Call_List_PQ!R235)</f>
        <v/>
      </c>
      <c r="S235" s="57" t="str">
        <f>IF(Associates_Call_List_PQ!S235="","",Associates_Call_List_PQ!S235)</f>
        <v/>
      </c>
      <c r="T235" s="57" t="str">
        <f>IF(Associates_Call_List_PQ!T235="","",Associates_Call_List_PQ!T235)</f>
        <v/>
      </c>
      <c r="U235" s="57" t="str">
        <f>IF(Associates_Call_List_PQ!U235="","",Associates_Call_List_PQ!U235)</f>
        <v/>
      </c>
      <c r="V235" s="68"/>
      <c r="W235" s="68" t="s">
        <v>5432</v>
      </c>
      <c r="X235" s="68"/>
      <c r="Y235" s="68"/>
      <c r="Z235" s="72"/>
    </row>
    <row r="236" spans="1:26">
      <c r="A236" s="71">
        <f>IFERROR(Associates_Call_List_PQ!A236,"")</f>
        <v>45903</v>
      </c>
      <c r="B236" s="57" t="str">
        <f>IF(Associates_Call_List_PQ!B236="","",Associates_Call_List_PQ!B236)</f>
        <v>Ikeler</v>
      </c>
      <c r="C236" s="57" t="str">
        <f>IF(Associates_Call_List_PQ!C236="","",Associates_Call_List_PQ!C236)</f>
        <v>Amber</v>
      </c>
      <c r="D236" s="57" t="str">
        <f>IF(Associates_Call_List_PQ!D236="","",Associates_Call_List_PQ!D236)</f>
        <v>Glendale</v>
      </c>
      <c r="E236" s="58">
        <f>IF(Associates_Call_List_PQ!E236="","",Associates_Call_List_PQ!E236)</f>
        <v>85308</v>
      </c>
      <c r="F236" s="57" t="str">
        <f>IF(Associates_Call_List_PQ!F236="","",Associates_Call_List_PQ!F236)</f>
        <v>Form letter</v>
      </c>
      <c r="G236" s="57" t="str">
        <f>IF(Associates_Call_List_PQ!G236="","",Associates_Call_List_PQ!G236)</f>
        <v>https://images.edocket.azcc.gov/docketpdf/E000046190.pdf</v>
      </c>
      <c r="H236" s="59" t="str">
        <f>IF(Associates_Call_List_PQ!H236="","",Associates_Call_List_PQ!H236)</f>
        <v>5195558690 </v>
      </c>
      <c r="I236" s="57" t="str">
        <f>IF(Associates_Call_List_PQ!I236="","",Associates_Call_List_PQ!I236)</f>
        <v>RTOUE47</v>
      </c>
      <c r="J236" s="57" t="str">
        <f>IF(Associates_Call_List_PQ!J236="","",Associates_Call_List_PQ!J236)</f>
        <v>No</v>
      </c>
      <c r="K236" s="57" t="str">
        <f>IF(Associates_Call_List_PQ!K236="","",Associates_Call_List_PQ!K236)</f>
        <v>No</v>
      </c>
      <c r="L236" s="57" t="str">
        <f>IF(Associates_Call_List_PQ!L236="","",Associates_Call_List_PQ!L236)</f>
        <v>No MEP R-BASIC ($40.75)</v>
      </c>
      <c r="M236" s="57" t="str">
        <f>IF(Associates_Call_List_PQ!M236="","",Associates_Call_List_PQ!M236)</f>
        <v>No</v>
      </c>
      <c r="N236" s="57" t="str">
        <f>IF(Associates_Call_List_PQ!N236="","",Associates_Call_List_PQ!N236)</f>
        <v>No</v>
      </c>
      <c r="O236" s="57" t="str">
        <f>IF(Associates_Call_List_PQ!O236="","",Associates_Call_List_PQ!O236)</f>
        <v>Yes</v>
      </c>
      <c r="P236" s="57" t="str">
        <f>IF(Associates_Call_List_PQ!P236="","",Associates_Call_List_PQ!P236)</f>
        <v>N</v>
      </c>
      <c r="Q236" s="57">
        <f>IF(Associates_Call_List_PQ!Q236="","",Associates_Call_List_PQ!Q236)</f>
        <v>45967</v>
      </c>
      <c r="R236" s="57" t="str">
        <f>IF(Associates_Call_List_PQ!R236="","",Associates_Call_List_PQ!R236)</f>
        <v/>
      </c>
      <c r="S236" s="57" t="str">
        <f>IF(Associates_Call_List_PQ!S236="","",Associates_Call_List_PQ!S236)</f>
        <v/>
      </c>
      <c r="T236" s="57" t="str">
        <f>IF(Associates_Call_List_PQ!T236="","",Associates_Call_List_PQ!T236)</f>
        <v/>
      </c>
      <c r="U236" s="57" t="s">
        <v>5513</v>
      </c>
      <c r="V236" s="68" t="s">
        <v>117</v>
      </c>
      <c r="W236" s="68">
        <v>46025</v>
      </c>
      <c r="X236" s="68" t="s">
        <v>5434</v>
      </c>
      <c r="Y236" s="68"/>
      <c r="Z236" s="72"/>
    </row>
    <row r="237" spans="1:26">
      <c r="A237" s="71">
        <f>IFERROR(Associates_Call_List_PQ!A237,"")</f>
        <v>45903</v>
      </c>
      <c r="B237" s="57" t="str">
        <f>IF(Associates_Call_List_PQ!B237="","",Associates_Call_List_PQ!B237)</f>
        <v>Samuels</v>
      </c>
      <c r="C237" s="57" t="str">
        <f>IF(Associates_Call_List_PQ!C237="","",Associates_Call_List_PQ!C237)</f>
        <v>Shaun</v>
      </c>
      <c r="D237" s="57" t="str">
        <f>IF(Associates_Call_List_PQ!D237="","",Associates_Call_List_PQ!D237)</f>
        <v>Scottsdale</v>
      </c>
      <c r="E237" s="58">
        <f>IF(Associates_Call_List_PQ!E237="","",Associates_Call_List_PQ!E237)</f>
        <v>85251</v>
      </c>
      <c r="F237" s="57" t="str">
        <f>IF(Associates_Call_List_PQ!F237="","",Associates_Call_List_PQ!F237)</f>
        <v>Form letter</v>
      </c>
      <c r="G237" s="57" t="str">
        <f>IF(Associates_Call_List_PQ!G237="","",Associates_Call_List_PQ!G237)</f>
        <v>https://images.edocket.azcc.gov/docketpdf/E000046190.pdf</v>
      </c>
      <c r="H237" s="59" t="str">
        <f>IF(Associates_Call_List_PQ!H237="","",Associates_Call_List_PQ!H237)</f>
        <v>8384335318 </v>
      </c>
      <c r="I237" s="57" t="str">
        <f>IF(Associates_Call_List_PQ!I237="","",Associates_Call_List_PQ!I237)</f>
        <v>R-BASIC</v>
      </c>
      <c r="J237" s="57" t="str">
        <f>IF(Associates_Call_List_PQ!J237="","",Associates_Call_List_PQ!J237)</f>
        <v>No</v>
      </c>
      <c r="K237" s="57" t="str">
        <f>IF(Associates_Call_List_PQ!K237="","",Associates_Call_List_PQ!K237)</f>
        <v>No</v>
      </c>
      <c r="L237" s="57" t="str">
        <f>IF(Associates_Call_List_PQ!L237="","",Associates_Call_List_PQ!L237)</f>
        <v>No MEP RTOUE ($2.35)</v>
      </c>
      <c r="M237" s="57" t="str">
        <f>IF(Associates_Call_List_PQ!M237="","",Associates_Call_List_PQ!M237)</f>
        <v>No</v>
      </c>
      <c r="N237" s="57" t="str">
        <f>IF(Associates_Call_List_PQ!N237="","",Associates_Call_List_PQ!N237)</f>
        <v>No</v>
      </c>
      <c r="O237" s="57" t="str">
        <f>IF(Associates_Call_List_PQ!O237="","",Associates_Call_List_PQ!O237)</f>
        <v>Yes</v>
      </c>
      <c r="P237" s="57" t="str">
        <f>IF(Associates_Call_List_PQ!P237="","",Associates_Call_List_PQ!P237)</f>
        <v>N</v>
      </c>
      <c r="Q237" s="57">
        <f>IF(Associates_Call_List_PQ!Q237="","",Associates_Call_List_PQ!Q237)</f>
        <v>45967</v>
      </c>
      <c r="R237" s="57" t="str">
        <f>IF(Associates_Call_List_PQ!R237="","",Associates_Call_List_PQ!R237)</f>
        <v/>
      </c>
      <c r="S237" s="57" t="str">
        <f>IF(Associates_Call_List_PQ!S237="","",Associates_Call_List_PQ!S237)</f>
        <v/>
      </c>
      <c r="T237" s="57" t="str">
        <f>IF(Associates_Call_List_PQ!T237="","",Associates_Call_List_PQ!T237)</f>
        <v/>
      </c>
      <c r="U237" s="57" t="s">
        <v>5574</v>
      </c>
      <c r="V237" s="68" t="s">
        <v>117</v>
      </c>
      <c r="W237" s="68">
        <v>46025</v>
      </c>
      <c r="X237" s="68" t="s">
        <v>5405</v>
      </c>
      <c r="Y237" s="68"/>
      <c r="Z237" s="72"/>
    </row>
    <row r="238" spans="1:26">
      <c r="A238" s="71">
        <f>IFERROR(Associates_Call_List_PQ!A238,"")</f>
        <v>45903</v>
      </c>
      <c r="B238" s="57" t="str">
        <f>IF(Associates_Call_List_PQ!B238="","",Associates_Call_List_PQ!B238)</f>
        <v>Bahoura</v>
      </c>
      <c r="C238" s="57" t="str">
        <f>IF(Associates_Call_List_PQ!C238="","",Associates_Call_List_PQ!C238)</f>
        <v>Jayne</v>
      </c>
      <c r="D238" s="57" t="str">
        <f>IF(Associates_Call_List_PQ!D238="","",Associates_Call_List_PQ!D238)</f>
        <v>Scottsdale</v>
      </c>
      <c r="E238" s="58">
        <f>IF(Associates_Call_List_PQ!E238="","",Associates_Call_List_PQ!E238)</f>
        <v>85266</v>
      </c>
      <c r="F238" s="57" t="str">
        <f>IF(Associates_Call_List_PQ!F238="","",Associates_Call_List_PQ!F238)</f>
        <v>Opposed</v>
      </c>
      <c r="G238" s="57" t="str">
        <f>IF(Associates_Call_List_PQ!G238="","",Associates_Call_List_PQ!G238)</f>
        <v>https://images.edocket.azcc.gov/docketpdf/E000046190.pdf</v>
      </c>
      <c r="H238" s="59">
        <f>IF(Associates_Call_List_PQ!H238="","",Associates_Call_List_PQ!H238)</f>
        <v>6177370000</v>
      </c>
      <c r="I238" s="57" t="str">
        <f>IF(Associates_Call_List_PQ!I238="","",Associates_Call_List_PQ!I238)</f>
        <v>R3-47</v>
      </c>
      <c r="J238" s="57" t="str">
        <f>IF(Associates_Call_List_PQ!J238="","",Associates_Call_List_PQ!J238)</f>
        <v>No</v>
      </c>
      <c r="K238" s="57" t="str">
        <f>IF(Associates_Call_List_PQ!K238="","",Associates_Call_List_PQ!K238)</f>
        <v>No</v>
      </c>
      <c r="L238" s="57" t="str">
        <f>IF(Associates_Call_List_PQ!L238="","",Associates_Call_List_PQ!L238)</f>
        <v>Yes</v>
      </c>
      <c r="M238" s="57" t="str">
        <f>IF(Associates_Call_List_PQ!M238="","",Associates_Call_List_PQ!M238)</f>
        <v>No</v>
      </c>
      <c r="N238" s="57" t="str">
        <f>IF(Associates_Call_List_PQ!N238="","",Associates_Call_List_PQ!N238)</f>
        <v>No</v>
      </c>
      <c r="O238" s="57" t="str">
        <f>IF(Associates_Call_List_PQ!O238="","",Associates_Call_List_PQ!O238)</f>
        <v>Yes</v>
      </c>
      <c r="P238" s="57" t="str">
        <f>IF(Associates_Call_List_PQ!P238="","",Associates_Call_List_PQ!P238)</f>
        <v>N</v>
      </c>
      <c r="Q238" s="57">
        <f>IF(Associates_Call_List_PQ!Q238="","",Associates_Call_List_PQ!Q238)</f>
        <v>45967</v>
      </c>
      <c r="R238" s="57" t="str">
        <f>IF(Associates_Call_List_PQ!R238="","",Associates_Call_List_PQ!R238)</f>
        <v/>
      </c>
      <c r="S238" s="57" t="str">
        <f>IF(Associates_Call_List_PQ!S238="","",Associates_Call_List_PQ!S238)</f>
        <v/>
      </c>
      <c r="T238" s="57" t="str">
        <f>IF(Associates_Call_List_PQ!T238="","",Associates_Call_List_PQ!T238)</f>
        <v/>
      </c>
      <c r="U238" s="57" t="str">
        <f>IF(Associates_Call_List_PQ!U238="","",Associates_Call_List_PQ!U238)</f>
        <v/>
      </c>
      <c r="V238" s="68"/>
      <c r="W238" s="68" t="s">
        <v>5432</v>
      </c>
      <c r="X238" s="68"/>
      <c r="Y238" s="68"/>
      <c r="Z238" s="72"/>
    </row>
    <row r="239" spans="1:26">
      <c r="A239" s="71">
        <f>IFERROR(Associates_Call_List_PQ!A239,"")</f>
        <v>45903</v>
      </c>
      <c r="B239" s="57" t="str">
        <f>IF(Associates_Call_List_PQ!B239="","",Associates_Call_List_PQ!B239)</f>
        <v>Zagoryanu</v>
      </c>
      <c r="C239" s="57" t="str">
        <f>IF(Associates_Call_List_PQ!C239="","",Associates_Call_List_PQ!C239)</f>
        <v>Marius</v>
      </c>
      <c r="D239" s="57" t="str">
        <f>IF(Associates_Call_List_PQ!D239="","",Associates_Call_List_PQ!D239)</f>
        <v>Phoenix</v>
      </c>
      <c r="E239" s="58">
        <f>IF(Associates_Call_List_PQ!E239="","",Associates_Call_List_PQ!E239)</f>
        <v>85085</v>
      </c>
      <c r="F239" s="57" t="str">
        <f>IF(Associates_Call_List_PQ!F239="","",Associates_Call_List_PQ!F239)</f>
        <v>Form letter</v>
      </c>
      <c r="G239" s="57" t="str">
        <f>IF(Associates_Call_List_PQ!G239="","",Associates_Call_List_PQ!G239)</f>
        <v>https://images.edocket.azcc.gov/docketpdf/E000046190.pdf</v>
      </c>
      <c r="H239" s="59" t="str">
        <f>IF(Associates_Call_List_PQ!H239="","",Associates_Call_List_PQ!H239)</f>
        <v>4708815097 </v>
      </c>
      <c r="I239" s="57" t="str">
        <f>IF(Associates_Call_List_PQ!I239="","",Associates_Call_List_PQ!I239)</f>
        <v>R-XS</v>
      </c>
      <c r="J239" s="57" t="str">
        <f>IF(Associates_Call_List_PQ!J239="","",Associates_Call_List_PQ!J239)</f>
        <v>No</v>
      </c>
      <c r="K239" s="57" t="str">
        <f>IF(Associates_Call_List_PQ!K239="","",Associates_Call_List_PQ!K239)</f>
        <v>No</v>
      </c>
      <c r="L239" s="57" t="str">
        <f>IF(Associates_Call_List_PQ!L239="","",Associates_Call_List_PQ!L239)</f>
        <v>Yes</v>
      </c>
      <c r="M239" s="57" t="str">
        <f>IF(Associates_Call_List_PQ!M239="","",Associates_Call_List_PQ!M239)</f>
        <v>No</v>
      </c>
      <c r="N239" s="57" t="str">
        <f>IF(Associates_Call_List_PQ!N239="","",Associates_Call_List_PQ!N239)</f>
        <v>No</v>
      </c>
      <c r="O239" s="57" t="str">
        <f>IF(Associates_Call_List_PQ!O239="","",Associates_Call_List_PQ!O239)</f>
        <v>Yes</v>
      </c>
      <c r="P239" s="57" t="str">
        <f>IF(Associates_Call_List_PQ!P239="","",Associates_Call_List_PQ!P239)</f>
        <v>N</v>
      </c>
      <c r="Q239" s="57">
        <f>IF(Associates_Call_List_PQ!Q239="","",Associates_Call_List_PQ!Q239)</f>
        <v>45967</v>
      </c>
      <c r="R239" s="57" t="str">
        <f>IF(Associates_Call_List_PQ!R239="","",Associates_Call_List_PQ!R239)</f>
        <v/>
      </c>
      <c r="S239" s="57" t="str">
        <f>IF(Associates_Call_List_PQ!S239="","",Associates_Call_List_PQ!S239)</f>
        <v/>
      </c>
      <c r="T239" s="57" t="str">
        <f>IF(Associates_Call_List_PQ!T239="","",Associates_Call_List_PQ!T239)</f>
        <v/>
      </c>
      <c r="U239" s="57" t="str">
        <f>IF(Associates_Call_List_PQ!U239="","",Associates_Call_List_PQ!U239)</f>
        <v/>
      </c>
      <c r="V239" s="68"/>
      <c r="W239" s="68" t="s">
        <v>5432</v>
      </c>
      <c r="X239" s="68"/>
      <c r="Y239" s="68"/>
      <c r="Z239" s="72"/>
    </row>
    <row r="240" spans="1:26">
      <c r="A240" s="71">
        <f>IFERROR(Associates_Call_List_PQ!A240,"")</f>
        <v>45903</v>
      </c>
      <c r="B240" s="57" t="str">
        <f>IF(Associates_Call_List_PQ!B240="","",Associates_Call_List_PQ!B240)</f>
        <v>Porchia</v>
      </c>
      <c r="C240" s="57" t="str">
        <f>IF(Associates_Call_List_PQ!C240="","",Associates_Call_List_PQ!C240)</f>
        <v>Dominic</v>
      </c>
      <c r="D240" s="57" t="str">
        <f>IF(Associates_Call_List_PQ!D240="","",Associates_Call_List_PQ!D240)</f>
        <v>Avondale</v>
      </c>
      <c r="E240" s="58">
        <f>IF(Associates_Call_List_PQ!E240="","",Associates_Call_List_PQ!E240)</f>
        <v>85392</v>
      </c>
      <c r="F240" s="57" t="str">
        <f>IF(Associates_Call_List_PQ!F240="","",Associates_Call_List_PQ!F240)</f>
        <v>Opposed</v>
      </c>
      <c r="G240" s="57" t="str">
        <f>IF(Associates_Call_List_PQ!G240="","",Associates_Call_List_PQ!G240)</f>
        <v>https://images.edocket.azcc.gov/docketpdf/E000046190.pdf</v>
      </c>
      <c r="H240" s="59">
        <f>IF(Associates_Call_List_PQ!H240="","",Associates_Call_List_PQ!H240)</f>
        <v>3066335881</v>
      </c>
      <c r="I240" s="57" t="str">
        <f>IF(Associates_Call_List_PQ!I240="","",Associates_Call_List_PQ!I240)</f>
        <v>RTOUE47</v>
      </c>
      <c r="J240" s="57" t="str">
        <f>IF(Associates_Call_List_PQ!J240="","",Associates_Call_List_PQ!J240)</f>
        <v>No</v>
      </c>
      <c r="K240" s="57" t="str">
        <f>IF(Associates_Call_List_PQ!K240="","",Associates_Call_List_PQ!K240)</f>
        <v>No</v>
      </c>
      <c r="L240" s="57" t="str">
        <f>IF(Associates_Call_List_PQ!L240="","",Associates_Call_List_PQ!L240)</f>
        <v>Yes</v>
      </c>
      <c r="M240" s="57" t="str">
        <f>IF(Associates_Call_List_PQ!M240="","",Associates_Call_List_PQ!M240)</f>
        <v>No</v>
      </c>
      <c r="N240" s="57" t="str">
        <f>IF(Associates_Call_List_PQ!N240="","",Associates_Call_List_PQ!N240)</f>
        <v>No</v>
      </c>
      <c r="O240" s="57" t="str">
        <f>IF(Associates_Call_List_PQ!O240="","",Associates_Call_List_PQ!O240)</f>
        <v>Yes</v>
      </c>
      <c r="P240" s="57" t="str">
        <f>IF(Associates_Call_List_PQ!P240="","",Associates_Call_List_PQ!P240)</f>
        <v>N</v>
      </c>
      <c r="Q240" s="57">
        <f>IF(Associates_Call_List_PQ!Q240="","",Associates_Call_List_PQ!Q240)</f>
        <v>45967</v>
      </c>
      <c r="R240" s="57" t="str">
        <f>IF(Associates_Call_List_PQ!R240="","",Associates_Call_List_PQ!R240)</f>
        <v/>
      </c>
      <c r="S240" s="57" t="str">
        <f>IF(Associates_Call_List_PQ!S240="","",Associates_Call_List_PQ!S240)</f>
        <v/>
      </c>
      <c r="T240" s="57" t="str">
        <f>IF(Associates_Call_List_PQ!T240="","",Associates_Call_List_PQ!T240)</f>
        <v/>
      </c>
      <c r="U240" s="57" t="str">
        <f>IF(Associates_Call_List_PQ!U240="","",Associates_Call_List_PQ!U240)</f>
        <v/>
      </c>
      <c r="V240" s="68"/>
      <c r="W240" s="68" t="s">
        <v>5432</v>
      </c>
      <c r="X240" s="68"/>
      <c r="Y240" s="68"/>
      <c r="Z240" s="72"/>
    </row>
    <row r="241" spans="1:26">
      <c r="A241" s="71">
        <f>IFERROR(Associates_Call_List_PQ!A241,"")</f>
        <v>45903</v>
      </c>
      <c r="B241" s="57" t="str">
        <f>IF(Associates_Call_List_PQ!B241="","",Associates_Call_List_PQ!B241)</f>
        <v>Romero</v>
      </c>
      <c r="C241" s="57" t="str">
        <f>IF(Associates_Call_List_PQ!C241="","",Associates_Call_List_PQ!C241)</f>
        <v>Cristobal</v>
      </c>
      <c r="D241" s="57" t="str">
        <f>IF(Associates_Call_List_PQ!D241="","",Associates_Call_List_PQ!D241)</f>
        <v>Phoenix</v>
      </c>
      <c r="E241" s="58">
        <f>IF(Associates_Call_List_PQ!E241="","",Associates_Call_List_PQ!E241)</f>
        <v>85020</v>
      </c>
      <c r="F241" s="57" t="str">
        <f>IF(Associates_Call_List_PQ!F241="","",Associates_Call_List_PQ!F241)</f>
        <v>Form letter</v>
      </c>
      <c r="G241" s="57" t="str">
        <f>IF(Associates_Call_List_PQ!G241="","",Associates_Call_List_PQ!G241)</f>
        <v>https://images.edocket.azcc.gov/docketpdf/E000046190.pdf</v>
      </c>
      <c r="H241" s="59" t="str">
        <f>IF(Associates_Call_List_PQ!H241="","",Associates_Call_List_PQ!H241)</f>
        <v>3555354916 </v>
      </c>
      <c r="I241" s="57" t="str">
        <f>IF(Associates_Call_List_PQ!I241="","",Associates_Call_List_PQ!I241)</f>
        <v>R3-47</v>
      </c>
      <c r="J241" s="57" t="str">
        <f>IF(Associates_Call_List_PQ!J241="","",Associates_Call_List_PQ!J241)</f>
        <v>No</v>
      </c>
      <c r="K241" s="57" t="str">
        <f>IF(Associates_Call_List_PQ!K241="","",Associates_Call_List_PQ!K241)</f>
        <v>No</v>
      </c>
      <c r="L241" s="57" t="str">
        <f>IF(Associates_Call_List_PQ!L241="","",Associates_Call_List_PQ!L241)</f>
        <v>Yes</v>
      </c>
      <c r="M241" s="57" t="str">
        <f>IF(Associates_Call_List_PQ!M241="","",Associates_Call_List_PQ!M241)</f>
        <v>No</v>
      </c>
      <c r="N241" s="57" t="str">
        <f>IF(Associates_Call_List_PQ!N241="","",Associates_Call_List_PQ!N241)</f>
        <v>No</v>
      </c>
      <c r="O241" s="57" t="str">
        <f>IF(Associates_Call_List_PQ!O241="","",Associates_Call_List_PQ!O241)</f>
        <v>Yes</v>
      </c>
      <c r="P241" s="57" t="str">
        <f>IF(Associates_Call_List_PQ!P241="","",Associates_Call_List_PQ!P241)</f>
        <v>N</v>
      </c>
      <c r="Q241" s="57">
        <f>IF(Associates_Call_List_PQ!Q241="","",Associates_Call_List_PQ!Q241)</f>
        <v>45967</v>
      </c>
      <c r="R241" s="57" t="str">
        <f>IF(Associates_Call_List_PQ!R241="","",Associates_Call_List_PQ!R241)</f>
        <v/>
      </c>
      <c r="S241" s="57" t="str">
        <f>IF(Associates_Call_List_PQ!S241="","",Associates_Call_List_PQ!S241)</f>
        <v/>
      </c>
      <c r="T241" s="57" t="str">
        <f>IF(Associates_Call_List_PQ!T241="","",Associates_Call_List_PQ!T241)</f>
        <v/>
      </c>
      <c r="U241" s="57" t="str">
        <f>IF(Associates_Call_List_PQ!U241="","",Associates_Call_List_PQ!U241)</f>
        <v/>
      </c>
      <c r="V241" s="68"/>
      <c r="W241" s="68" t="s">
        <v>5432</v>
      </c>
      <c r="X241" s="68"/>
      <c r="Y241" s="68"/>
      <c r="Z241" s="72"/>
    </row>
    <row r="242" spans="1:26">
      <c r="A242" s="71">
        <f>IFERROR(Associates_Call_List_PQ!A242,"")</f>
        <v>45903</v>
      </c>
      <c r="B242" s="57" t="str">
        <f>IF(Associates_Call_List_PQ!B242="","",Associates_Call_List_PQ!B242)</f>
        <v>Chokkalingam</v>
      </c>
      <c r="C242" s="57" t="str">
        <f>IF(Associates_Call_List_PQ!C242="","",Associates_Call_List_PQ!C242)</f>
        <v>Sankar</v>
      </c>
      <c r="D242" s="57" t="str">
        <f>IF(Associates_Call_List_PQ!D242="","",Associates_Call_List_PQ!D242)</f>
        <v>Phoenix</v>
      </c>
      <c r="E242" s="58">
        <f>IF(Associates_Call_List_PQ!E242="","",Associates_Call_List_PQ!E242)</f>
        <v>85050</v>
      </c>
      <c r="F242" s="57" t="str">
        <f>IF(Associates_Call_List_PQ!F242="","",Associates_Call_List_PQ!F242)</f>
        <v>Already paying huge amount</v>
      </c>
      <c r="G242" s="57" t="str">
        <f>IF(Associates_Call_List_PQ!G242="","",Associates_Call_List_PQ!G242)</f>
        <v>https://images.edocket.azcc.gov/docketpdf/E000046190.pdf</v>
      </c>
      <c r="H242" s="59" t="str">
        <f>IF(Associates_Call_List_PQ!H242="","",Associates_Call_List_PQ!H242)</f>
        <v>1516066562 </v>
      </c>
      <c r="I242" s="57" t="str">
        <f>IF(Associates_Call_List_PQ!I242="","",Associates_Call_List_PQ!I242)</f>
        <v>R3-47</v>
      </c>
      <c r="J242" s="57" t="str">
        <f>IF(Associates_Call_List_PQ!J242="","",Associates_Call_List_PQ!J242)</f>
        <v>No</v>
      </c>
      <c r="K242" s="57" t="str">
        <f>IF(Associates_Call_List_PQ!K242="","",Associates_Call_List_PQ!K242)</f>
        <v>No</v>
      </c>
      <c r="L242" s="57" t="str">
        <f>IF(Associates_Call_List_PQ!L242="","",Associates_Call_List_PQ!L242)</f>
        <v>Yes</v>
      </c>
      <c r="M242" s="57" t="str">
        <f>IF(Associates_Call_List_PQ!M242="","",Associates_Call_List_PQ!M242)</f>
        <v>No</v>
      </c>
      <c r="N242" s="57" t="str">
        <f>IF(Associates_Call_List_PQ!N242="","",Associates_Call_List_PQ!N242)</f>
        <v>No</v>
      </c>
      <c r="O242" s="57" t="str">
        <f>IF(Associates_Call_List_PQ!O242="","",Associates_Call_List_PQ!O242)</f>
        <v>Yes</v>
      </c>
      <c r="P242" s="57" t="str">
        <f>IF(Associates_Call_List_PQ!P242="","",Associates_Call_List_PQ!P242)</f>
        <v>N</v>
      </c>
      <c r="Q242" s="57">
        <f>IF(Associates_Call_List_PQ!Q242="","",Associates_Call_List_PQ!Q242)</f>
        <v>45967</v>
      </c>
      <c r="R242" s="57" t="str">
        <f>IF(Associates_Call_List_PQ!R242="","",Associates_Call_List_PQ!R242)</f>
        <v/>
      </c>
      <c r="S242" s="57" t="str">
        <f>IF(Associates_Call_List_PQ!S242="","",Associates_Call_List_PQ!S242)</f>
        <v/>
      </c>
      <c r="T242" s="57" t="str">
        <f>IF(Associates_Call_List_PQ!T242="","",Associates_Call_List_PQ!T242)</f>
        <v/>
      </c>
      <c r="U242" s="57" t="str">
        <f>IF(Associates_Call_List_PQ!U242="","",Associates_Call_List_PQ!U242)</f>
        <v/>
      </c>
      <c r="V242" s="68"/>
      <c r="W242" s="68" t="s">
        <v>5432</v>
      </c>
      <c r="X242" s="68"/>
      <c r="Y242" s="68"/>
      <c r="Z242" s="72"/>
    </row>
    <row r="243" spans="1:26">
      <c r="A243" s="71">
        <f>IFERROR(Associates_Call_List_PQ!A243,"")</f>
        <v>45903</v>
      </c>
      <c r="B243" s="57" t="str">
        <f>IF(Associates_Call_List_PQ!B243="","",Associates_Call_List_PQ!B243)</f>
        <v>Khandelwal</v>
      </c>
      <c r="C243" s="57" t="str">
        <f>IF(Associates_Call_List_PQ!C243="","",Associates_Call_List_PQ!C243)</f>
        <v>Vivek</v>
      </c>
      <c r="D243" s="57" t="str">
        <f>IF(Associates_Call_List_PQ!D243="","",Associates_Call_List_PQ!D243)</f>
        <v>Glendale</v>
      </c>
      <c r="E243" s="58">
        <f>IF(Associates_Call_List_PQ!E243="","",Associates_Call_List_PQ!E243)</f>
        <v>85307</v>
      </c>
      <c r="F243" s="57" t="str">
        <f>IF(Associates_Call_List_PQ!F243="","",Associates_Call_List_PQ!F243)</f>
        <v>Opposed</v>
      </c>
      <c r="G243" s="57" t="str">
        <f>IF(Associates_Call_List_PQ!G243="","",Associates_Call_List_PQ!G243)</f>
        <v>https://images.edocket.azcc.gov/docketpdf/E000046190.pdf</v>
      </c>
      <c r="H243" s="59" t="str">
        <f>IF(Associates_Call_List_PQ!H243="","",Associates_Call_List_PQ!H243)</f>
        <v>2602229474 </v>
      </c>
      <c r="I243" s="57" t="str">
        <f>IF(Associates_Call_List_PQ!I243="","",Associates_Call_List_PQ!I243)</f>
        <v>R3-47</v>
      </c>
      <c r="J243" s="57" t="str">
        <f>IF(Associates_Call_List_PQ!J243="","",Associates_Call_List_PQ!J243)</f>
        <v>No</v>
      </c>
      <c r="K243" s="57" t="str">
        <f>IF(Associates_Call_List_PQ!K243="","",Associates_Call_List_PQ!K243)</f>
        <v>No</v>
      </c>
      <c r="L243" s="57" t="str">
        <f>IF(Associates_Call_List_PQ!L243="","",Associates_Call_List_PQ!L243)</f>
        <v>Yes</v>
      </c>
      <c r="M243" s="57" t="str">
        <f>IF(Associates_Call_List_PQ!M243="","",Associates_Call_List_PQ!M243)</f>
        <v>No</v>
      </c>
      <c r="N243" s="57" t="str">
        <f>IF(Associates_Call_List_PQ!N243="","",Associates_Call_List_PQ!N243)</f>
        <v>No</v>
      </c>
      <c r="O243" s="57" t="str">
        <f>IF(Associates_Call_List_PQ!O243="","",Associates_Call_List_PQ!O243)</f>
        <v>Yes</v>
      </c>
      <c r="P243" s="57" t="str">
        <f>IF(Associates_Call_List_PQ!P243="","",Associates_Call_List_PQ!P243)</f>
        <v>N</v>
      </c>
      <c r="Q243" s="57">
        <f>IF(Associates_Call_List_PQ!Q243="","",Associates_Call_List_PQ!Q243)</f>
        <v>45967</v>
      </c>
      <c r="R243" s="57" t="str">
        <f>IF(Associates_Call_List_PQ!R243="","",Associates_Call_List_PQ!R243)</f>
        <v/>
      </c>
      <c r="S243" s="57" t="str">
        <f>IF(Associates_Call_List_PQ!S243="","",Associates_Call_List_PQ!S243)</f>
        <v/>
      </c>
      <c r="T243" s="57" t="str">
        <f>IF(Associates_Call_List_PQ!T243="","",Associates_Call_List_PQ!T243)</f>
        <v/>
      </c>
      <c r="U243" s="57" t="str">
        <f>IF(Associates_Call_List_PQ!U243="","",Associates_Call_List_PQ!U243)</f>
        <v/>
      </c>
      <c r="V243" s="68"/>
      <c r="W243" s="68" t="s">
        <v>5432</v>
      </c>
      <c r="X243" s="68"/>
      <c r="Y243" s="68"/>
      <c r="Z243" s="72"/>
    </row>
    <row r="244" spans="1:26">
      <c r="A244" s="71">
        <f>IFERROR(Associates_Call_List_PQ!A244,"")</f>
        <v>45903</v>
      </c>
      <c r="B244" s="57" t="str">
        <f>IF(Associates_Call_List_PQ!B244="","",Associates_Call_List_PQ!B244)</f>
        <v>Swanson</v>
      </c>
      <c r="C244" s="57" t="str">
        <f>IF(Associates_Call_List_PQ!C244="","",Associates_Call_List_PQ!C244)</f>
        <v>Zachary</v>
      </c>
      <c r="D244" s="57" t="str">
        <f>IF(Associates_Call_List_PQ!D244="","",Associates_Call_List_PQ!D244)</f>
        <v>Glendale</v>
      </c>
      <c r="E244" s="58">
        <f>IF(Associates_Call_List_PQ!E244="","",Associates_Call_List_PQ!E244)</f>
        <v>85308</v>
      </c>
      <c r="F244" s="57" t="str">
        <f>IF(Associates_Call_List_PQ!F244="","",Associates_Call_List_PQ!F244)</f>
        <v>Form letter</v>
      </c>
      <c r="G244" s="57" t="str">
        <f>IF(Associates_Call_List_PQ!G244="","",Associates_Call_List_PQ!G244)</f>
        <v>https://images.edocket.azcc.gov/docketpdf/E000046190.pdf</v>
      </c>
      <c r="H244" s="59" t="str">
        <f>IF(Associates_Call_List_PQ!H244="","",Associates_Call_List_PQ!H244)</f>
        <v>4830007876 </v>
      </c>
      <c r="I244" s="57" t="str">
        <f>IF(Associates_Call_List_PQ!I244="","",Associates_Call_List_PQ!I244)</f>
        <v>R3-47</v>
      </c>
      <c r="J244" s="57" t="str">
        <f>IF(Associates_Call_List_PQ!J244="","",Associates_Call_List_PQ!J244)</f>
        <v>No</v>
      </c>
      <c r="K244" s="57" t="str">
        <f>IF(Associates_Call_List_PQ!K244="","",Associates_Call_List_PQ!K244)</f>
        <v>No</v>
      </c>
      <c r="L244" s="57" t="str">
        <f>IF(Associates_Call_List_PQ!L244="","",Associates_Call_List_PQ!L244)</f>
        <v>Yes</v>
      </c>
      <c r="M244" s="57" t="str">
        <f>IF(Associates_Call_List_PQ!M244="","",Associates_Call_List_PQ!M244)</f>
        <v>No</v>
      </c>
      <c r="N244" s="57" t="str">
        <f>IF(Associates_Call_List_PQ!N244="","",Associates_Call_List_PQ!N244)</f>
        <v>No</v>
      </c>
      <c r="O244" s="57" t="str">
        <f>IF(Associates_Call_List_PQ!O244="","",Associates_Call_List_PQ!O244)</f>
        <v>Yes</v>
      </c>
      <c r="P244" s="57" t="str">
        <f>IF(Associates_Call_List_PQ!P244="","",Associates_Call_List_PQ!P244)</f>
        <v>N</v>
      </c>
      <c r="Q244" s="57">
        <f>IF(Associates_Call_List_PQ!Q244="","",Associates_Call_List_PQ!Q244)</f>
        <v>45967</v>
      </c>
      <c r="R244" s="57" t="str">
        <f>IF(Associates_Call_List_PQ!R244="","",Associates_Call_List_PQ!R244)</f>
        <v/>
      </c>
      <c r="S244" s="57" t="str">
        <f>IF(Associates_Call_List_PQ!S244="","",Associates_Call_List_PQ!S244)</f>
        <v/>
      </c>
      <c r="T244" s="57" t="str">
        <f>IF(Associates_Call_List_PQ!T244="","",Associates_Call_List_PQ!T244)</f>
        <v/>
      </c>
      <c r="U244" s="57" t="str">
        <f>IF(Associates_Call_List_PQ!U244="","",Associates_Call_List_PQ!U244)</f>
        <v/>
      </c>
      <c r="V244" s="68"/>
      <c r="W244" s="68" t="s">
        <v>5432</v>
      </c>
      <c r="X244" s="68"/>
      <c r="Y244" s="68"/>
      <c r="Z244" s="72"/>
    </row>
    <row r="245" spans="1:26">
      <c r="A245" s="71">
        <f>IFERROR(Associates_Call_List_PQ!A245,"")</f>
        <v>45903</v>
      </c>
      <c r="B245" s="57" t="str">
        <f>IF(Associates_Call_List_PQ!B245="","",Associates_Call_List_PQ!B245)</f>
        <v>Vallinayagam</v>
      </c>
      <c r="C245" s="57" t="str">
        <f>IF(Associates_Call_List_PQ!C245="","",Associates_Call_List_PQ!C245)</f>
        <v>Subramanian</v>
      </c>
      <c r="D245" s="57" t="str">
        <f>IF(Associates_Call_List_PQ!D245="","",Associates_Call_List_PQ!D245)</f>
        <v>Phoenix</v>
      </c>
      <c r="E245" s="58">
        <f>IF(Associates_Call_List_PQ!E245="","",Associates_Call_List_PQ!E245)</f>
        <v>85050</v>
      </c>
      <c r="F245" s="57" t="str">
        <f>IF(Associates_Call_List_PQ!F245="","",Associates_Call_List_PQ!F245)</f>
        <v>Opposed</v>
      </c>
      <c r="G245" s="57" t="str">
        <f>IF(Associates_Call_List_PQ!G245="","",Associates_Call_List_PQ!G245)</f>
        <v>https://images.edocket.azcc.gov/docketpdf/E000046190.pdf</v>
      </c>
      <c r="H245" s="59" t="str">
        <f>IF(Associates_Call_List_PQ!H245="","",Associates_Call_List_PQ!H245)</f>
        <v>9391573388 </v>
      </c>
      <c r="I245" s="57" t="str">
        <f>IF(Associates_Call_List_PQ!I245="","",Associates_Call_List_PQ!I245)</f>
        <v>RTOUE47</v>
      </c>
      <c r="J245" s="57" t="str">
        <f>IF(Associates_Call_List_PQ!J245="","",Associates_Call_List_PQ!J245)</f>
        <v>No</v>
      </c>
      <c r="K245" s="57" t="str">
        <f>IF(Associates_Call_List_PQ!K245="","",Associates_Call_List_PQ!K245)</f>
        <v>No</v>
      </c>
      <c r="L245" s="57" t="str">
        <f>IF(Associates_Call_List_PQ!L245="","",Associates_Call_List_PQ!L245)</f>
        <v>Yes</v>
      </c>
      <c r="M245" s="57" t="str">
        <f>IF(Associates_Call_List_PQ!M245="","",Associates_Call_List_PQ!M245)</f>
        <v>No</v>
      </c>
      <c r="N245" s="57" t="str">
        <f>IF(Associates_Call_List_PQ!N245="","",Associates_Call_List_PQ!N245)</f>
        <v>No</v>
      </c>
      <c r="O245" s="57" t="str">
        <f>IF(Associates_Call_List_PQ!O245="","",Associates_Call_List_PQ!O245)</f>
        <v>Yes</v>
      </c>
      <c r="P245" s="57" t="str">
        <f>IF(Associates_Call_List_PQ!P245="","",Associates_Call_List_PQ!P245)</f>
        <v>N</v>
      </c>
      <c r="Q245" s="57">
        <f>IF(Associates_Call_List_PQ!Q245="","",Associates_Call_List_PQ!Q245)</f>
        <v>45967</v>
      </c>
      <c r="R245" s="57" t="str">
        <f>IF(Associates_Call_List_PQ!R245="","",Associates_Call_List_PQ!R245)</f>
        <v/>
      </c>
      <c r="S245" s="57" t="str">
        <f>IF(Associates_Call_List_PQ!S245="","",Associates_Call_List_PQ!S245)</f>
        <v/>
      </c>
      <c r="T245" s="57" t="str">
        <f>IF(Associates_Call_List_PQ!T245="","",Associates_Call_List_PQ!T245)</f>
        <v/>
      </c>
      <c r="U245" s="57" t="str">
        <f>IF(Associates_Call_List_PQ!U245="","",Associates_Call_List_PQ!U245)</f>
        <v/>
      </c>
      <c r="V245" s="68"/>
      <c r="W245" s="68" t="s">
        <v>5432</v>
      </c>
      <c r="X245" s="68"/>
      <c r="Y245" s="68"/>
      <c r="Z245" s="72"/>
    </row>
    <row r="246" spans="1:26">
      <c r="A246" s="71">
        <f>IFERROR(Associates_Call_List_PQ!A246,"")</f>
        <v>45903</v>
      </c>
      <c r="B246" s="57" t="str">
        <f>IF(Associates_Call_List_PQ!B246="","",Associates_Call_List_PQ!B246)</f>
        <v>Vivekananthan</v>
      </c>
      <c r="C246" s="57" t="str">
        <f>IF(Associates_Call_List_PQ!C246="","",Associates_Call_List_PQ!C246)</f>
        <v>Amarnath</v>
      </c>
      <c r="D246" s="57" t="str">
        <f>IF(Associates_Call_List_PQ!D246="","",Associates_Call_List_PQ!D246)</f>
        <v>Phoenix</v>
      </c>
      <c r="E246" s="58">
        <f>IF(Associates_Call_List_PQ!E246="","",Associates_Call_List_PQ!E246)</f>
        <v>85024</v>
      </c>
      <c r="F246" s="57" t="str">
        <f>IF(Associates_Call_List_PQ!F246="","",Associates_Call_List_PQ!F246)</f>
        <v>Form letter</v>
      </c>
      <c r="G246" s="57" t="str">
        <f>IF(Associates_Call_List_PQ!G246="","",Associates_Call_List_PQ!G246)</f>
        <v>https://images.edocket.azcc.gov/docketpdf/E000046190.pdf</v>
      </c>
      <c r="H246" s="59">
        <f>IF(Associates_Call_List_PQ!H246="","",Associates_Call_List_PQ!H246)</f>
        <v>6430651000</v>
      </c>
      <c r="I246" s="57" t="str">
        <f>IF(Associates_Call_List_PQ!I246="","",Associates_Call_List_PQ!I246)</f>
        <v>RTOUE47</v>
      </c>
      <c r="J246" s="57" t="str">
        <f>IF(Associates_Call_List_PQ!J246="","",Associates_Call_List_PQ!J246)</f>
        <v>No</v>
      </c>
      <c r="K246" s="57" t="str">
        <f>IF(Associates_Call_List_PQ!K246="","",Associates_Call_List_PQ!K246)</f>
        <v>No</v>
      </c>
      <c r="L246" s="57" t="str">
        <f>IF(Associates_Call_List_PQ!L246="","",Associates_Call_List_PQ!L246)</f>
        <v>Yes</v>
      </c>
      <c r="M246" s="57" t="str">
        <f>IF(Associates_Call_List_PQ!M246="","",Associates_Call_List_PQ!M246)</f>
        <v>No</v>
      </c>
      <c r="N246" s="57" t="str">
        <f>IF(Associates_Call_List_PQ!N246="","",Associates_Call_List_PQ!N246)</f>
        <v>No</v>
      </c>
      <c r="O246" s="57" t="str">
        <f>IF(Associates_Call_List_PQ!O246="","",Associates_Call_List_PQ!O246)</f>
        <v>Yes</v>
      </c>
      <c r="P246" s="57" t="str">
        <f>IF(Associates_Call_List_PQ!P246="","",Associates_Call_List_PQ!P246)</f>
        <v>N</v>
      </c>
      <c r="Q246" s="57">
        <f>IF(Associates_Call_List_PQ!Q246="","",Associates_Call_List_PQ!Q246)</f>
        <v>45967</v>
      </c>
      <c r="R246" s="57" t="str">
        <f>IF(Associates_Call_List_PQ!R246="","",Associates_Call_List_PQ!R246)</f>
        <v/>
      </c>
      <c r="S246" s="57" t="str">
        <f>IF(Associates_Call_List_PQ!S246="","",Associates_Call_List_PQ!S246)</f>
        <v/>
      </c>
      <c r="T246" s="57" t="str">
        <f>IF(Associates_Call_List_PQ!T246="","",Associates_Call_List_PQ!T246)</f>
        <v/>
      </c>
      <c r="U246" s="57" t="str">
        <f>IF(Associates_Call_List_PQ!U246="","",Associates_Call_List_PQ!U246)</f>
        <v/>
      </c>
      <c r="V246" s="68"/>
      <c r="W246" s="68" t="s">
        <v>5432</v>
      </c>
      <c r="X246" s="68"/>
      <c r="Y246" s="68"/>
      <c r="Z246" s="72"/>
    </row>
    <row r="247" spans="1:26">
      <c r="A247" s="71">
        <f>IFERROR(Associates_Call_List_PQ!A247,"")</f>
        <v>45903</v>
      </c>
      <c r="B247" s="57" t="str">
        <f>IF(Associates_Call_List_PQ!B247="","",Associates_Call_List_PQ!B247)</f>
        <v>Nelson</v>
      </c>
      <c r="C247" s="57" t="str">
        <f>IF(Associates_Call_List_PQ!C247="","",Associates_Call_List_PQ!C247)</f>
        <v>Amy</v>
      </c>
      <c r="D247" s="57" t="str">
        <f>IF(Associates_Call_List_PQ!D247="","",Associates_Call_List_PQ!D247)</f>
        <v>Goodyear</v>
      </c>
      <c r="E247" s="58">
        <f>IF(Associates_Call_List_PQ!E247="","",Associates_Call_List_PQ!E247)</f>
        <v>85338</v>
      </c>
      <c r="F247" s="57" t="str">
        <f>IF(Associates_Call_List_PQ!F247="","",Associates_Call_List_PQ!F247)</f>
        <v>Opposed, struggling</v>
      </c>
      <c r="G247" s="57" t="str">
        <f>IF(Associates_Call_List_PQ!G247="","",Associates_Call_List_PQ!G247)</f>
        <v>https://images.edocket.azcc.gov/docketpdf/E000046190.pdf</v>
      </c>
      <c r="H247" s="59" t="str">
        <f>IF(Associates_Call_List_PQ!H247="","",Associates_Call_List_PQ!H247)</f>
        <v>1731130049</v>
      </c>
      <c r="I247" s="57" t="str">
        <f>IF(Associates_Call_List_PQ!I247="","",Associates_Call_List_PQ!I247)</f>
        <v>R3-47</v>
      </c>
      <c r="J247" s="57" t="str">
        <f>IF(Associates_Call_List_PQ!J247="","",Associates_Call_List_PQ!J247)</f>
        <v>Yes</v>
      </c>
      <c r="K247" s="57" t="str">
        <f>IF(Associates_Call_List_PQ!K247="","",Associates_Call_List_PQ!K247)</f>
        <v>No</v>
      </c>
      <c r="L247" s="57" t="str">
        <f>IF(Associates_Call_List_PQ!L247="","",Associates_Call_List_PQ!L247)</f>
        <v>Yes</v>
      </c>
      <c r="M247" s="57" t="str">
        <f>IF(Associates_Call_List_PQ!M247="","",Associates_Call_List_PQ!M247)</f>
        <v>No</v>
      </c>
      <c r="N247" s="57" t="str">
        <f>IF(Associates_Call_List_PQ!N247="","",Associates_Call_List_PQ!N247)</f>
        <v>No</v>
      </c>
      <c r="O247" s="57" t="str">
        <f>IF(Associates_Call_List_PQ!O247="","",Associates_Call_List_PQ!O247)</f>
        <v>Yes</v>
      </c>
      <c r="P247" s="57" t="str">
        <f>IF(Associates_Call_List_PQ!P247="","",Associates_Call_List_PQ!P247)</f>
        <v>N</v>
      </c>
      <c r="Q247" s="57">
        <f>IF(Associates_Call_List_PQ!Q247="","",Associates_Call_List_PQ!Q247)</f>
        <v>45967</v>
      </c>
      <c r="R247" s="57" t="str">
        <f>IF(Associates_Call_List_PQ!R247="","",Associates_Call_List_PQ!R247)</f>
        <v/>
      </c>
      <c r="S247" s="57" t="str">
        <f>IF(Associates_Call_List_PQ!S247="","",Associates_Call_List_PQ!S247)</f>
        <v/>
      </c>
      <c r="T247" s="57" t="str">
        <f>IF(Associates_Call_List_PQ!T247="","",Associates_Call_List_PQ!T247)</f>
        <v/>
      </c>
      <c r="U247" s="57" t="str">
        <f>IF(Associates_Call_List_PQ!U247="","",Associates_Call_List_PQ!U247)</f>
        <v/>
      </c>
      <c r="V247" s="68"/>
      <c r="W247" s="68" t="s">
        <v>5432</v>
      </c>
      <c r="X247" s="68"/>
      <c r="Y247" s="68"/>
      <c r="Z247" s="72"/>
    </row>
    <row r="248" spans="1:26">
      <c r="A248" s="71">
        <f>IFERROR(Associates_Call_List_PQ!A248,"")</f>
        <v>45903</v>
      </c>
      <c r="B248" s="57" t="str">
        <f>IF(Associates_Call_List_PQ!B248="","",Associates_Call_List_PQ!B248)</f>
        <v>Trudell</v>
      </c>
      <c r="C248" s="57" t="str">
        <f>IF(Associates_Call_List_PQ!C248="","",Associates_Call_List_PQ!C248)</f>
        <v>Stephanie</v>
      </c>
      <c r="D248" s="57" t="str">
        <f>IF(Associates_Call_List_PQ!D248="","",Associates_Call_List_PQ!D248)</f>
        <v>Goodyear</v>
      </c>
      <c r="E248" s="58">
        <f>IF(Associates_Call_List_PQ!E248="","",Associates_Call_List_PQ!E248)</f>
        <v>85395</v>
      </c>
      <c r="F248" s="57" t="str">
        <f>IF(Associates_Call_List_PQ!F248="","",Associates_Call_List_PQ!F248)</f>
        <v>No rate increase</v>
      </c>
      <c r="G248" s="57" t="str">
        <f>IF(Associates_Call_List_PQ!G248="","",Associates_Call_List_PQ!G248)</f>
        <v>https://images.edocket.azcc.gov/docketpdf/E000046190.pdf</v>
      </c>
      <c r="H248" s="59">
        <f>IF(Associates_Call_List_PQ!H248="","",Associates_Call_List_PQ!H248)</f>
        <v>1370139140</v>
      </c>
      <c r="I248" s="57" t="str">
        <f>IF(Associates_Call_List_PQ!I248="","",Associates_Call_List_PQ!I248)</f>
        <v>R3-47</v>
      </c>
      <c r="J248" s="57" t="str">
        <f>IF(Associates_Call_List_PQ!J248="","",Associates_Call_List_PQ!J248)</f>
        <v>No</v>
      </c>
      <c r="K248" s="57" t="str">
        <f>IF(Associates_Call_List_PQ!K248="","",Associates_Call_List_PQ!K248)</f>
        <v>No</v>
      </c>
      <c r="L248" s="57" t="str">
        <f>IF(Associates_Call_List_PQ!L248="","",Associates_Call_List_PQ!L248)</f>
        <v>Yes</v>
      </c>
      <c r="M248" s="57" t="str">
        <f>IF(Associates_Call_List_PQ!M248="","",Associates_Call_List_PQ!M248)</f>
        <v>No</v>
      </c>
      <c r="N248" s="57" t="str">
        <f>IF(Associates_Call_List_PQ!N248="","",Associates_Call_List_PQ!N248)</f>
        <v>No</v>
      </c>
      <c r="O248" s="57" t="str">
        <f>IF(Associates_Call_List_PQ!O248="","",Associates_Call_List_PQ!O248)</f>
        <v>Yes</v>
      </c>
      <c r="P248" s="57" t="str">
        <f>IF(Associates_Call_List_PQ!P248="","",Associates_Call_List_PQ!P248)</f>
        <v>N</v>
      </c>
      <c r="Q248" s="57">
        <f>IF(Associates_Call_List_PQ!Q248="","",Associates_Call_List_PQ!Q248)</f>
        <v>45967</v>
      </c>
      <c r="R248" s="57" t="str">
        <f>IF(Associates_Call_List_PQ!R248="","",Associates_Call_List_PQ!R248)</f>
        <v/>
      </c>
      <c r="S248" s="57" t="str">
        <f>IF(Associates_Call_List_PQ!S248="","",Associates_Call_List_PQ!S248)</f>
        <v/>
      </c>
      <c r="T248" s="57" t="str">
        <f>IF(Associates_Call_List_PQ!T248="","",Associates_Call_List_PQ!T248)</f>
        <v/>
      </c>
      <c r="U248" s="57" t="str">
        <f>IF(Associates_Call_List_PQ!U248="","",Associates_Call_List_PQ!U248)</f>
        <v/>
      </c>
      <c r="V248" s="68"/>
      <c r="W248" s="68" t="s">
        <v>5432</v>
      </c>
      <c r="X248" s="68"/>
      <c r="Y248" s="68"/>
      <c r="Z248" s="72"/>
    </row>
    <row r="249" spans="1:26">
      <c r="A249" s="71">
        <f>IFERROR(Associates_Call_List_PQ!A249,"")</f>
        <v>45903</v>
      </c>
      <c r="B249" s="57" t="str">
        <f>IF(Associates_Call_List_PQ!B249="","",Associates_Call_List_PQ!B249)</f>
        <v>Scarano</v>
      </c>
      <c r="C249" s="57" t="str">
        <f>IF(Associates_Call_List_PQ!C249="","",Associates_Call_List_PQ!C249)</f>
        <v>Nick</v>
      </c>
      <c r="D249" s="57" t="str">
        <f>IF(Associates_Call_List_PQ!D249="","",Associates_Call_List_PQ!D249)</f>
        <v>Scottsdale</v>
      </c>
      <c r="E249" s="58">
        <f>IF(Associates_Call_List_PQ!E249="","",Associates_Call_List_PQ!E249)</f>
        <v>85266</v>
      </c>
      <c r="F249" s="57" t="str">
        <f>IF(Associates_Call_List_PQ!F249="","",Associates_Call_List_PQ!F249)</f>
        <v>Form letter</v>
      </c>
      <c r="G249" s="57" t="str">
        <f>IF(Associates_Call_List_PQ!G249="","",Associates_Call_List_PQ!G249)</f>
        <v>https://images.edocket.azcc.gov/docketpdf/E000046190.pdf</v>
      </c>
      <c r="H249" s="59" t="str">
        <f>IF(Associates_Call_List_PQ!H249="","",Associates_Call_List_PQ!H249)</f>
        <v>5498445656 </v>
      </c>
      <c r="I249" s="57" t="str">
        <f>IF(Associates_Call_List_PQ!I249="","",Associates_Call_List_PQ!I249)</f>
        <v>R3-47</v>
      </c>
      <c r="J249" s="57" t="str">
        <f>IF(Associates_Call_List_PQ!J249="","",Associates_Call_List_PQ!J249)</f>
        <v>No</v>
      </c>
      <c r="K249" s="57" t="str">
        <f>IF(Associates_Call_List_PQ!K249="","",Associates_Call_List_PQ!K249)</f>
        <v>No</v>
      </c>
      <c r="L249" s="57" t="str">
        <f>IF(Associates_Call_List_PQ!L249="","",Associates_Call_List_PQ!L249)</f>
        <v>Yes</v>
      </c>
      <c r="M249" s="57" t="str">
        <f>IF(Associates_Call_List_PQ!M249="","",Associates_Call_List_PQ!M249)</f>
        <v>No</v>
      </c>
      <c r="N249" s="57" t="str">
        <f>IF(Associates_Call_List_PQ!N249="","",Associates_Call_List_PQ!N249)</f>
        <v>No</v>
      </c>
      <c r="O249" s="57" t="str">
        <f>IF(Associates_Call_List_PQ!O249="","",Associates_Call_List_PQ!O249)</f>
        <v>Yes</v>
      </c>
      <c r="P249" s="57" t="str">
        <f>IF(Associates_Call_List_PQ!P249="","",Associates_Call_List_PQ!P249)</f>
        <v>N</v>
      </c>
      <c r="Q249" s="57">
        <f>IF(Associates_Call_List_PQ!Q249="","",Associates_Call_List_PQ!Q249)</f>
        <v>45967</v>
      </c>
      <c r="R249" s="57" t="str">
        <f>IF(Associates_Call_List_PQ!R249="","",Associates_Call_List_PQ!R249)</f>
        <v/>
      </c>
      <c r="S249" s="57" t="str">
        <f>IF(Associates_Call_List_PQ!S249="","",Associates_Call_List_PQ!S249)</f>
        <v/>
      </c>
      <c r="T249" s="57" t="str">
        <f>IF(Associates_Call_List_PQ!T249="","",Associates_Call_List_PQ!T249)</f>
        <v/>
      </c>
      <c r="U249" s="57" t="str">
        <f>IF(Associates_Call_List_PQ!U249="","",Associates_Call_List_PQ!U249)</f>
        <v/>
      </c>
      <c r="V249" s="68"/>
      <c r="W249" s="68" t="s">
        <v>5432</v>
      </c>
      <c r="X249" s="68"/>
      <c r="Y249" s="68"/>
      <c r="Z249" s="72"/>
    </row>
    <row r="250" spans="1:26">
      <c r="A250" s="71">
        <f>IFERROR(Associates_Call_List_PQ!A250,"")</f>
        <v>45903</v>
      </c>
      <c r="B250" s="57" t="str">
        <f>IF(Associates_Call_List_PQ!B250="","",Associates_Call_List_PQ!B250)</f>
        <v>Brahmecha</v>
      </c>
      <c r="C250" s="57" t="str">
        <f>IF(Associates_Call_List_PQ!C250="","",Associates_Call_List_PQ!C250)</f>
        <v>Swapnil</v>
      </c>
      <c r="D250" s="57" t="str">
        <f>IF(Associates_Call_List_PQ!D250="","",Associates_Call_List_PQ!D250)</f>
        <v>Peoria</v>
      </c>
      <c r="E250" s="58">
        <f>IF(Associates_Call_List_PQ!E250="","",Associates_Call_List_PQ!E250)</f>
        <v>85383</v>
      </c>
      <c r="F250" s="57" t="str">
        <f>IF(Associates_Call_List_PQ!F250="","",Associates_Call_List_PQ!F250)</f>
        <v>Form letter</v>
      </c>
      <c r="G250" s="57" t="str">
        <f>IF(Associates_Call_List_PQ!G250="","",Associates_Call_List_PQ!G250)</f>
        <v>https://images.edocket.azcc.gov/docketpdf/E000046190.pdf</v>
      </c>
      <c r="H250" s="59">
        <f>IF(Associates_Call_List_PQ!H250="","",Associates_Call_List_PQ!H250)</f>
        <v>3401570000</v>
      </c>
      <c r="I250" s="57" t="str">
        <f>IF(Associates_Call_List_PQ!I250="","",Associates_Call_List_PQ!I250)</f>
        <v>R-2</v>
      </c>
      <c r="J250" s="57" t="str">
        <f>IF(Associates_Call_List_PQ!J250="","",Associates_Call_List_PQ!J250)</f>
        <v>No</v>
      </c>
      <c r="K250" s="57" t="str">
        <f>IF(Associates_Call_List_PQ!K250="","",Associates_Call_List_PQ!K250)</f>
        <v>No</v>
      </c>
      <c r="L250" s="57" t="str">
        <f>IF(Associates_Call_List_PQ!L250="","",Associates_Call_List_PQ!L250)</f>
        <v>Frozen Rate</v>
      </c>
      <c r="M250" s="57" t="str">
        <f>IF(Associates_Call_List_PQ!M250="","",Associates_Call_List_PQ!M250)</f>
        <v>No</v>
      </c>
      <c r="N250" s="57" t="str">
        <f>IF(Associates_Call_List_PQ!N250="","",Associates_Call_List_PQ!N250)</f>
        <v>No</v>
      </c>
      <c r="O250" s="57" t="str">
        <f>IF(Associates_Call_List_PQ!O250="","",Associates_Call_List_PQ!O250)</f>
        <v>Yes</v>
      </c>
      <c r="P250" s="57" t="str">
        <f>IF(Associates_Call_List_PQ!P250="","",Associates_Call_List_PQ!P250)</f>
        <v>N</v>
      </c>
      <c r="Q250" s="57">
        <f>IF(Associates_Call_List_PQ!Q250="","",Associates_Call_List_PQ!Q250)</f>
        <v>45967</v>
      </c>
      <c r="R250" s="57" t="str">
        <f>IF(Associates_Call_List_PQ!R250="","",Associates_Call_List_PQ!R250)</f>
        <v/>
      </c>
      <c r="S250" s="57" t="str">
        <f>IF(Associates_Call_List_PQ!S250="","",Associates_Call_List_PQ!S250)</f>
        <v/>
      </c>
      <c r="T250" s="57" t="str">
        <f>IF(Associates_Call_List_PQ!T250="","",Associates_Call_List_PQ!T250)</f>
        <v/>
      </c>
      <c r="U250" s="57" t="str">
        <f>IF(Associates_Call_List_PQ!U250="","",Associates_Call_List_PQ!U250)</f>
        <v/>
      </c>
      <c r="V250" s="68"/>
      <c r="W250" s="68" t="s">
        <v>5432</v>
      </c>
      <c r="X250" s="68"/>
      <c r="Y250" s="68"/>
      <c r="Z250" s="72"/>
    </row>
    <row r="251" spans="1:26">
      <c r="A251" s="71">
        <f>IFERROR(Associates_Call_List_PQ!A251,"")</f>
        <v>45903</v>
      </c>
      <c r="B251" s="57" t="str">
        <f>IF(Associates_Call_List_PQ!B251="","",Associates_Call_List_PQ!B251)</f>
        <v>Ponnoli</v>
      </c>
      <c r="C251" s="57" t="str">
        <f>IF(Associates_Call_List_PQ!C251="","",Associates_Call_List_PQ!C251)</f>
        <v>Rukmini</v>
      </c>
      <c r="D251" s="57" t="str">
        <f>IF(Associates_Call_List_PQ!D251="","",Associates_Call_List_PQ!D251)</f>
        <v>Phoenix</v>
      </c>
      <c r="E251" s="58">
        <f>IF(Associates_Call_List_PQ!E251="","",Associates_Call_List_PQ!E251)</f>
        <v>85024</v>
      </c>
      <c r="F251" s="57" t="str">
        <f>IF(Associates_Call_List_PQ!F251="","",Associates_Call_List_PQ!F251)</f>
        <v>Opposed to rate increase</v>
      </c>
      <c r="G251" s="57" t="str">
        <f>IF(Associates_Call_List_PQ!G251="","",Associates_Call_List_PQ!G251)</f>
        <v>https://images.edocket.azcc.gov/docketpdf/E000046190.pdf</v>
      </c>
      <c r="H251" s="59" t="str">
        <f>IF(Associates_Call_List_PQ!H251="","",Associates_Call_List_PQ!H251)</f>
        <v>8225159115 </v>
      </c>
      <c r="I251" s="57" t="str">
        <f>IF(Associates_Call_List_PQ!I251="","",Associates_Call_List_PQ!I251)</f>
        <v>RTOUE47</v>
      </c>
      <c r="J251" s="57" t="str">
        <f>IF(Associates_Call_List_PQ!J251="","",Associates_Call_List_PQ!J251)</f>
        <v>No</v>
      </c>
      <c r="K251" s="57" t="str">
        <f>IF(Associates_Call_List_PQ!K251="","",Associates_Call_List_PQ!K251)</f>
        <v>No</v>
      </c>
      <c r="L251" s="57" t="str">
        <f>IF(Associates_Call_List_PQ!L251="","",Associates_Call_List_PQ!L251)</f>
        <v>No MEP R3-47(226.25)</v>
      </c>
      <c r="M251" s="57" t="str">
        <f>IF(Associates_Call_List_PQ!M251="","",Associates_Call_List_PQ!M251)</f>
        <v>No</v>
      </c>
      <c r="N251" s="57" t="str">
        <f>IF(Associates_Call_List_PQ!N251="","",Associates_Call_List_PQ!N251)</f>
        <v>No</v>
      </c>
      <c r="O251" s="57" t="str">
        <f>IF(Associates_Call_List_PQ!O251="","",Associates_Call_List_PQ!O251)</f>
        <v>Yes</v>
      </c>
      <c r="P251" s="57">
        <f>IF(Associates_Call_List_PQ!P251="","",Associates_Call_List_PQ!P251)</f>
        <v>45936</v>
      </c>
      <c r="Q251" s="57">
        <f>IF(Associates_Call_List_PQ!Q251="","",Associates_Call_List_PQ!Q251)</f>
        <v>45967</v>
      </c>
      <c r="R251" s="57" t="str">
        <f>IF(Associates_Call_List_PQ!R251="","",Associates_Call_List_PQ!R251)</f>
        <v>Decided to change to R3-47</v>
      </c>
      <c r="S251" s="57" t="str">
        <f>IF(Associates_Call_List_PQ!S251="","",Associates_Call_List_PQ!S251)</f>
        <v/>
      </c>
      <c r="T251" s="57" t="str">
        <f>IF(Associates_Call_List_PQ!T251="","",Associates_Call_List_PQ!T251)</f>
        <v/>
      </c>
      <c r="U251" s="57" t="s">
        <v>5575</v>
      </c>
      <c r="V251" s="68" t="s">
        <v>117</v>
      </c>
      <c r="W251" s="68">
        <v>46060</v>
      </c>
      <c r="X251" s="68" t="s">
        <v>5434</v>
      </c>
      <c r="Y251" s="68"/>
      <c r="Z251" s="72" t="s">
        <v>5438</v>
      </c>
    </row>
    <row r="252" spans="1:26">
      <c r="A252" s="71">
        <f>IFERROR(Associates_Call_List_PQ!A252,"")</f>
        <v>45903</v>
      </c>
      <c r="B252" s="57" t="str">
        <f>IF(Associates_Call_List_PQ!B252="","",Associates_Call_List_PQ!B252)</f>
        <v>Terwadkar</v>
      </c>
      <c r="C252" s="57" t="str">
        <f>IF(Associates_Call_List_PQ!C252="","",Associates_Call_List_PQ!C252)</f>
        <v>Aniket</v>
      </c>
      <c r="D252" s="57" t="str">
        <f>IF(Associates_Call_List_PQ!D252="","",Associates_Call_List_PQ!D252)</f>
        <v>Peoria</v>
      </c>
      <c r="E252" s="58">
        <f>IF(Associates_Call_List_PQ!E252="","",Associates_Call_List_PQ!E252)</f>
        <v>85383</v>
      </c>
      <c r="F252" s="57" t="str">
        <f>IF(Associates_Call_List_PQ!F252="","",Associates_Call_List_PQ!F252)</f>
        <v>Form letter</v>
      </c>
      <c r="G252" s="57" t="str">
        <f>IF(Associates_Call_List_PQ!G252="","",Associates_Call_List_PQ!G252)</f>
        <v>https://images.edocket.azcc.gov/docketpdf/E000046190.pdf</v>
      </c>
      <c r="H252" s="59" t="str">
        <f>IF(Associates_Call_List_PQ!H252="","",Associates_Call_List_PQ!H252)</f>
        <v>4160660000 </v>
      </c>
      <c r="I252" s="57" t="str">
        <f>IF(Associates_Call_List_PQ!I252="","",Associates_Call_List_PQ!I252)</f>
        <v>R3-47</v>
      </c>
      <c r="J252" s="57" t="str">
        <f>IF(Associates_Call_List_PQ!J252="","",Associates_Call_List_PQ!J252)</f>
        <v>No</v>
      </c>
      <c r="K252" s="57" t="str">
        <f>IF(Associates_Call_List_PQ!K252="","",Associates_Call_List_PQ!K252)</f>
        <v>No</v>
      </c>
      <c r="L252" s="57" t="str">
        <f>IF(Associates_Call_List_PQ!L252="","",Associates_Call_List_PQ!L252)</f>
        <v>Yes</v>
      </c>
      <c r="M252" s="57" t="str">
        <f>IF(Associates_Call_List_PQ!M252="","",Associates_Call_List_PQ!M252)</f>
        <v>No</v>
      </c>
      <c r="N252" s="57" t="str">
        <f>IF(Associates_Call_List_PQ!N252="","",Associates_Call_List_PQ!N252)</f>
        <v>No</v>
      </c>
      <c r="O252" s="57" t="str">
        <f>IF(Associates_Call_List_PQ!O252="","",Associates_Call_List_PQ!O252)</f>
        <v>Yes</v>
      </c>
      <c r="P252" s="57" t="str">
        <f>IF(Associates_Call_List_PQ!P252="","",Associates_Call_List_PQ!P252)</f>
        <v>N</v>
      </c>
      <c r="Q252" s="57">
        <f>IF(Associates_Call_List_PQ!Q252="","",Associates_Call_List_PQ!Q252)</f>
        <v>45967</v>
      </c>
      <c r="R252" s="57" t="str">
        <f>IF(Associates_Call_List_PQ!R252="","",Associates_Call_List_PQ!R252)</f>
        <v/>
      </c>
      <c r="S252" s="57" t="str">
        <f>IF(Associates_Call_List_PQ!S252="","",Associates_Call_List_PQ!S252)</f>
        <v/>
      </c>
      <c r="T252" s="57" t="str">
        <f>IF(Associates_Call_List_PQ!T252="","",Associates_Call_List_PQ!T252)</f>
        <v/>
      </c>
      <c r="U252" s="57" t="str">
        <f>IF(Associates_Call_List_PQ!U252="","",Associates_Call_List_PQ!U252)</f>
        <v/>
      </c>
      <c r="V252" s="68"/>
      <c r="W252" s="68" t="s">
        <v>5432</v>
      </c>
      <c r="X252" s="68"/>
      <c r="Y252" s="68"/>
      <c r="Z252" s="72"/>
    </row>
    <row r="253" spans="1:26">
      <c r="A253" s="71">
        <f>IFERROR(Associates_Call_List_PQ!A253,"")</f>
        <v>45903</v>
      </c>
      <c r="B253" s="57" t="str">
        <f>IF(Associates_Call_List_PQ!B253="","",Associates_Call_List_PQ!B253)</f>
        <v>Thangavelu</v>
      </c>
      <c r="C253" s="57" t="str">
        <f>IF(Associates_Call_List_PQ!C253="","",Associates_Call_List_PQ!C253)</f>
        <v>Nandha</v>
      </c>
      <c r="D253" s="57" t="str">
        <f>IF(Associates_Call_List_PQ!D253="","",Associates_Call_List_PQ!D253)</f>
        <v>Phoenix</v>
      </c>
      <c r="E253" s="58">
        <f>IF(Associates_Call_List_PQ!E253="","",Associates_Call_List_PQ!E253)</f>
        <v>85085</v>
      </c>
      <c r="F253" s="57" t="str">
        <f>IF(Associates_Call_List_PQ!F253="","",Associates_Call_List_PQ!F253)</f>
        <v>Form letter</v>
      </c>
      <c r="G253" s="57" t="str">
        <f>IF(Associates_Call_List_PQ!G253="","",Associates_Call_List_PQ!G253)</f>
        <v>https://images.edocket.azcc.gov/docketpdf/E000046190.pdf</v>
      </c>
      <c r="H253" s="59" t="str">
        <f>IF(Associates_Call_List_PQ!H253="","",Associates_Call_List_PQ!H253)</f>
        <v>6149005878 </v>
      </c>
      <c r="I253" s="57" t="str">
        <f>IF(Associates_Call_List_PQ!I253="","",Associates_Call_List_PQ!I253)</f>
        <v>R3-47</v>
      </c>
      <c r="J253" s="57" t="str">
        <f>IF(Associates_Call_List_PQ!J253="","",Associates_Call_List_PQ!J253)</f>
        <v>No</v>
      </c>
      <c r="K253" s="57" t="str">
        <f>IF(Associates_Call_List_PQ!K253="","",Associates_Call_List_PQ!K253)</f>
        <v>No</v>
      </c>
      <c r="L253" s="57" t="str">
        <f>IF(Associates_Call_List_PQ!L253="","",Associates_Call_List_PQ!L253)</f>
        <v>Yes</v>
      </c>
      <c r="M253" s="57" t="str">
        <f>IF(Associates_Call_List_PQ!M253="","",Associates_Call_List_PQ!M253)</f>
        <v>No</v>
      </c>
      <c r="N253" s="57" t="str">
        <f>IF(Associates_Call_List_PQ!N253="","",Associates_Call_List_PQ!N253)</f>
        <v>No</v>
      </c>
      <c r="O253" s="57" t="str">
        <f>IF(Associates_Call_List_PQ!O253="","",Associates_Call_List_PQ!O253)</f>
        <v>Yes</v>
      </c>
      <c r="P253" s="57" t="str">
        <f>IF(Associates_Call_List_PQ!P253="","",Associates_Call_List_PQ!P253)</f>
        <v>N</v>
      </c>
      <c r="Q253" s="57">
        <f>IF(Associates_Call_List_PQ!Q253="","",Associates_Call_List_PQ!Q253)</f>
        <v>45967</v>
      </c>
      <c r="R253" s="57" t="str">
        <f>IF(Associates_Call_List_PQ!R253="","",Associates_Call_List_PQ!R253)</f>
        <v/>
      </c>
      <c r="S253" s="57" t="str">
        <f>IF(Associates_Call_List_PQ!S253="","",Associates_Call_List_PQ!S253)</f>
        <v/>
      </c>
      <c r="T253" s="57" t="str">
        <f>IF(Associates_Call_List_PQ!T253="","",Associates_Call_List_PQ!T253)</f>
        <v/>
      </c>
      <c r="U253" s="57" t="str">
        <f>IF(Associates_Call_List_PQ!U253="","",Associates_Call_List_PQ!U253)</f>
        <v/>
      </c>
      <c r="V253" s="68"/>
      <c r="W253" s="68" t="s">
        <v>5432</v>
      </c>
      <c r="X253" s="68"/>
      <c r="Y253" s="68"/>
      <c r="Z253" s="72"/>
    </row>
    <row r="254" spans="1:26">
      <c r="A254" s="71">
        <f>IFERROR(Associates_Call_List_PQ!A254,"")</f>
        <v>45903</v>
      </c>
      <c r="B254" s="57" t="str">
        <f>IF(Associates_Call_List_PQ!B254="","",Associates_Call_List_PQ!B254)</f>
        <v>Ruiz</v>
      </c>
      <c r="C254" s="57" t="str">
        <f>IF(Associates_Call_List_PQ!C254="","",Associates_Call_List_PQ!C254)</f>
        <v>Berenice</v>
      </c>
      <c r="D254" s="57" t="str">
        <f>IF(Associates_Call_List_PQ!D254="","",Associates_Call_List_PQ!D254)</f>
        <v>Litchfield Park</v>
      </c>
      <c r="E254" s="58">
        <f>IF(Associates_Call_List_PQ!E254="","",Associates_Call_List_PQ!E254)</f>
        <v>85340</v>
      </c>
      <c r="F254" s="57" t="str">
        <f>IF(Associates_Call_List_PQ!F254="","",Associates_Call_List_PQ!F254)</f>
        <v>Negatively impact customers</v>
      </c>
      <c r="G254" s="57" t="str">
        <f>IF(Associates_Call_List_PQ!G254="","",Associates_Call_List_PQ!G254)</f>
        <v>https://images.edocket.azcc.gov/docketpdf/E000046190.pdf</v>
      </c>
      <c r="H254" s="59" t="str">
        <f>IF(Associates_Call_List_PQ!H254="","",Associates_Call_List_PQ!H254)</f>
        <v>9366820000 </v>
      </c>
      <c r="I254" s="57" t="str">
        <f>IF(Associates_Call_List_PQ!I254="","",Associates_Call_List_PQ!I254)</f>
        <v>R-BASIC</v>
      </c>
      <c r="J254" s="57" t="str">
        <f>IF(Associates_Call_List_PQ!J254="","",Associates_Call_List_PQ!J254)</f>
        <v>Yes</v>
      </c>
      <c r="K254" s="57" t="str">
        <f>IF(Associates_Call_List_PQ!K254="","",Associates_Call_List_PQ!K254)</f>
        <v>No</v>
      </c>
      <c r="L254" s="57" t="str">
        <f>IF(Associates_Call_List_PQ!L254="","",Associates_Call_List_PQ!L254)</f>
        <v>No MEP R3-47 ($17.24)</v>
      </c>
      <c r="M254" s="57" t="str">
        <f>IF(Associates_Call_List_PQ!M254="","",Associates_Call_List_PQ!M254)</f>
        <v>No</v>
      </c>
      <c r="N254" s="57" t="str">
        <f>IF(Associates_Call_List_PQ!N254="","",Associates_Call_List_PQ!N254)</f>
        <v>No</v>
      </c>
      <c r="O254" s="57" t="str">
        <f>IF(Associates_Call_List_PQ!O254="","",Associates_Call_List_PQ!O254)</f>
        <v>Yes</v>
      </c>
      <c r="P254" s="57" t="str">
        <f>IF(Associates_Call_List_PQ!P254="","",Associates_Call_List_PQ!P254)</f>
        <v>N</v>
      </c>
      <c r="Q254" s="57">
        <f>IF(Associates_Call_List_PQ!Q254="","",Associates_Call_List_PQ!Q254)</f>
        <v>45967</v>
      </c>
      <c r="R254" s="57" t="str">
        <f>IF(Associates_Call_List_PQ!R254="","",Associates_Call_List_PQ!R254)</f>
        <v/>
      </c>
      <c r="S254" s="57" t="str">
        <f>IF(Associates_Call_List_PQ!S254="","",Associates_Call_List_PQ!S254)</f>
        <v/>
      </c>
      <c r="T254" s="57" t="str">
        <f>IF(Associates_Call_List_PQ!T254="","",Associates_Call_List_PQ!T254)</f>
        <v/>
      </c>
      <c r="U254" s="57" t="s">
        <v>5576</v>
      </c>
      <c r="V254" s="68" t="s">
        <v>117</v>
      </c>
      <c r="W254" s="68">
        <v>46032</v>
      </c>
      <c r="X254" s="68" t="s">
        <v>5405</v>
      </c>
      <c r="Y254" s="68"/>
      <c r="Z254" s="72"/>
    </row>
    <row r="255" spans="1:26">
      <c r="A255" s="71">
        <f>IFERROR(Associates_Call_List_PQ!A255,"")</f>
        <v>45903</v>
      </c>
      <c r="B255" s="57" t="str">
        <f>IF(Associates_Call_List_PQ!B255="","",Associates_Call_List_PQ!B255)</f>
        <v>Ravikumar</v>
      </c>
      <c r="C255" s="57" t="str">
        <f>IF(Associates_Call_List_PQ!C255="","",Associates_Call_List_PQ!C255)</f>
        <v>Vinoth Kumar</v>
      </c>
      <c r="D255" s="57" t="str">
        <f>IF(Associates_Call_List_PQ!D255="","",Associates_Call_List_PQ!D255)</f>
        <v>Phoenix</v>
      </c>
      <c r="E255" s="58">
        <f>IF(Associates_Call_List_PQ!E255="","",Associates_Call_List_PQ!E255)</f>
        <v>85050</v>
      </c>
      <c r="F255" s="57" t="str">
        <f>IF(Associates_Call_List_PQ!F255="","",Associates_Call_List_PQ!F255)</f>
        <v>Already suffering from job loss and tariff impact</v>
      </c>
      <c r="G255" s="57" t="str">
        <f>IF(Associates_Call_List_PQ!G255="","",Associates_Call_List_PQ!G255)</f>
        <v>https://images.edocket.azcc.gov/docketpdf/E000046190.pdf</v>
      </c>
      <c r="H255" s="59" t="str">
        <f>IF(Associates_Call_List_PQ!H255="","",Associates_Call_List_PQ!H255)</f>
        <v>1735662106 </v>
      </c>
      <c r="I255" s="57" t="str">
        <f>IF(Associates_Call_List_PQ!I255="","",Associates_Call_List_PQ!I255)</f>
        <v>REV47</v>
      </c>
      <c r="J255" s="57" t="str">
        <f>IF(Associates_Call_List_PQ!J255="","",Associates_Call_List_PQ!J255)</f>
        <v>No</v>
      </c>
      <c r="K255" s="57" t="str">
        <f>IF(Associates_Call_List_PQ!K255="","",Associates_Call_List_PQ!K255)</f>
        <v>No</v>
      </c>
      <c r="L255" s="57" t="str">
        <f>IF(Associates_Call_List_PQ!L255="","",Associates_Call_List_PQ!L255)</f>
        <v>No MEP R3-47(220.87)</v>
      </c>
      <c r="M255" s="57" t="str">
        <f>IF(Associates_Call_List_PQ!M255="","",Associates_Call_List_PQ!M255)</f>
        <v>No</v>
      </c>
      <c r="N255" s="57" t="str">
        <f>IF(Associates_Call_List_PQ!N255="","",Associates_Call_List_PQ!N255)</f>
        <v>No</v>
      </c>
      <c r="O255" s="57" t="str">
        <f>IF(Associates_Call_List_PQ!O255="","",Associates_Call_List_PQ!O255)</f>
        <v>Yes</v>
      </c>
      <c r="P255" s="57">
        <f>IF(Associates_Call_List_PQ!P255="","",Associates_Call_List_PQ!P255)</f>
        <v>45936</v>
      </c>
      <c r="Q255" s="57">
        <f>IF(Associates_Call_List_PQ!Q255="","",Associates_Call_List_PQ!Q255)</f>
        <v>45967</v>
      </c>
      <c r="R255" s="57" t="str">
        <f>IF(Associates_Call_List_PQ!R255="","",Associates_Call_List_PQ!R255)</f>
        <v>10/06/2025 Left VM, cor  conf he wants to change plans, reviewed other resources- e3,crisis,liheap,project share</v>
      </c>
      <c r="S255" s="57" t="str">
        <f>IF(Associates_Call_List_PQ!S255="","",Associates_Call_List_PQ!S255)</f>
        <v/>
      </c>
      <c r="T255" s="57" t="str">
        <f>IF(Associates_Call_List_PQ!T255="","",Associates_Call_List_PQ!T255)</f>
        <v/>
      </c>
      <c r="U255" s="57" t="s">
        <v>5577</v>
      </c>
      <c r="V255" s="68" t="s">
        <v>117</v>
      </c>
      <c r="W255" s="68">
        <v>46060</v>
      </c>
      <c r="X255" s="68" t="s">
        <v>5434</v>
      </c>
      <c r="Y255" s="68"/>
      <c r="Z255" s="72"/>
    </row>
    <row r="256" spans="1:26">
      <c r="A256" s="71">
        <f>IFERROR(Associates_Call_List_PQ!A256,"")</f>
        <v>45903</v>
      </c>
      <c r="B256" s="57" t="str">
        <f>IF(Associates_Call_List_PQ!B256="","",Associates_Call_List_PQ!B256)</f>
        <v>Ganesan</v>
      </c>
      <c r="C256" s="57" t="str">
        <f>IF(Associates_Call_List_PQ!C256="","",Associates_Call_List_PQ!C256)</f>
        <v>Mithu</v>
      </c>
      <c r="D256" s="57" t="str">
        <f>IF(Associates_Call_List_PQ!D256="","",Associates_Call_List_PQ!D256)</f>
        <v>Unknown</v>
      </c>
      <c r="E256" s="58">
        <f>IF(Associates_Call_List_PQ!E256="","",Associates_Call_List_PQ!E256)</f>
        <v>85085</v>
      </c>
      <c r="F256" s="57" t="str">
        <f>IF(Associates_Call_List_PQ!F256="","",Associates_Call_List_PQ!F256)</f>
        <v>Form letter</v>
      </c>
      <c r="G256" s="57" t="str">
        <f>IF(Associates_Call_List_PQ!G256="","",Associates_Call_List_PQ!G256)</f>
        <v>https://images.edocket.azcc.gov/docketpdf/E000046190.pdf</v>
      </c>
      <c r="H256" s="59" t="str">
        <f>IF(Associates_Call_List_PQ!H256="","",Associates_Call_List_PQ!H256)</f>
        <v>7495690000 </v>
      </c>
      <c r="I256" s="57" t="str">
        <f>IF(Associates_Call_List_PQ!I256="","",Associates_Call_List_PQ!I256)</f>
        <v>RTOUE47</v>
      </c>
      <c r="J256" s="57" t="str">
        <f>IF(Associates_Call_List_PQ!J256="","",Associates_Call_List_PQ!J256)</f>
        <v>No</v>
      </c>
      <c r="K256" s="57" t="str">
        <f>IF(Associates_Call_List_PQ!K256="","",Associates_Call_List_PQ!K256)</f>
        <v>No</v>
      </c>
      <c r="L256" s="57" t="str">
        <f>IF(Associates_Call_List_PQ!L256="","",Associates_Call_List_PQ!L256)</f>
        <v>No MEP R3-47($10.65)</v>
      </c>
      <c r="M256" s="57" t="str">
        <f>IF(Associates_Call_List_PQ!M256="","",Associates_Call_List_PQ!M256)</f>
        <v>No</v>
      </c>
      <c r="N256" s="57" t="str">
        <f>IF(Associates_Call_List_PQ!N256="","",Associates_Call_List_PQ!N256)</f>
        <v>No</v>
      </c>
      <c r="O256" s="57" t="str">
        <f>IF(Associates_Call_List_PQ!O256="","",Associates_Call_List_PQ!O256)</f>
        <v>Yes</v>
      </c>
      <c r="P256" s="57" t="str">
        <f>IF(Associates_Call_List_PQ!P256="","",Associates_Call_List_PQ!P256)</f>
        <v>N</v>
      </c>
      <c r="Q256" s="57">
        <f>IF(Associates_Call_List_PQ!Q256="","",Associates_Call_List_PQ!Q256)</f>
        <v>45967</v>
      </c>
      <c r="R256" s="57" t="str">
        <f>IF(Associates_Call_List_PQ!R256="","",Associates_Call_List_PQ!R256)</f>
        <v/>
      </c>
      <c r="S256" s="57" t="str">
        <f>IF(Associates_Call_List_PQ!S256="","",Associates_Call_List_PQ!S256)</f>
        <v/>
      </c>
      <c r="T256" s="57" t="str">
        <f>IF(Associates_Call_List_PQ!T256="","",Associates_Call_List_PQ!T256)</f>
        <v/>
      </c>
      <c r="U256" s="57" t="s">
        <v>5513</v>
      </c>
      <c r="V256" s="68" t="s">
        <v>117</v>
      </c>
      <c r="W256" s="68">
        <v>46032</v>
      </c>
      <c r="X256" s="68" t="s">
        <v>5434</v>
      </c>
      <c r="Y256" s="68"/>
      <c r="Z256" s="72"/>
    </row>
    <row r="257" spans="1:26">
      <c r="A257" s="71">
        <f>IFERROR(Associates_Call_List_PQ!A257,"")</f>
        <v>45903</v>
      </c>
      <c r="B257" s="57" t="str">
        <f>IF(Associates_Call_List_PQ!B257="","",Associates_Call_List_PQ!B257)</f>
        <v xml:space="preserve">Martinez  </v>
      </c>
      <c r="C257" s="57" t="str">
        <f>IF(Associates_Call_List_PQ!C257="","",Associates_Call_List_PQ!C257)</f>
        <v>David</v>
      </c>
      <c r="D257" s="57" t="str">
        <f>IF(Associates_Call_List_PQ!D257="","",Associates_Call_List_PQ!D257)</f>
        <v>Avondale</v>
      </c>
      <c r="E257" s="58">
        <f>IF(Associates_Call_List_PQ!E257="","",Associates_Call_List_PQ!E257)</f>
        <v>85323</v>
      </c>
      <c r="F257" s="57" t="str">
        <f>IF(Associates_Call_List_PQ!F257="","",Associates_Call_List_PQ!F257)</f>
        <v>Hardship</v>
      </c>
      <c r="G257" s="57" t="str">
        <f>IF(Associates_Call_List_PQ!G257="","",Associates_Call_List_PQ!G257)</f>
        <v>https://images.edocket.azcc.gov/docketpdf/E000046190.pdf</v>
      </c>
      <c r="H257" s="59" t="str">
        <f>IF(Associates_Call_List_PQ!H257="","",Associates_Call_List_PQ!H257)</f>
        <v>1165327687 </v>
      </c>
      <c r="I257" s="57" t="str">
        <f>IF(Associates_Call_List_PQ!I257="","",Associates_Call_List_PQ!I257)</f>
        <v>R-XS</v>
      </c>
      <c r="J257" s="57" t="str">
        <f>IF(Associates_Call_List_PQ!J257="","",Associates_Call_List_PQ!J257)</f>
        <v>No</v>
      </c>
      <c r="K257" s="57" t="str">
        <f>IF(Associates_Call_List_PQ!K257="","",Associates_Call_List_PQ!K257)</f>
        <v>No</v>
      </c>
      <c r="L257" s="57" t="str">
        <f>IF(Associates_Call_List_PQ!L257="","",Associates_Call_List_PQ!L257)</f>
        <v>Yes</v>
      </c>
      <c r="M257" s="57" t="str">
        <f>IF(Associates_Call_List_PQ!M257="","",Associates_Call_List_PQ!M257)</f>
        <v>No</v>
      </c>
      <c r="N257" s="57" t="str">
        <f>IF(Associates_Call_List_PQ!N257="","",Associates_Call_List_PQ!N257)</f>
        <v>No</v>
      </c>
      <c r="O257" s="57" t="str">
        <f>IF(Associates_Call_List_PQ!O257="","",Associates_Call_List_PQ!O257)</f>
        <v>Yes</v>
      </c>
      <c r="P257" s="57" t="str">
        <f>IF(Associates_Call_List_PQ!P257="","",Associates_Call_List_PQ!P257)</f>
        <v>N</v>
      </c>
      <c r="Q257" s="57">
        <f>IF(Associates_Call_List_PQ!Q257="","",Associates_Call_List_PQ!Q257)</f>
        <v>45967</v>
      </c>
      <c r="R257" s="57" t="str">
        <f>IF(Associates_Call_List_PQ!R257="","",Associates_Call_List_PQ!R257)</f>
        <v/>
      </c>
      <c r="S257" s="57" t="str">
        <f>IF(Associates_Call_List_PQ!S257="","",Associates_Call_List_PQ!S257)</f>
        <v/>
      </c>
      <c r="T257" s="57" t="str">
        <f>IF(Associates_Call_List_PQ!T257="","",Associates_Call_List_PQ!T257)</f>
        <v/>
      </c>
      <c r="U257" s="57" t="str">
        <f>IF(Associates_Call_List_PQ!U257="","",Associates_Call_List_PQ!U257)</f>
        <v/>
      </c>
      <c r="V257" s="68"/>
      <c r="W257" s="68" t="s">
        <v>5432</v>
      </c>
      <c r="X257" s="68"/>
      <c r="Y257" s="68"/>
      <c r="Z257" s="72"/>
    </row>
    <row r="258" spans="1:26">
      <c r="A258" s="71">
        <f>IFERROR(Associates_Call_List_PQ!A258,"")</f>
        <v>45903</v>
      </c>
      <c r="B258" s="57" t="str">
        <f>IF(Associates_Call_List_PQ!B258="","",Associates_Call_List_PQ!B258)</f>
        <v>Jimenez</v>
      </c>
      <c r="C258" s="57" t="str">
        <f>IF(Associates_Call_List_PQ!C258="","",Associates_Call_List_PQ!C258)</f>
        <v>Arilene</v>
      </c>
      <c r="D258" s="57" t="str">
        <f>IF(Associates_Call_List_PQ!D258="","",Associates_Call_List_PQ!D258)</f>
        <v>Avondale</v>
      </c>
      <c r="E258" s="58">
        <f>IF(Associates_Call_List_PQ!E258="","",Associates_Call_List_PQ!E258)</f>
        <v>85392</v>
      </c>
      <c r="F258" s="57" t="str">
        <f>IF(Associates_Call_List_PQ!F258="","",Associates_Call_List_PQ!F258)</f>
        <v>Hardship</v>
      </c>
      <c r="G258" s="57" t="str">
        <f>IF(Associates_Call_List_PQ!G258="","",Associates_Call_List_PQ!G258)</f>
        <v>https://images.edocket.azcc.gov/docketpdf/E000046190.pdf</v>
      </c>
      <c r="H258" s="59" t="str">
        <f>IF(Associates_Call_List_PQ!H258="","",Associates_Call_List_PQ!H258)</f>
        <v>4057601000 </v>
      </c>
      <c r="I258" s="57" t="str">
        <f>IF(Associates_Call_List_PQ!I258="","",Associates_Call_List_PQ!I258)</f>
        <v>RTOUE47</v>
      </c>
      <c r="J258" s="57" t="str">
        <f>IF(Associates_Call_List_PQ!J258="","",Associates_Call_List_PQ!J258)</f>
        <v>No</v>
      </c>
      <c r="K258" s="57" t="str">
        <f>IF(Associates_Call_List_PQ!K258="","",Associates_Call_List_PQ!K258)</f>
        <v>No</v>
      </c>
      <c r="L258" s="57" t="str">
        <f>IF(Associates_Call_List_PQ!L258="","",Associates_Call_List_PQ!L258)</f>
        <v>Yes</v>
      </c>
      <c r="M258" s="57" t="str">
        <f>IF(Associates_Call_List_PQ!M258="","",Associates_Call_List_PQ!M258)</f>
        <v>No</v>
      </c>
      <c r="N258" s="57" t="str">
        <f>IF(Associates_Call_List_PQ!N258="","",Associates_Call_List_PQ!N258)</f>
        <v>No</v>
      </c>
      <c r="O258" s="57" t="str">
        <f>IF(Associates_Call_List_PQ!O258="","",Associates_Call_List_PQ!O258)</f>
        <v>Yes</v>
      </c>
      <c r="P258" s="57" t="str">
        <f>IF(Associates_Call_List_PQ!P258="","",Associates_Call_List_PQ!P258)</f>
        <v>N</v>
      </c>
      <c r="Q258" s="57">
        <f>IF(Associates_Call_List_PQ!Q258="","",Associates_Call_List_PQ!Q258)</f>
        <v>45967</v>
      </c>
      <c r="R258" s="57" t="str">
        <f>IF(Associates_Call_List_PQ!R258="","",Associates_Call_List_PQ!R258)</f>
        <v/>
      </c>
      <c r="S258" s="57" t="str">
        <f>IF(Associates_Call_List_PQ!S258="","",Associates_Call_List_PQ!S258)</f>
        <v/>
      </c>
      <c r="T258" s="57" t="str">
        <f>IF(Associates_Call_List_PQ!T258="","",Associates_Call_List_PQ!T258)</f>
        <v/>
      </c>
      <c r="U258" s="57" t="str">
        <f>IF(Associates_Call_List_PQ!U258="","",Associates_Call_List_PQ!U258)</f>
        <v/>
      </c>
      <c r="V258" s="68"/>
      <c r="W258" s="68" t="s">
        <v>5432</v>
      </c>
      <c r="X258" s="68"/>
      <c r="Y258" s="68"/>
      <c r="Z258" s="72"/>
    </row>
    <row r="259" spans="1:26">
      <c r="A259" s="71">
        <f>IFERROR(Associates_Call_List_PQ!A259,"")</f>
        <v>45903</v>
      </c>
      <c r="B259" s="57" t="str">
        <f>IF(Associates_Call_List_PQ!B259="","",Associates_Call_List_PQ!B259)</f>
        <v>Robinson</v>
      </c>
      <c r="C259" s="57" t="str">
        <f>IF(Associates_Call_List_PQ!C259="","",Associates_Call_List_PQ!C259)</f>
        <v>Taylor</v>
      </c>
      <c r="D259" s="57" t="str">
        <f>IF(Associates_Call_List_PQ!D259="","",Associates_Call_List_PQ!D259)</f>
        <v>Phoenix</v>
      </c>
      <c r="E259" s="58">
        <f>IF(Associates_Call_List_PQ!E259="","",Associates_Call_List_PQ!E259)</f>
        <v>85050</v>
      </c>
      <c r="F259" s="57" t="str">
        <f>IF(Associates_Call_List_PQ!F259="","",Associates_Call_List_PQ!F259)</f>
        <v>Form letter</v>
      </c>
      <c r="G259" s="57" t="str">
        <f>IF(Associates_Call_List_PQ!G259="","",Associates_Call_List_PQ!G259)</f>
        <v>https://images.edocket.azcc.gov/docketpdf/E000046190.pdf</v>
      </c>
      <c r="H259" s="59" t="str">
        <f>IF(Associates_Call_List_PQ!H259="","",Associates_Call_List_PQ!H259)</f>
        <v>4421402302 </v>
      </c>
      <c r="I259" s="57" t="str">
        <f>IF(Associates_Call_List_PQ!I259="","",Associates_Call_List_PQ!I259)</f>
        <v>R3-47</v>
      </c>
      <c r="J259" s="57" t="str">
        <f>IF(Associates_Call_List_PQ!J259="","",Associates_Call_List_PQ!J259)</f>
        <v>No</v>
      </c>
      <c r="K259" s="57" t="str">
        <f>IF(Associates_Call_List_PQ!K259="","",Associates_Call_List_PQ!K259)</f>
        <v>No</v>
      </c>
      <c r="L259" s="57" t="str">
        <f>IF(Associates_Call_List_PQ!L259="","",Associates_Call_List_PQ!L259)</f>
        <v>Yes</v>
      </c>
      <c r="M259" s="57" t="str">
        <f>IF(Associates_Call_List_PQ!M259="","",Associates_Call_List_PQ!M259)</f>
        <v>No</v>
      </c>
      <c r="N259" s="57" t="str">
        <f>IF(Associates_Call_List_PQ!N259="","",Associates_Call_List_PQ!N259)</f>
        <v>No</v>
      </c>
      <c r="O259" s="57" t="str">
        <f>IF(Associates_Call_List_PQ!O259="","",Associates_Call_List_PQ!O259)</f>
        <v>Yes</v>
      </c>
      <c r="P259" s="57" t="str">
        <f>IF(Associates_Call_List_PQ!P259="","",Associates_Call_List_PQ!P259)</f>
        <v>N</v>
      </c>
      <c r="Q259" s="57">
        <f>IF(Associates_Call_List_PQ!Q259="","",Associates_Call_List_PQ!Q259)</f>
        <v>45967</v>
      </c>
      <c r="R259" s="57" t="str">
        <f>IF(Associates_Call_List_PQ!R259="","",Associates_Call_List_PQ!R259)</f>
        <v/>
      </c>
      <c r="S259" s="57" t="str">
        <f>IF(Associates_Call_List_PQ!S259="","",Associates_Call_List_PQ!S259)</f>
        <v/>
      </c>
      <c r="T259" s="57" t="str">
        <f>IF(Associates_Call_List_PQ!T259="","",Associates_Call_List_PQ!T259)</f>
        <v/>
      </c>
      <c r="U259" s="57" t="str">
        <f>IF(Associates_Call_List_PQ!U259="","",Associates_Call_List_PQ!U259)</f>
        <v/>
      </c>
      <c r="V259" s="68"/>
      <c r="W259" s="68" t="s">
        <v>5432</v>
      </c>
      <c r="X259" s="68"/>
      <c r="Y259" s="68"/>
      <c r="Z259" s="72"/>
    </row>
    <row r="260" spans="1:26">
      <c r="A260" s="71">
        <f>IFERROR(Associates_Call_List_PQ!A260,"")</f>
        <v>45903</v>
      </c>
      <c r="B260" s="57" t="str">
        <f>IF(Associates_Call_List_PQ!B260="","",Associates_Call_List_PQ!B260)</f>
        <v>Arfa</v>
      </c>
      <c r="C260" s="57" t="str">
        <f>IF(Associates_Call_List_PQ!C260="","",Associates_Call_List_PQ!C260)</f>
        <v>Douglas</v>
      </c>
      <c r="D260" s="57" t="str">
        <f>IF(Associates_Call_List_PQ!D260="","",Associates_Call_List_PQ!D260)</f>
        <v>Phoenix</v>
      </c>
      <c r="E260" s="58">
        <f>IF(Associates_Call_List_PQ!E260="","",Associates_Call_List_PQ!E260)</f>
        <v>85050</v>
      </c>
      <c r="F260" s="57" t="str">
        <f>IF(Associates_Call_List_PQ!F260="","",Associates_Call_List_PQ!F260)</f>
        <v>Against any rate hike</v>
      </c>
      <c r="G260" s="57" t="str">
        <f>IF(Associates_Call_List_PQ!G260="","",Associates_Call_List_PQ!G260)</f>
        <v>https://images.edocket.azcc.gov/docketpdf/E000046190.pdf</v>
      </c>
      <c r="H260" s="59" t="str">
        <f>IF(Associates_Call_List_PQ!H260="","",Associates_Call_List_PQ!H260)</f>
        <v>6442661000 </v>
      </c>
      <c r="I260" s="57" t="str">
        <f>IF(Associates_Call_List_PQ!I260="","",Associates_Call_List_PQ!I260)</f>
        <v>RTOUE47</v>
      </c>
      <c r="J260" s="57" t="str">
        <f>IF(Associates_Call_List_PQ!J260="","",Associates_Call_List_PQ!J260)</f>
        <v>No</v>
      </c>
      <c r="K260" s="57" t="str">
        <f>IF(Associates_Call_List_PQ!K260="","",Associates_Call_List_PQ!K260)</f>
        <v>No</v>
      </c>
      <c r="L260" s="57" t="str">
        <f>IF(Associates_Call_List_PQ!L260="","",Associates_Call_List_PQ!L260)</f>
        <v>Yes</v>
      </c>
      <c r="M260" s="57" t="str">
        <f>IF(Associates_Call_List_PQ!M260="","",Associates_Call_List_PQ!M260)</f>
        <v>No</v>
      </c>
      <c r="N260" s="57" t="str">
        <f>IF(Associates_Call_List_PQ!N260="","",Associates_Call_List_PQ!N260)</f>
        <v>No</v>
      </c>
      <c r="O260" s="57" t="str">
        <f>IF(Associates_Call_List_PQ!O260="","",Associates_Call_List_PQ!O260)</f>
        <v>Yes</v>
      </c>
      <c r="P260" s="57" t="str">
        <f>IF(Associates_Call_List_PQ!P260="","",Associates_Call_List_PQ!P260)</f>
        <v>N</v>
      </c>
      <c r="Q260" s="57">
        <f>IF(Associates_Call_List_PQ!Q260="","",Associates_Call_List_PQ!Q260)</f>
        <v>45967</v>
      </c>
      <c r="R260" s="57" t="str">
        <f>IF(Associates_Call_List_PQ!R260="","",Associates_Call_List_PQ!R260)</f>
        <v/>
      </c>
      <c r="S260" s="57" t="str">
        <f>IF(Associates_Call_List_PQ!S260="","",Associates_Call_List_PQ!S260)</f>
        <v/>
      </c>
      <c r="T260" s="57" t="str">
        <f>IF(Associates_Call_List_PQ!T260="","",Associates_Call_List_PQ!T260)</f>
        <v/>
      </c>
      <c r="U260" s="57" t="str">
        <f>IF(Associates_Call_List_PQ!U260="","",Associates_Call_List_PQ!U260)</f>
        <v/>
      </c>
      <c r="V260" s="68"/>
      <c r="W260" s="68" t="s">
        <v>5432</v>
      </c>
      <c r="X260" s="68"/>
      <c r="Y260" s="68"/>
      <c r="Z260" s="72"/>
    </row>
    <row r="261" spans="1:26">
      <c r="A261" s="71">
        <f>IFERROR(Associates_Call_List_PQ!A261,"")</f>
        <v>45903</v>
      </c>
      <c r="B261" s="57" t="str">
        <f>IF(Associates_Call_List_PQ!B261="","",Associates_Call_List_PQ!B261)</f>
        <v>Chambers</v>
      </c>
      <c r="C261" s="57" t="str">
        <f>IF(Associates_Call_List_PQ!C261="","",Associates_Call_List_PQ!C261)</f>
        <v>Dedra</v>
      </c>
      <c r="D261" s="57" t="str">
        <f>IF(Associates_Call_List_PQ!D261="","",Associates_Call_List_PQ!D261)</f>
        <v>Waddell</v>
      </c>
      <c r="E261" s="58">
        <f>IF(Associates_Call_List_PQ!E261="","",Associates_Call_List_PQ!E261)</f>
        <v>85355</v>
      </c>
      <c r="F261" s="57" t="str">
        <f>IF(Associates_Call_List_PQ!F261="","",Associates_Call_List_PQ!F261)</f>
        <v>Greedy monopoly</v>
      </c>
      <c r="G261" s="57" t="str">
        <f>IF(Associates_Call_List_PQ!G261="","",Associates_Call_List_PQ!G261)</f>
        <v>https://images.edocket.azcc.gov/docketpdf/E000046190.pdf</v>
      </c>
      <c r="H261" s="59" t="str">
        <f>IF(Associates_Call_List_PQ!H261="","",Associates_Call_List_PQ!H261)</f>
        <v>9399510000 </v>
      </c>
      <c r="I261" s="57" t="str">
        <f>IF(Associates_Call_List_PQ!I261="","",Associates_Call_List_PQ!I261)</f>
        <v>R3-47</v>
      </c>
      <c r="J261" s="57" t="str">
        <f>IF(Associates_Call_List_PQ!J261="","",Associates_Call_List_PQ!J261)</f>
        <v>No</v>
      </c>
      <c r="K261" s="57" t="str">
        <f>IF(Associates_Call_List_PQ!K261="","",Associates_Call_List_PQ!K261)</f>
        <v>No</v>
      </c>
      <c r="L261" s="57" t="str">
        <f>IF(Associates_Call_List_PQ!L261="","",Associates_Call_List_PQ!L261)</f>
        <v>Yes</v>
      </c>
      <c r="M261" s="57" t="str">
        <f>IF(Associates_Call_List_PQ!M261="","",Associates_Call_List_PQ!M261)</f>
        <v>No</v>
      </c>
      <c r="N261" s="57" t="str">
        <f>IF(Associates_Call_List_PQ!N261="","",Associates_Call_List_PQ!N261)</f>
        <v>No</v>
      </c>
      <c r="O261" s="57" t="str">
        <f>IF(Associates_Call_List_PQ!O261="","",Associates_Call_List_PQ!O261)</f>
        <v>Yes</v>
      </c>
      <c r="P261" s="57" t="str">
        <f>IF(Associates_Call_List_PQ!P261="","",Associates_Call_List_PQ!P261)</f>
        <v>N</v>
      </c>
      <c r="Q261" s="57">
        <f>IF(Associates_Call_List_PQ!Q261="","",Associates_Call_List_PQ!Q261)</f>
        <v>45967</v>
      </c>
      <c r="R261" s="57" t="str">
        <f>IF(Associates_Call_List_PQ!R261="","",Associates_Call_List_PQ!R261)</f>
        <v/>
      </c>
      <c r="S261" s="57" t="str">
        <f>IF(Associates_Call_List_PQ!S261="","",Associates_Call_List_PQ!S261)</f>
        <v/>
      </c>
      <c r="T261" s="57" t="str">
        <f>IF(Associates_Call_List_PQ!T261="","",Associates_Call_List_PQ!T261)</f>
        <v/>
      </c>
      <c r="U261" s="57" t="str">
        <f>IF(Associates_Call_List_PQ!U261="","",Associates_Call_List_PQ!U261)</f>
        <v/>
      </c>
      <c r="V261" s="68"/>
      <c r="W261" s="68" t="s">
        <v>5432</v>
      </c>
      <c r="X261" s="68"/>
      <c r="Y261" s="68"/>
      <c r="Z261" s="72"/>
    </row>
    <row r="262" spans="1:26">
      <c r="A262" s="71">
        <f>IFERROR(Associates_Call_List_PQ!A262,"")</f>
        <v>45903</v>
      </c>
      <c r="B262" s="57" t="str">
        <f>IF(Associates_Call_List_PQ!B262="","",Associates_Call_List_PQ!B262)</f>
        <v>Hendrickson</v>
      </c>
      <c r="C262" s="57" t="str">
        <f>IF(Associates_Call_List_PQ!C262="","",Associates_Call_List_PQ!C262)</f>
        <v>Shannon</v>
      </c>
      <c r="D262" s="57" t="str">
        <f>IF(Associates_Call_List_PQ!D262="","",Associates_Call_List_PQ!D262)</f>
        <v>Surprise</v>
      </c>
      <c r="E262" s="58">
        <f>IF(Associates_Call_List_PQ!E262="","",Associates_Call_List_PQ!E262)</f>
        <v>85379</v>
      </c>
      <c r="F262" s="57" t="str">
        <f>IF(Associates_Call_List_PQ!F262="","",Associates_Call_List_PQ!F262)</f>
        <v>Form letter</v>
      </c>
      <c r="G262" s="57" t="str">
        <f>IF(Associates_Call_List_PQ!G262="","",Associates_Call_List_PQ!G262)</f>
        <v>https://images.edocket.azcc.gov/docketpdf/E000046190.pdf</v>
      </c>
      <c r="H262" s="59" t="str">
        <f>IF(Associates_Call_List_PQ!H262="","",Associates_Call_List_PQ!H262)</f>
        <v>4029770000 </v>
      </c>
      <c r="I262" s="57" t="str">
        <f>IF(Associates_Call_List_PQ!I262="","",Associates_Call_List_PQ!I262)</f>
        <v>R3-47</v>
      </c>
      <c r="J262" s="57" t="str">
        <f>IF(Associates_Call_List_PQ!J262="","",Associates_Call_List_PQ!J262)</f>
        <v>No</v>
      </c>
      <c r="K262" s="57" t="str">
        <f>IF(Associates_Call_List_PQ!K262="","",Associates_Call_List_PQ!K262)</f>
        <v>No</v>
      </c>
      <c r="L262" s="57" t="str">
        <f>IF(Associates_Call_List_PQ!L262="","",Associates_Call_List_PQ!L262)</f>
        <v>Yes</v>
      </c>
      <c r="M262" s="57" t="str">
        <f>IF(Associates_Call_List_PQ!M262="","",Associates_Call_List_PQ!M262)</f>
        <v>No</v>
      </c>
      <c r="N262" s="57" t="str">
        <f>IF(Associates_Call_List_PQ!N262="","",Associates_Call_List_PQ!N262)</f>
        <v>No</v>
      </c>
      <c r="O262" s="57" t="str">
        <f>IF(Associates_Call_List_PQ!O262="","",Associates_Call_List_PQ!O262)</f>
        <v>Yes</v>
      </c>
      <c r="P262" s="57" t="str">
        <f>IF(Associates_Call_List_PQ!P262="","",Associates_Call_List_PQ!P262)</f>
        <v>N</v>
      </c>
      <c r="Q262" s="57">
        <f>IF(Associates_Call_List_PQ!Q262="","",Associates_Call_List_PQ!Q262)</f>
        <v>45967</v>
      </c>
      <c r="R262" s="57" t="str">
        <f>IF(Associates_Call_List_PQ!R262="","",Associates_Call_List_PQ!R262)</f>
        <v/>
      </c>
      <c r="S262" s="57" t="str">
        <f>IF(Associates_Call_List_PQ!S262="","",Associates_Call_List_PQ!S262)</f>
        <v/>
      </c>
      <c r="T262" s="57" t="str">
        <f>IF(Associates_Call_List_PQ!T262="","",Associates_Call_List_PQ!T262)</f>
        <v/>
      </c>
      <c r="U262" s="57" t="str">
        <f>IF(Associates_Call_List_PQ!U262="","",Associates_Call_List_PQ!U262)</f>
        <v/>
      </c>
      <c r="V262" s="68"/>
      <c r="W262" s="68" t="s">
        <v>5432</v>
      </c>
      <c r="X262" s="68"/>
      <c r="Y262" s="68"/>
      <c r="Z262" s="72"/>
    </row>
    <row r="263" spans="1:26">
      <c r="A263" s="71">
        <f>IFERROR(Associates_Call_List_PQ!A263,"")</f>
        <v>45903</v>
      </c>
      <c r="B263" s="57" t="str">
        <f>IF(Associates_Call_List_PQ!B263="","",Associates_Call_List_PQ!B263)</f>
        <v>Faulkner</v>
      </c>
      <c r="C263" s="57" t="str">
        <f>IF(Associates_Call_List_PQ!C263="","",Associates_Call_List_PQ!C263)</f>
        <v>Joe</v>
      </c>
      <c r="D263" s="57" t="str">
        <f>IF(Associates_Call_List_PQ!D263="","",Associates_Call_List_PQ!D263)</f>
        <v>Goodyear</v>
      </c>
      <c r="E263" s="58">
        <f>IF(Associates_Call_List_PQ!E263="","",Associates_Call_List_PQ!E263)</f>
        <v>85338</v>
      </c>
      <c r="F263" s="57" t="str">
        <f>IF(Associates_Call_List_PQ!F263="","",Associates_Call_List_PQ!F263)</f>
        <v>Retired/Fixed income</v>
      </c>
      <c r="G263" s="57" t="str">
        <f>IF(Associates_Call_List_PQ!G263="","",Associates_Call_List_PQ!G263)</f>
        <v>https://images.edocket.azcc.gov/docketpdf/E000046190.pdf</v>
      </c>
      <c r="H263" s="59" t="str">
        <f>IF(Associates_Call_List_PQ!H263="","",Associates_Call_List_PQ!H263)</f>
        <v>8289821000 </v>
      </c>
      <c r="I263" s="57" t="str">
        <f>IF(Associates_Call_List_PQ!I263="","",Associates_Call_List_PQ!I263)</f>
        <v>R3-47</v>
      </c>
      <c r="J263" s="57" t="str">
        <f>IF(Associates_Call_List_PQ!J263="","",Associates_Call_List_PQ!J263)</f>
        <v>No</v>
      </c>
      <c r="K263" s="57" t="str">
        <f>IF(Associates_Call_List_PQ!K263="","",Associates_Call_List_PQ!K263)</f>
        <v>No</v>
      </c>
      <c r="L263" s="57" t="str">
        <f>IF(Associates_Call_List_PQ!L263="","",Associates_Call_List_PQ!L263)</f>
        <v>Yes</v>
      </c>
      <c r="M263" s="57" t="str">
        <f>IF(Associates_Call_List_PQ!M263="","",Associates_Call_List_PQ!M263)</f>
        <v>No</v>
      </c>
      <c r="N263" s="57" t="str">
        <f>IF(Associates_Call_List_PQ!N263="","",Associates_Call_List_PQ!N263)</f>
        <v>No</v>
      </c>
      <c r="O263" s="57" t="str">
        <f>IF(Associates_Call_List_PQ!O263="","",Associates_Call_List_PQ!O263)</f>
        <v>Yes</v>
      </c>
      <c r="P263" s="57" t="str">
        <f>IF(Associates_Call_List_PQ!P263="","",Associates_Call_List_PQ!P263)</f>
        <v>N</v>
      </c>
      <c r="Q263" s="57">
        <f>IF(Associates_Call_List_PQ!Q263="","",Associates_Call_List_PQ!Q263)</f>
        <v>45967</v>
      </c>
      <c r="R263" s="57" t="str">
        <f>IF(Associates_Call_List_PQ!R263="","",Associates_Call_List_PQ!R263)</f>
        <v/>
      </c>
      <c r="S263" s="57" t="str">
        <f>IF(Associates_Call_List_PQ!S263="","",Associates_Call_List_PQ!S263)</f>
        <v/>
      </c>
      <c r="T263" s="57" t="str">
        <f>IF(Associates_Call_List_PQ!T263="","",Associates_Call_List_PQ!T263)</f>
        <v/>
      </c>
      <c r="U263" s="57" t="str">
        <f>IF(Associates_Call_List_PQ!U263="","",Associates_Call_List_PQ!U263)</f>
        <v/>
      </c>
      <c r="V263" s="68"/>
      <c r="W263" s="68" t="s">
        <v>5432</v>
      </c>
      <c r="X263" s="68"/>
      <c r="Y263" s="68"/>
      <c r="Z263" s="72"/>
    </row>
    <row r="264" spans="1:26">
      <c r="A264" s="71">
        <f>IFERROR(Associates_Call_List_PQ!A264,"")</f>
        <v>45903</v>
      </c>
      <c r="B264" s="57" t="str">
        <f>IF(Associates_Call_List_PQ!B264="","",Associates_Call_List_PQ!B264)</f>
        <v>Stephenson Nunes</v>
      </c>
      <c r="C264" s="57" t="str">
        <f>IF(Associates_Call_List_PQ!C264="","",Associates_Call_List_PQ!C264)</f>
        <v>Heidi</v>
      </c>
      <c r="D264" s="57" t="str">
        <f>IF(Associates_Call_List_PQ!D264="","",Associates_Call_List_PQ!D264)</f>
        <v>Goodyear</v>
      </c>
      <c r="E264" s="58">
        <f>IF(Associates_Call_List_PQ!E264="","",Associates_Call_List_PQ!E264)</f>
        <v>85338</v>
      </c>
      <c r="F264" s="57" t="str">
        <f>IF(Associates_Call_List_PQ!F264="","",Associates_Call_List_PQ!F264)</f>
        <v>Households can't afford this</v>
      </c>
      <c r="G264" s="57" t="str">
        <f>IF(Associates_Call_List_PQ!G264="","",Associates_Call_List_PQ!G264)</f>
        <v>https://images.edocket.azcc.gov/docketpdf/E000046190.pdf</v>
      </c>
      <c r="H264" s="59" t="str">
        <f>IF(Associates_Call_List_PQ!H264="","",Associates_Call_List_PQ!H264)</f>
        <v>4197620114 </v>
      </c>
      <c r="I264" s="57" t="str">
        <f>IF(Associates_Call_List_PQ!I264="","",Associates_Call_List_PQ!I264)</f>
        <v>RCPw/RTOUE47</v>
      </c>
      <c r="J264" s="57" t="str">
        <f>IF(Associates_Call_List_PQ!J264="","",Associates_Call_List_PQ!J264)</f>
        <v>No</v>
      </c>
      <c r="K264" s="57" t="str">
        <f>IF(Associates_Call_List_PQ!K264="","",Associates_Call_List_PQ!K264)</f>
        <v>No</v>
      </c>
      <c r="L264" s="57" t="str">
        <f>IF(Associates_Call_List_PQ!L264="","",Associates_Call_List_PQ!L264)</f>
        <v>No MEP R3-47($104.12)</v>
      </c>
      <c r="M264" s="57" t="str">
        <f>IF(Associates_Call_List_PQ!M264="","",Associates_Call_List_PQ!M264)</f>
        <v>No</v>
      </c>
      <c r="N264" s="57" t="str">
        <f>IF(Associates_Call_List_PQ!N264="","",Associates_Call_List_PQ!N264)</f>
        <v>No</v>
      </c>
      <c r="O264" s="57" t="str">
        <f>IF(Associates_Call_List_PQ!O264="","",Associates_Call_List_PQ!O264)</f>
        <v>Yes</v>
      </c>
      <c r="P264" s="57">
        <f>IF(Associates_Call_List_PQ!P264="","",Associates_Call_List_PQ!P264)</f>
        <v>46301</v>
      </c>
      <c r="Q264" s="57">
        <f>IF(Associates_Call_List_PQ!Q264="","",Associates_Call_List_PQ!Q264)</f>
        <v>45967</v>
      </c>
      <c r="R264" s="57" t="str">
        <f>IF(Associates_Call_List_PQ!R264="","",Associates_Call_List_PQ!R264)</f>
        <v>10/06/2025 Left Vm</v>
      </c>
      <c r="S264" s="57" t="str">
        <f>IF(Associates_Call_List_PQ!S264="","",Associates_Call_List_PQ!S264)</f>
        <v/>
      </c>
      <c r="T264" s="57" t="str">
        <f>IF(Associates_Call_List_PQ!T264="","",Associates_Call_List_PQ!T264)</f>
        <v/>
      </c>
      <c r="U264" s="57" t="s">
        <v>5513</v>
      </c>
      <c r="V264" s="68" t="s">
        <v>117</v>
      </c>
      <c r="W264" s="68">
        <v>46032</v>
      </c>
      <c r="X264" s="68" t="s">
        <v>5434</v>
      </c>
      <c r="Y264" s="68"/>
      <c r="Z264" s="72" t="s">
        <v>5438</v>
      </c>
    </row>
    <row r="265" spans="1:26">
      <c r="A265" s="71">
        <f>IFERROR(Associates_Call_List_PQ!A265,"")</f>
        <v>45903</v>
      </c>
      <c r="B265" s="57" t="str">
        <f>IF(Associates_Call_List_PQ!B265="","",Associates_Call_List_PQ!B265)</f>
        <v>Babcock</v>
      </c>
      <c r="C265" s="57" t="str">
        <f>IF(Associates_Call_List_PQ!C265="","",Associates_Call_List_PQ!C265)</f>
        <v>Kristen</v>
      </c>
      <c r="D265" s="57" t="str">
        <f>IF(Associates_Call_List_PQ!D265="","",Associates_Call_List_PQ!D265)</f>
        <v>Litchfield Park</v>
      </c>
      <c r="E265" s="58">
        <f>IF(Associates_Call_List_PQ!E265="","",Associates_Call_List_PQ!E265)</f>
        <v>85340</v>
      </c>
      <c r="F265" s="57" t="str">
        <f>IF(Associates_Call_List_PQ!F265="","",Associates_Call_List_PQ!F265)</f>
        <v>Opposed</v>
      </c>
      <c r="G265" s="57" t="str">
        <f>IF(Associates_Call_List_PQ!G265="","",Associates_Call_List_PQ!G265)</f>
        <v>https://images.edocket.azcc.gov/docketpdf/E000046190.pdf</v>
      </c>
      <c r="H265" s="59" t="str">
        <f>IF(Associates_Call_List_PQ!H265="","",Associates_Call_List_PQ!H265)</f>
        <v>5575896939 </v>
      </c>
      <c r="I265" s="57" t="str">
        <f>IF(Associates_Call_List_PQ!I265="","",Associates_Call_List_PQ!I265)</f>
        <v>R3-47</v>
      </c>
      <c r="J265" s="57" t="str">
        <f>IF(Associates_Call_List_PQ!J265="","",Associates_Call_List_PQ!J265)</f>
        <v>No</v>
      </c>
      <c r="K265" s="57" t="str">
        <f>IF(Associates_Call_List_PQ!K265="","",Associates_Call_List_PQ!K265)</f>
        <v>No</v>
      </c>
      <c r="L265" s="57" t="str">
        <f>IF(Associates_Call_List_PQ!L265="","",Associates_Call_List_PQ!L265)</f>
        <v>Yes</v>
      </c>
      <c r="M265" s="57" t="str">
        <f>IF(Associates_Call_List_PQ!M265="","",Associates_Call_List_PQ!M265)</f>
        <v>No</v>
      </c>
      <c r="N265" s="57" t="str">
        <f>IF(Associates_Call_List_PQ!N265="","",Associates_Call_List_PQ!N265)</f>
        <v>No</v>
      </c>
      <c r="O265" s="57" t="str">
        <f>IF(Associates_Call_List_PQ!O265="","",Associates_Call_List_PQ!O265)</f>
        <v>Yes</v>
      </c>
      <c r="P265" s="57" t="str">
        <f>IF(Associates_Call_List_PQ!P265="","",Associates_Call_List_PQ!P265)</f>
        <v>N</v>
      </c>
      <c r="Q265" s="57">
        <f>IF(Associates_Call_List_PQ!Q265="","",Associates_Call_List_PQ!Q265)</f>
        <v>45967</v>
      </c>
      <c r="R265" s="57" t="str">
        <f>IF(Associates_Call_List_PQ!R265="","",Associates_Call_List_PQ!R265)</f>
        <v/>
      </c>
      <c r="S265" s="57" t="str">
        <f>IF(Associates_Call_List_PQ!S265="","",Associates_Call_List_PQ!S265)</f>
        <v/>
      </c>
      <c r="T265" s="57" t="str">
        <f>IF(Associates_Call_List_PQ!T265="","",Associates_Call_List_PQ!T265)</f>
        <v/>
      </c>
      <c r="U265" s="57" t="str">
        <f>IF(Associates_Call_List_PQ!U265="","",Associates_Call_List_PQ!U265)</f>
        <v/>
      </c>
      <c r="V265" s="68"/>
      <c r="W265" s="68" t="s">
        <v>5432</v>
      </c>
      <c r="X265" s="68"/>
      <c r="Y265" s="68"/>
      <c r="Z265" s="72"/>
    </row>
    <row r="266" spans="1:26">
      <c r="A266" s="71">
        <f>IFERROR(Associates_Call_List_PQ!A266,"")</f>
        <v>45903</v>
      </c>
      <c r="B266" s="57" t="str">
        <f>IF(Associates_Call_List_PQ!B266="","",Associates_Call_List_PQ!B266)</f>
        <v>Welch</v>
      </c>
      <c r="C266" s="57" t="str">
        <f>IF(Associates_Call_List_PQ!C266="","",Associates_Call_List_PQ!C266)</f>
        <v>Arthur</v>
      </c>
      <c r="D266" s="57" t="str">
        <f>IF(Associates_Call_List_PQ!D266="","",Associates_Call_List_PQ!D266)</f>
        <v>Goodyear</v>
      </c>
      <c r="E266" s="58">
        <f>IF(Associates_Call_List_PQ!E266="","",Associates_Call_List_PQ!E266)</f>
        <v>85395</v>
      </c>
      <c r="F266" s="57" t="str">
        <f>IF(Associates_Call_List_PQ!F266="","",Associates_Call_List_PQ!F266)</f>
        <v>Commercial users in data space should take on increase</v>
      </c>
      <c r="G266" s="57" t="str">
        <f>IF(Associates_Call_List_PQ!G266="","",Associates_Call_List_PQ!G266)</f>
        <v>https://images.edocket.azcc.gov/docketpdf/E000046190.pdf</v>
      </c>
      <c r="H266" s="59" t="str">
        <f>IF(Associates_Call_List_PQ!H266="","",Associates_Call_List_PQ!H266)</f>
        <v>3482449172 </v>
      </c>
      <c r="I266" s="57" t="str">
        <f>IF(Associates_Call_List_PQ!I266="","",Associates_Call_List_PQ!I266)</f>
        <v>RCPw/RTOUE47</v>
      </c>
      <c r="J266" s="57" t="str">
        <f>IF(Associates_Call_List_PQ!J266="","",Associates_Call_List_PQ!J266)</f>
        <v>No</v>
      </c>
      <c r="K266" s="57" t="str">
        <f>IF(Associates_Call_List_PQ!K266="","",Associates_Call_List_PQ!K266)</f>
        <v>No</v>
      </c>
      <c r="L266" s="57" t="str">
        <f>IF(Associates_Call_List_PQ!L266="","",Associates_Call_List_PQ!L266)</f>
        <v>Yes</v>
      </c>
      <c r="M266" s="57" t="str">
        <f>IF(Associates_Call_List_PQ!M266="","",Associates_Call_List_PQ!M266)</f>
        <v>No</v>
      </c>
      <c r="N266" s="57" t="str">
        <f>IF(Associates_Call_List_PQ!N266="","",Associates_Call_List_PQ!N266)</f>
        <v>No</v>
      </c>
      <c r="O266" s="57" t="str">
        <f>IF(Associates_Call_List_PQ!O266="","",Associates_Call_List_PQ!O266)</f>
        <v>Yes</v>
      </c>
      <c r="P266" s="57" t="str">
        <f>IF(Associates_Call_List_PQ!P266="","",Associates_Call_List_PQ!P266)</f>
        <v>N</v>
      </c>
      <c r="Q266" s="57">
        <f>IF(Associates_Call_List_PQ!Q266="","",Associates_Call_List_PQ!Q266)</f>
        <v>45967</v>
      </c>
      <c r="R266" s="57" t="str">
        <f>IF(Associates_Call_List_PQ!R266="","",Associates_Call_List_PQ!R266)</f>
        <v/>
      </c>
      <c r="S266" s="57" t="str">
        <f>IF(Associates_Call_List_PQ!S266="","",Associates_Call_List_PQ!S266)</f>
        <v/>
      </c>
      <c r="T266" s="57" t="str">
        <f>IF(Associates_Call_List_PQ!T266="","",Associates_Call_List_PQ!T266)</f>
        <v/>
      </c>
      <c r="U266" s="57" t="str">
        <f>IF(Associates_Call_List_PQ!U266="","",Associates_Call_List_PQ!U266)</f>
        <v/>
      </c>
      <c r="V266" s="68"/>
      <c r="W266" s="68" t="s">
        <v>5432</v>
      </c>
      <c r="X266" s="68"/>
      <c r="Y266" s="68"/>
      <c r="Z266" s="72"/>
    </row>
    <row r="267" spans="1:26">
      <c r="A267" s="71">
        <f>IFERROR(Associates_Call_List_PQ!A267,"")</f>
        <v>45903</v>
      </c>
      <c r="B267" s="57" t="str">
        <f>IF(Associates_Call_List_PQ!B267="","",Associates_Call_List_PQ!B267)</f>
        <v>Langdon</v>
      </c>
      <c r="C267" s="57" t="str">
        <f>IF(Associates_Call_List_PQ!C267="","",Associates_Call_List_PQ!C267)</f>
        <v>Jamie</v>
      </c>
      <c r="D267" s="57" t="str">
        <f>IF(Associates_Call_List_PQ!D267="","",Associates_Call_List_PQ!D267)</f>
        <v>Surprise</v>
      </c>
      <c r="E267" s="58">
        <f>IF(Associates_Call_List_PQ!E267="","",Associates_Call_List_PQ!E267)</f>
        <v>85387</v>
      </c>
      <c r="F267" s="57" t="str">
        <f>IF(Associates_Call_List_PQ!F267="","",Associates_Call_List_PQ!F267)</f>
        <v>Opposed</v>
      </c>
      <c r="G267" s="57" t="str">
        <f>IF(Associates_Call_List_PQ!G267="","",Associates_Call_List_PQ!G267)</f>
        <v>https://images.edocket.azcc.gov/docketpdf/E000046190.pdf</v>
      </c>
      <c r="H267" s="59" t="str">
        <f>IF(Associates_Call_List_PQ!H267="","",Associates_Call_List_PQ!H267)</f>
        <v>7095896229 </v>
      </c>
      <c r="I267" s="57" t="str">
        <f>IF(Associates_Call_List_PQ!I267="","",Associates_Call_List_PQ!I267)</f>
        <v>RTOUE47</v>
      </c>
      <c r="J267" s="57" t="str">
        <f>IF(Associates_Call_List_PQ!J267="","",Associates_Call_List_PQ!J267)</f>
        <v>No</v>
      </c>
      <c r="K267" s="57" t="str">
        <f>IF(Associates_Call_List_PQ!K267="","",Associates_Call_List_PQ!K267)</f>
        <v>No</v>
      </c>
      <c r="L267" s="57" t="str">
        <f>IF(Associates_Call_List_PQ!L267="","",Associates_Call_List_PQ!L267)</f>
        <v>No MEP R3-47 (50.52</v>
      </c>
      <c r="M267" s="57" t="str">
        <f>IF(Associates_Call_List_PQ!M267="","",Associates_Call_List_PQ!M267)</f>
        <v>No</v>
      </c>
      <c r="N267" s="57" t="str">
        <f>IF(Associates_Call_List_PQ!N267="","",Associates_Call_List_PQ!N267)</f>
        <v>No</v>
      </c>
      <c r="O267" s="57" t="str">
        <f>IF(Associates_Call_List_PQ!O267="","",Associates_Call_List_PQ!O267)</f>
        <v>Yes</v>
      </c>
      <c r="P267" s="57" t="str">
        <f>IF(Associates_Call_List_PQ!P267="","",Associates_Call_List_PQ!P267)</f>
        <v>N</v>
      </c>
      <c r="Q267" s="57">
        <f>IF(Associates_Call_List_PQ!Q267="","",Associates_Call_List_PQ!Q267)</f>
        <v>45967</v>
      </c>
      <c r="R267" s="57" t="str">
        <f>IF(Associates_Call_List_PQ!R267="","",Associates_Call_List_PQ!R267)</f>
        <v>Requiested rate change online 11/1</v>
      </c>
      <c r="S267" s="57" t="str">
        <f>IF(Associates_Call_List_PQ!S267="","",Associates_Call_List_PQ!S267)</f>
        <v/>
      </c>
      <c r="T267" s="57" t="str">
        <f>IF(Associates_Call_List_PQ!T267="","",Associates_Call_List_PQ!T267)</f>
        <v/>
      </c>
      <c r="U267" s="57" t="s">
        <v>5578</v>
      </c>
      <c r="V267" s="68" t="s">
        <v>117</v>
      </c>
      <c r="W267" s="68">
        <v>46060</v>
      </c>
      <c r="X267" s="68" t="s">
        <v>5405</v>
      </c>
      <c r="Y267" s="68" t="s">
        <v>5461</v>
      </c>
      <c r="Z267" s="72" t="s">
        <v>5438</v>
      </c>
    </row>
    <row r="268" spans="1:26">
      <c r="A268" s="71">
        <f>IFERROR(Associates_Call_List_PQ!A268,"")</f>
        <v>45903</v>
      </c>
      <c r="B268" s="57" t="str">
        <f>IF(Associates_Call_List_PQ!B268="","",Associates_Call_List_PQ!B268)</f>
        <v>Cather</v>
      </c>
      <c r="C268" s="57" t="str">
        <f>IF(Associates_Call_List_PQ!C268="","",Associates_Call_List_PQ!C268)</f>
        <v>Kyle</v>
      </c>
      <c r="D268" s="57" t="str">
        <f>IF(Associates_Call_List_PQ!D268="","",Associates_Call_List_PQ!D268)</f>
        <v>Goodyear</v>
      </c>
      <c r="E268" s="58">
        <f>IF(Associates_Call_List_PQ!E268="","",Associates_Call_List_PQ!E268)</f>
        <v>85338</v>
      </c>
      <c r="F268" s="57" t="str">
        <f>IF(Associates_Call_List_PQ!F268="","",Associates_Call_List_PQ!F268)</f>
        <v>Form letter</v>
      </c>
      <c r="G268" s="57" t="str">
        <f>IF(Associates_Call_List_PQ!G268="","",Associates_Call_List_PQ!G268)</f>
        <v>https://images.edocket.azcc.gov/docketpdf/E000046190.pdf</v>
      </c>
      <c r="H268" s="59" t="str">
        <f>IF(Associates_Call_List_PQ!H268="","",Associates_Call_List_PQ!H268)</f>
        <v>6996682837 </v>
      </c>
      <c r="I268" s="57" t="str">
        <f>IF(Associates_Call_List_PQ!I268="","",Associates_Call_List_PQ!I268)</f>
        <v>RTOUE47</v>
      </c>
      <c r="J268" s="57" t="str">
        <f>IF(Associates_Call_List_PQ!J268="","",Associates_Call_List_PQ!J268)</f>
        <v>No</v>
      </c>
      <c r="K268" s="57" t="str">
        <f>IF(Associates_Call_List_PQ!K268="","",Associates_Call_List_PQ!K268)</f>
        <v>No</v>
      </c>
      <c r="L268" s="57" t="str">
        <f>IF(Associates_Call_List_PQ!L268="","",Associates_Call_List_PQ!L268)</f>
        <v>No MEP R3-47($163.02)</v>
      </c>
      <c r="M268" s="57" t="str">
        <f>IF(Associates_Call_List_PQ!M268="","",Associates_Call_List_PQ!M268)</f>
        <v>No</v>
      </c>
      <c r="N268" s="57" t="str">
        <f>IF(Associates_Call_List_PQ!N268="","",Associates_Call_List_PQ!N268)</f>
        <v>No</v>
      </c>
      <c r="O268" s="57" t="str">
        <f>IF(Associates_Call_List_PQ!O268="","",Associates_Call_List_PQ!O268)</f>
        <v>Yes</v>
      </c>
      <c r="P268" s="57">
        <f>IF(Associates_Call_List_PQ!P268="","",Associates_Call_List_PQ!P268)</f>
        <v>45936</v>
      </c>
      <c r="Q268" s="57">
        <f>IF(Associates_Call_List_PQ!Q268="","",Associates_Call_List_PQ!Q268)</f>
        <v>45967</v>
      </c>
      <c r="R268" s="57" t="str">
        <f>IF(Associates_Call_List_PQ!R268="","",Associates_Call_List_PQ!R268)</f>
        <v>10/06/2025Left VM -COR initiated rate change online 10/6</v>
      </c>
      <c r="S268" s="57" t="str">
        <f>IF(Associates_Call_List_PQ!S268="","",Associates_Call_List_PQ!S268)</f>
        <v/>
      </c>
      <c r="T268" s="57" t="str">
        <f>IF(Associates_Call_List_PQ!T268="","",Associates_Call_List_PQ!T268)</f>
        <v/>
      </c>
      <c r="U268" s="57" t="s">
        <v>5579</v>
      </c>
      <c r="V268" s="68" t="s">
        <v>117</v>
      </c>
      <c r="W268" s="68">
        <v>46032</v>
      </c>
      <c r="X268" s="68" t="s">
        <v>5434</v>
      </c>
      <c r="Y268" s="68"/>
      <c r="Z268" s="72"/>
    </row>
    <row r="269" spans="1:26">
      <c r="A269" s="71">
        <f>IFERROR(Associates_Call_List_PQ!A269,"")</f>
        <v>45903</v>
      </c>
      <c r="B269" s="57" t="str">
        <f>IF(Associates_Call_List_PQ!B269="","",Associates_Call_List_PQ!B269)</f>
        <v>Pfeil</v>
      </c>
      <c r="C269" s="57" t="str">
        <f>IF(Associates_Call_List_PQ!C269="","",Associates_Call_List_PQ!C269)</f>
        <v>Carole</v>
      </c>
      <c r="D269" s="57" t="str">
        <f>IF(Associates_Call_List_PQ!D269="","",Associates_Call_List_PQ!D269)</f>
        <v>Goodyear</v>
      </c>
      <c r="E269" s="58">
        <f>IF(Associates_Call_List_PQ!E269="","",Associates_Call_List_PQ!E269)</f>
        <v>85338</v>
      </c>
      <c r="F269" s="57" t="str">
        <f>IF(Associates_Call_List_PQ!F269="","",Associates_Call_List_PQ!F269)</f>
        <v>Beyond what is affordable</v>
      </c>
      <c r="G269" s="57" t="str">
        <f>IF(Associates_Call_List_PQ!G269="","",Associates_Call_List_PQ!G269)</f>
        <v>https://images.edocket.azcc.gov/docketpdf/E000046190.pdf</v>
      </c>
      <c r="H269" s="59" t="str">
        <f>IF(Associates_Call_List_PQ!H269="","",Associates_Call_List_PQ!H269)</f>
        <v>8783763808 </v>
      </c>
      <c r="I269" s="57" t="str">
        <f>IF(Associates_Call_List_PQ!I269="","",Associates_Call_List_PQ!I269)</f>
        <v>EPR-6w/E-12</v>
      </c>
      <c r="J269" s="57" t="str">
        <f>IF(Associates_Call_List_PQ!J269="","",Associates_Call_List_PQ!J269)</f>
        <v>Yes</v>
      </c>
      <c r="K269" s="57" t="str">
        <f>IF(Associates_Call_List_PQ!K269="","",Associates_Call_List_PQ!K269)</f>
        <v>No</v>
      </c>
      <c r="L269" s="57" t="str">
        <f>IF(Associates_Call_List_PQ!L269="","",Associates_Call_List_PQ!L269)</f>
        <v>Frozen Rate</v>
      </c>
      <c r="M269" s="57" t="str">
        <f>IF(Associates_Call_List_PQ!M269="","",Associates_Call_List_PQ!M269)</f>
        <v>Yes</v>
      </c>
      <c r="N269" s="57">
        <f>IF(Associates_Call_List_PQ!N269="","",Associates_Call_List_PQ!N269)</f>
        <v>520.65</v>
      </c>
      <c r="O269" s="57" t="str">
        <f>IF(Associates_Call_List_PQ!O269="","",Associates_Call_List_PQ!O269)</f>
        <v>Yes</v>
      </c>
      <c r="P269" s="57" t="str">
        <f>IF(Associates_Call_List_PQ!P269="","",Associates_Call_List_PQ!P269)</f>
        <v/>
      </c>
      <c r="Q269" s="57">
        <f>IF(Associates_Call_List_PQ!Q269="","",Associates_Call_List_PQ!Q269)</f>
        <v>45967</v>
      </c>
      <c r="R269" s="57" t="str">
        <f>IF(Associates_Call_List_PQ!R269="","",Associates_Call_List_PQ!R269)</f>
        <v>Assistance?</v>
      </c>
      <c r="S269" s="57" t="str">
        <f>IF(Associates_Call_List_PQ!S269="","",Associates_Call_List_PQ!S269)</f>
        <v/>
      </c>
      <c r="T269" s="57" t="str">
        <f>IF(Associates_Call_List_PQ!T269="","",Associates_Call_List_PQ!T269)</f>
        <v/>
      </c>
      <c r="U269" s="57" t="s">
        <v>5580</v>
      </c>
      <c r="V269" s="68" t="s">
        <v>117</v>
      </c>
      <c r="W269" s="68">
        <v>46032</v>
      </c>
      <c r="X269" s="68" t="s">
        <v>5434</v>
      </c>
      <c r="Y269" s="68"/>
      <c r="Z269" s="72" t="s">
        <v>5438</v>
      </c>
    </row>
    <row r="270" spans="1:26">
      <c r="A270" s="71">
        <f>IFERROR(Associates_Call_List_PQ!A270,"")</f>
        <v>45903</v>
      </c>
      <c r="B270" s="57" t="str">
        <f>IF(Associates_Call_List_PQ!B270="","",Associates_Call_List_PQ!B270)</f>
        <v>Walsh</v>
      </c>
      <c r="C270" s="57" t="str">
        <f>IF(Associates_Call_List_PQ!C270="","",Associates_Call_List_PQ!C270)</f>
        <v>Richell</v>
      </c>
      <c r="D270" s="57" t="str">
        <f>IF(Associates_Call_List_PQ!D270="","",Associates_Call_List_PQ!D270)</f>
        <v>Goodyear</v>
      </c>
      <c r="E270" s="58">
        <f>IF(Associates_Call_List_PQ!E270="","",Associates_Call_List_PQ!E270)</f>
        <v>85338</v>
      </c>
      <c r="F270" s="57" t="str">
        <f>IF(Associates_Call_List_PQ!F270="","",Associates_Call_List_PQ!F270)</f>
        <v>Opposed</v>
      </c>
      <c r="G270" s="57" t="str">
        <f>IF(Associates_Call_List_PQ!G270="","",Associates_Call_List_PQ!G270)</f>
        <v>https://images.edocket.azcc.gov/docketpdf/E000046190.pdf</v>
      </c>
      <c r="H270" s="59" t="str">
        <f>IF(Associates_Call_List_PQ!H270="","",Associates_Call_List_PQ!H270)</f>
        <v>4613459862 </v>
      </c>
      <c r="I270" s="57" t="str">
        <f>IF(Associates_Call_List_PQ!I270="","",Associates_Call_List_PQ!I270)</f>
        <v>RTOUE47</v>
      </c>
      <c r="J270" s="57" t="str">
        <f>IF(Associates_Call_List_PQ!J270="","",Associates_Call_List_PQ!J270)</f>
        <v>No</v>
      </c>
      <c r="K270" s="57" t="str">
        <f>IF(Associates_Call_List_PQ!K270="","",Associates_Call_List_PQ!K270)</f>
        <v>No</v>
      </c>
      <c r="L270" s="57" t="str">
        <f>IF(Associates_Call_List_PQ!L270="","",Associates_Call_List_PQ!L270)</f>
        <v>No MEP R3-47($98.19)</v>
      </c>
      <c r="M270" s="57" t="str">
        <f>IF(Associates_Call_List_PQ!M270="","",Associates_Call_List_PQ!M270)</f>
        <v>No</v>
      </c>
      <c r="N270" s="57" t="str">
        <f>IF(Associates_Call_List_PQ!N270="","",Associates_Call_List_PQ!N270)</f>
        <v>No</v>
      </c>
      <c r="O270" s="57" t="str">
        <f>IF(Associates_Call_List_PQ!O270="","",Associates_Call_List_PQ!O270)</f>
        <v>Yes</v>
      </c>
      <c r="P270" s="57">
        <f>IF(Associates_Call_List_PQ!P270="","",Associates_Call_List_PQ!P270)</f>
        <v>45936</v>
      </c>
      <c r="Q270" s="57">
        <f>IF(Associates_Call_List_PQ!Q270="","",Associates_Call_List_PQ!Q270)</f>
        <v>45967</v>
      </c>
      <c r="R270" s="57" t="str">
        <f>IF(Associates_Call_List_PQ!R270="","",Associates_Call_List_PQ!R270)</f>
        <v>10/06/2025 Left VM</v>
      </c>
      <c r="S270" s="57" t="str">
        <f>IF(Associates_Call_List_PQ!S270="","",Associates_Call_List_PQ!S270)</f>
        <v/>
      </c>
      <c r="T270" s="57" t="str">
        <f>IF(Associates_Call_List_PQ!T270="","",Associates_Call_List_PQ!T270)</f>
        <v/>
      </c>
      <c r="U270" s="57" t="s">
        <v>5513</v>
      </c>
      <c r="V270" s="68" t="s">
        <v>117</v>
      </c>
      <c r="W270" s="68">
        <v>46032</v>
      </c>
      <c r="X270" s="68" t="s">
        <v>5434</v>
      </c>
      <c r="Y270" s="68"/>
      <c r="Z270" s="72"/>
    </row>
    <row r="271" spans="1:26">
      <c r="A271" s="71">
        <f>IFERROR(Associates_Call_List_PQ!A271,"")</f>
        <v>45903</v>
      </c>
      <c r="B271" s="57" t="str">
        <f>IF(Associates_Call_List_PQ!B271="","",Associates_Call_List_PQ!B271)</f>
        <v>Nguyen</v>
      </c>
      <c r="C271" s="57" t="str">
        <f>IF(Associates_Call_List_PQ!C271="","",Associates_Call_List_PQ!C271)</f>
        <v>Minh</v>
      </c>
      <c r="D271" s="57" t="str">
        <f>IF(Associates_Call_List_PQ!D271="","",Associates_Call_List_PQ!D271)</f>
        <v>Chandler</v>
      </c>
      <c r="E271" s="58">
        <f>IF(Associates_Call_List_PQ!E271="","",Associates_Call_List_PQ!E271)</f>
        <v>85225</v>
      </c>
      <c r="F271" s="57" t="str">
        <f>IF(Associates_Call_List_PQ!F271="","",Associates_Call_List_PQ!F271)</f>
        <v>Form letter</v>
      </c>
      <c r="G271" s="57" t="str">
        <f>IF(Associates_Call_List_PQ!G271="","",Associates_Call_List_PQ!G271)</f>
        <v>https://images.edocket.azcc.gov/docketpdf/E000046190.pdf</v>
      </c>
      <c r="H271" s="59" t="str">
        <f>IF(Associates_Call_List_PQ!H271="","",Associates_Call_List_PQ!H271)</f>
        <v>8501883965 </v>
      </c>
      <c r="I271" s="57" t="str">
        <f>IF(Associates_Call_List_PQ!I271="","",Associates_Call_List_PQ!I271)</f>
        <v>R3-47</v>
      </c>
      <c r="J271" s="57" t="str">
        <f>IF(Associates_Call_List_PQ!J271="","",Associates_Call_List_PQ!J271)</f>
        <v>No</v>
      </c>
      <c r="K271" s="57" t="str">
        <f>IF(Associates_Call_List_PQ!K271="","",Associates_Call_List_PQ!K271)</f>
        <v>No</v>
      </c>
      <c r="L271" s="57" t="str">
        <f>IF(Associates_Call_List_PQ!L271="","",Associates_Call_List_PQ!L271)</f>
        <v>Yes</v>
      </c>
      <c r="M271" s="57" t="str">
        <f>IF(Associates_Call_List_PQ!M271="","",Associates_Call_List_PQ!M271)</f>
        <v>No</v>
      </c>
      <c r="N271" s="57" t="str">
        <f>IF(Associates_Call_List_PQ!N271="","",Associates_Call_List_PQ!N271)</f>
        <v>No</v>
      </c>
      <c r="O271" s="57" t="str">
        <f>IF(Associates_Call_List_PQ!O271="","",Associates_Call_List_PQ!O271)</f>
        <v>Yes</v>
      </c>
      <c r="P271" s="57" t="str">
        <f>IF(Associates_Call_List_PQ!P271="","",Associates_Call_List_PQ!P271)</f>
        <v>N</v>
      </c>
      <c r="Q271" s="57">
        <f>IF(Associates_Call_List_PQ!Q271="","",Associates_Call_List_PQ!Q271)</f>
        <v>45967</v>
      </c>
      <c r="R271" s="57" t="str">
        <f>IF(Associates_Call_List_PQ!R271="","",Associates_Call_List_PQ!R271)</f>
        <v/>
      </c>
      <c r="S271" s="57" t="str">
        <f>IF(Associates_Call_List_PQ!S271="","",Associates_Call_List_PQ!S271)</f>
        <v/>
      </c>
      <c r="T271" s="57" t="str">
        <f>IF(Associates_Call_List_PQ!T271="","",Associates_Call_List_PQ!T271)</f>
        <v/>
      </c>
      <c r="U271" s="57" t="str">
        <f>IF(Associates_Call_List_PQ!U271="","",Associates_Call_List_PQ!U271)</f>
        <v/>
      </c>
      <c r="V271" s="68"/>
      <c r="W271" s="68" t="s">
        <v>5432</v>
      </c>
      <c r="X271" s="68"/>
      <c r="Y271" s="68"/>
      <c r="Z271" s="72"/>
    </row>
    <row r="272" spans="1:26">
      <c r="A272" s="71">
        <f>IFERROR(Associates_Call_List_PQ!A272,"")</f>
        <v>45903</v>
      </c>
      <c r="B272" s="57" t="str">
        <f>IF(Associates_Call_List_PQ!B272="","",Associates_Call_List_PQ!B272)</f>
        <v>Nacim</v>
      </c>
      <c r="C272" s="57" t="str">
        <f>IF(Associates_Call_List_PQ!C272="","",Associates_Call_List_PQ!C272)</f>
        <v>Amber</v>
      </c>
      <c r="D272" s="57" t="str">
        <f>IF(Associates_Call_List_PQ!D272="","",Associates_Call_List_PQ!D272)</f>
        <v>Phoenix</v>
      </c>
      <c r="E272" s="58">
        <f>IF(Associates_Call_List_PQ!E272="","",Associates_Call_List_PQ!E272)</f>
        <v>85032</v>
      </c>
      <c r="F272" s="57" t="str">
        <f>IF(Associates_Call_List_PQ!F272="","",Associates_Call_List_PQ!F272)</f>
        <v>Form letter</v>
      </c>
      <c r="G272" s="57" t="str">
        <f>IF(Associates_Call_List_PQ!G272="","",Associates_Call_List_PQ!G272)</f>
        <v>https://images.edocket.azcc.gov/docketpdf/E000046190.pdf</v>
      </c>
      <c r="H272" s="59" t="str">
        <f>IF(Associates_Call_List_PQ!H272="","",Associates_Call_List_PQ!H272)</f>
        <v>3248157690 </v>
      </c>
      <c r="I272" s="57" t="str">
        <f>IF(Associates_Call_List_PQ!I272="","",Associates_Call_List_PQ!I272)</f>
        <v>RTOUE47</v>
      </c>
      <c r="J272" s="57" t="str">
        <f>IF(Associates_Call_List_PQ!J272="","",Associates_Call_List_PQ!J272)</f>
        <v>No</v>
      </c>
      <c r="K272" s="57" t="str">
        <f>IF(Associates_Call_List_PQ!K272="","",Associates_Call_List_PQ!K272)</f>
        <v>No</v>
      </c>
      <c r="L272" s="57" t="str">
        <f>IF(Associates_Call_List_PQ!L272="","",Associates_Call_List_PQ!L272)</f>
        <v>No MEP R3-47($184.81)</v>
      </c>
      <c r="M272" s="57" t="str">
        <f>IF(Associates_Call_List_PQ!M272="","",Associates_Call_List_PQ!M272)</f>
        <v>No</v>
      </c>
      <c r="N272" s="57" t="str">
        <f>IF(Associates_Call_List_PQ!N272="","",Associates_Call_List_PQ!N272)</f>
        <v>No</v>
      </c>
      <c r="O272" s="57" t="str">
        <f>IF(Associates_Call_List_PQ!O272="","",Associates_Call_List_PQ!O272)</f>
        <v>Yes</v>
      </c>
      <c r="P272" s="57">
        <f>IF(Associates_Call_List_PQ!P272="","",Associates_Call_List_PQ!P272)</f>
        <v>45936</v>
      </c>
      <c r="Q272" s="57">
        <f>IF(Associates_Call_List_PQ!Q272="","",Associates_Call_List_PQ!Q272)</f>
        <v>45967</v>
      </c>
      <c r="R272" s="57" t="str">
        <f>IF(Associates_Call_List_PQ!R272="","",Associates_Call_List_PQ!R272)</f>
        <v>10/06/2025 Left VM</v>
      </c>
      <c r="S272" s="57" t="str">
        <f>IF(Associates_Call_List_PQ!S272="","",Associates_Call_List_PQ!S272)</f>
        <v/>
      </c>
      <c r="T272" s="57" t="str">
        <f>IF(Associates_Call_List_PQ!T272="","",Associates_Call_List_PQ!T272)</f>
        <v/>
      </c>
      <c r="U272" s="57" t="s">
        <v>5581</v>
      </c>
      <c r="V272" s="68" t="s">
        <v>117</v>
      </c>
      <c r="W272" s="68">
        <v>46032</v>
      </c>
      <c r="X272" s="68" t="s">
        <v>5434</v>
      </c>
      <c r="Y272" s="68"/>
      <c r="Z272" s="72"/>
    </row>
    <row r="273" spans="1:26">
      <c r="A273" s="71">
        <f>IFERROR(Associates_Call_List_PQ!A273,"")</f>
        <v>45903</v>
      </c>
      <c r="B273" s="57" t="str">
        <f>IF(Associates_Call_List_PQ!B273="","",Associates_Call_List_PQ!B273)</f>
        <v>Wilson</v>
      </c>
      <c r="C273" s="57" t="str">
        <f>IF(Associates_Call_List_PQ!C273="","",Associates_Call_List_PQ!C273)</f>
        <v>Cody</v>
      </c>
      <c r="D273" s="57" t="str">
        <f>IF(Associates_Call_List_PQ!D273="","",Associates_Call_List_PQ!D273)</f>
        <v>Glendale</v>
      </c>
      <c r="E273" s="58">
        <f>IF(Associates_Call_List_PQ!E273="","",Associates_Call_List_PQ!E273)</f>
        <v>85306</v>
      </c>
      <c r="F273" s="57" t="str">
        <f>IF(Associates_Call_List_PQ!F273="","",Associates_Call_List_PQ!F273)</f>
        <v>Form letter</v>
      </c>
      <c r="G273" s="57" t="str">
        <f>IF(Associates_Call_List_PQ!G273="","",Associates_Call_List_PQ!G273)</f>
        <v>https://images.edocket.azcc.gov/docketpdf/E000046190.pdf</v>
      </c>
      <c r="H273" s="59" t="str">
        <f>IF(Associates_Call_List_PQ!H273="","",Associates_Call_List_PQ!H273)</f>
        <v>8215139884 </v>
      </c>
      <c r="I273" s="57" t="str">
        <f>IF(Associates_Call_List_PQ!I273="","",Associates_Call_List_PQ!I273)</f>
        <v>RTOUE47</v>
      </c>
      <c r="J273" s="57" t="str">
        <f>IF(Associates_Call_List_PQ!J273="","",Associates_Call_List_PQ!J273)</f>
        <v>No</v>
      </c>
      <c r="K273" s="57" t="str">
        <f>IF(Associates_Call_List_PQ!K273="","",Associates_Call_List_PQ!K273)</f>
        <v>No</v>
      </c>
      <c r="L273" s="57" t="str">
        <f>IF(Associates_Call_List_PQ!L273="","",Associates_Call_List_PQ!L273)</f>
        <v>No MEP R3-47($80.80)</v>
      </c>
      <c r="M273" s="57" t="str">
        <f>IF(Associates_Call_List_PQ!M273="","",Associates_Call_List_PQ!M273)</f>
        <v>No</v>
      </c>
      <c r="N273" s="57" t="str">
        <f>IF(Associates_Call_List_PQ!N273="","",Associates_Call_List_PQ!N273)</f>
        <v>No</v>
      </c>
      <c r="O273" s="57" t="str">
        <f>IF(Associates_Call_List_PQ!O273="","",Associates_Call_List_PQ!O273)</f>
        <v>Yes</v>
      </c>
      <c r="P273" s="57" t="str">
        <f>IF(Associates_Call_List_PQ!P273="","",Associates_Call_List_PQ!P273)</f>
        <v>N</v>
      </c>
      <c r="Q273" s="57">
        <f>IF(Associates_Call_List_PQ!Q273="","",Associates_Call_List_PQ!Q273)</f>
        <v>45967</v>
      </c>
      <c r="R273" s="57" t="str">
        <f>IF(Associates_Call_List_PQ!R273="","",Associates_Call_List_PQ!R273)</f>
        <v/>
      </c>
      <c r="S273" s="57" t="str">
        <f>IF(Associates_Call_List_PQ!S273="","",Associates_Call_List_PQ!S273)</f>
        <v/>
      </c>
      <c r="T273" s="57" t="str">
        <f>IF(Associates_Call_List_PQ!T273="","",Associates_Call_List_PQ!T273)</f>
        <v/>
      </c>
      <c r="U273" s="57" t="s">
        <v>5582</v>
      </c>
      <c r="V273" s="68" t="s">
        <v>117</v>
      </c>
      <c r="W273" s="68">
        <v>46032</v>
      </c>
      <c r="X273" s="68" t="s">
        <v>5434</v>
      </c>
      <c r="Y273" s="68"/>
      <c r="Z273" s="72"/>
    </row>
    <row r="274" spans="1:26">
      <c r="A274" s="71">
        <f>IFERROR(Associates_Call_List_PQ!A274,"")</f>
        <v>45903</v>
      </c>
      <c r="B274" s="57" t="str">
        <f>IF(Associates_Call_List_PQ!B274="","",Associates_Call_List_PQ!B274)</f>
        <v>Valencia</v>
      </c>
      <c r="C274" s="57" t="str">
        <f>IF(Associates_Call_List_PQ!C274="","",Associates_Call_List_PQ!C274)</f>
        <v>Raymond</v>
      </c>
      <c r="D274" s="57" t="str">
        <f>IF(Associates_Call_List_PQ!D274="","",Associates_Call_List_PQ!D274)</f>
        <v>Goodyear</v>
      </c>
      <c r="E274" s="58">
        <f>IF(Associates_Call_List_PQ!E274="","",Associates_Call_List_PQ!E274)</f>
        <v>85338</v>
      </c>
      <c r="F274" s="57" t="str">
        <f>IF(Associates_Call_List_PQ!F274="","",Associates_Call_List_PQ!F274)</f>
        <v>Barely afford it now</v>
      </c>
      <c r="G274" s="57" t="str">
        <f>IF(Associates_Call_List_PQ!G274="","",Associates_Call_List_PQ!G274)</f>
        <v>https://images.edocket.azcc.gov/docketpdf/E000046190.pdf</v>
      </c>
      <c r="H274" s="59" t="str">
        <f>IF(Associates_Call_List_PQ!H274="","",Associates_Call_List_PQ!H274)</f>
        <v>5372451122 </v>
      </c>
      <c r="I274" s="57" t="str">
        <f>IF(Associates_Call_List_PQ!I274="","",Associates_Call_List_PQ!I274)</f>
        <v>RTOUE47</v>
      </c>
      <c r="J274" s="57" t="str">
        <f>IF(Associates_Call_List_PQ!J274="","",Associates_Call_List_PQ!J274)</f>
        <v>No</v>
      </c>
      <c r="K274" s="57" t="str">
        <f>IF(Associates_Call_List_PQ!K274="","",Associates_Call_List_PQ!K274)</f>
        <v>No</v>
      </c>
      <c r="L274" s="57" t="str">
        <f>IF(Associates_Call_List_PQ!L274="","",Associates_Call_List_PQ!L274)</f>
        <v>No MEP R-BASIC ($11.26)</v>
      </c>
      <c r="M274" s="57" t="str">
        <f>IF(Associates_Call_List_PQ!M274="","",Associates_Call_List_PQ!M274)</f>
        <v>No</v>
      </c>
      <c r="N274" s="57" t="str">
        <f>IF(Associates_Call_List_PQ!N274="","",Associates_Call_List_PQ!N274)</f>
        <v>No</v>
      </c>
      <c r="O274" s="57" t="str">
        <f>IF(Associates_Call_List_PQ!O274="","",Associates_Call_List_PQ!O274)</f>
        <v>Yes</v>
      </c>
      <c r="P274" s="57" t="str">
        <f>IF(Associates_Call_List_PQ!P274="","",Associates_Call_List_PQ!P274)</f>
        <v>N</v>
      </c>
      <c r="Q274" s="57">
        <f>IF(Associates_Call_List_PQ!Q274="","",Associates_Call_List_PQ!Q274)</f>
        <v>45967</v>
      </c>
      <c r="R274" s="57" t="str">
        <f>IF(Associates_Call_List_PQ!R274="","",Associates_Call_List_PQ!R274)</f>
        <v/>
      </c>
      <c r="S274" s="57" t="str">
        <f>IF(Associates_Call_List_PQ!S274="","",Associates_Call_List_PQ!S274)</f>
        <v/>
      </c>
      <c r="T274" s="57" t="str">
        <f>IF(Associates_Call_List_PQ!T274="","",Associates_Call_List_PQ!T274)</f>
        <v/>
      </c>
      <c r="U274" s="57" t="s">
        <v>5513</v>
      </c>
      <c r="V274" s="68" t="s">
        <v>117</v>
      </c>
      <c r="W274" s="68">
        <v>46032</v>
      </c>
      <c r="X274" s="68" t="s">
        <v>5434</v>
      </c>
      <c r="Y274" s="68"/>
      <c r="Z274" s="72"/>
    </row>
    <row r="275" spans="1:26">
      <c r="A275" s="71">
        <f>IFERROR(Associates_Call_List_PQ!A275,"")</f>
        <v>45903</v>
      </c>
      <c r="B275" s="57" t="str">
        <f>IF(Associates_Call_List_PQ!B275="","",Associates_Call_List_PQ!B275)</f>
        <v>Junior</v>
      </c>
      <c r="C275" s="57" t="str">
        <f>IF(Associates_Call_List_PQ!C275="","",Associates_Call_List_PQ!C275)</f>
        <v>Barton</v>
      </c>
      <c r="D275" s="57" t="str">
        <f>IF(Associates_Call_List_PQ!D275="","",Associates_Call_List_PQ!D275)</f>
        <v>Carefree</v>
      </c>
      <c r="E275" s="58">
        <f>IF(Associates_Call_List_PQ!E275="","",Associates_Call_List_PQ!E275)</f>
        <v>85377</v>
      </c>
      <c r="F275" s="57" t="str">
        <f>IF(Associates_Call_List_PQ!F275="","",Associates_Call_List_PQ!F275)</f>
        <v>Bill $700 a month with AC at 83 right now</v>
      </c>
      <c r="G275" s="57" t="str">
        <f>IF(Associates_Call_List_PQ!G275="","",Associates_Call_List_PQ!G275)</f>
        <v>https://images.edocket.azcc.gov/docketpdf/E000046190.pdf</v>
      </c>
      <c r="H275" s="59" t="str">
        <f>IF(Associates_Call_List_PQ!H275="","",Associates_Call_List_PQ!H275)</f>
        <v>3204790000 </v>
      </c>
      <c r="I275" s="57" t="str">
        <f>IF(Associates_Call_List_PQ!I275="","",Associates_Call_List_PQ!I275)</f>
        <v>R3-47</v>
      </c>
      <c r="J275" s="57" t="str">
        <f>IF(Associates_Call_List_PQ!J275="","",Associates_Call_List_PQ!J275)</f>
        <v>No</v>
      </c>
      <c r="K275" s="57" t="str">
        <f>IF(Associates_Call_List_PQ!K275="","",Associates_Call_List_PQ!K275)</f>
        <v>No</v>
      </c>
      <c r="L275" s="57" t="str">
        <f>IF(Associates_Call_List_PQ!L275="","",Associates_Call_List_PQ!L275)</f>
        <v>Yes</v>
      </c>
      <c r="M275" s="57" t="str">
        <f>IF(Associates_Call_List_PQ!M275="","",Associates_Call_List_PQ!M275)</f>
        <v>No</v>
      </c>
      <c r="N275" s="57" t="str">
        <f>IF(Associates_Call_List_PQ!N275="","",Associates_Call_List_PQ!N275)</f>
        <v>No</v>
      </c>
      <c r="O275" s="57" t="str">
        <f>IF(Associates_Call_List_PQ!O275="","",Associates_Call_List_PQ!O275)</f>
        <v>Yes</v>
      </c>
      <c r="P275" s="57" t="str">
        <f>IF(Associates_Call_List_PQ!P275="","",Associates_Call_List_PQ!P275)</f>
        <v>N</v>
      </c>
      <c r="Q275" s="57">
        <f>IF(Associates_Call_List_PQ!Q275="","",Associates_Call_List_PQ!Q275)</f>
        <v>45967</v>
      </c>
      <c r="R275" s="57" t="str">
        <f>IF(Associates_Call_List_PQ!R275="","",Associates_Call_List_PQ!R275)</f>
        <v>Filed ACC complaint regarding unbundled charges in 2021</v>
      </c>
      <c r="S275" s="57" t="str">
        <f>IF(Associates_Call_List_PQ!S275="","",Associates_Call_List_PQ!S275)</f>
        <v/>
      </c>
      <c r="T275" s="57" t="str">
        <f>IF(Associates_Call_List_PQ!T275="","",Associates_Call_List_PQ!T275)</f>
        <v/>
      </c>
      <c r="U275" s="57" t="str">
        <f>IF(Associates_Call_List_PQ!U275="","",Associates_Call_List_PQ!U275)</f>
        <v/>
      </c>
      <c r="V275" s="68"/>
      <c r="W275" s="68" t="s">
        <v>5432</v>
      </c>
      <c r="X275" s="68"/>
      <c r="Y275" s="68"/>
      <c r="Z275" s="72"/>
    </row>
    <row r="276" spans="1:26">
      <c r="A276" s="71">
        <f>IFERROR(Associates_Call_List_PQ!A276,"")</f>
        <v>45903</v>
      </c>
      <c r="B276" s="57" t="str">
        <f>IF(Associates_Call_List_PQ!B276="","",Associates_Call_List_PQ!B276)</f>
        <v xml:space="preserve">Martinez  </v>
      </c>
      <c r="C276" s="57" t="str">
        <f>IF(Associates_Call_List_PQ!C276="","",Associates_Call_List_PQ!C276)</f>
        <v>Katherine</v>
      </c>
      <c r="D276" s="57" t="str">
        <f>IF(Associates_Call_List_PQ!D276="","",Associates_Call_List_PQ!D276)</f>
        <v>Goodyear</v>
      </c>
      <c r="E276" s="58">
        <f>IF(Associates_Call_List_PQ!E276="","",Associates_Call_List_PQ!E276)</f>
        <v>85338</v>
      </c>
      <c r="F276" s="57" t="str">
        <f>IF(Associates_Call_List_PQ!F276="","",Associates_Call_List_PQ!F276)</f>
        <v>It is hard enough right now</v>
      </c>
      <c r="G276" s="57" t="str">
        <f>IF(Associates_Call_List_PQ!G276="","",Associates_Call_List_PQ!G276)</f>
        <v>https://images.edocket.azcc.gov/docketpdf/E000046190.pdf</v>
      </c>
      <c r="H276" s="59" t="str">
        <f>IF(Associates_Call_List_PQ!H276="","",Associates_Call_List_PQ!H276)</f>
        <v>6591101000 </v>
      </c>
      <c r="I276" s="57" t="str">
        <f>IF(Associates_Call_List_PQ!I276="","",Associates_Call_List_PQ!I276)</f>
        <v>EPR-6w/ET-2</v>
      </c>
      <c r="J276" s="57" t="str">
        <f>IF(Associates_Call_List_PQ!J276="","",Associates_Call_List_PQ!J276)</f>
        <v>No</v>
      </c>
      <c r="K276" s="57" t="str">
        <f>IF(Associates_Call_List_PQ!K276="","",Associates_Call_List_PQ!K276)</f>
        <v>No</v>
      </c>
      <c r="L276" s="57" t="str">
        <f>IF(Associates_Call_List_PQ!L276="","",Associates_Call_List_PQ!L276)</f>
        <v>Frozen Rate</v>
      </c>
      <c r="M276" s="57" t="str">
        <f>IF(Associates_Call_List_PQ!M276="","",Associates_Call_List_PQ!M276)</f>
        <v>No</v>
      </c>
      <c r="N276" s="57" t="str">
        <f>IF(Associates_Call_List_PQ!N276="","",Associates_Call_List_PQ!N276)</f>
        <v>No</v>
      </c>
      <c r="O276" s="57" t="str">
        <f>IF(Associates_Call_List_PQ!O276="","",Associates_Call_List_PQ!O276)</f>
        <v>Yes</v>
      </c>
      <c r="P276" s="57" t="str">
        <f>IF(Associates_Call_List_PQ!P276="","",Associates_Call_List_PQ!P276)</f>
        <v>N</v>
      </c>
      <c r="Q276" s="57">
        <f>IF(Associates_Call_List_PQ!Q276="","",Associates_Call_List_PQ!Q276)</f>
        <v>45967</v>
      </c>
      <c r="R276" s="57" t="str">
        <f>IF(Associates_Call_List_PQ!R276="","",Associates_Call_List_PQ!R276)</f>
        <v/>
      </c>
      <c r="S276" s="57" t="str">
        <f>IF(Associates_Call_List_PQ!S276="","",Associates_Call_List_PQ!S276)</f>
        <v/>
      </c>
      <c r="T276" s="57" t="str">
        <f>IF(Associates_Call_List_PQ!T276="","",Associates_Call_List_PQ!T276)</f>
        <v/>
      </c>
      <c r="U276" s="57" t="str">
        <f>IF(Associates_Call_List_PQ!U276="","",Associates_Call_List_PQ!U276)</f>
        <v/>
      </c>
      <c r="V276" s="68"/>
      <c r="W276" s="68" t="s">
        <v>5432</v>
      </c>
      <c r="X276" s="68"/>
      <c r="Y276" s="68"/>
      <c r="Z276" s="72"/>
    </row>
    <row r="277" spans="1:26">
      <c r="A277" s="71">
        <f>IFERROR(Associates_Call_List_PQ!A277,"")</f>
        <v>45903</v>
      </c>
      <c r="B277" s="57" t="str">
        <f>IF(Associates_Call_List_PQ!B277="","",Associates_Call_List_PQ!B277)</f>
        <v>Barnes</v>
      </c>
      <c r="C277" s="57" t="str">
        <f>IF(Associates_Call_List_PQ!C277="","",Associates_Call_List_PQ!C277)</f>
        <v>William</v>
      </c>
      <c r="D277" s="57" t="str">
        <f>IF(Associates_Call_List_PQ!D277="","",Associates_Call_List_PQ!D277)</f>
        <v>Goodyear</v>
      </c>
      <c r="E277" s="58">
        <f>IF(Associates_Call_List_PQ!E277="","",Associates_Call_List_PQ!E277)</f>
        <v>85338</v>
      </c>
      <c r="F277" s="57" t="str">
        <f>IF(Associates_Call_List_PQ!F277="","",Associates_Call_List_PQ!F277)</f>
        <v xml:space="preserve">Need to manage their costs </v>
      </c>
      <c r="G277" s="57" t="str">
        <f>IF(Associates_Call_List_PQ!G277="","",Associates_Call_List_PQ!G277)</f>
        <v>https://images.edocket.azcc.gov/docketpdf/E000046190.pdf</v>
      </c>
      <c r="H277" s="59" t="str">
        <f>IF(Associates_Call_List_PQ!H277="","",Associates_Call_List_PQ!H277)</f>
        <v>7295561000 </v>
      </c>
      <c r="I277" s="57" t="str">
        <f>IF(Associates_Call_List_PQ!I277="","",Associates_Call_List_PQ!I277)</f>
        <v>R3-47</v>
      </c>
      <c r="J277" s="57" t="str">
        <f>IF(Associates_Call_List_PQ!J277="","",Associates_Call_List_PQ!J277)</f>
        <v>No</v>
      </c>
      <c r="K277" s="57" t="str">
        <f>IF(Associates_Call_List_PQ!K277="","",Associates_Call_List_PQ!K277)</f>
        <v>No</v>
      </c>
      <c r="L277" s="57" t="str">
        <f>IF(Associates_Call_List_PQ!L277="","",Associates_Call_List_PQ!L277)</f>
        <v>Yes</v>
      </c>
      <c r="M277" s="57" t="str">
        <f>IF(Associates_Call_List_PQ!M277="","",Associates_Call_List_PQ!M277)</f>
        <v>No</v>
      </c>
      <c r="N277" s="57" t="str">
        <f>IF(Associates_Call_List_PQ!N277="","",Associates_Call_List_PQ!N277)</f>
        <v>No</v>
      </c>
      <c r="O277" s="57" t="str">
        <f>IF(Associates_Call_List_PQ!O277="","",Associates_Call_List_PQ!O277)</f>
        <v>Yes</v>
      </c>
      <c r="P277" s="57" t="str">
        <f>IF(Associates_Call_List_PQ!P277="","",Associates_Call_List_PQ!P277)</f>
        <v>N</v>
      </c>
      <c r="Q277" s="57">
        <f>IF(Associates_Call_List_PQ!Q277="","",Associates_Call_List_PQ!Q277)</f>
        <v>45967</v>
      </c>
      <c r="R277" s="57" t="str">
        <f>IF(Associates_Call_List_PQ!R277="","",Associates_Call_List_PQ!R277)</f>
        <v/>
      </c>
      <c r="S277" s="57" t="str">
        <f>IF(Associates_Call_List_PQ!S277="","",Associates_Call_List_PQ!S277)</f>
        <v/>
      </c>
      <c r="T277" s="57" t="str">
        <f>IF(Associates_Call_List_PQ!T277="","",Associates_Call_List_PQ!T277)</f>
        <v/>
      </c>
      <c r="U277" s="57" t="str">
        <f>IF(Associates_Call_List_PQ!U277="","",Associates_Call_List_PQ!U277)</f>
        <v/>
      </c>
      <c r="V277" s="68"/>
      <c r="W277" s="68" t="s">
        <v>5432</v>
      </c>
      <c r="X277" s="68"/>
      <c r="Y277" s="68"/>
      <c r="Z277" s="72"/>
    </row>
    <row r="278" spans="1:26">
      <c r="A278" s="71">
        <f>IFERROR(Associates_Call_List_PQ!A278,"")</f>
        <v>45903</v>
      </c>
      <c r="B278" s="57" t="str">
        <f>IF(Associates_Call_List_PQ!B278="","",Associates_Call_List_PQ!B278)</f>
        <v>Sawant</v>
      </c>
      <c r="C278" s="57" t="str">
        <f>IF(Associates_Call_List_PQ!C278="","",Associates_Call_List_PQ!C278)</f>
        <v>Ajay</v>
      </c>
      <c r="D278" s="57" t="str">
        <f>IF(Associates_Call_List_PQ!D278="","",Associates_Call_List_PQ!D278)</f>
        <v>Scottsdale</v>
      </c>
      <c r="E278" s="58">
        <f>IF(Associates_Call_List_PQ!E278="","",Associates_Call_List_PQ!E278)</f>
        <v>85260</v>
      </c>
      <c r="F278" s="57" t="str">
        <f>IF(Associates_Call_List_PQ!F278="","",Associates_Call_List_PQ!F278)</f>
        <v>Form letter</v>
      </c>
      <c r="G278" s="57" t="str">
        <f>IF(Associates_Call_List_PQ!G278="","",Associates_Call_List_PQ!G278)</f>
        <v>https://images.edocket.azcc.gov/docketpdf/E000046190.pdf</v>
      </c>
      <c r="H278" s="59" t="str">
        <f>IF(Associates_Call_List_PQ!H278="","",Associates_Call_List_PQ!H278)</f>
        <v>6697601000 </v>
      </c>
      <c r="I278" s="57" t="str">
        <f>IF(Associates_Call_List_PQ!I278="","",Associates_Call_List_PQ!I278)</f>
        <v>R3-47</v>
      </c>
      <c r="J278" s="57" t="str">
        <f>IF(Associates_Call_List_PQ!J278="","",Associates_Call_List_PQ!J278)</f>
        <v>No</v>
      </c>
      <c r="K278" s="57" t="str">
        <f>IF(Associates_Call_List_PQ!K278="","",Associates_Call_List_PQ!K278)</f>
        <v>No</v>
      </c>
      <c r="L278" s="57" t="str">
        <f>IF(Associates_Call_List_PQ!L278="","",Associates_Call_List_PQ!L278)</f>
        <v>Yes</v>
      </c>
      <c r="M278" s="57" t="str">
        <f>IF(Associates_Call_List_PQ!M278="","",Associates_Call_List_PQ!M278)</f>
        <v>No</v>
      </c>
      <c r="N278" s="57" t="str">
        <f>IF(Associates_Call_List_PQ!N278="","",Associates_Call_List_PQ!N278)</f>
        <v>No</v>
      </c>
      <c r="O278" s="57" t="str">
        <f>IF(Associates_Call_List_PQ!O278="","",Associates_Call_List_PQ!O278)</f>
        <v>Yes</v>
      </c>
      <c r="P278" s="57" t="str">
        <f>IF(Associates_Call_List_PQ!P278="","",Associates_Call_List_PQ!P278)</f>
        <v>N</v>
      </c>
      <c r="Q278" s="57">
        <f>IF(Associates_Call_List_PQ!Q278="","",Associates_Call_List_PQ!Q278)</f>
        <v>45967</v>
      </c>
      <c r="R278" s="57" t="str">
        <f>IF(Associates_Call_List_PQ!R278="","",Associates_Call_List_PQ!R278)</f>
        <v/>
      </c>
      <c r="S278" s="57" t="str">
        <f>IF(Associates_Call_List_PQ!S278="","",Associates_Call_List_PQ!S278)</f>
        <v/>
      </c>
      <c r="T278" s="57" t="str">
        <f>IF(Associates_Call_List_PQ!T278="","",Associates_Call_List_PQ!T278)</f>
        <v/>
      </c>
      <c r="U278" s="57" t="str">
        <f>IF(Associates_Call_List_PQ!U278="","",Associates_Call_List_PQ!U278)</f>
        <v/>
      </c>
      <c r="V278" s="68"/>
      <c r="W278" s="68" t="s">
        <v>5432</v>
      </c>
      <c r="X278" s="68"/>
      <c r="Y278" s="68"/>
      <c r="Z278" s="72"/>
    </row>
    <row r="279" spans="1:26">
      <c r="A279" s="71">
        <f>IFERROR(Associates_Call_List_PQ!A279,"")</f>
        <v>45903</v>
      </c>
      <c r="B279" s="57" t="str">
        <f>IF(Associates_Call_List_PQ!B279="","",Associates_Call_List_PQ!B279)</f>
        <v>Samora</v>
      </c>
      <c r="C279" s="57" t="str">
        <f>IF(Associates_Call_List_PQ!C279="","",Associates_Call_List_PQ!C279)</f>
        <v>Eric</v>
      </c>
      <c r="D279" s="57" t="str">
        <f>IF(Associates_Call_List_PQ!D279="","",Associates_Call_List_PQ!D279)</f>
        <v>Surprise</v>
      </c>
      <c r="E279" s="58">
        <f>IF(Associates_Call_List_PQ!E279="","",Associates_Call_List_PQ!E279)</f>
        <v>85374</v>
      </c>
      <c r="F279" s="57" t="str">
        <f>IF(Associates_Call_List_PQ!F279="","",Associates_Call_List_PQ!F279)</f>
        <v>Opposed</v>
      </c>
      <c r="G279" s="57" t="str">
        <f>IF(Associates_Call_List_PQ!G279="","",Associates_Call_List_PQ!G279)</f>
        <v>https://images.edocket.azcc.gov/docketpdf/E000046190.pdf</v>
      </c>
      <c r="H279" s="59" t="str">
        <f>IF(Associates_Call_List_PQ!H279="","",Associates_Call_List_PQ!H279)</f>
        <v>8065380000 </v>
      </c>
      <c r="I279" s="57" t="str">
        <f>IF(Associates_Call_List_PQ!I279="","",Associates_Call_List_PQ!I279)</f>
        <v>R3-47</v>
      </c>
      <c r="J279" s="57" t="str">
        <f>IF(Associates_Call_List_PQ!J279="","",Associates_Call_List_PQ!J279)</f>
        <v>No</v>
      </c>
      <c r="K279" s="57" t="str">
        <f>IF(Associates_Call_List_PQ!K279="","",Associates_Call_List_PQ!K279)</f>
        <v>No</v>
      </c>
      <c r="L279" s="57" t="str">
        <f>IF(Associates_Call_List_PQ!L279="","",Associates_Call_List_PQ!L279)</f>
        <v>Yes</v>
      </c>
      <c r="M279" s="57" t="str">
        <f>IF(Associates_Call_List_PQ!M279="","",Associates_Call_List_PQ!M279)</f>
        <v>No</v>
      </c>
      <c r="N279" s="57" t="str">
        <f>IF(Associates_Call_List_PQ!N279="","",Associates_Call_List_PQ!N279)</f>
        <v>No</v>
      </c>
      <c r="O279" s="57" t="str">
        <f>IF(Associates_Call_List_PQ!O279="","",Associates_Call_List_PQ!O279)</f>
        <v>Yes</v>
      </c>
      <c r="P279" s="57" t="str">
        <f>IF(Associates_Call_List_PQ!P279="","",Associates_Call_List_PQ!P279)</f>
        <v>N</v>
      </c>
      <c r="Q279" s="57">
        <f>IF(Associates_Call_List_PQ!Q279="","",Associates_Call_List_PQ!Q279)</f>
        <v>45967</v>
      </c>
      <c r="R279" s="57" t="str">
        <f>IF(Associates_Call_List_PQ!R279="","",Associates_Call_List_PQ!R279)</f>
        <v/>
      </c>
      <c r="S279" s="57" t="str">
        <f>IF(Associates_Call_List_PQ!S279="","",Associates_Call_List_PQ!S279)</f>
        <v/>
      </c>
      <c r="T279" s="57" t="str">
        <f>IF(Associates_Call_List_PQ!T279="","",Associates_Call_List_PQ!T279)</f>
        <v/>
      </c>
      <c r="U279" s="57" t="str">
        <f>IF(Associates_Call_List_PQ!U279="","",Associates_Call_List_PQ!U279)</f>
        <v/>
      </c>
      <c r="V279" s="68"/>
      <c r="W279" s="68" t="s">
        <v>5432</v>
      </c>
      <c r="X279" s="68"/>
      <c r="Y279" s="68"/>
      <c r="Z279" s="72"/>
    </row>
    <row r="280" spans="1:26">
      <c r="A280" s="71">
        <f>IFERROR(Associates_Call_List_PQ!A280,"")</f>
        <v>45903</v>
      </c>
      <c r="B280" s="57" t="str">
        <f>IF(Associates_Call_List_PQ!B280="","",Associates_Call_List_PQ!B280)</f>
        <v>Layne</v>
      </c>
      <c r="C280" s="57" t="str">
        <f>IF(Associates_Call_List_PQ!C280="","",Associates_Call_List_PQ!C280)</f>
        <v>Andrew</v>
      </c>
      <c r="D280" s="57" t="str">
        <f>IF(Associates_Call_List_PQ!D280="","",Associates_Call_List_PQ!D280)</f>
        <v>Yuma</v>
      </c>
      <c r="E280" s="58">
        <f>IF(Associates_Call_List_PQ!E280="","",Associates_Call_List_PQ!E280)</f>
        <v>85365</v>
      </c>
      <c r="F280" s="57" t="str">
        <f>IF(Associates_Call_List_PQ!F280="","",Associates_Call_List_PQ!F280)</f>
        <v>Monopoly, break up company</v>
      </c>
      <c r="G280" s="57" t="str">
        <f>IF(Associates_Call_List_PQ!G280="","",Associates_Call_List_PQ!G280)</f>
        <v>https://images.edocket.azcc.gov/docketpdf/E000046190.pdf</v>
      </c>
      <c r="H280" s="59" t="str">
        <f>IF(Associates_Call_List_PQ!H280="","",Associates_Call_List_PQ!H280)</f>
        <v>5257261000 </v>
      </c>
      <c r="I280" s="57" t="str">
        <f>IF(Associates_Call_List_PQ!I280="","",Associates_Call_List_PQ!I280)</f>
        <v>R3-47</v>
      </c>
      <c r="J280" s="57" t="str">
        <f>IF(Associates_Call_List_PQ!J280="","",Associates_Call_List_PQ!J280)</f>
        <v>No</v>
      </c>
      <c r="K280" s="57" t="str">
        <f>IF(Associates_Call_List_PQ!K280="","",Associates_Call_List_PQ!K280)</f>
        <v>No</v>
      </c>
      <c r="L280" s="57" t="str">
        <f>IF(Associates_Call_List_PQ!L280="","",Associates_Call_List_PQ!L280)</f>
        <v>Yes</v>
      </c>
      <c r="M280" s="57" t="str">
        <f>IF(Associates_Call_List_PQ!M280="","",Associates_Call_List_PQ!M280)</f>
        <v>No</v>
      </c>
      <c r="N280" s="57" t="str">
        <f>IF(Associates_Call_List_PQ!N280="","",Associates_Call_List_PQ!N280)</f>
        <v>No</v>
      </c>
      <c r="O280" s="57" t="str">
        <f>IF(Associates_Call_List_PQ!O280="","",Associates_Call_List_PQ!O280)</f>
        <v>Yes</v>
      </c>
      <c r="P280" s="57" t="str">
        <f>IF(Associates_Call_List_PQ!P280="","",Associates_Call_List_PQ!P280)</f>
        <v>N</v>
      </c>
      <c r="Q280" s="57">
        <f>IF(Associates_Call_List_PQ!Q280="","",Associates_Call_List_PQ!Q280)</f>
        <v>45967</v>
      </c>
      <c r="R280" s="57" t="str">
        <f>IF(Associates_Call_List_PQ!R280="","",Associates_Call_List_PQ!R280)</f>
        <v/>
      </c>
      <c r="S280" s="57" t="str">
        <f>IF(Associates_Call_List_PQ!S280="","",Associates_Call_List_PQ!S280)</f>
        <v/>
      </c>
      <c r="T280" s="57" t="str">
        <f>IF(Associates_Call_List_PQ!T280="","",Associates_Call_List_PQ!T280)</f>
        <v/>
      </c>
      <c r="U280" s="57" t="str">
        <f>IF(Associates_Call_List_PQ!U280="","",Associates_Call_List_PQ!U280)</f>
        <v/>
      </c>
      <c r="V280" s="68"/>
      <c r="W280" s="68" t="s">
        <v>5432</v>
      </c>
      <c r="X280" s="68"/>
      <c r="Y280" s="68"/>
      <c r="Z280" s="72"/>
    </row>
    <row r="281" spans="1:26">
      <c r="A281" s="71">
        <f>IFERROR(Associates_Call_List_PQ!A281,"")</f>
        <v>45903</v>
      </c>
      <c r="B281" s="57" t="str">
        <f>IF(Associates_Call_List_PQ!B281="","",Associates_Call_List_PQ!B281)</f>
        <v>Degado</v>
      </c>
      <c r="C281" s="57" t="str">
        <f>IF(Associates_Call_List_PQ!C281="","",Associates_Call_List_PQ!C281)</f>
        <v>Robert</v>
      </c>
      <c r="D281" s="57" t="str">
        <f>IF(Associates_Call_List_PQ!D281="","",Associates_Call_List_PQ!D281)</f>
        <v>Avondale</v>
      </c>
      <c r="E281" s="58">
        <f>IF(Associates_Call_List_PQ!E281="","",Associates_Call_List_PQ!E281)</f>
        <v>85323</v>
      </c>
      <c r="F281" s="57" t="str">
        <f>IF(Associates_Call_List_PQ!F281="","",Associates_Call_List_PQ!F281)</f>
        <v>Bill is already high enough</v>
      </c>
      <c r="G281" s="57" t="str">
        <f>IF(Associates_Call_List_PQ!G281="","",Associates_Call_List_PQ!G281)</f>
        <v>https://images.edocket.azcc.gov/docketpdf/E000046190.pdf</v>
      </c>
      <c r="H281" s="59" t="str">
        <f>IF(Associates_Call_List_PQ!H281="","",Associates_Call_List_PQ!H281)</f>
        <v>1461856288 </v>
      </c>
      <c r="I281" s="57" t="str">
        <f>IF(Associates_Call_List_PQ!I281="","",Associates_Call_List_PQ!I281)</f>
        <v>RTOUE47</v>
      </c>
      <c r="J281" s="57" t="str">
        <f>IF(Associates_Call_List_PQ!J281="","",Associates_Call_List_PQ!J281)</f>
        <v>No</v>
      </c>
      <c r="K281" s="57" t="str">
        <f>IF(Associates_Call_List_PQ!K281="","",Associates_Call_List_PQ!K281)</f>
        <v>No</v>
      </c>
      <c r="L281" s="57" t="str">
        <f>IF(Associates_Call_List_PQ!L281="","",Associates_Call_List_PQ!L281)</f>
        <v>Yes</v>
      </c>
      <c r="M281" s="57" t="str">
        <f>IF(Associates_Call_List_PQ!M281="","",Associates_Call_List_PQ!M281)</f>
        <v>No</v>
      </c>
      <c r="N281" s="57" t="str">
        <f>IF(Associates_Call_List_PQ!N281="","",Associates_Call_List_PQ!N281)</f>
        <v>No</v>
      </c>
      <c r="O281" s="57" t="str">
        <f>IF(Associates_Call_List_PQ!O281="","",Associates_Call_List_PQ!O281)</f>
        <v>Yes</v>
      </c>
      <c r="P281" s="57" t="str">
        <f>IF(Associates_Call_List_PQ!P281="","",Associates_Call_List_PQ!P281)</f>
        <v>N</v>
      </c>
      <c r="Q281" s="57">
        <f>IF(Associates_Call_List_PQ!Q281="","",Associates_Call_List_PQ!Q281)</f>
        <v>45967</v>
      </c>
      <c r="R281" s="57" t="str">
        <f>IF(Associates_Call_List_PQ!R281="","",Associates_Call_List_PQ!R281)</f>
        <v/>
      </c>
      <c r="S281" s="57" t="str">
        <f>IF(Associates_Call_List_PQ!S281="","",Associates_Call_List_PQ!S281)</f>
        <v/>
      </c>
      <c r="T281" s="57" t="str">
        <f>IF(Associates_Call_List_PQ!T281="","",Associates_Call_List_PQ!T281)</f>
        <v/>
      </c>
      <c r="U281" s="57" t="str">
        <f>IF(Associates_Call_List_PQ!U281="","",Associates_Call_List_PQ!U281)</f>
        <v/>
      </c>
      <c r="V281" s="68"/>
      <c r="W281" s="68" t="s">
        <v>5432</v>
      </c>
      <c r="X281" s="68"/>
      <c r="Y281" s="68"/>
      <c r="Z281" s="72"/>
    </row>
    <row r="282" spans="1:26">
      <c r="A282" s="71">
        <f>IFERROR(Associates_Call_List_PQ!A282,"")</f>
        <v>45903</v>
      </c>
      <c r="B282" s="57" t="str">
        <f>IF(Associates_Call_List_PQ!B282="","",Associates_Call_List_PQ!B282)</f>
        <v>Bonnett</v>
      </c>
      <c r="C282" s="57" t="str">
        <f>IF(Associates_Call_List_PQ!C282="","",Associates_Call_List_PQ!C282)</f>
        <v>David</v>
      </c>
      <c r="D282" s="57" t="str">
        <f>IF(Associates_Call_List_PQ!D282="","",Associates_Call_List_PQ!D282)</f>
        <v>Goodyear</v>
      </c>
      <c r="E282" s="58">
        <f>IF(Associates_Call_List_PQ!E282="","",Associates_Call_List_PQ!E282)</f>
        <v>85338</v>
      </c>
      <c r="F282" s="57" t="str">
        <f>IF(Associates_Call_List_PQ!F282="","",Associates_Call_List_PQ!F282)</f>
        <v>Opposed</v>
      </c>
      <c r="G282" s="57" t="str">
        <f>IF(Associates_Call_List_PQ!G282="","",Associates_Call_List_PQ!G282)</f>
        <v>https://images.edocket.azcc.gov/docketpdf/E000046190.pdf</v>
      </c>
      <c r="H282" s="59" t="str">
        <f>IF(Associates_Call_List_PQ!H282="","",Associates_Call_List_PQ!H282)</f>
        <v>9378830912 </v>
      </c>
      <c r="I282" s="57" t="str">
        <f>IF(Associates_Call_List_PQ!I282="","",Associates_Call_List_PQ!I282)</f>
        <v>RCPw/R3-47</v>
      </c>
      <c r="J282" s="57" t="str">
        <f>IF(Associates_Call_List_PQ!J282="","",Associates_Call_List_PQ!J282)</f>
        <v>No</v>
      </c>
      <c r="K282" s="57" t="str">
        <f>IF(Associates_Call_List_PQ!K282="","",Associates_Call_List_PQ!K282)</f>
        <v>No</v>
      </c>
      <c r="L282" s="57" t="str">
        <f>IF(Associates_Call_List_PQ!L282="","",Associates_Call_List_PQ!L282)</f>
        <v>Yes</v>
      </c>
      <c r="M282" s="57" t="str">
        <f>IF(Associates_Call_List_PQ!M282="","",Associates_Call_List_PQ!M282)</f>
        <v>No</v>
      </c>
      <c r="N282" s="57" t="str">
        <f>IF(Associates_Call_List_PQ!N282="","",Associates_Call_List_PQ!N282)</f>
        <v>No</v>
      </c>
      <c r="O282" s="57" t="str">
        <f>IF(Associates_Call_List_PQ!O282="","",Associates_Call_List_PQ!O282)</f>
        <v>Yes</v>
      </c>
      <c r="P282" s="57" t="str">
        <f>IF(Associates_Call_List_PQ!P282="","",Associates_Call_List_PQ!P282)</f>
        <v>N</v>
      </c>
      <c r="Q282" s="57">
        <f>IF(Associates_Call_List_PQ!Q282="","",Associates_Call_List_PQ!Q282)</f>
        <v>45967</v>
      </c>
      <c r="R282" s="57" t="str">
        <f>IF(Associates_Call_List_PQ!R282="","",Associates_Call_List_PQ!R282)</f>
        <v/>
      </c>
      <c r="S282" s="57" t="str">
        <f>IF(Associates_Call_List_PQ!S282="","",Associates_Call_List_PQ!S282)</f>
        <v/>
      </c>
      <c r="T282" s="57" t="str">
        <f>IF(Associates_Call_List_PQ!T282="","",Associates_Call_List_PQ!T282)</f>
        <v/>
      </c>
      <c r="U282" s="57" t="str">
        <f>IF(Associates_Call_List_PQ!U282="","",Associates_Call_List_PQ!U282)</f>
        <v/>
      </c>
      <c r="V282" s="68"/>
      <c r="W282" s="68" t="s">
        <v>5432</v>
      </c>
      <c r="X282" s="68"/>
      <c r="Y282" s="68"/>
      <c r="Z282" s="72"/>
    </row>
    <row r="283" spans="1:26">
      <c r="A283" s="71">
        <f>IFERROR(Associates_Call_List_PQ!A283,"")</f>
        <v>45903</v>
      </c>
      <c r="B283" s="57" t="str">
        <f>IF(Associates_Call_List_PQ!B283="","",Associates_Call_List_PQ!B283)</f>
        <v>Ebel</v>
      </c>
      <c r="C283" s="57" t="str">
        <f>IF(Associates_Call_List_PQ!C283="","",Associates_Call_List_PQ!C283)</f>
        <v>Lawrence</v>
      </c>
      <c r="D283" s="57" t="str">
        <f>IF(Associates_Call_List_PQ!D283="","",Associates_Call_List_PQ!D283)</f>
        <v>Phoenix</v>
      </c>
      <c r="E283" s="58">
        <f>IF(Associates_Call_List_PQ!E283="","",Associates_Call_List_PQ!E283)</f>
        <v>85085</v>
      </c>
      <c r="F283" s="57" t="str">
        <f>IF(Associates_Call_List_PQ!F283="","",Associates_Call_List_PQ!F283)</f>
        <v>Form letter</v>
      </c>
      <c r="G283" s="57" t="str">
        <f>IF(Associates_Call_List_PQ!G283="","",Associates_Call_List_PQ!G283)</f>
        <v>https://images.edocket.azcc.gov/docketpdf/E000046190.pdf</v>
      </c>
      <c r="H283" s="59" t="str">
        <f>IF(Associates_Call_List_PQ!H283="","",Associates_Call_List_PQ!H283)</f>
        <v>5843594786 </v>
      </c>
      <c r="I283" s="57" t="str">
        <f>IF(Associates_Call_List_PQ!I283="","",Associates_Call_List_PQ!I283)</f>
        <v>RTOUE47</v>
      </c>
      <c r="J283" s="57" t="str">
        <f>IF(Associates_Call_List_PQ!J283="","",Associates_Call_List_PQ!J283)</f>
        <v>No</v>
      </c>
      <c r="K283" s="57" t="str">
        <f>IF(Associates_Call_List_PQ!K283="","",Associates_Call_List_PQ!K283)</f>
        <v>No</v>
      </c>
      <c r="L283" s="57" t="str">
        <f>IF(Associates_Call_List_PQ!L283="","",Associates_Call_List_PQ!L283)</f>
        <v>No MEP R3-47($216.68)</v>
      </c>
      <c r="M283" s="57" t="str">
        <f>IF(Associates_Call_List_PQ!M283="","",Associates_Call_List_PQ!M283)</f>
        <v>No</v>
      </c>
      <c r="N283" s="57" t="str">
        <f>IF(Associates_Call_List_PQ!N283="","",Associates_Call_List_PQ!N283)</f>
        <v>No</v>
      </c>
      <c r="O283" s="57" t="str">
        <f>IF(Associates_Call_List_PQ!O283="","",Associates_Call_List_PQ!O283)</f>
        <v>Yes</v>
      </c>
      <c r="P283" s="57">
        <f>IF(Associates_Call_List_PQ!P283="","",Associates_Call_List_PQ!P283)</f>
        <v>45936</v>
      </c>
      <c r="Q283" s="57">
        <f>IF(Associates_Call_List_PQ!Q283="","",Associates_Call_List_PQ!Q283)</f>
        <v>45967</v>
      </c>
      <c r="R283" s="57" t="str">
        <f>IF(Associates_Call_List_PQ!R283="","",Associates_Call_List_PQ!R283)</f>
        <v>Cor will review comp tool online and decide later</v>
      </c>
      <c r="S283" s="57" t="str">
        <f>IF(Associates_Call_List_PQ!S283="","",Associates_Call_List_PQ!S283)</f>
        <v/>
      </c>
      <c r="T283" s="57" t="str">
        <f>IF(Associates_Call_List_PQ!T283="","",Associates_Call_List_PQ!T283)</f>
        <v/>
      </c>
      <c r="U283" s="57" t="s">
        <v>5513</v>
      </c>
      <c r="V283" s="68" t="s">
        <v>117</v>
      </c>
      <c r="W283" s="68">
        <v>46039</v>
      </c>
      <c r="X283" s="68" t="s">
        <v>5434</v>
      </c>
      <c r="Y283" s="68"/>
      <c r="Z283" s="72"/>
    </row>
    <row r="284" spans="1:26">
      <c r="A284" s="71">
        <f>IFERROR(Associates_Call_List_PQ!A284,"")</f>
        <v>45903</v>
      </c>
      <c r="B284" s="57" t="str">
        <f>IF(Associates_Call_List_PQ!B284="","",Associates_Call_List_PQ!B284)</f>
        <v>Murphy</v>
      </c>
      <c r="C284" s="57" t="str">
        <f>IF(Associates_Call_List_PQ!C284="","",Associates_Call_List_PQ!C284)</f>
        <v xml:space="preserve">Charles </v>
      </c>
      <c r="D284" s="57" t="str">
        <f>IF(Associates_Call_List_PQ!D284="","",Associates_Call_List_PQ!D284)</f>
        <v>Wickenburg</v>
      </c>
      <c r="E284" s="58">
        <f>IF(Associates_Call_List_PQ!E284="","",Associates_Call_List_PQ!E284)</f>
        <v>85390</v>
      </c>
      <c r="F284" s="57" t="str">
        <f>IF(Associates_Call_List_PQ!F284="","",Associates_Call_List_PQ!F284)</f>
        <v>Opposed</v>
      </c>
      <c r="G284" s="57" t="str">
        <f>IF(Associates_Call_List_PQ!G284="","",Associates_Call_List_PQ!G284)</f>
        <v>https://images.edocket.azcc.gov/docketpdf/E000046190.pdf</v>
      </c>
      <c r="H284" s="59" t="str">
        <f>IF(Associates_Call_List_PQ!H284="","",Associates_Call_List_PQ!H284)</f>
        <v>7667970000 </v>
      </c>
      <c r="I284" s="57" t="str">
        <f>IF(Associates_Call_List_PQ!I284="","",Associates_Call_List_PQ!I284)</f>
        <v>RTOUE47</v>
      </c>
      <c r="J284" s="57" t="str">
        <f>IF(Associates_Call_List_PQ!J284="","",Associates_Call_List_PQ!J284)</f>
        <v>No</v>
      </c>
      <c r="K284" s="57" t="str">
        <f>IF(Associates_Call_List_PQ!K284="","",Associates_Call_List_PQ!K284)</f>
        <v>No</v>
      </c>
      <c r="L284" s="57" t="str">
        <f>IF(Associates_Call_List_PQ!L284="","",Associates_Call_List_PQ!L284)</f>
        <v>Yes</v>
      </c>
      <c r="M284" s="57" t="str">
        <f>IF(Associates_Call_List_PQ!M284="","",Associates_Call_List_PQ!M284)</f>
        <v>No</v>
      </c>
      <c r="N284" s="57" t="str">
        <f>IF(Associates_Call_List_PQ!N284="","",Associates_Call_List_PQ!N284)</f>
        <v>No</v>
      </c>
      <c r="O284" s="57" t="str">
        <f>IF(Associates_Call_List_PQ!O284="","",Associates_Call_List_PQ!O284)</f>
        <v>Yes</v>
      </c>
      <c r="P284" s="57" t="str">
        <f>IF(Associates_Call_List_PQ!P284="","",Associates_Call_List_PQ!P284)</f>
        <v>N</v>
      </c>
      <c r="Q284" s="57">
        <f>IF(Associates_Call_List_PQ!Q284="","",Associates_Call_List_PQ!Q284)</f>
        <v>45967</v>
      </c>
      <c r="R284" s="57" t="str">
        <f>IF(Associates_Call_List_PQ!R284="","",Associates_Call_List_PQ!R284)</f>
        <v>Assistance?</v>
      </c>
      <c r="S284" s="57" t="str">
        <f>IF(Associates_Call_List_PQ!S284="","",Associates_Call_List_PQ!S284)</f>
        <v/>
      </c>
      <c r="T284" s="57" t="str">
        <f>IF(Associates_Call_List_PQ!T284="","",Associates_Call_List_PQ!T284)</f>
        <v/>
      </c>
      <c r="U284" s="57" t="str">
        <f>IF(Associates_Call_List_PQ!U284="","",Associates_Call_List_PQ!U284)</f>
        <v/>
      </c>
      <c r="V284" s="68"/>
      <c r="W284" s="68" t="s">
        <v>5432</v>
      </c>
      <c r="X284" s="68"/>
      <c r="Y284" s="68"/>
      <c r="Z284" s="72"/>
    </row>
    <row r="285" spans="1:26">
      <c r="A285" s="71">
        <f>IFERROR(Associates_Call_List_PQ!A285,"")</f>
        <v>45903</v>
      </c>
      <c r="B285" s="57" t="str">
        <f>IF(Associates_Call_List_PQ!B285="","",Associates_Call_List_PQ!B285)</f>
        <v>Fielder</v>
      </c>
      <c r="C285" s="57" t="str">
        <f>IF(Associates_Call_List_PQ!C285="","",Associates_Call_List_PQ!C285)</f>
        <v>Veronica</v>
      </c>
      <c r="D285" s="57" t="str">
        <f>IF(Associates_Call_List_PQ!D285="","",Associates_Call_List_PQ!D285)</f>
        <v>El Mirage</v>
      </c>
      <c r="E285" s="58">
        <f>IF(Associates_Call_List_PQ!E285="","",Associates_Call_List_PQ!E285)</f>
        <v>85335</v>
      </c>
      <c r="F285" s="57" t="str">
        <f>IF(Associates_Call_List_PQ!F285="","",Associates_Call_List_PQ!F285)</f>
        <v>Opposed</v>
      </c>
      <c r="G285" s="57" t="str">
        <f>IF(Associates_Call_List_PQ!G285="","",Associates_Call_List_PQ!G285)</f>
        <v>https://images.edocket.azcc.gov/docketpdf/E000046190.pdf</v>
      </c>
      <c r="H285" s="59" t="str">
        <f>IF(Associates_Call_List_PQ!H285="","",Associates_Call_List_PQ!H285)</f>
        <v>6947951000 </v>
      </c>
      <c r="I285" s="57" t="str">
        <f>IF(Associates_Call_List_PQ!I285="","",Associates_Call_List_PQ!I285)</f>
        <v>R3-47</v>
      </c>
      <c r="J285" s="57" t="str">
        <f>IF(Associates_Call_List_PQ!J285="","",Associates_Call_List_PQ!J285)</f>
        <v>No</v>
      </c>
      <c r="K285" s="57" t="str">
        <f>IF(Associates_Call_List_PQ!K285="","",Associates_Call_List_PQ!K285)</f>
        <v>No</v>
      </c>
      <c r="L285" s="57" t="str">
        <f>IF(Associates_Call_List_PQ!L285="","",Associates_Call_List_PQ!L285)</f>
        <v>Yes</v>
      </c>
      <c r="M285" s="57" t="str">
        <f>IF(Associates_Call_List_PQ!M285="","",Associates_Call_List_PQ!M285)</f>
        <v>Yes</v>
      </c>
      <c r="N285" s="57">
        <f>IF(Associates_Call_List_PQ!N285="","",Associates_Call_List_PQ!N285)</f>
        <v>1191.03</v>
      </c>
      <c r="O285" s="57" t="str">
        <f>IF(Associates_Call_List_PQ!O285="","",Associates_Call_List_PQ!O285)</f>
        <v>Yes</v>
      </c>
      <c r="P285" s="57" t="str">
        <f>IF(Associates_Call_List_PQ!P285="","",Associates_Call_List_PQ!P285)</f>
        <v/>
      </c>
      <c r="Q285" s="57">
        <f>IF(Associates_Call_List_PQ!Q285="","",Associates_Call_List_PQ!Q285)</f>
        <v>45967</v>
      </c>
      <c r="R285" s="57"/>
      <c r="S285" s="57" t="str">
        <f>IF(Associates_Call_List_PQ!S285="","",Associates_Call_List_PQ!S285)</f>
        <v/>
      </c>
      <c r="T285" s="57" t="str">
        <f>IF(Associates_Call_List_PQ!T285="","",Associates_Call_List_PQ!T285)</f>
        <v/>
      </c>
      <c r="U285" s="57" t="s">
        <v>5583</v>
      </c>
      <c r="V285" s="68" t="s">
        <v>117</v>
      </c>
      <c r="W285" s="68">
        <v>46039</v>
      </c>
      <c r="X285" s="68" t="s">
        <v>5405</v>
      </c>
      <c r="Y285" s="68" t="s">
        <v>5455</v>
      </c>
      <c r="Z285" s="72"/>
    </row>
    <row r="286" spans="1:26">
      <c r="A286" s="71">
        <f>IFERROR(Associates_Call_List_PQ!A286,"")</f>
        <v>45903</v>
      </c>
      <c r="B286" s="57" t="str">
        <f>IF(Associates_Call_List_PQ!B286="","",Associates_Call_List_PQ!B286)</f>
        <v>Simpson</v>
      </c>
      <c r="C286" s="57" t="str">
        <f>IF(Associates_Call_List_PQ!C286="","",Associates_Call_List_PQ!C286)</f>
        <v>Robyn</v>
      </c>
      <c r="D286" s="57" t="str">
        <f>IF(Associates_Call_List_PQ!D286="","",Associates_Call_List_PQ!D286)</f>
        <v>Phoenix</v>
      </c>
      <c r="E286" s="58">
        <f>IF(Associates_Call_List_PQ!E286="","",Associates_Call_List_PQ!E286)</f>
        <v>85014</v>
      </c>
      <c r="F286" s="57" t="str">
        <f>IF(Associates_Call_List_PQ!F286="","",Associates_Call_List_PQ!F286)</f>
        <v>Form letter</v>
      </c>
      <c r="G286" s="57" t="str">
        <f>IF(Associates_Call_List_PQ!G286="","",Associates_Call_List_PQ!G286)</f>
        <v>https://images.edocket.azcc.gov/docketpdf/E000046190.pdf</v>
      </c>
      <c r="H286" s="59" t="str">
        <f>IF(Associates_Call_List_PQ!H286="","",Associates_Call_List_PQ!H286)</f>
        <v>3660458784 </v>
      </c>
      <c r="I286" s="57" t="str">
        <f>IF(Associates_Call_List_PQ!I286="","",Associates_Call_List_PQ!I286)</f>
        <v>R-BASICL</v>
      </c>
      <c r="J286" s="57" t="str">
        <f>IF(Associates_Call_List_PQ!J286="","",Associates_Call_List_PQ!J286)</f>
        <v>No</v>
      </c>
      <c r="K286" s="57" t="str">
        <f>IF(Associates_Call_List_PQ!K286="","",Associates_Call_List_PQ!K286)</f>
        <v>No</v>
      </c>
      <c r="L286" s="57" t="str">
        <f>IF(Associates_Call_List_PQ!L286="","",Associates_Call_List_PQ!L286)</f>
        <v>No MEP R-BASIC ($33.40)</v>
      </c>
      <c r="M286" s="57" t="str">
        <f>IF(Associates_Call_List_PQ!M286="","",Associates_Call_List_PQ!M286)</f>
        <v>No</v>
      </c>
      <c r="N286" s="57" t="str">
        <f>IF(Associates_Call_List_PQ!N286="","",Associates_Call_List_PQ!N286)</f>
        <v>No</v>
      </c>
      <c r="O286" s="57" t="str">
        <f>IF(Associates_Call_List_PQ!O286="","",Associates_Call_List_PQ!O286)</f>
        <v>Yes</v>
      </c>
      <c r="P286" s="57" t="str">
        <f>IF(Associates_Call_List_PQ!P286="","",Associates_Call_List_PQ!P286)</f>
        <v>N</v>
      </c>
      <c r="Q286" s="57">
        <f>IF(Associates_Call_List_PQ!Q286="","",Associates_Call_List_PQ!Q286)</f>
        <v>45967</v>
      </c>
      <c r="R286" s="57" t="str">
        <f>IF(Associates_Call_List_PQ!R286="","",Associates_Call_List_PQ!R286)</f>
        <v/>
      </c>
      <c r="S286" s="57" t="str">
        <f>IF(Associates_Call_List_PQ!S286="","",Associates_Call_List_PQ!S286)</f>
        <v/>
      </c>
      <c r="T286" s="57" t="str">
        <f>IF(Associates_Call_List_PQ!T286="","",Associates_Call_List_PQ!T286)</f>
        <v/>
      </c>
      <c r="U286" s="57" t="s">
        <v>5584</v>
      </c>
      <c r="V286" s="68" t="s">
        <v>117</v>
      </c>
      <c r="W286" s="68">
        <v>46039</v>
      </c>
      <c r="X286" s="68" t="s">
        <v>5434</v>
      </c>
      <c r="Y286" s="68"/>
      <c r="Z286" s="72"/>
    </row>
    <row r="287" spans="1:26">
      <c r="A287" s="71">
        <f>IFERROR(Associates_Call_List_PQ!A287,"")</f>
        <v>45903</v>
      </c>
      <c r="B287" s="57" t="str">
        <f>IF(Associates_Call_List_PQ!B287="","",Associates_Call_List_PQ!B287)</f>
        <v>Wells</v>
      </c>
      <c r="C287" s="57" t="str">
        <f>IF(Associates_Call_List_PQ!C287="","",Associates_Call_List_PQ!C287)</f>
        <v>James</v>
      </c>
      <c r="D287" s="57" t="str">
        <f>IF(Associates_Call_List_PQ!D287="","",Associates_Call_List_PQ!D287)</f>
        <v>Goodyear</v>
      </c>
      <c r="E287" s="58">
        <f>IF(Associates_Call_List_PQ!E287="","",Associates_Call_List_PQ!E287)</f>
        <v>85395</v>
      </c>
      <c r="F287" s="57" t="str">
        <f>IF(Associates_Call_List_PQ!F287="","",Associates_Call_List_PQ!F287)</f>
        <v>Bill already too high</v>
      </c>
      <c r="G287" s="57" t="str">
        <f>IF(Associates_Call_List_PQ!G287="","",Associates_Call_List_PQ!G287)</f>
        <v>https://images.edocket.azcc.gov/docketpdf/E000046190.pdf</v>
      </c>
      <c r="H287" s="59" t="str">
        <f>IF(Associates_Call_List_PQ!H287="","",Associates_Call_List_PQ!H287)</f>
        <v>0519511958 </v>
      </c>
      <c r="I287" s="57" t="str">
        <f>IF(Associates_Call_List_PQ!I287="","",Associates_Call_List_PQ!I287)</f>
        <v>R-XS</v>
      </c>
      <c r="J287" s="57" t="str">
        <f>IF(Associates_Call_List_PQ!J287="","",Associates_Call_List_PQ!J287)</f>
        <v>No</v>
      </c>
      <c r="K287" s="57" t="str">
        <f>IF(Associates_Call_List_PQ!K287="","",Associates_Call_List_PQ!K287)</f>
        <v>No</v>
      </c>
      <c r="L287" s="57" t="str">
        <f>IF(Associates_Call_List_PQ!L287="","",Associates_Call_List_PQ!L287)</f>
        <v>Yes</v>
      </c>
      <c r="M287" s="57" t="str">
        <f>IF(Associates_Call_List_PQ!M287="","",Associates_Call_List_PQ!M287)</f>
        <v>No</v>
      </c>
      <c r="N287" s="57" t="str">
        <f>IF(Associates_Call_List_PQ!N287="","",Associates_Call_List_PQ!N287)</f>
        <v>No</v>
      </c>
      <c r="O287" s="57" t="str">
        <f>IF(Associates_Call_List_PQ!O287="","",Associates_Call_List_PQ!O287)</f>
        <v>Yes</v>
      </c>
      <c r="P287" s="57" t="str">
        <f>IF(Associates_Call_List_PQ!P287="","",Associates_Call_List_PQ!P287)</f>
        <v>N</v>
      </c>
      <c r="Q287" s="57">
        <f>IF(Associates_Call_List_PQ!Q287="","",Associates_Call_List_PQ!Q287)</f>
        <v>45967</v>
      </c>
      <c r="R287" s="57" t="str">
        <f>IF(Associates_Call_List_PQ!R287="","",Associates_Call_List_PQ!R287)</f>
        <v/>
      </c>
      <c r="S287" s="57" t="str">
        <f>IF(Associates_Call_List_PQ!S287="","",Associates_Call_List_PQ!S287)</f>
        <v/>
      </c>
      <c r="T287" s="57" t="str">
        <f>IF(Associates_Call_List_PQ!T287="","",Associates_Call_List_PQ!T287)</f>
        <v/>
      </c>
      <c r="U287" s="57" t="str">
        <f>IF(Associates_Call_List_PQ!U287="","",Associates_Call_List_PQ!U287)</f>
        <v/>
      </c>
      <c r="V287" s="68"/>
      <c r="W287" s="68" t="s">
        <v>5432</v>
      </c>
      <c r="X287" s="68"/>
      <c r="Y287" s="68"/>
      <c r="Z287" s="72"/>
    </row>
    <row r="288" spans="1:26">
      <c r="A288" s="71">
        <f>IFERROR(Associates_Call_List_PQ!A288,"")</f>
        <v>45903</v>
      </c>
      <c r="B288" s="57" t="str">
        <f>IF(Associates_Call_List_PQ!B288="","",Associates_Call_List_PQ!B288)</f>
        <v>Huston</v>
      </c>
      <c r="C288" s="57" t="str">
        <f>IF(Associates_Call_List_PQ!C288="","",Associates_Call_List_PQ!C288)</f>
        <v>Christopher</v>
      </c>
      <c r="D288" s="57" t="str">
        <f>IF(Associates_Call_List_PQ!D288="","",Associates_Call_List_PQ!D288)</f>
        <v>Surprise</v>
      </c>
      <c r="E288" s="58">
        <f>IF(Associates_Call_List_PQ!E288="","",Associates_Call_List_PQ!E288)</f>
        <v>85388</v>
      </c>
      <c r="F288" s="57" t="str">
        <f>IF(Associates_Call_List_PQ!F288="","",Associates_Call_List_PQ!F288)</f>
        <v>Form letter</v>
      </c>
      <c r="G288" s="57" t="str">
        <f>IF(Associates_Call_List_PQ!G288="","",Associates_Call_List_PQ!G288)</f>
        <v>https://images.edocket.azcc.gov/docketpdf/E000046190.pdf</v>
      </c>
      <c r="H288" s="59" t="str">
        <f>IF(Associates_Call_List_PQ!H288="","",Associates_Call_List_PQ!H288)</f>
        <v>9840231734 </v>
      </c>
      <c r="I288" s="57" t="str">
        <f>IF(Associates_Call_List_PQ!I288="","",Associates_Call_List_PQ!I288)</f>
        <v>RCPw/RTOUE47</v>
      </c>
      <c r="J288" s="57" t="str">
        <f>IF(Associates_Call_List_PQ!J288="","",Associates_Call_List_PQ!J288)</f>
        <v>No</v>
      </c>
      <c r="K288" s="57" t="str">
        <f>IF(Associates_Call_List_PQ!K288="","",Associates_Call_List_PQ!K288)</f>
        <v>No</v>
      </c>
      <c r="L288" s="57" t="str">
        <f>IF(Associates_Call_List_PQ!L288="","",Associates_Call_List_PQ!L288)</f>
        <v>Yes</v>
      </c>
      <c r="M288" s="57" t="str">
        <f>IF(Associates_Call_List_PQ!M288="","",Associates_Call_List_PQ!M288)</f>
        <v>No</v>
      </c>
      <c r="N288" s="57" t="str">
        <f>IF(Associates_Call_List_PQ!N288="","",Associates_Call_List_PQ!N288)</f>
        <v>No</v>
      </c>
      <c r="O288" s="57" t="str">
        <f>IF(Associates_Call_List_PQ!O288="","",Associates_Call_List_PQ!O288)</f>
        <v>Yes</v>
      </c>
      <c r="P288" s="57" t="str">
        <f>IF(Associates_Call_List_PQ!P288="","",Associates_Call_List_PQ!P288)</f>
        <v>N</v>
      </c>
      <c r="Q288" s="57">
        <f>IF(Associates_Call_List_PQ!Q288="","",Associates_Call_List_PQ!Q288)</f>
        <v>45967</v>
      </c>
      <c r="R288" s="57" t="str">
        <f>IF(Associates_Call_List_PQ!R288="","",Associates_Call_List_PQ!R288)</f>
        <v>10/3 requested rate change to REV</v>
      </c>
      <c r="S288" s="57" t="str">
        <f>IF(Associates_Call_List_PQ!S288="","",Associates_Call_List_PQ!S288)</f>
        <v/>
      </c>
      <c r="T288" s="57" t="str">
        <f>IF(Associates_Call_List_PQ!T288="","",Associates_Call_List_PQ!T288)</f>
        <v/>
      </c>
      <c r="U288" s="57" t="str">
        <f>IF(Associates_Call_List_PQ!U288="","",Associates_Call_List_PQ!U288)</f>
        <v/>
      </c>
      <c r="V288" s="68"/>
      <c r="W288" s="68" t="s">
        <v>5432</v>
      </c>
      <c r="X288" s="68"/>
      <c r="Y288" s="68"/>
      <c r="Z288" s="72"/>
    </row>
    <row r="289" spans="1:26">
      <c r="A289" s="71">
        <f>IFERROR(Associates_Call_List_PQ!A289,"")</f>
        <v>45903</v>
      </c>
      <c r="B289" s="57" t="str">
        <f>IF(Associates_Call_List_PQ!B289="","",Associates_Call_List_PQ!B289)</f>
        <v>Moinet</v>
      </c>
      <c r="C289" s="57" t="str">
        <f>IF(Associates_Call_List_PQ!C289="","",Associates_Call_List_PQ!C289)</f>
        <v>Alyssa</v>
      </c>
      <c r="D289" s="57" t="str">
        <f>IF(Associates_Call_List_PQ!D289="","",Associates_Call_List_PQ!D289)</f>
        <v>Phoenix</v>
      </c>
      <c r="E289" s="58">
        <f>IF(Associates_Call_List_PQ!E289="","",Associates_Call_List_PQ!E289)</f>
        <v>85013</v>
      </c>
      <c r="F289" s="57" t="str">
        <f>IF(Associates_Call_List_PQ!F289="","",Associates_Call_List_PQ!F289)</f>
        <v>Opposed (page 288)</v>
      </c>
      <c r="G289" s="57" t="str">
        <f>IF(Associates_Call_List_PQ!G289="","",Associates_Call_List_PQ!G289)</f>
        <v>https://images.edocket.azcc.gov/docketpdf/E000046190.pdf</v>
      </c>
      <c r="H289" s="59" t="str">
        <f>IF(Associates_Call_List_PQ!H289="","",Associates_Call_List_PQ!H289)</f>
        <v>6393049300 </v>
      </c>
      <c r="I289" s="57" t="str">
        <f>IF(Associates_Call_List_PQ!I289="","",Associates_Call_List_PQ!I289)</f>
        <v>R-2</v>
      </c>
      <c r="J289" s="57" t="str">
        <f>IF(Associates_Call_List_PQ!J289="","",Associates_Call_List_PQ!J289)</f>
        <v>Yes</v>
      </c>
      <c r="K289" s="57" t="str">
        <f>IF(Associates_Call_List_PQ!K289="","",Associates_Call_List_PQ!K289)</f>
        <v>No</v>
      </c>
      <c r="L289" s="57" t="str">
        <f>IF(Associates_Call_List_PQ!L289="","",Associates_Call_List_PQ!L289)</f>
        <v>Frozen Rate</v>
      </c>
      <c r="M289" s="57" t="str">
        <f>IF(Associates_Call_List_PQ!M289="","",Associates_Call_List_PQ!M289)</f>
        <v>No</v>
      </c>
      <c r="N289" s="57" t="str">
        <f>IF(Associates_Call_List_PQ!N289="","",Associates_Call_List_PQ!N289)</f>
        <v>No</v>
      </c>
      <c r="O289" s="57" t="str">
        <f>IF(Associates_Call_List_PQ!O289="","",Associates_Call_List_PQ!O289)</f>
        <v>Yes</v>
      </c>
      <c r="P289" s="57" t="str">
        <f>IF(Associates_Call_List_PQ!P289="","",Associates_Call_List_PQ!P289)</f>
        <v>N</v>
      </c>
      <c r="Q289" s="57">
        <f>IF(Associates_Call_List_PQ!Q289="","",Associates_Call_List_PQ!Q289)</f>
        <v>45967</v>
      </c>
      <c r="R289" s="57" t="str">
        <f>IF(Associates_Call_List_PQ!R289="","",Associates_Call_List_PQ!R289)</f>
        <v/>
      </c>
      <c r="S289" s="57" t="str">
        <f>IF(Associates_Call_List_PQ!S289="","",Associates_Call_List_PQ!S289)</f>
        <v/>
      </c>
      <c r="T289" s="57" t="str">
        <f>IF(Associates_Call_List_PQ!T289="","",Associates_Call_List_PQ!T289)</f>
        <v/>
      </c>
      <c r="U289" s="57" t="str">
        <f>IF(Associates_Call_List_PQ!U289="","",Associates_Call_List_PQ!U289)</f>
        <v/>
      </c>
      <c r="V289" s="68"/>
      <c r="W289" s="68" t="s">
        <v>5432</v>
      </c>
      <c r="X289" s="68"/>
      <c r="Y289" s="68"/>
      <c r="Z289" s="72"/>
    </row>
    <row r="290" spans="1:26">
      <c r="A290" s="71">
        <f>IFERROR(Associates_Call_List_PQ!A290,"")</f>
        <v>45903</v>
      </c>
      <c r="B290" s="57" t="str">
        <f>IF(Associates_Call_List_PQ!B290="","",Associates_Call_List_PQ!B290)</f>
        <v>MacPherson</v>
      </c>
      <c r="C290" s="57" t="str">
        <f>IF(Associates_Call_List_PQ!C290="","",Associates_Call_List_PQ!C290)</f>
        <v>Denis</v>
      </c>
      <c r="D290" s="57" t="str">
        <f>IF(Associates_Call_List_PQ!D290="","",Associates_Call_List_PQ!D290)</f>
        <v>Anthem</v>
      </c>
      <c r="E290" s="58">
        <f>IF(Associates_Call_List_PQ!E290="","",Associates_Call_List_PQ!E290)</f>
        <v>85086</v>
      </c>
      <c r="F290" s="57" t="str">
        <f>IF(Associates_Call_List_PQ!F290="","",Associates_Call_List_PQ!F290)</f>
        <v>Opposed</v>
      </c>
      <c r="G290" s="57" t="str">
        <f>IF(Associates_Call_List_PQ!G290="","",Associates_Call_List_PQ!G290)</f>
        <v>https://images.edocket.azcc.gov/docketpdf/E000046190.pdf</v>
      </c>
      <c r="H290" s="59" t="str">
        <f>IF(Associates_Call_List_PQ!H290="","",Associates_Call_List_PQ!H290)</f>
        <v>5751430000 </v>
      </c>
      <c r="I290" s="57" t="str">
        <f>IF(Associates_Call_List_PQ!I290="","",Associates_Call_List_PQ!I290)</f>
        <v>R-2</v>
      </c>
      <c r="J290" s="57" t="str">
        <f>IF(Associates_Call_List_PQ!J290="","",Associates_Call_List_PQ!J290)</f>
        <v>No</v>
      </c>
      <c r="K290" s="57" t="str">
        <f>IF(Associates_Call_List_PQ!K290="","",Associates_Call_List_PQ!K290)</f>
        <v>No</v>
      </c>
      <c r="L290" s="57" t="str">
        <f>IF(Associates_Call_List_PQ!L290="","",Associates_Call_List_PQ!L290)</f>
        <v>Frozen Rate</v>
      </c>
      <c r="M290" s="57" t="str">
        <f>IF(Associates_Call_List_PQ!M290="","",Associates_Call_List_PQ!M290)</f>
        <v>No</v>
      </c>
      <c r="N290" s="57" t="str">
        <f>IF(Associates_Call_List_PQ!N290="","",Associates_Call_List_PQ!N290)</f>
        <v>No</v>
      </c>
      <c r="O290" s="57" t="str">
        <f>IF(Associates_Call_List_PQ!O290="","",Associates_Call_List_PQ!O290)</f>
        <v>Yes</v>
      </c>
      <c r="P290" s="57" t="str">
        <f>IF(Associates_Call_List_PQ!P290="","",Associates_Call_List_PQ!P290)</f>
        <v>N</v>
      </c>
      <c r="Q290" s="57">
        <f>IF(Associates_Call_List_PQ!Q290="","",Associates_Call_List_PQ!Q290)</f>
        <v>45967</v>
      </c>
      <c r="R290" s="57" t="str">
        <f>IF(Associates_Call_List_PQ!R290="","",Associates_Call_List_PQ!R290)</f>
        <v/>
      </c>
      <c r="S290" s="57" t="str">
        <f>IF(Associates_Call_List_PQ!S290="","",Associates_Call_List_PQ!S290)</f>
        <v/>
      </c>
      <c r="T290" s="57" t="str">
        <f>IF(Associates_Call_List_PQ!T290="","",Associates_Call_List_PQ!T290)</f>
        <v/>
      </c>
      <c r="U290" s="57" t="str">
        <f>IF(Associates_Call_List_PQ!U290="","",Associates_Call_List_PQ!U290)</f>
        <v/>
      </c>
      <c r="V290" s="68"/>
      <c r="W290" s="68" t="s">
        <v>5432</v>
      </c>
      <c r="X290" s="68"/>
      <c r="Y290" s="68"/>
      <c r="Z290" s="72"/>
    </row>
    <row r="291" spans="1:26">
      <c r="A291" s="71">
        <f>IFERROR(Associates_Call_List_PQ!A291,"")</f>
        <v>45903</v>
      </c>
      <c r="B291" s="57" t="str">
        <f>IF(Associates_Call_List_PQ!B291="","",Associates_Call_List_PQ!B291)</f>
        <v>Sutinen</v>
      </c>
      <c r="C291" s="57" t="str">
        <f>IF(Associates_Call_List_PQ!C291="","",Associates_Call_List_PQ!C291)</f>
        <v>Valerie</v>
      </c>
      <c r="D291" s="57" t="str">
        <f>IF(Associates_Call_List_PQ!D291="","",Associates_Call_List_PQ!D291)</f>
        <v>Goodyear</v>
      </c>
      <c r="E291" s="58">
        <f>IF(Associates_Call_List_PQ!E291="","",Associates_Call_List_PQ!E291)</f>
        <v>85395</v>
      </c>
      <c r="F291" s="57" t="str">
        <f>IF(Associates_Call_List_PQ!F291="","",Associates_Call_List_PQ!F291)</f>
        <v>Family struggling to make ends meet</v>
      </c>
      <c r="G291" s="57" t="str">
        <f>IF(Associates_Call_List_PQ!G291="","",Associates_Call_List_PQ!G291)</f>
        <v>https://images.edocket.azcc.gov/docketpdf/E000046204.pdf</v>
      </c>
      <c r="H291" s="59" t="str">
        <f>IF(Associates_Call_List_PQ!H291="","",Associates_Call_List_PQ!H291)</f>
        <v>4222480000</v>
      </c>
      <c r="I291" s="57" t="str">
        <f>IF(Associates_Call_List_PQ!I291="","",Associates_Call_List_PQ!I291)</f>
        <v>RCPw/RTOUE47</v>
      </c>
      <c r="J291" s="57" t="str">
        <f>IF(Associates_Call_List_PQ!J291="","",Associates_Call_List_PQ!J291)</f>
        <v>No</v>
      </c>
      <c r="K291" s="57" t="str">
        <f>IF(Associates_Call_List_PQ!K291="","",Associates_Call_List_PQ!K291)</f>
        <v>No</v>
      </c>
      <c r="L291" s="57" t="str">
        <f>IF(Associates_Call_List_PQ!L291="","",Associates_Call_List_PQ!L291)</f>
        <v>Yes</v>
      </c>
      <c r="M291" s="57" t="str">
        <f>IF(Associates_Call_List_PQ!M291="","",Associates_Call_List_PQ!M291)</f>
        <v>No</v>
      </c>
      <c r="N291" s="57" t="str">
        <f>IF(Associates_Call_List_PQ!N291="","",Associates_Call_List_PQ!N291)</f>
        <v>No</v>
      </c>
      <c r="O291" s="57" t="str">
        <f>IF(Associates_Call_List_PQ!O291="","",Associates_Call_List_PQ!O291)</f>
        <v>Yes</v>
      </c>
      <c r="P291" s="57" t="str">
        <f>IF(Associates_Call_List_PQ!P291="","",Associates_Call_List_PQ!P291)</f>
        <v>N</v>
      </c>
      <c r="Q291" s="57">
        <f>IF(Associates_Call_List_PQ!Q291="","",Associates_Call_List_PQ!Q291)</f>
        <v>45967</v>
      </c>
      <c r="R291" s="57" t="str">
        <f>IF(Associates_Call_List_PQ!R291="","",Associates_Call_List_PQ!R291)</f>
        <v/>
      </c>
      <c r="S291" s="57" t="str">
        <f>IF(Associates_Call_List_PQ!S291="","",Associates_Call_List_PQ!S291)</f>
        <v/>
      </c>
      <c r="T291" s="57" t="str">
        <f>IF(Associates_Call_List_PQ!T291="","",Associates_Call_List_PQ!T291)</f>
        <v/>
      </c>
      <c r="U291" s="57" t="str">
        <f>IF(Associates_Call_List_PQ!U291="","",Associates_Call_List_PQ!U291)</f>
        <v/>
      </c>
      <c r="V291" s="68"/>
      <c r="W291" s="68" t="s">
        <v>5432</v>
      </c>
      <c r="X291" s="68"/>
      <c r="Y291" s="68"/>
      <c r="Z291" s="72"/>
    </row>
    <row r="292" spans="1:26">
      <c r="A292" s="71">
        <f>IFERROR(Associates_Call_List_PQ!A292,"")</f>
        <v>45903</v>
      </c>
      <c r="B292" s="57" t="str">
        <f>IF(Associates_Call_List_PQ!B292="","",Associates_Call_List_PQ!B292)</f>
        <v>Osorio</v>
      </c>
      <c r="C292" s="57" t="str">
        <f>IF(Associates_Call_List_PQ!C292="","",Associates_Call_List_PQ!C292)</f>
        <v>Juan E &amp; Helen</v>
      </c>
      <c r="D292" s="57" t="str">
        <f>IF(Associates_Call_List_PQ!D292="","",Associates_Call_List_PQ!D292)</f>
        <v>Avondale</v>
      </c>
      <c r="E292" s="58">
        <f>IF(Associates_Call_List_PQ!E292="","",Associates_Call_List_PQ!E292)</f>
        <v>85392</v>
      </c>
      <c r="F292" s="57" t="str">
        <f>IF(Associates_Call_List_PQ!F292="","",Associates_Call_List_PQ!F292)</f>
        <v>Retired/Hurt Financially</v>
      </c>
      <c r="G292" s="57" t="str">
        <f>IF(Associates_Call_List_PQ!G292="","",Associates_Call_List_PQ!G292)</f>
        <v>https://images.edocket.azcc.gov/docketpdf/E000046204.pdf</v>
      </c>
      <c r="H292" s="59" t="str">
        <f>IF(Associates_Call_List_PQ!H292="","",Associates_Call_List_PQ!H292)</f>
        <v>2964440000</v>
      </c>
      <c r="I292" s="57" t="str">
        <f>IF(Associates_Call_List_PQ!I292="","",Associates_Call_List_PQ!I292)</f>
        <v>EPR-6w/ET-2</v>
      </c>
      <c r="J292" s="57" t="str">
        <f>IF(Associates_Call_List_PQ!J292="","",Associates_Call_List_PQ!J292)</f>
        <v>No</v>
      </c>
      <c r="K292" s="57" t="str">
        <f>IF(Associates_Call_List_PQ!K292="","",Associates_Call_List_PQ!K292)</f>
        <v>No</v>
      </c>
      <c r="L292" s="57" t="str">
        <f>IF(Associates_Call_List_PQ!L292="","",Associates_Call_List_PQ!L292)</f>
        <v>Frozen Rate</v>
      </c>
      <c r="M292" s="57" t="str">
        <f>IF(Associates_Call_List_PQ!M292="","",Associates_Call_List_PQ!M292)</f>
        <v>No</v>
      </c>
      <c r="N292" s="57" t="str">
        <f>IF(Associates_Call_List_PQ!N292="","",Associates_Call_List_PQ!N292)</f>
        <v>No</v>
      </c>
      <c r="O292" s="57" t="str">
        <f>IF(Associates_Call_List_PQ!O292="","",Associates_Call_List_PQ!O292)</f>
        <v>Yes</v>
      </c>
      <c r="P292" s="57" t="str">
        <f>IF(Associates_Call_List_PQ!P292="","",Associates_Call_List_PQ!P292)</f>
        <v>N</v>
      </c>
      <c r="Q292" s="57">
        <f>IF(Associates_Call_List_PQ!Q292="","",Associates_Call_List_PQ!Q292)</f>
        <v>45967</v>
      </c>
      <c r="R292" s="57" t="str">
        <f>IF(Associates_Call_List_PQ!R292="","",Associates_Call_List_PQ!R292)</f>
        <v/>
      </c>
      <c r="S292" s="57" t="str">
        <f>IF(Associates_Call_List_PQ!S292="","",Associates_Call_List_PQ!S292)</f>
        <v/>
      </c>
      <c r="T292" s="57" t="str">
        <f>IF(Associates_Call_List_PQ!T292="","",Associates_Call_List_PQ!T292)</f>
        <v/>
      </c>
      <c r="U292" s="57" t="str">
        <f>IF(Associates_Call_List_PQ!U292="","",Associates_Call_List_PQ!U292)</f>
        <v/>
      </c>
      <c r="V292" s="68"/>
      <c r="W292" s="68" t="s">
        <v>5432</v>
      </c>
      <c r="X292" s="68"/>
      <c r="Y292" s="68"/>
      <c r="Z292" s="72"/>
    </row>
    <row r="293" spans="1:26">
      <c r="A293" s="71">
        <f>IFERROR(Associates_Call_List_PQ!A293,"")</f>
        <v>45903</v>
      </c>
      <c r="B293" s="57" t="str">
        <f>IF(Associates_Call_List_PQ!B293="","",Associates_Call_List_PQ!B293)</f>
        <v>Gregersen</v>
      </c>
      <c r="C293" s="57" t="str">
        <f>IF(Associates_Call_List_PQ!C293="","",Associates_Call_List_PQ!C293)</f>
        <v>Kyle</v>
      </c>
      <c r="D293" s="57" t="str">
        <f>IF(Associates_Call_List_PQ!D293="","",Associates_Call_List_PQ!D293)</f>
        <v>Surprise</v>
      </c>
      <c r="E293" s="58">
        <f>IF(Associates_Call_List_PQ!E293="","",Associates_Call_List_PQ!E293)</f>
        <v>85379</v>
      </c>
      <c r="F293" s="57" t="str">
        <f>IF(Associates_Call_List_PQ!F293="","",Associates_Call_List_PQ!F293)</f>
        <v>Opposed</v>
      </c>
      <c r="G293" s="57" t="str">
        <f>IF(Associates_Call_List_PQ!G293="","",Associates_Call_List_PQ!G293)</f>
        <v>https://images.edocket.azcc.gov/docketpdf/E000046204.pdf</v>
      </c>
      <c r="H293" s="59" t="str">
        <f>IF(Associates_Call_List_PQ!H293="","",Associates_Call_List_PQ!H293)</f>
        <v>3208550000</v>
      </c>
      <c r="I293" s="57" t="str">
        <f>IF(Associates_Call_List_PQ!I293="","",Associates_Call_List_PQ!I293)</f>
        <v>R-2</v>
      </c>
      <c r="J293" s="57" t="str">
        <f>IF(Associates_Call_List_PQ!J293="","",Associates_Call_List_PQ!J293)</f>
        <v>No</v>
      </c>
      <c r="K293" s="57" t="str">
        <f>IF(Associates_Call_List_PQ!K293="","",Associates_Call_List_PQ!K293)</f>
        <v>No</v>
      </c>
      <c r="L293" s="57" t="str">
        <f>IF(Associates_Call_List_PQ!L293="","",Associates_Call_List_PQ!L293)</f>
        <v>Frozen Rate</v>
      </c>
      <c r="M293" s="57" t="str">
        <f>IF(Associates_Call_List_PQ!M293="","",Associates_Call_List_PQ!M293)</f>
        <v>Yes</v>
      </c>
      <c r="N293" s="57">
        <f>IF(Associates_Call_List_PQ!N293="","",Associates_Call_List_PQ!N293)</f>
        <v>1773.15</v>
      </c>
      <c r="O293" s="57" t="str">
        <f>IF(Associates_Call_List_PQ!O293="","",Associates_Call_List_PQ!O293)</f>
        <v>Yes</v>
      </c>
      <c r="P293" s="57" t="str">
        <f>IF(Associates_Call_List_PQ!P293="","",Associates_Call_List_PQ!P293)</f>
        <v/>
      </c>
      <c r="Q293" s="57">
        <f>IF(Associates_Call_List_PQ!Q293="","",Associates_Call_List_PQ!Q293)</f>
        <v>45967</v>
      </c>
      <c r="R293" s="57" t="str">
        <f>IF(Associates_Call_List_PQ!R293="","",Associates_Call_List_PQ!R293)</f>
        <v>Assistance?</v>
      </c>
      <c r="S293" s="57" t="str">
        <f>IF(Associates_Call_List_PQ!S293="","",Associates_Call_List_PQ!S293)</f>
        <v/>
      </c>
      <c r="T293" s="57" t="str">
        <f>IF(Associates_Call_List_PQ!T293="","",Associates_Call_List_PQ!T293)</f>
        <v/>
      </c>
      <c r="U293" s="57" t="s">
        <v>5531</v>
      </c>
      <c r="V293" s="68" t="s">
        <v>117</v>
      </c>
      <c r="W293" s="68">
        <v>46039</v>
      </c>
      <c r="X293" s="68" t="s">
        <v>5434</v>
      </c>
      <c r="Y293" s="68"/>
      <c r="Z293" s="72"/>
    </row>
    <row r="294" spans="1:26">
      <c r="A294" s="71">
        <f>IFERROR(Associates_Call_List_PQ!A294,"")</f>
        <v>45903</v>
      </c>
      <c r="B294" s="57" t="str">
        <f>IF(Associates_Call_List_PQ!B294="","",Associates_Call_List_PQ!B294)</f>
        <v>Hileman</v>
      </c>
      <c r="C294" s="57" t="str">
        <f>IF(Associates_Call_List_PQ!C294="","",Associates_Call_List_PQ!C294)</f>
        <v>Elizabeth</v>
      </c>
      <c r="D294" s="57" t="str">
        <f>IF(Associates_Call_List_PQ!D294="","",Associates_Call_List_PQ!D294)</f>
        <v>Goodyear</v>
      </c>
      <c r="E294" s="58">
        <f>IF(Associates_Call_List_PQ!E294="","",Associates_Call_List_PQ!E294)</f>
        <v>85338</v>
      </c>
      <c r="F294" s="57" t="str">
        <f>IF(Associates_Call_List_PQ!F294="","",Associates_Call_List_PQ!F294)</f>
        <v>Opposed</v>
      </c>
      <c r="G294" s="57" t="str">
        <f>IF(Associates_Call_List_PQ!G294="","",Associates_Call_List_PQ!G294)</f>
        <v>https://images.edocket.azcc.gov/docketpdf/E000046204.pdf</v>
      </c>
      <c r="H294" s="59" t="str">
        <f>IF(Associates_Call_List_PQ!H294="","",Associates_Call_List_PQ!H294)</f>
        <v>4748252186</v>
      </c>
      <c r="I294" s="57" t="str">
        <f>IF(Associates_Call_List_PQ!I294="","",Associates_Call_List_PQ!I294)</f>
        <v>R-2</v>
      </c>
      <c r="J294" s="57" t="str">
        <f>IF(Associates_Call_List_PQ!J294="","",Associates_Call_List_PQ!J294)</f>
        <v>Yes</v>
      </c>
      <c r="K294" s="57" t="str">
        <f>IF(Associates_Call_List_PQ!K294="","",Associates_Call_List_PQ!K294)</f>
        <v>No</v>
      </c>
      <c r="L294" s="57" t="str">
        <f>IF(Associates_Call_List_PQ!L294="","",Associates_Call_List_PQ!L294)</f>
        <v>Frozen Rate</v>
      </c>
      <c r="M294" s="57" t="str">
        <f>IF(Associates_Call_List_PQ!M294="","",Associates_Call_List_PQ!M294)</f>
        <v>Yes</v>
      </c>
      <c r="N294" s="57">
        <f>IF(Associates_Call_List_PQ!N294="","",Associates_Call_List_PQ!N294)</f>
        <v>3130.07</v>
      </c>
      <c r="O294" s="57" t="str">
        <f>IF(Associates_Call_List_PQ!O294="","",Associates_Call_List_PQ!O294)</f>
        <v>Yes</v>
      </c>
      <c r="P294" s="57" t="str">
        <f>IF(Associates_Call_List_PQ!P294="","",Associates_Call_List_PQ!P294)</f>
        <v/>
      </c>
      <c r="Q294" s="57">
        <f>IF(Associates_Call_List_PQ!Q294="","",Associates_Call_List_PQ!Q294)</f>
        <v>45967</v>
      </c>
      <c r="R294" s="57" t="str">
        <f>IF(Associates_Call_List_PQ!R294="","",Associates_Call_List_PQ!R294)</f>
        <v>Assistance?</v>
      </c>
      <c r="S294" s="57" t="str">
        <f>IF(Associates_Call_List_PQ!S294="","",Associates_Call_List_PQ!S294)</f>
        <v/>
      </c>
      <c r="T294" s="57" t="str">
        <f>IF(Associates_Call_List_PQ!T294="","",Associates_Call_List_PQ!T294)</f>
        <v/>
      </c>
      <c r="U294" s="57" t="s">
        <v>5509</v>
      </c>
      <c r="V294" s="68" t="s">
        <v>117</v>
      </c>
      <c r="W294" s="68">
        <v>46039</v>
      </c>
      <c r="X294" s="68" t="s">
        <v>5434</v>
      </c>
      <c r="Y294" s="68"/>
      <c r="Z294" s="72"/>
    </row>
    <row r="295" spans="1:26">
      <c r="A295" s="71">
        <f>IFERROR(Associates_Call_List_PQ!A295,"")</f>
        <v>45903</v>
      </c>
      <c r="B295" s="57" t="str">
        <f>IF(Associates_Call_List_PQ!B295="","",Associates_Call_List_PQ!B295)</f>
        <v>Townsend</v>
      </c>
      <c r="C295" s="57" t="str">
        <f>IF(Associates_Call_List_PQ!C295="","",Associates_Call_List_PQ!C295)</f>
        <v>Shawna</v>
      </c>
      <c r="D295" s="57" t="str">
        <f>IF(Associates_Call_List_PQ!D295="","",Associates_Call_List_PQ!D295)</f>
        <v>Glendale</v>
      </c>
      <c r="E295" s="58">
        <f>IF(Associates_Call_List_PQ!E295="","",Associates_Call_List_PQ!E295)</f>
        <v>85310</v>
      </c>
      <c r="F295" s="57" t="str">
        <f>IF(Associates_Call_List_PQ!F295="","",Associates_Call_List_PQ!F295)</f>
        <v>Opposed</v>
      </c>
      <c r="G295" s="57" t="str">
        <f>IF(Associates_Call_List_PQ!G295="","",Associates_Call_List_PQ!G295)</f>
        <v>https://images.edocket.azcc.gov/docketpdf/E000046204.pdf</v>
      </c>
      <c r="H295" s="59" t="str">
        <f>IF(Associates_Call_List_PQ!H295="","",Associates_Call_List_PQ!H295)</f>
        <v>6860890000</v>
      </c>
      <c r="I295" s="57" t="str">
        <f>IF(Associates_Call_List_PQ!I295="","",Associates_Call_List_PQ!I295)</f>
        <v>R3-47</v>
      </c>
      <c r="J295" s="57" t="str">
        <f>IF(Associates_Call_List_PQ!J295="","",Associates_Call_List_PQ!J295)</f>
        <v>Yes</v>
      </c>
      <c r="K295" s="57" t="str">
        <f>IF(Associates_Call_List_PQ!K295="","",Associates_Call_List_PQ!K295)</f>
        <v>No</v>
      </c>
      <c r="L295" s="57" t="str">
        <f>IF(Associates_Call_List_PQ!L295="","",Associates_Call_List_PQ!L295)</f>
        <v>Yes</v>
      </c>
      <c r="M295" s="57" t="str">
        <f>IF(Associates_Call_List_PQ!M295="","",Associates_Call_List_PQ!M295)</f>
        <v>No</v>
      </c>
      <c r="N295" s="57" t="str">
        <f>IF(Associates_Call_List_PQ!N295="","",Associates_Call_List_PQ!N295)</f>
        <v>No</v>
      </c>
      <c r="O295" s="57" t="str">
        <f>IF(Associates_Call_List_PQ!O295="","",Associates_Call_List_PQ!O295)</f>
        <v>Yes</v>
      </c>
      <c r="P295" s="57" t="str">
        <f>IF(Associates_Call_List_PQ!P295="","",Associates_Call_List_PQ!P295)</f>
        <v>N</v>
      </c>
      <c r="Q295" s="57">
        <f>IF(Associates_Call_List_PQ!Q295="","",Associates_Call_List_PQ!Q295)</f>
        <v>45967</v>
      </c>
      <c r="R295" s="57" t="str">
        <f>IF(Associates_Call_List_PQ!R295="","",Associates_Call_List_PQ!R295)</f>
        <v/>
      </c>
      <c r="S295" s="57" t="str">
        <f>IF(Associates_Call_List_PQ!S295="","",Associates_Call_List_PQ!S295)</f>
        <v/>
      </c>
      <c r="T295" s="57" t="str">
        <f>IF(Associates_Call_List_PQ!T295="","",Associates_Call_List_PQ!T295)</f>
        <v/>
      </c>
      <c r="U295" s="57" t="str">
        <f>IF(Associates_Call_List_PQ!U295="","",Associates_Call_List_PQ!U295)</f>
        <v/>
      </c>
      <c r="V295" s="68"/>
      <c r="W295" s="68" t="s">
        <v>5432</v>
      </c>
      <c r="X295" s="68"/>
      <c r="Y295" s="68"/>
      <c r="Z295" s="72"/>
    </row>
    <row r="296" spans="1:26">
      <c r="A296" s="71">
        <f>IFERROR(Associates_Call_List_PQ!A296,"")</f>
        <v>45903</v>
      </c>
      <c r="B296" s="57" t="str">
        <f>IF(Associates_Call_List_PQ!B296="","",Associates_Call_List_PQ!B296)</f>
        <v>Darfus</v>
      </c>
      <c r="C296" s="57" t="str">
        <f>IF(Associates_Call_List_PQ!C296="","",Associates_Call_List_PQ!C296)</f>
        <v xml:space="preserve">Doug </v>
      </c>
      <c r="D296" s="57" t="str">
        <f>IF(Associates_Call_List_PQ!D296="","",Associates_Call_List_PQ!D296)</f>
        <v>Phoenix</v>
      </c>
      <c r="E296" s="58">
        <f>IF(Associates_Call_List_PQ!E296="","",Associates_Call_List_PQ!E296)</f>
        <v>85053</v>
      </c>
      <c r="F296" s="57" t="str">
        <f>IF(Associates_Call_List_PQ!F296="","",Associates_Call_List_PQ!F296)</f>
        <v>Strain on family</v>
      </c>
      <c r="G296" s="57" t="str">
        <f>IF(Associates_Call_List_PQ!G296="","",Associates_Call_List_PQ!G296)</f>
        <v>https://images.edocket.azcc.gov/docketpdf/E000046204.pdf</v>
      </c>
      <c r="H296" s="59" t="str">
        <f>IF(Associates_Call_List_PQ!H296="","",Associates_Call_List_PQ!H296)</f>
        <v>5790100875</v>
      </c>
      <c r="I296" s="57" t="str">
        <f>IF(Associates_Call_List_PQ!I296="","",Associates_Call_List_PQ!I296)</f>
        <v>R3-47</v>
      </c>
      <c r="J296" s="57" t="str">
        <f>IF(Associates_Call_List_PQ!J296="","",Associates_Call_List_PQ!J296)</f>
        <v>No</v>
      </c>
      <c r="K296" s="57" t="str">
        <f>IF(Associates_Call_List_PQ!K296="","",Associates_Call_List_PQ!K296)</f>
        <v>No</v>
      </c>
      <c r="L296" s="57" t="str">
        <f>IF(Associates_Call_List_PQ!L296="","",Associates_Call_List_PQ!L296)</f>
        <v>Yes</v>
      </c>
      <c r="M296" s="57" t="str">
        <f>IF(Associates_Call_List_PQ!M296="","",Associates_Call_List_PQ!M296)</f>
        <v>No</v>
      </c>
      <c r="N296" s="57" t="str">
        <f>IF(Associates_Call_List_PQ!N296="","",Associates_Call_List_PQ!N296)</f>
        <v>No</v>
      </c>
      <c r="O296" s="57" t="str">
        <f>IF(Associates_Call_List_PQ!O296="","",Associates_Call_List_PQ!O296)</f>
        <v>Yes</v>
      </c>
      <c r="P296" s="57" t="str">
        <f>IF(Associates_Call_List_PQ!P296="","",Associates_Call_List_PQ!P296)</f>
        <v>N</v>
      </c>
      <c r="Q296" s="57">
        <f>IF(Associates_Call_List_PQ!Q296="","",Associates_Call_List_PQ!Q296)</f>
        <v>45967</v>
      </c>
      <c r="R296" s="57" t="str">
        <f>IF(Associates_Call_List_PQ!R296="","",Associates_Call_List_PQ!R296)</f>
        <v/>
      </c>
      <c r="S296" s="57" t="str">
        <f>IF(Associates_Call_List_PQ!S296="","",Associates_Call_List_PQ!S296)</f>
        <v/>
      </c>
      <c r="T296" s="57" t="str">
        <f>IF(Associates_Call_List_PQ!T296="","",Associates_Call_List_PQ!T296)</f>
        <v/>
      </c>
      <c r="U296" s="57" t="str">
        <f>IF(Associates_Call_List_PQ!U296="","",Associates_Call_List_PQ!U296)</f>
        <v/>
      </c>
      <c r="V296" s="68"/>
      <c r="W296" s="68" t="s">
        <v>5432</v>
      </c>
      <c r="X296" s="68"/>
      <c r="Y296" s="68"/>
      <c r="Z296" s="72"/>
    </row>
    <row r="297" spans="1:26">
      <c r="A297" s="71">
        <f>IFERROR(Associates_Call_List_PQ!A297,"")</f>
        <v>45903</v>
      </c>
      <c r="B297" s="57" t="str">
        <f>IF(Associates_Call_List_PQ!B297="","",Associates_Call_List_PQ!B297)</f>
        <v>Whitney</v>
      </c>
      <c r="C297" s="57" t="str">
        <f>IF(Associates_Call_List_PQ!C297="","",Associates_Call_List_PQ!C297)</f>
        <v>Douglas</v>
      </c>
      <c r="D297" s="57" t="str">
        <f>IF(Associates_Call_List_PQ!D297="","",Associates_Call_List_PQ!D297)</f>
        <v>Sedona</v>
      </c>
      <c r="E297" s="58">
        <f>IF(Associates_Call_List_PQ!E297="","",Associates_Call_List_PQ!E297)</f>
        <v>86336</v>
      </c>
      <c r="F297" s="57" t="str">
        <f>IF(Associates_Call_List_PQ!F297="","",Associates_Call_List_PQ!F297)</f>
        <v>Opposed</v>
      </c>
      <c r="G297" s="57" t="str">
        <f>IF(Associates_Call_List_PQ!G297="","",Associates_Call_List_PQ!G297)</f>
        <v>https://images.edocket.azcc.gov/docketpdf/E000046204.pdf</v>
      </c>
      <c r="H297" s="59" t="str">
        <f>IF(Associates_Call_List_PQ!H297="","",Associates_Call_List_PQ!H297)</f>
        <v>7818070439</v>
      </c>
      <c r="I297" s="57" t="str">
        <f>IF(Associates_Call_List_PQ!I297="","",Associates_Call_List_PQ!I297)</f>
        <v>R-XS</v>
      </c>
      <c r="J297" s="57" t="str">
        <f>IF(Associates_Call_List_PQ!J297="","",Associates_Call_List_PQ!J297)</f>
        <v>No</v>
      </c>
      <c r="K297" s="57" t="str">
        <f>IF(Associates_Call_List_PQ!K297="","",Associates_Call_List_PQ!K297)</f>
        <v>No</v>
      </c>
      <c r="L297" s="57" t="str">
        <f>IF(Associates_Call_List_PQ!L297="","",Associates_Call_List_PQ!L297)</f>
        <v>Yes</v>
      </c>
      <c r="M297" s="57" t="str">
        <f>IF(Associates_Call_List_PQ!M297="","",Associates_Call_List_PQ!M297)</f>
        <v>No</v>
      </c>
      <c r="N297" s="57" t="str">
        <f>IF(Associates_Call_List_PQ!N297="","",Associates_Call_List_PQ!N297)</f>
        <v>No</v>
      </c>
      <c r="O297" s="57" t="str">
        <f>IF(Associates_Call_List_PQ!O297="","",Associates_Call_List_PQ!O297)</f>
        <v>Yes</v>
      </c>
      <c r="P297" s="57" t="str">
        <f>IF(Associates_Call_List_PQ!P297="","",Associates_Call_List_PQ!P297)</f>
        <v>N</v>
      </c>
      <c r="Q297" s="57">
        <f>IF(Associates_Call_List_PQ!Q297="","",Associates_Call_List_PQ!Q297)</f>
        <v>45967</v>
      </c>
      <c r="R297" s="57" t="str">
        <f>IF(Associates_Call_List_PQ!R297="","",Associates_Call_List_PQ!R297)</f>
        <v/>
      </c>
      <c r="S297" s="57" t="str">
        <f>IF(Associates_Call_List_PQ!S297="","",Associates_Call_List_PQ!S297)</f>
        <v/>
      </c>
      <c r="T297" s="57" t="str">
        <f>IF(Associates_Call_List_PQ!T297="","",Associates_Call_List_PQ!T297)</f>
        <v/>
      </c>
      <c r="U297" s="57" t="str">
        <f>IF(Associates_Call_List_PQ!U297="","",Associates_Call_List_PQ!U297)</f>
        <v/>
      </c>
      <c r="V297" s="68"/>
      <c r="W297" s="68" t="s">
        <v>5432</v>
      </c>
      <c r="X297" s="68"/>
      <c r="Y297" s="68"/>
      <c r="Z297" s="72"/>
    </row>
    <row r="298" spans="1:26">
      <c r="A298" s="71">
        <f>IFERROR(Associates_Call_List_PQ!A298,"")</f>
        <v>45903</v>
      </c>
      <c r="B298" s="57" t="str">
        <f>IF(Associates_Call_List_PQ!B298="","",Associates_Call_List_PQ!B298)</f>
        <v>Haslett</v>
      </c>
      <c r="C298" s="57" t="str">
        <f>IF(Associates_Call_List_PQ!C298="","",Associates_Call_List_PQ!C298)</f>
        <v>Bryan</v>
      </c>
      <c r="D298" s="57" t="str">
        <f>IF(Associates_Call_List_PQ!D298="","",Associates_Call_List_PQ!D298)</f>
        <v>Scottsdale</v>
      </c>
      <c r="E298" s="58">
        <f>IF(Associates_Call_List_PQ!E298="","",Associates_Call_List_PQ!E298)</f>
        <v>85255</v>
      </c>
      <c r="F298" s="57" t="str">
        <f>IF(Associates_Call_List_PQ!F298="","",Associates_Call_List_PQ!F298)</f>
        <v>Opposed</v>
      </c>
      <c r="G298" s="57" t="str">
        <f>IF(Associates_Call_List_PQ!G298="","",Associates_Call_List_PQ!G298)</f>
        <v>https://images.edocket.azcc.gov/docketpdf/E000046204.pdf</v>
      </c>
      <c r="H298" s="59" t="str">
        <f>IF(Associates_Call_List_PQ!H298="","",Associates_Call_List_PQ!H298)</f>
        <v>7464750000</v>
      </c>
      <c r="I298" s="57" t="str">
        <f>IF(Associates_Call_List_PQ!I298="","",Associates_Call_List_PQ!I298)</f>
        <v>EPR-6w/ET-2</v>
      </c>
      <c r="J298" s="57" t="str">
        <f>IF(Associates_Call_List_PQ!J298="","",Associates_Call_List_PQ!J298)</f>
        <v>No</v>
      </c>
      <c r="K298" s="57" t="str">
        <f>IF(Associates_Call_List_PQ!K298="","",Associates_Call_List_PQ!K298)</f>
        <v>No</v>
      </c>
      <c r="L298" s="57" t="str">
        <f>IF(Associates_Call_List_PQ!L298="","",Associates_Call_List_PQ!L298)</f>
        <v>Frozen Rate</v>
      </c>
      <c r="M298" s="57" t="str">
        <f>IF(Associates_Call_List_PQ!M298="","",Associates_Call_List_PQ!M298)</f>
        <v>No</v>
      </c>
      <c r="N298" s="57" t="str">
        <f>IF(Associates_Call_List_PQ!N298="","",Associates_Call_List_PQ!N298)</f>
        <v>No</v>
      </c>
      <c r="O298" s="57" t="str">
        <f>IF(Associates_Call_List_PQ!O298="","",Associates_Call_List_PQ!O298)</f>
        <v>Yes</v>
      </c>
      <c r="P298" s="57" t="str">
        <f>IF(Associates_Call_List_PQ!P298="","",Associates_Call_List_PQ!P298)</f>
        <v>N</v>
      </c>
      <c r="Q298" s="57">
        <f>IF(Associates_Call_List_PQ!Q298="","",Associates_Call_List_PQ!Q298)</f>
        <v>45967</v>
      </c>
      <c r="R298" s="57" t="str">
        <f>IF(Associates_Call_List_PQ!R298="","",Associates_Call_List_PQ!R298)</f>
        <v/>
      </c>
      <c r="S298" s="57" t="str">
        <f>IF(Associates_Call_List_PQ!S298="","",Associates_Call_List_PQ!S298)</f>
        <v/>
      </c>
      <c r="T298" s="57" t="str">
        <f>IF(Associates_Call_List_PQ!T298="","",Associates_Call_List_PQ!T298)</f>
        <v/>
      </c>
      <c r="U298" s="57" t="str">
        <f>IF(Associates_Call_List_PQ!U298="","",Associates_Call_List_PQ!U298)</f>
        <v/>
      </c>
      <c r="V298" s="68"/>
      <c r="W298" s="68" t="s">
        <v>5432</v>
      </c>
      <c r="X298" s="68"/>
      <c r="Y298" s="68"/>
      <c r="Z298" s="72"/>
    </row>
    <row r="299" spans="1:26">
      <c r="A299" s="71">
        <f>IFERROR(Associates_Call_List_PQ!A299,"")</f>
        <v>45903</v>
      </c>
      <c r="B299" s="57" t="str">
        <f>IF(Associates_Call_List_PQ!B299="","",Associates_Call_List_PQ!B299)</f>
        <v>Taylor</v>
      </c>
      <c r="C299" s="57" t="str">
        <f>IF(Associates_Call_List_PQ!C299="","",Associates_Call_List_PQ!C299)</f>
        <v>Pamela</v>
      </c>
      <c r="D299" s="57" t="str">
        <f>IF(Associates_Call_List_PQ!D299="","",Associates_Call_List_PQ!D299)</f>
        <v>Avondale</v>
      </c>
      <c r="E299" s="58">
        <f>IF(Associates_Call_List_PQ!E299="","",Associates_Call_List_PQ!E299)</f>
        <v>85392</v>
      </c>
      <c r="F299" s="57" t="str">
        <f>IF(Associates_Call_List_PQ!F299="","",Associates_Call_List_PQ!F299)</f>
        <v>Opposed</v>
      </c>
      <c r="G299" s="57" t="str">
        <f>IF(Associates_Call_List_PQ!G299="","",Associates_Call_List_PQ!G299)</f>
        <v>https://images.edocket.azcc.gov/docketpdf/E000046204.pdf</v>
      </c>
      <c r="H299" s="59" t="str">
        <f>IF(Associates_Call_List_PQ!H299="","",Associates_Call_List_PQ!H299)</f>
        <v>6497921796</v>
      </c>
      <c r="I299" s="57" t="str">
        <f>IF(Associates_Call_List_PQ!I299="","",Associates_Call_List_PQ!I299)</f>
        <v>R3-47</v>
      </c>
      <c r="J299" s="57" t="str">
        <f>IF(Associates_Call_List_PQ!J299="","",Associates_Call_List_PQ!J299)</f>
        <v>No</v>
      </c>
      <c r="K299" s="57" t="str">
        <f>IF(Associates_Call_List_PQ!K299="","",Associates_Call_List_PQ!K299)</f>
        <v>No</v>
      </c>
      <c r="L299" s="57" t="str">
        <f>IF(Associates_Call_List_PQ!L299="","",Associates_Call_List_PQ!L299)</f>
        <v>Yes</v>
      </c>
      <c r="M299" s="57" t="str">
        <f>IF(Associates_Call_List_PQ!M299="","",Associates_Call_List_PQ!M299)</f>
        <v>Yes</v>
      </c>
      <c r="N299" s="57">
        <f>IF(Associates_Call_List_PQ!N299="","",Associates_Call_List_PQ!N299)</f>
        <v>870.88</v>
      </c>
      <c r="O299" s="57" t="str">
        <f>IF(Associates_Call_List_PQ!O299="","",Associates_Call_List_PQ!O299)</f>
        <v>Yes</v>
      </c>
      <c r="P299" s="57" t="str">
        <f>IF(Associates_Call_List_PQ!P299="","",Associates_Call_List_PQ!P299)</f>
        <v/>
      </c>
      <c r="Q299" s="57">
        <f>IF(Associates_Call_List_PQ!Q299="","",Associates_Call_List_PQ!Q299)</f>
        <v>45967</v>
      </c>
      <c r="R299" s="57" t="str">
        <f>IF(Associates_Call_List_PQ!R299="","",Associates_Call_List_PQ!R299)</f>
        <v>Assistance?</v>
      </c>
      <c r="S299" s="57" t="str">
        <f>IF(Associates_Call_List_PQ!S299="","",Associates_Call_List_PQ!S299)</f>
        <v/>
      </c>
      <c r="T299" s="57" t="str">
        <f>IF(Associates_Call_List_PQ!T299="","",Associates_Call_List_PQ!T299)</f>
        <v/>
      </c>
      <c r="U299" s="57" t="s">
        <v>5585</v>
      </c>
      <c r="V299" s="68" t="s">
        <v>117</v>
      </c>
      <c r="W299" s="68">
        <v>46039</v>
      </c>
      <c r="X299" s="68" t="s">
        <v>5405</v>
      </c>
      <c r="Y299" s="68" t="s">
        <v>5455</v>
      </c>
      <c r="Z299" s="72"/>
    </row>
    <row r="300" spans="1:26">
      <c r="A300" s="71">
        <f>IFERROR(Associates_Call_List_PQ!A300,"")</f>
        <v>45903</v>
      </c>
      <c r="B300" s="57" t="str">
        <f>IF(Associates_Call_List_PQ!B300="","",Associates_Call_List_PQ!B300)</f>
        <v>Cagle</v>
      </c>
      <c r="C300" s="57" t="str">
        <f>IF(Associates_Call_List_PQ!C300="","",Associates_Call_List_PQ!C300)</f>
        <v>Christine</v>
      </c>
      <c r="D300" s="57" t="str">
        <f>IF(Associates_Call_List_PQ!D300="","",Associates_Call_List_PQ!D300)</f>
        <v>Goodyear</v>
      </c>
      <c r="E300" s="58">
        <f>IF(Associates_Call_List_PQ!E300="","",Associates_Call_List_PQ!E300)</f>
        <v>85395</v>
      </c>
      <c r="F300" s="57" t="str">
        <f>IF(Associates_Call_List_PQ!F300="","",Associates_Call_List_PQ!F300)</f>
        <v>Opposed</v>
      </c>
      <c r="G300" s="57" t="str">
        <f>IF(Associates_Call_List_PQ!G300="","",Associates_Call_List_PQ!G300)</f>
        <v>https://images.edocket.azcc.gov/docketpdf/E000046204.pdf</v>
      </c>
      <c r="H300" s="59" t="str">
        <f>IF(Associates_Call_List_PQ!H300="","",Associates_Call_List_PQ!H300)</f>
        <v>5132068013</v>
      </c>
      <c r="I300" s="57" t="str">
        <f>IF(Associates_Call_List_PQ!I300="","",Associates_Call_List_PQ!I300)</f>
        <v>EPR-6w/ET-2</v>
      </c>
      <c r="J300" s="57" t="str">
        <f>IF(Associates_Call_List_PQ!J300="","",Associates_Call_List_PQ!J300)</f>
        <v>No</v>
      </c>
      <c r="K300" s="57" t="str">
        <f>IF(Associates_Call_List_PQ!K300="","",Associates_Call_List_PQ!K300)</f>
        <v>No</v>
      </c>
      <c r="L300" s="57" t="str">
        <f>IF(Associates_Call_List_PQ!L300="","",Associates_Call_List_PQ!L300)</f>
        <v>Frozen Rate</v>
      </c>
      <c r="M300" s="57" t="str">
        <f>IF(Associates_Call_List_PQ!M300="","",Associates_Call_List_PQ!M300)</f>
        <v>No</v>
      </c>
      <c r="N300" s="57" t="str">
        <f>IF(Associates_Call_List_PQ!N300="","",Associates_Call_List_PQ!N300)</f>
        <v>No</v>
      </c>
      <c r="O300" s="57" t="str">
        <f>IF(Associates_Call_List_PQ!O300="","",Associates_Call_List_PQ!O300)</f>
        <v>Yes</v>
      </c>
      <c r="P300" s="57" t="str">
        <f>IF(Associates_Call_List_PQ!P300="","",Associates_Call_List_PQ!P300)</f>
        <v>N</v>
      </c>
      <c r="Q300" s="57">
        <f>IF(Associates_Call_List_PQ!Q300="","",Associates_Call_List_PQ!Q300)</f>
        <v>45967</v>
      </c>
      <c r="R300" s="57" t="str">
        <f>IF(Associates_Call_List_PQ!R300="","",Associates_Call_List_PQ!R300)</f>
        <v/>
      </c>
      <c r="S300" s="57" t="str">
        <f>IF(Associates_Call_List_PQ!S300="","",Associates_Call_List_PQ!S300)</f>
        <v/>
      </c>
      <c r="T300" s="57" t="str">
        <f>IF(Associates_Call_List_PQ!T300="","",Associates_Call_List_PQ!T300)</f>
        <v/>
      </c>
      <c r="U300" s="57" t="str">
        <f>IF(Associates_Call_List_PQ!U300="","",Associates_Call_List_PQ!U300)</f>
        <v/>
      </c>
      <c r="V300" s="68"/>
      <c r="W300" s="68" t="s">
        <v>5432</v>
      </c>
      <c r="X300" s="68"/>
      <c r="Y300" s="68"/>
      <c r="Z300" s="72"/>
    </row>
    <row r="301" spans="1:26">
      <c r="A301" s="71">
        <f>IFERROR(Associates_Call_List_PQ!A301,"")</f>
        <v>45903</v>
      </c>
      <c r="B301" s="57" t="str">
        <f>IF(Associates_Call_List_PQ!B301="","",Associates_Call_List_PQ!B301)</f>
        <v>Duell</v>
      </c>
      <c r="C301" s="57" t="str">
        <f>IF(Associates_Call_List_PQ!C301="","",Associates_Call_List_PQ!C301)</f>
        <v>Brad</v>
      </c>
      <c r="D301" s="57" t="str">
        <f>IF(Associates_Call_List_PQ!D301="","",Associates_Call_List_PQ!D301)</f>
        <v>Scottsdale</v>
      </c>
      <c r="E301" s="58">
        <f>IF(Associates_Call_List_PQ!E301="","",Associates_Call_List_PQ!E301)</f>
        <v>85254</v>
      </c>
      <c r="F301" s="57" t="str">
        <f>IF(Associates_Call_List_PQ!F301="","",Associates_Call_List_PQ!F301)</f>
        <v>Opposed</v>
      </c>
      <c r="G301" s="57" t="str">
        <f>IF(Associates_Call_List_PQ!G301="","",Associates_Call_List_PQ!G301)</f>
        <v>https://images.edocket.azcc.gov/docketpdf/E000046204.pdf</v>
      </c>
      <c r="H301" s="59" t="str">
        <f>IF(Associates_Call_List_PQ!H301="","",Associates_Call_List_PQ!H301)</f>
        <v>3455401000</v>
      </c>
      <c r="I301" s="57" t="str">
        <f>IF(Associates_Call_List_PQ!I301="","",Associates_Call_List_PQ!I301)</f>
        <v>R3-47</v>
      </c>
      <c r="J301" s="57" t="str">
        <f>IF(Associates_Call_List_PQ!J301="","",Associates_Call_List_PQ!J301)</f>
        <v>No</v>
      </c>
      <c r="K301" s="57" t="str">
        <f>IF(Associates_Call_List_PQ!K301="","",Associates_Call_List_PQ!K301)</f>
        <v>No</v>
      </c>
      <c r="L301" s="57" t="str">
        <f>IF(Associates_Call_List_PQ!L301="","",Associates_Call_List_PQ!L301)</f>
        <v>Yes</v>
      </c>
      <c r="M301" s="57" t="str">
        <f>IF(Associates_Call_List_PQ!M301="","",Associates_Call_List_PQ!M301)</f>
        <v>No</v>
      </c>
      <c r="N301" s="57" t="str">
        <f>IF(Associates_Call_List_PQ!N301="","",Associates_Call_List_PQ!N301)</f>
        <v>No</v>
      </c>
      <c r="O301" s="57" t="str">
        <f>IF(Associates_Call_List_PQ!O301="","",Associates_Call_List_PQ!O301)</f>
        <v>Yes</v>
      </c>
      <c r="P301" s="57" t="str">
        <f>IF(Associates_Call_List_PQ!P301="","",Associates_Call_List_PQ!P301)</f>
        <v>N</v>
      </c>
      <c r="Q301" s="57">
        <f>IF(Associates_Call_List_PQ!Q301="","",Associates_Call_List_PQ!Q301)</f>
        <v>45967</v>
      </c>
      <c r="R301" s="57" t="str">
        <f>IF(Associates_Call_List_PQ!R301="","",Associates_Call_List_PQ!R301)</f>
        <v/>
      </c>
      <c r="S301" s="57" t="str">
        <f>IF(Associates_Call_List_PQ!S301="","",Associates_Call_List_PQ!S301)</f>
        <v/>
      </c>
      <c r="T301" s="57" t="str">
        <f>IF(Associates_Call_List_PQ!T301="","",Associates_Call_List_PQ!T301)</f>
        <v/>
      </c>
      <c r="U301" s="57" t="str">
        <f>IF(Associates_Call_List_PQ!U301="","",Associates_Call_List_PQ!U301)</f>
        <v/>
      </c>
      <c r="V301" s="68"/>
      <c r="W301" s="68" t="s">
        <v>5432</v>
      </c>
      <c r="X301" s="68"/>
      <c r="Y301" s="68"/>
      <c r="Z301" s="72"/>
    </row>
    <row r="302" spans="1:26">
      <c r="A302" s="71">
        <f>IFERROR(Associates_Call_List_PQ!A302,"")</f>
        <v>45903</v>
      </c>
      <c r="B302" s="57" t="str">
        <f>IF(Associates_Call_List_PQ!B302="","",Associates_Call_List_PQ!B302)</f>
        <v>Roberts</v>
      </c>
      <c r="C302" s="57" t="str">
        <f>IF(Associates_Call_List_PQ!C302="","",Associates_Call_List_PQ!C302)</f>
        <v>Aria</v>
      </c>
      <c r="D302" s="57" t="str">
        <f>IF(Associates_Call_List_PQ!D302="","",Associates_Call_List_PQ!D302)</f>
        <v>Phoenix</v>
      </c>
      <c r="E302" s="58">
        <f>IF(Associates_Call_List_PQ!E302="","",Associates_Call_List_PQ!E302)</f>
        <v>85032</v>
      </c>
      <c r="F302" s="57" t="str">
        <f>IF(Associates_Call_List_PQ!F302="","",Associates_Call_List_PQ!F302)</f>
        <v>Form letter</v>
      </c>
      <c r="G302" s="57" t="str">
        <f>IF(Associates_Call_List_PQ!G302="","",Associates_Call_List_PQ!G302)</f>
        <v>https://images.edocket.azcc.gov/docketpdf/E000046204.pdf</v>
      </c>
      <c r="H302" s="59" t="str">
        <f>IF(Associates_Call_List_PQ!H302="","",Associates_Call_List_PQ!H302)</f>
        <v>7983231354</v>
      </c>
      <c r="I302" s="57" t="str">
        <f>IF(Associates_Call_List_PQ!I302="","",Associates_Call_List_PQ!I302)</f>
        <v>R-XS</v>
      </c>
      <c r="J302" s="57" t="str">
        <f>IF(Associates_Call_List_PQ!J302="","",Associates_Call_List_PQ!J302)</f>
        <v>No</v>
      </c>
      <c r="K302" s="57" t="str">
        <f>IF(Associates_Call_List_PQ!K302="","",Associates_Call_List_PQ!K302)</f>
        <v>No</v>
      </c>
      <c r="L302" s="57" t="str">
        <f>IF(Associates_Call_List_PQ!L302="","",Associates_Call_List_PQ!L302)</f>
        <v>Yes</v>
      </c>
      <c r="M302" s="57" t="str">
        <f>IF(Associates_Call_List_PQ!M302="","",Associates_Call_List_PQ!M302)</f>
        <v>No</v>
      </c>
      <c r="N302" s="57" t="str">
        <f>IF(Associates_Call_List_PQ!N302="","",Associates_Call_List_PQ!N302)</f>
        <v>No</v>
      </c>
      <c r="O302" s="57" t="str">
        <f>IF(Associates_Call_List_PQ!O302="","",Associates_Call_List_PQ!O302)</f>
        <v>Yes</v>
      </c>
      <c r="P302" s="57" t="str">
        <f>IF(Associates_Call_List_PQ!P302="","",Associates_Call_List_PQ!P302)</f>
        <v>N</v>
      </c>
      <c r="Q302" s="57">
        <f>IF(Associates_Call_List_PQ!Q302="","",Associates_Call_List_PQ!Q302)</f>
        <v>45967</v>
      </c>
      <c r="R302" s="57" t="str">
        <f>IF(Associates_Call_List_PQ!R302="","",Associates_Call_List_PQ!R302)</f>
        <v/>
      </c>
      <c r="S302" s="57" t="str">
        <f>IF(Associates_Call_List_PQ!S302="","",Associates_Call_List_PQ!S302)</f>
        <v/>
      </c>
      <c r="T302" s="57" t="str">
        <f>IF(Associates_Call_List_PQ!T302="","",Associates_Call_List_PQ!T302)</f>
        <v/>
      </c>
      <c r="U302" s="57" t="str">
        <f>IF(Associates_Call_List_PQ!U302="","",Associates_Call_List_PQ!U302)</f>
        <v/>
      </c>
      <c r="V302" s="68"/>
      <c r="W302" s="68" t="s">
        <v>5432</v>
      </c>
      <c r="X302" s="68"/>
      <c r="Y302" s="68"/>
      <c r="Z302" s="72"/>
    </row>
    <row r="303" spans="1:26">
      <c r="A303" s="71">
        <f>IFERROR(Associates_Call_List_PQ!A303,"")</f>
        <v>45903</v>
      </c>
      <c r="B303" s="57" t="str">
        <f>IF(Associates_Call_List_PQ!B303="","",Associates_Call_List_PQ!B303)</f>
        <v>Schuit</v>
      </c>
      <c r="C303" s="57" t="str">
        <f>IF(Associates_Call_List_PQ!C303="","",Associates_Call_List_PQ!C303)</f>
        <v>Cathy</v>
      </c>
      <c r="D303" s="57" t="str">
        <f>IF(Associates_Call_List_PQ!D303="","",Associates_Call_List_PQ!D303)</f>
        <v>Goodyear</v>
      </c>
      <c r="E303" s="58">
        <f>IF(Associates_Call_List_PQ!E303="","",Associates_Call_List_PQ!E303)</f>
        <v>85395</v>
      </c>
      <c r="F303" s="57" t="str">
        <f>IF(Associates_Call_List_PQ!F303="","",Associates_Call_List_PQ!F303)</f>
        <v>Opposed</v>
      </c>
      <c r="G303" s="57" t="str">
        <f>IF(Associates_Call_List_PQ!G303="","",Associates_Call_List_PQ!G303)</f>
        <v>https://images.edocket.azcc.gov/docketpdf/E000046204.pdf</v>
      </c>
      <c r="H303" s="59" t="str">
        <f>IF(Associates_Call_List_PQ!H303="","",Associates_Call_List_PQ!H303)</f>
        <v>2243371013</v>
      </c>
      <c r="I303" s="57" t="str">
        <f>IF(Associates_Call_List_PQ!I303="","",Associates_Call_List_PQ!I303)</f>
        <v>R-2</v>
      </c>
      <c r="J303" s="57" t="str">
        <f>IF(Associates_Call_List_PQ!J303="","",Associates_Call_List_PQ!J303)</f>
        <v>No</v>
      </c>
      <c r="K303" s="57" t="str">
        <f>IF(Associates_Call_List_PQ!K303="","",Associates_Call_List_PQ!K303)</f>
        <v>No</v>
      </c>
      <c r="L303" s="57" t="str">
        <f>IF(Associates_Call_List_PQ!L303="","",Associates_Call_List_PQ!L303)</f>
        <v>Frozen Rate</v>
      </c>
      <c r="M303" s="57" t="str">
        <f>IF(Associates_Call_List_PQ!M303="","",Associates_Call_List_PQ!M303)</f>
        <v>No</v>
      </c>
      <c r="N303" s="57" t="str">
        <f>IF(Associates_Call_List_PQ!N303="","",Associates_Call_List_PQ!N303)</f>
        <v>No</v>
      </c>
      <c r="O303" s="57" t="str">
        <f>IF(Associates_Call_List_PQ!O303="","",Associates_Call_List_PQ!O303)</f>
        <v>Yes</v>
      </c>
      <c r="P303" s="57" t="str">
        <f>IF(Associates_Call_List_PQ!P303="","",Associates_Call_List_PQ!P303)</f>
        <v>N</v>
      </c>
      <c r="Q303" s="57">
        <f>IF(Associates_Call_List_PQ!Q303="","",Associates_Call_List_PQ!Q303)</f>
        <v>45967</v>
      </c>
      <c r="R303" s="57" t="str">
        <f>IF(Associates_Call_List_PQ!R303="","",Associates_Call_List_PQ!R303)</f>
        <v/>
      </c>
      <c r="S303" s="57" t="str">
        <f>IF(Associates_Call_List_PQ!S303="","",Associates_Call_List_PQ!S303)</f>
        <v/>
      </c>
      <c r="T303" s="57" t="str">
        <f>IF(Associates_Call_List_PQ!T303="","",Associates_Call_List_PQ!T303)</f>
        <v/>
      </c>
      <c r="U303" s="57" t="str">
        <f>IF(Associates_Call_List_PQ!U303="","",Associates_Call_List_PQ!U303)</f>
        <v/>
      </c>
      <c r="V303" s="68"/>
      <c r="W303" s="68" t="s">
        <v>5432</v>
      </c>
      <c r="X303" s="68"/>
      <c r="Y303" s="68"/>
      <c r="Z303" s="72"/>
    </row>
    <row r="304" spans="1:26">
      <c r="A304" s="71">
        <f>IFERROR(Associates_Call_List_PQ!A304,"")</f>
        <v>45903</v>
      </c>
      <c r="B304" s="57" t="str">
        <f>IF(Associates_Call_List_PQ!B304="","",Associates_Call_List_PQ!B304)</f>
        <v>Zinn</v>
      </c>
      <c r="C304" s="57" t="str">
        <f>IF(Associates_Call_List_PQ!C304="","",Associates_Call_List_PQ!C304)</f>
        <v>Robert</v>
      </c>
      <c r="D304" s="57" t="str">
        <f>IF(Associates_Call_List_PQ!D304="","",Associates_Call_List_PQ!D304)</f>
        <v>Goodyear</v>
      </c>
      <c r="E304" s="58">
        <f>IF(Associates_Call_List_PQ!E304="","",Associates_Call_List_PQ!E304)</f>
        <v>85395</v>
      </c>
      <c r="F304" s="57" t="str">
        <f>IF(Associates_Call_List_PQ!F304="","",Associates_Call_List_PQ!F304)</f>
        <v>Extortion/Monopoly</v>
      </c>
      <c r="G304" s="57" t="str">
        <f>IF(Associates_Call_List_PQ!G304="","",Associates_Call_List_PQ!G304)</f>
        <v>https://images.edocket.azcc.gov/docketpdf/E000046204.pdf</v>
      </c>
      <c r="H304" s="59" t="str">
        <f>IF(Associates_Call_List_PQ!H304="","",Associates_Call_List_PQ!H304)</f>
        <v>9340408913</v>
      </c>
      <c r="I304" s="57" t="str">
        <f>IF(Associates_Call_List_PQ!I304="","",Associates_Call_List_PQ!I304)</f>
        <v>R3-47</v>
      </c>
      <c r="J304" s="57" t="str">
        <f>IF(Associates_Call_List_PQ!J304="","",Associates_Call_List_PQ!J304)</f>
        <v>No</v>
      </c>
      <c r="K304" s="57" t="str">
        <f>IF(Associates_Call_List_PQ!K304="","",Associates_Call_List_PQ!K304)</f>
        <v>No</v>
      </c>
      <c r="L304" s="57" t="str">
        <f>IF(Associates_Call_List_PQ!L304="","",Associates_Call_List_PQ!L304)</f>
        <v>Yes</v>
      </c>
      <c r="M304" s="57" t="str">
        <f>IF(Associates_Call_List_PQ!M304="","",Associates_Call_List_PQ!M304)</f>
        <v>No</v>
      </c>
      <c r="N304" s="57" t="str">
        <f>IF(Associates_Call_List_PQ!N304="","",Associates_Call_List_PQ!N304)</f>
        <v>No</v>
      </c>
      <c r="O304" s="57" t="str">
        <f>IF(Associates_Call_List_PQ!O304="","",Associates_Call_List_PQ!O304)</f>
        <v>Yes</v>
      </c>
      <c r="P304" s="57" t="str">
        <f>IF(Associates_Call_List_PQ!P304="","",Associates_Call_List_PQ!P304)</f>
        <v>N</v>
      </c>
      <c r="Q304" s="57">
        <f>IF(Associates_Call_List_PQ!Q304="","",Associates_Call_List_PQ!Q304)</f>
        <v>45967</v>
      </c>
      <c r="R304" s="57" t="str">
        <f>IF(Associates_Call_List_PQ!R304="","",Associates_Call_List_PQ!R304)</f>
        <v/>
      </c>
      <c r="S304" s="57" t="str">
        <f>IF(Associates_Call_List_PQ!S304="","",Associates_Call_List_PQ!S304)</f>
        <v/>
      </c>
      <c r="T304" s="57" t="str">
        <f>IF(Associates_Call_List_PQ!T304="","",Associates_Call_List_PQ!T304)</f>
        <v/>
      </c>
      <c r="U304" s="57" t="str">
        <f>IF(Associates_Call_List_PQ!U304="","",Associates_Call_List_PQ!U304)</f>
        <v/>
      </c>
      <c r="V304" s="68"/>
      <c r="W304" s="68" t="s">
        <v>5432</v>
      </c>
      <c r="X304" s="68"/>
      <c r="Y304" s="68"/>
      <c r="Z304" s="72"/>
    </row>
    <row r="305" spans="1:26">
      <c r="A305" s="71">
        <f>IFERROR(Associates_Call_List_PQ!A305,"")</f>
        <v>45903</v>
      </c>
      <c r="B305" s="57" t="str">
        <f>IF(Associates_Call_List_PQ!B305="","",Associates_Call_List_PQ!B305)</f>
        <v>Wolfe</v>
      </c>
      <c r="C305" s="57" t="str">
        <f>IF(Associates_Call_List_PQ!C305="","",Associates_Call_List_PQ!C305)</f>
        <v>Phillip</v>
      </c>
      <c r="D305" s="57" t="str">
        <f>IF(Associates_Call_List_PQ!D305="","",Associates_Call_List_PQ!D305)</f>
        <v>Yuma</v>
      </c>
      <c r="E305" s="58">
        <f>IF(Associates_Call_List_PQ!E305="","",Associates_Call_List_PQ!E305)</f>
        <v>85365</v>
      </c>
      <c r="F305" s="57" t="str">
        <f>IF(Associates_Call_List_PQ!F305="","",Associates_Call_List_PQ!F305)</f>
        <v>Opposed</v>
      </c>
      <c r="G305" s="57" t="str">
        <f>IF(Associates_Call_List_PQ!G305="","",Associates_Call_List_PQ!G305)</f>
        <v>https://images.edocket.azcc.gov/docketpdf/E000046204.pdf</v>
      </c>
      <c r="H305" s="59" t="str">
        <f>IF(Associates_Call_List_PQ!H305="","",Associates_Call_List_PQ!H305)</f>
        <v>5986916429</v>
      </c>
      <c r="I305" s="57" t="str">
        <f>IF(Associates_Call_List_PQ!I305="","",Associates_Call_List_PQ!I305)</f>
        <v>R-2</v>
      </c>
      <c r="J305" s="57" t="str">
        <f>IF(Associates_Call_List_PQ!J305="","",Associates_Call_List_PQ!J305)</f>
        <v>No</v>
      </c>
      <c r="K305" s="57" t="str">
        <f>IF(Associates_Call_List_PQ!K305="","",Associates_Call_List_PQ!K305)</f>
        <v>No</v>
      </c>
      <c r="L305" s="57" t="str">
        <f>IF(Associates_Call_List_PQ!L305="","",Associates_Call_List_PQ!L305)</f>
        <v>Frozen Rate</v>
      </c>
      <c r="M305" s="57" t="str">
        <f>IF(Associates_Call_List_PQ!M305="","",Associates_Call_List_PQ!M305)</f>
        <v>No</v>
      </c>
      <c r="N305" s="57" t="str">
        <f>IF(Associates_Call_List_PQ!N305="","",Associates_Call_List_PQ!N305)</f>
        <v>No</v>
      </c>
      <c r="O305" s="57" t="str">
        <f>IF(Associates_Call_List_PQ!O305="","",Associates_Call_List_PQ!O305)</f>
        <v>Yes</v>
      </c>
      <c r="P305" s="57" t="str">
        <f>IF(Associates_Call_List_PQ!P305="","",Associates_Call_List_PQ!P305)</f>
        <v>N</v>
      </c>
      <c r="Q305" s="57">
        <f>IF(Associates_Call_List_PQ!Q305="","",Associates_Call_List_PQ!Q305)</f>
        <v>45967</v>
      </c>
      <c r="R305" s="57" t="str">
        <f>IF(Associates_Call_List_PQ!R305="","",Associates_Call_List_PQ!R305)</f>
        <v/>
      </c>
      <c r="S305" s="57" t="str">
        <f>IF(Associates_Call_List_PQ!S305="","",Associates_Call_List_PQ!S305)</f>
        <v/>
      </c>
      <c r="T305" s="57" t="str">
        <f>IF(Associates_Call_List_PQ!T305="","",Associates_Call_List_PQ!T305)</f>
        <v/>
      </c>
      <c r="U305" s="57" t="str">
        <f>IF(Associates_Call_List_PQ!U305="","",Associates_Call_List_PQ!U305)</f>
        <v/>
      </c>
      <c r="V305" s="68"/>
      <c r="W305" s="68" t="s">
        <v>5432</v>
      </c>
      <c r="X305" s="68"/>
      <c r="Y305" s="68"/>
      <c r="Z305" s="72"/>
    </row>
    <row r="306" spans="1:26">
      <c r="A306" s="71">
        <f>IFERROR(Associates_Call_List_PQ!A306,"")</f>
        <v>45903</v>
      </c>
      <c r="B306" s="57" t="str">
        <f>IF(Associates_Call_List_PQ!B306="","",Associates_Call_List_PQ!B306)</f>
        <v>Kukkapalli</v>
      </c>
      <c r="C306" s="57" t="str">
        <f>IF(Associates_Call_List_PQ!C306="","",Associates_Call_List_PQ!C306)</f>
        <v>Vasu</v>
      </c>
      <c r="D306" s="57" t="str">
        <f>IF(Associates_Call_List_PQ!D306="","",Associates_Call_List_PQ!D306)</f>
        <v>Phoenix</v>
      </c>
      <c r="E306" s="58">
        <f>IF(Associates_Call_List_PQ!E306="","",Associates_Call_List_PQ!E306)</f>
        <v>85024</v>
      </c>
      <c r="F306" s="57" t="str">
        <f>IF(Associates_Call_List_PQ!F306="","",Associates_Call_List_PQ!F306)</f>
        <v>Opposed</v>
      </c>
      <c r="G306" s="57" t="str">
        <f>IF(Associates_Call_List_PQ!G306="","",Associates_Call_List_PQ!G306)</f>
        <v>https://images.edocket.azcc.gov/docketpdf/E000046204.pdf</v>
      </c>
      <c r="H306" s="59" t="str">
        <f>IF(Associates_Call_List_PQ!H306="","",Associates_Call_List_PQ!H306)</f>
        <v>9875751000</v>
      </c>
      <c r="I306" s="57" t="str">
        <f>IF(Associates_Call_List_PQ!I306="","",Associates_Call_List_PQ!I306)</f>
        <v>RCPw/R3-47</v>
      </c>
      <c r="J306" s="57" t="str">
        <f>IF(Associates_Call_List_PQ!J306="","",Associates_Call_List_PQ!J306)</f>
        <v>No</v>
      </c>
      <c r="K306" s="57" t="str">
        <f>IF(Associates_Call_List_PQ!K306="","",Associates_Call_List_PQ!K306)</f>
        <v>No</v>
      </c>
      <c r="L306" s="57" t="str">
        <f>IF(Associates_Call_List_PQ!L306="","",Associates_Call_List_PQ!L306)</f>
        <v>N MEP TOU-E ($165.17)</v>
      </c>
      <c r="M306" s="57" t="str">
        <f>IF(Associates_Call_List_PQ!M306="","",Associates_Call_List_PQ!M306)</f>
        <v>No</v>
      </c>
      <c r="N306" s="57" t="str">
        <f>IF(Associates_Call_List_PQ!N306="","",Associates_Call_List_PQ!N306)</f>
        <v>No</v>
      </c>
      <c r="O306" s="57" t="str">
        <f>IF(Associates_Call_List_PQ!O306="","",Associates_Call_List_PQ!O306)</f>
        <v>Yes</v>
      </c>
      <c r="P306" s="57">
        <f>IF(Associates_Call_List_PQ!P306="","",Associates_Call_List_PQ!P306)</f>
        <v>45936</v>
      </c>
      <c r="Q306" s="57">
        <f>IF(Associates_Call_List_PQ!Q306="","",Associates_Call_List_PQ!Q306)</f>
        <v>45967</v>
      </c>
      <c r="R306" s="57" t="str">
        <f>IF(Associates_Call_List_PQ!R306="","",Associates_Call_List_PQ!R306)</f>
        <v xml:space="preserve">COR switched to suggest RTOUE47 </v>
      </c>
      <c r="S306" s="57" t="str">
        <f>IF(Associates_Call_List_PQ!S306="","",Associates_Call_List_PQ!S306)</f>
        <v/>
      </c>
      <c r="T306" s="57" t="str">
        <f>IF(Associates_Call_List_PQ!T306="","",Associates_Call_List_PQ!T306)</f>
        <v/>
      </c>
      <c r="U306" s="57" t="str">
        <f>IF(Associates_Call_List_PQ!U306="","",Associates_Call_List_PQ!U306)</f>
        <v/>
      </c>
      <c r="V306" s="68" t="s">
        <v>5433</v>
      </c>
      <c r="W306" s="68">
        <v>46053</v>
      </c>
      <c r="X306" s="68" t="s">
        <v>5405</v>
      </c>
      <c r="Y306" s="68" t="s">
        <v>5461</v>
      </c>
      <c r="Z306" s="72" t="s">
        <v>5438</v>
      </c>
    </row>
    <row r="307" spans="1:26">
      <c r="A307" s="71">
        <f>IFERROR(Associates_Call_List_PQ!A307,"")</f>
        <v>45903</v>
      </c>
      <c r="B307" s="57" t="str">
        <f>IF(Associates_Call_List_PQ!B307="","",Associates_Call_List_PQ!B307)</f>
        <v>Ravikumar</v>
      </c>
      <c r="C307" s="57" t="str">
        <f>IF(Associates_Call_List_PQ!C307="","",Associates_Call_List_PQ!C307)</f>
        <v>Sangeetha</v>
      </c>
      <c r="D307" s="57" t="str">
        <f>IF(Associates_Call_List_PQ!D307="","",Associates_Call_List_PQ!D307)</f>
        <v>Glendale</v>
      </c>
      <c r="E307" s="58">
        <f>IF(Associates_Call_List_PQ!E307="","",Associates_Call_List_PQ!E307)</f>
        <v>85306</v>
      </c>
      <c r="F307" s="57" t="str">
        <f>IF(Associates_Call_List_PQ!F307="","",Associates_Call_List_PQ!F307)</f>
        <v>Form letter</v>
      </c>
      <c r="G307" s="57" t="str">
        <f>IF(Associates_Call_List_PQ!G307="","",Associates_Call_List_PQ!G307)</f>
        <v>https://images.edocket.azcc.gov/docketpdf/E000046204.pdf</v>
      </c>
      <c r="H307" s="59" t="str">
        <f>IF(Associates_Call_List_PQ!H307="","",Associates_Call_List_PQ!H307)</f>
        <v>4425211190</v>
      </c>
      <c r="I307" s="57" t="str">
        <f>IF(Associates_Call_List_PQ!I307="","",Associates_Call_List_PQ!I307)</f>
        <v>R3-47</v>
      </c>
      <c r="J307" s="57" t="str">
        <f>IF(Associates_Call_List_PQ!J307="","",Associates_Call_List_PQ!J307)</f>
        <v>No</v>
      </c>
      <c r="K307" s="57" t="str">
        <f>IF(Associates_Call_List_PQ!K307="","",Associates_Call_List_PQ!K307)</f>
        <v>No</v>
      </c>
      <c r="L307" s="57" t="str">
        <f>IF(Associates_Call_List_PQ!L307="","",Associates_Call_List_PQ!L307)</f>
        <v>Yes</v>
      </c>
      <c r="M307" s="57" t="str">
        <f>IF(Associates_Call_List_PQ!M307="","",Associates_Call_List_PQ!M307)</f>
        <v>No</v>
      </c>
      <c r="N307" s="57" t="str">
        <f>IF(Associates_Call_List_PQ!N307="","",Associates_Call_List_PQ!N307)</f>
        <v>No</v>
      </c>
      <c r="O307" s="57" t="str">
        <f>IF(Associates_Call_List_PQ!O307="","",Associates_Call_List_PQ!O307)</f>
        <v>Yes</v>
      </c>
      <c r="P307" s="57" t="str">
        <f>IF(Associates_Call_List_PQ!P307="","",Associates_Call_List_PQ!P307)</f>
        <v>N</v>
      </c>
      <c r="Q307" s="57">
        <f>IF(Associates_Call_List_PQ!Q307="","",Associates_Call_List_PQ!Q307)</f>
        <v>45967</v>
      </c>
      <c r="R307" s="57" t="str">
        <f>IF(Associates_Call_List_PQ!R307="","",Associates_Call_List_PQ!R307)</f>
        <v/>
      </c>
      <c r="S307" s="57" t="str">
        <f>IF(Associates_Call_List_PQ!S307="","",Associates_Call_List_PQ!S307)</f>
        <v/>
      </c>
      <c r="T307" s="57" t="str">
        <f>IF(Associates_Call_List_PQ!T307="","",Associates_Call_List_PQ!T307)</f>
        <v/>
      </c>
      <c r="U307" s="57" t="str">
        <f>IF(Associates_Call_List_PQ!U307="","",Associates_Call_List_PQ!U307)</f>
        <v/>
      </c>
      <c r="V307" s="68"/>
      <c r="W307" s="68" t="s">
        <v>5432</v>
      </c>
      <c r="X307" s="68"/>
      <c r="Y307" s="68"/>
      <c r="Z307" s="72"/>
    </row>
    <row r="308" spans="1:26">
      <c r="A308" s="71">
        <f>IFERROR(Associates_Call_List_PQ!A308,"")</f>
        <v>45903</v>
      </c>
      <c r="B308" s="57" t="str">
        <f>IF(Associates_Call_List_PQ!B308="","",Associates_Call_List_PQ!B308)</f>
        <v>Gottipati</v>
      </c>
      <c r="C308" s="57" t="str">
        <f>IF(Associates_Call_List_PQ!C308="","",Associates_Call_List_PQ!C308)</f>
        <v>Srinivasa</v>
      </c>
      <c r="D308" s="57" t="str">
        <f>IF(Associates_Call_List_PQ!D308="","",Associates_Call_List_PQ!D308)</f>
        <v>Peoria</v>
      </c>
      <c r="E308" s="58">
        <f>IF(Associates_Call_List_PQ!E308="","",Associates_Call_List_PQ!E308)</f>
        <v>85382</v>
      </c>
      <c r="F308" s="57" t="str">
        <f>IF(Associates_Call_List_PQ!F308="","",Associates_Call_List_PQ!F308)</f>
        <v>Opposed</v>
      </c>
      <c r="G308" s="57" t="str">
        <f>IF(Associates_Call_List_PQ!G308="","",Associates_Call_List_PQ!G308)</f>
        <v>https://images.edocket.azcc.gov/docketpdf/E000046204.pdf</v>
      </c>
      <c r="H308" s="59" t="str">
        <f>IF(Associates_Call_List_PQ!H308="","",Associates_Call_List_PQ!H308)</f>
        <v>6079940000</v>
      </c>
      <c r="I308" s="57" t="str">
        <f>IF(Associates_Call_List_PQ!I308="","",Associates_Call_List_PQ!I308)</f>
        <v>REV47</v>
      </c>
      <c r="J308" s="57" t="str">
        <f>IF(Associates_Call_List_PQ!J308="","",Associates_Call_List_PQ!J308)</f>
        <v>No</v>
      </c>
      <c r="K308" s="57" t="str">
        <f>IF(Associates_Call_List_PQ!K308="","",Associates_Call_List_PQ!K308)</f>
        <v>No</v>
      </c>
      <c r="L308" s="57" t="str">
        <f>IF(Associates_Call_List_PQ!L308="","",Associates_Call_List_PQ!L308)</f>
        <v>No MEP R3-47 ($295.59)</v>
      </c>
      <c r="M308" s="57" t="str">
        <f>IF(Associates_Call_List_PQ!M308="","",Associates_Call_List_PQ!M308)</f>
        <v>No</v>
      </c>
      <c r="N308" s="57" t="str">
        <f>IF(Associates_Call_List_PQ!N308="","",Associates_Call_List_PQ!N308)</f>
        <v>No</v>
      </c>
      <c r="O308" s="57" t="str">
        <f>IF(Associates_Call_List_PQ!O308="","",Associates_Call_List_PQ!O308)</f>
        <v>Yes</v>
      </c>
      <c r="P308" s="57" t="str">
        <f>IF(Associates_Call_List_PQ!P308="","",Associates_Call_List_PQ!P308)</f>
        <v/>
      </c>
      <c r="Q308" s="57">
        <f>IF(Associates_Call_List_PQ!Q308="","",Associates_Call_List_PQ!Q308)</f>
        <v>45967</v>
      </c>
      <c r="R308" s="57" t="str">
        <f>IF(Associates_Call_List_PQ!R308="","",Associates_Call_List_PQ!R308)</f>
        <v/>
      </c>
      <c r="S308" s="57" t="str">
        <f>IF(Associates_Call_List_PQ!S308="","",Associates_Call_List_PQ!S308)</f>
        <v/>
      </c>
      <c r="T308" s="57" t="str">
        <f>IF(Associates_Call_List_PQ!T308="","",Associates_Call_List_PQ!T308)</f>
        <v/>
      </c>
      <c r="U308" s="57" t="str">
        <f>IF(Associates_Call_List_PQ!U308="","",Associates_Call_List_PQ!U308)</f>
        <v/>
      </c>
      <c r="V308" s="68" t="s">
        <v>5433</v>
      </c>
      <c r="W308" s="68">
        <v>46053</v>
      </c>
      <c r="X308" s="68" t="s">
        <v>5405</v>
      </c>
      <c r="Y308" s="68" t="s">
        <v>5461</v>
      </c>
      <c r="Z308" s="72" t="s">
        <v>5586</v>
      </c>
    </row>
    <row r="309" spans="1:26">
      <c r="A309" s="71">
        <f>IFERROR(Associates_Call_List_PQ!A309,"")</f>
        <v>45903</v>
      </c>
      <c r="B309" s="57" t="str">
        <f>IF(Associates_Call_List_PQ!B309="","",Associates_Call_List_PQ!B309)</f>
        <v>Penny</v>
      </c>
      <c r="C309" s="57" t="str">
        <f>IF(Associates_Call_List_PQ!C309="","",Associates_Call_List_PQ!C309)</f>
        <v>Leigh</v>
      </c>
      <c r="D309" s="57" t="str">
        <f>IF(Associates_Call_List_PQ!D309="","",Associates_Call_List_PQ!D309)</f>
        <v>Phoenix</v>
      </c>
      <c r="E309" s="58">
        <f>IF(Associates_Call_List_PQ!E309="","",Associates_Call_List_PQ!E309)</f>
        <v>85085</v>
      </c>
      <c r="F309" s="57" t="str">
        <f>IF(Associates_Call_List_PQ!F309="","",Associates_Call_List_PQ!F309)</f>
        <v>Form letter</v>
      </c>
      <c r="G309" s="57" t="str">
        <f>IF(Associates_Call_List_PQ!G309="","",Associates_Call_List_PQ!G309)</f>
        <v>https://images.edocket.azcc.gov/docketpdf/E000046204.pdf</v>
      </c>
      <c r="H309" s="59" t="str">
        <f>IF(Associates_Call_List_PQ!H309="","",Associates_Call_List_PQ!H309)</f>
        <v>4878430000</v>
      </c>
      <c r="I309" s="57" t="str">
        <f>IF(Associates_Call_List_PQ!I309="","",Associates_Call_List_PQ!I309)</f>
        <v>R-2</v>
      </c>
      <c r="J309" s="57" t="str">
        <f>IF(Associates_Call_List_PQ!J309="","",Associates_Call_List_PQ!J309)</f>
        <v>No</v>
      </c>
      <c r="K309" s="57" t="str">
        <f>IF(Associates_Call_List_PQ!K309="","",Associates_Call_List_PQ!K309)</f>
        <v>No</v>
      </c>
      <c r="L309" s="57" t="str">
        <f>IF(Associates_Call_List_PQ!L309="","",Associates_Call_List_PQ!L309)</f>
        <v>Frozen Rate</v>
      </c>
      <c r="M309" s="57" t="str">
        <f>IF(Associates_Call_List_PQ!M309="","",Associates_Call_List_PQ!M309)</f>
        <v>No</v>
      </c>
      <c r="N309" s="57" t="str">
        <f>IF(Associates_Call_List_PQ!N309="","",Associates_Call_List_PQ!N309)</f>
        <v>No</v>
      </c>
      <c r="O309" s="57" t="str">
        <f>IF(Associates_Call_List_PQ!O309="","",Associates_Call_List_PQ!O309)</f>
        <v>Yes</v>
      </c>
      <c r="P309" s="57" t="str">
        <f>IF(Associates_Call_List_PQ!P309="","",Associates_Call_List_PQ!P309)</f>
        <v>N</v>
      </c>
      <c r="Q309" s="57">
        <f>IF(Associates_Call_List_PQ!Q309="","",Associates_Call_List_PQ!Q309)</f>
        <v>45967</v>
      </c>
      <c r="R309" s="57" t="str">
        <f>IF(Associates_Call_List_PQ!R309="","",Associates_Call_List_PQ!R309)</f>
        <v/>
      </c>
      <c r="S309" s="57" t="str">
        <f>IF(Associates_Call_List_PQ!S309="","",Associates_Call_List_PQ!S309)</f>
        <v/>
      </c>
      <c r="T309" s="57" t="str">
        <f>IF(Associates_Call_List_PQ!T309="","",Associates_Call_List_PQ!T309)</f>
        <v/>
      </c>
      <c r="U309" s="57" t="str">
        <f>IF(Associates_Call_List_PQ!U309="","",Associates_Call_List_PQ!U309)</f>
        <v/>
      </c>
      <c r="V309" s="68"/>
      <c r="W309" s="68" t="s">
        <v>5432</v>
      </c>
      <c r="X309" s="68"/>
      <c r="Y309" s="68"/>
      <c r="Z309" s="72"/>
    </row>
    <row r="310" spans="1:26">
      <c r="A310" s="71">
        <f>IFERROR(Associates_Call_List_PQ!A310,"")</f>
        <v>45903</v>
      </c>
      <c r="B310" s="57" t="str">
        <f>IF(Associates_Call_List_PQ!B310="","",Associates_Call_List_PQ!B310)</f>
        <v>Koripella</v>
      </c>
      <c r="C310" s="57" t="str">
        <f>IF(Associates_Call_List_PQ!C310="","",Associates_Call_List_PQ!C310)</f>
        <v>Ravi</v>
      </c>
      <c r="D310" s="57" t="str">
        <f>IF(Associates_Call_List_PQ!D310="","",Associates_Call_List_PQ!D310)</f>
        <v>Surprise</v>
      </c>
      <c r="E310" s="58">
        <f>IF(Associates_Call_List_PQ!E310="","",Associates_Call_List_PQ!E310)</f>
        <v>85387</v>
      </c>
      <c r="F310" s="57" t="str">
        <f>IF(Associates_Call_List_PQ!F310="","",Associates_Call_List_PQ!F310)</f>
        <v>Form letter</v>
      </c>
      <c r="G310" s="57" t="str">
        <f>IF(Associates_Call_List_PQ!G310="","",Associates_Call_List_PQ!G310)</f>
        <v>https://images.edocket.azcc.gov/docketpdf/E000046204.pdf</v>
      </c>
      <c r="H310" s="59" t="str">
        <f>IF(Associates_Call_List_PQ!H310="","",Associates_Call_List_PQ!H310)</f>
        <v>5835127577</v>
      </c>
      <c r="I310" s="57" t="str">
        <f>IF(Associates_Call_List_PQ!I310="","",Associates_Call_List_PQ!I310)</f>
        <v>R3-47</v>
      </c>
      <c r="J310" s="57" t="str">
        <f>IF(Associates_Call_List_PQ!J310="","",Associates_Call_List_PQ!J310)</f>
        <v>No</v>
      </c>
      <c r="K310" s="57" t="str">
        <f>IF(Associates_Call_List_PQ!K310="","",Associates_Call_List_PQ!K310)</f>
        <v>No</v>
      </c>
      <c r="L310" s="57" t="str">
        <f>IF(Associates_Call_List_PQ!L310="","",Associates_Call_List_PQ!L310)</f>
        <v>Yes</v>
      </c>
      <c r="M310" s="57" t="str">
        <f>IF(Associates_Call_List_PQ!M310="","",Associates_Call_List_PQ!M310)</f>
        <v>No</v>
      </c>
      <c r="N310" s="57" t="str">
        <f>IF(Associates_Call_List_PQ!N310="","",Associates_Call_List_PQ!N310)</f>
        <v>No</v>
      </c>
      <c r="O310" s="57" t="str">
        <f>IF(Associates_Call_List_PQ!O310="","",Associates_Call_List_PQ!O310)</f>
        <v>Yes</v>
      </c>
      <c r="P310" s="57" t="str">
        <f>IF(Associates_Call_List_PQ!P310="","",Associates_Call_List_PQ!P310)</f>
        <v>N</v>
      </c>
      <c r="Q310" s="57">
        <f>IF(Associates_Call_List_PQ!Q310="","",Associates_Call_List_PQ!Q310)</f>
        <v>45967</v>
      </c>
      <c r="R310" s="57" t="str">
        <f>IF(Associates_Call_List_PQ!R310="","",Associates_Call_List_PQ!R310)</f>
        <v/>
      </c>
      <c r="S310" s="57" t="str">
        <f>IF(Associates_Call_List_PQ!S310="","",Associates_Call_List_PQ!S310)</f>
        <v/>
      </c>
      <c r="T310" s="57" t="str">
        <f>IF(Associates_Call_List_PQ!T310="","",Associates_Call_List_PQ!T310)</f>
        <v/>
      </c>
      <c r="U310" s="57" t="str">
        <f>IF(Associates_Call_List_PQ!U310="","",Associates_Call_List_PQ!U310)</f>
        <v/>
      </c>
      <c r="V310" s="68"/>
      <c r="W310" s="68" t="s">
        <v>5432</v>
      </c>
      <c r="X310" s="68"/>
      <c r="Y310" s="68"/>
      <c r="Z310" s="72"/>
    </row>
    <row r="311" spans="1:26">
      <c r="A311" s="71">
        <f>IFERROR(Associates_Call_List_PQ!A311,"")</f>
        <v>45903</v>
      </c>
      <c r="B311" s="57" t="str">
        <f>IF(Associates_Call_List_PQ!B311="","",Associates_Call_List_PQ!B311)</f>
        <v>Kuppuswamy</v>
      </c>
      <c r="C311" s="57" t="str">
        <f>IF(Associates_Call_List_PQ!C311="","",Associates_Call_List_PQ!C311)</f>
        <v>Balaji</v>
      </c>
      <c r="D311" s="57" t="str">
        <f>IF(Associates_Call_List_PQ!D311="","",Associates_Call_List_PQ!D311)</f>
        <v>Peoria</v>
      </c>
      <c r="E311" s="58">
        <f>IF(Associates_Call_List_PQ!E311="","",Associates_Call_List_PQ!E311)</f>
        <v>85383</v>
      </c>
      <c r="F311" s="57" t="str">
        <f>IF(Associates_Call_List_PQ!F311="","",Associates_Call_List_PQ!F311)</f>
        <v>Form letter</v>
      </c>
      <c r="G311" s="57" t="str">
        <f>IF(Associates_Call_List_PQ!G311="","",Associates_Call_List_PQ!G311)</f>
        <v>https://images.edocket.azcc.gov/docketpdf/E000046204.pdf</v>
      </c>
      <c r="H311" s="59" t="str">
        <f>IF(Associates_Call_List_PQ!H311="","",Associates_Call_List_PQ!H311)</f>
        <v>9757441000</v>
      </c>
      <c r="I311" s="57" t="str">
        <f>IF(Associates_Call_List_PQ!I311="","",Associates_Call_List_PQ!I311)</f>
        <v>REV47</v>
      </c>
      <c r="J311" s="57" t="str">
        <f>IF(Associates_Call_List_PQ!J311="","",Associates_Call_List_PQ!J311)</f>
        <v>No</v>
      </c>
      <c r="K311" s="57" t="str">
        <f>IF(Associates_Call_List_PQ!K311="","",Associates_Call_List_PQ!K311)</f>
        <v>No</v>
      </c>
      <c r="L311" s="57" t="str">
        <f>IF(Associates_Call_List_PQ!L311="","",Associates_Call_List_PQ!L311)</f>
        <v>Not available yet</v>
      </c>
      <c r="M311" s="57" t="str">
        <f>IF(Associates_Call_List_PQ!M311="","",Associates_Call_List_PQ!M311)</f>
        <v>No</v>
      </c>
      <c r="N311" s="57" t="str">
        <f>IF(Associates_Call_List_PQ!N311="","",Associates_Call_List_PQ!N311)</f>
        <v>No</v>
      </c>
      <c r="O311" s="57" t="str">
        <f>IF(Associates_Call_List_PQ!O311="","",Associates_Call_List_PQ!O311)</f>
        <v>Yes</v>
      </c>
      <c r="P311" s="57" t="str">
        <f>IF(Associates_Call_List_PQ!P311="","",Associates_Call_List_PQ!P311)</f>
        <v>N</v>
      </c>
      <c r="Q311" s="57">
        <f>IF(Associates_Call_List_PQ!Q311="","",Associates_Call_List_PQ!Q311)</f>
        <v>45967</v>
      </c>
      <c r="R311" s="57" t="str">
        <f>IF(Associates_Call_List_PQ!R311="","",Associates_Call_List_PQ!R311)</f>
        <v>COR requested rate change to R3-47 on 10/1</v>
      </c>
      <c r="S311" s="57" t="str">
        <f>IF(Associates_Call_List_PQ!S311="","",Associates_Call_List_PQ!S311)</f>
        <v/>
      </c>
      <c r="T311" s="57" t="str">
        <f>IF(Associates_Call_List_PQ!T311="","",Associates_Call_List_PQ!T311)</f>
        <v/>
      </c>
      <c r="U311" s="57" t="str">
        <f>IF(Associates_Call_List_PQ!U311="","",Associates_Call_List_PQ!U311)</f>
        <v/>
      </c>
      <c r="V311" s="68" t="s">
        <v>5433</v>
      </c>
      <c r="W311" s="68">
        <v>46060</v>
      </c>
      <c r="X311" s="68" t="s">
        <v>5405</v>
      </c>
      <c r="Y311" s="68"/>
      <c r="Z311" s="72" t="s">
        <v>5438</v>
      </c>
    </row>
    <row r="312" spans="1:26">
      <c r="A312" s="71">
        <f>IFERROR(Associates_Call_List_PQ!A312,"")</f>
        <v>45903</v>
      </c>
      <c r="B312" s="57" t="str">
        <f>IF(Associates_Call_List_PQ!B312="","",Associates_Call_List_PQ!B312)</f>
        <v>Ziller</v>
      </c>
      <c r="C312" s="57" t="str">
        <f>IF(Associates_Call_List_PQ!C312="","",Associates_Call_List_PQ!C312)</f>
        <v>Chris</v>
      </c>
      <c r="D312" s="57" t="str">
        <f>IF(Associates_Call_List_PQ!D312="","",Associates_Call_List_PQ!D312)</f>
        <v>Phoenix</v>
      </c>
      <c r="E312" s="58">
        <f>IF(Associates_Call_List_PQ!E312="","",Associates_Call_List_PQ!E312)</f>
        <v>85027</v>
      </c>
      <c r="F312" s="57" t="str">
        <f>IF(Associates_Call_List_PQ!F312="","",Associates_Call_List_PQ!F312)</f>
        <v>Form letter</v>
      </c>
      <c r="G312" s="57" t="str">
        <f>IF(Associates_Call_List_PQ!G312="","",Associates_Call_List_PQ!G312)</f>
        <v>https://images.edocket.azcc.gov/docketpdf/E000046204.pdf</v>
      </c>
      <c r="H312" s="59" t="str">
        <f>IF(Associates_Call_List_PQ!H312="","",Associates_Call_List_PQ!H312)</f>
        <v>7502531000</v>
      </c>
      <c r="I312" s="57" t="str">
        <f>IF(Associates_Call_List_PQ!I312="","",Associates_Call_List_PQ!I312)</f>
        <v>RTOUE47</v>
      </c>
      <c r="J312" s="57" t="str">
        <f>IF(Associates_Call_List_PQ!J312="","",Associates_Call_List_PQ!J312)</f>
        <v>No</v>
      </c>
      <c r="K312" s="57" t="str">
        <f>IF(Associates_Call_List_PQ!K312="","",Associates_Call_List_PQ!K312)</f>
        <v>No</v>
      </c>
      <c r="L312" s="57" t="str">
        <f>IF(Associates_Call_List_PQ!L312="","",Associates_Call_List_PQ!L312)</f>
        <v>No MEP R3-47 ($90.87)</v>
      </c>
      <c r="M312" s="57" t="str">
        <f>IF(Associates_Call_List_PQ!M312="","",Associates_Call_List_PQ!M312)</f>
        <v>No</v>
      </c>
      <c r="N312" s="57" t="str">
        <f>IF(Associates_Call_List_PQ!N312="","",Associates_Call_List_PQ!N312)</f>
        <v>No</v>
      </c>
      <c r="O312" s="57" t="str">
        <f>IF(Associates_Call_List_PQ!O312="","",Associates_Call_List_PQ!O312)</f>
        <v>Yes</v>
      </c>
      <c r="P312" s="57" t="str">
        <f>IF(Associates_Call_List_PQ!P312="","",Associates_Call_List_PQ!P312)</f>
        <v>N</v>
      </c>
      <c r="Q312" s="57">
        <f>IF(Associates_Call_List_PQ!Q312="","",Associates_Call_List_PQ!Q312)</f>
        <v>45967</v>
      </c>
      <c r="R312" s="57"/>
      <c r="S312" s="57" t="str">
        <f>IF(Associates_Call_List_PQ!S312="","",Associates_Call_List_PQ!S312)</f>
        <v/>
      </c>
      <c r="T312" s="57" t="str">
        <f>IF(Associates_Call_List_PQ!T312="","",Associates_Call_List_PQ!T312)</f>
        <v/>
      </c>
      <c r="U312" s="57" t="s">
        <v>5582</v>
      </c>
      <c r="V312" s="68" t="s">
        <v>117</v>
      </c>
      <c r="W312" s="68">
        <v>46039</v>
      </c>
      <c r="X312" s="68" t="s">
        <v>5434</v>
      </c>
      <c r="Y312" s="68"/>
      <c r="Z312" s="72"/>
    </row>
    <row r="313" spans="1:26">
      <c r="A313" s="71">
        <f>IFERROR(Associates_Call_List_PQ!A313,"")</f>
        <v>45903</v>
      </c>
      <c r="B313" s="57" t="str">
        <f>IF(Associates_Call_List_PQ!B313="","",Associates_Call_List_PQ!B313)</f>
        <v>Rajan</v>
      </c>
      <c r="C313" s="57" t="str">
        <f>IF(Associates_Call_List_PQ!C313="","",Associates_Call_List_PQ!C313)</f>
        <v>Kiran</v>
      </c>
      <c r="D313" s="57" t="str">
        <f>IF(Associates_Call_List_PQ!D313="","",Associates_Call_List_PQ!D313)</f>
        <v>Phoenix</v>
      </c>
      <c r="E313" s="58">
        <f>IF(Associates_Call_List_PQ!E313="","",Associates_Call_List_PQ!E313)</f>
        <v>85086</v>
      </c>
      <c r="F313" s="57" t="str">
        <f>IF(Associates_Call_List_PQ!F313="","",Associates_Call_List_PQ!F313)</f>
        <v>Form letter</v>
      </c>
      <c r="G313" s="57" t="str">
        <f>IF(Associates_Call_List_PQ!G313="","",Associates_Call_List_PQ!G313)</f>
        <v>https://images.edocket.azcc.gov/docketpdf/E000046204.pdf</v>
      </c>
      <c r="H313" s="59" t="str">
        <f>IF(Associates_Call_List_PQ!H313="","",Associates_Call_List_PQ!H313)</f>
        <v>6050230000</v>
      </c>
      <c r="I313" s="57" t="str">
        <f>IF(Associates_Call_List_PQ!I313="","",Associates_Call_List_PQ!I313)</f>
        <v>RCPw/RTOUE47</v>
      </c>
      <c r="J313" s="57" t="str">
        <f>IF(Associates_Call_List_PQ!J313="","",Associates_Call_List_PQ!J313)</f>
        <v>No</v>
      </c>
      <c r="K313" s="57" t="str">
        <f>IF(Associates_Call_List_PQ!K313="","",Associates_Call_List_PQ!K313)</f>
        <v>No</v>
      </c>
      <c r="L313" s="57" t="str">
        <f>IF(Associates_Call_List_PQ!L313="","",Associates_Call_List_PQ!L313)</f>
        <v>NA</v>
      </c>
      <c r="M313" s="57" t="str">
        <f>IF(Associates_Call_List_PQ!M313="","",Associates_Call_List_PQ!M313)</f>
        <v>No</v>
      </c>
      <c r="N313" s="57" t="str">
        <f>IF(Associates_Call_List_PQ!N313="","",Associates_Call_List_PQ!N313)</f>
        <v>No</v>
      </c>
      <c r="O313" s="57" t="str">
        <f>IF(Associates_Call_List_PQ!O313="","",Associates_Call_List_PQ!O313)</f>
        <v>Yes</v>
      </c>
      <c r="P313" s="57" t="str">
        <f>IF(Associates_Call_List_PQ!P313="","",Associates_Call_List_PQ!P313)</f>
        <v>N</v>
      </c>
      <c r="Q313" s="57">
        <f>IF(Associates_Call_List_PQ!Q313="","",Associates_Call_List_PQ!Q313)</f>
        <v>45967</v>
      </c>
      <c r="R313" s="57" t="str">
        <f>IF(Associates_Call_List_PQ!R313="","",Associates_Call_List_PQ!R313)</f>
        <v>MEP does not appear on bill due to 'flagged for irregular usage' - Ashley is looking into it.</v>
      </c>
      <c r="S313" s="57" t="str">
        <f>IF(Associates_Call_List_PQ!S313="","",Associates_Call_List_PQ!S313)</f>
        <v/>
      </c>
      <c r="T313" s="57" t="str">
        <f>IF(Associates_Call_List_PQ!T313="","",Associates_Call_List_PQ!T313)</f>
        <v/>
      </c>
      <c r="U313" s="57" t="str">
        <f>IF(Associates_Call_List_PQ!U313="","",Associates_Call_List_PQ!U313)</f>
        <v/>
      </c>
      <c r="V313" s="68"/>
      <c r="W313" s="68" t="s">
        <v>5432</v>
      </c>
      <c r="X313" s="68"/>
      <c r="Y313" s="68"/>
      <c r="Z313" s="72"/>
    </row>
    <row r="314" spans="1:26">
      <c r="A314" s="71">
        <f>IFERROR(Associates_Call_List_PQ!A314,"")</f>
        <v>45903</v>
      </c>
      <c r="B314" s="57" t="str">
        <f>IF(Associates_Call_List_PQ!B314="","",Associates_Call_List_PQ!B314)</f>
        <v>Vanos</v>
      </c>
      <c r="C314" s="57" t="str">
        <f>IF(Associates_Call_List_PQ!C314="","",Associates_Call_List_PQ!C314)</f>
        <v>Kimberly</v>
      </c>
      <c r="D314" s="57" t="str">
        <f>IF(Associates_Call_List_PQ!D314="","",Associates_Call_List_PQ!D314)</f>
        <v>Avondale</v>
      </c>
      <c r="E314" s="58">
        <f>IF(Associates_Call_List_PQ!E314="","",Associates_Call_List_PQ!E314)</f>
        <v>85392</v>
      </c>
      <c r="F314" s="57" t="str">
        <f>IF(Associates_Call_List_PQ!F314="","",Associates_Call_List_PQ!F314)</f>
        <v>Opposed</v>
      </c>
      <c r="G314" s="57" t="str">
        <f>IF(Associates_Call_List_PQ!G314="","",Associates_Call_List_PQ!G314)</f>
        <v>https://images.edocket.azcc.gov/docketpdf/E000046204.pdf</v>
      </c>
      <c r="H314" s="59" t="str">
        <f>IF(Associates_Call_List_PQ!H314="","",Associates_Call_List_PQ!H314)</f>
        <v>5719941000</v>
      </c>
      <c r="I314" s="57" t="str">
        <f>IF(Associates_Call_List_PQ!I314="","",Associates_Call_List_PQ!I314)</f>
        <v>EPR-6w/ET-2</v>
      </c>
      <c r="J314" s="57" t="str">
        <f>IF(Associates_Call_List_PQ!J314="","",Associates_Call_List_PQ!J314)</f>
        <v>No</v>
      </c>
      <c r="K314" s="57" t="str">
        <f>IF(Associates_Call_List_PQ!K314="","",Associates_Call_List_PQ!K314)</f>
        <v>No</v>
      </c>
      <c r="L314" s="57" t="str">
        <f>IF(Associates_Call_List_PQ!L314="","",Associates_Call_List_PQ!L314)</f>
        <v>Frozen Rate</v>
      </c>
      <c r="M314" s="57" t="str">
        <f>IF(Associates_Call_List_PQ!M314="","",Associates_Call_List_PQ!M314)</f>
        <v>No</v>
      </c>
      <c r="N314" s="57" t="str">
        <f>IF(Associates_Call_List_PQ!N314="","",Associates_Call_List_PQ!N314)</f>
        <v>No</v>
      </c>
      <c r="O314" s="57" t="str">
        <f>IF(Associates_Call_List_PQ!O314="","",Associates_Call_List_PQ!O314)</f>
        <v>Yes</v>
      </c>
      <c r="P314" s="57" t="str">
        <f>IF(Associates_Call_List_PQ!P314="","",Associates_Call_List_PQ!P314)</f>
        <v>N</v>
      </c>
      <c r="Q314" s="57">
        <f>IF(Associates_Call_List_PQ!Q314="","",Associates_Call_List_PQ!Q314)</f>
        <v>45967</v>
      </c>
      <c r="R314" s="57" t="str">
        <f>IF(Associates_Call_List_PQ!R314="","",Associates_Call_List_PQ!R314)</f>
        <v/>
      </c>
      <c r="S314" s="57" t="str">
        <f>IF(Associates_Call_List_PQ!S314="","",Associates_Call_List_PQ!S314)</f>
        <v/>
      </c>
      <c r="T314" s="57" t="str">
        <f>IF(Associates_Call_List_PQ!T314="","",Associates_Call_List_PQ!T314)</f>
        <v/>
      </c>
      <c r="U314" s="57" t="str">
        <f>IF(Associates_Call_List_PQ!U314="","",Associates_Call_List_PQ!U314)</f>
        <v/>
      </c>
      <c r="V314" s="68"/>
      <c r="W314" s="68" t="s">
        <v>5432</v>
      </c>
      <c r="X314" s="68"/>
      <c r="Y314" s="68"/>
      <c r="Z314" s="72"/>
    </row>
    <row r="315" spans="1:26">
      <c r="A315" s="71">
        <f>IFERROR(Associates_Call_List_PQ!A315,"")</f>
        <v>45903</v>
      </c>
      <c r="B315" s="57" t="str">
        <f>IF(Associates_Call_List_PQ!B315="","",Associates_Call_List_PQ!B315)</f>
        <v>Arrowsmith</v>
      </c>
      <c r="C315" s="57" t="str">
        <f>IF(Associates_Call_List_PQ!C315="","",Associates_Call_List_PQ!C315)</f>
        <v>Kelsey</v>
      </c>
      <c r="D315" s="57" t="str">
        <f>IF(Associates_Call_List_PQ!D315="","",Associates_Call_List_PQ!D315)</f>
        <v>Phoenix</v>
      </c>
      <c r="E315" s="58">
        <f>IF(Associates_Call_List_PQ!E315="","",Associates_Call_List_PQ!E315)</f>
        <v>85021</v>
      </c>
      <c r="F315" s="57" t="str">
        <f>IF(Associates_Call_List_PQ!F315="","",Associates_Call_List_PQ!F315)</f>
        <v>Form letter</v>
      </c>
      <c r="G315" s="57" t="str">
        <f>IF(Associates_Call_List_PQ!G315="","",Associates_Call_List_PQ!G315)</f>
        <v>https://images.edocket.azcc.gov/docketpdf/E000046204.pdf</v>
      </c>
      <c r="H315" s="59" t="str">
        <f>IF(Associates_Call_List_PQ!H315="","",Associates_Call_List_PQ!H315)</f>
        <v>0987457107</v>
      </c>
      <c r="I315" s="57" t="str">
        <f>IF(Associates_Call_List_PQ!I315="","",Associates_Call_List_PQ!I315)</f>
        <v>RTOUE47</v>
      </c>
      <c r="J315" s="57" t="str">
        <f>IF(Associates_Call_List_PQ!J315="","",Associates_Call_List_PQ!J315)</f>
        <v>No</v>
      </c>
      <c r="K315" s="57" t="str">
        <f>IF(Associates_Call_List_PQ!K315="","",Associates_Call_List_PQ!K315)</f>
        <v>No</v>
      </c>
      <c r="L315" s="57" t="str">
        <f>IF(Associates_Call_List_PQ!L315="","",Associates_Call_List_PQ!L315)</f>
        <v>No MEP R3-47 ($701.02)</v>
      </c>
      <c r="M315" s="57" t="str">
        <f>IF(Associates_Call_List_PQ!M315="","",Associates_Call_List_PQ!M315)</f>
        <v>No</v>
      </c>
      <c r="N315" s="57" t="str">
        <f>IF(Associates_Call_List_PQ!N315="","",Associates_Call_List_PQ!N315)</f>
        <v>No</v>
      </c>
      <c r="O315" s="57" t="str">
        <f>IF(Associates_Call_List_PQ!O315="","",Associates_Call_List_PQ!O315)</f>
        <v>Yes</v>
      </c>
      <c r="P315" s="57">
        <f>IF(Associates_Call_List_PQ!P315="","",Associates_Call_List_PQ!P315)</f>
        <v>45936</v>
      </c>
      <c r="Q315" s="57">
        <f>IF(Associates_Call_List_PQ!Q315="","",Associates_Call_List_PQ!Q315)</f>
        <v>45967</v>
      </c>
      <c r="R315" s="57" t="str">
        <f>IF(Associates_Call_List_PQ!R315="","",Associates_Call_List_PQ!R315)</f>
        <v>10/6 Left VM</v>
      </c>
      <c r="S315" s="57" t="str">
        <f>IF(Associates_Call_List_PQ!S315="","",Associates_Call_List_PQ!S315)</f>
        <v/>
      </c>
      <c r="T315" s="57" t="str">
        <f>IF(Associates_Call_List_PQ!T315="","",Associates_Call_List_PQ!T315)</f>
        <v/>
      </c>
      <c r="U315" s="57" t="s">
        <v>5513</v>
      </c>
      <c r="V315" s="68" t="s">
        <v>117</v>
      </c>
      <c r="W315" s="68">
        <v>46039</v>
      </c>
      <c r="X315" s="68" t="s">
        <v>5434</v>
      </c>
      <c r="Y315" s="68"/>
      <c r="Z315" s="72"/>
    </row>
    <row r="316" spans="1:26">
      <c r="A316" s="71">
        <f>IFERROR(Associates_Call_List_PQ!A316,"")</f>
        <v>45903</v>
      </c>
      <c r="B316" s="57" t="str">
        <f>IF(Associates_Call_List_PQ!B316="","",Associates_Call_List_PQ!B316)</f>
        <v>Yadav</v>
      </c>
      <c r="C316" s="57" t="str">
        <f>IF(Associates_Call_List_PQ!C316="","",Associates_Call_List_PQ!C316)</f>
        <v>Ashish</v>
      </c>
      <c r="D316" s="57" t="str">
        <f>IF(Associates_Call_List_PQ!D316="","",Associates_Call_List_PQ!D316)</f>
        <v>Phoenix</v>
      </c>
      <c r="E316" s="58">
        <f>IF(Associates_Call_List_PQ!E316="","",Associates_Call_List_PQ!E316)</f>
        <v>85024</v>
      </c>
      <c r="F316" s="57" t="str">
        <f>IF(Associates_Call_List_PQ!F316="","",Associates_Call_List_PQ!F316)</f>
        <v>Form letter</v>
      </c>
      <c r="G316" s="57" t="str">
        <f>IF(Associates_Call_List_PQ!G316="","",Associates_Call_List_PQ!G316)</f>
        <v>https://images.edocket.azcc.gov/docketpdf/E000046204.pdf</v>
      </c>
      <c r="H316" s="59" t="str">
        <f>IF(Associates_Call_List_PQ!H316="","",Associates_Call_List_PQ!H316)</f>
        <v>3043741000</v>
      </c>
      <c r="I316" s="57" t="str">
        <f>IF(Associates_Call_List_PQ!I316="","",Associates_Call_List_PQ!I316)</f>
        <v>R3-47</v>
      </c>
      <c r="J316" s="57" t="str">
        <f>IF(Associates_Call_List_PQ!J316="","",Associates_Call_List_PQ!J316)</f>
        <v>No</v>
      </c>
      <c r="K316" s="57" t="str">
        <f>IF(Associates_Call_List_PQ!K316="","",Associates_Call_List_PQ!K316)</f>
        <v>No</v>
      </c>
      <c r="L316" s="57" t="str">
        <f>IF(Associates_Call_List_PQ!L316="","",Associates_Call_List_PQ!L316)</f>
        <v>Yes</v>
      </c>
      <c r="M316" s="57" t="str">
        <f>IF(Associates_Call_List_PQ!M316="","",Associates_Call_List_PQ!M316)</f>
        <v>No</v>
      </c>
      <c r="N316" s="57" t="str">
        <f>IF(Associates_Call_List_PQ!N316="","",Associates_Call_List_PQ!N316)</f>
        <v>No</v>
      </c>
      <c r="O316" s="57" t="str">
        <f>IF(Associates_Call_List_PQ!O316="","",Associates_Call_List_PQ!O316)</f>
        <v>Yes</v>
      </c>
      <c r="P316" s="57" t="str">
        <f>IF(Associates_Call_List_PQ!P316="","",Associates_Call_List_PQ!P316)</f>
        <v>N</v>
      </c>
      <c r="Q316" s="57">
        <f>IF(Associates_Call_List_PQ!Q316="","",Associates_Call_List_PQ!Q316)</f>
        <v>45967</v>
      </c>
      <c r="R316" s="57" t="str">
        <f>IF(Associates_Call_List_PQ!R316="","",Associates_Call_List_PQ!R316)</f>
        <v/>
      </c>
      <c r="S316" s="57" t="str">
        <f>IF(Associates_Call_List_PQ!S316="","",Associates_Call_List_PQ!S316)</f>
        <v/>
      </c>
      <c r="T316" s="57" t="str">
        <f>IF(Associates_Call_List_PQ!T316="","",Associates_Call_List_PQ!T316)</f>
        <v/>
      </c>
      <c r="U316" s="57" t="str">
        <f>IF(Associates_Call_List_PQ!U316="","",Associates_Call_List_PQ!U316)</f>
        <v/>
      </c>
      <c r="V316" s="68"/>
      <c r="W316" s="68" t="s">
        <v>5432</v>
      </c>
      <c r="X316" s="68"/>
      <c r="Y316" s="68"/>
      <c r="Z316" s="72"/>
    </row>
    <row r="317" spans="1:26">
      <c r="A317" s="71">
        <f>IFERROR(Associates_Call_List_PQ!A317,"")</f>
        <v>45903</v>
      </c>
      <c r="B317" s="57" t="str">
        <f>IF(Associates_Call_List_PQ!B317="","",Associates_Call_List_PQ!B317)</f>
        <v>Ahmad</v>
      </c>
      <c r="C317" s="57" t="str">
        <f>IF(Associates_Call_List_PQ!C317="","",Associates_Call_List_PQ!C317)</f>
        <v>Ammara</v>
      </c>
      <c r="D317" s="57" t="str">
        <f>IF(Associates_Call_List_PQ!D317="","",Associates_Call_List_PQ!D317)</f>
        <v>Goodyear</v>
      </c>
      <c r="E317" s="58">
        <f>IF(Associates_Call_List_PQ!E317="","",Associates_Call_List_PQ!E317)</f>
        <v>85338</v>
      </c>
      <c r="F317" s="57" t="str">
        <f>IF(Associates_Call_List_PQ!F317="","",Associates_Call_List_PQ!F317)</f>
        <v>Opposed</v>
      </c>
      <c r="G317" s="57" t="str">
        <f>IF(Associates_Call_List_PQ!G317="","",Associates_Call_List_PQ!G317)</f>
        <v>https://images.edocket.azcc.gov/docketpdf/E000046204.pdf</v>
      </c>
      <c r="H317" s="59" t="str">
        <f>IF(Associates_Call_List_PQ!H317="","",Associates_Call_List_PQ!H317)</f>
        <v>1316621000</v>
      </c>
      <c r="I317" s="57" t="str">
        <f>IF(Associates_Call_List_PQ!I317="","",Associates_Call_List_PQ!I317)</f>
        <v>R-BASIC</v>
      </c>
      <c r="J317" s="57" t="str">
        <f>IF(Associates_Call_List_PQ!J317="","",Associates_Call_List_PQ!J317)</f>
        <v>Yes</v>
      </c>
      <c r="K317" s="57" t="str">
        <f>IF(Associates_Call_List_PQ!K317="","",Associates_Call_List_PQ!K317)</f>
        <v>No</v>
      </c>
      <c r="L317" s="57" t="str">
        <f>IF(Associates_Call_List_PQ!L317="","",Associates_Call_List_PQ!L317)</f>
        <v>No MEP R3-47 ($55.98)</v>
      </c>
      <c r="M317" s="57" t="str">
        <f>IF(Associates_Call_List_PQ!M317="","",Associates_Call_List_PQ!M317)</f>
        <v>No</v>
      </c>
      <c r="N317" s="57" t="str">
        <f>IF(Associates_Call_List_PQ!N317="","",Associates_Call_List_PQ!N317)</f>
        <v>No</v>
      </c>
      <c r="O317" s="57" t="str">
        <f>IF(Associates_Call_List_PQ!O317="","",Associates_Call_List_PQ!O317)</f>
        <v>Yes</v>
      </c>
      <c r="P317" s="57">
        <f>IF(Associates_Call_List_PQ!P317="","",Associates_Call_List_PQ!P317)</f>
        <v>45936</v>
      </c>
      <c r="Q317" s="57">
        <f>IF(Associates_Call_List_PQ!Q317="","",Associates_Call_List_PQ!Q317)</f>
        <v>45967</v>
      </c>
      <c r="R317" s="57" t="str">
        <f>IF(Associates_Call_List_PQ!R317="","",Associates_Call_List_PQ!R317)</f>
        <v>10/6 Left VM</v>
      </c>
      <c r="S317" s="57" t="str">
        <f>IF(Associates_Call_List_PQ!S317="","",Associates_Call_List_PQ!S317)</f>
        <v/>
      </c>
      <c r="T317" s="57" t="str">
        <f>IF(Associates_Call_List_PQ!T317="","",Associates_Call_List_PQ!T317)</f>
        <v/>
      </c>
      <c r="U317" s="57" t="s">
        <v>5513</v>
      </c>
      <c r="V317" s="68" t="s">
        <v>117</v>
      </c>
      <c r="W317" s="68">
        <v>46039</v>
      </c>
      <c r="X317" s="68" t="s">
        <v>5434</v>
      </c>
      <c r="Y317" s="68"/>
      <c r="Z317" s="72"/>
    </row>
    <row r="318" spans="1:26">
      <c r="A318" s="71">
        <f>IFERROR(Associates_Call_List_PQ!A318,"")</f>
        <v>45903</v>
      </c>
      <c r="B318" s="57" t="str">
        <f>IF(Associates_Call_List_PQ!B318="","",Associates_Call_List_PQ!B318)</f>
        <v>Chinta</v>
      </c>
      <c r="C318" s="57" t="str">
        <f>IF(Associates_Call_List_PQ!C318="","",Associates_Call_List_PQ!C318)</f>
        <v>Bhavanishankar</v>
      </c>
      <c r="D318" s="57" t="str">
        <f>IF(Associates_Call_List_PQ!D318="","",Associates_Call_List_PQ!D318)</f>
        <v>Surprise</v>
      </c>
      <c r="E318" s="58">
        <f>IF(Associates_Call_List_PQ!E318="","",Associates_Call_List_PQ!E318)</f>
        <v>85379</v>
      </c>
      <c r="F318" s="57" t="str">
        <f>IF(Associates_Call_List_PQ!F318="","",Associates_Call_List_PQ!F318)</f>
        <v>Opposed</v>
      </c>
      <c r="G318" s="57" t="str">
        <f>IF(Associates_Call_List_PQ!G318="","",Associates_Call_List_PQ!G318)</f>
        <v>https://images.edocket.azcc.gov/docketpdf/E000046204.pdf</v>
      </c>
      <c r="H318" s="59" t="str">
        <f>IF(Associates_Call_List_PQ!H318="","",Associates_Call_List_PQ!H318)</f>
        <v>7992160000</v>
      </c>
      <c r="I318" s="57" t="str">
        <f>IF(Associates_Call_List_PQ!I318="","",Associates_Call_List_PQ!I318)</f>
        <v>R3-47</v>
      </c>
      <c r="J318" s="57" t="str">
        <f>IF(Associates_Call_List_PQ!J318="","",Associates_Call_List_PQ!J318)</f>
        <v>No</v>
      </c>
      <c r="K318" s="57" t="str">
        <f>IF(Associates_Call_List_PQ!K318="","",Associates_Call_List_PQ!K318)</f>
        <v>No</v>
      </c>
      <c r="L318" s="57" t="str">
        <f>IF(Associates_Call_List_PQ!L318="","",Associates_Call_List_PQ!L318)</f>
        <v>Yes</v>
      </c>
      <c r="M318" s="57" t="str">
        <f>IF(Associates_Call_List_PQ!M318="","",Associates_Call_List_PQ!M318)</f>
        <v>No</v>
      </c>
      <c r="N318" s="57" t="str">
        <f>IF(Associates_Call_List_PQ!N318="","",Associates_Call_List_PQ!N318)</f>
        <v>No</v>
      </c>
      <c r="O318" s="57" t="str">
        <f>IF(Associates_Call_List_PQ!O318="","",Associates_Call_List_PQ!O318)</f>
        <v>Yes</v>
      </c>
      <c r="P318" s="57" t="str">
        <f>IF(Associates_Call_List_PQ!P318="","",Associates_Call_List_PQ!P318)</f>
        <v>N</v>
      </c>
      <c r="Q318" s="57">
        <f>IF(Associates_Call_List_PQ!Q318="","",Associates_Call_List_PQ!Q318)</f>
        <v>45967</v>
      </c>
      <c r="R318" s="57" t="str">
        <f>IF(Associates_Call_List_PQ!R318="","",Associates_Call_List_PQ!R318)</f>
        <v/>
      </c>
      <c r="S318" s="57" t="str">
        <f>IF(Associates_Call_List_PQ!S318="","",Associates_Call_List_PQ!S318)</f>
        <v/>
      </c>
      <c r="T318" s="57" t="str">
        <f>IF(Associates_Call_List_PQ!T318="","",Associates_Call_List_PQ!T318)</f>
        <v/>
      </c>
      <c r="U318" s="57" t="str">
        <f>IF(Associates_Call_List_PQ!U318="","",Associates_Call_List_PQ!U318)</f>
        <v/>
      </c>
      <c r="V318" s="68"/>
      <c r="W318" s="68" t="s">
        <v>5432</v>
      </c>
      <c r="X318" s="68"/>
      <c r="Y318" s="68"/>
      <c r="Z318" s="72"/>
    </row>
    <row r="319" spans="1:26">
      <c r="A319" s="71">
        <f>IFERROR(Associates_Call_List_PQ!A319,"")</f>
        <v>45903</v>
      </c>
      <c r="B319" s="57" t="str">
        <f>IF(Associates_Call_List_PQ!B319="","",Associates_Call_List_PQ!B319)</f>
        <v>Rauschkolb</v>
      </c>
      <c r="C319" s="57" t="str">
        <f>IF(Associates_Call_List_PQ!C319="","",Associates_Call_List_PQ!C319)</f>
        <v>Phillip</v>
      </c>
      <c r="D319" s="57" t="str">
        <f>IF(Associates_Call_List_PQ!D319="","",Associates_Call_List_PQ!D319)</f>
        <v>Goodyear</v>
      </c>
      <c r="E319" s="58">
        <f>IF(Associates_Call_List_PQ!E319="","",Associates_Call_List_PQ!E319)</f>
        <v>85338</v>
      </c>
      <c r="F319" s="57" t="str">
        <f>IF(Associates_Call_List_PQ!F319="","",Associates_Call_List_PQ!F319)</f>
        <v>Form letter</v>
      </c>
      <c r="G319" s="57" t="str">
        <f>IF(Associates_Call_List_PQ!G319="","",Associates_Call_List_PQ!G319)</f>
        <v>https://images.edocket.azcc.gov/docketpdf/E000046204.pdf</v>
      </c>
      <c r="H319" s="59" t="str">
        <f>IF(Associates_Call_List_PQ!H319="","",Associates_Call_List_PQ!H319)</f>
        <v>4026025798</v>
      </c>
      <c r="I319" s="57" t="str">
        <f>IF(Associates_Call_List_PQ!I319="","",Associates_Call_List_PQ!I319)</f>
        <v>R-BASICL</v>
      </c>
      <c r="J319" s="57" t="str">
        <f>IF(Associates_Call_List_PQ!J319="","",Associates_Call_List_PQ!J319)</f>
        <v>No</v>
      </c>
      <c r="K319" s="57" t="str">
        <f>IF(Associates_Call_List_PQ!K319="","",Associates_Call_List_PQ!K319)</f>
        <v>No</v>
      </c>
      <c r="L319" s="57" t="str">
        <f>IF(Associates_Call_List_PQ!L319="","",Associates_Call_List_PQ!L319)</f>
        <v>No MEP R3-47 ($30.33)</v>
      </c>
      <c r="M319" s="57" t="str">
        <f>IF(Associates_Call_List_PQ!M319="","",Associates_Call_List_PQ!M319)</f>
        <v>No</v>
      </c>
      <c r="N319" s="57" t="str">
        <f>IF(Associates_Call_List_PQ!N319="","",Associates_Call_List_PQ!N319)</f>
        <v>No</v>
      </c>
      <c r="O319" s="57" t="str">
        <f>IF(Associates_Call_List_PQ!O319="","",Associates_Call_List_PQ!O319)</f>
        <v>Yes</v>
      </c>
      <c r="P319" s="57" t="str">
        <f>IF(Associates_Call_List_PQ!P319="","",Associates_Call_List_PQ!P319)</f>
        <v>N</v>
      </c>
      <c r="Q319" s="57">
        <f>IF(Associates_Call_List_PQ!Q319="","",Associates_Call_List_PQ!Q319)</f>
        <v>45967</v>
      </c>
      <c r="R319" s="57" t="str">
        <f>IF(Associates_Call_List_PQ!R319="","",Associates_Call_List_PQ!R319)</f>
        <v/>
      </c>
      <c r="S319" s="57" t="str">
        <f>IF(Associates_Call_List_PQ!S319="","",Associates_Call_List_PQ!S319)</f>
        <v/>
      </c>
      <c r="T319" s="57" t="str">
        <f>IF(Associates_Call_List_PQ!T319="","",Associates_Call_List_PQ!T319)</f>
        <v/>
      </c>
      <c r="U319" s="57" t="s">
        <v>5587</v>
      </c>
      <c r="V319" s="68" t="s">
        <v>117</v>
      </c>
      <c r="W319" s="68">
        <v>46039</v>
      </c>
      <c r="X319" s="68" t="s">
        <v>5434</v>
      </c>
      <c r="Y319" s="68"/>
      <c r="Z319" s="72"/>
    </row>
    <row r="320" spans="1:26">
      <c r="A320" s="71">
        <f>IFERROR(Associates_Call_List_PQ!A320,"")</f>
        <v>45903</v>
      </c>
      <c r="B320" s="57" t="str">
        <f>IF(Associates_Call_List_PQ!B320="","",Associates_Call_List_PQ!B320)</f>
        <v>Paul</v>
      </c>
      <c r="C320" s="57" t="str">
        <f>IF(Associates_Call_List_PQ!C320="","",Associates_Call_List_PQ!C320)</f>
        <v>Justin</v>
      </c>
      <c r="D320" s="57" t="str">
        <f>IF(Associates_Call_List_PQ!D320="","",Associates_Call_List_PQ!D320)</f>
        <v>Phoenix</v>
      </c>
      <c r="E320" s="58">
        <f>IF(Associates_Call_List_PQ!E320="","",Associates_Call_List_PQ!E320)</f>
        <v>85085</v>
      </c>
      <c r="F320" s="57" t="str">
        <f>IF(Associates_Call_List_PQ!F320="","",Associates_Call_List_PQ!F320)</f>
        <v>Opposed</v>
      </c>
      <c r="G320" s="57" t="str">
        <f>IF(Associates_Call_List_PQ!G320="","",Associates_Call_List_PQ!G320)</f>
        <v>https://images.edocket.azcc.gov/docketpdf/E000046204.pdf</v>
      </c>
      <c r="H320" s="59" t="str">
        <f>IF(Associates_Call_List_PQ!H320="","",Associates_Call_List_PQ!H320)</f>
        <v>6379311000</v>
      </c>
      <c r="I320" s="57" t="str">
        <f>IF(Associates_Call_List_PQ!I320="","",Associates_Call_List_PQ!I320)</f>
        <v>RCPw/R3-47</v>
      </c>
      <c r="J320" s="57" t="str">
        <f>IF(Associates_Call_List_PQ!J320="","",Associates_Call_List_PQ!J320)</f>
        <v>No</v>
      </c>
      <c r="K320" s="57" t="str">
        <f>IF(Associates_Call_List_PQ!K320="","",Associates_Call_List_PQ!K320)</f>
        <v>No</v>
      </c>
      <c r="L320" s="57" t="str">
        <f>IF(Associates_Call_List_PQ!L320="","",Associates_Call_List_PQ!L320)</f>
        <v>Yes</v>
      </c>
      <c r="M320" s="57" t="str">
        <f>IF(Associates_Call_List_PQ!M320="","",Associates_Call_List_PQ!M320)</f>
        <v>No</v>
      </c>
      <c r="N320" s="57" t="str">
        <f>IF(Associates_Call_List_PQ!N320="","",Associates_Call_List_PQ!N320)</f>
        <v>No</v>
      </c>
      <c r="O320" s="57" t="str">
        <f>IF(Associates_Call_List_PQ!O320="","",Associates_Call_List_PQ!O320)</f>
        <v>Yes</v>
      </c>
      <c r="P320" s="57" t="str">
        <f>IF(Associates_Call_List_PQ!P320="","",Associates_Call_List_PQ!P320)</f>
        <v>N</v>
      </c>
      <c r="Q320" s="57">
        <f>IF(Associates_Call_List_PQ!Q320="","",Associates_Call_List_PQ!Q320)</f>
        <v>45967</v>
      </c>
      <c r="R320" s="57" t="str">
        <f>IF(Associates_Call_List_PQ!R320="","",Associates_Call_List_PQ!R320)</f>
        <v/>
      </c>
      <c r="S320" s="57" t="str">
        <f>IF(Associates_Call_List_PQ!S320="","",Associates_Call_List_PQ!S320)</f>
        <v/>
      </c>
      <c r="T320" s="57" t="str">
        <f>IF(Associates_Call_List_PQ!T320="","",Associates_Call_List_PQ!T320)</f>
        <v/>
      </c>
      <c r="U320" s="57" t="str">
        <f>IF(Associates_Call_List_PQ!U320="","",Associates_Call_List_PQ!U320)</f>
        <v/>
      </c>
      <c r="V320" s="68"/>
      <c r="W320" s="68" t="s">
        <v>5432</v>
      </c>
      <c r="X320" s="68"/>
      <c r="Y320" s="68"/>
      <c r="Z320" s="72"/>
    </row>
    <row r="321" spans="1:26">
      <c r="A321" s="71">
        <f>IFERROR(Associates_Call_List_PQ!A321,"")</f>
        <v>45903</v>
      </c>
      <c r="B321" s="57" t="str">
        <f>IF(Associates_Call_List_PQ!B321="","",Associates_Call_List_PQ!B321)</f>
        <v>Fugiel</v>
      </c>
      <c r="C321" s="57" t="str">
        <f>IF(Associates_Call_List_PQ!C321="","",Associates_Call_List_PQ!C321)</f>
        <v>Kirsten</v>
      </c>
      <c r="D321" s="57" t="str">
        <f>IF(Associates_Call_List_PQ!D321="","",Associates_Call_List_PQ!D321)</f>
        <v>Phoenix</v>
      </c>
      <c r="E321" s="58">
        <f>IF(Associates_Call_List_PQ!E321="","",Associates_Call_List_PQ!E321)</f>
        <v>85053</v>
      </c>
      <c r="F321" s="57" t="str">
        <f>IF(Associates_Call_List_PQ!F321="","",Associates_Call_List_PQ!F321)</f>
        <v>Opposed</v>
      </c>
      <c r="G321" s="57" t="str">
        <f>IF(Associates_Call_List_PQ!G321="","",Associates_Call_List_PQ!G321)</f>
        <v>https://images.edocket.azcc.gov/docketpdf/E000046204.pdf</v>
      </c>
      <c r="H321" s="59" t="str">
        <f>IF(Associates_Call_List_PQ!H321="","",Associates_Call_List_PQ!H321)</f>
        <v>0843128737</v>
      </c>
      <c r="I321" s="57" t="str">
        <f>IF(Associates_Call_List_PQ!I321="","",Associates_Call_List_PQ!I321)</f>
        <v>RCPw/R3-47</v>
      </c>
      <c r="J321" s="57" t="str">
        <f>IF(Associates_Call_List_PQ!J321="","",Associates_Call_List_PQ!J321)</f>
        <v>No</v>
      </c>
      <c r="K321" s="57" t="str">
        <f>IF(Associates_Call_List_PQ!K321="","",Associates_Call_List_PQ!K321)</f>
        <v>No</v>
      </c>
      <c r="L321" s="57" t="str">
        <f>IF(Associates_Call_List_PQ!L321="","",Associates_Call_List_PQ!L321)</f>
        <v>Yes</v>
      </c>
      <c r="M321" s="57" t="str">
        <f>IF(Associates_Call_List_PQ!M321="","",Associates_Call_List_PQ!M321)</f>
        <v>No</v>
      </c>
      <c r="N321" s="57" t="str">
        <f>IF(Associates_Call_List_PQ!N321="","",Associates_Call_List_PQ!N321)</f>
        <v>No</v>
      </c>
      <c r="O321" s="57" t="str">
        <f>IF(Associates_Call_List_PQ!O321="","",Associates_Call_List_PQ!O321)</f>
        <v>Yes</v>
      </c>
      <c r="P321" s="57" t="str">
        <f>IF(Associates_Call_List_PQ!P321="","",Associates_Call_List_PQ!P321)</f>
        <v>N</v>
      </c>
      <c r="Q321" s="57">
        <f>IF(Associates_Call_List_PQ!Q321="","",Associates_Call_List_PQ!Q321)</f>
        <v>45967</v>
      </c>
      <c r="R321" s="57" t="str">
        <f>IF(Associates_Call_List_PQ!R321="","",Associates_Call_List_PQ!R321)</f>
        <v/>
      </c>
      <c r="S321" s="57" t="str">
        <f>IF(Associates_Call_List_PQ!S321="","",Associates_Call_List_PQ!S321)</f>
        <v/>
      </c>
      <c r="T321" s="57" t="str">
        <f>IF(Associates_Call_List_PQ!T321="","",Associates_Call_List_PQ!T321)</f>
        <v/>
      </c>
      <c r="U321" s="57" t="str">
        <f>IF(Associates_Call_List_PQ!U321="","",Associates_Call_List_PQ!U321)</f>
        <v/>
      </c>
      <c r="V321" s="68"/>
      <c r="W321" s="68" t="s">
        <v>5432</v>
      </c>
      <c r="X321" s="68"/>
      <c r="Y321" s="68"/>
      <c r="Z321" s="72"/>
    </row>
    <row r="322" spans="1:26">
      <c r="A322" s="71">
        <f>IFERROR(Associates_Call_List_PQ!A322,"")</f>
        <v>45903</v>
      </c>
      <c r="B322" s="57" t="str">
        <f>IF(Associates_Call_List_PQ!B322="","",Associates_Call_List_PQ!B322)</f>
        <v>Brower</v>
      </c>
      <c r="C322" s="57" t="str">
        <f>IF(Associates_Call_List_PQ!C322="","",Associates_Call_List_PQ!C322)</f>
        <v>Randall</v>
      </c>
      <c r="D322" s="57" t="str">
        <f>IF(Associates_Call_List_PQ!D322="","",Associates_Call_List_PQ!D322)</f>
        <v>Goodyear</v>
      </c>
      <c r="E322" s="58">
        <f>IF(Associates_Call_List_PQ!E322="","",Associates_Call_List_PQ!E322)</f>
        <v>85395</v>
      </c>
      <c r="F322" s="57" t="str">
        <f>IF(Associates_Call_List_PQ!F322="","",Associates_Call_List_PQ!F322)</f>
        <v>Opposed</v>
      </c>
      <c r="G322" s="57" t="str">
        <f>IF(Associates_Call_List_PQ!G322="","",Associates_Call_List_PQ!G322)</f>
        <v>https://images.edocket.azcc.gov/docketpdf/E000046204.pdf</v>
      </c>
      <c r="H322" s="59" t="str">
        <f>IF(Associates_Call_List_PQ!H322="","",Associates_Call_List_PQ!H322)</f>
        <v>3675324926</v>
      </c>
      <c r="I322" s="57" t="str">
        <f>IF(Associates_Call_List_PQ!I322="","",Associates_Call_List_PQ!I322)</f>
        <v>EPR-6w/E-12</v>
      </c>
      <c r="J322" s="57" t="str">
        <f>IF(Associates_Call_List_PQ!J322="","",Associates_Call_List_PQ!J322)</f>
        <v>No</v>
      </c>
      <c r="K322" s="57" t="str">
        <f>IF(Associates_Call_List_PQ!K322="","",Associates_Call_List_PQ!K322)</f>
        <v>No</v>
      </c>
      <c r="L322" s="57" t="str">
        <f>IF(Associates_Call_List_PQ!L322="","",Associates_Call_List_PQ!L322)</f>
        <v>Frozen Rate</v>
      </c>
      <c r="M322" s="57" t="str">
        <f>IF(Associates_Call_List_PQ!M322="","",Associates_Call_List_PQ!M322)</f>
        <v>No</v>
      </c>
      <c r="N322" s="57" t="str">
        <f>IF(Associates_Call_List_PQ!N322="","",Associates_Call_List_PQ!N322)</f>
        <v>No</v>
      </c>
      <c r="O322" s="57" t="str">
        <f>IF(Associates_Call_List_PQ!O322="","",Associates_Call_List_PQ!O322)</f>
        <v>Yes</v>
      </c>
      <c r="P322" s="57" t="str">
        <f>IF(Associates_Call_List_PQ!P322="","",Associates_Call_List_PQ!P322)</f>
        <v>N</v>
      </c>
      <c r="Q322" s="57">
        <f>IF(Associates_Call_List_PQ!Q322="","",Associates_Call_List_PQ!Q322)</f>
        <v>45967</v>
      </c>
      <c r="R322" s="57" t="str">
        <f>IF(Associates_Call_List_PQ!R322="","",Associates_Call_List_PQ!R322)</f>
        <v/>
      </c>
      <c r="S322" s="57" t="str">
        <f>IF(Associates_Call_List_PQ!S322="","",Associates_Call_List_PQ!S322)</f>
        <v/>
      </c>
      <c r="T322" s="57" t="str">
        <f>IF(Associates_Call_List_PQ!T322="","",Associates_Call_List_PQ!T322)</f>
        <v/>
      </c>
      <c r="U322" s="57" t="str">
        <f>IF(Associates_Call_List_PQ!U322="","",Associates_Call_List_PQ!U322)</f>
        <v/>
      </c>
      <c r="V322" s="68"/>
      <c r="W322" s="68" t="s">
        <v>5432</v>
      </c>
      <c r="X322" s="68"/>
      <c r="Y322" s="68"/>
      <c r="Z322" s="72"/>
    </row>
    <row r="323" spans="1:26">
      <c r="A323" s="71">
        <f>IFERROR(Associates_Call_List_PQ!A323,"")</f>
        <v>45903</v>
      </c>
      <c r="B323" s="57" t="str">
        <f>IF(Associates_Call_List_PQ!B323="","",Associates_Call_List_PQ!B323)</f>
        <v>Willems</v>
      </c>
      <c r="C323" s="57" t="str">
        <f>IF(Associates_Call_List_PQ!C323="","",Associates_Call_List_PQ!C323)</f>
        <v>Dale</v>
      </c>
      <c r="D323" s="57" t="str">
        <f>IF(Associates_Call_List_PQ!D323="","",Associates_Call_List_PQ!D323)</f>
        <v>Casa Grande</v>
      </c>
      <c r="E323" s="58">
        <f>IF(Associates_Call_List_PQ!E323="","",Associates_Call_List_PQ!E323)</f>
        <v>85123</v>
      </c>
      <c r="F323" s="57" t="str">
        <f>IF(Associates_Call_List_PQ!F323="","",Associates_Call_List_PQ!F323)</f>
        <v>Opposed</v>
      </c>
      <c r="G323" s="57" t="str">
        <f>IF(Associates_Call_List_PQ!G323="","",Associates_Call_List_PQ!G323)</f>
        <v>https://images.edocket.azcc.gov/docketpdf/E000046204.pdf</v>
      </c>
      <c r="H323" s="59" t="str">
        <f>IF(Associates_Call_List_PQ!H323="","",Associates_Call_List_PQ!H323)</f>
        <v>3143419434</v>
      </c>
      <c r="I323" s="57" t="str">
        <f>IF(Associates_Call_List_PQ!I323="","",Associates_Call_List_PQ!I323)</f>
        <v>R-BASIC</v>
      </c>
      <c r="J323" s="57" t="str">
        <f>IF(Associates_Call_List_PQ!J323="","",Associates_Call_List_PQ!J323)</f>
        <v>No</v>
      </c>
      <c r="K323" s="57" t="str">
        <f>IF(Associates_Call_List_PQ!K323="","",Associates_Call_List_PQ!K323)</f>
        <v>No</v>
      </c>
      <c r="L323" s="57" t="str">
        <f>IF(Associates_Call_List_PQ!L323="","",Associates_Call_List_PQ!L323)</f>
        <v>Yes</v>
      </c>
      <c r="M323" s="57" t="str">
        <f>IF(Associates_Call_List_PQ!M323="","",Associates_Call_List_PQ!M323)</f>
        <v>No</v>
      </c>
      <c r="N323" s="57" t="str">
        <f>IF(Associates_Call_List_PQ!N323="","",Associates_Call_List_PQ!N323)</f>
        <v>No</v>
      </c>
      <c r="O323" s="57" t="str">
        <f>IF(Associates_Call_List_PQ!O323="","",Associates_Call_List_PQ!O323)</f>
        <v>Yes</v>
      </c>
      <c r="P323" s="57" t="str">
        <f>IF(Associates_Call_List_PQ!P323="","",Associates_Call_List_PQ!P323)</f>
        <v>N</v>
      </c>
      <c r="Q323" s="57">
        <f>IF(Associates_Call_List_PQ!Q323="","",Associates_Call_List_PQ!Q323)</f>
        <v>45967</v>
      </c>
      <c r="R323" s="57" t="str">
        <f>IF(Associates_Call_List_PQ!R323="","",Associates_Call_List_PQ!R323)</f>
        <v/>
      </c>
      <c r="S323" s="57" t="str">
        <f>IF(Associates_Call_List_PQ!S323="","",Associates_Call_List_PQ!S323)</f>
        <v/>
      </c>
      <c r="T323" s="57" t="str">
        <f>IF(Associates_Call_List_PQ!T323="","",Associates_Call_List_PQ!T323)</f>
        <v/>
      </c>
      <c r="U323" s="57" t="str">
        <f>IF(Associates_Call_List_PQ!U323="","",Associates_Call_List_PQ!U323)</f>
        <v/>
      </c>
      <c r="V323" s="68"/>
      <c r="W323" s="68" t="s">
        <v>5432</v>
      </c>
      <c r="X323" s="68"/>
      <c r="Y323" s="68"/>
      <c r="Z323" s="72"/>
    </row>
    <row r="324" spans="1:26">
      <c r="A324" s="71">
        <f>IFERROR(Associates_Call_List_PQ!A324,"")</f>
        <v>45903</v>
      </c>
      <c r="B324" s="57" t="str">
        <f>IF(Associates_Call_List_PQ!B324="","",Associates_Call_List_PQ!B324)</f>
        <v>Anna</v>
      </c>
      <c r="C324" s="57" t="str">
        <f>IF(Associates_Call_List_PQ!C324="","",Associates_Call_List_PQ!C324)</f>
        <v>Pradeep</v>
      </c>
      <c r="D324" s="57" t="str">
        <f>IF(Associates_Call_List_PQ!D324="","",Associates_Call_List_PQ!D324)</f>
        <v>Phoenix</v>
      </c>
      <c r="E324" s="58">
        <f>IF(Associates_Call_List_PQ!E324="","",Associates_Call_List_PQ!E324)</f>
        <v>85085</v>
      </c>
      <c r="F324" s="57" t="str">
        <f>IF(Associates_Call_List_PQ!F324="","",Associates_Call_List_PQ!F324)</f>
        <v>Opposed</v>
      </c>
      <c r="G324" s="57" t="str">
        <f>IF(Associates_Call_List_PQ!G324="","",Associates_Call_List_PQ!G324)</f>
        <v>https://images.edocket.azcc.gov/docketpdf/E000046204.pdf</v>
      </c>
      <c r="H324" s="59" t="str">
        <f>IF(Associates_Call_List_PQ!H324="","",Associates_Call_List_PQ!H324)</f>
        <v>2624811000</v>
      </c>
      <c r="I324" s="57" t="str">
        <f>IF(Associates_Call_List_PQ!I324="","",Associates_Call_List_PQ!I324)</f>
        <v>R-XS</v>
      </c>
      <c r="J324" s="57" t="str">
        <f>IF(Associates_Call_List_PQ!J324="","",Associates_Call_List_PQ!J324)</f>
        <v>No</v>
      </c>
      <c r="K324" s="57" t="str">
        <f>IF(Associates_Call_List_PQ!K324="","",Associates_Call_List_PQ!K324)</f>
        <v>No</v>
      </c>
      <c r="L324" s="57" t="str">
        <f>IF(Associates_Call_List_PQ!L324="","",Associates_Call_List_PQ!L324)</f>
        <v>Yes</v>
      </c>
      <c r="M324" s="57" t="str">
        <f>IF(Associates_Call_List_PQ!M324="","",Associates_Call_List_PQ!M324)</f>
        <v>No</v>
      </c>
      <c r="N324" s="57" t="str">
        <f>IF(Associates_Call_List_PQ!N324="","",Associates_Call_List_PQ!N324)</f>
        <v>No</v>
      </c>
      <c r="O324" s="57" t="str">
        <f>IF(Associates_Call_List_PQ!O324="","",Associates_Call_List_PQ!O324)</f>
        <v>Yes</v>
      </c>
      <c r="P324" s="57" t="str">
        <f>IF(Associates_Call_List_PQ!P324="","",Associates_Call_List_PQ!P324)</f>
        <v>N</v>
      </c>
      <c r="Q324" s="57">
        <f>IF(Associates_Call_List_PQ!Q324="","",Associates_Call_List_PQ!Q324)</f>
        <v>45967</v>
      </c>
      <c r="R324" s="57" t="str">
        <f>IF(Associates_Call_List_PQ!R324="","",Associates_Call_List_PQ!R324)</f>
        <v/>
      </c>
      <c r="S324" s="57" t="str">
        <f>IF(Associates_Call_List_PQ!S324="","",Associates_Call_List_PQ!S324)</f>
        <v/>
      </c>
      <c r="T324" s="57" t="str">
        <f>IF(Associates_Call_List_PQ!T324="","",Associates_Call_List_PQ!T324)</f>
        <v/>
      </c>
      <c r="U324" s="57" t="str">
        <f>IF(Associates_Call_List_PQ!U324="","",Associates_Call_List_PQ!U324)</f>
        <v/>
      </c>
      <c r="V324" s="68"/>
      <c r="W324" s="68" t="s">
        <v>5432</v>
      </c>
      <c r="X324" s="68"/>
      <c r="Y324" s="68"/>
      <c r="Z324" s="72"/>
    </row>
    <row r="325" spans="1:26">
      <c r="A325" s="71">
        <f>IFERROR(Associates_Call_List_PQ!A325,"")</f>
        <v>45903</v>
      </c>
      <c r="B325" s="57" t="str">
        <f>IF(Associates_Call_List_PQ!B325="","",Associates_Call_List_PQ!B325)</f>
        <v>Rivarde</v>
      </c>
      <c r="C325" s="57" t="str">
        <f>IF(Associates_Call_List_PQ!C325="","",Associates_Call_List_PQ!C325)</f>
        <v>Renee</v>
      </c>
      <c r="D325" s="57" t="str">
        <f>IF(Associates_Call_List_PQ!D325="","",Associates_Call_List_PQ!D325)</f>
        <v>Goodyear</v>
      </c>
      <c r="E325" s="58">
        <f>IF(Associates_Call_List_PQ!E325="","",Associates_Call_List_PQ!E325)</f>
        <v>85338</v>
      </c>
      <c r="F325" s="57" t="str">
        <f>IF(Associates_Call_List_PQ!F325="","",Associates_Call_List_PQ!F325)</f>
        <v>Opposed</v>
      </c>
      <c r="G325" s="57" t="str">
        <f>IF(Associates_Call_List_PQ!G325="","",Associates_Call_List_PQ!G325)</f>
        <v>https://images.edocket.azcc.gov/docketpdf/E000046204.pdf</v>
      </c>
      <c r="H325" s="59" t="str">
        <f>IF(Associates_Call_List_PQ!H325="","",Associates_Call_List_PQ!H325)</f>
        <v>4290041000</v>
      </c>
      <c r="I325" s="57" t="str">
        <f>IF(Associates_Call_List_PQ!I325="","",Associates_Call_List_PQ!I325)</f>
        <v>R-XS</v>
      </c>
      <c r="J325" s="57" t="str">
        <f>IF(Associates_Call_List_PQ!J325="","",Associates_Call_List_PQ!J325)</f>
        <v>No</v>
      </c>
      <c r="K325" s="57" t="str">
        <f>IF(Associates_Call_List_PQ!K325="","",Associates_Call_List_PQ!K325)</f>
        <v>No</v>
      </c>
      <c r="L325" s="57" t="str">
        <f>IF(Associates_Call_List_PQ!L325="","",Associates_Call_List_PQ!L325)</f>
        <v>Yes</v>
      </c>
      <c r="M325" s="57" t="str">
        <f>IF(Associates_Call_List_PQ!M325="","",Associates_Call_List_PQ!M325)</f>
        <v>No</v>
      </c>
      <c r="N325" s="57" t="str">
        <f>IF(Associates_Call_List_PQ!N325="","",Associates_Call_List_PQ!N325)</f>
        <v>No</v>
      </c>
      <c r="O325" s="57" t="str">
        <f>IF(Associates_Call_List_PQ!O325="","",Associates_Call_List_PQ!O325)</f>
        <v>Yes</v>
      </c>
      <c r="P325" s="57" t="str">
        <f>IF(Associates_Call_List_PQ!P325="","",Associates_Call_List_PQ!P325)</f>
        <v>N</v>
      </c>
      <c r="Q325" s="57">
        <f>IF(Associates_Call_List_PQ!Q325="","",Associates_Call_List_PQ!Q325)</f>
        <v>45967</v>
      </c>
      <c r="R325" s="57" t="str">
        <f>IF(Associates_Call_List_PQ!R325="","",Associates_Call_List_PQ!R325)</f>
        <v/>
      </c>
      <c r="S325" s="57" t="str">
        <f>IF(Associates_Call_List_PQ!S325="","",Associates_Call_List_PQ!S325)</f>
        <v/>
      </c>
      <c r="T325" s="57" t="str">
        <f>IF(Associates_Call_List_PQ!T325="","",Associates_Call_List_PQ!T325)</f>
        <v/>
      </c>
      <c r="U325" s="57" t="str">
        <f>IF(Associates_Call_List_PQ!U325="","",Associates_Call_List_PQ!U325)</f>
        <v/>
      </c>
      <c r="V325" s="68"/>
      <c r="W325" s="68" t="s">
        <v>5432</v>
      </c>
      <c r="X325" s="68"/>
      <c r="Y325" s="68"/>
      <c r="Z325" s="72"/>
    </row>
    <row r="326" spans="1:26">
      <c r="A326" s="71">
        <f>IFERROR(Associates_Call_List_PQ!A326,"")</f>
        <v>45903</v>
      </c>
      <c r="B326" s="57" t="str">
        <f>IF(Associates_Call_List_PQ!B326="","",Associates_Call_List_PQ!B326)</f>
        <v xml:space="preserve">White </v>
      </c>
      <c r="C326" s="57" t="str">
        <f>IF(Associates_Call_List_PQ!C326="","",Associates_Call_List_PQ!C326)</f>
        <v>Mark</v>
      </c>
      <c r="D326" s="57" t="str">
        <f>IF(Associates_Call_List_PQ!D326="","",Associates_Call_List_PQ!D326)</f>
        <v>Goodyear</v>
      </c>
      <c r="E326" s="58">
        <f>IF(Associates_Call_List_PQ!E326="","",Associates_Call_List_PQ!E326)</f>
        <v>85338</v>
      </c>
      <c r="F326" s="57" t="str">
        <f>IF(Associates_Call_List_PQ!F326="","",Associates_Call_List_PQ!F326)</f>
        <v>Opposed</v>
      </c>
      <c r="G326" s="57" t="str">
        <f>IF(Associates_Call_List_PQ!G326="","",Associates_Call_List_PQ!G326)</f>
        <v>https://images.edocket.azcc.gov/docketpdf/E000046204.pdf</v>
      </c>
      <c r="H326" s="59" t="str">
        <f>IF(Associates_Call_List_PQ!H326="","",Associates_Call_List_PQ!H326)</f>
        <v>0187524477</v>
      </c>
      <c r="I326" s="57" t="str">
        <f>IF(Associates_Call_List_PQ!I326="","",Associates_Call_List_PQ!I326)</f>
        <v>RCPw/RTOUE47</v>
      </c>
      <c r="J326" s="57" t="str">
        <f>IF(Associates_Call_List_PQ!J326="","",Associates_Call_List_PQ!J326)</f>
        <v>No</v>
      </c>
      <c r="K326" s="57" t="str">
        <f>IF(Associates_Call_List_PQ!K326="","",Associates_Call_List_PQ!K326)</f>
        <v>No</v>
      </c>
      <c r="L326" s="57" t="str">
        <f>IF(Associates_Call_List_PQ!L326="","",Associates_Call_List_PQ!L326)</f>
        <v>Yes</v>
      </c>
      <c r="M326" s="57" t="str">
        <f>IF(Associates_Call_List_PQ!M326="","",Associates_Call_List_PQ!M326)</f>
        <v>No</v>
      </c>
      <c r="N326" s="57" t="str">
        <f>IF(Associates_Call_List_PQ!N326="","",Associates_Call_List_PQ!N326)</f>
        <v>No</v>
      </c>
      <c r="O326" s="57" t="str">
        <f>IF(Associates_Call_List_PQ!O326="","",Associates_Call_List_PQ!O326)</f>
        <v>Yes</v>
      </c>
      <c r="P326" s="57" t="str">
        <f>IF(Associates_Call_List_PQ!P326="","",Associates_Call_List_PQ!P326)</f>
        <v>N</v>
      </c>
      <c r="Q326" s="57">
        <f>IF(Associates_Call_List_PQ!Q326="","",Associates_Call_List_PQ!Q326)</f>
        <v>45967</v>
      </c>
      <c r="R326" s="57" t="str">
        <f>IF(Associates_Call_List_PQ!R326="","",Associates_Call_List_PQ!R326)</f>
        <v/>
      </c>
      <c r="S326" s="57" t="str">
        <f>IF(Associates_Call_List_PQ!S326="","",Associates_Call_List_PQ!S326)</f>
        <v/>
      </c>
      <c r="T326" s="57" t="str">
        <f>IF(Associates_Call_List_PQ!T326="","",Associates_Call_List_PQ!T326)</f>
        <v/>
      </c>
      <c r="U326" s="57" t="str">
        <f>IF(Associates_Call_List_PQ!U326="","",Associates_Call_List_PQ!U326)</f>
        <v/>
      </c>
      <c r="V326" s="68" t="s">
        <v>117</v>
      </c>
      <c r="W326" s="68">
        <v>45997</v>
      </c>
      <c r="X326" s="68" t="s">
        <v>5405</v>
      </c>
      <c r="Y326" s="68"/>
      <c r="Z326" s="72" t="s">
        <v>5467</v>
      </c>
    </row>
    <row r="327" spans="1:26">
      <c r="A327" s="71">
        <f>IFERROR(Associates_Call_List_PQ!A327,"")</f>
        <v>45903</v>
      </c>
      <c r="B327" s="57" t="str">
        <f>IF(Associates_Call_List_PQ!B327="","",Associates_Call_List_PQ!B327)</f>
        <v>Boersma</v>
      </c>
      <c r="C327" s="57" t="str">
        <f>IF(Associates_Call_List_PQ!C327="","",Associates_Call_List_PQ!C327)</f>
        <v>Patti</v>
      </c>
      <c r="D327" s="57" t="str">
        <f>IF(Associates_Call_List_PQ!D327="","",Associates_Call_List_PQ!D327)</f>
        <v>Goodyear</v>
      </c>
      <c r="E327" s="58">
        <f>IF(Associates_Call_List_PQ!E327="","",Associates_Call_List_PQ!E327)</f>
        <v>85395</v>
      </c>
      <c r="F327" s="57" t="str">
        <f>IF(Associates_Call_List_PQ!F327="","",Associates_Call_List_PQ!F327)</f>
        <v>Opposed</v>
      </c>
      <c r="G327" s="57" t="str">
        <f>IF(Associates_Call_List_PQ!G327="","",Associates_Call_List_PQ!G327)</f>
        <v>https://images.edocket.azcc.gov/docketpdf/E000046204.pdf</v>
      </c>
      <c r="H327" s="59" t="str">
        <f>IF(Associates_Call_List_PQ!H327="","",Associates_Call_List_PQ!H327)</f>
        <v>6966001000</v>
      </c>
      <c r="I327" s="57" t="str">
        <f>IF(Associates_Call_List_PQ!I327="","",Associates_Call_List_PQ!I327)</f>
        <v>RCPw/R3-47</v>
      </c>
      <c r="J327" s="57" t="str">
        <f>IF(Associates_Call_List_PQ!J327="","",Associates_Call_List_PQ!J327)</f>
        <v>No</v>
      </c>
      <c r="K327" s="57" t="str">
        <f>IF(Associates_Call_List_PQ!K327="","",Associates_Call_List_PQ!K327)</f>
        <v>No</v>
      </c>
      <c r="L327" s="57" t="str">
        <f>IF(Associates_Call_List_PQ!L327="","",Associates_Call_List_PQ!L327)</f>
        <v>Yes</v>
      </c>
      <c r="M327" s="57" t="str">
        <f>IF(Associates_Call_List_PQ!M327="","",Associates_Call_List_PQ!M327)</f>
        <v>No</v>
      </c>
      <c r="N327" s="57" t="str">
        <f>IF(Associates_Call_List_PQ!N327="","",Associates_Call_List_PQ!N327)</f>
        <v>No</v>
      </c>
      <c r="O327" s="57" t="str">
        <f>IF(Associates_Call_List_PQ!O327="","",Associates_Call_List_PQ!O327)</f>
        <v>Yes</v>
      </c>
      <c r="P327" s="57" t="str">
        <f>IF(Associates_Call_List_PQ!P327="","",Associates_Call_List_PQ!P327)</f>
        <v>N</v>
      </c>
      <c r="Q327" s="57">
        <f>IF(Associates_Call_List_PQ!Q327="","",Associates_Call_List_PQ!Q327)</f>
        <v>45967</v>
      </c>
      <c r="R327" s="57" t="str">
        <f>IF(Associates_Call_List_PQ!R327="","",Associates_Call_List_PQ!R327)</f>
        <v/>
      </c>
      <c r="S327" s="57" t="str">
        <f>IF(Associates_Call_List_PQ!S327="","",Associates_Call_List_PQ!S327)</f>
        <v/>
      </c>
      <c r="T327" s="57" t="str">
        <f>IF(Associates_Call_List_PQ!T327="","",Associates_Call_List_PQ!T327)</f>
        <v/>
      </c>
      <c r="U327" s="57" t="str">
        <f>IF(Associates_Call_List_PQ!U327="","",Associates_Call_List_PQ!U327)</f>
        <v/>
      </c>
      <c r="V327" s="68"/>
      <c r="W327" s="68" t="s">
        <v>5432</v>
      </c>
      <c r="X327" s="68"/>
      <c r="Y327" s="68"/>
      <c r="Z327" s="72"/>
    </row>
    <row r="328" spans="1:26">
      <c r="A328" s="71">
        <f>IFERROR(Associates_Call_List_PQ!A328,"")</f>
        <v>45903</v>
      </c>
      <c r="B328" s="57" t="str">
        <f>IF(Associates_Call_List_PQ!B328="","",Associates_Call_List_PQ!B328)</f>
        <v>Arpaia</v>
      </c>
      <c r="C328" s="57" t="str">
        <f>IF(Associates_Call_List_PQ!C328="","",Associates_Call_List_PQ!C328)</f>
        <v>Mary</v>
      </c>
      <c r="D328" s="57" t="str">
        <f>IF(Associates_Call_List_PQ!D328="","",Associates_Call_List_PQ!D328)</f>
        <v>Avondale</v>
      </c>
      <c r="E328" s="58">
        <f>IF(Associates_Call_List_PQ!E328="","",Associates_Call_List_PQ!E328)</f>
        <v>85392</v>
      </c>
      <c r="F328" s="57" t="str">
        <f>IF(Associates_Call_List_PQ!F328="","",Associates_Call_List_PQ!F328)</f>
        <v>Opposed</v>
      </c>
      <c r="G328" s="57" t="str">
        <f>IF(Associates_Call_List_PQ!G328="","",Associates_Call_List_PQ!G328)</f>
        <v>https://images.edocket.azcc.gov/docketpdf/E000046204.pdf</v>
      </c>
      <c r="H328" s="59" t="str">
        <f>IF(Associates_Call_List_PQ!H328="","",Associates_Call_List_PQ!H328)</f>
        <v>1842320000</v>
      </c>
      <c r="I328" s="57" t="str">
        <f>IF(Associates_Call_List_PQ!I328="","",Associates_Call_List_PQ!I328)</f>
        <v>R-BASIC</v>
      </c>
      <c r="J328" s="57" t="str">
        <f>IF(Associates_Call_List_PQ!J328="","",Associates_Call_List_PQ!J328)</f>
        <v>No</v>
      </c>
      <c r="K328" s="57" t="str">
        <f>IF(Associates_Call_List_PQ!K328="","",Associates_Call_List_PQ!K328)</f>
        <v>No</v>
      </c>
      <c r="L328" s="57" t="str">
        <f>IF(Associates_Call_List_PQ!L328="","",Associates_Call_List_PQ!L328)</f>
        <v>No MEP R3-47 ($165.42)</v>
      </c>
      <c r="M328" s="57" t="str">
        <f>IF(Associates_Call_List_PQ!M328="","",Associates_Call_List_PQ!M328)</f>
        <v>No</v>
      </c>
      <c r="N328" s="57" t="str">
        <f>IF(Associates_Call_List_PQ!N328="","",Associates_Call_List_PQ!N328)</f>
        <v>No</v>
      </c>
      <c r="O328" s="57" t="str">
        <f>IF(Associates_Call_List_PQ!O328="","",Associates_Call_List_PQ!O328)</f>
        <v>Yes</v>
      </c>
      <c r="P328" s="57">
        <f>IF(Associates_Call_List_PQ!P328="","",Associates_Call_List_PQ!P328)</f>
        <v>45936</v>
      </c>
      <c r="Q328" s="57">
        <f>IF(Associates_Call_List_PQ!Q328="","",Associates_Call_List_PQ!Q328)</f>
        <v>45967</v>
      </c>
      <c r="R328" s="57" t="str">
        <f>IF(Associates_Call_List_PQ!R328="","",Associates_Call_List_PQ!R328)</f>
        <v>10/6 Left VM</v>
      </c>
      <c r="S328" s="57" t="str">
        <f>IF(Associates_Call_List_PQ!S328="","",Associates_Call_List_PQ!S328)</f>
        <v/>
      </c>
      <c r="T328" s="57" t="str">
        <f>IF(Associates_Call_List_PQ!T328="","",Associates_Call_List_PQ!T328)</f>
        <v/>
      </c>
      <c r="U328" s="57" t="str">
        <f>IF(Associates_Call_List_PQ!U328="","",Associates_Call_List_PQ!U328)</f>
        <v/>
      </c>
      <c r="V328" s="68" t="s">
        <v>5433</v>
      </c>
      <c r="W328" s="68">
        <v>46060</v>
      </c>
      <c r="X328" s="68" t="s">
        <v>5434</v>
      </c>
      <c r="Y328" s="68"/>
      <c r="Z328" s="72"/>
    </row>
    <row r="329" spans="1:26">
      <c r="A329" s="71">
        <f>IFERROR(Associates_Call_List_PQ!A329,"")</f>
        <v>45903</v>
      </c>
      <c r="B329" s="57" t="str">
        <f>IF(Associates_Call_List_PQ!B329="","",Associates_Call_List_PQ!B329)</f>
        <v>Pandit</v>
      </c>
      <c r="C329" s="57" t="str">
        <f>IF(Associates_Call_List_PQ!C329="","",Associates_Call_List_PQ!C329)</f>
        <v>Najaraj</v>
      </c>
      <c r="D329" s="57" t="str">
        <f>IF(Associates_Call_List_PQ!D329="","",Associates_Call_List_PQ!D329)</f>
        <v>Peoria</v>
      </c>
      <c r="E329" s="58">
        <f>IF(Associates_Call_List_PQ!E329="","",Associates_Call_List_PQ!E329)</f>
        <v>85383</v>
      </c>
      <c r="F329" s="57" t="str">
        <f>IF(Associates_Call_List_PQ!F329="","",Associates_Call_List_PQ!F329)</f>
        <v>Form letter</v>
      </c>
      <c r="G329" s="57" t="str">
        <f>IF(Associates_Call_List_PQ!G329="","",Associates_Call_List_PQ!G329)</f>
        <v>https://images.edocket.azcc.gov/docketpdf/E000046204.pdf</v>
      </c>
      <c r="H329" s="59" t="str">
        <f>IF(Associates_Call_List_PQ!H329="","",Associates_Call_List_PQ!H329)</f>
        <v>4348840000</v>
      </c>
      <c r="I329" s="57" t="str">
        <f>IF(Associates_Call_List_PQ!I329="","",Associates_Call_List_PQ!I329)</f>
        <v>R3-47</v>
      </c>
      <c r="J329" s="57" t="str">
        <f>IF(Associates_Call_List_PQ!J329="","",Associates_Call_List_PQ!J329)</f>
        <v>No</v>
      </c>
      <c r="K329" s="57" t="str">
        <f>IF(Associates_Call_List_PQ!K329="","",Associates_Call_List_PQ!K329)</f>
        <v>No</v>
      </c>
      <c r="L329" s="57" t="str">
        <f>IF(Associates_Call_List_PQ!L329="","",Associates_Call_List_PQ!L329)</f>
        <v>Yes</v>
      </c>
      <c r="M329" s="57" t="str">
        <f>IF(Associates_Call_List_PQ!M329="","",Associates_Call_List_PQ!M329)</f>
        <v>No</v>
      </c>
      <c r="N329" s="57" t="str">
        <f>IF(Associates_Call_List_PQ!N329="","",Associates_Call_List_PQ!N329)</f>
        <v>No</v>
      </c>
      <c r="O329" s="57" t="str">
        <f>IF(Associates_Call_List_PQ!O329="","",Associates_Call_List_PQ!O329)</f>
        <v>Yes</v>
      </c>
      <c r="P329" s="57" t="str">
        <f>IF(Associates_Call_List_PQ!P329="","",Associates_Call_List_PQ!P329)</f>
        <v>N</v>
      </c>
      <c r="Q329" s="57">
        <f>IF(Associates_Call_List_PQ!Q329="","",Associates_Call_List_PQ!Q329)</f>
        <v>45967</v>
      </c>
      <c r="R329" s="57" t="str">
        <f>IF(Associates_Call_List_PQ!R329="","",Associates_Call_List_PQ!R329)</f>
        <v/>
      </c>
      <c r="S329" s="57" t="str">
        <f>IF(Associates_Call_List_PQ!S329="","",Associates_Call_List_PQ!S329)</f>
        <v/>
      </c>
      <c r="T329" s="57" t="str">
        <f>IF(Associates_Call_List_PQ!T329="","",Associates_Call_List_PQ!T329)</f>
        <v/>
      </c>
      <c r="U329" s="57" t="str">
        <f>IF(Associates_Call_List_PQ!U329="","",Associates_Call_List_PQ!U329)</f>
        <v/>
      </c>
      <c r="V329" s="68"/>
      <c r="W329" s="68" t="s">
        <v>5432</v>
      </c>
      <c r="X329" s="68"/>
      <c r="Y329" s="68"/>
      <c r="Z329" s="72"/>
    </row>
    <row r="330" spans="1:26">
      <c r="A330" s="71">
        <f>IFERROR(Associates_Call_List_PQ!A330,"")</f>
        <v>45903</v>
      </c>
      <c r="B330" s="57" t="str">
        <f>IF(Associates_Call_List_PQ!B330="","",Associates_Call_List_PQ!B330)</f>
        <v>Erra</v>
      </c>
      <c r="C330" s="57" t="str">
        <f>IF(Associates_Call_List_PQ!C330="","",Associates_Call_List_PQ!C330)</f>
        <v>Mohan</v>
      </c>
      <c r="D330" s="57" t="str">
        <f>IF(Associates_Call_List_PQ!D330="","",Associates_Call_List_PQ!D330)</f>
        <v>Peoria</v>
      </c>
      <c r="E330" s="58">
        <f>IF(Associates_Call_List_PQ!E330="","",Associates_Call_List_PQ!E330)</f>
        <v>85383</v>
      </c>
      <c r="F330" s="57" t="str">
        <f>IF(Associates_Call_List_PQ!F330="","",Associates_Call_List_PQ!F330)</f>
        <v>Form letter</v>
      </c>
      <c r="G330" s="57" t="str">
        <f>IF(Associates_Call_List_PQ!G330="","",Associates_Call_List_PQ!G330)</f>
        <v>https://images.edocket.azcc.gov/docketpdf/E000046204.pdf</v>
      </c>
      <c r="H330" s="59" t="str">
        <f>IF(Associates_Call_List_PQ!H330="","",Associates_Call_List_PQ!H330)</f>
        <v>3553261000</v>
      </c>
      <c r="I330" s="57" t="str">
        <f>IF(Associates_Call_List_PQ!I330="","",Associates_Call_List_PQ!I330)</f>
        <v>RTOUE47</v>
      </c>
      <c r="J330" s="57" t="str">
        <f>IF(Associates_Call_List_PQ!J330="","",Associates_Call_List_PQ!J330)</f>
        <v>No</v>
      </c>
      <c r="K330" s="57" t="str">
        <f>IF(Associates_Call_List_PQ!K330="","",Associates_Call_List_PQ!K330)</f>
        <v>No</v>
      </c>
      <c r="L330" s="57" t="str">
        <f>IF(Associates_Call_List_PQ!L330="","",Associates_Call_List_PQ!L330)</f>
        <v>No MEP R3-47 ($86.44)</v>
      </c>
      <c r="M330" s="57" t="str">
        <f>IF(Associates_Call_List_PQ!M330="","",Associates_Call_List_PQ!M330)</f>
        <v>No</v>
      </c>
      <c r="N330" s="57" t="str">
        <f>IF(Associates_Call_List_PQ!N330="","",Associates_Call_List_PQ!N330)</f>
        <v>No</v>
      </c>
      <c r="O330" s="57" t="str">
        <f>IF(Associates_Call_List_PQ!O330="","",Associates_Call_List_PQ!O330)</f>
        <v>Yes</v>
      </c>
      <c r="P330" s="57" t="str">
        <f>IF(Associates_Call_List_PQ!P330="","",Associates_Call_List_PQ!P330)</f>
        <v>N</v>
      </c>
      <c r="Q330" s="57">
        <f>IF(Associates_Call_List_PQ!Q330="","",Associates_Call_List_PQ!Q330)</f>
        <v>45967</v>
      </c>
      <c r="R330" s="57" t="str">
        <f>IF(Associates_Call_List_PQ!R330="","",Associates_Call_List_PQ!R330)</f>
        <v/>
      </c>
      <c r="S330" s="57" t="str">
        <f>IF(Associates_Call_List_PQ!S330="","",Associates_Call_List_PQ!S330)</f>
        <v/>
      </c>
      <c r="T330" s="57" t="str">
        <f>IF(Associates_Call_List_PQ!T330="","",Associates_Call_List_PQ!T330)</f>
        <v/>
      </c>
      <c r="U330" s="57" t="s">
        <v>5588</v>
      </c>
      <c r="V330" s="68" t="s">
        <v>117</v>
      </c>
      <c r="W330" s="68">
        <v>46039</v>
      </c>
      <c r="X330" s="68" t="s">
        <v>5405</v>
      </c>
      <c r="Y330" s="68" t="s">
        <v>5461</v>
      </c>
      <c r="Z330" s="72"/>
    </row>
    <row r="331" spans="1:26">
      <c r="A331" s="71">
        <f>IFERROR(Associates_Call_List_PQ!A331,"")</f>
        <v>45903</v>
      </c>
      <c r="B331" s="57" t="str">
        <f>IF(Associates_Call_List_PQ!B331="","",Associates_Call_List_PQ!B331)</f>
        <v>Mallory</v>
      </c>
      <c r="C331" s="57" t="str">
        <f>IF(Associates_Call_List_PQ!C331="","",Associates_Call_List_PQ!C331)</f>
        <v>Evan</v>
      </c>
      <c r="D331" s="57" t="str">
        <f>IF(Associates_Call_List_PQ!D331="","",Associates_Call_List_PQ!D331)</f>
        <v>Peoria</v>
      </c>
      <c r="E331" s="58">
        <f>IF(Associates_Call_List_PQ!E331="","",Associates_Call_List_PQ!E331)</f>
        <v>85383</v>
      </c>
      <c r="F331" s="57" t="str">
        <f>IF(Associates_Call_List_PQ!F331="","",Associates_Call_List_PQ!F331)</f>
        <v>Opposed</v>
      </c>
      <c r="G331" s="57" t="str">
        <f>IF(Associates_Call_List_PQ!G331="","",Associates_Call_List_PQ!G331)</f>
        <v>https://images.edocket.azcc.gov/docketpdf/E000046204.pdf</v>
      </c>
      <c r="H331" s="59" t="str">
        <f>IF(Associates_Call_List_PQ!H331="","",Associates_Call_List_PQ!H331)</f>
        <v>1080850989</v>
      </c>
      <c r="I331" s="57" t="str">
        <f>IF(Associates_Call_List_PQ!I331="","",Associates_Call_List_PQ!I331)</f>
        <v>RCPw/R-2</v>
      </c>
      <c r="J331" s="57" t="str">
        <f>IF(Associates_Call_List_PQ!J331="","",Associates_Call_List_PQ!J331)</f>
        <v>No</v>
      </c>
      <c r="K331" s="57" t="str">
        <f>IF(Associates_Call_List_PQ!K331="","",Associates_Call_List_PQ!K331)</f>
        <v>No</v>
      </c>
      <c r="L331" s="57" t="str">
        <f>IF(Associates_Call_List_PQ!L331="","",Associates_Call_List_PQ!L331)</f>
        <v>Frozen Rate</v>
      </c>
      <c r="M331" s="57" t="str">
        <f>IF(Associates_Call_List_PQ!M331="","",Associates_Call_List_PQ!M331)</f>
        <v>No</v>
      </c>
      <c r="N331" s="57" t="str">
        <f>IF(Associates_Call_List_PQ!N331="","",Associates_Call_List_PQ!N331)</f>
        <v>No</v>
      </c>
      <c r="O331" s="57" t="str">
        <f>IF(Associates_Call_List_PQ!O331="","",Associates_Call_List_PQ!O331)</f>
        <v>Yes</v>
      </c>
      <c r="P331" s="57" t="str">
        <f>IF(Associates_Call_List_PQ!P331="","",Associates_Call_List_PQ!P331)</f>
        <v>N</v>
      </c>
      <c r="Q331" s="57">
        <f>IF(Associates_Call_List_PQ!Q331="","",Associates_Call_List_PQ!Q331)</f>
        <v>45967</v>
      </c>
      <c r="R331" s="57" t="str">
        <f>IF(Associates_Call_List_PQ!R331="","",Associates_Call_List_PQ!R331)</f>
        <v/>
      </c>
      <c r="S331" s="57" t="str">
        <f>IF(Associates_Call_List_PQ!S331="","",Associates_Call_List_PQ!S331)</f>
        <v/>
      </c>
      <c r="T331" s="57" t="str">
        <f>IF(Associates_Call_List_PQ!T331="","",Associates_Call_List_PQ!T331)</f>
        <v/>
      </c>
      <c r="U331" s="57" t="str">
        <f>IF(Associates_Call_List_PQ!U331="","",Associates_Call_List_PQ!U331)</f>
        <v/>
      </c>
      <c r="V331" s="68"/>
      <c r="W331" s="68" t="s">
        <v>5432</v>
      </c>
      <c r="X331" s="68"/>
      <c r="Y331" s="68"/>
      <c r="Z331" s="72"/>
    </row>
    <row r="332" spans="1:26">
      <c r="A332" s="71">
        <f>IFERROR(Associates_Call_List_PQ!A332,"")</f>
        <v>45903</v>
      </c>
      <c r="B332" s="57" t="str">
        <f>IF(Associates_Call_List_PQ!B332="","",Associates_Call_List_PQ!B332)</f>
        <v>Underwood</v>
      </c>
      <c r="C332" s="57" t="str">
        <f>IF(Associates_Call_List_PQ!C332="","",Associates_Call_List_PQ!C332)</f>
        <v>Sarah</v>
      </c>
      <c r="D332" s="57" t="str">
        <f>IF(Associates_Call_List_PQ!D332="","",Associates_Call_List_PQ!D332)</f>
        <v>Litchfield Park</v>
      </c>
      <c r="E332" s="58">
        <f>IF(Associates_Call_List_PQ!E332="","",Associates_Call_List_PQ!E332)</f>
        <v>85340</v>
      </c>
      <c r="F332" s="57" t="str">
        <f>IF(Associates_Call_List_PQ!F332="","",Associates_Call_List_PQ!F332)</f>
        <v>Opposed</v>
      </c>
      <c r="G332" s="57" t="str">
        <f>IF(Associates_Call_List_PQ!G332="","",Associates_Call_List_PQ!G332)</f>
        <v>https://images.edocket.azcc.gov/docketpdf/E000046204.pdf</v>
      </c>
      <c r="H332" s="59" t="str">
        <f>IF(Associates_Call_List_PQ!H332="","",Associates_Call_List_PQ!H332)</f>
        <v>5784101000</v>
      </c>
      <c r="I332" s="57" t="str">
        <f>IF(Associates_Call_List_PQ!I332="","",Associates_Call_List_PQ!I332)</f>
        <v>R-BASICL</v>
      </c>
      <c r="J332" s="57" t="str">
        <f>IF(Associates_Call_List_PQ!J332="","",Associates_Call_List_PQ!J332)</f>
        <v>No</v>
      </c>
      <c r="K332" s="57" t="str">
        <f>IF(Associates_Call_List_PQ!K332="","",Associates_Call_List_PQ!K332)</f>
        <v>No</v>
      </c>
      <c r="L332" s="57" t="str">
        <f>IF(Associates_Call_List_PQ!L332="","",Associates_Call_List_PQ!L332)</f>
        <v>No MEP R3-47 ($159.25)</v>
      </c>
      <c r="M332" s="57" t="str">
        <f>IF(Associates_Call_List_PQ!M332="","",Associates_Call_List_PQ!M332)</f>
        <v>No</v>
      </c>
      <c r="N332" s="57" t="str">
        <f>IF(Associates_Call_List_PQ!N332="","",Associates_Call_List_PQ!N332)</f>
        <v>No</v>
      </c>
      <c r="O332" s="57" t="str">
        <f>IF(Associates_Call_List_PQ!O332="","",Associates_Call_List_PQ!O332)</f>
        <v>Yes</v>
      </c>
      <c r="P332" s="57">
        <f>IF(Associates_Call_List_PQ!P332="","",Associates_Call_List_PQ!P332)</f>
        <v>45936</v>
      </c>
      <c r="Q332" s="57">
        <f>IF(Associates_Call_List_PQ!Q332="","",Associates_Call_List_PQ!Q332)</f>
        <v>45967</v>
      </c>
      <c r="R332" s="57" t="str">
        <f>IF(Associates_Call_List_PQ!R332="","",Associates_Call_List_PQ!R332)</f>
        <v>10/6 Left VM</v>
      </c>
      <c r="S332" s="57" t="str">
        <f>IF(Associates_Call_List_PQ!S332="","",Associates_Call_List_PQ!S332)</f>
        <v/>
      </c>
      <c r="T332" s="57" t="str">
        <f>IF(Associates_Call_List_PQ!T332="","",Associates_Call_List_PQ!T332)</f>
        <v/>
      </c>
      <c r="U332" s="57" t="s">
        <v>5589</v>
      </c>
      <c r="V332" s="68" t="s">
        <v>117</v>
      </c>
      <c r="W332" s="68">
        <v>46060</v>
      </c>
      <c r="X332" s="68" t="s">
        <v>5434</v>
      </c>
      <c r="Y332" s="68"/>
      <c r="Z332" s="72"/>
    </row>
    <row r="333" spans="1:26">
      <c r="A333" s="71">
        <f>IFERROR(Associates_Call_List_PQ!A333,"")</f>
        <v>45903</v>
      </c>
      <c r="B333" s="57" t="str">
        <f>IF(Associates_Call_List_PQ!B333="","",Associates_Call_List_PQ!B333)</f>
        <v>Kuri</v>
      </c>
      <c r="C333" s="57" t="str">
        <f>IF(Associates_Call_List_PQ!C333="","",Associates_Call_List_PQ!C333)</f>
        <v>Robert</v>
      </c>
      <c r="D333" s="57" t="str">
        <f>IF(Associates_Call_List_PQ!D333="","",Associates_Call_List_PQ!D333)</f>
        <v>Waddell</v>
      </c>
      <c r="E333" s="58">
        <f>IF(Associates_Call_List_PQ!E333="","",Associates_Call_List_PQ!E333)</f>
        <v>85355</v>
      </c>
      <c r="F333" s="57" t="str">
        <f>IF(Associates_Call_List_PQ!F333="","",Associates_Call_List_PQ!F333)</f>
        <v>Opposed</v>
      </c>
      <c r="G333" s="57" t="str">
        <f>IF(Associates_Call_List_PQ!G333="","",Associates_Call_List_PQ!G333)</f>
        <v>https://images.edocket.azcc.gov/docketpdf/E000046204.pdf</v>
      </c>
      <c r="H333" s="59" t="str">
        <f>IF(Associates_Call_List_PQ!H333="","",Associates_Call_List_PQ!H333)</f>
        <v>8302625379</v>
      </c>
      <c r="I333" s="57" t="str">
        <f>IF(Associates_Call_List_PQ!I333="","",Associates_Call_List_PQ!I333)</f>
        <v>RCPw/RTOUE47</v>
      </c>
      <c r="J333" s="57" t="str">
        <f>IF(Associates_Call_List_PQ!J333="","",Associates_Call_List_PQ!J333)</f>
        <v>No</v>
      </c>
      <c r="K333" s="57" t="str">
        <f>IF(Associates_Call_List_PQ!K333="","",Associates_Call_List_PQ!K333)</f>
        <v>No</v>
      </c>
      <c r="L333" s="57" t="str">
        <f>IF(Associates_Call_List_PQ!L333="","",Associates_Call_List_PQ!L333)</f>
        <v>Yes</v>
      </c>
      <c r="M333" s="57" t="str">
        <f>IF(Associates_Call_List_PQ!M333="","",Associates_Call_List_PQ!M333)</f>
        <v>No</v>
      </c>
      <c r="N333" s="57" t="str">
        <f>IF(Associates_Call_List_PQ!N333="","",Associates_Call_List_PQ!N333)</f>
        <v>No</v>
      </c>
      <c r="O333" s="57" t="str">
        <f>IF(Associates_Call_List_PQ!O333="","",Associates_Call_List_PQ!O333)</f>
        <v>Yes</v>
      </c>
      <c r="P333" s="57" t="str">
        <f>IF(Associates_Call_List_PQ!P333="","",Associates_Call_List_PQ!P333)</f>
        <v>N</v>
      </c>
      <c r="Q333" s="57">
        <f>IF(Associates_Call_List_PQ!Q333="","",Associates_Call_List_PQ!Q333)</f>
        <v>45967</v>
      </c>
      <c r="R333" s="57" t="str">
        <f>IF(Associates_Call_List_PQ!R333="","",Associates_Call_List_PQ!R333)</f>
        <v/>
      </c>
      <c r="S333" s="57" t="str">
        <f>IF(Associates_Call_List_PQ!S333="","",Associates_Call_List_PQ!S333)</f>
        <v/>
      </c>
      <c r="T333" s="57" t="str">
        <f>IF(Associates_Call_List_PQ!T333="","",Associates_Call_List_PQ!T333)</f>
        <v/>
      </c>
      <c r="U333" s="57" t="str">
        <f>IF(Associates_Call_List_PQ!U333="","",Associates_Call_List_PQ!U333)</f>
        <v/>
      </c>
      <c r="V333" s="68" t="s">
        <v>117</v>
      </c>
      <c r="W333" s="68">
        <v>45997</v>
      </c>
      <c r="X333" s="68" t="s">
        <v>5434</v>
      </c>
      <c r="Y333" s="68"/>
      <c r="Z333" s="72" t="s">
        <v>5468</v>
      </c>
    </row>
    <row r="334" spans="1:26">
      <c r="A334" s="71">
        <f>IFERROR(Associates_Call_List_PQ!A334,"")</f>
        <v>45903</v>
      </c>
      <c r="B334" s="57" t="str">
        <f>IF(Associates_Call_List_PQ!B334="","",Associates_Call_List_PQ!B334)</f>
        <v>Mahato</v>
      </c>
      <c r="C334" s="57" t="str">
        <f>IF(Associates_Call_List_PQ!C334="","",Associates_Call_List_PQ!C334)</f>
        <v>Partha</v>
      </c>
      <c r="D334" s="57" t="str">
        <f>IF(Associates_Call_List_PQ!D334="","",Associates_Call_List_PQ!D334)</f>
        <v>Phoenix</v>
      </c>
      <c r="E334" s="58">
        <f>IF(Associates_Call_List_PQ!E334="","",Associates_Call_List_PQ!E334)</f>
        <v>85024</v>
      </c>
      <c r="F334" s="57" t="str">
        <f>IF(Associates_Call_List_PQ!F334="","",Associates_Call_List_PQ!F334)</f>
        <v>Opposed</v>
      </c>
      <c r="G334" s="57" t="str">
        <f>IF(Associates_Call_List_PQ!G334="","",Associates_Call_List_PQ!G334)</f>
        <v>https://images.edocket.azcc.gov/docketpdf/E000046204.pdf</v>
      </c>
      <c r="H334" s="59" t="str">
        <f>IF(Associates_Call_List_PQ!H334="","",Associates_Call_List_PQ!H334)</f>
        <v>0364421000</v>
      </c>
      <c r="I334" s="57" t="str">
        <f>IF(Associates_Call_List_PQ!I334="","",Associates_Call_List_PQ!I334)</f>
        <v>REV47</v>
      </c>
      <c r="J334" s="57" t="str">
        <f>IF(Associates_Call_List_PQ!J334="","",Associates_Call_List_PQ!J334)</f>
        <v>No</v>
      </c>
      <c r="K334" s="57" t="str">
        <f>IF(Associates_Call_List_PQ!K334="","",Associates_Call_List_PQ!K334)</f>
        <v>No</v>
      </c>
      <c r="L334" s="57" t="str">
        <f>IF(Associates_Call_List_PQ!L334="","",Associates_Call_List_PQ!L334)</f>
        <v>Yes</v>
      </c>
      <c r="M334" s="57" t="str">
        <f>IF(Associates_Call_List_PQ!M334="","",Associates_Call_List_PQ!M334)</f>
        <v>No</v>
      </c>
      <c r="N334" s="57" t="str">
        <f>IF(Associates_Call_List_PQ!N334="","",Associates_Call_List_PQ!N334)</f>
        <v>No</v>
      </c>
      <c r="O334" s="57" t="str">
        <f>IF(Associates_Call_List_PQ!O334="","",Associates_Call_List_PQ!O334)</f>
        <v>Yes</v>
      </c>
      <c r="P334" s="57" t="str">
        <f>IF(Associates_Call_List_PQ!P334="","",Associates_Call_List_PQ!P334)</f>
        <v>N</v>
      </c>
      <c r="Q334" s="57">
        <f>IF(Associates_Call_List_PQ!Q334="","",Associates_Call_List_PQ!Q334)</f>
        <v>45967</v>
      </c>
      <c r="R334" s="57" t="str">
        <f>IF(Associates_Call_List_PQ!R334="","",Associates_Call_List_PQ!R334)</f>
        <v/>
      </c>
      <c r="S334" s="57" t="str">
        <f>IF(Associates_Call_List_PQ!S334="","",Associates_Call_List_PQ!S334)</f>
        <v/>
      </c>
      <c r="T334" s="57" t="str">
        <f>IF(Associates_Call_List_PQ!T334="","",Associates_Call_List_PQ!T334)</f>
        <v/>
      </c>
      <c r="U334" s="57" t="str">
        <f>IF(Associates_Call_List_PQ!U334="","",Associates_Call_List_PQ!U334)</f>
        <v/>
      </c>
      <c r="V334" s="68"/>
      <c r="W334" s="68" t="s">
        <v>5432</v>
      </c>
      <c r="X334" s="68"/>
      <c r="Y334" s="68"/>
      <c r="Z334" s="72"/>
    </row>
    <row r="335" spans="1:26">
      <c r="A335" s="71">
        <f>IFERROR(Associates_Call_List_PQ!A335,"")</f>
        <v>45903</v>
      </c>
      <c r="B335" s="57" t="str">
        <f>IF(Associates_Call_List_PQ!B335="","",Associates_Call_List_PQ!B335)</f>
        <v>Klug</v>
      </c>
      <c r="C335" s="57" t="str">
        <f>IF(Associates_Call_List_PQ!C335="","",Associates_Call_List_PQ!C335)</f>
        <v>Cameron</v>
      </c>
      <c r="D335" s="57" t="str">
        <f>IF(Associates_Call_List_PQ!D335="","",Associates_Call_List_PQ!D335)</f>
        <v>Phoenix</v>
      </c>
      <c r="E335" s="58">
        <f>IF(Associates_Call_List_PQ!E335="","",Associates_Call_List_PQ!E335)</f>
        <v>85085</v>
      </c>
      <c r="F335" s="57" t="str">
        <f>IF(Associates_Call_List_PQ!F335="","",Associates_Call_List_PQ!F335)</f>
        <v>Form letter</v>
      </c>
      <c r="G335" s="57" t="str">
        <f>IF(Associates_Call_List_PQ!G335="","",Associates_Call_List_PQ!G335)</f>
        <v>https://images.edocket.azcc.gov/docketpdf/E000046204.pdf</v>
      </c>
      <c r="H335" s="59" t="str">
        <f>IF(Associates_Call_List_PQ!H335="","",Associates_Call_List_PQ!H335)</f>
        <v>2046439451</v>
      </c>
      <c r="I335" s="57" t="str">
        <f>IF(Associates_Call_List_PQ!I335="","",Associates_Call_List_PQ!I335)</f>
        <v>R3-47</v>
      </c>
      <c r="J335" s="57" t="str">
        <f>IF(Associates_Call_List_PQ!J335="","",Associates_Call_List_PQ!J335)</f>
        <v>No</v>
      </c>
      <c r="K335" s="57" t="str">
        <f>IF(Associates_Call_List_PQ!K335="","",Associates_Call_List_PQ!K335)</f>
        <v>No</v>
      </c>
      <c r="L335" s="57" t="str">
        <f>IF(Associates_Call_List_PQ!L335="","",Associates_Call_List_PQ!L335)</f>
        <v>Yes</v>
      </c>
      <c r="M335" s="57" t="str">
        <f>IF(Associates_Call_List_PQ!M335="","",Associates_Call_List_PQ!M335)</f>
        <v>No</v>
      </c>
      <c r="N335" s="57" t="str">
        <f>IF(Associates_Call_List_PQ!N335="","",Associates_Call_List_PQ!N335)</f>
        <v>No</v>
      </c>
      <c r="O335" s="57" t="str">
        <f>IF(Associates_Call_List_PQ!O335="","",Associates_Call_List_PQ!O335)</f>
        <v>Yes</v>
      </c>
      <c r="P335" s="57" t="str">
        <f>IF(Associates_Call_List_PQ!P335="","",Associates_Call_List_PQ!P335)</f>
        <v>N</v>
      </c>
      <c r="Q335" s="57">
        <f>IF(Associates_Call_List_PQ!Q335="","",Associates_Call_List_PQ!Q335)</f>
        <v>45967</v>
      </c>
      <c r="R335" s="57" t="str">
        <f>IF(Associates_Call_List_PQ!R335="","",Associates_Call_List_PQ!R335)</f>
        <v/>
      </c>
      <c r="S335" s="57" t="str">
        <f>IF(Associates_Call_List_PQ!S335="","",Associates_Call_List_PQ!S335)</f>
        <v/>
      </c>
      <c r="T335" s="57" t="str">
        <f>IF(Associates_Call_List_PQ!T335="","",Associates_Call_List_PQ!T335)</f>
        <v/>
      </c>
      <c r="U335" s="57" t="str">
        <f>IF(Associates_Call_List_PQ!U335="","",Associates_Call_List_PQ!U335)</f>
        <v/>
      </c>
      <c r="V335" s="68"/>
      <c r="W335" s="68" t="s">
        <v>5432</v>
      </c>
      <c r="X335" s="68"/>
      <c r="Y335" s="68"/>
      <c r="Z335" s="72"/>
    </row>
    <row r="336" spans="1:26">
      <c r="A336" s="71">
        <f>IFERROR(Associates_Call_List_PQ!A336,"")</f>
        <v>45903</v>
      </c>
      <c r="B336" s="57" t="str">
        <f>IF(Associates_Call_List_PQ!B336="","",Associates_Call_List_PQ!B336)</f>
        <v>Cuadras</v>
      </c>
      <c r="C336" s="57" t="str">
        <f>IF(Associates_Call_List_PQ!C336="","",Associates_Call_List_PQ!C336)</f>
        <v>JoVon</v>
      </c>
      <c r="D336" s="57" t="str">
        <f>IF(Associates_Call_List_PQ!D336="","",Associates_Call_List_PQ!D336)</f>
        <v>Phoenix</v>
      </c>
      <c r="E336" s="58">
        <f>IF(Associates_Call_List_PQ!E336="","",Associates_Call_List_PQ!E336)</f>
        <v>85003</v>
      </c>
      <c r="F336" s="57" t="str">
        <f>IF(Associates_Call_List_PQ!F336="","",Associates_Call_List_PQ!F336)</f>
        <v>Form letter</v>
      </c>
      <c r="G336" s="57" t="str">
        <f>IF(Associates_Call_List_PQ!G336="","",Associates_Call_List_PQ!G336)</f>
        <v>https://images.edocket.azcc.gov/docketpdf/E000046204.pdf</v>
      </c>
      <c r="H336" s="59" t="str">
        <f>IF(Associates_Call_List_PQ!H336="","",Associates_Call_List_PQ!H336)</f>
        <v>3862538912</v>
      </c>
      <c r="I336" s="57" t="str">
        <f>IF(Associates_Call_List_PQ!I336="","",Associates_Call_List_PQ!I336)</f>
        <v>RTOUE47</v>
      </c>
      <c r="J336" s="57" t="str">
        <f>IF(Associates_Call_List_PQ!J336="","",Associates_Call_List_PQ!J336)</f>
        <v>No</v>
      </c>
      <c r="K336" s="57" t="str">
        <f>IF(Associates_Call_List_PQ!K336="","",Associates_Call_List_PQ!K336)</f>
        <v>No</v>
      </c>
      <c r="L336" s="57" t="str">
        <f>IF(Associates_Call_List_PQ!L336="","",Associates_Call_List_PQ!L336)</f>
        <v>No MEP R3-47 ($348.67)</v>
      </c>
      <c r="M336" s="57" t="str">
        <f>IF(Associates_Call_List_PQ!M336="","",Associates_Call_List_PQ!M336)</f>
        <v>No</v>
      </c>
      <c r="N336" s="57" t="str">
        <f>IF(Associates_Call_List_PQ!N336="","",Associates_Call_List_PQ!N336)</f>
        <v>No</v>
      </c>
      <c r="O336" s="57" t="str">
        <f>IF(Associates_Call_List_PQ!O336="","",Associates_Call_List_PQ!O336)</f>
        <v>Yes</v>
      </c>
      <c r="P336" s="57">
        <f>IF(Associates_Call_List_PQ!P336="","",Associates_Call_List_PQ!P336)</f>
        <v>45936</v>
      </c>
      <c r="Q336" s="57">
        <f>IF(Associates_Call_List_PQ!Q336="","",Associates_Call_List_PQ!Q336)</f>
        <v>45967</v>
      </c>
      <c r="R336" s="57" t="str">
        <f>IF(Associates_Call_List_PQ!R336="","",Associates_Call_List_PQ!R336)</f>
        <v>10/6 Spoke with customer, he's interested to learn more and wanted to review his online account. Offered our phone number if he'd like to discuss it further.</v>
      </c>
      <c r="S336" s="57" t="str">
        <f>IF(Associates_Call_List_PQ!S336="","",Associates_Call_List_PQ!S336)</f>
        <v/>
      </c>
      <c r="T336" s="57" t="str">
        <f>IF(Associates_Call_List_PQ!T336="","",Associates_Call_List_PQ!T336)</f>
        <v/>
      </c>
      <c r="U336" s="57" t="s">
        <v>5509</v>
      </c>
      <c r="V336" s="68" t="s">
        <v>117</v>
      </c>
      <c r="W336" s="68">
        <v>46046</v>
      </c>
      <c r="X336" s="68" t="s">
        <v>5434</v>
      </c>
      <c r="Y336" s="68"/>
      <c r="Z336" s="72"/>
    </row>
    <row r="337" spans="1:26">
      <c r="A337" s="71">
        <f>IFERROR(Associates_Call_List_PQ!A337,"")</f>
        <v>45903</v>
      </c>
      <c r="B337" s="57" t="str">
        <f>IF(Associates_Call_List_PQ!B337="","",Associates_Call_List_PQ!B337)</f>
        <v>Monteleone</v>
      </c>
      <c r="C337" s="57" t="str">
        <f>IF(Associates_Call_List_PQ!C337="","",Associates_Call_List_PQ!C337)</f>
        <v>Kathleen</v>
      </c>
      <c r="D337" s="57" t="str">
        <f>IF(Associates_Call_List_PQ!D337="","",Associates_Call_List_PQ!D337)</f>
        <v>Goodyear</v>
      </c>
      <c r="E337" s="58">
        <f>IF(Associates_Call_List_PQ!E337="","",Associates_Call_List_PQ!E337)</f>
        <v>85338</v>
      </c>
      <c r="F337" s="57" t="str">
        <f>IF(Associates_Call_List_PQ!F337="","",Associates_Call_List_PQ!F337)</f>
        <v>Opposed/will cause hardships</v>
      </c>
      <c r="G337" s="57" t="str">
        <f>IF(Associates_Call_List_PQ!G337="","",Associates_Call_List_PQ!G337)</f>
        <v>https://images.edocket.azcc.gov/docketpdf/E000046204.pdf</v>
      </c>
      <c r="H337" s="59" t="str">
        <f>IF(Associates_Call_List_PQ!H337="","",Associates_Call_List_PQ!H337)</f>
        <v>0974119043</v>
      </c>
      <c r="I337" s="57" t="str">
        <f>IF(Associates_Call_List_PQ!I337="","",Associates_Call_List_PQ!I337)</f>
        <v>RTOUE47</v>
      </c>
      <c r="J337" s="57" t="str">
        <f>IF(Associates_Call_List_PQ!J337="","",Associates_Call_List_PQ!J337)</f>
        <v>No</v>
      </c>
      <c r="K337" s="57" t="str">
        <f>IF(Associates_Call_List_PQ!K337="","",Associates_Call_List_PQ!K337)</f>
        <v>No</v>
      </c>
      <c r="L337" s="57" t="str">
        <f>IF(Associates_Call_List_PQ!L337="","",Associates_Call_List_PQ!L337)</f>
        <v>N MEP R3-47 ($273.17)</v>
      </c>
      <c r="M337" s="57" t="str">
        <f>IF(Associates_Call_List_PQ!M337="","",Associates_Call_List_PQ!M337)</f>
        <v>No</v>
      </c>
      <c r="N337" s="57" t="str">
        <f>IF(Associates_Call_List_PQ!N337="","",Associates_Call_List_PQ!N337)</f>
        <v>No</v>
      </c>
      <c r="O337" s="57" t="str">
        <f>IF(Associates_Call_List_PQ!O337="","",Associates_Call_List_PQ!O337)</f>
        <v>Yes</v>
      </c>
      <c r="P337" s="57">
        <f>IF(Associates_Call_List_PQ!P337="","",Associates_Call_List_PQ!P337)</f>
        <v>45936</v>
      </c>
      <c r="Q337" s="57">
        <f>IF(Associates_Call_List_PQ!Q337="","",Associates_Call_List_PQ!Q337)</f>
        <v>45967</v>
      </c>
      <c r="R337" s="57" t="str">
        <f>IF(Associates_Call_List_PQ!R337="","",Associates_Call_List_PQ!R337)</f>
        <v>10/6 Left VM</v>
      </c>
      <c r="S337" s="57" t="str">
        <f>IF(Associates_Call_List_PQ!S337="","",Associates_Call_List_PQ!S337)</f>
        <v/>
      </c>
      <c r="T337" s="57" t="str">
        <f>IF(Associates_Call_List_PQ!T337="","",Associates_Call_List_PQ!T337)</f>
        <v/>
      </c>
      <c r="U337" s="57" t="s">
        <v>5584</v>
      </c>
      <c r="V337" s="68" t="s">
        <v>117</v>
      </c>
      <c r="W337" s="68">
        <v>46046</v>
      </c>
      <c r="X337" s="68" t="s">
        <v>5434</v>
      </c>
      <c r="Y337" s="68"/>
      <c r="Z337" s="72"/>
    </row>
    <row r="338" spans="1:26">
      <c r="A338" s="71">
        <f>IFERROR(Associates_Call_List_PQ!A338,"")</f>
        <v>45903</v>
      </c>
      <c r="B338" s="57" t="str">
        <f>IF(Associates_Call_List_PQ!B338="","",Associates_Call_List_PQ!B338)</f>
        <v>Pahuja</v>
      </c>
      <c r="C338" s="57" t="str">
        <f>IF(Associates_Call_List_PQ!C338="","",Associates_Call_List_PQ!C338)</f>
        <v>Himanshu</v>
      </c>
      <c r="D338" s="57" t="str">
        <f>IF(Associates_Call_List_PQ!D338="","",Associates_Call_List_PQ!D338)</f>
        <v>Peoria</v>
      </c>
      <c r="E338" s="58">
        <f>IF(Associates_Call_List_PQ!E338="","",Associates_Call_List_PQ!E338)</f>
        <v>85383</v>
      </c>
      <c r="F338" s="57" t="str">
        <f>IF(Associates_Call_List_PQ!F338="","",Associates_Call_List_PQ!F338)</f>
        <v>Form letter</v>
      </c>
      <c r="G338" s="57" t="str">
        <f>IF(Associates_Call_List_PQ!G338="","",Associates_Call_List_PQ!G338)</f>
        <v>https://images.edocket.azcc.gov/docketpdf/E000046204.pdf</v>
      </c>
      <c r="H338" s="59" t="str">
        <f>IF(Associates_Call_List_PQ!H338="","",Associates_Call_List_PQ!H338)</f>
        <v>8849042993</v>
      </c>
      <c r="I338" s="57" t="str">
        <f>IF(Associates_Call_List_PQ!I338="","",Associates_Call_List_PQ!I338)</f>
        <v>RTOUE47</v>
      </c>
      <c r="J338" s="57" t="str">
        <f>IF(Associates_Call_List_PQ!J338="","",Associates_Call_List_PQ!J338)</f>
        <v>No</v>
      </c>
      <c r="K338" s="57" t="str">
        <f>IF(Associates_Call_List_PQ!K338="","",Associates_Call_List_PQ!K338)</f>
        <v>No</v>
      </c>
      <c r="L338" s="57" t="str">
        <f>IF(Associates_Call_List_PQ!L338="","",Associates_Call_List_PQ!L338)</f>
        <v>No MEP R3-47 ($461.51)</v>
      </c>
      <c r="M338" s="57" t="str">
        <f>IF(Associates_Call_List_PQ!M338="","",Associates_Call_List_PQ!M338)</f>
        <v>No</v>
      </c>
      <c r="N338" s="57" t="str">
        <f>IF(Associates_Call_List_PQ!N338="","",Associates_Call_List_PQ!N338)</f>
        <v>No</v>
      </c>
      <c r="O338" s="57" t="str">
        <f>IF(Associates_Call_List_PQ!O338="","",Associates_Call_List_PQ!O338)</f>
        <v>Yes</v>
      </c>
      <c r="P338" s="57">
        <f>IF(Associates_Call_List_PQ!P338="","",Associates_Call_List_PQ!P338)</f>
        <v>45936</v>
      </c>
      <c r="Q338" s="57">
        <f>IF(Associates_Call_List_PQ!Q338="","",Associates_Call_List_PQ!Q338)</f>
        <v>45967</v>
      </c>
      <c r="R338" s="57" t="str">
        <f>IF(Associates_Call_List_PQ!R338="","",Associates_Call_List_PQ!R338)</f>
        <v>10/6 Left VM</v>
      </c>
      <c r="S338" s="57" t="str">
        <f>IF(Associates_Call_List_PQ!S338="","",Associates_Call_List_PQ!S338)</f>
        <v/>
      </c>
      <c r="T338" s="57" t="str">
        <f>IF(Associates_Call_List_PQ!T338="","",Associates_Call_List_PQ!T338)</f>
        <v/>
      </c>
      <c r="U338" s="57" t="s">
        <v>5513</v>
      </c>
      <c r="V338" s="68" t="s">
        <v>117</v>
      </c>
      <c r="W338" s="68">
        <v>46046</v>
      </c>
      <c r="X338" s="68" t="s">
        <v>5434</v>
      </c>
      <c r="Y338" s="68"/>
      <c r="Z338" s="72"/>
    </row>
    <row r="339" spans="1:26">
      <c r="A339" s="71">
        <f>IFERROR(Associates_Call_List_PQ!A339,"")</f>
        <v>45903</v>
      </c>
      <c r="B339" s="57" t="str">
        <f>IF(Associates_Call_List_PQ!B339="","",Associates_Call_List_PQ!B339)</f>
        <v>Bedadala</v>
      </c>
      <c r="C339" s="57" t="str">
        <f>IF(Associates_Call_List_PQ!C339="","",Associates_Call_List_PQ!C339)</f>
        <v>Harinatha</v>
      </c>
      <c r="D339" s="57" t="str">
        <f>IF(Associates_Call_List_PQ!D339="","",Associates_Call_List_PQ!D339)</f>
        <v>Peoria</v>
      </c>
      <c r="E339" s="58">
        <f>IF(Associates_Call_List_PQ!E339="","",Associates_Call_List_PQ!E339)</f>
        <v>85383</v>
      </c>
      <c r="F339" s="57" t="str">
        <f>IF(Associates_Call_List_PQ!F339="","",Associates_Call_List_PQ!F339)</f>
        <v>Form letter</v>
      </c>
      <c r="G339" s="57" t="str">
        <f>IF(Associates_Call_List_PQ!G339="","",Associates_Call_List_PQ!G339)</f>
        <v>https://images.edocket.azcc.gov/docketpdf/E000046204.pdf</v>
      </c>
      <c r="H339" s="59" t="str">
        <f>IF(Associates_Call_List_PQ!H339="","",Associates_Call_List_PQ!H339)</f>
        <v>1275245123</v>
      </c>
      <c r="I339" s="57" t="str">
        <f>IF(Associates_Call_List_PQ!I339="","",Associates_Call_List_PQ!I339)</f>
        <v>R-XS</v>
      </c>
      <c r="J339" s="57" t="str">
        <f>IF(Associates_Call_List_PQ!J339="","",Associates_Call_List_PQ!J339)</f>
        <v>No</v>
      </c>
      <c r="K339" s="57" t="str">
        <f>IF(Associates_Call_List_PQ!K339="","",Associates_Call_List_PQ!K339)</f>
        <v>No</v>
      </c>
      <c r="L339" s="57" t="str">
        <f>IF(Associates_Call_List_PQ!L339="","",Associates_Call_List_PQ!L339)</f>
        <v>Yes</v>
      </c>
      <c r="M339" s="57" t="str">
        <f>IF(Associates_Call_List_PQ!M339="","",Associates_Call_List_PQ!M339)</f>
        <v>No</v>
      </c>
      <c r="N339" s="57" t="str">
        <f>IF(Associates_Call_List_PQ!N339="","",Associates_Call_List_PQ!N339)</f>
        <v>No</v>
      </c>
      <c r="O339" s="57" t="str">
        <f>IF(Associates_Call_List_PQ!O339="","",Associates_Call_List_PQ!O339)</f>
        <v>Yes</v>
      </c>
      <c r="P339" s="57" t="str">
        <f>IF(Associates_Call_List_PQ!P339="","",Associates_Call_List_PQ!P339)</f>
        <v>N</v>
      </c>
      <c r="Q339" s="57">
        <f>IF(Associates_Call_List_PQ!Q339="","",Associates_Call_List_PQ!Q339)</f>
        <v>45967</v>
      </c>
      <c r="R339" s="57" t="str">
        <f>IF(Associates_Call_List_PQ!R339="","",Associates_Call_List_PQ!R339)</f>
        <v/>
      </c>
      <c r="S339" s="57" t="str">
        <f>IF(Associates_Call_List_PQ!S339="","",Associates_Call_List_PQ!S339)</f>
        <v/>
      </c>
      <c r="T339" s="57" t="str">
        <f>IF(Associates_Call_List_PQ!T339="","",Associates_Call_List_PQ!T339)</f>
        <v/>
      </c>
      <c r="U339" s="57" t="str">
        <f>IF(Associates_Call_List_PQ!U339="","",Associates_Call_List_PQ!U339)</f>
        <v/>
      </c>
      <c r="V339" s="68"/>
      <c r="W339" s="68" t="s">
        <v>5432</v>
      </c>
      <c r="X339" s="68"/>
      <c r="Y339" s="68"/>
      <c r="Z339" s="72"/>
    </row>
    <row r="340" spans="1:26">
      <c r="A340" s="71">
        <f>IFERROR(Associates_Call_List_PQ!A340,"")</f>
        <v>45903</v>
      </c>
      <c r="B340" s="57" t="str">
        <f>IF(Associates_Call_List_PQ!B340="","",Associates_Call_List_PQ!B340)</f>
        <v>Clow</v>
      </c>
      <c r="C340" s="57" t="str">
        <f>IF(Associates_Call_List_PQ!C340="","",Associates_Call_List_PQ!C340)</f>
        <v>Richard</v>
      </c>
      <c r="D340" s="57" t="str">
        <f>IF(Associates_Call_List_PQ!D340="","",Associates_Call_List_PQ!D340)</f>
        <v>Goodyear</v>
      </c>
      <c r="E340" s="58">
        <f>IF(Associates_Call_List_PQ!E340="","",Associates_Call_List_PQ!E340)</f>
        <v>85338</v>
      </c>
      <c r="F340" s="57" t="str">
        <f>IF(Associates_Call_List_PQ!F340="","",Associates_Call_List_PQ!F340)</f>
        <v>Opposed</v>
      </c>
      <c r="G340" s="57" t="str">
        <f>IF(Associates_Call_List_PQ!G340="","",Associates_Call_List_PQ!G340)</f>
        <v>https://images.edocket.azcc.gov/docketpdf/E000046204.pdf</v>
      </c>
      <c r="H340" s="59" t="str">
        <f>IF(Associates_Call_List_PQ!H340="","",Associates_Call_List_PQ!H340)</f>
        <v>4095200000</v>
      </c>
      <c r="I340" s="57" t="str">
        <f>IF(Associates_Call_List_PQ!I340="","",Associates_Call_List_PQ!I340)</f>
        <v>RTOUE47</v>
      </c>
      <c r="J340" s="57" t="str">
        <f>IF(Associates_Call_List_PQ!J340="","",Associates_Call_List_PQ!J340)</f>
        <v>No</v>
      </c>
      <c r="K340" s="57" t="str">
        <f>IF(Associates_Call_List_PQ!K340="","",Associates_Call_List_PQ!K340)</f>
        <v>No</v>
      </c>
      <c r="L340" s="57" t="str">
        <f>IF(Associates_Call_List_PQ!L340="","",Associates_Call_List_PQ!L340)</f>
        <v>No MEP R3-47 ($517.20)</v>
      </c>
      <c r="M340" s="57" t="str">
        <f>IF(Associates_Call_List_PQ!M340="","",Associates_Call_List_PQ!M340)</f>
        <v>No</v>
      </c>
      <c r="N340" s="57" t="str">
        <f>IF(Associates_Call_List_PQ!N340="","",Associates_Call_List_PQ!N340)</f>
        <v>No</v>
      </c>
      <c r="O340" s="57" t="str">
        <f>IF(Associates_Call_List_PQ!O340="","",Associates_Call_List_PQ!O340)</f>
        <v>Yes</v>
      </c>
      <c r="P340" s="57" t="str">
        <f>IF(Associates_Call_List_PQ!P340="","",Associates_Call_List_PQ!P340)</f>
        <v>N</v>
      </c>
      <c r="Q340" s="57">
        <f>IF(Associates_Call_List_PQ!Q340="","",Associates_Call_List_PQ!Q340)</f>
        <v>45967</v>
      </c>
      <c r="R340" s="57" t="str">
        <f>IF(Associates_Call_List_PQ!R340="","",Associates_Call_List_PQ!R340)</f>
        <v>10/6 Tried to leave VM - mailbox full, 11/12 tried again and number is not in service</v>
      </c>
      <c r="S340" s="57" t="str">
        <f>IF(Associates_Call_List_PQ!S340="","",Associates_Call_List_PQ!S340)</f>
        <v/>
      </c>
      <c r="T340" s="57" t="str">
        <f>IF(Associates_Call_List_PQ!T340="","",Associates_Call_List_PQ!T340)</f>
        <v/>
      </c>
      <c r="U340" s="57" t="s">
        <v>5590</v>
      </c>
      <c r="V340" s="68" t="s">
        <v>117</v>
      </c>
      <c r="W340" s="68">
        <v>46046</v>
      </c>
      <c r="X340" s="68" t="s">
        <v>5405</v>
      </c>
      <c r="Y340" s="68"/>
      <c r="Z340" s="72"/>
    </row>
    <row r="341" spans="1:26">
      <c r="A341" s="71">
        <f>IFERROR(Associates_Call_List_PQ!A341,"")</f>
        <v>45903</v>
      </c>
      <c r="B341" s="57" t="str">
        <f>IF(Associates_Call_List_PQ!B341="","",Associates_Call_List_PQ!B341)</f>
        <v>Chintalapuri</v>
      </c>
      <c r="C341" s="57" t="str">
        <f>IF(Associates_Call_List_PQ!C341="","",Associates_Call_List_PQ!C341)</f>
        <v>Dinesh</v>
      </c>
      <c r="D341" s="57" t="str">
        <f>IF(Associates_Call_List_PQ!D341="","",Associates_Call_List_PQ!D341)</f>
        <v>Phoenix</v>
      </c>
      <c r="E341" s="58">
        <f>IF(Associates_Call_List_PQ!E341="","",Associates_Call_List_PQ!E341)</f>
        <v>85024</v>
      </c>
      <c r="F341" s="57" t="str">
        <f>IF(Associates_Call_List_PQ!F341="","",Associates_Call_List_PQ!F341)</f>
        <v>Form letter</v>
      </c>
      <c r="G341" s="57" t="str">
        <f>IF(Associates_Call_List_PQ!G341="","",Associates_Call_List_PQ!G341)</f>
        <v>https://images.edocket.azcc.gov/docketpdf/E000046204.pdf</v>
      </c>
      <c r="H341" s="59" t="str">
        <f>IF(Associates_Call_List_PQ!H341="","",Associates_Call_List_PQ!H341)</f>
        <v>0616290000 </v>
      </c>
      <c r="I341" s="57" t="str">
        <f>IF(Associates_Call_List_PQ!I341="","",Associates_Call_List_PQ!I341)</f>
        <v>RCPw/REV47</v>
      </c>
      <c r="J341" s="57" t="str">
        <f>IF(Associates_Call_List_PQ!J341="","",Associates_Call_List_PQ!J341)</f>
        <v>No</v>
      </c>
      <c r="K341" s="57" t="str">
        <f>IF(Associates_Call_List_PQ!K341="","",Associates_Call_List_PQ!K341)</f>
        <v>No</v>
      </c>
      <c r="L341" s="57" t="str">
        <f>IF(Associates_Call_List_PQ!L341="","",Associates_Call_List_PQ!L341)</f>
        <v>Yes</v>
      </c>
      <c r="M341" s="57" t="str">
        <f>IF(Associates_Call_List_PQ!M341="","",Associates_Call_List_PQ!M341)</f>
        <v>No</v>
      </c>
      <c r="N341" s="57" t="str">
        <f>IF(Associates_Call_List_PQ!N341="","",Associates_Call_List_PQ!N341)</f>
        <v>No</v>
      </c>
      <c r="O341" s="57" t="str">
        <f>IF(Associates_Call_List_PQ!O341="","",Associates_Call_List_PQ!O341)</f>
        <v>Yes</v>
      </c>
      <c r="P341" s="57" t="str">
        <f>IF(Associates_Call_List_PQ!P341="","",Associates_Call_List_PQ!P341)</f>
        <v>N</v>
      </c>
      <c r="Q341" s="57">
        <f>IF(Associates_Call_List_PQ!Q341="","",Associates_Call_List_PQ!Q341)</f>
        <v>45967</v>
      </c>
      <c r="R341" s="57" t="str">
        <f>IF(Associates_Call_List_PQ!R341="","",Associates_Call_List_PQ!R341)</f>
        <v/>
      </c>
      <c r="S341" s="57" t="str">
        <f>IF(Associates_Call_List_PQ!S341="","",Associates_Call_List_PQ!S341)</f>
        <v/>
      </c>
      <c r="T341" s="57" t="str">
        <f>IF(Associates_Call_List_PQ!T341="","",Associates_Call_List_PQ!T341)</f>
        <v/>
      </c>
      <c r="U341" s="57" t="str">
        <f>IF(Associates_Call_List_PQ!U341="","",Associates_Call_List_PQ!U341)</f>
        <v/>
      </c>
      <c r="V341" s="68"/>
      <c r="W341" s="68" t="s">
        <v>5432</v>
      </c>
      <c r="X341" s="68"/>
      <c r="Y341" s="68"/>
      <c r="Z341" s="72"/>
    </row>
    <row r="342" spans="1:26">
      <c r="A342" s="71">
        <f>IFERROR(Associates_Call_List_PQ!A342,"")</f>
        <v>45903</v>
      </c>
      <c r="B342" s="57" t="str">
        <f>IF(Associates_Call_List_PQ!B342="","",Associates_Call_List_PQ!B342)</f>
        <v xml:space="preserve">Ram </v>
      </c>
      <c r="C342" s="57" t="str">
        <f>IF(Associates_Call_List_PQ!C342="","",Associates_Call_List_PQ!C342)</f>
        <v>Ajit Kumar</v>
      </c>
      <c r="D342" s="57" t="str">
        <f>IF(Associates_Call_List_PQ!D342="","",Associates_Call_List_PQ!D342)</f>
        <v>Phoenix</v>
      </c>
      <c r="E342" s="58">
        <f>IF(Associates_Call_List_PQ!E342="","",Associates_Call_List_PQ!E342)</f>
        <v>85050</v>
      </c>
      <c r="F342" s="57" t="str">
        <f>IF(Associates_Call_List_PQ!F342="","",Associates_Call_List_PQ!F342)</f>
        <v>Opposed</v>
      </c>
      <c r="G342" s="57" t="str">
        <f>IF(Associates_Call_List_PQ!G342="","",Associates_Call_List_PQ!G342)</f>
        <v>https://images.edocket.azcc.gov/docketpdf/E000046204.pdf</v>
      </c>
      <c r="H342" s="59" t="str">
        <f>IF(Associates_Call_List_PQ!H342="","",Associates_Call_List_PQ!H342)</f>
        <v>2174790000 </v>
      </c>
      <c r="I342" s="57" t="str">
        <f>IF(Associates_Call_List_PQ!I342="","",Associates_Call_List_PQ!I342)</f>
        <v>R3-47</v>
      </c>
      <c r="J342" s="57" t="str">
        <f>IF(Associates_Call_List_PQ!J342="","",Associates_Call_List_PQ!J342)</f>
        <v>No</v>
      </c>
      <c r="K342" s="57" t="str">
        <f>IF(Associates_Call_List_PQ!K342="","",Associates_Call_List_PQ!K342)</f>
        <v>No</v>
      </c>
      <c r="L342" s="57" t="str">
        <f>IF(Associates_Call_List_PQ!L342="","",Associates_Call_List_PQ!L342)</f>
        <v>Yes</v>
      </c>
      <c r="M342" s="57" t="str">
        <f>IF(Associates_Call_List_PQ!M342="","",Associates_Call_List_PQ!M342)</f>
        <v>No</v>
      </c>
      <c r="N342" s="57" t="str">
        <f>IF(Associates_Call_List_PQ!N342="","",Associates_Call_List_PQ!N342)</f>
        <v>No</v>
      </c>
      <c r="O342" s="57" t="str">
        <f>IF(Associates_Call_List_PQ!O342="","",Associates_Call_List_PQ!O342)</f>
        <v>Yes</v>
      </c>
      <c r="P342" s="57" t="str">
        <f>IF(Associates_Call_List_PQ!P342="","",Associates_Call_List_PQ!P342)</f>
        <v>N</v>
      </c>
      <c r="Q342" s="57">
        <f>IF(Associates_Call_List_PQ!Q342="","",Associates_Call_List_PQ!Q342)</f>
        <v>45966</v>
      </c>
      <c r="R342" s="57" t="str">
        <f>IF(Associates_Call_List_PQ!R342="","",Associates_Call_List_PQ!R342)</f>
        <v/>
      </c>
      <c r="S342" s="57" t="str">
        <f>IF(Associates_Call_List_PQ!S342="","",Associates_Call_List_PQ!S342)</f>
        <v/>
      </c>
      <c r="T342" s="57" t="str">
        <f>IF(Associates_Call_List_PQ!T342="","",Associates_Call_List_PQ!T342)</f>
        <v/>
      </c>
      <c r="U342" s="57" t="str">
        <f>IF(Associates_Call_List_PQ!U342="","",Associates_Call_List_PQ!U342)</f>
        <v/>
      </c>
      <c r="V342" s="68"/>
      <c r="W342" s="68" t="s">
        <v>5432</v>
      </c>
      <c r="X342" s="68"/>
      <c r="Y342" s="68"/>
      <c r="Z342" s="72"/>
    </row>
    <row r="343" spans="1:26">
      <c r="A343" s="71">
        <f>IFERROR(Associates_Call_List_PQ!A343,"")</f>
        <v>45903</v>
      </c>
      <c r="B343" s="57" t="str">
        <f>IF(Associates_Call_List_PQ!B343="","",Associates_Call_List_PQ!B343)</f>
        <v>Jaycox</v>
      </c>
      <c r="C343" s="57" t="str">
        <f>IF(Associates_Call_List_PQ!C343="","",Associates_Call_List_PQ!C343)</f>
        <v>Sharon</v>
      </c>
      <c r="D343" s="57" t="str">
        <f>IF(Associates_Call_List_PQ!D343="","",Associates_Call_List_PQ!D343)</f>
        <v>Goodyear</v>
      </c>
      <c r="E343" s="58">
        <f>IF(Associates_Call_List_PQ!E343="","",Associates_Call_List_PQ!E343)</f>
        <v>85338</v>
      </c>
      <c r="F343" s="57" t="str">
        <f>IF(Associates_Call_List_PQ!F343="","",Associates_Call_List_PQ!F343)</f>
        <v>Opposed/Households struggling</v>
      </c>
      <c r="G343" s="57" t="str">
        <f>IF(Associates_Call_List_PQ!G343="","",Associates_Call_List_PQ!G343)</f>
        <v>https://images.edocket.azcc.gov/docketpdf/E000046204.pdf</v>
      </c>
      <c r="H343" s="59" t="str">
        <f>IF(Associates_Call_List_PQ!H343="","",Associates_Call_List_PQ!H343)</f>
        <v>1040090000 </v>
      </c>
      <c r="I343" s="57" t="str">
        <f>IF(Associates_Call_List_PQ!I343="","",Associates_Call_List_PQ!I343)</f>
        <v>R3-47</v>
      </c>
      <c r="J343" s="57" t="str">
        <f>IF(Associates_Call_List_PQ!J343="","",Associates_Call_List_PQ!J343)</f>
        <v>No</v>
      </c>
      <c r="K343" s="57" t="str">
        <f>IF(Associates_Call_List_PQ!K343="","",Associates_Call_List_PQ!K343)</f>
        <v>No</v>
      </c>
      <c r="L343" s="57" t="str">
        <f>IF(Associates_Call_List_PQ!L343="","",Associates_Call_List_PQ!L343)</f>
        <v>Yes</v>
      </c>
      <c r="M343" s="57" t="str">
        <f>IF(Associates_Call_List_PQ!M343="","",Associates_Call_List_PQ!M343)</f>
        <v>No</v>
      </c>
      <c r="N343" s="57" t="str">
        <f>IF(Associates_Call_List_PQ!N343="","",Associates_Call_List_PQ!N343)</f>
        <v>No</v>
      </c>
      <c r="O343" s="57" t="str">
        <f>IF(Associates_Call_List_PQ!O343="","",Associates_Call_List_PQ!O343)</f>
        <v>Yes</v>
      </c>
      <c r="P343" s="57" t="str">
        <f>IF(Associates_Call_List_PQ!P343="","",Associates_Call_List_PQ!P343)</f>
        <v>N</v>
      </c>
      <c r="Q343" s="57">
        <f>IF(Associates_Call_List_PQ!Q343="","",Associates_Call_List_PQ!Q343)</f>
        <v>45966</v>
      </c>
      <c r="R343" s="57" t="str">
        <f>IF(Associates_Call_List_PQ!R343="","",Associates_Call_List_PQ!R343)</f>
        <v/>
      </c>
      <c r="S343" s="57" t="str">
        <f>IF(Associates_Call_List_PQ!S343="","",Associates_Call_List_PQ!S343)</f>
        <v/>
      </c>
      <c r="T343" s="57" t="str">
        <f>IF(Associates_Call_List_PQ!T343="","",Associates_Call_List_PQ!T343)</f>
        <v/>
      </c>
      <c r="U343" s="57" t="str">
        <f>IF(Associates_Call_List_PQ!U343="","",Associates_Call_List_PQ!U343)</f>
        <v/>
      </c>
      <c r="V343" s="68"/>
      <c r="W343" s="68" t="s">
        <v>5432</v>
      </c>
      <c r="X343" s="68"/>
      <c r="Y343" s="68"/>
      <c r="Z343" s="72"/>
    </row>
    <row r="344" spans="1:26">
      <c r="A344" s="71">
        <f>IFERROR(Associates_Call_List_PQ!A344,"")</f>
        <v>45903</v>
      </c>
      <c r="B344" s="57" t="str">
        <f>IF(Associates_Call_List_PQ!B344="","",Associates_Call_List_PQ!B344)</f>
        <v>Noriega</v>
      </c>
      <c r="C344" s="57" t="str">
        <f>IF(Associates_Call_List_PQ!C344="","",Associates_Call_List_PQ!C344)</f>
        <v>Mario</v>
      </c>
      <c r="D344" s="57" t="str">
        <f>IF(Associates_Call_List_PQ!D344="","",Associates_Call_List_PQ!D344)</f>
        <v>Phoenix</v>
      </c>
      <c r="E344" s="58">
        <f>IF(Associates_Call_List_PQ!E344="","",Associates_Call_List_PQ!E344)</f>
        <v>85013</v>
      </c>
      <c r="F344" s="57" t="str">
        <f>IF(Associates_Call_List_PQ!F344="","",Associates_Call_List_PQ!F344)</f>
        <v>Opposed/pure greed</v>
      </c>
      <c r="G344" s="57" t="str">
        <f>IF(Associates_Call_List_PQ!G344="","",Associates_Call_List_PQ!G344)</f>
        <v>https://images.edocket.azcc.gov/docketpdf/E000046204.pdf</v>
      </c>
      <c r="H344" s="59" t="str">
        <f>IF(Associates_Call_List_PQ!H344="","",Associates_Call_List_PQ!H344)</f>
        <v>2426870000 </v>
      </c>
      <c r="I344" s="57" t="str">
        <f>IF(Associates_Call_List_PQ!I344="","",Associates_Call_List_PQ!I344)</f>
        <v>R-XS</v>
      </c>
      <c r="J344" s="57" t="str">
        <f>IF(Associates_Call_List_PQ!J344="","",Associates_Call_List_PQ!J344)</f>
        <v>No</v>
      </c>
      <c r="K344" s="57" t="str">
        <f>IF(Associates_Call_List_PQ!K344="","",Associates_Call_List_PQ!K344)</f>
        <v>No</v>
      </c>
      <c r="L344" s="57" t="str">
        <f>IF(Associates_Call_List_PQ!L344="","",Associates_Call_List_PQ!L344)</f>
        <v>Yes</v>
      </c>
      <c r="M344" s="57" t="str">
        <f>IF(Associates_Call_List_PQ!M344="","",Associates_Call_List_PQ!M344)</f>
        <v>No</v>
      </c>
      <c r="N344" s="57" t="str">
        <f>IF(Associates_Call_List_PQ!N344="","",Associates_Call_List_PQ!N344)</f>
        <v>No</v>
      </c>
      <c r="O344" s="57" t="str">
        <f>IF(Associates_Call_List_PQ!O344="","",Associates_Call_List_PQ!O344)</f>
        <v>Yes</v>
      </c>
      <c r="P344" s="57" t="str">
        <f>IF(Associates_Call_List_PQ!P344="","",Associates_Call_List_PQ!P344)</f>
        <v>N</v>
      </c>
      <c r="Q344" s="57">
        <f>IF(Associates_Call_List_PQ!Q344="","",Associates_Call_List_PQ!Q344)</f>
        <v>45966</v>
      </c>
      <c r="R344" s="57" t="str">
        <f>IF(Associates_Call_List_PQ!R344="","",Associates_Call_List_PQ!R344)</f>
        <v/>
      </c>
      <c r="S344" s="57" t="str">
        <f>IF(Associates_Call_List_PQ!S344="","",Associates_Call_List_PQ!S344)</f>
        <v/>
      </c>
      <c r="T344" s="57" t="str">
        <f>IF(Associates_Call_List_PQ!T344="","",Associates_Call_List_PQ!T344)</f>
        <v/>
      </c>
      <c r="U344" s="57" t="str">
        <f>IF(Associates_Call_List_PQ!U344="","",Associates_Call_List_PQ!U344)</f>
        <v/>
      </c>
      <c r="V344" s="68"/>
      <c r="W344" s="68" t="s">
        <v>5432</v>
      </c>
      <c r="X344" s="68"/>
      <c r="Y344" s="68"/>
      <c r="Z344" s="72"/>
    </row>
    <row r="345" spans="1:26">
      <c r="A345" s="71">
        <f>IFERROR(Associates_Call_List_PQ!A345,"")</f>
        <v>45903</v>
      </c>
      <c r="B345" s="57" t="str">
        <f>IF(Associates_Call_List_PQ!B345="","",Associates_Call_List_PQ!B345)</f>
        <v>Hogan</v>
      </c>
      <c r="C345" s="57" t="str">
        <f>IF(Associates_Call_List_PQ!C345="","",Associates_Call_List_PQ!C345)</f>
        <v>Nicole</v>
      </c>
      <c r="D345" s="57" t="str">
        <f>IF(Associates_Call_List_PQ!D345="","",Associates_Call_List_PQ!D345)</f>
        <v>Peoria</v>
      </c>
      <c r="E345" s="58">
        <f>IF(Associates_Call_List_PQ!E345="","",Associates_Call_List_PQ!E345)</f>
        <v>85381</v>
      </c>
      <c r="F345" s="57" t="str">
        <f>IF(Associates_Call_List_PQ!F345="","",Associates_Call_List_PQ!F345)</f>
        <v>Form letter</v>
      </c>
      <c r="G345" s="57" t="str">
        <f>IF(Associates_Call_List_PQ!G345="","",Associates_Call_List_PQ!G345)</f>
        <v>https://images.edocket.azcc.gov/docketpdf/E000046204.pdf</v>
      </c>
      <c r="H345" s="59" t="str">
        <f>IF(Associates_Call_List_PQ!H345="","",Associates_Call_List_PQ!H345)</f>
        <v>7393110000 </v>
      </c>
      <c r="I345" s="57" t="str">
        <f>IF(Associates_Call_List_PQ!I345="","",Associates_Call_List_PQ!I345)</f>
        <v>R3-47</v>
      </c>
      <c r="J345" s="57" t="str">
        <f>IF(Associates_Call_List_PQ!J345="","",Associates_Call_List_PQ!J345)</f>
        <v>No</v>
      </c>
      <c r="K345" s="57" t="str">
        <f>IF(Associates_Call_List_PQ!K345="","",Associates_Call_List_PQ!K345)</f>
        <v>No</v>
      </c>
      <c r="L345" s="57" t="str">
        <f>IF(Associates_Call_List_PQ!L345="","",Associates_Call_List_PQ!L345)</f>
        <v>Yes</v>
      </c>
      <c r="M345" s="57" t="str">
        <f>IF(Associates_Call_List_PQ!M345="","",Associates_Call_List_PQ!M345)</f>
        <v>No</v>
      </c>
      <c r="N345" s="57" t="str">
        <f>IF(Associates_Call_List_PQ!N345="","",Associates_Call_List_PQ!N345)</f>
        <v>No</v>
      </c>
      <c r="O345" s="57" t="str">
        <f>IF(Associates_Call_List_PQ!O345="","",Associates_Call_List_PQ!O345)</f>
        <v>Yes</v>
      </c>
      <c r="P345" s="57" t="str">
        <f>IF(Associates_Call_List_PQ!P345="","",Associates_Call_List_PQ!P345)</f>
        <v>N</v>
      </c>
      <c r="Q345" s="57">
        <f>IF(Associates_Call_List_PQ!Q345="","",Associates_Call_List_PQ!Q345)</f>
        <v>45966</v>
      </c>
      <c r="R345" s="57" t="str">
        <f>IF(Associates_Call_List_PQ!R345="","",Associates_Call_List_PQ!R345)</f>
        <v/>
      </c>
      <c r="S345" s="57" t="str">
        <f>IF(Associates_Call_List_PQ!S345="","",Associates_Call_List_PQ!S345)</f>
        <v/>
      </c>
      <c r="T345" s="57" t="str">
        <f>IF(Associates_Call_List_PQ!T345="","",Associates_Call_List_PQ!T345)</f>
        <v/>
      </c>
      <c r="U345" s="57" t="str">
        <f>IF(Associates_Call_List_PQ!U345="","",Associates_Call_List_PQ!U345)</f>
        <v/>
      </c>
      <c r="V345" s="68"/>
      <c r="W345" s="68" t="s">
        <v>5432</v>
      </c>
      <c r="X345" s="68"/>
      <c r="Y345" s="68"/>
      <c r="Z345" s="72"/>
    </row>
    <row r="346" spans="1:26">
      <c r="A346" s="71">
        <f>IFERROR(Associates_Call_List_PQ!A346,"")</f>
        <v>45903</v>
      </c>
      <c r="B346" s="57" t="str">
        <f>IF(Associates_Call_List_PQ!B346="","",Associates_Call_List_PQ!B346)</f>
        <v>Sonnentag</v>
      </c>
      <c r="C346" s="57" t="str">
        <f>IF(Associates_Call_List_PQ!C346="","",Associates_Call_List_PQ!C346)</f>
        <v xml:space="preserve">Shawn </v>
      </c>
      <c r="D346" s="57" t="str">
        <f>IF(Associates_Call_List_PQ!D346="","",Associates_Call_List_PQ!D346)</f>
        <v>Peeples Valley</v>
      </c>
      <c r="E346" s="58">
        <f>IF(Associates_Call_List_PQ!E346="","",Associates_Call_List_PQ!E346)</f>
        <v>86332</v>
      </c>
      <c r="F346" s="57" t="str">
        <f>IF(Associates_Call_List_PQ!F346="","",Associates_Call_List_PQ!F346)</f>
        <v>Opposed</v>
      </c>
      <c r="G346" s="57" t="str">
        <f>IF(Associates_Call_List_PQ!G346="","",Associates_Call_List_PQ!G346)</f>
        <v>https://images.edocket.azcc.gov/docketpdf/E000046204.pdf</v>
      </c>
      <c r="H346" s="59" t="str">
        <f>IF(Associates_Call_List_PQ!H346="","",Associates_Call_List_PQ!H346)</f>
        <v>1130640000 </v>
      </c>
      <c r="I346" s="57" t="str">
        <f>IF(Associates_Call_List_PQ!I346="","",Associates_Call_List_PQ!I346)</f>
        <v>EPR-6w/E-12</v>
      </c>
      <c r="J346" s="57" t="str">
        <f>IF(Associates_Call_List_PQ!J346="","",Associates_Call_List_PQ!J346)</f>
        <v>No</v>
      </c>
      <c r="K346" s="57" t="str">
        <f>IF(Associates_Call_List_PQ!K346="","",Associates_Call_List_PQ!K346)</f>
        <v>No</v>
      </c>
      <c r="L346" s="57" t="str">
        <f>IF(Associates_Call_List_PQ!L346="","",Associates_Call_List_PQ!L346)</f>
        <v>Frozen Rate</v>
      </c>
      <c r="M346" s="57" t="str">
        <f>IF(Associates_Call_List_PQ!M346="","",Associates_Call_List_PQ!M346)</f>
        <v>No</v>
      </c>
      <c r="N346" s="57" t="str">
        <f>IF(Associates_Call_List_PQ!N346="","",Associates_Call_List_PQ!N346)</f>
        <v>No</v>
      </c>
      <c r="O346" s="57" t="str">
        <f>IF(Associates_Call_List_PQ!O346="","",Associates_Call_List_PQ!O346)</f>
        <v>Yes</v>
      </c>
      <c r="P346" s="57" t="str">
        <f>IF(Associates_Call_List_PQ!P346="","",Associates_Call_List_PQ!P346)</f>
        <v>N</v>
      </c>
      <c r="Q346" s="57">
        <f>IF(Associates_Call_List_PQ!Q346="","",Associates_Call_List_PQ!Q346)</f>
        <v>45966</v>
      </c>
      <c r="R346" s="57" t="str">
        <f>IF(Associates_Call_List_PQ!R346="","",Associates_Call_List_PQ!R346)</f>
        <v/>
      </c>
      <c r="S346" s="57" t="str">
        <f>IF(Associates_Call_List_PQ!S346="","",Associates_Call_List_PQ!S346)</f>
        <v/>
      </c>
      <c r="T346" s="57" t="str">
        <f>IF(Associates_Call_List_PQ!T346="","",Associates_Call_List_PQ!T346)</f>
        <v/>
      </c>
      <c r="U346" s="57" t="str">
        <f>IF(Associates_Call_List_PQ!U346="","",Associates_Call_List_PQ!U346)</f>
        <v/>
      </c>
      <c r="V346" s="68"/>
      <c r="W346" s="68" t="s">
        <v>5432</v>
      </c>
      <c r="X346" s="68"/>
      <c r="Y346" s="68"/>
      <c r="Z346" s="72"/>
    </row>
    <row r="347" spans="1:26">
      <c r="A347" s="71">
        <f>IFERROR(Associates_Call_List_PQ!A347,"")</f>
        <v>45903</v>
      </c>
      <c r="B347" s="57" t="str">
        <f>IF(Associates_Call_List_PQ!B347="","",Associates_Call_List_PQ!B347)</f>
        <v>Stenzel</v>
      </c>
      <c r="C347" s="57" t="str">
        <f>IF(Associates_Call_List_PQ!C347="","",Associates_Call_List_PQ!C347)</f>
        <v>LeRoy</v>
      </c>
      <c r="D347" s="57" t="str">
        <f>IF(Associates_Call_List_PQ!D347="","",Associates_Call_List_PQ!D347)</f>
        <v>Goodyear</v>
      </c>
      <c r="E347" s="58">
        <f>IF(Associates_Call_List_PQ!E347="","",Associates_Call_List_PQ!E347)</f>
        <v>85395</v>
      </c>
      <c r="F347" s="57" t="str">
        <f>IF(Associates_Call_List_PQ!F347="","",Associates_Call_List_PQ!F347)</f>
        <v>Opposed</v>
      </c>
      <c r="G347" s="57" t="str">
        <f>IF(Associates_Call_List_PQ!G347="","",Associates_Call_List_PQ!G347)</f>
        <v>https://images.edocket.azcc.gov/docketpdf/E000046204.pdf</v>
      </c>
      <c r="H347" s="59" t="str">
        <f>IF(Associates_Call_List_PQ!H347="","",Associates_Call_List_PQ!H347)</f>
        <v>4161750000 </v>
      </c>
      <c r="I347" s="57" t="str">
        <f>IF(Associates_Call_List_PQ!I347="","",Associates_Call_List_PQ!I347)</f>
        <v>RCPw/RTOUE47</v>
      </c>
      <c r="J347" s="57" t="str">
        <f>IF(Associates_Call_List_PQ!J347="","",Associates_Call_List_PQ!J347)</f>
        <v>No</v>
      </c>
      <c r="K347" s="57" t="str">
        <f>IF(Associates_Call_List_PQ!K347="","",Associates_Call_List_PQ!K347)</f>
        <v>No</v>
      </c>
      <c r="L347" s="57" t="str">
        <f>IF(Associates_Call_List_PQ!L347="","",Associates_Call_List_PQ!L347)</f>
        <v>Yes</v>
      </c>
      <c r="M347" s="57" t="str">
        <f>IF(Associates_Call_List_PQ!M347="","",Associates_Call_List_PQ!M347)</f>
        <v>No</v>
      </c>
      <c r="N347" s="57" t="str">
        <f>IF(Associates_Call_List_PQ!N347="","",Associates_Call_List_PQ!N347)</f>
        <v>No</v>
      </c>
      <c r="O347" s="57" t="str">
        <f>IF(Associates_Call_List_PQ!O347="","",Associates_Call_List_PQ!O347)</f>
        <v>Yes</v>
      </c>
      <c r="P347" s="57" t="str">
        <f>IF(Associates_Call_List_PQ!P347="","",Associates_Call_List_PQ!P347)</f>
        <v>N</v>
      </c>
      <c r="Q347" s="57">
        <f>IF(Associates_Call_List_PQ!Q347="","",Associates_Call_List_PQ!Q347)</f>
        <v>45966</v>
      </c>
      <c r="R347" s="57" t="str">
        <f>IF(Associates_Call_List_PQ!R347="","",Associates_Call_List_PQ!R347)</f>
        <v/>
      </c>
      <c r="S347" s="57" t="str">
        <f>IF(Associates_Call_List_PQ!S347="","",Associates_Call_List_PQ!S347)</f>
        <v/>
      </c>
      <c r="T347" s="57" t="str">
        <f>IF(Associates_Call_List_PQ!T347="","",Associates_Call_List_PQ!T347)</f>
        <v/>
      </c>
      <c r="U347" s="57" t="str">
        <f>IF(Associates_Call_List_PQ!U347="","",Associates_Call_List_PQ!U347)</f>
        <v/>
      </c>
      <c r="V347" s="68"/>
      <c r="W347" s="68" t="s">
        <v>5432</v>
      </c>
      <c r="X347" s="68"/>
      <c r="Y347" s="68"/>
      <c r="Z347" s="72"/>
    </row>
    <row r="348" spans="1:26">
      <c r="A348" s="71">
        <f>IFERROR(Associates_Call_List_PQ!A348,"")</f>
        <v>45903</v>
      </c>
      <c r="B348" s="57" t="str">
        <f>IF(Associates_Call_List_PQ!B348="","",Associates_Call_List_PQ!B348)</f>
        <v>Neukom</v>
      </c>
      <c r="C348" s="57" t="str">
        <f>IF(Associates_Call_List_PQ!C348="","",Associates_Call_List_PQ!C348)</f>
        <v xml:space="preserve">David </v>
      </c>
      <c r="D348" s="57" t="str">
        <f>IF(Associates_Call_List_PQ!D348="","",Associates_Call_List_PQ!D348)</f>
        <v>Goodyear</v>
      </c>
      <c r="E348" s="58">
        <f>IF(Associates_Call_List_PQ!E348="","",Associates_Call_List_PQ!E348)</f>
        <v>85395</v>
      </c>
      <c r="F348" s="57" t="str">
        <f>IF(Associates_Call_List_PQ!F348="","",Associates_Call_List_PQ!F348)</f>
        <v xml:space="preserve">Senior/Fixed Income </v>
      </c>
      <c r="G348" s="57" t="str">
        <f>IF(Associates_Call_List_PQ!G348="","",Associates_Call_List_PQ!G348)</f>
        <v>https://images.edocket.azcc.gov/docketpdf/E000046204.pdf</v>
      </c>
      <c r="H348" s="59" t="str">
        <f>IF(Associates_Call_List_PQ!H348="","",Associates_Call_List_PQ!H348)</f>
        <v>9230683411 </v>
      </c>
      <c r="I348" s="57" t="str">
        <f>IF(Associates_Call_List_PQ!I348="","",Associates_Call_List_PQ!I348)</f>
        <v>RTOUE47</v>
      </c>
      <c r="J348" s="57" t="str">
        <f>IF(Associates_Call_List_PQ!J348="","",Associates_Call_List_PQ!J348)</f>
        <v>No</v>
      </c>
      <c r="K348" s="57" t="str">
        <f>IF(Associates_Call_List_PQ!K348="","",Associates_Call_List_PQ!K348)</f>
        <v>No</v>
      </c>
      <c r="L348" s="57" t="str">
        <f>IF(Associates_Call_List_PQ!L348="","",Associates_Call_List_PQ!L348)</f>
        <v>No MEP R3-47($173.42)</v>
      </c>
      <c r="M348" s="57" t="str">
        <f>IF(Associates_Call_List_PQ!M348="","",Associates_Call_List_PQ!M348)</f>
        <v>No</v>
      </c>
      <c r="N348" s="57" t="str">
        <f>IF(Associates_Call_List_PQ!N348="","",Associates_Call_List_PQ!N348)</f>
        <v>No</v>
      </c>
      <c r="O348" s="57" t="str">
        <f>IF(Associates_Call_List_PQ!O348="","",Associates_Call_List_PQ!O348)</f>
        <v>Yes</v>
      </c>
      <c r="P348" s="57">
        <f>IF(Associates_Call_List_PQ!P348="","",Associates_Call_List_PQ!P348)</f>
        <v>45936</v>
      </c>
      <c r="Q348" s="57">
        <f>IF(Associates_Call_List_PQ!Q348="","",Associates_Call_List_PQ!Q348)</f>
        <v>45966</v>
      </c>
      <c r="R348" s="57" t="str">
        <f>IF(Associates_Call_List_PQ!R348="","",Associates_Call_List_PQ!R348)</f>
        <v>10/6 Left VM</v>
      </c>
      <c r="S348" s="57" t="str">
        <f>IF(Associates_Call_List_PQ!S348="","",Associates_Call_List_PQ!S348)</f>
        <v/>
      </c>
      <c r="T348" s="57" t="str">
        <f>IF(Associates_Call_List_PQ!T348="","",Associates_Call_List_PQ!T348)</f>
        <v/>
      </c>
      <c r="U348" s="57" t="s">
        <v>5513</v>
      </c>
      <c r="V348" s="68" t="s">
        <v>117</v>
      </c>
      <c r="W348" s="68">
        <v>46046</v>
      </c>
      <c r="X348" s="68" t="s">
        <v>5434</v>
      </c>
      <c r="Y348" s="68"/>
      <c r="Z348" s="72"/>
    </row>
    <row r="349" spans="1:26">
      <c r="A349" s="71">
        <f>IFERROR(Associates_Call_List_PQ!A349,"")</f>
        <v>45903</v>
      </c>
      <c r="B349" s="57" t="str">
        <f>IF(Associates_Call_List_PQ!B349="","",Associates_Call_List_PQ!B349)</f>
        <v>Niehaus</v>
      </c>
      <c r="C349" s="57" t="str">
        <f>IF(Associates_Call_List_PQ!C349="","",Associates_Call_List_PQ!C349)</f>
        <v>Brett</v>
      </c>
      <c r="D349" s="57" t="str">
        <f>IF(Associates_Call_List_PQ!D349="","",Associates_Call_List_PQ!D349)</f>
        <v>Gilbert</v>
      </c>
      <c r="E349" s="58">
        <f>IF(Associates_Call_List_PQ!E349="","",Associates_Call_List_PQ!E349)</f>
        <v>85234</v>
      </c>
      <c r="F349" s="57" t="str">
        <f>IF(Associates_Call_List_PQ!F349="","",Associates_Call_List_PQ!F349)</f>
        <v>Form letter</v>
      </c>
      <c r="G349" s="57" t="str">
        <f>IF(Associates_Call_List_PQ!G349="","",Associates_Call_List_PQ!G349)</f>
        <v>https://images.edocket.azcc.gov/docketpdf/E000046204.pdf</v>
      </c>
      <c r="H349" s="59" t="str">
        <f>IF(Associates_Call_List_PQ!H349="","",Associates_Call_List_PQ!H349)</f>
        <v>8465277693 </v>
      </c>
      <c r="I349" s="57" t="str">
        <f>IF(Associates_Call_List_PQ!I349="","",Associates_Call_List_PQ!I349)</f>
        <v>RTOUE47</v>
      </c>
      <c r="J349" s="57" t="str">
        <f>IF(Associates_Call_List_PQ!J349="","",Associates_Call_List_PQ!J349)</f>
        <v>No</v>
      </c>
      <c r="K349" s="57" t="str">
        <f>IF(Associates_Call_List_PQ!K349="","",Associates_Call_List_PQ!K349)</f>
        <v>No</v>
      </c>
      <c r="L349" s="57" t="str">
        <f>IF(Associates_Call_List_PQ!L349="","",Associates_Call_List_PQ!L349)</f>
        <v>No MEP R3-47($281.20)</v>
      </c>
      <c r="M349" s="57" t="str">
        <f>IF(Associates_Call_List_PQ!M349="","",Associates_Call_List_PQ!M349)</f>
        <v>No</v>
      </c>
      <c r="N349" s="57" t="str">
        <f>IF(Associates_Call_List_PQ!N349="","",Associates_Call_List_PQ!N349)</f>
        <v>No</v>
      </c>
      <c r="O349" s="57" t="str">
        <f>IF(Associates_Call_List_PQ!O349="","",Associates_Call_List_PQ!O349)</f>
        <v>Yes</v>
      </c>
      <c r="P349" s="57">
        <f>IF(Associates_Call_List_PQ!P349="","",Associates_Call_List_PQ!P349)</f>
        <v>45936</v>
      </c>
      <c r="Q349" s="57">
        <f>IF(Associates_Call_List_PQ!Q349="","",Associates_Call_List_PQ!Q349)</f>
        <v>45966</v>
      </c>
      <c r="R349" s="57" t="str">
        <f>IF(Associates_Call_List_PQ!R349="","",Associates_Call_List_PQ!R349)</f>
        <v>10/6 Left VM</v>
      </c>
      <c r="S349" s="57" t="str">
        <f>IF(Associates_Call_List_PQ!S349="","",Associates_Call_List_PQ!S349)</f>
        <v/>
      </c>
      <c r="T349" s="57" t="str">
        <f>IF(Associates_Call_List_PQ!T349="","",Associates_Call_List_PQ!T349)</f>
        <v/>
      </c>
      <c r="U349" s="57" t="s">
        <v>5513</v>
      </c>
      <c r="V349" s="68" t="s">
        <v>117</v>
      </c>
      <c r="W349" s="68">
        <v>46046</v>
      </c>
      <c r="X349" s="68" t="s">
        <v>5434</v>
      </c>
      <c r="Y349" s="68"/>
      <c r="Z349" s="72"/>
    </row>
    <row r="350" spans="1:26">
      <c r="A350" s="71">
        <f>IFERROR(Associates_Call_List_PQ!A350,"")</f>
        <v>45903</v>
      </c>
      <c r="B350" s="57" t="str">
        <f>IF(Associates_Call_List_PQ!B350="","",Associates_Call_List_PQ!B350)</f>
        <v>Carlson</v>
      </c>
      <c r="C350" s="57" t="str">
        <f>IF(Associates_Call_List_PQ!C350="","",Associates_Call_List_PQ!C350)</f>
        <v>Lorri</v>
      </c>
      <c r="D350" s="57" t="str">
        <f>IF(Associates_Call_List_PQ!D350="","",Associates_Call_List_PQ!D350)</f>
        <v>Prescott</v>
      </c>
      <c r="E350" s="58">
        <f>IF(Associates_Call_List_PQ!E350="","",Associates_Call_List_PQ!E350)</f>
        <v>86304</v>
      </c>
      <c r="F350" s="57" t="str">
        <f>IF(Associates_Call_List_PQ!F350="","",Associates_Call_List_PQ!F350)</f>
        <v>Opposed</v>
      </c>
      <c r="G350" s="57" t="str">
        <f>IF(Associates_Call_List_PQ!G350="","",Associates_Call_List_PQ!G350)</f>
        <v>https://images.edocket.azcc.gov/docketpdf/E000046204.pdf</v>
      </c>
      <c r="H350" s="59" t="str">
        <f>IF(Associates_Call_List_PQ!H350="","",Associates_Call_List_PQ!H350)</f>
        <v>2414554339 </v>
      </c>
      <c r="I350" s="57" t="str">
        <f>IF(Associates_Call_List_PQ!I350="","",Associates_Call_List_PQ!I350)</f>
        <v>R-XS</v>
      </c>
      <c r="J350" s="57" t="str">
        <f>IF(Associates_Call_List_PQ!J350="","",Associates_Call_List_PQ!J350)</f>
        <v>No</v>
      </c>
      <c r="K350" s="57" t="str">
        <f>IF(Associates_Call_List_PQ!K350="","",Associates_Call_List_PQ!K350)</f>
        <v>No</v>
      </c>
      <c r="L350" s="57" t="str">
        <f>IF(Associates_Call_List_PQ!L350="","",Associates_Call_List_PQ!L350)</f>
        <v>Yes</v>
      </c>
      <c r="M350" s="57" t="str">
        <f>IF(Associates_Call_List_PQ!M350="","",Associates_Call_List_PQ!M350)</f>
        <v>No</v>
      </c>
      <c r="N350" s="57" t="str">
        <f>IF(Associates_Call_List_PQ!N350="","",Associates_Call_List_PQ!N350)</f>
        <v>No</v>
      </c>
      <c r="O350" s="57" t="str">
        <f>IF(Associates_Call_List_PQ!O350="","",Associates_Call_List_PQ!O350)</f>
        <v>Yes</v>
      </c>
      <c r="P350" s="57" t="str">
        <f>IF(Associates_Call_List_PQ!P350="","",Associates_Call_List_PQ!P350)</f>
        <v>N</v>
      </c>
      <c r="Q350" s="57">
        <f>IF(Associates_Call_List_PQ!Q350="","",Associates_Call_List_PQ!Q350)</f>
        <v>45966</v>
      </c>
      <c r="R350" s="57" t="str">
        <f>IF(Associates_Call_List_PQ!R350="","",Associates_Call_List_PQ!R350)</f>
        <v/>
      </c>
      <c r="S350" s="57" t="str">
        <f>IF(Associates_Call_List_PQ!S350="","",Associates_Call_List_PQ!S350)</f>
        <v/>
      </c>
      <c r="T350" s="57" t="str">
        <f>IF(Associates_Call_List_PQ!T350="","",Associates_Call_List_PQ!T350)</f>
        <v/>
      </c>
      <c r="U350" s="57" t="str">
        <f>IF(Associates_Call_List_PQ!U350="","",Associates_Call_List_PQ!U350)</f>
        <v/>
      </c>
      <c r="V350" s="68"/>
      <c r="W350" s="68" t="s">
        <v>5432</v>
      </c>
      <c r="X350" s="68"/>
      <c r="Y350" s="68"/>
      <c r="Z350" s="72"/>
    </row>
    <row r="351" spans="1:26">
      <c r="A351" s="71">
        <f>IFERROR(Associates_Call_List_PQ!A351,"")</f>
        <v>45903</v>
      </c>
      <c r="B351" s="57" t="str">
        <f>IF(Associates_Call_List_PQ!B351="","",Associates_Call_List_PQ!B351)</f>
        <v>Sather</v>
      </c>
      <c r="C351" s="57" t="str">
        <f>IF(Associates_Call_List_PQ!C351="","",Associates_Call_List_PQ!C351)</f>
        <v>Vance</v>
      </c>
      <c r="D351" s="57" t="str">
        <f>IF(Associates_Call_List_PQ!D351="","",Associates_Call_List_PQ!D351)</f>
        <v>Goodyear</v>
      </c>
      <c r="E351" s="58">
        <f>IF(Associates_Call_List_PQ!E351="","",Associates_Call_List_PQ!E351)</f>
        <v>85395</v>
      </c>
      <c r="F351" s="57" t="str">
        <f>IF(Associates_Call_List_PQ!F351="","",Associates_Call_List_PQ!F351)</f>
        <v>Opposed</v>
      </c>
      <c r="G351" s="57" t="str">
        <f>IF(Associates_Call_List_PQ!G351="","",Associates_Call_List_PQ!G351)</f>
        <v>https://images.edocket.azcc.gov/docketpdf/E000046204.pdf</v>
      </c>
      <c r="H351" s="59" t="str">
        <f>IF(Associates_Call_List_PQ!H351="","",Associates_Call_List_PQ!H351)</f>
        <v>6810195712 </v>
      </c>
      <c r="I351" s="57" t="str">
        <f>IF(Associates_Call_List_PQ!I351="","",Associates_Call_List_PQ!I351)</f>
        <v>R-XS</v>
      </c>
      <c r="J351" s="57" t="str">
        <f>IF(Associates_Call_List_PQ!J351="","",Associates_Call_List_PQ!J351)</f>
        <v>No</v>
      </c>
      <c r="K351" s="57" t="str">
        <f>IF(Associates_Call_List_PQ!K351="","",Associates_Call_List_PQ!K351)</f>
        <v>No</v>
      </c>
      <c r="L351" s="57" t="str">
        <f>IF(Associates_Call_List_PQ!L351="","",Associates_Call_List_PQ!L351)</f>
        <v>Yes</v>
      </c>
      <c r="M351" s="57" t="str">
        <f>IF(Associates_Call_List_PQ!M351="","",Associates_Call_List_PQ!M351)</f>
        <v>No</v>
      </c>
      <c r="N351" s="57" t="str">
        <f>IF(Associates_Call_List_PQ!N351="","",Associates_Call_List_PQ!N351)</f>
        <v>No</v>
      </c>
      <c r="O351" s="57" t="str">
        <f>IF(Associates_Call_List_PQ!O351="","",Associates_Call_List_PQ!O351)</f>
        <v>Yes</v>
      </c>
      <c r="P351" s="57" t="str">
        <f>IF(Associates_Call_List_PQ!P351="","",Associates_Call_List_PQ!P351)</f>
        <v>N</v>
      </c>
      <c r="Q351" s="57">
        <f>IF(Associates_Call_List_PQ!Q351="","",Associates_Call_List_PQ!Q351)</f>
        <v>45966</v>
      </c>
      <c r="R351" s="57" t="str">
        <f>IF(Associates_Call_List_PQ!R351="","",Associates_Call_List_PQ!R351)</f>
        <v/>
      </c>
      <c r="S351" s="57" t="str">
        <f>IF(Associates_Call_List_PQ!S351="","",Associates_Call_List_PQ!S351)</f>
        <v/>
      </c>
      <c r="T351" s="57" t="str">
        <f>IF(Associates_Call_List_PQ!T351="","",Associates_Call_List_PQ!T351)</f>
        <v/>
      </c>
      <c r="U351" s="57" t="str">
        <f>IF(Associates_Call_List_PQ!U351="","",Associates_Call_List_PQ!U351)</f>
        <v/>
      </c>
      <c r="V351" s="68"/>
      <c r="W351" s="68" t="s">
        <v>5432</v>
      </c>
      <c r="X351" s="68"/>
      <c r="Y351" s="68"/>
      <c r="Z351" s="72"/>
    </row>
    <row r="352" spans="1:26">
      <c r="A352" s="71">
        <f>IFERROR(Associates_Call_List_PQ!A352,"")</f>
        <v>45903</v>
      </c>
      <c r="B352" s="57" t="str">
        <f>IF(Associates_Call_List_PQ!B352="","",Associates_Call_List_PQ!B352)</f>
        <v>Prather</v>
      </c>
      <c r="C352" s="57" t="str">
        <f>IF(Associates_Call_List_PQ!C352="","",Associates_Call_List_PQ!C352)</f>
        <v>Renee</v>
      </c>
      <c r="D352" s="57" t="str">
        <f>IF(Associates_Call_List_PQ!D352="","",Associates_Call_List_PQ!D352)</f>
        <v>Somerton</v>
      </c>
      <c r="E352" s="58">
        <f>IF(Associates_Call_List_PQ!E352="","",Associates_Call_List_PQ!E352)</f>
        <v>85350</v>
      </c>
      <c r="F352" s="57" t="str">
        <f>IF(Associates_Call_List_PQ!F352="","",Associates_Call_List_PQ!F352)</f>
        <v>Opposed</v>
      </c>
      <c r="G352" s="57" t="str">
        <f>IF(Associates_Call_List_PQ!G352="","",Associates_Call_List_PQ!G352)</f>
        <v>https://images.edocket.azcc.gov/docketpdf/E000046204.pdf</v>
      </c>
      <c r="H352" s="59" t="str">
        <f>IF(Associates_Call_List_PQ!H352="","",Associates_Call_List_PQ!H352)</f>
        <v>0800411000 </v>
      </c>
      <c r="I352" s="57" t="str">
        <f>IF(Associates_Call_List_PQ!I352="","",Associates_Call_List_PQ!I352)</f>
        <v>RCPw/RTOUE47</v>
      </c>
      <c r="J352" s="57" t="str">
        <f>IF(Associates_Call_List_PQ!J352="","",Associates_Call_List_PQ!J352)</f>
        <v>Yes</v>
      </c>
      <c r="K352" s="57" t="str">
        <f>IF(Associates_Call_List_PQ!K352="","",Associates_Call_List_PQ!K352)</f>
        <v>No</v>
      </c>
      <c r="L352" s="57" t="str">
        <f>IF(Associates_Call_List_PQ!L352="","",Associates_Call_List_PQ!L352)</f>
        <v>Yes</v>
      </c>
      <c r="M352" s="57" t="str">
        <f>IF(Associates_Call_List_PQ!M352="","",Associates_Call_List_PQ!M352)</f>
        <v>No</v>
      </c>
      <c r="N352" s="57" t="str">
        <f>IF(Associates_Call_List_PQ!N352="","",Associates_Call_List_PQ!N352)</f>
        <v>No</v>
      </c>
      <c r="O352" s="57" t="str">
        <f>IF(Associates_Call_List_PQ!O352="","",Associates_Call_List_PQ!O352)</f>
        <v>Yes</v>
      </c>
      <c r="P352" s="57" t="str">
        <f>IF(Associates_Call_List_PQ!P352="","",Associates_Call_List_PQ!P352)</f>
        <v>N</v>
      </c>
      <c r="Q352" s="57">
        <f>IF(Associates_Call_List_PQ!Q352="","",Associates_Call_List_PQ!Q352)</f>
        <v>45966</v>
      </c>
      <c r="R352" s="57" t="str">
        <f>IF(Associates_Call_List_PQ!R352="","",Associates_Call_List_PQ!R352)</f>
        <v/>
      </c>
      <c r="S352" s="57" t="str">
        <f>IF(Associates_Call_List_PQ!S352="","",Associates_Call_List_PQ!S352)</f>
        <v/>
      </c>
      <c r="T352" s="57" t="str">
        <f>IF(Associates_Call_List_PQ!T352="","",Associates_Call_List_PQ!T352)</f>
        <v/>
      </c>
      <c r="U352" s="57" t="str">
        <f>IF(Associates_Call_List_PQ!U352="","",Associates_Call_List_PQ!U352)</f>
        <v/>
      </c>
      <c r="V352" s="68"/>
      <c r="W352" s="68" t="s">
        <v>5432</v>
      </c>
      <c r="X352" s="68"/>
      <c r="Y352" s="68"/>
      <c r="Z352" s="72"/>
    </row>
    <row r="353" spans="1:26">
      <c r="A353" s="71">
        <f>IFERROR(Associates_Call_List_PQ!A353,"")</f>
        <v>45903</v>
      </c>
      <c r="B353" s="57" t="str">
        <f>IF(Associates_Call_List_PQ!B353="","",Associates_Call_List_PQ!B353)</f>
        <v>Maldonado</v>
      </c>
      <c r="C353" s="57" t="str">
        <f>IF(Associates_Call_List_PQ!C353="","",Associates_Call_List_PQ!C353)</f>
        <v>Sebastian</v>
      </c>
      <c r="D353" s="57" t="str">
        <f>IF(Associates_Call_List_PQ!D353="","",Associates_Call_List_PQ!D353)</f>
        <v>Glendale</v>
      </c>
      <c r="E353" s="58">
        <f>IF(Associates_Call_List_PQ!E353="","",Associates_Call_List_PQ!E353)</f>
        <v>85308</v>
      </c>
      <c r="F353" s="57" t="str">
        <f>IF(Associates_Call_List_PQ!F353="","",Associates_Call_List_PQ!F353)</f>
        <v>Form letter</v>
      </c>
      <c r="G353" s="57" t="str">
        <f>IF(Associates_Call_List_PQ!G353="","",Associates_Call_List_PQ!G353)</f>
        <v>https://images.edocket.azcc.gov/docketpdf/E000046204.pdf</v>
      </c>
      <c r="H353" s="59" t="str">
        <f>IF(Associates_Call_List_PQ!H353="","",Associates_Call_List_PQ!H353)</f>
        <v>7131023762 </v>
      </c>
      <c r="I353" s="57" t="str">
        <f>IF(Associates_Call_List_PQ!I353="","",Associates_Call_List_PQ!I353)</f>
        <v>R3-47</v>
      </c>
      <c r="J353" s="57" t="str">
        <f>IF(Associates_Call_List_PQ!J353="","",Associates_Call_List_PQ!J353)</f>
        <v>No</v>
      </c>
      <c r="K353" s="57" t="str">
        <f>IF(Associates_Call_List_PQ!K353="","",Associates_Call_List_PQ!K353)</f>
        <v>No</v>
      </c>
      <c r="L353" s="57" t="str">
        <f>IF(Associates_Call_List_PQ!L353="","",Associates_Call_List_PQ!L353)</f>
        <v>No MEP R-BASIC($219.04)</v>
      </c>
      <c r="M353" s="57" t="str">
        <f>IF(Associates_Call_List_PQ!M353="","",Associates_Call_List_PQ!M353)</f>
        <v>No</v>
      </c>
      <c r="N353" s="57" t="str">
        <f>IF(Associates_Call_List_PQ!N353="","",Associates_Call_List_PQ!N353)</f>
        <v>No</v>
      </c>
      <c r="O353" s="57" t="str">
        <f>IF(Associates_Call_List_PQ!O353="","",Associates_Call_List_PQ!O353)</f>
        <v>Yes</v>
      </c>
      <c r="P353" s="57" t="str">
        <f>IF(Associates_Call_List_PQ!P353="","",Associates_Call_List_PQ!P353)</f>
        <v/>
      </c>
      <c r="Q353" s="57">
        <f>IF(Associates_Call_List_PQ!Q353="","",Associates_Call_List_PQ!Q353)</f>
        <v>45966</v>
      </c>
      <c r="R353" s="57" t="str">
        <f>IF(Associates_Call_List_PQ!R353="","",Associates_Call_List_PQ!R353)</f>
        <v/>
      </c>
      <c r="S353" s="57" t="str">
        <f>IF(Associates_Call_List_PQ!S353="","",Associates_Call_List_PQ!S353)</f>
        <v/>
      </c>
      <c r="T353" s="57" t="str">
        <f>IF(Associates_Call_List_PQ!T353="","",Associates_Call_List_PQ!T353)</f>
        <v/>
      </c>
      <c r="U353" s="57" t="s">
        <v>5513</v>
      </c>
      <c r="V353" s="68" t="s">
        <v>117</v>
      </c>
      <c r="W353" s="68">
        <v>46046</v>
      </c>
      <c r="X353" s="68" t="s">
        <v>5434</v>
      </c>
      <c r="Y353" s="68"/>
      <c r="Z353" s="72"/>
    </row>
    <row r="354" spans="1:26">
      <c r="A354" s="71">
        <f>IFERROR(Associates_Call_List_PQ!A354,"")</f>
        <v>45903</v>
      </c>
      <c r="B354" s="57" t="str">
        <f>IF(Associates_Call_List_PQ!B354="","",Associates_Call_List_PQ!B354)</f>
        <v>Anderson</v>
      </c>
      <c r="C354" s="57" t="str">
        <f>IF(Associates_Call_List_PQ!C354="","",Associates_Call_List_PQ!C354)</f>
        <v>Sidney</v>
      </c>
      <c r="D354" s="57" t="str">
        <f>IF(Associates_Call_List_PQ!D354="","",Associates_Call_List_PQ!D354)</f>
        <v>Goodyear</v>
      </c>
      <c r="E354" s="58">
        <f>IF(Associates_Call_List_PQ!E354="","",Associates_Call_List_PQ!E354)</f>
        <v>85395</v>
      </c>
      <c r="F354" s="57" t="str">
        <f>IF(Associates_Call_List_PQ!F354="","",Associates_Call_List_PQ!F354)</f>
        <v>Opposed</v>
      </c>
      <c r="G354" s="57" t="str">
        <f>IF(Associates_Call_List_PQ!G354="","",Associates_Call_List_PQ!G354)</f>
        <v>https://images.edocket.azcc.gov/docketpdf/E000046204.pdf</v>
      </c>
      <c r="H354" s="59" t="str">
        <f>IF(Associates_Call_List_PQ!H354="","",Associates_Call_List_PQ!H354)</f>
        <v>1733200000 </v>
      </c>
      <c r="I354" s="57" t="str">
        <f>IF(Associates_Call_List_PQ!I354="","",Associates_Call_List_PQ!I354)</f>
        <v>R-2 SOLAR PARTNER</v>
      </c>
      <c r="J354" s="57" t="str">
        <f>IF(Associates_Call_List_PQ!J354="","",Associates_Call_List_PQ!J354)</f>
        <v>No</v>
      </c>
      <c r="K354" s="57" t="str">
        <f>IF(Associates_Call_List_PQ!K354="","",Associates_Call_List_PQ!K354)</f>
        <v>No</v>
      </c>
      <c r="L354" s="57" t="str">
        <f>IF(Associates_Call_List_PQ!L354="","",Associates_Call_List_PQ!L354)</f>
        <v>Frozen Rate</v>
      </c>
      <c r="M354" s="57" t="str">
        <f>IF(Associates_Call_List_PQ!M354="","",Associates_Call_List_PQ!M354)</f>
        <v>No</v>
      </c>
      <c r="N354" s="57" t="str">
        <f>IF(Associates_Call_List_PQ!N354="","",Associates_Call_List_PQ!N354)</f>
        <v>No</v>
      </c>
      <c r="O354" s="57" t="str">
        <f>IF(Associates_Call_List_PQ!O354="","",Associates_Call_List_PQ!O354)</f>
        <v>Yes</v>
      </c>
      <c r="P354" s="57" t="str">
        <f>IF(Associates_Call_List_PQ!P354="","",Associates_Call_List_PQ!P354)</f>
        <v>N</v>
      </c>
      <c r="Q354" s="57">
        <f>IF(Associates_Call_List_PQ!Q354="","",Associates_Call_List_PQ!Q354)</f>
        <v>45966</v>
      </c>
      <c r="R354" s="57" t="str">
        <f>IF(Associates_Call_List_PQ!R354="","",Associates_Call_List_PQ!R354)</f>
        <v/>
      </c>
      <c r="S354" s="57" t="str">
        <f>IF(Associates_Call_List_PQ!S354="","",Associates_Call_List_PQ!S354)</f>
        <v/>
      </c>
      <c r="T354" s="57" t="str">
        <f>IF(Associates_Call_List_PQ!T354="","",Associates_Call_List_PQ!T354)</f>
        <v/>
      </c>
      <c r="U354" s="57" t="str">
        <f>IF(Associates_Call_List_PQ!U354="","",Associates_Call_List_PQ!U354)</f>
        <v/>
      </c>
      <c r="V354" s="68"/>
      <c r="W354" s="68" t="s">
        <v>5432</v>
      </c>
      <c r="X354" s="68"/>
      <c r="Y354" s="68"/>
      <c r="Z354" s="72"/>
    </row>
    <row r="355" spans="1:26">
      <c r="A355" s="71">
        <f>IFERROR(Associates_Call_List_PQ!A355,"")</f>
        <v>45903</v>
      </c>
      <c r="B355" s="57" t="str">
        <f>IF(Associates_Call_List_PQ!B355="","",Associates_Call_List_PQ!B355)</f>
        <v>Benkert</v>
      </c>
      <c r="C355" s="57" t="str">
        <f>IF(Associates_Call_List_PQ!C355="","",Associates_Call_List_PQ!C355)</f>
        <v>Jess</v>
      </c>
      <c r="D355" s="57" t="str">
        <f>IF(Associates_Call_List_PQ!D355="","",Associates_Call_List_PQ!D355)</f>
        <v>Payson</v>
      </c>
      <c r="E355" s="58">
        <f>IF(Associates_Call_List_PQ!E355="","",Associates_Call_List_PQ!E355)</f>
        <v>85541</v>
      </c>
      <c r="F355" s="57" t="str">
        <f>IF(Associates_Call_List_PQ!F355="","",Associates_Call_List_PQ!F355)</f>
        <v>Form letter</v>
      </c>
      <c r="G355" s="57" t="str">
        <f>IF(Associates_Call_List_PQ!G355="","",Associates_Call_List_PQ!G355)</f>
        <v>https://images.edocket.azcc.gov/docketpdf/E000046204.pdf</v>
      </c>
      <c r="H355" s="59" t="str">
        <f>IF(Associates_Call_List_PQ!H355="","",Associates_Call_List_PQ!H355)</f>
        <v>9697522299 </v>
      </c>
      <c r="I355" s="57" t="str">
        <f>IF(Associates_Call_List_PQ!I355="","",Associates_Call_List_PQ!I355)</f>
        <v>R3-47</v>
      </c>
      <c r="J355" s="57" t="str">
        <f>IF(Associates_Call_List_PQ!J355="","",Associates_Call_List_PQ!J355)</f>
        <v>No</v>
      </c>
      <c r="K355" s="57" t="str">
        <f>IF(Associates_Call_List_PQ!K355="","",Associates_Call_List_PQ!K355)</f>
        <v>No</v>
      </c>
      <c r="L355" s="57" t="str">
        <f>IF(Associates_Call_List_PQ!L355="","",Associates_Call_List_PQ!L355)</f>
        <v>Yes</v>
      </c>
      <c r="M355" s="57" t="str">
        <f>IF(Associates_Call_List_PQ!M355="","",Associates_Call_List_PQ!M355)</f>
        <v>No</v>
      </c>
      <c r="N355" s="57" t="str">
        <f>IF(Associates_Call_List_PQ!N355="","",Associates_Call_List_PQ!N355)</f>
        <v>No</v>
      </c>
      <c r="O355" s="57" t="str">
        <f>IF(Associates_Call_List_PQ!O355="","",Associates_Call_List_PQ!O355)</f>
        <v>Yes</v>
      </c>
      <c r="P355" s="57" t="str">
        <f>IF(Associates_Call_List_PQ!P355="","",Associates_Call_List_PQ!P355)</f>
        <v>N</v>
      </c>
      <c r="Q355" s="57">
        <f>IF(Associates_Call_List_PQ!Q355="","",Associates_Call_List_PQ!Q355)</f>
        <v>45966</v>
      </c>
      <c r="R355" s="57" t="str">
        <f>IF(Associates_Call_List_PQ!R355="","",Associates_Call_List_PQ!R355)</f>
        <v/>
      </c>
      <c r="S355" s="57" t="str">
        <f>IF(Associates_Call_List_PQ!S355="","",Associates_Call_List_PQ!S355)</f>
        <v/>
      </c>
      <c r="T355" s="57" t="str">
        <f>IF(Associates_Call_List_PQ!T355="","",Associates_Call_List_PQ!T355)</f>
        <v/>
      </c>
      <c r="U355" s="57" t="str">
        <f>IF(Associates_Call_List_PQ!U355="","",Associates_Call_List_PQ!U355)</f>
        <v/>
      </c>
      <c r="V355" s="68"/>
      <c r="W355" s="68" t="s">
        <v>5432</v>
      </c>
      <c r="X355" s="68"/>
      <c r="Y355" s="68"/>
      <c r="Z355" s="72"/>
    </row>
    <row r="356" spans="1:26">
      <c r="A356" s="71">
        <f>IFERROR(Associates_Call_List_PQ!A356,"")</f>
        <v>45903</v>
      </c>
      <c r="B356" s="57" t="str">
        <f>IF(Associates_Call_List_PQ!B356="","",Associates_Call_List_PQ!B356)</f>
        <v>Lukson</v>
      </c>
      <c r="C356" s="57" t="str">
        <f>IF(Associates_Call_List_PQ!C356="","",Associates_Call_List_PQ!C356)</f>
        <v>Fred &amp; Carolyn</v>
      </c>
      <c r="D356" s="57" t="str">
        <f>IF(Associates_Call_List_PQ!D356="","",Associates_Call_List_PQ!D356)</f>
        <v>Goodyear</v>
      </c>
      <c r="E356" s="58">
        <f>IF(Associates_Call_List_PQ!E356="","",Associates_Call_List_PQ!E356)</f>
        <v>85395</v>
      </c>
      <c r="F356" s="57" t="str">
        <f>IF(Associates_Call_List_PQ!F356="","",Associates_Call_List_PQ!F356)</f>
        <v>Retired/Fixed income</v>
      </c>
      <c r="G356" s="57" t="str">
        <f>IF(Associates_Call_List_PQ!G356="","",Associates_Call_List_PQ!G356)</f>
        <v>https://images.edocket.azcc.gov/docketpdf/E000046204.pdf</v>
      </c>
      <c r="H356" s="59" t="str">
        <f>IF(Associates_Call_List_PQ!H356="","",Associates_Call_List_PQ!H356)</f>
        <v>1405160798</v>
      </c>
      <c r="I356" s="57" t="str">
        <f>IF(Associates_Call_List_PQ!I356="","",Associates_Call_List_PQ!I356)</f>
        <v>EPR-6w/E-12</v>
      </c>
      <c r="J356" s="57" t="str">
        <f>IF(Associates_Call_List_PQ!J356="","",Associates_Call_List_PQ!J356)</f>
        <v>No</v>
      </c>
      <c r="K356" s="57" t="str">
        <f>IF(Associates_Call_List_PQ!K356="","",Associates_Call_List_PQ!K356)</f>
        <v>No</v>
      </c>
      <c r="L356" s="57" t="str">
        <f>IF(Associates_Call_List_PQ!L356="","",Associates_Call_List_PQ!L356)</f>
        <v>Frozen Rate</v>
      </c>
      <c r="M356" s="57" t="str">
        <f>IF(Associates_Call_List_PQ!M356="","",Associates_Call_List_PQ!M356)</f>
        <v>No</v>
      </c>
      <c r="N356" s="57" t="str">
        <f>IF(Associates_Call_List_PQ!N356="","",Associates_Call_List_PQ!N356)</f>
        <v>No</v>
      </c>
      <c r="O356" s="57" t="str">
        <f>IF(Associates_Call_List_PQ!O356="","",Associates_Call_List_PQ!O356)</f>
        <v>Yes</v>
      </c>
      <c r="P356" s="57" t="str">
        <f>IF(Associates_Call_List_PQ!P356="","",Associates_Call_List_PQ!P356)</f>
        <v>N</v>
      </c>
      <c r="Q356" s="57">
        <f>IF(Associates_Call_List_PQ!Q356="","",Associates_Call_List_PQ!Q356)</f>
        <v>45966</v>
      </c>
      <c r="R356" s="57" t="str">
        <f>IF(Associates_Call_List_PQ!R356="","",Associates_Call_List_PQ!R356)</f>
        <v/>
      </c>
      <c r="S356" s="57" t="str">
        <f>IF(Associates_Call_List_PQ!S356="","",Associates_Call_List_PQ!S356)</f>
        <v/>
      </c>
      <c r="T356" s="57" t="str">
        <f>IF(Associates_Call_List_PQ!T356="","",Associates_Call_List_PQ!T356)</f>
        <v/>
      </c>
      <c r="U356" s="57" t="str">
        <f>IF(Associates_Call_List_PQ!U356="","",Associates_Call_List_PQ!U356)</f>
        <v/>
      </c>
      <c r="V356" s="68"/>
      <c r="W356" s="68" t="s">
        <v>5432</v>
      </c>
      <c r="X356" s="68"/>
      <c r="Y356" s="68"/>
      <c r="Z356" s="72"/>
    </row>
    <row r="357" spans="1:26">
      <c r="A357" s="71">
        <f>IFERROR(Associates_Call_List_PQ!A357,"")</f>
        <v>45903</v>
      </c>
      <c r="B357" s="57" t="str">
        <f>IF(Associates_Call_List_PQ!B357="","",Associates_Call_List_PQ!B357)</f>
        <v>Williams</v>
      </c>
      <c r="C357" s="57" t="str">
        <f>IF(Associates_Call_List_PQ!C357="","",Associates_Call_List_PQ!C357)</f>
        <v>Nichole</v>
      </c>
      <c r="D357" s="57" t="str">
        <f>IF(Associates_Call_List_PQ!D357="","",Associates_Call_List_PQ!D357)</f>
        <v>Avondale</v>
      </c>
      <c r="E357" s="58">
        <f>IF(Associates_Call_List_PQ!E357="","",Associates_Call_List_PQ!E357)</f>
        <v>85392</v>
      </c>
      <c r="F357" s="57" t="str">
        <f>IF(Associates_Call_List_PQ!F357="","",Associates_Call_List_PQ!F357)</f>
        <v>Opposed</v>
      </c>
      <c r="G357" s="57" t="str">
        <f>IF(Associates_Call_List_PQ!G357="","",Associates_Call_List_PQ!G357)</f>
        <v>https://images.edocket.azcc.gov/docketpdf/E000046204.pdf</v>
      </c>
      <c r="H357" s="59" t="str">
        <f>IF(Associates_Call_List_PQ!H357="","",Associates_Call_List_PQ!H357)</f>
        <v>4130294914</v>
      </c>
      <c r="I357" s="57" t="str">
        <f>IF(Associates_Call_List_PQ!I357="","",Associates_Call_List_PQ!I357)</f>
        <v>RCPw/RTOUE47</v>
      </c>
      <c r="J357" s="57" t="str">
        <f>IF(Associates_Call_List_PQ!J357="","",Associates_Call_List_PQ!J357)</f>
        <v>No</v>
      </c>
      <c r="K357" s="57" t="str">
        <f>IF(Associates_Call_List_PQ!K357="","",Associates_Call_List_PQ!K357)</f>
        <v>No</v>
      </c>
      <c r="L357" s="57" t="str">
        <f>IF(Associates_Call_List_PQ!L357="","",Associates_Call_List_PQ!L357)</f>
        <v>Y</v>
      </c>
      <c r="M357" s="57" t="str">
        <f>IF(Associates_Call_List_PQ!M357="","",Associates_Call_List_PQ!M357)</f>
        <v>No</v>
      </c>
      <c r="N357" s="57" t="str">
        <f>IF(Associates_Call_List_PQ!N357="","",Associates_Call_List_PQ!N357)</f>
        <v>No</v>
      </c>
      <c r="O357" s="57" t="str">
        <f>IF(Associates_Call_List_PQ!O357="","",Associates_Call_List_PQ!O357)</f>
        <v>Yes</v>
      </c>
      <c r="P357" s="57" t="str">
        <f>IF(Associates_Call_List_PQ!P357="","",Associates_Call_List_PQ!P357)</f>
        <v>N</v>
      </c>
      <c r="Q357" s="57">
        <f>IF(Associates_Call_List_PQ!Q357="","",Associates_Call_List_PQ!Q357)</f>
        <v>45966</v>
      </c>
      <c r="R357" s="57" t="str">
        <f>IF(Associates_Call_List_PQ!R357="","",Associates_Call_List_PQ!R357)</f>
        <v/>
      </c>
      <c r="S357" s="57" t="str">
        <f>IF(Associates_Call_List_PQ!S357="","",Associates_Call_List_PQ!S357)</f>
        <v/>
      </c>
      <c r="T357" s="57" t="str">
        <f>IF(Associates_Call_List_PQ!T357="","",Associates_Call_List_PQ!T357)</f>
        <v/>
      </c>
      <c r="U357" s="57" t="str">
        <f>IF(Associates_Call_List_PQ!U357="","",Associates_Call_List_PQ!U357)</f>
        <v/>
      </c>
      <c r="V357" s="68"/>
      <c r="W357" s="68" t="s">
        <v>5432</v>
      </c>
      <c r="X357" s="68"/>
      <c r="Y357" s="68"/>
      <c r="Z357" s="72"/>
    </row>
    <row r="358" spans="1:26">
      <c r="A358" s="71">
        <f>IFERROR(Associates_Call_List_PQ!A358,"")</f>
        <v>45903</v>
      </c>
      <c r="B358" s="57" t="str">
        <f>IF(Associates_Call_List_PQ!B358="","",Associates_Call_List_PQ!B358)</f>
        <v>Malladi</v>
      </c>
      <c r="C358" s="57" t="str">
        <f>IF(Associates_Call_List_PQ!C358="","",Associates_Call_List_PQ!C358)</f>
        <v>Ravindranath</v>
      </c>
      <c r="D358" s="57" t="str">
        <f>IF(Associates_Call_List_PQ!D358="","",Associates_Call_List_PQ!D358)</f>
        <v>Phoenix</v>
      </c>
      <c r="E358" s="58">
        <f>IF(Associates_Call_List_PQ!E358="","",Associates_Call_List_PQ!E358)</f>
        <v>85032</v>
      </c>
      <c r="F358" s="57" t="str">
        <f>IF(Associates_Call_List_PQ!F358="","",Associates_Call_List_PQ!F358)</f>
        <v>Form letter</v>
      </c>
      <c r="G358" s="57" t="str">
        <f>IF(Associates_Call_List_PQ!G358="","",Associates_Call_List_PQ!G358)</f>
        <v>https://images.edocket.azcc.gov/docketpdf/E000046204.pdf</v>
      </c>
      <c r="H358" s="59" t="str">
        <f>IF(Associates_Call_List_PQ!H358="","",Associates_Call_List_PQ!H358)</f>
        <v>9555640000</v>
      </c>
      <c r="I358" s="57" t="str">
        <f>IF(Associates_Call_List_PQ!I358="","",Associates_Call_List_PQ!I358)</f>
        <v>RCPw/R3-47</v>
      </c>
      <c r="J358" s="57" t="str">
        <f>IF(Associates_Call_List_PQ!J358="","",Associates_Call_List_PQ!J358)</f>
        <v>No</v>
      </c>
      <c r="K358" s="57" t="str">
        <f>IF(Associates_Call_List_PQ!K358="","",Associates_Call_List_PQ!K358)</f>
        <v>No</v>
      </c>
      <c r="L358" s="57" t="str">
        <f>IF(Associates_Call_List_PQ!L358="","",Associates_Call_List_PQ!L358)</f>
        <v>Y</v>
      </c>
      <c r="M358" s="57" t="str">
        <f>IF(Associates_Call_List_PQ!M358="","",Associates_Call_List_PQ!M358)</f>
        <v>No</v>
      </c>
      <c r="N358" s="57" t="str">
        <f>IF(Associates_Call_List_PQ!N358="","",Associates_Call_List_PQ!N358)</f>
        <v>No</v>
      </c>
      <c r="O358" s="57" t="str">
        <f>IF(Associates_Call_List_PQ!O358="","",Associates_Call_List_PQ!O358)</f>
        <v>Yes</v>
      </c>
      <c r="P358" s="57" t="str">
        <f>IF(Associates_Call_List_PQ!P358="","",Associates_Call_List_PQ!P358)</f>
        <v>N</v>
      </c>
      <c r="Q358" s="57">
        <f>IF(Associates_Call_List_PQ!Q358="","",Associates_Call_List_PQ!Q358)</f>
        <v>45966</v>
      </c>
      <c r="R358" s="57" t="str">
        <f>IF(Associates_Call_List_PQ!R358="","",Associates_Call_List_PQ!R358)</f>
        <v/>
      </c>
      <c r="S358" s="57" t="str">
        <f>IF(Associates_Call_List_PQ!S358="","",Associates_Call_List_PQ!S358)</f>
        <v/>
      </c>
      <c r="T358" s="57" t="str">
        <f>IF(Associates_Call_List_PQ!T358="","",Associates_Call_List_PQ!T358)</f>
        <v/>
      </c>
      <c r="U358" s="57" t="str">
        <f>IF(Associates_Call_List_PQ!U358="","",Associates_Call_List_PQ!U358)</f>
        <v/>
      </c>
      <c r="V358" s="68"/>
      <c r="W358" s="68" t="s">
        <v>5432</v>
      </c>
      <c r="X358" s="68"/>
      <c r="Y358" s="68"/>
      <c r="Z358" s="72"/>
    </row>
    <row r="359" spans="1:26">
      <c r="A359" s="71">
        <f>IFERROR(Associates_Call_List_PQ!A359,"")</f>
        <v>45903</v>
      </c>
      <c r="B359" s="57" t="str">
        <f>IF(Associates_Call_List_PQ!B359="","",Associates_Call_List_PQ!B359)</f>
        <v>Falkenberg</v>
      </c>
      <c r="C359" s="57" t="str">
        <f>IF(Associates_Call_List_PQ!C359="","",Associates_Call_List_PQ!C359)</f>
        <v>Alexander</v>
      </c>
      <c r="D359" s="57" t="str">
        <f>IF(Associates_Call_List_PQ!D359="","",Associates_Call_List_PQ!D359)</f>
        <v>Surprise</v>
      </c>
      <c r="E359" s="58">
        <f>IF(Associates_Call_List_PQ!E359="","",Associates_Call_List_PQ!E359)</f>
        <v>85379</v>
      </c>
      <c r="F359" s="57" t="str">
        <f>IF(Associates_Call_List_PQ!F359="","",Associates_Call_List_PQ!F359)</f>
        <v>Form letter</v>
      </c>
      <c r="G359" s="57" t="str">
        <f>IF(Associates_Call_List_PQ!G359="","",Associates_Call_List_PQ!G359)</f>
        <v>https://images.edocket.azcc.gov/docketpdf/E000046206.pdf</v>
      </c>
      <c r="H359" s="59" t="str">
        <f>IF(Associates_Call_List_PQ!H359="","",Associates_Call_List_PQ!H359)</f>
        <v>6512865567 </v>
      </c>
      <c r="I359" s="57" t="str">
        <f>IF(Associates_Call_List_PQ!I359="","",Associates_Call_List_PQ!I359)</f>
        <v>R-BASIC</v>
      </c>
      <c r="J359" s="57" t="str">
        <f>IF(Associates_Call_List_PQ!J359="","",Associates_Call_List_PQ!J359)</f>
        <v>No</v>
      </c>
      <c r="K359" s="57" t="str">
        <f>IF(Associates_Call_List_PQ!K359="","",Associates_Call_List_PQ!K359)</f>
        <v>No</v>
      </c>
      <c r="L359" s="57" t="str">
        <f>IF(Associates_Call_List_PQ!L359="","",Associates_Call_List_PQ!L359)</f>
        <v>Yes</v>
      </c>
      <c r="M359" s="57" t="str">
        <f>IF(Associates_Call_List_PQ!M359="","",Associates_Call_List_PQ!M359)</f>
        <v>No</v>
      </c>
      <c r="N359" s="57" t="str">
        <f>IF(Associates_Call_List_PQ!N359="","",Associates_Call_List_PQ!N359)</f>
        <v>No</v>
      </c>
      <c r="O359" s="57" t="str">
        <f>IF(Associates_Call_List_PQ!O359="","",Associates_Call_List_PQ!O359)</f>
        <v>Yes</v>
      </c>
      <c r="P359" s="57" t="str">
        <f>IF(Associates_Call_List_PQ!P359="","",Associates_Call_List_PQ!P359)</f>
        <v>N</v>
      </c>
      <c r="Q359" s="57">
        <f>IF(Associates_Call_List_PQ!Q359="","",Associates_Call_List_PQ!Q359)</f>
        <v>45966</v>
      </c>
      <c r="R359" s="57" t="str">
        <f>IF(Associates_Call_List_PQ!R359="","",Associates_Call_List_PQ!R359)</f>
        <v/>
      </c>
      <c r="S359" s="57" t="str">
        <f>IF(Associates_Call_List_PQ!S359="","",Associates_Call_List_PQ!S359)</f>
        <v/>
      </c>
      <c r="T359" s="57" t="str">
        <f>IF(Associates_Call_List_PQ!T359="","",Associates_Call_List_PQ!T359)</f>
        <v/>
      </c>
      <c r="U359" s="57" t="str">
        <f>IF(Associates_Call_List_PQ!U359="","",Associates_Call_List_PQ!U359)</f>
        <v/>
      </c>
      <c r="V359" s="68"/>
      <c r="W359" s="68" t="s">
        <v>5432</v>
      </c>
      <c r="X359" s="68"/>
      <c r="Y359" s="68"/>
      <c r="Z359" s="72"/>
    </row>
    <row r="360" spans="1:26">
      <c r="A360" s="71">
        <f>IFERROR(Associates_Call_List_PQ!A360,"")</f>
        <v>45903</v>
      </c>
      <c r="B360" s="57" t="str">
        <f>IF(Associates_Call_List_PQ!B360="","",Associates_Call_List_PQ!B360)</f>
        <v>Bucklin</v>
      </c>
      <c r="C360" s="57" t="str">
        <f>IF(Associates_Call_List_PQ!C360="","",Associates_Call_List_PQ!C360)</f>
        <v>Kathryn</v>
      </c>
      <c r="D360" s="57" t="str">
        <f>IF(Associates_Call_List_PQ!D360="","",Associates_Call_List_PQ!D360)</f>
        <v>Avondale</v>
      </c>
      <c r="E360" s="58">
        <f>IF(Associates_Call_List_PQ!E360="","",Associates_Call_List_PQ!E360)</f>
        <v>85392</v>
      </c>
      <c r="F360" s="57" t="str">
        <f>IF(Associates_Call_List_PQ!F360="","",Associates_Call_List_PQ!F360)</f>
        <v>Opposed</v>
      </c>
      <c r="G360" s="57" t="str">
        <f>IF(Associates_Call_List_PQ!G360="","",Associates_Call_List_PQ!G360)</f>
        <v>https://images.edocket.azcc.gov/docketpdf/E000046206.pdf</v>
      </c>
      <c r="H360" s="59" t="str">
        <f>IF(Associates_Call_List_PQ!H360="","",Associates_Call_List_PQ!H360)</f>
        <v>6910890000 </v>
      </c>
      <c r="I360" s="57" t="str">
        <f>IF(Associates_Call_List_PQ!I360="","",Associates_Call_List_PQ!I360)</f>
        <v>R3-47</v>
      </c>
      <c r="J360" s="57" t="str">
        <f>IF(Associates_Call_List_PQ!J360="","",Associates_Call_List_PQ!J360)</f>
        <v>No</v>
      </c>
      <c r="K360" s="57" t="str">
        <f>IF(Associates_Call_List_PQ!K360="","",Associates_Call_List_PQ!K360)</f>
        <v>No</v>
      </c>
      <c r="L360" s="57" t="str">
        <f>IF(Associates_Call_List_PQ!L360="","",Associates_Call_List_PQ!L360)</f>
        <v>Yes</v>
      </c>
      <c r="M360" s="57" t="str">
        <f>IF(Associates_Call_List_PQ!M360="","",Associates_Call_List_PQ!M360)</f>
        <v>No</v>
      </c>
      <c r="N360" s="57" t="str">
        <f>IF(Associates_Call_List_PQ!N360="","",Associates_Call_List_PQ!N360)</f>
        <v>No</v>
      </c>
      <c r="O360" s="57" t="str">
        <f>IF(Associates_Call_List_PQ!O360="","",Associates_Call_List_PQ!O360)</f>
        <v>Yes</v>
      </c>
      <c r="P360" s="57" t="str">
        <f>IF(Associates_Call_List_PQ!P360="","",Associates_Call_List_PQ!P360)</f>
        <v>N</v>
      </c>
      <c r="Q360" s="57">
        <f>IF(Associates_Call_List_PQ!Q360="","",Associates_Call_List_PQ!Q360)</f>
        <v>45966</v>
      </c>
      <c r="R360" s="57" t="str">
        <f>IF(Associates_Call_List_PQ!R360="","",Associates_Call_List_PQ!R360)</f>
        <v/>
      </c>
      <c r="S360" s="57" t="str">
        <f>IF(Associates_Call_List_PQ!S360="","",Associates_Call_List_PQ!S360)</f>
        <v/>
      </c>
      <c r="T360" s="57" t="str">
        <f>IF(Associates_Call_List_PQ!T360="","",Associates_Call_List_PQ!T360)</f>
        <v/>
      </c>
      <c r="U360" s="57" t="str">
        <f>IF(Associates_Call_List_PQ!U360="","",Associates_Call_List_PQ!U360)</f>
        <v/>
      </c>
      <c r="V360" s="68"/>
      <c r="W360" s="68" t="s">
        <v>5432</v>
      </c>
      <c r="X360" s="68"/>
      <c r="Y360" s="68"/>
      <c r="Z360" s="72"/>
    </row>
    <row r="361" spans="1:26">
      <c r="A361" s="71">
        <f>IFERROR(Associates_Call_List_PQ!A361,"")</f>
        <v>45903</v>
      </c>
      <c r="B361" s="57" t="str">
        <f>IF(Associates_Call_List_PQ!B361="","",Associates_Call_List_PQ!B361)</f>
        <v>Petersen</v>
      </c>
      <c r="C361" s="57" t="str">
        <f>IF(Associates_Call_List_PQ!C361="","",Associates_Call_List_PQ!C361)</f>
        <v>Ashley</v>
      </c>
      <c r="D361" s="57" t="str">
        <f>IF(Associates_Call_List_PQ!D361="","",Associates_Call_List_PQ!D361)</f>
        <v>Glendale</v>
      </c>
      <c r="E361" s="58">
        <f>IF(Associates_Call_List_PQ!E361="","",Associates_Call_List_PQ!E361)</f>
        <v>85308</v>
      </c>
      <c r="F361" s="57" t="str">
        <f>IF(Associates_Call_List_PQ!F361="","",Associates_Call_List_PQ!F361)</f>
        <v>Form letter</v>
      </c>
      <c r="G361" s="57" t="str">
        <f>IF(Associates_Call_List_PQ!G361="","",Associates_Call_List_PQ!G361)</f>
        <v>https://images.edocket.azcc.gov/docketpdf/E000046206.pdf</v>
      </c>
      <c r="H361" s="59" t="str">
        <f>IF(Associates_Call_List_PQ!H361="","",Associates_Call_List_PQ!H361)</f>
        <v>8043001000 </v>
      </c>
      <c r="I361" s="57" t="str">
        <f>IF(Associates_Call_List_PQ!I361="","",Associates_Call_List_PQ!I361)</f>
        <v>R-XS</v>
      </c>
      <c r="J361" s="57" t="str">
        <f>IF(Associates_Call_List_PQ!J361="","",Associates_Call_List_PQ!J361)</f>
        <v>No</v>
      </c>
      <c r="K361" s="57" t="str">
        <f>IF(Associates_Call_List_PQ!K361="","",Associates_Call_List_PQ!K361)</f>
        <v>No</v>
      </c>
      <c r="L361" s="57" t="str">
        <f>IF(Associates_Call_List_PQ!L361="","",Associates_Call_List_PQ!L361)</f>
        <v>Yes</v>
      </c>
      <c r="M361" s="57" t="str">
        <f>IF(Associates_Call_List_PQ!M361="","",Associates_Call_List_PQ!M361)</f>
        <v>No</v>
      </c>
      <c r="N361" s="57" t="str">
        <f>IF(Associates_Call_List_PQ!N361="","",Associates_Call_List_PQ!N361)</f>
        <v>No</v>
      </c>
      <c r="O361" s="57" t="str">
        <f>IF(Associates_Call_List_PQ!O361="","",Associates_Call_List_PQ!O361)</f>
        <v>Yes</v>
      </c>
      <c r="P361" s="57" t="str">
        <f>IF(Associates_Call_List_PQ!P361="","",Associates_Call_List_PQ!P361)</f>
        <v>N</v>
      </c>
      <c r="Q361" s="57">
        <f>IF(Associates_Call_List_PQ!Q361="","",Associates_Call_List_PQ!Q361)</f>
        <v>45966</v>
      </c>
      <c r="R361" s="57" t="str">
        <f>IF(Associates_Call_List_PQ!R361="","",Associates_Call_List_PQ!R361)</f>
        <v/>
      </c>
      <c r="S361" s="57" t="str">
        <f>IF(Associates_Call_List_PQ!S361="","",Associates_Call_List_PQ!S361)</f>
        <v/>
      </c>
      <c r="T361" s="57" t="str">
        <f>IF(Associates_Call_List_PQ!T361="","",Associates_Call_List_PQ!T361)</f>
        <v/>
      </c>
      <c r="U361" s="57" t="str">
        <f>IF(Associates_Call_List_PQ!U361="","",Associates_Call_List_PQ!U361)</f>
        <v/>
      </c>
      <c r="V361" s="68"/>
      <c r="W361" s="68" t="s">
        <v>5432</v>
      </c>
      <c r="X361" s="68"/>
      <c r="Y361" s="68"/>
      <c r="Z361" s="72"/>
    </row>
    <row r="362" spans="1:26">
      <c r="A362" s="71">
        <f>IFERROR(Associates_Call_List_PQ!A362,"")</f>
        <v>45903</v>
      </c>
      <c r="B362" s="57" t="str">
        <f>IF(Associates_Call_List_PQ!B362="","",Associates_Call_List_PQ!B362)</f>
        <v>Nordhaugen</v>
      </c>
      <c r="C362" s="57" t="str">
        <f>IF(Associates_Call_List_PQ!C362="","",Associates_Call_List_PQ!C362)</f>
        <v>Kristian</v>
      </c>
      <c r="D362" s="57" t="str">
        <f>IF(Associates_Call_List_PQ!D362="","",Associates_Call_List_PQ!D362)</f>
        <v>Phoenix</v>
      </c>
      <c r="E362" s="58">
        <f>IF(Associates_Call_List_PQ!E362="","",Associates_Call_List_PQ!E362)</f>
        <v>85345</v>
      </c>
      <c r="F362" s="57" t="str">
        <f>IF(Associates_Call_List_PQ!F362="","",Associates_Call_List_PQ!F362)</f>
        <v>Opposed</v>
      </c>
      <c r="G362" s="57" t="str">
        <f>IF(Associates_Call_List_PQ!G362="","",Associates_Call_List_PQ!G362)</f>
        <v>https://images.edocket.azcc.gov/docketpdf/E000046206.pdf</v>
      </c>
      <c r="H362" s="59" t="str">
        <f>IF(Associates_Call_List_PQ!H362="","",Associates_Call_List_PQ!H362)</f>
        <v>3995860000 </v>
      </c>
      <c r="I362" s="57" t="str">
        <f>IF(Associates_Call_List_PQ!I362="","",Associates_Call_List_PQ!I362)</f>
        <v>R-XS</v>
      </c>
      <c r="J362" s="57" t="str">
        <f>IF(Associates_Call_List_PQ!J362="","",Associates_Call_List_PQ!J362)</f>
        <v>No</v>
      </c>
      <c r="K362" s="57" t="str">
        <f>IF(Associates_Call_List_PQ!K362="","",Associates_Call_List_PQ!K362)</f>
        <v>No</v>
      </c>
      <c r="L362" s="57" t="str">
        <f>IF(Associates_Call_List_PQ!L362="","",Associates_Call_List_PQ!L362)</f>
        <v>No MEP R3-47($65.32)</v>
      </c>
      <c r="M362" s="57" t="str">
        <f>IF(Associates_Call_List_PQ!M362="","",Associates_Call_List_PQ!M362)</f>
        <v>No</v>
      </c>
      <c r="N362" s="57" t="str">
        <f>IF(Associates_Call_List_PQ!N362="","",Associates_Call_List_PQ!N362)</f>
        <v>No</v>
      </c>
      <c r="O362" s="57" t="str">
        <f>IF(Associates_Call_List_PQ!O362="","",Associates_Call_List_PQ!O362)</f>
        <v>Yes</v>
      </c>
      <c r="P362" s="57" t="str">
        <f>IF(Associates_Call_List_PQ!P362="","",Associates_Call_List_PQ!P362)</f>
        <v>N</v>
      </c>
      <c r="Q362" s="57">
        <f>IF(Associates_Call_List_PQ!Q362="","",Associates_Call_List_PQ!Q362)</f>
        <v>45966</v>
      </c>
      <c r="R362" s="57" t="str">
        <f>IF(Associates_Call_List_PQ!R362="","",Associates_Call_List_PQ!R362)</f>
        <v/>
      </c>
      <c r="S362" s="57" t="str">
        <f>IF(Associates_Call_List_PQ!S362="","",Associates_Call_List_PQ!S362)</f>
        <v/>
      </c>
      <c r="T362" s="57" t="str">
        <f>IF(Associates_Call_List_PQ!T362="","",Associates_Call_List_PQ!T362)</f>
        <v/>
      </c>
      <c r="U362" s="57" t="str">
        <f>IF(Associates_Call_List_PQ!U362="","",Associates_Call_List_PQ!U362)</f>
        <v/>
      </c>
      <c r="V362" s="68" t="s">
        <v>5433</v>
      </c>
      <c r="W362" s="68">
        <v>46060</v>
      </c>
      <c r="X362" s="68" t="s">
        <v>5405</v>
      </c>
      <c r="Y362" s="68" t="s">
        <v>5461</v>
      </c>
      <c r="Z362" s="72"/>
    </row>
    <row r="363" spans="1:26">
      <c r="A363" s="71">
        <f>IFERROR(Associates_Call_List_PQ!A363,"")</f>
        <v>45903</v>
      </c>
      <c r="B363" s="57" t="str">
        <f>IF(Associates_Call_List_PQ!B363="","",Associates_Call_List_PQ!B363)</f>
        <v>Tridle</v>
      </c>
      <c r="C363" s="57" t="str">
        <f>IF(Associates_Call_List_PQ!C363="","",Associates_Call_List_PQ!C363)</f>
        <v>Michelle</v>
      </c>
      <c r="D363" s="57" t="str">
        <f>IF(Associates_Call_List_PQ!D363="","",Associates_Call_List_PQ!D363)</f>
        <v>Goodyear</v>
      </c>
      <c r="E363" s="58">
        <f>IF(Associates_Call_List_PQ!E363="","",Associates_Call_List_PQ!E363)</f>
        <v>85338</v>
      </c>
      <c r="F363" s="57" t="str">
        <f>IF(Associates_Call_List_PQ!F363="","",Associates_Call_List_PQ!F363)</f>
        <v>Opposed/fixed income</v>
      </c>
      <c r="G363" s="57" t="str">
        <f>IF(Associates_Call_List_PQ!G363="","",Associates_Call_List_PQ!G363)</f>
        <v>https://images.edocket.azcc.gov/docketpdf/E000046206.pdf</v>
      </c>
      <c r="H363" s="59" t="str">
        <f>IF(Associates_Call_List_PQ!H363="","",Associates_Call_List_PQ!H363)</f>
        <v>7251710000 </v>
      </c>
      <c r="I363" s="57" t="str">
        <f>IF(Associates_Call_List_PQ!I363="","",Associates_Call_List_PQ!I363)</f>
        <v>R3-47</v>
      </c>
      <c r="J363" s="57" t="str">
        <f>IF(Associates_Call_List_PQ!J363="","",Associates_Call_List_PQ!J363)</f>
        <v>No</v>
      </c>
      <c r="K363" s="57" t="str">
        <f>IF(Associates_Call_List_PQ!K363="","",Associates_Call_List_PQ!K363)</f>
        <v>No</v>
      </c>
      <c r="L363" s="57" t="str">
        <f>IF(Associates_Call_List_PQ!L363="","",Associates_Call_List_PQ!L363)</f>
        <v>Yes</v>
      </c>
      <c r="M363" s="57" t="str">
        <f>IF(Associates_Call_List_PQ!M363="","",Associates_Call_List_PQ!M363)</f>
        <v>No</v>
      </c>
      <c r="N363" s="57" t="str">
        <f>IF(Associates_Call_List_PQ!N363="","",Associates_Call_List_PQ!N363)</f>
        <v>No</v>
      </c>
      <c r="O363" s="57" t="str">
        <f>IF(Associates_Call_List_PQ!O363="","",Associates_Call_List_PQ!O363)</f>
        <v>Yes</v>
      </c>
      <c r="P363" s="57" t="str">
        <f>IF(Associates_Call_List_PQ!P363="","",Associates_Call_List_PQ!P363)</f>
        <v>N</v>
      </c>
      <c r="Q363" s="57">
        <f>IF(Associates_Call_List_PQ!Q363="","",Associates_Call_List_PQ!Q363)</f>
        <v>45966</v>
      </c>
      <c r="R363" s="57" t="str">
        <f>IF(Associates_Call_List_PQ!R363="","",Associates_Call_List_PQ!R363)</f>
        <v/>
      </c>
      <c r="S363" s="57" t="str">
        <f>IF(Associates_Call_List_PQ!S363="","",Associates_Call_List_PQ!S363)</f>
        <v/>
      </c>
      <c r="T363" s="57" t="str">
        <f>IF(Associates_Call_List_PQ!T363="","",Associates_Call_List_PQ!T363)</f>
        <v/>
      </c>
      <c r="U363" s="57" t="str">
        <f>IF(Associates_Call_List_PQ!U363="","",Associates_Call_List_PQ!U363)</f>
        <v/>
      </c>
      <c r="V363" s="68"/>
      <c r="W363" s="68" t="s">
        <v>5432</v>
      </c>
      <c r="X363" s="68"/>
      <c r="Y363" s="68"/>
      <c r="Z363" s="72"/>
    </row>
    <row r="364" spans="1:26">
      <c r="A364" s="71">
        <f>IFERROR(Associates_Call_List_PQ!A364,"")</f>
        <v>45903</v>
      </c>
      <c r="B364" s="57" t="str">
        <f>IF(Associates_Call_List_PQ!B364="","",Associates_Call_List_PQ!B364)</f>
        <v>Adler</v>
      </c>
      <c r="C364" s="57" t="str">
        <f>IF(Associates_Call_List_PQ!C364="","",Associates_Call_List_PQ!C364)</f>
        <v>Cameron</v>
      </c>
      <c r="D364" s="57" t="str">
        <f>IF(Associates_Call_List_PQ!D364="","",Associates_Call_List_PQ!D364)</f>
        <v>Scottsdale</v>
      </c>
      <c r="E364" s="58">
        <f>IF(Associates_Call_List_PQ!E364="","",Associates_Call_List_PQ!E364)</f>
        <v>85254</v>
      </c>
      <c r="F364" s="57" t="str">
        <f>IF(Associates_Call_List_PQ!F364="","",Associates_Call_List_PQ!F364)</f>
        <v>Outlandish/Opposed</v>
      </c>
      <c r="G364" s="57" t="str">
        <f>IF(Associates_Call_List_PQ!G364="","",Associates_Call_List_PQ!G364)</f>
        <v>https://images.edocket.azcc.gov/docketpdf/E000046206.pdf</v>
      </c>
      <c r="H364" s="59" t="str">
        <f>IF(Associates_Call_List_PQ!H364="","",Associates_Call_List_PQ!H364)</f>
        <v>1346040000 </v>
      </c>
      <c r="I364" s="57" t="str">
        <f>IF(Associates_Call_List_PQ!I364="","",Associates_Call_List_PQ!I364)</f>
        <v>RCPw/RTOUE47</v>
      </c>
      <c r="J364" s="57" t="str">
        <f>IF(Associates_Call_List_PQ!J364="","",Associates_Call_List_PQ!J364)</f>
        <v>No</v>
      </c>
      <c r="K364" s="57" t="str">
        <f>IF(Associates_Call_List_PQ!K364="","",Associates_Call_List_PQ!K364)</f>
        <v>No</v>
      </c>
      <c r="L364" s="57" t="str">
        <f>IF(Associates_Call_List_PQ!L364="","",Associates_Call_List_PQ!L364)</f>
        <v>Yes</v>
      </c>
      <c r="M364" s="57" t="str">
        <f>IF(Associates_Call_List_PQ!M364="","",Associates_Call_List_PQ!M364)</f>
        <v>No</v>
      </c>
      <c r="N364" s="57" t="str">
        <f>IF(Associates_Call_List_PQ!N364="","",Associates_Call_List_PQ!N364)</f>
        <v>No</v>
      </c>
      <c r="O364" s="57" t="str">
        <f>IF(Associates_Call_List_PQ!O364="","",Associates_Call_List_PQ!O364)</f>
        <v>Yes</v>
      </c>
      <c r="P364" s="57" t="str">
        <f>IF(Associates_Call_List_PQ!P364="","",Associates_Call_List_PQ!P364)</f>
        <v>N</v>
      </c>
      <c r="Q364" s="57">
        <f>IF(Associates_Call_List_PQ!Q364="","",Associates_Call_List_PQ!Q364)</f>
        <v>45966</v>
      </c>
      <c r="R364" s="57" t="str">
        <f>IF(Associates_Call_List_PQ!R364="","",Associates_Call_List_PQ!R364)</f>
        <v/>
      </c>
      <c r="S364" s="57" t="str">
        <f>IF(Associates_Call_List_PQ!S364="","",Associates_Call_List_PQ!S364)</f>
        <v/>
      </c>
      <c r="T364" s="57" t="str">
        <f>IF(Associates_Call_List_PQ!T364="","",Associates_Call_List_PQ!T364)</f>
        <v/>
      </c>
      <c r="U364" s="57" t="str">
        <f>IF(Associates_Call_List_PQ!U364="","",Associates_Call_List_PQ!U364)</f>
        <v/>
      </c>
      <c r="V364" s="68"/>
      <c r="W364" s="68" t="s">
        <v>5432</v>
      </c>
      <c r="X364" s="68"/>
      <c r="Y364" s="68"/>
      <c r="Z364" s="72"/>
    </row>
    <row r="365" spans="1:26">
      <c r="A365" s="71">
        <f>IFERROR(Associates_Call_List_PQ!A365,"")</f>
        <v>45903</v>
      </c>
      <c r="B365" s="57" t="str">
        <f>IF(Associates_Call_List_PQ!B365="","",Associates_Call_List_PQ!B365)</f>
        <v>Hollander</v>
      </c>
      <c r="C365" s="57" t="str">
        <f>IF(Associates_Call_List_PQ!C365="","",Associates_Call_List_PQ!C365)</f>
        <v>Zachary</v>
      </c>
      <c r="D365" s="57" t="str">
        <f>IF(Associates_Call_List_PQ!D365="","",Associates_Call_List_PQ!D365)</f>
        <v>Prescott</v>
      </c>
      <c r="E365" s="58">
        <f>IF(Associates_Call_List_PQ!E365="","",Associates_Call_List_PQ!E365)</f>
        <v>86305</v>
      </c>
      <c r="F365" s="57" t="str">
        <f>IF(Associates_Call_List_PQ!F365="","",Associates_Call_List_PQ!F365)</f>
        <v>Opposed</v>
      </c>
      <c r="G365" s="57" t="str">
        <f>IF(Associates_Call_List_PQ!G365="","",Associates_Call_List_PQ!G365)</f>
        <v>https://images.edocket.azcc.gov/docketpdf/E000046206.pdf</v>
      </c>
      <c r="H365" s="59" t="str">
        <f>IF(Associates_Call_List_PQ!H365="","",Associates_Call_List_PQ!H365)</f>
        <v>4329109684 </v>
      </c>
      <c r="I365" s="57" t="str">
        <f>IF(Associates_Call_List_PQ!I365="","",Associates_Call_List_PQ!I365)</f>
        <v>RTOUE47</v>
      </c>
      <c r="J365" s="57" t="str">
        <f>IF(Associates_Call_List_PQ!J365="","",Associates_Call_List_PQ!J365)</f>
        <v>No</v>
      </c>
      <c r="K365" s="57" t="str">
        <f>IF(Associates_Call_List_PQ!K365="","",Associates_Call_List_PQ!K365)</f>
        <v>No</v>
      </c>
      <c r="L365" s="57" t="str">
        <f>IF(Associates_Call_List_PQ!L365="","",Associates_Call_List_PQ!L365)</f>
        <v>No MEP R3-47($10.54)</v>
      </c>
      <c r="M365" s="57" t="str">
        <f>IF(Associates_Call_List_PQ!M365="","",Associates_Call_List_PQ!M365)</f>
        <v>No</v>
      </c>
      <c r="N365" s="57" t="str">
        <f>IF(Associates_Call_List_PQ!N365="","",Associates_Call_List_PQ!N365)</f>
        <v>No</v>
      </c>
      <c r="O365" s="57" t="str">
        <f>IF(Associates_Call_List_PQ!O365="","",Associates_Call_List_PQ!O365)</f>
        <v>Yes</v>
      </c>
      <c r="P365" s="57" t="str">
        <f>IF(Associates_Call_List_PQ!P365="","",Associates_Call_List_PQ!P365)</f>
        <v>N</v>
      </c>
      <c r="Q365" s="57">
        <f>IF(Associates_Call_List_PQ!Q365="","",Associates_Call_List_PQ!Q365)</f>
        <v>45966</v>
      </c>
      <c r="R365" s="57" t="s">
        <v>5591</v>
      </c>
      <c r="S365" s="57" t="str">
        <f>IF(Associates_Call_List_PQ!S365="","",Associates_Call_List_PQ!S365)</f>
        <v/>
      </c>
      <c r="T365" s="57" t="str">
        <f>IF(Associates_Call_List_PQ!T365="","",Associates_Call_List_PQ!T365)</f>
        <v/>
      </c>
      <c r="U365" s="57" t="s">
        <v>5592</v>
      </c>
      <c r="V365" s="68" t="s">
        <v>117</v>
      </c>
      <c r="W365" s="68">
        <v>46046</v>
      </c>
      <c r="X365" s="68" t="s">
        <v>5405</v>
      </c>
      <c r="Y365" s="68"/>
      <c r="Z365" s="72"/>
    </row>
    <row r="366" spans="1:26">
      <c r="A366" s="71">
        <f>IFERROR(Associates_Call_List_PQ!A366,"")</f>
        <v>45903</v>
      </c>
      <c r="B366" s="57" t="str">
        <f>IF(Associates_Call_List_PQ!B366="","",Associates_Call_List_PQ!B366)</f>
        <v>Horta</v>
      </c>
      <c r="C366" s="57" t="str">
        <f>IF(Associates_Call_List_PQ!C366="","",Associates_Call_List_PQ!C366)</f>
        <v>Emilio</v>
      </c>
      <c r="D366" s="57" t="str">
        <f>IF(Associates_Call_List_PQ!D366="","",Associates_Call_List_PQ!D366)</f>
        <v>Prescott</v>
      </c>
      <c r="E366" s="58">
        <f>IF(Associates_Call_List_PQ!E366="","",Associates_Call_List_PQ!E366)</f>
        <v>86303</v>
      </c>
      <c r="F366" s="57" t="str">
        <f>IF(Associates_Call_List_PQ!F366="","",Associates_Call_List_PQ!F366)</f>
        <v>Form letter</v>
      </c>
      <c r="G366" s="57" t="str">
        <f>IF(Associates_Call_List_PQ!G366="","",Associates_Call_List_PQ!G366)</f>
        <v>https://images.edocket.azcc.gov/docketpdf/E000046206.pdf</v>
      </c>
      <c r="H366" s="59" t="str">
        <f>IF(Associates_Call_List_PQ!H366="","",Associates_Call_List_PQ!H366)</f>
        <v>8400273014 </v>
      </c>
      <c r="I366" s="57" t="str">
        <f>IF(Associates_Call_List_PQ!I366="","",Associates_Call_List_PQ!I366)</f>
        <v>R-XS</v>
      </c>
      <c r="J366" s="57" t="str">
        <f>IF(Associates_Call_List_PQ!J366="","",Associates_Call_List_PQ!J366)</f>
        <v>No</v>
      </c>
      <c r="K366" s="57" t="str">
        <f>IF(Associates_Call_List_PQ!K366="","",Associates_Call_List_PQ!K366)</f>
        <v>No</v>
      </c>
      <c r="L366" s="57" t="str">
        <f>IF(Associates_Call_List_PQ!L366="","",Associates_Call_List_PQ!L366)</f>
        <v>Yes</v>
      </c>
      <c r="M366" s="57" t="str">
        <f>IF(Associates_Call_List_PQ!M366="","",Associates_Call_List_PQ!M366)</f>
        <v>No</v>
      </c>
      <c r="N366" s="57" t="str">
        <f>IF(Associates_Call_List_PQ!N366="","",Associates_Call_List_PQ!N366)</f>
        <v>No</v>
      </c>
      <c r="O366" s="57" t="str">
        <f>IF(Associates_Call_List_PQ!O366="","",Associates_Call_List_PQ!O366)</f>
        <v>Yes</v>
      </c>
      <c r="P366" s="57" t="str">
        <f>IF(Associates_Call_List_PQ!P366="","",Associates_Call_List_PQ!P366)</f>
        <v>N</v>
      </c>
      <c r="Q366" s="57">
        <f>IF(Associates_Call_List_PQ!Q366="","",Associates_Call_List_PQ!Q366)</f>
        <v>45966</v>
      </c>
      <c r="R366" s="57" t="str">
        <f>IF(Associates_Call_List_PQ!R366="","",Associates_Call_List_PQ!R366)</f>
        <v/>
      </c>
      <c r="S366" s="57" t="str">
        <f>IF(Associates_Call_List_PQ!S366="","",Associates_Call_List_PQ!S366)</f>
        <v/>
      </c>
      <c r="T366" s="57" t="str">
        <f>IF(Associates_Call_List_PQ!T366="","",Associates_Call_List_PQ!T366)</f>
        <v/>
      </c>
      <c r="U366" s="57" t="str">
        <f>IF(Associates_Call_List_PQ!U366="","",Associates_Call_List_PQ!U366)</f>
        <v/>
      </c>
      <c r="V366" s="68"/>
      <c r="W366" s="68" t="s">
        <v>5432</v>
      </c>
      <c r="X366" s="68"/>
      <c r="Y366" s="68"/>
      <c r="Z366" s="72"/>
    </row>
    <row r="367" spans="1:26">
      <c r="A367" s="71">
        <f>IFERROR(Associates_Call_List_PQ!A367,"")</f>
        <v>45903</v>
      </c>
      <c r="B367" s="57" t="str">
        <f>IF(Associates_Call_List_PQ!B367="","",Associates_Call_List_PQ!B367)</f>
        <v>Tremblay</v>
      </c>
      <c r="C367" s="57" t="str">
        <f>IF(Associates_Call_List_PQ!C367="","",Associates_Call_List_PQ!C367)</f>
        <v>Michelle</v>
      </c>
      <c r="D367" s="57" t="str">
        <f>IF(Associates_Call_List_PQ!D367="","",Associates_Call_List_PQ!D367)</f>
        <v>Phoenix</v>
      </c>
      <c r="E367" s="58">
        <f>IF(Associates_Call_List_PQ!E367="","",Associates_Call_List_PQ!E367)</f>
        <v>85020</v>
      </c>
      <c r="F367" s="57" t="str">
        <f>IF(Associates_Call_List_PQ!F367="","",Associates_Call_List_PQ!F367)</f>
        <v>Opposed</v>
      </c>
      <c r="G367" s="57" t="str">
        <f>IF(Associates_Call_List_PQ!G367="","",Associates_Call_List_PQ!G367)</f>
        <v>https://images.edocket.azcc.gov/docketpdf/E000046206.pdf</v>
      </c>
      <c r="H367" s="59">
        <f>IF(Associates_Call_List_PQ!H367="","",Associates_Call_List_PQ!H367)</f>
        <v>7835950000</v>
      </c>
      <c r="I367" s="57" t="str">
        <f>IF(Associates_Call_List_PQ!I367="","",Associates_Call_List_PQ!I367)</f>
        <v>RTOUE47</v>
      </c>
      <c r="J367" s="57" t="str">
        <f>IF(Associates_Call_List_PQ!J367="","",Associates_Call_List_PQ!J367)</f>
        <v>No</v>
      </c>
      <c r="K367" s="57" t="str">
        <f>IF(Associates_Call_List_PQ!K367="","",Associates_Call_List_PQ!K367)</f>
        <v>No</v>
      </c>
      <c r="L367" s="57" t="str">
        <f>IF(Associates_Call_List_PQ!L367="","",Associates_Call_List_PQ!L367)</f>
        <v>No MEP R-XS ($209.15)</v>
      </c>
      <c r="M367" s="57" t="str">
        <f>IF(Associates_Call_List_PQ!M367="","",Associates_Call_List_PQ!M367)</f>
        <v>No</v>
      </c>
      <c r="N367" s="57" t="str">
        <f>IF(Associates_Call_List_PQ!N367="","",Associates_Call_List_PQ!N367)</f>
        <v>No</v>
      </c>
      <c r="O367" s="57" t="str">
        <f>IF(Associates_Call_List_PQ!O367="","",Associates_Call_List_PQ!O367)</f>
        <v>Yes</v>
      </c>
      <c r="P367" s="57">
        <f>IF(Associates_Call_List_PQ!P367="","",Associates_Call_List_PQ!P367)</f>
        <v>45940</v>
      </c>
      <c r="Q367" s="57">
        <f>IF(Associates_Call_List_PQ!Q367="","",Associates_Call_List_PQ!Q367)</f>
        <v>45966</v>
      </c>
      <c r="R367" s="57" t="str">
        <f>IF(Associates_Call_List_PQ!R367="","",Associates_Call_List_PQ!R367)</f>
        <v xml:space="preserve">10/10 - Spoke to customer about MEP - will review online before deciding to switch </v>
      </c>
      <c r="S367" s="57" t="str">
        <f>IF(Associates_Call_List_PQ!S367="","",Associates_Call_List_PQ!S367)</f>
        <v/>
      </c>
      <c r="T367" s="57" t="str">
        <f>IF(Associates_Call_List_PQ!T367="","",Associates_Call_List_PQ!T367)</f>
        <v/>
      </c>
      <c r="U367" s="57" t="s">
        <v>5593</v>
      </c>
      <c r="V367" s="68" t="s">
        <v>117</v>
      </c>
      <c r="W367" s="68">
        <v>46046</v>
      </c>
      <c r="X367" s="68" t="s">
        <v>5405</v>
      </c>
      <c r="Y367" s="68" t="s">
        <v>5447</v>
      </c>
      <c r="Z367" s="72"/>
    </row>
    <row r="368" spans="1:26">
      <c r="A368" s="71">
        <f>IFERROR(Associates_Call_List_PQ!A368,"")</f>
        <v>45903</v>
      </c>
      <c r="B368" s="57" t="str">
        <f>IF(Associates_Call_List_PQ!B368="","",Associates_Call_List_PQ!B368)</f>
        <v>Skiff</v>
      </c>
      <c r="C368" s="57" t="str">
        <f>IF(Associates_Call_List_PQ!C368="","",Associates_Call_List_PQ!C368)</f>
        <v>Alaura</v>
      </c>
      <c r="D368" s="57" t="str">
        <f>IF(Associates_Call_List_PQ!D368="","",Associates_Call_List_PQ!D368)</f>
        <v>Phoenix</v>
      </c>
      <c r="E368" s="58">
        <f>IF(Associates_Call_List_PQ!E368="","",Associates_Call_List_PQ!E368)</f>
        <v>85029</v>
      </c>
      <c r="F368" s="57" t="str">
        <f>IF(Associates_Call_List_PQ!F368="","",Associates_Call_List_PQ!F368)</f>
        <v>Opposed, just had a rate increase</v>
      </c>
      <c r="G368" s="57" t="str">
        <f>IF(Associates_Call_List_PQ!G368="","",Associates_Call_List_PQ!G368)</f>
        <v>https://images.edocket.azcc.gov/docketpdf/E000046206.pdf</v>
      </c>
      <c r="H368" s="59" t="str">
        <f>IF(Associates_Call_List_PQ!H368="","",Associates_Call_List_PQ!H368)</f>
        <v>4420690000 </v>
      </c>
      <c r="I368" s="57" t="str">
        <f>IF(Associates_Call_List_PQ!I368="","",Associates_Call_List_PQ!I368)</f>
        <v>EPR-6w/ET-2</v>
      </c>
      <c r="J368" s="57" t="str">
        <f>IF(Associates_Call_List_PQ!J368="","",Associates_Call_List_PQ!J368)</f>
        <v>No</v>
      </c>
      <c r="K368" s="57" t="str">
        <f>IF(Associates_Call_List_PQ!K368="","",Associates_Call_List_PQ!K368)</f>
        <v>No</v>
      </c>
      <c r="L368" s="57" t="str">
        <f>IF(Associates_Call_List_PQ!L368="","",Associates_Call_List_PQ!L368)</f>
        <v>Frozen Rate</v>
      </c>
      <c r="M368" s="57" t="str">
        <f>IF(Associates_Call_List_PQ!M368="","",Associates_Call_List_PQ!M368)</f>
        <v>No</v>
      </c>
      <c r="N368" s="57" t="str">
        <f>IF(Associates_Call_List_PQ!N368="","",Associates_Call_List_PQ!N368)</f>
        <v>No</v>
      </c>
      <c r="O368" s="57" t="str">
        <f>IF(Associates_Call_List_PQ!O368="","",Associates_Call_List_PQ!O368)</f>
        <v>Yes</v>
      </c>
      <c r="P368" s="57" t="str">
        <f>IF(Associates_Call_List_PQ!P368="","",Associates_Call_List_PQ!P368)</f>
        <v>N</v>
      </c>
      <c r="Q368" s="57">
        <f>IF(Associates_Call_List_PQ!Q368="","",Associates_Call_List_PQ!Q368)</f>
        <v>45966</v>
      </c>
      <c r="R368" s="57" t="str">
        <f>IF(Associates_Call_List_PQ!R368="","",Associates_Call_List_PQ!R368)</f>
        <v/>
      </c>
      <c r="S368" s="57" t="str">
        <f>IF(Associates_Call_List_PQ!S368="","",Associates_Call_List_PQ!S368)</f>
        <v/>
      </c>
      <c r="T368" s="57" t="str">
        <f>IF(Associates_Call_List_PQ!T368="","",Associates_Call_List_PQ!T368)</f>
        <v/>
      </c>
      <c r="U368" s="57" t="str">
        <f>IF(Associates_Call_List_PQ!U368="","",Associates_Call_List_PQ!U368)</f>
        <v/>
      </c>
      <c r="V368" s="68"/>
      <c r="W368" s="68" t="s">
        <v>5432</v>
      </c>
      <c r="X368" s="68"/>
      <c r="Y368" s="68"/>
      <c r="Z368" s="72"/>
    </row>
    <row r="369" spans="1:26">
      <c r="A369" s="71">
        <f>IFERROR(Associates_Call_List_PQ!A369,"")</f>
        <v>45903</v>
      </c>
      <c r="B369" s="57" t="str">
        <f>IF(Associates_Call_List_PQ!B369="","",Associates_Call_List_PQ!B369)</f>
        <v>DeFilippo</v>
      </c>
      <c r="C369" s="57" t="str">
        <f>IF(Associates_Call_List_PQ!C369="","",Associates_Call_List_PQ!C369)</f>
        <v>Michele</v>
      </c>
      <c r="D369" s="57" t="str">
        <f>IF(Associates_Call_List_PQ!D369="","",Associates_Call_List_PQ!D369)</f>
        <v>Phoenix</v>
      </c>
      <c r="E369" s="58">
        <f>IF(Associates_Call_List_PQ!E369="","",Associates_Call_List_PQ!E369)</f>
        <v>85014</v>
      </c>
      <c r="F369" s="57" t="str">
        <f>IF(Associates_Call_List_PQ!F369="","",Associates_Call_List_PQ!F369)</f>
        <v>Opposed</v>
      </c>
      <c r="G369" s="57" t="str">
        <f>IF(Associates_Call_List_PQ!G369="","",Associates_Call_List_PQ!G369)</f>
        <v>https://images.edocket.azcc.gov/docketpdf/E000046206.pdf</v>
      </c>
      <c r="H369" s="59">
        <f>IF(Associates_Call_List_PQ!H369="","",Associates_Call_List_PQ!H369)</f>
        <v>6594526342</v>
      </c>
      <c r="I369" s="57" t="str">
        <f>IF(Associates_Call_List_PQ!I369="","",Associates_Call_List_PQ!I369)</f>
        <v>R-2</v>
      </c>
      <c r="J369" s="57" t="str">
        <f>IF(Associates_Call_List_PQ!J369="","",Associates_Call_List_PQ!J369)</f>
        <v>No</v>
      </c>
      <c r="K369" s="57" t="str">
        <f>IF(Associates_Call_List_PQ!K369="","",Associates_Call_List_PQ!K369)</f>
        <v>No</v>
      </c>
      <c r="L369" s="57" t="str">
        <f>IF(Associates_Call_List_PQ!L369="","",Associates_Call_List_PQ!L369)</f>
        <v>Frozen Rate</v>
      </c>
      <c r="M369" s="57" t="str">
        <f>IF(Associates_Call_List_PQ!M369="","",Associates_Call_List_PQ!M369)</f>
        <v>No</v>
      </c>
      <c r="N369" s="57" t="str">
        <f>IF(Associates_Call_List_PQ!N369="","",Associates_Call_List_PQ!N369)</f>
        <v>No</v>
      </c>
      <c r="O369" s="57" t="str">
        <f>IF(Associates_Call_List_PQ!O369="","",Associates_Call_List_PQ!O369)</f>
        <v>Yes</v>
      </c>
      <c r="P369" s="57" t="str">
        <f>IF(Associates_Call_List_PQ!P369="","",Associates_Call_List_PQ!P369)</f>
        <v>N</v>
      </c>
      <c r="Q369" s="57">
        <f>IF(Associates_Call_List_PQ!Q369="","",Associates_Call_List_PQ!Q369)</f>
        <v>45966</v>
      </c>
      <c r="R369" s="57" t="str">
        <f>IF(Associates_Call_List_PQ!R369="","",Associates_Call_List_PQ!R369)</f>
        <v/>
      </c>
      <c r="S369" s="57" t="str">
        <f>IF(Associates_Call_List_PQ!S369="","",Associates_Call_List_PQ!S369)</f>
        <v/>
      </c>
      <c r="T369" s="57" t="str">
        <f>IF(Associates_Call_List_PQ!T369="","",Associates_Call_List_PQ!T369)</f>
        <v/>
      </c>
      <c r="U369" s="57" t="str">
        <f>IF(Associates_Call_List_PQ!U369="","",Associates_Call_List_PQ!U369)</f>
        <v/>
      </c>
      <c r="V369" s="68"/>
      <c r="W369" s="68" t="s">
        <v>5432</v>
      </c>
      <c r="X369" s="68"/>
      <c r="Y369" s="68"/>
      <c r="Z369" s="72"/>
    </row>
    <row r="370" spans="1:26">
      <c r="A370" s="71">
        <f>IFERROR(Associates_Call_List_PQ!A370,"")</f>
        <v>45903</v>
      </c>
      <c r="B370" s="57" t="str">
        <f>IF(Associates_Call_List_PQ!B370="","",Associates_Call_List_PQ!B370)</f>
        <v>Householder</v>
      </c>
      <c r="C370" s="57" t="str">
        <f>IF(Associates_Call_List_PQ!C370="","",Associates_Call_List_PQ!C370)</f>
        <v>Stephanie</v>
      </c>
      <c r="D370" s="57" t="str">
        <f>IF(Associates_Call_List_PQ!D370="","",Associates_Call_List_PQ!D370)</f>
        <v>Phoenix</v>
      </c>
      <c r="E370" s="58">
        <f>IF(Associates_Call_List_PQ!E370="","",Associates_Call_List_PQ!E370)</f>
        <v>85053</v>
      </c>
      <c r="F370" s="57" t="str">
        <f>IF(Associates_Call_List_PQ!F370="","",Associates_Call_List_PQ!F370)</f>
        <v>Too high of an increase</v>
      </c>
      <c r="G370" s="57" t="str">
        <f>IF(Associates_Call_List_PQ!G370="","",Associates_Call_List_PQ!G370)</f>
        <v>https://images.edocket.azcc.gov/docketpdf/E000046206.pdf</v>
      </c>
      <c r="H370" s="59" t="str">
        <f>IF(Associates_Call_List_PQ!H370="","",Associates_Call_List_PQ!H370)</f>
        <v>1367611000 </v>
      </c>
      <c r="I370" s="57" t="str">
        <f>IF(Associates_Call_List_PQ!I370="","",Associates_Call_List_PQ!I370)</f>
        <v>R3-47</v>
      </c>
      <c r="J370" s="57" t="str">
        <f>IF(Associates_Call_List_PQ!J370="","",Associates_Call_List_PQ!J370)</f>
        <v>No</v>
      </c>
      <c r="K370" s="57" t="str">
        <f>IF(Associates_Call_List_PQ!K370="","",Associates_Call_List_PQ!K370)</f>
        <v>No</v>
      </c>
      <c r="L370" s="57" t="str">
        <f>IF(Associates_Call_List_PQ!L370="","",Associates_Call_List_PQ!L370)</f>
        <v>No MEP R-BASIC($60.78)</v>
      </c>
      <c r="M370" s="57" t="str">
        <f>IF(Associates_Call_List_PQ!M370="","",Associates_Call_List_PQ!M370)</f>
        <v>No</v>
      </c>
      <c r="N370" s="57" t="str">
        <f>IF(Associates_Call_List_PQ!N370="","",Associates_Call_List_PQ!N370)</f>
        <v>No</v>
      </c>
      <c r="O370" s="57" t="str">
        <f>IF(Associates_Call_List_PQ!O370="","",Associates_Call_List_PQ!O370)</f>
        <v>Yes</v>
      </c>
      <c r="P370" s="57" t="str">
        <f>IF(Associates_Call_List_PQ!P370="","",Associates_Call_List_PQ!P370)</f>
        <v>N</v>
      </c>
      <c r="Q370" s="57">
        <f>IF(Associates_Call_List_PQ!Q370="","",Associates_Call_List_PQ!Q370)</f>
        <v>45966</v>
      </c>
      <c r="R370" s="57" t="str">
        <f>IF(Associates_Call_List_PQ!R370="","",Associates_Call_List_PQ!R370)</f>
        <v/>
      </c>
      <c r="S370" s="57" t="str">
        <f>IF(Associates_Call_List_PQ!S370="","",Associates_Call_List_PQ!S370)</f>
        <v/>
      </c>
      <c r="T370" s="57" t="str">
        <f>IF(Associates_Call_List_PQ!T370="","",Associates_Call_List_PQ!T370)</f>
        <v/>
      </c>
      <c r="U370" s="57" t="s">
        <v>5594</v>
      </c>
      <c r="V370" s="68" t="s">
        <v>117</v>
      </c>
      <c r="W370" s="68">
        <v>46046</v>
      </c>
      <c r="X370" s="68" t="s">
        <v>5405</v>
      </c>
      <c r="Y370" s="68"/>
      <c r="Z370" s="72"/>
    </row>
    <row r="371" spans="1:26">
      <c r="A371" s="71">
        <f>IFERROR(Associates_Call_List_PQ!A371,"")</f>
        <v>45903</v>
      </c>
      <c r="B371" s="57" t="str">
        <f>IF(Associates_Call_List_PQ!B371="","",Associates_Call_List_PQ!B371)</f>
        <v>Krogmann</v>
      </c>
      <c r="C371" s="57" t="str">
        <f>IF(Associates_Call_List_PQ!C371="","",Associates_Call_List_PQ!C371)</f>
        <v>Rachael</v>
      </c>
      <c r="D371" s="57" t="str">
        <f>IF(Associates_Call_List_PQ!D371="","",Associates_Call_List_PQ!D371)</f>
        <v>Phoenix</v>
      </c>
      <c r="E371" s="58">
        <f>IF(Associates_Call_List_PQ!E371="","",Associates_Call_List_PQ!E371)</f>
        <v>85085</v>
      </c>
      <c r="F371" s="57" t="str">
        <f>IF(Associates_Call_List_PQ!F371="","",Associates_Call_List_PQ!F371)</f>
        <v>Opposed</v>
      </c>
      <c r="G371" s="57" t="str">
        <f>IF(Associates_Call_List_PQ!G371="","",Associates_Call_List_PQ!G371)</f>
        <v>https://images.edocket.azcc.gov/docketpdf/E000046206.pdf</v>
      </c>
      <c r="H371" s="59" t="str">
        <f>IF(Associates_Call_List_PQ!H371="","",Associates_Call_List_PQ!H371)</f>
        <v>2508401000 </v>
      </c>
      <c r="I371" s="57" t="str">
        <f>IF(Associates_Call_List_PQ!I371="","",Associates_Call_List_PQ!I371)</f>
        <v>EPR-6w/ET-2</v>
      </c>
      <c r="J371" s="57" t="str">
        <f>IF(Associates_Call_List_PQ!J371="","",Associates_Call_List_PQ!J371)</f>
        <v>No</v>
      </c>
      <c r="K371" s="57" t="str">
        <f>IF(Associates_Call_List_PQ!K371="","",Associates_Call_List_PQ!K371)</f>
        <v>No</v>
      </c>
      <c r="L371" s="57" t="str">
        <f>IF(Associates_Call_List_PQ!L371="","",Associates_Call_List_PQ!L371)</f>
        <v>Frozen Rate</v>
      </c>
      <c r="M371" s="57" t="str">
        <f>IF(Associates_Call_List_PQ!M371="","",Associates_Call_List_PQ!M371)</f>
        <v>No</v>
      </c>
      <c r="N371" s="57" t="str">
        <f>IF(Associates_Call_List_PQ!N371="","",Associates_Call_List_PQ!N371)</f>
        <v>No</v>
      </c>
      <c r="O371" s="57" t="str">
        <f>IF(Associates_Call_List_PQ!O371="","",Associates_Call_List_PQ!O371)</f>
        <v>Yes</v>
      </c>
      <c r="P371" s="57" t="str">
        <f>IF(Associates_Call_List_PQ!P371="","",Associates_Call_List_PQ!P371)</f>
        <v>N</v>
      </c>
      <c r="Q371" s="57">
        <f>IF(Associates_Call_List_PQ!Q371="","",Associates_Call_List_PQ!Q371)</f>
        <v>45966</v>
      </c>
      <c r="R371" s="57" t="str">
        <f>IF(Associates_Call_List_PQ!R371="","",Associates_Call_List_PQ!R371)</f>
        <v/>
      </c>
      <c r="S371" s="57" t="str">
        <f>IF(Associates_Call_List_PQ!S371="","",Associates_Call_List_PQ!S371)</f>
        <v/>
      </c>
      <c r="T371" s="57" t="str">
        <f>IF(Associates_Call_List_PQ!T371="","",Associates_Call_List_PQ!T371)</f>
        <v/>
      </c>
      <c r="U371" s="57" t="str">
        <f>IF(Associates_Call_List_PQ!U371="","",Associates_Call_List_PQ!U371)</f>
        <v/>
      </c>
      <c r="V371" s="68"/>
      <c r="W371" s="68" t="s">
        <v>5432</v>
      </c>
      <c r="X371" s="68"/>
      <c r="Y371" s="68"/>
      <c r="Z371" s="72"/>
    </row>
    <row r="372" spans="1:26">
      <c r="A372" s="71">
        <f>IFERROR(Associates_Call_List_PQ!A372,"")</f>
        <v>45903</v>
      </c>
      <c r="B372" s="57" t="str">
        <f>IF(Associates_Call_List_PQ!B372="","",Associates_Call_List_PQ!B372)</f>
        <v>Wasserman</v>
      </c>
      <c r="C372" s="57" t="str">
        <f>IF(Associates_Call_List_PQ!C372="","",Associates_Call_List_PQ!C372)</f>
        <v>Michael</v>
      </c>
      <c r="D372" s="57" t="str">
        <f>IF(Associates_Call_List_PQ!D372="","",Associates_Call_List_PQ!D372)</f>
        <v>Phoenix</v>
      </c>
      <c r="E372" s="58">
        <f>IF(Associates_Call_List_PQ!E372="","",Associates_Call_List_PQ!E372)</f>
        <v>85083</v>
      </c>
      <c r="F372" s="57" t="str">
        <f>IF(Associates_Call_List_PQ!F372="","",Associates_Call_List_PQ!F372)</f>
        <v>Opposed</v>
      </c>
      <c r="G372" s="57" t="str">
        <f>IF(Associates_Call_List_PQ!G372="","",Associates_Call_List_PQ!G372)</f>
        <v>https://images.edocket.azcc.gov/docketpdf/E000046206.pdf</v>
      </c>
      <c r="H372" s="59" t="str">
        <f>IF(Associates_Call_List_PQ!H372="","",Associates_Call_List_PQ!H372)</f>
        <v>4048489946 </v>
      </c>
      <c r="I372" s="57" t="str">
        <f>IF(Associates_Call_List_PQ!I372="","",Associates_Call_List_PQ!I372)</f>
        <v>RCPw/RTOUE47</v>
      </c>
      <c r="J372" s="57" t="str">
        <f>IF(Associates_Call_List_PQ!J372="","",Associates_Call_List_PQ!J372)</f>
        <v>No</v>
      </c>
      <c r="K372" s="57" t="str">
        <f>IF(Associates_Call_List_PQ!K372="","",Associates_Call_List_PQ!K372)</f>
        <v>No</v>
      </c>
      <c r="L372" s="57" t="str">
        <f>IF(Associates_Call_List_PQ!L372="","",Associates_Call_List_PQ!L372)</f>
        <v>No MEP R3-47($123.47)</v>
      </c>
      <c r="M372" s="57" t="str">
        <f>IF(Associates_Call_List_PQ!M372="","",Associates_Call_List_PQ!M372)</f>
        <v>No</v>
      </c>
      <c r="N372" s="57" t="str">
        <f>IF(Associates_Call_List_PQ!N372="","",Associates_Call_List_PQ!N372)</f>
        <v>No</v>
      </c>
      <c r="O372" s="57" t="str">
        <f>IF(Associates_Call_List_PQ!O372="","",Associates_Call_List_PQ!O372)</f>
        <v>Yes</v>
      </c>
      <c r="P372" s="57" t="str">
        <f>IF(Associates_Call_List_PQ!P372="","",Associates_Call_List_PQ!P372)</f>
        <v>N</v>
      </c>
      <c r="Q372" s="57">
        <f>IF(Associates_Call_List_PQ!Q372="","",Associates_Call_List_PQ!Q372)</f>
        <v>45966</v>
      </c>
      <c r="R372" s="57" t="str">
        <f>IF(Associates_Call_List_PQ!R372="","",Associates_Call_List_PQ!R372)</f>
        <v/>
      </c>
      <c r="S372" s="57" t="str">
        <f>IF(Associates_Call_List_PQ!S372="","",Associates_Call_List_PQ!S372)</f>
        <v/>
      </c>
      <c r="T372" s="57" t="str">
        <f>IF(Associates_Call_List_PQ!T372="","",Associates_Call_List_PQ!T372)</f>
        <v/>
      </c>
      <c r="U372" s="57"/>
      <c r="V372" s="68" t="s">
        <v>5433</v>
      </c>
      <c r="W372" s="68">
        <v>46011</v>
      </c>
      <c r="X372" s="68" t="s">
        <v>5434</v>
      </c>
      <c r="Y372" s="68"/>
      <c r="Z372" s="72" t="s">
        <v>5438</v>
      </c>
    </row>
    <row r="373" spans="1:26">
      <c r="A373" s="71">
        <f>IFERROR(Associates_Call_List_PQ!A373,"")</f>
        <v>45903</v>
      </c>
      <c r="B373" s="57" t="str">
        <f>IF(Associates_Call_List_PQ!B373="","",Associates_Call_List_PQ!B373)</f>
        <v>Smith</v>
      </c>
      <c r="C373" s="57" t="str">
        <f>IF(Associates_Call_List_PQ!C373="","",Associates_Call_List_PQ!C373)</f>
        <v>Marvella</v>
      </c>
      <c r="D373" s="57" t="str">
        <f>IF(Associates_Call_List_PQ!D373="","",Associates_Call_List_PQ!D373)</f>
        <v>Litchfield Park</v>
      </c>
      <c r="E373" s="58">
        <f>IF(Associates_Call_List_PQ!E373="","",Associates_Call_List_PQ!E373)</f>
        <v>85340</v>
      </c>
      <c r="F373" s="57" t="str">
        <f>IF(Associates_Call_List_PQ!F373="","",Associates_Call_List_PQ!F373)</f>
        <v xml:space="preserve">Fixed income </v>
      </c>
      <c r="G373" s="57" t="str">
        <f>IF(Associates_Call_List_PQ!G373="","",Associates_Call_List_PQ!G373)</f>
        <v>https://images.edocket.azcc.gov/docketpdf/E000046206.pdf</v>
      </c>
      <c r="H373" s="59" t="str">
        <f>IF(Associates_Call_List_PQ!H373="","",Associates_Call_List_PQ!H373)</f>
        <v>5865680000 </v>
      </c>
      <c r="I373" s="57" t="str">
        <f>IF(Associates_Call_List_PQ!I373="","",Associates_Call_List_PQ!I373)</f>
        <v>R3-47</v>
      </c>
      <c r="J373" s="57" t="str">
        <f>IF(Associates_Call_List_PQ!J373="","",Associates_Call_List_PQ!J373)</f>
        <v>No</v>
      </c>
      <c r="K373" s="57" t="str">
        <f>IF(Associates_Call_List_PQ!K373="","",Associates_Call_List_PQ!K373)</f>
        <v>No</v>
      </c>
      <c r="L373" s="57" t="str">
        <f>IF(Associates_Call_List_PQ!L373="","",Associates_Call_List_PQ!L373)</f>
        <v>Yes</v>
      </c>
      <c r="M373" s="57" t="str">
        <f>IF(Associates_Call_List_PQ!M373="","",Associates_Call_List_PQ!M373)</f>
        <v>No</v>
      </c>
      <c r="N373" s="57" t="str">
        <f>IF(Associates_Call_List_PQ!N373="","",Associates_Call_List_PQ!N373)</f>
        <v>No</v>
      </c>
      <c r="O373" s="57" t="str">
        <f>IF(Associates_Call_List_PQ!O373="","",Associates_Call_List_PQ!O373)</f>
        <v>Yes</v>
      </c>
      <c r="P373" s="57" t="str">
        <f>IF(Associates_Call_List_PQ!P373="","",Associates_Call_List_PQ!P373)</f>
        <v>N</v>
      </c>
      <c r="Q373" s="57">
        <f>IF(Associates_Call_List_PQ!Q373="","",Associates_Call_List_PQ!Q373)</f>
        <v>45966</v>
      </c>
      <c r="R373" s="57" t="str">
        <f>IF(Associates_Call_List_PQ!R373="","",Associates_Call_List_PQ!R373)</f>
        <v/>
      </c>
      <c r="S373" s="57" t="str">
        <f>IF(Associates_Call_List_PQ!S373="","",Associates_Call_List_PQ!S373)</f>
        <v/>
      </c>
      <c r="T373" s="57" t="str">
        <f>IF(Associates_Call_List_PQ!T373="","",Associates_Call_List_PQ!T373)</f>
        <v/>
      </c>
      <c r="U373" s="57" t="str">
        <f>IF(Associates_Call_List_PQ!U373="","",Associates_Call_List_PQ!U373)</f>
        <v/>
      </c>
      <c r="V373" s="68"/>
      <c r="W373" s="68" t="s">
        <v>5432</v>
      </c>
      <c r="X373" s="68"/>
      <c r="Y373" s="68"/>
      <c r="Z373" s="72"/>
    </row>
    <row r="374" spans="1:26">
      <c r="A374" s="71">
        <f>IFERROR(Associates_Call_List_PQ!A374,"")</f>
        <v>45903</v>
      </c>
      <c r="B374" s="57" t="str">
        <f>IF(Associates_Call_List_PQ!B374="","",Associates_Call_List_PQ!B374)</f>
        <v>Springer</v>
      </c>
      <c r="C374" s="57" t="str">
        <f>IF(Associates_Call_List_PQ!C374="","",Associates_Call_List_PQ!C374)</f>
        <v>John</v>
      </c>
      <c r="D374" s="57" t="str">
        <f>IF(Associates_Call_List_PQ!D374="","",Associates_Call_List_PQ!D374)</f>
        <v>Goodyear</v>
      </c>
      <c r="E374" s="58">
        <f>IF(Associates_Call_List_PQ!E374="","",Associates_Call_List_PQ!E374)</f>
        <v>85338</v>
      </c>
      <c r="F374" s="57" t="str">
        <f>IF(Associates_Call_List_PQ!F374="","",Associates_Call_List_PQ!F374)</f>
        <v>Opposed</v>
      </c>
      <c r="G374" s="57" t="str">
        <f>IF(Associates_Call_List_PQ!G374="","",Associates_Call_List_PQ!G374)</f>
        <v>https://images.edocket.azcc.gov/docketpdf/E000046206.pdf</v>
      </c>
      <c r="H374" s="59" t="str">
        <f>IF(Associates_Call_List_PQ!H374="","",Associates_Call_List_PQ!H374)</f>
        <v>5145361000 </v>
      </c>
      <c r="I374" s="57" t="str">
        <f>IF(Associates_Call_List_PQ!I374="","",Associates_Call_List_PQ!I374)</f>
        <v>EPR-6w/ET-2</v>
      </c>
      <c r="J374" s="57" t="str">
        <f>IF(Associates_Call_List_PQ!J374="","",Associates_Call_List_PQ!J374)</f>
        <v>No</v>
      </c>
      <c r="K374" s="57" t="str">
        <f>IF(Associates_Call_List_PQ!K374="","",Associates_Call_List_PQ!K374)</f>
        <v>No</v>
      </c>
      <c r="L374" s="57" t="str">
        <f>IF(Associates_Call_List_PQ!L374="","",Associates_Call_List_PQ!L374)</f>
        <v>Frozen Rate</v>
      </c>
      <c r="M374" s="57" t="str">
        <f>IF(Associates_Call_List_PQ!M374="","",Associates_Call_List_PQ!M374)</f>
        <v>Yes</v>
      </c>
      <c r="N374" s="57">
        <f>IF(Associates_Call_List_PQ!N374="","",Associates_Call_List_PQ!N374)</f>
        <v>102.79</v>
      </c>
      <c r="O374" s="57" t="str">
        <f>IF(Associates_Call_List_PQ!O374="","",Associates_Call_List_PQ!O374)</f>
        <v>Yes</v>
      </c>
      <c r="P374" s="57" t="str">
        <f>IF(Associates_Call_List_PQ!P374="","",Associates_Call_List_PQ!P374)</f>
        <v>N</v>
      </c>
      <c r="Q374" s="57">
        <f>IF(Associates_Call_List_PQ!Q374="","",Associates_Call_List_PQ!Q374)</f>
        <v>45966</v>
      </c>
      <c r="R374" s="57" t="str">
        <f>IF(Associates_Call_List_PQ!R374="","",Associates_Call_List_PQ!R374)</f>
        <v/>
      </c>
      <c r="S374" s="57" t="str">
        <f>IF(Associates_Call_List_PQ!S374="","",Associates_Call_List_PQ!S374)</f>
        <v/>
      </c>
      <c r="T374" s="57" t="str">
        <f>IF(Associates_Call_List_PQ!T374="","",Associates_Call_List_PQ!T374)</f>
        <v/>
      </c>
      <c r="U374" s="57" t="str">
        <f>IF(Associates_Call_List_PQ!U374="","",Associates_Call_List_PQ!U374)</f>
        <v/>
      </c>
      <c r="V374" s="68" t="s">
        <v>117</v>
      </c>
      <c r="W374" s="68">
        <v>45997</v>
      </c>
      <c r="X374" s="68" t="s">
        <v>5405</v>
      </c>
      <c r="Y374" s="68"/>
      <c r="Z374" s="72" t="s">
        <v>5438</v>
      </c>
    </row>
    <row r="375" spans="1:26">
      <c r="A375" s="71">
        <f>IFERROR(Associates_Call_List_PQ!A375,"")</f>
        <v>45903</v>
      </c>
      <c r="B375" s="57" t="str">
        <f>IF(Associates_Call_List_PQ!B375="","",Associates_Call_List_PQ!B375)</f>
        <v>Gillihan</v>
      </c>
      <c r="C375" s="57" t="str">
        <f>IF(Associates_Call_List_PQ!C375="","",Associates_Call_List_PQ!C375)</f>
        <v>Julie</v>
      </c>
      <c r="D375" s="57" t="str">
        <f>IF(Associates_Call_List_PQ!D375="","",Associates_Call_List_PQ!D375)</f>
        <v>Phoenix</v>
      </c>
      <c r="E375" s="58">
        <f>IF(Associates_Call_List_PQ!E375="","",Associates_Call_List_PQ!E375)</f>
        <v>85028</v>
      </c>
      <c r="F375" s="57" t="str">
        <f>IF(Associates_Call_List_PQ!F375="","",Associates_Call_List_PQ!F375)</f>
        <v>Form letter</v>
      </c>
      <c r="G375" s="57" t="str">
        <f>IF(Associates_Call_List_PQ!G375="","",Associates_Call_List_PQ!G375)</f>
        <v>https://images.edocket.azcc.gov/docketpdf/E000046206.pdf</v>
      </c>
      <c r="H375" s="59" t="str">
        <f>IF(Associates_Call_List_PQ!H375="","",Associates_Call_List_PQ!H375)</f>
        <v>2236812917 </v>
      </c>
      <c r="I375" s="57" t="str">
        <f>IF(Associates_Call_List_PQ!I375="","",Associates_Call_List_PQ!I375)</f>
        <v>EPR-6w/ET-2</v>
      </c>
      <c r="J375" s="57" t="str">
        <f>IF(Associates_Call_List_PQ!J375="","",Associates_Call_List_PQ!J375)</f>
        <v>No</v>
      </c>
      <c r="K375" s="57" t="str">
        <f>IF(Associates_Call_List_PQ!K375="","",Associates_Call_List_PQ!K375)</f>
        <v>No</v>
      </c>
      <c r="L375" s="57" t="str">
        <f>IF(Associates_Call_List_PQ!L375="","",Associates_Call_List_PQ!L375)</f>
        <v>Frozen Rate</v>
      </c>
      <c r="M375" s="57" t="str">
        <f>IF(Associates_Call_List_PQ!M375="","",Associates_Call_List_PQ!M375)</f>
        <v>No</v>
      </c>
      <c r="N375" s="57" t="str">
        <f>IF(Associates_Call_List_PQ!N375="","",Associates_Call_List_PQ!N375)</f>
        <v>No</v>
      </c>
      <c r="O375" s="57" t="str">
        <f>IF(Associates_Call_List_PQ!O375="","",Associates_Call_List_PQ!O375)</f>
        <v>Yes</v>
      </c>
      <c r="P375" s="57" t="str">
        <f>IF(Associates_Call_List_PQ!P375="","",Associates_Call_List_PQ!P375)</f>
        <v>N</v>
      </c>
      <c r="Q375" s="57">
        <f>IF(Associates_Call_List_PQ!Q375="","",Associates_Call_List_PQ!Q375)</f>
        <v>45966</v>
      </c>
      <c r="R375" s="57" t="str">
        <f>IF(Associates_Call_List_PQ!R375="","",Associates_Call_List_PQ!R375)</f>
        <v/>
      </c>
      <c r="S375" s="57" t="str">
        <f>IF(Associates_Call_List_PQ!S375="","",Associates_Call_List_PQ!S375)</f>
        <v/>
      </c>
      <c r="T375" s="57" t="str">
        <f>IF(Associates_Call_List_PQ!T375="","",Associates_Call_List_PQ!T375)</f>
        <v/>
      </c>
      <c r="U375" s="57" t="str">
        <f>IF(Associates_Call_List_PQ!U375="","",Associates_Call_List_PQ!U375)</f>
        <v/>
      </c>
      <c r="V375" s="68"/>
      <c r="W375" s="68" t="s">
        <v>5432</v>
      </c>
      <c r="X375" s="68"/>
      <c r="Y375" s="68"/>
      <c r="Z375" s="72"/>
    </row>
    <row r="376" spans="1:26">
      <c r="A376" s="71">
        <f>IFERROR(Associates_Call_List_PQ!A376,"")</f>
        <v>45903</v>
      </c>
      <c r="B376" s="57" t="str">
        <f>IF(Associates_Call_List_PQ!B376="","",Associates_Call_List_PQ!B376)</f>
        <v>John</v>
      </c>
      <c r="C376" s="57" t="str">
        <f>IF(Associates_Call_List_PQ!C376="","",Associates_Call_List_PQ!C376)</f>
        <v>Frances</v>
      </c>
      <c r="D376" s="57" t="str">
        <f>IF(Associates_Call_List_PQ!D376="","",Associates_Call_List_PQ!D376)</f>
        <v>Scottsdale</v>
      </c>
      <c r="E376" s="58">
        <f>IF(Associates_Call_List_PQ!E376="","",Associates_Call_List_PQ!E376)</f>
        <v>85260</v>
      </c>
      <c r="F376" s="57" t="str">
        <f>IF(Associates_Call_List_PQ!F376="","",Associates_Call_List_PQ!F376)</f>
        <v>Opposed</v>
      </c>
      <c r="G376" s="57" t="str">
        <f>IF(Associates_Call_List_PQ!G376="","",Associates_Call_List_PQ!G376)</f>
        <v>https://images.edocket.azcc.gov/docketpdf/E000046206.pdf</v>
      </c>
      <c r="H376" s="59" t="str">
        <f>IF(Associates_Call_List_PQ!H376="","",Associates_Call_List_PQ!H376)</f>
        <v>3472511000 </v>
      </c>
      <c r="I376" s="57" t="str">
        <f>IF(Associates_Call_List_PQ!I376="","",Associates_Call_List_PQ!I376)</f>
        <v>R3-47</v>
      </c>
      <c r="J376" s="57" t="str">
        <f>IF(Associates_Call_List_PQ!J376="","",Associates_Call_List_PQ!J376)</f>
        <v>No</v>
      </c>
      <c r="K376" s="57" t="str">
        <f>IF(Associates_Call_List_PQ!K376="","",Associates_Call_List_PQ!K376)</f>
        <v>No</v>
      </c>
      <c r="L376" s="57" t="str">
        <f>IF(Associates_Call_List_PQ!L376="","",Associates_Call_List_PQ!L376)</f>
        <v>Yes</v>
      </c>
      <c r="M376" s="57" t="str">
        <f>IF(Associates_Call_List_PQ!M376="","",Associates_Call_List_PQ!M376)</f>
        <v>No</v>
      </c>
      <c r="N376" s="57" t="str">
        <f>IF(Associates_Call_List_PQ!N376="","",Associates_Call_List_PQ!N376)</f>
        <v>No</v>
      </c>
      <c r="O376" s="57" t="str">
        <f>IF(Associates_Call_List_PQ!O376="","",Associates_Call_List_PQ!O376)</f>
        <v>Yes</v>
      </c>
      <c r="P376" s="57" t="str">
        <f>IF(Associates_Call_List_PQ!P376="","",Associates_Call_List_PQ!P376)</f>
        <v>N</v>
      </c>
      <c r="Q376" s="57">
        <f>IF(Associates_Call_List_PQ!Q376="","",Associates_Call_List_PQ!Q376)</f>
        <v>45966</v>
      </c>
      <c r="R376" s="57" t="str">
        <f>IF(Associates_Call_List_PQ!R376="","",Associates_Call_List_PQ!R376)</f>
        <v/>
      </c>
      <c r="S376" s="57" t="str">
        <f>IF(Associates_Call_List_PQ!S376="","",Associates_Call_List_PQ!S376)</f>
        <v/>
      </c>
      <c r="T376" s="57" t="str">
        <f>IF(Associates_Call_List_PQ!T376="","",Associates_Call_List_PQ!T376)</f>
        <v/>
      </c>
      <c r="U376" s="57" t="str">
        <f>IF(Associates_Call_List_PQ!U376="","",Associates_Call_List_PQ!U376)</f>
        <v/>
      </c>
      <c r="V376" s="68"/>
      <c r="W376" s="68" t="s">
        <v>5432</v>
      </c>
      <c r="X376" s="68"/>
      <c r="Y376" s="68"/>
      <c r="Z376" s="72"/>
    </row>
    <row r="377" spans="1:26">
      <c r="A377" s="71">
        <f>IFERROR(Associates_Call_List_PQ!A377,"")</f>
        <v>45903</v>
      </c>
      <c r="B377" s="57" t="str">
        <f>IF(Associates_Call_List_PQ!B377="","",Associates_Call_List_PQ!B377)</f>
        <v>Srinivasan</v>
      </c>
      <c r="C377" s="57" t="str">
        <f>IF(Associates_Call_List_PQ!C377="","",Associates_Call_List_PQ!C377)</f>
        <v>Karthikeyan</v>
      </c>
      <c r="D377" s="57" t="str">
        <f>IF(Associates_Call_List_PQ!D377="","",Associates_Call_List_PQ!D377)</f>
        <v>Peoria</v>
      </c>
      <c r="E377" s="58">
        <f>IF(Associates_Call_List_PQ!E377="","",Associates_Call_List_PQ!E377)</f>
        <v>85383</v>
      </c>
      <c r="F377" s="57" t="str">
        <f>IF(Associates_Call_List_PQ!F377="","",Associates_Call_List_PQ!F377)</f>
        <v>Form letter</v>
      </c>
      <c r="G377" s="57" t="str">
        <f>IF(Associates_Call_List_PQ!G377="","",Associates_Call_List_PQ!G377)</f>
        <v>https://images.edocket.azcc.gov/docketpdf/E000046206.pdf</v>
      </c>
      <c r="H377" s="59" t="str">
        <f>IF(Associates_Call_List_PQ!H377="","",Associates_Call_List_PQ!H377)</f>
        <v>5649900000 </v>
      </c>
      <c r="I377" s="57" t="str">
        <f>IF(Associates_Call_List_PQ!I377="","",Associates_Call_List_PQ!I377)</f>
        <v>R-BASICL</v>
      </c>
      <c r="J377" s="57" t="str">
        <f>IF(Associates_Call_List_PQ!J377="","",Associates_Call_List_PQ!J377)</f>
        <v>No</v>
      </c>
      <c r="K377" s="57" t="str">
        <f>IF(Associates_Call_List_PQ!K377="","",Associates_Call_List_PQ!K377)</f>
        <v>No</v>
      </c>
      <c r="L377" s="57" t="str">
        <f>IF(Associates_Call_List_PQ!L377="","",Associates_Call_List_PQ!L377)</f>
        <v>No MEP R3-47($156.54)</v>
      </c>
      <c r="M377" s="57" t="str">
        <f>IF(Associates_Call_List_PQ!M377="","",Associates_Call_List_PQ!M377)</f>
        <v>No</v>
      </c>
      <c r="N377" s="57" t="str">
        <f>IF(Associates_Call_List_PQ!N377="","",Associates_Call_List_PQ!N377)</f>
        <v>No</v>
      </c>
      <c r="O377" s="57" t="str">
        <f>IF(Associates_Call_List_PQ!O377="","",Associates_Call_List_PQ!O377)</f>
        <v>Yes</v>
      </c>
      <c r="P377" s="57" t="str">
        <f>IF(Associates_Call_List_PQ!P377="","",Associates_Call_List_PQ!P377)</f>
        <v>N</v>
      </c>
      <c r="Q377" s="57">
        <f>IF(Associates_Call_List_PQ!Q377="","",Associates_Call_List_PQ!Q377)</f>
        <v>45966</v>
      </c>
      <c r="R377" s="57" t="str">
        <f>IF(Associates_Call_List_PQ!R377="","",Associates_Call_List_PQ!R377)</f>
        <v>10/9 - Account  has already been changed to MEP before call was made</v>
      </c>
      <c r="S377" s="57" t="str">
        <f>IF(Associates_Call_List_PQ!S377="","",Associates_Call_List_PQ!S377)</f>
        <v/>
      </c>
      <c r="T377" s="57" t="str">
        <f>IF(Associates_Call_List_PQ!T377="","",Associates_Call_List_PQ!T377)</f>
        <v/>
      </c>
      <c r="U377" s="57" t="s">
        <v>5509</v>
      </c>
      <c r="V377" s="68" t="s">
        <v>117</v>
      </c>
      <c r="W377" s="68">
        <v>46046</v>
      </c>
      <c r="X377" s="68" t="s">
        <v>5434</v>
      </c>
      <c r="Y377" s="68"/>
      <c r="Z377" s="72"/>
    </row>
    <row r="378" spans="1:26">
      <c r="A378" s="71">
        <f>IFERROR(Associates_Call_List_PQ!A378,"")</f>
        <v>45903</v>
      </c>
      <c r="B378" s="57" t="str">
        <f>IF(Associates_Call_List_PQ!B378="","",Associates_Call_List_PQ!B378)</f>
        <v>Fox</v>
      </c>
      <c r="C378" s="57" t="str">
        <f>IF(Associates_Call_List_PQ!C378="","",Associates_Call_List_PQ!C378)</f>
        <v>Noah</v>
      </c>
      <c r="D378" s="57" t="str">
        <f>IF(Associates_Call_List_PQ!D378="","",Associates_Call_List_PQ!D378)</f>
        <v>Peoria</v>
      </c>
      <c r="E378" s="58">
        <f>IF(Associates_Call_List_PQ!E378="","",Associates_Call_List_PQ!E378)</f>
        <v>85382</v>
      </c>
      <c r="F378" s="57" t="str">
        <f>IF(Associates_Call_List_PQ!F378="","",Associates_Call_List_PQ!F378)</f>
        <v>Form letter</v>
      </c>
      <c r="G378" s="57" t="str">
        <f>IF(Associates_Call_List_PQ!G378="","",Associates_Call_List_PQ!G378)</f>
        <v>https://images.edocket.azcc.gov/docketpdf/E000046206.pdf</v>
      </c>
      <c r="H378" s="59" t="str">
        <f>IF(Associates_Call_List_PQ!H378="","",Associates_Call_List_PQ!H378)</f>
        <v>5729136090 </v>
      </c>
      <c r="I378" s="57" t="str">
        <f>IF(Associates_Call_List_PQ!I378="","",Associates_Call_List_PQ!I378)</f>
        <v>R-XS</v>
      </c>
      <c r="J378" s="57" t="str">
        <f>IF(Associates_Call_List_PQ!J378="","",Associates_Call_List_PQ!J378)</f>
        <v>No</v>
      </c>
      <c r="K378" s="57" t="str">
        <f>IF(Associates_Call_List_PQ!K378="","",Associates_Call_List_PQ!K378)</f>
        <v>No</v>
      </c>
      <c r="L378" s="57" t="str">
        <f>IF(Associates_Call_List_PQ!L378="","",Associates_Call_List_PQ!L378)</f>
        <v>Yes</v>
      </c>
      <c r="M378" s="57" t="str">
        <f>IF(Associates_Call_List_PQ!M378="","",Associates_Call_List_PQ!M378)</f>
        <v>No</v>
      </c>
      <c r="N378" s="57" t="str">
        <f>IF(Associates_Call_List_PQ!N378="","",Associates_Call_List_PQ!N378)</f>
        <v>No</v>
      </c>
      <c r="O378" s="57" t="str">
        <f>IF(Associates_Call_List_PQ!O378="","",Associates_Call_List_PQ!O378)</f>
        <v>Yes</v>
      </c>
      <c r="P378" s="57" t="str">
        <f>IF(Associates_Call_List_PQ!P378="","",Associates_Call_List_PQ!P378)</f>
        <v>N</v>
      </c>
      <c r="Q378" s="57">
        <f>IF(Associates_Call_List_PQ!Q378="","",Associates_Call_List_PQ!Q378)</f>
        <v>45966</v>
      </c>
      <c r="R378" s="57" t="str">
        <f>IF(Associates_Call_List_PQ!R378="","",Associates_Call_List_PQ!R378)</f>
        <v/>
      </c>
      <c r="S378" s="57" t="str">
        <f>IF(Associates_Call_List_PQ!S378="","",Associates_Call_List_PQ!S378)</f>
        <v/>
      </c>
      <c r="T378" s="57" t="str">
        <f>IF(Associates_Call_List_PQ!T378="","",Associates_Call_List_PQ!T378)</f>
        <v/>
      </c>
      <c r="U378" s="57" t="str">
        <f>IF(Associates_Call_List_PQ!U378="","",Associates_Call_List_PQ!U378)</f>
        <v/>
      </c>
      <c r="V378" s="68"/>
      <c r="W378" s="68" t="s">
        <v>5432</v>
      </c>
      <c r="X378" s="68"/>
      <c r="Y378" s="68"/>
      <c r="Z378" s="72"/>
    </row>
    <row r="379" spans="1:26">
      <c r="A379" s="71">
        <f>IFERROR(Associates_Call_List_PQ!A379,"")</f>
        <v>45903</v>
      </c>
      <c r="B379" s="57" t="str">
        <f>IF(Associates_Call_List_PQ!B379="","",Associates_Call_List_PQ!B379)</f>
        <v>Ahern</v>
      </c>
      <c r="C379" s="57" t="str">
        <f>IF(Associates_Call_List_PQ!C379="","",Associates_Call_List_PQ!C379)</f>
        <v>Devin</v>
      </c>
      <c r="D379" s="57" t="str">
        <f>IF(Associates_Call_List_PQ!D379="","",Associates_Call_List_PQ!D379)</f>
        <v>Peoria</v>
      </c>
      <c r="E379" s="58">
        <f>IF(Associates_Call_List_PQ!E379="","",Associates_Call_List_PQ!E379)</f>
        <v>85345</v>
      </c>
      <c r="F379" s="57" t="str">
        <f>IF(Associates_Call_List_PQ!F379="","",Associates_Call_List_PQ!F379)</f>
        <v>Opposed</v>
      </c>
      <c r="G379" s="57" t="str">
        <f>IF(Associates_Call_List_PQ!G379="","",Associates_Call_List_PQ!G379)</f>
        <v>https://images.edocket.azcc.gov/docketpdf/E000046206.pdf</v>
      </c>
      <c r="H379" s="59" t="str">
        <f>IF(Associates_Call_List_PQ!H379="","",Associates_Call_List_PQ!H379)</f>
        <v>4235588313 </v>
      </c>
      <c r="I379" s="57" t="str">
        <f>IF(Associates_Call_List_PQ!I379="","",Associates_Call_List_PQ!I379)</f>
        <v>R3-47</v>
      </c>
      <c r="J379" s="57" t="str">
        <f>IF(Associates_Call_List_PQ!J379="","",Associates_Call_List_PQ!J379)</f>
        <v>No</v>
      </c>
      <c r="K379" s="57" t="str">
        <f>IF(Associates_Call_List_PQ!K379="","",Associates_Call_List_PQ!K379)</f>
        <v>No</v>
      </c>
      <c r="L379" s="57" t="str">
        <f>IF(Associates_Call_List_PQ!L379="","",Associates_Call_List_PQ!L379)</f>
        <v>Yes</v>
      </c>
      <c r="M379" s="57" t="str">
        <f>IF(Associates_Call_List_PQ!M379="","",Associates_Call_List_PQ!M379)</f>
        <v>No</v>
      </c>
      <c r="N379" s="57" t="str">
        <f>IF(Associates_Call_List_PQ!N379="","",Associates_Call_List_PQ!N379)</f>
        <v>No</v>
      </c>
      <c r="O379" s="57" t="str">
        <f>IF(Associates_Call_List_PQ!O379="","",Associates_Call_List_PQ!O379)</f>
        <v>Yes</v>
      </c>
      <c r="P379" s="57" t="str">
        <f>IF(Associates_Call_List_PQ!P379="","",Associates_Call_List_PQ!P379)</f>
        <v>N</v>
      </c>
      <c r="Q379" s="57">
        <f>IF(Associates_Call_List_PQ!Q379="","",Associates_Call_List_PQ!Q379)</f>
        <v>45966</v>
      </c>
      <c r="R379" s="57" t="str">
        <f>IF(Associates_Call_List_PQ!R379="","",Associates_Call_List_PQ!R379)</f>
        <v/>
      </c>
      <c r="S379" s="57" t="str">
        <f>IF(Associates_Call_List_PQ!S379="","",Associates_Call_List_PQ!S379)</f>
        <v/>
      </c>
      <c r="T379" s="57" t="str">
        <f>IF(Associates_Call_List_PQ!T379="","",Associates_Call_List_PQ!T379)</f>
        <v/>
      </c>
      <c r="U379" s="57" t="str">
        <f>IF(Associates_Call_List_PQ!U379="","",Associates_Call_List_PQ!U379)</f>
        <v/>
      </c>
      <c r="V379" s="68"/>
      <c r="W379" s="68" t="s">
        <v>5432</v>
      </c>
      <c r="X379" s="68"/>
      <c r="Y379" s="68"/>
      <c r="Z379" s="72"/>
    </row>
    <row r="380" spans="1:26">
      <c r="A380" s="71">
        <f>IFERROR(Associates_Call_List_PQ!A380,"")</f>
        <v>45903</v>
      </c>
      <c r="B380" s="57" t="str">
        <f>IF(Associates_Call_List_PQ!B380="","",Associates_Call_List_PQ!B380)</f>
        <v>Parsons</v>
      </c>
      <c r="C380" s="57" t="str">
        <f>IF(Associates_Call_List_PQ!C380="","",Associates_Call_List_PQ!C380)</f>
        <v>John</v>
      </c>
      <c r="D380" s="57" t="str">
        <f>IF(Associates_Call_List_PQ!D380="","",Associates_Call_List_PQ!D380)</f>
        <v>Prescott Valley</v>
      </c>
      <c r="E380" s="58">
        <f>IF(Associates_Call_List_PQ!E380="","",Associates_Call_List_PQ!E380)</f>
        <v>86315</v>
      </c>
      <c r="F380" s="57" t="str">
        <f>IF(Associates_Call_List_PQ!F380="","",Associates_Call_List_PQ!F380)</f>
        <v>Opposed</v>
      </c>
      <c r="G380" s="57" t="str">
        <f>IF(Associates_Call_List_PQ!G380="","",Associates_Call_List_PQ!G380)</f>
        <v>https://images.edocket.azcc.gov/docketpdf/E000046206.pdf</v>
      </c>
      <c r="H380" s="59" t="str">
        <f>IF(Associates_Call_List_PQ!H380="","",Associates_Call_List_PQ!H380)</f>
        <v>2531312124 </v>
      </c>
      <c r="I380" s="57" t="str">
        <f>IF(Associates_Call_List_PQ!I380="","",Associates_Call_List_PQ!I380)</f>
        <v>RCPw/RTOUE47</v>
      </c>
      <c r="J380" s="57" t="str">
        <f>IF(Associates_Call_List_PQ!J380="","",Associates_Call_List_PQ!J380)</f>
        <v>No</v>
      </c>
      <c r="K380" s="57" t="str">
        <f>IF(Associates_Call_List_PQ!K380="","",Associates_Call_List_PQ!K380)</f>
        <v>No</v>
      </c>
      <c r="L380" s="57" t="str">
        <f>IF(Associates_Call_List_PQ!L380="","",Associates_Call_List_PQ!L380)</f>
        <v>Yes</v>
      </c>
      <c r="M380" s="57" t="str">
        <f>IF(Associates_Call_List_PQ!M380="","",Associates_Call_List_PQ!M380)</f>
        <v>Yes</v>
      </c>
      <c r="N380" s="57">
        <f>IF(Associates_Call_List_PQ!N380="","",Associates_Call_List_PQ!N380)</f>
        <v>105.18</v>
      </c>
      <c r="O380" s="57" t="str">
        <f>IF(Associates_Call_List_PQ!O380="","",Associates_Call_List_PQ!O380)</f>
        <v>Yes</v>
      </c>
      <c r="P380" s="57" t="str">
        <f>IF(Associates_Call_List_PQ!P380="","",Associates_Call_List_PQ!P380)</f>
        <v>N</v>
      </c>
      <c r="Q380" s="57">
        <f>IF(Associates_Call_List_PQ!Q380="","",Associates_Call_List_PQ!Q380)</f>
        <v>45966</v>
      </c>
      <c r="R380" s="57" t="str">
        <f>IF(Associates_Call_List_PQ!R380="","",Associates_Call_List_PQ!R380)</f>
        <v/>
      </c>
      <c r="S380" s="57" t="str">
        <f>IF(Associates_Call_List_PQ!S380="","",Associates_Call_List_PQ!S380)</f>
        <v/>
      </c>
      <c r="T380" s="57" t="str">
        <f>IF(Associates_Call_List_PQ!T380="","",Associates_Call_List_PQ!T380)</f>
        <v/>
      </c>
      <c r="U380" s="57" t="str">
        <f>IF(Associates_Call_List_PQ!U380="","",Associates_Call_List_PQ!U380)</f>
        <v/>
      </c>
      <c r="V380" s="68" t="s">
        <v>117</v>
      </c>
      <c r="W380" s="68">
        <v>45997</v>
      </c>
      <c r="X380" s="68" t="s">
        <v>5434</v>
      </c>
      <c r="Y380" s="68"/>
      <c r="Z380" s="72" t="s">
        <v>5438</v>
      </c>
    </row>
    <row r="381" spans="1:26">
      <c r="A381" s="71">
        <f>IFERROR(Associates_Call_List_PQ!A381,"")</f>
        <v>45904</v>
      </c>
      <c r="B381" s="57" t="str">
        <f>IF(Associates_Call_List_PQ!B381="","",Associates_Call_List_PQ!B381)</f>
        <v>Gervasio</v>
      </c>
      <c r="C381" s="57" t="str">
        <f>IF(Associates_Call_List_PQ!C381="","",Associates_Call_List_PQ!C381)</f>
        <v>Pedro</v>
      </c>
      <c r="D381" s="57" t="str">
        <f>IF(Associates_Call_List_PQ!D381="","",Associates_Call_List_PQ!D381)</f>
        <v>Scottsdale</v>
      </c>
      <c r="E381" s="58">
        <f>IF(Associates_Call_List_PQ!E381="","",Associates_Call_List_PQ!E381)</f>
        <v>85251</v>
      </c>
      <c r="F381" s="57" t="str">
        <f>IF(Associates_Call_List_PQ!F381="","",Associates_Call_List_PQ!F381)</f>
        <v>Opposed/fixed income</v>
      </c>
      <c r="G381" s="57" t="str">
        <f>IF(Associates_Call_List_PQ!G381="","",Associates_Call_List_PQ!G381)</f>
        <v>https://images.edocket.azcc.gov/docketpdf/E000046206.pdf</v>
      </c>
      <c r="H381" s="59" t="str">
        <f>IF(Associates_Call_List_PQ!H381="","",Associates_Call_List_PQ!H381)</f>
        <v>1657964605 </v>
      </c>
      <c r="I381" s="57" t="str">
        <f>IF(Associates_Call_List_PQ!I381="","",Associates_Call_List_PQ!I381)</f>
        <v>R-XS</v>
      </c>
      <c r="J381" s="57" t="str">
        <f>IF(Associates_Call_List_PQ!J381="","",Associates_Call_List_PQ!J381)</f>
        <v>No</v>
      </c>
      <c r="K381" s="57" t="str">
        <f>IF(Associates_Call_List_PQ!K381="","",Associates_Call_List_PQ!K381)</f>
        <v>No</v>
      </c>
      <c r="L381" s="57" t="str">
        <f>IF(Associates_Call_List_PQ!L381="","",Associates_Call_List_PQ!L381)</f>
        <v>Yes</v>
      </c>
      <c r="M381" s="57" t="str">
        <f>IF(Associates_Call_List_PQ!M381="","",Associates_Call_List_PQ!M381)</f>
        <v>No</v>
      </c>
      <c r="N381" s="57" t="str">
        <f>IF(Associates_Call_List_PQ!N381="","",Associates_Call_List_PQ!N381)</f>
        <v>No</v>
      </c>
      <c r="O381" s="57" t="str">
        <f>IF(Associates_Call_List_PQ!O381="","",Associates_Call_List_PQ!O381)</f>
        <v>Yes</v>
      </c>
      <c r="P381" s="57" t="str">
        <f>IF(Associates_Call_List_PQ!P381="","",Associates_Call_List_PQ!P381)</f>
        <v>N</v>
      </c>
      <c r="Q381" s="57">
        <f>IF(Associates_Call_List_PQ!Q381="","",Associates_Call_List_PQ!Q381)</f>
        <v>45966</v>
      </c>
      <c r="R381" s="57" t="str">
        <f>IF(Associates_Call_List_PQ!R381="","",Associates_Call_List_PQ!R381)</f>
        <v/>
      </c>
      <c r="S381" s="57" t="str">
        <f>IF(Associates_Call_List_PQ!S381="","",Associates_Call_List_PQ!S381)</f>
        <v/>
      </c>
      <c r="T381" s="57" t="str">
        <f>IF(Associates_Call_List_PQ!T381="","",Associates_Call_List_PQ!T381)</f>
        <v/>
      </c>
      <c r="U381" s="57" t="str">
        <f>IF(Associates_Call_List_PQ!U381="","",Associates_Call_List_PQ!U381)</f>
        <v/>
      </c>
      <c r="V381" s="68"/>
      <c r="W381" s="68" t="s">
        <v>5432</v>
      </c>
      <c r="X381" s="68"/>
      <c r="Y381" s="68"/>
      <c r="Z381" s="72"/>
    </row>
    <row r="382" spans="1:26">
      <c r="A382" s="71">
        <f>IFERROR(Associates_Call_List_PQ!A382,"")</f>
        <v>45904</v>
      </c>
      <c r="B382" s="57" t="str">
        <f>IF(Associates_Call_List_PQ!B382="","",Associates_Call_List_PQ!B382)</f>
        <v>Aboud</v>
      </c>
      <c r="C382" s="57" t="str">
        <f>IF(Associates_Call_List_PQ!C382="","",Associates_Call_List_PQ!C382)</f>
        <v>Suzanne</v>
      </c>
      <c r="D382" s="57" t="str">
        <f>IF(Associates_Call_List_PQ!D382="","",Associates_Call_List_PQ!D382)</f>
        <v>Surprise</v>
      </c>
      <c r="E382" s="58">
        <f>IF(Associates_Call_List_PQ!E382="","",Associates_Call_List_PQ!E382)</f>
        <v>85387</v>
      </c>
      <c r="F382" s="57" t="str">
        <f>IF(Associates_Call_List_PQ!F382="","",Associates_Call_List_PQ!F382)</f>
        <v>Opposed</v>
      </c>
      <c r="G382" s="57" t="str">
        <f>IF(Associates_Call_List_PQ!G382="","",Associates_Call_List_PQ!G382)</f>
        <v>https://images.edocket.azcc.gov/docketpdf/E000046206.pdf</v>
      </c>
      <c r="H382" s="59" t="str">
        <f>IF(Associates_Call_List_PQ!H382="","",Associates_Call_List_PQ!H382)</f>
        <v>7283731000 </v>
      </c>
      <c r="I382" s="57" t="str">
        <f>IF(Associates_Call_List_PQ!I382="","",Associates_Call_List_PQ!I382)</f>
        <v>R-2</v>
      </c>
      <c r="J382" s="57" t="str">
        <f>IF(Associates_Call_List_PQ!J382="","",Associates_Call_List_PQ!J382)</f>
        <v>No</v>
      </c>
      <c r="K382" s="57" t="str">
        <f>IF(Associates_Call_List_PQ!K382="","",Associates_Call_List_PQ!K382)</f>
        <v>No</v>
      </c>
      <c r="L382" s="57" t="str">
        <f>IF(Associates_Call_List_PQ!L382="","",Associates_Call_List_PQ!L382)</f>
        <v>Frozen Rate</v>
      </c>
      <c r="M382" s="57" t="str">
        <f>IF(Associates_Call_List_PQ!M382="","",Associates_Call_List_PQ!M382)</f>
        <v>No</v>
      </c>
      <c r="N382" s="57" t="str">
        <f>IF(Associates_Call_List_PQ!N382="","",Associates_Call_List_PQ!N382)</f>
        <v>No</v>
      </c>
      <c r="O382" s="57" t="str">
        <f>IF(Associates_Call_List_PQ!O382="","",Associates_Call_List_PQ!O382)</f>
        <v>Yes</v>
      </c>
      <c r="P382" s="57" t="str">
        <f>IF(Associates_Call_List_PQ!P382="","",Associates_Call_List_PQ!P382)</f>
        <v>N</v>
      </c>
      <c r="Q382" s="57">
        <f>IF(Associates_Call_List_PQ!Q382="","",Associates_Call_List_PQ!Q382)</f>
        <v>45966</v>
      </c>
      <c r="R382" s="57" t="str">
        <f>IF(Associates_Call_List_PQ!R382="","",Associates_Call_List_PQ!R382)</f>
        <v/>
      </c>
      <c r="S382" s="57" t="str">
        <f>IF(Associates_Call_List_PQ!S382="","",Associates_Call_List_PQ!S382)</f>
        <v/>
      </c>
      <c r="T382" s="57" t="str">
        <f>IF(Associates_Call_List_PQ!T382="","",Associates_Call_List_PQ!T382)</f>
        <v/>
      </c>
      <c r="U382" s="57" t="str">
        <f>IF(Associates_Call_List_PQ!U382="","",Associates_Call_List_PQ!U382)</f>
        <v/>
      </c>
      <c r="V382" s="68"/>
      <c r="W382" s="68" t="s">
        <v>5432</v>
      </c>
      <c r="X382" s="68"/>
      <c r="Y382" s="68"/>
      <c r="Z382" s="72"/>
    </row>
    <row r="383" spans="1:26">
      <c r="A383" s="71">
        <f>IFERROR(Associates_Call_List_PQ!A383,"")</f>
        <v>45904</v>
      </c>
      <c r="B383" s="57" t="str">
        <f>IF(Associates_Call_List_PQ!B383="","",Associates_Call_List_PQ!B383)</f>
        <v>Pederson</v>
      </c>
      <c r="C383" s="57" t="str">
        <f>IF(Associates_Call_List_PQ!C383="","",Associates_Call_List_PQ!C383)</f>
        <v>Halie</v>
      </c>
      <c r="D383" s="57" t="str">
        <f>IF(Associates_Call_List_PQ!D383="","",Associates_Call_List_PQ!D383)</f>
        <v>Prescott Valley</v>
      </c>
      <c r="E383" s="58">
        <f>IF(Associates_Call_List_PQ!E383="","",Associates_Call_List_PQ!E383)</f>
        <v>86314</v>
      </c>
      <c r="F383" s="57" t="str">
        <f>IF(Associates_Call_List_PQ!F383="","",Associates_Call_List_PQ!F383)</f>
        <v>Form letter</v>
      </c>
      <c r="G383" s="57" t="str">
        <f>IF(Associates_Call_List_PQ!G383="","",Associates_Call_List_PQ!G383)</f>
        <v>https://images.edocket.azcc.gov/docketpdf/E000046206.pdf</v>
      </c>
      <c r="H383" s="59" t="str">
        <f>IF(Associates_Call_List_PQ!H383="","",Associates_Call_List_PQ!H383)</f>
        <v xml:space="preserve">1772154718 </v>
      </c>
      <c r="I383" s="57" t="str">
        <f>IF(Associates_Call_List_PQ!I383="","",Associates_Call_List_PQ!I383)</f>
        <v>R-XS</v>
      </c>
      <c r="J383" s="57" t="str">
        <f>IF(Associates_Call_List_PQ!J383="","",Associates_Call_List_PQ!J383)</f>
        <v>No</v>
      </c>
      <c r="K383" s="57" t="str">
        <f>IF(Associates_Call_List_PQ!K383="","",Associates_Call_List_PQ!K383)</f>
        <v>No</v>
      </c>
      <c r="L383" s="57" t="str">
        <f>IF(Associates_Call_List_PQ!L383="","",Associates_Call_List_PQ!L383)</f>
        <v>Yes</v>
      </c>
      <c r="M383" s="57" t="str">
        <f>IF(Associates_Call_List_PQ!M383="","",Associates_Call_List_PQ!M383)</f>
        <v>No</v>
      </c>
      <c r="N383" s="57" t="str">
        <f>IF(Associates_Call_List_PQ!N383="","",Associates_Call_List_PQ!N383)</f>
        <v>No</v>
      </c>
      <c r="O383" s="57" t="str">
        <f>IF(Associates_Call_List_PQ!O383="","",Associates_Call_List_PQ!O383)</f>
        <v>Yes</v>
      </c>
      <c r="P383" s="57" t="str">
        <f>IF(Associates_Call_List_PQ!P383="","",Associates_Call_List_PQ!P383)</f>
        <v>N</v>
      </c>
      <c r="Q383" s="57">
        <f>IF(Associates_Call_List_PQ!Q383="","",Associates_Call_List_PQ!Q383)</f>
        <v>45966</v>
      </c>
      <c r="R383" s="57" t="str">
        <f>IF(Associates_Call_List_PQ!R383="","",Associates_Call_List_PQ!R383)</f>
        <v/>
      </c>
      <c r="S383" s="57" t="str">
        <f>IF(Associates_Call_List_PQ!S383="","",Associates_Call_List_PQ!S383)</f>
        <v/>
      </c>
      <c r="T383" s="57" t="str">
        <f>IF(Associates_Call_List_PQ!T383="","",Associates_Call_List_PQ!T383)</f>
        <v/>
      </c>
      <c r="U383" s="57" t="str">
        <f>IF(Associates_Call_List_PQ!U383="","",Associates_Call_List_PQ!U383)</f>
        <v/>
      </c>
      <c r="V383" s="68"/>
      <c r="W383" s="68" t="s">
        <v>5432</v>
      </c>
      <c r="X383" s="68"/>
      <c r="Y383" s="68"/>
      <c r="Z383" s="72"/>
    </row>
    <row r="384" spans="1:26">
      <c r="A384" s="71">
        <f>IFERROR(Associates_Call_List_PQ!A384,"")</f>
        <v>45904</v>
      </c>
      <c r="B384" s="57" t="str">
        <f>IF(Associates_Call_List_PQ!B384="","",Associates_Call_List_PQ!B384)</f>
        <v>Stinson</v>
      </c>
      <c r="C384" s="57" t="str">
        <f>IF(Associates_Call_List_PQ!C384="","",Associates_Call_List_PQ!C384)</f>
        <v>Laurel</v>
      </c>
      <c r="D384" s="57" t="str">
        <f>IF(Associates_Call_List_PQ!D384="","",Associates_Call_List_PQ!D384)</f>
        <v>Litchfield Park</v>
      </c>
      <c r="E384" s="58">
        <f>IF(Associates_Call_List_PQ!E384="","",Associates_Call_List_PQ!E384)</f>
        <v>85340</v>
      </c>
      <c r="F384" s="57" t="str">
        <f>IF(Associates_Call_List_PQ!F384="","",Associates_Call_List_PQ!F384)</f>
        <v>Opposed</v>
      </c>
      <c r="G384" s="57" t="str">
        <f>IF(Associates_Call_List_PQ!G384="","",Associates_Call_List_PQ!G384)</f>
        <v>https://images.edocket.azcc.gov/docketpdf/E000046206.pdf</v>
      </c>
      <c r="H384" s="59" t="str">
        <f>IF(Associates_Call_List_PQ!H384="","",Associates_Call_List_PQ!H384)</f>
        <v>5106490000 </v>
      </c>
      <c r="I384" s="57" t="str">
        <f>IF(Associates_Call_List_PQ!I384="","",Associates_Call_List_PQ!I384)</f>
        <v>R-2</v>
      </c>
      <c r="J384" s="57" t="str">
        <f>IF(Associates_Call_List_PQ!J384="","",Associates_Call_List_PQ!J384)</f>
        <v>Yes</v>
      </c>
      <c r="K384" s="57" t="str">
        <f>IF(Associates_Call_List_PQ!K384="","",Associates_Call_List_PQ!K384)</f>
        <v>No</v>
      </c>
      <c r="L384" s="57" t="str">
        <f>IF(Associates_Call_List_PQ!L384="","",Associates_Call_List_PQ!L384)</f>
        <v>Frozen Rate</v>
      </c>
      <c r="M384" s="57" t="str">
        <f>IF(Associates_Call_List_PQ!M384="","",Associates_Call_List_PQ!M384)</f>
        <v>Yes</v>
      </c>
      <c r="N384" s="57">
        <f>IF(Associates_Call_List_PQ!N384="","",Associates_Call_List_PQ!N384)</f>
        <v>1106.1300000000001</v>
      </c>
      <c r="O384" s="57" t="str">
        <f>IF(Associates_Call_List_PQ!O384="","",Associates_Call_List_PQ!O384)</f>
        <v>Yes</v>
      </c>
      <c r="P384" s="57" t="str">
        <f>IF(Associates_Call_List_PQ!P384="","",Associates_Call_List_PQ!P384)</f>
        <v/>
      </c>
      <c r="Q384" s="57">
        <f>IF(Associates_Call_List_PQ!Q384="","",Associates_Call_List_PQ!Q384)</f>
        <v>45966</v>
      </c>
      <c r="R384" s="57" t="str">
        <f>IF(Associates_Call_List_PQ!R384="","",Associates_Call_List_PQ!R384)</f>
        <v>Assistance</v>
      </c>
      <c r="S384" s="57" t="str">
        <f>IF(Associates_Call_List_PQ!S384="","",Associates_Call_List_PQ!S384)</f>
        <v/>
      </c>
      <c r="T384" s="57" t="str">
        <f>IF(Associates_Call_List_PQ!T384="","",Associates_Call_List_PQ!T384)</f>
        <v/>
      </c>
      <c r="U384" s="57" t="s">
        <v>5595</v>
      </c>
      <c r="V384" s="68" t="s">
        <v>117</v>
      </c>
      <c r="W384" s="68">
        <v>46053</v>
      </c>
      <c r="X384" s="68" t="s">
        <v>5434</v>
      </c>
      <c r="Y384" s="68"/>
      <c r="Z384" s="72"/>
    </row>
    <row r="385" spans="1:26">
      <c r="A385" s="71">
        <f>IFERROR(Associates_Call_List_PQ!A385,"")</f>
        <v>45904</v>
      </c>
      <c r="B385" s="57" t="str">
        <f>IF(Associates_Call_List_PQ!B385="","",Associates_Call_List_PQ!B385)</f>
        <v>Rebert</v>
      </c>
      <c r="C385" s="57" t="str">
        <f>IF(Associates_Call_List_PQ!C385="","",Associates_Call_List_PQ!C385)</f>
        <v>Jonathan</v>
      </c>
      <c r="D385" s="57" t="str">
        <f>IF(Associates_Call_List_PQ!D385="","",Associates_Call_List_PQ!D385)</f>
        <v>Chandler</v>
      </c>
      <c r="E385" s="58">
        <f>IF(Associates_Call_List_PQ!E385="","",Associates_Call_List_PQ!E385)</f>
        <v>85225</v>
      </c>
      <c r="F385" s="57" t="str">
        <f>IF(Associates_Call_List_PQ!F385="","",Associates_Call_List_PQ!F385)</f>
        <v>Form letter</v>
      </c>
      <c r="G385" s="57" t="str">
        <f>IF(Associates_Call_List_PQ!G385="","",Associates_Call_List_PQ!G385)</f>
        <v>https://images.edocket.azcc.gov/docketpdf/E000046206.pdf</v>
      </c>
      <c r="H385" s="59" t="str">
        <f>IF(Associates_Call_List_PQ!H385="","",Associates_Call_List_PQ!H385)</f>
        <v xml:space="preserve">9474035507 </v>
      </c>
      <c r="I385" s="57" t="str">
        <f>IF(Associates_Call_List_PQ!I385="","",Associates_Call_List_PQ!I385)</f>
        <v>R3-47</v>
      </c>
      <c r="J385" s="57" t="str">
        <f>IF(Associates_Call_List_PQ!J385="","",Associates_Call_List_PQ!J385)</f>
        <v>No</v>
      </c>
      <c r="K385" s="57" t="str">
        <f>IF(Associates_Call_List_PQ!K385="","",Associates_Call_List_PQ!K385)</f>
        <v>No</v>
      </c>
      <c r="L385" s="57" t="str">
        <f>IF(Associates_Call_List_PQ!L385="","",Associates_Call_List_PQ!L385)</f>
        <v>No MEP R-XS( $250.58)</v>
      </c>
      <c r="M385" s="57" t="str">
        <f>IF(Associates_Call_List_PQ!M385="","",Associates_Call_List_PQ!M385)</f>
        <v>No</v>
      </c>
      <c r="N385" s="57" t="str">
        <f>IF(Associates_Call_List_PQ!N385="","",Associates_Call_List_PQ!N385)</f>
        <v>No</v>
      </c>
      <c r="O385" s="57" t="str">
        <f>IF(Associates_Call_List_PQ!O385="","",Associates_Call_List_PQ!O385)</f>
        <v>Yes</v>
      </c>
      <c r="P385" s="57">
        <f>IF(Associates_Call_List_PQ!P385="","",Associates_Call_List_PQ!P385)</f>
        <v>45936</v>
      </c>
      <c r="Q385" s="57">
        <f>IF(Associates_Call_List_PQ!Q385="","",Associates_Call_List_PQ!Q385)</f>
        <v>45966</v>
      </c>
      <c r="R385" s="57" t="str">
        <f>IF(Associates_Call_List_PQ!R385="","",Associates_Call_List_PQ!R385)</f>
        <v>10/6 Left VM</v>
      </c>
      <c r="S385" s="57" t="str">
        <f>IF(Associates_Call_List_PQ!S385="","",Associates_Call_List_PQ!S385)</f>
        <v/>
      </c>
      <c r="T385" s="57" t="str">
        <f>IF(Associates_Call_List_PQ!T385="","",Associates_Call_List_PQ!T385)</f>
        <v/>
      </c>
      <c r="U385" s="57" t="str">
        <f>IF(Associates_Call_List_PQ!U385="","",Associates_Call_List_PQ!U385)</f>
        <v/>
      </c>
      <c r="V385" s="68" t="s">
        <v>117</v>
      </c>
      <c r="W385" s="68">
        <v>45997</v>
      </c>
      <c r="X385" s="68" t="s">
        <v>5434</v>
      </c>
      <c r="Y385" s="68"/>
      <c r="Z385" s="72" t="s">
        <v>5469</v>
      </c>
    </row>
    <row r="386" spans="1:26">
      <c r="A386" s="71">
        <f>IFERROR(Associates_Call_List_PQ!A386,"")</f>
        <v>45904</v>
      </c>
      <c r="B386" s="57" t="str">
        <f>IF(Associates_Call_List_PQ!B386="","",Associates_Call_List_PQ!B386)</f>
        <v>Gram</v>
      </c>
      <c r="C386" s="57" t="str">
        <f>IF(Associates_Call_List_PQ!C386="","",Associates_Call_List_PQ!C386)</f>
        <v>Ken</v>
      </c>
      <c r="D386" s="57" t="str">
        <f>IF(Associates_Call_List_PQ!D386="","",Associates_Call_List_PQ!D386)</f>
        <v>Scottsdale</v>
      </c>
      <c r="E386" s="58">
        <f>IF(Associates_Call_List_PQ!E386="","",Associates_Call_List_PQ!E386)</f>
        <v>85260</v>
      </c>
      <c r="F386" s="57" t="str">
        <f>IF(Associates_Call_List_PQ!F386="","",Associates_Call_List_PQ!F386)</f>
        <v>Opposed</v>
      </c>
      <c r="G386" s="57" t="str">
        <f>IF(Associates_Call_List_PQ!G386="","",Associates_Call_List_PQ!G386)</f>
        <v>https://images.edocket.azcc.gov/docketpdf/E000046206.pdf</v>
      </c>
      <c r="H386" s="59" t="str">
        <f>IF(Associates_Call_List_PQ!H386="","",Associates_Call_List_PQ!H386)</f>
        <v xml:space="preserve">7135590000 </v>
      </c>
      <c r="I386" s="57" t="str">
        <f>IF(Associates_Call_List_PQ!I386="","",Associates_Call_List_PQ!I386)</f>
        <v>Multiple SAs</v>
      </c>
      <c r="J386" s="57" t="str">
        <f>IF(Associates_Call_List_PQ!J386="","",Associates_Call_List_PQ!J386)</f>
        <v>No</v>
      </c>
      <c r="K386" s="57" t="str">
        <f>IF(Associates_Call_List_PQ!K386="","",Associates_Call_List_PQ!K386)</f>
        <v>No</v>
      </c>
      <c r="L386" s="57" t="str">
        <f>IF(Associates_Call_List_PQ!L386="","",Associates_Call_List_PQ!L386)</f>
        <v>Yes</v>
      </c>
      <c r="M386" s="57" t="str">
        <f>IF(Associates_Call_List_PQ!M386="","",Associates_Call_List_PQ!M386)</f>
        <v>No</v>
      </c>
      <c r="N386" s="57" t="str">
        <f>IF(Associates_Call_List_PQ!N386="","",Associates_Call_List_PQ!N386)</f>
        <v>No</v>
      </c>
      <c r="O386" s="57" t="str">
        <f>IF(Associates_Call_List_PQ!O386="","",Associates_Call_List_PQ!O386)</f>
        <v>Yes</v>
      </c>
      <c r="P386" s="57" t="str">
        <f>IF(Associates_Call_List_PQ!P386="","",Associates_Call_List_PQ!P386)</f>
        <v>N</v>
      </c>
      <c r="Q386" s="57">
        <f>IF(Associates_Call_List_PQ!Q386="","",Associates_Call_List_PQ!Q386)</f>
        <v>45966</v>
      </c>
      <c r="R386" s="57" t="str">
        <f>IF(Associates_Call_List_PQ!R386="","",Associates_Call_List_PQ!R386)</f>
        <v/>
      </c>
      <c r="S386" s="57" t="str">
        <f>IF(Associates_Call_List_PQ!S386="","",Associates_Call_List_PQ!S386)</f>
        <v/>
      </c>
      <c r="T386" s="57" t="str">
        <f>IF(Associates_Call_List_PQ!T386="","",Associates_Call_List_PQ!T386)</f>
        <v/>
      </c>
      <c r="U386" s="57" t="str">
        <f>IF(Associates_Call_List_PQ!U386="","",Associates_Call_List_PQ!U386)</f>
        <v/>
      </c>
      <c r="V386" s="68"/>
      <c r="W386" s="68" t="s">
        <v>5432</v>
      </c>
      <c r="X386" s="68"/>
      <c r="Y386" s="68"/>
      <c r="Z386" s="72"/>
    </row>
    <row r="387" spans="1:26">
      <c r="A387" s="71">
        <f>IFERROR(Associates_Call_List_PQ!A387,"")</f>
        <v>45904</v>
      </c>
      <c r="B387" s="57" t="str">
        <f>IF(Associates_Call_List_PQ!B387="","",Associates_Call_List_PQ!B387)</f>
        <v>Marshall</v>
      </c>
      <c r="C387" s="57" t="str">
        <f>IF(Associates_Call_List_PQ!C387="","",Associates_Call_List_PQ!C387)</f>
        <v>Allen</v>
      </c>
      <c r="D387" s="57" t="str">
        <f>IF(Associates_Call_List_PQ!D387="","",Associates_Call_List_PQ!D387)</f>
        <v>Goodyear</v>
      </c>
      <c r="E387" s="58">
        <f>IF(Associates_Call_List_PQ!E387="","",Associates_Call_List_PQ!E387)</f>
        <v>85338</v>
      </c>
      <c r="F387" s="57" t="str">
        <f>IF(Associates_Call_List_PQ!F387="","",Associates_Call_List_PQ!F387)</f>
        <v>Opposed</v>
      </c>
      <c r="G387" s="57" t="str">
        <f>IF(Associates_Call_List_PQ!G387="","",Associates_Call_List_PQ!G387)</f>
        <v>https://images.edocket.azcc.gov/docketpdf/E000046206.pdf</v>
      </c>
      <c r="H387" s="59" t="str">
        <f>IF(Associates_Call_List_PQ!H387="","",Associates_Call_List_PQ!H387)</f>
        <v xml:space="preserve">4997806847 </v>
      </c>
      <c r="I387" s="57" t="str">
        <f>IF(Associates_Call_List_PQ!I387="","",Associates_Call_List_PQ!I387)</f>
        <v>R-BASICL</v>
      </c>
      <c r="J387" s="57" t="str">
        <f>IF(Associates_Call_List_PQ!J387="","",Associates_Call_List_PQ!J387)</f>
        <v>No</v>
      </c>
      <c r="K387" s="57" t="str">
        <f>IF(Associates_Call_List_PQ!K387="","",Associates_Call_List_PQ!K387)</f>
        <v>No</v>
      </c>
      <c r="L387" s="57" t="str">
        <f>IF(Associates_Call_List_PQ!L387="","",Associates_Call_List_PQ!L387)</f>
        <v>No MEP R3-47($36.70)</v>
      </c>
      <c r="M387" s="57" t="str">
        <f>IF(Associates_Call_List_PQ!M387="","",Associates_Call_List_PQ!M387)</f>
        <v>No</v>
      </c>
      <c r="N387" s="57" t="str">
        <f>IF(Associates_Call_List_PQ!N387="","",Associates_Call_List_PQ!N387)</f>
        <v>No</v>
      </c>
      <c r="O387" s="57" t="str">
        <f>IF(Associates_Call_List_PQ!O387="","",Associates_Call_List_PQ!O387)</f>
        <v>Yes</v>
      </c>
      <c r="P387" s="57" t="str">
        <f>IF(Associates_Call_List_PQ!P387="","",Associates_Call_List_PQ!P387)</f>
        <v>N</v>
      </c>
      <c r="Q387" s="57">
        <f>IF(Associates_Call_List_PQ!Q387="","",Associates_Call_List_PQ!Q387)</f>
        <v>45966</v>
      </c>
      <c r="R387" s="57" t="str">
        <f>IF(Associates_Call_List_PQ!R387="","",Associates_Call_List_PQ!R387)</f>
        <v/>
      </c>
      <c r="S387" s="57" t="str">
        <f>IF(Associates_Call_List_PQ!S387="","",Associates_Call_List_PQ!S387)</f>
        <v/>
      </c>
      <c r="T387" s="57" t="str">
        <f>IF(Associates_Call_List_PQ!T387="","",Associates_Call_List_PQ!T387)</f>
        <v/>
      </c>
      <c r="U387" s="57" t="s">
        <v>5596</v>
      </c>
      <c r="V387" s="68" t="s">
        <v>117</v>
      </c>
      <c r="W387" s="68">
        <v>46046</v>
      </c>
      <c r="X387" s="68" t="s">
        <v>5405</v>
      </c>
      <c r="Y387" s="68"/>
      <c r="Z387" s="72" t="s">
        <v>5597</v>
      </c>
    </row>
    <row r="388" spans="1:26">
      <c r="A388" s="71">
        <f>IFERROR(Associates_Call_List_PQ!A388,"")</f>
        <v>45904</v>
      </c>
      <c r="B388" s="57" t="str">
        <f>IF(Associates_Call_List_PQ!B388="","",Associates_Call_List_PQ!B388)</f>
        <v>Liddell</v>
      </c>
      <c r="C388" s="57" t="str">
        <f>IF(Associates_Call_List_PQ!C388="","",Associates_Call_List_PQ!C388)</f>
        <v>Lianne</v>
      </c>
      <c r="D388" s="57" t="str">
        <f>IF(Associates_Call_List_PQ!D388="","",Associates_Call_List_PQ!D388)</f>
        <v>Phoenix</v>
      </c>
      <c r="E388" s="58">
        <f>IF(Associates_Call_List_PQ!E388="","",Associates_Call_List_PQ!E388)</f>
        <v>85016</v>
      </c>
      <c r="F388" s="57" t="str">
        <f>IF(Associates_Call_List_PQ!F388="","",Associates_Call_List_PQ!F388)</f>
        <v>Form letter</v>
      </c>
      <c r="G388" s="57" t="str">
        <f>IF(Associates_Call_List_PQ!G388="","",Associates_Call_List_PQ!G388)</f>
        <v>https://images.edocket.azcc.gov/docketpdf/E000046206.pdf</v>
      </c>
      <c r="H388" s="59" t="str">
        <f>IF(Associates_Call_List_PQ!H388="","",Associates_Call_List_PQ!H388)</f>
        <v xml:space="preserve">3244078434 </v>
      </c>
      <c r="I388" s="57" t="str">
        <f>IF(Associates_Call_List_PQ!I388="","",Associates_Call_List_PQ!I388)</f>
        <v>RCPw/RTOUE47</v>
      </c>
      <c r="J388" s="57" t="str">
        <f>IF(Associates_Call_List_PQ!J388="","",Associates_Call_List_PQ!J388)</f>
        <v>No</v>
      </c>
      <c r="K388" s="57" t="str">
        <f>IF(Associates_Call_List_PQ!K388="","",Associates_Call_List_PQ!K388)</f>
        <v>Yes</v>
      </c>
      <c r="L388" s="57" t="str">
        <f>IF(Associates_Call_List_PQ!L388="","",Associates_Call_List_PQ!L388)</f>
        <v>Yes</v>
      </c>
      <c r="M388" s="57" t="str">
        <f>IF(Associates_Call_List_PQ!M388="","",Associates_Call_List_PQ!M388)</f>
        <v>No</v>
      </c>
      <c r="N388" s="57" t="str">
        <f>IF(Associates_Call_List_PQ!N388="","",Associates_Call_List_PQ!N388)</f>
        <v>No</v>
      </c>
      <c r="O388" s="57" t="str">
        <f>IF(Associates_Call_List_PQ!O388="","",Associates_Call_List_PQ!O388)</f>
        <v>Yes</v>
      </c>
      <c r="P388" s="57" t="str">
        <f>IF(Associates_Call_List_PQ!P388="","",Associates_Call_List_PQ!P388)</f>
        <v>N</v>
      </c>
      <c r="Q388" s="57">
        <f>IF(Associates_Call_List_PQ!Q388="","",Associates_Call_List_PQ!Q388)</f>
        <v>45966</v>
      </c>
      <c r="R388" s="57" t="str">
        <f>IF(Associates_Call_List_PQ!R388="","",Associates_Call_List_PQ!R388)</f>
        <v/>
      </c>
      <c r="S388" s="57" t="str">
        <f>IF(Associates_Call_List_PQ!S388="","",Associates_Call_List_PQ!S388)</f>
        <v/>
      </c>
      <c r="T388" s="57" t="str">
        <f>IF(Associates_Call_List_PQ!T388="","",Associates_Call_List_PQ!T388)</f>
        <v/>
      </c>
      <c r="U388" s="57" t="str">
        <f>IF(Associates_Call_List_PQ!U388="","",Associates_Call_List_PQ!U388)</f>
        <v/>
      </c>
      <c r="V388" s="68"/>
      <c r="W388" s="68" t="s">
        <v>5432</v>
      </c>
      <c r="X388" s="68"/>
      <c r="Y388" s="68"/>
      <c r="Z388" s="72"/>
    </row>
    <row r="389" spans="1:26">
      <c r="A389" s="71">
        <f>IFERROR(Associates_Call_List_PQ!A389,"")</f>
        <v>45904</v>
      </c>
      <c r="B389" s="57" t="str">
        <f>IF(Associates_Call_List_PQ!B389="","",Associates_Call_List_PQ!B389)</f>
        <v>Rees</v>
      </c>
      <c r="C389" s="57" t="str">
        <f>IF(Associates_Call_List_PQ!C389="","",Associates_Call_List_PQ!C389)</f>
        <v>Evan</v>
      </c>
      <c r="D389" s="57" t="str">
        <f>IF(Associates_Call_List_PQ!D389="","",Associates_Call_List_PQ!D389)</f>
        <v>Phoenix</v>
      </c>
      <c r="E389" s="58">
        <f>IF(Associates_Call_List_PQ!E389="","",Associates_Call_List_PQ!E389)</f>
        <v>85020</v>
      </c>
      <c r="F389" s="57" t="str">
        <f>IF(Associates_Call_List_PQ!F389="","",Associates_Call_List_PQ!F389)</f>
        <v>Form letter</v>
      </c>
      <c r="G389" s="57" t="str">
        <f>IF(Associates_Call_List_PQ!G389="","",Associates_Call_List_PQ!G389)</f>
        <v>https://images.edocket.azcc.gov/docketpdf/E000046206.pdf</v>
      </c>
      <c r="H389" s="59" t="str">
        <f>IF(Associates_Call_List_PQ!H389="","",Associates_Call_List_PQ!H389)</f>
        <v xml:space="preserve">8166327537 </v>
      </c>
      <c r="I389" s="57" t="str">
        <f>IF(Associates_Call_List_PQ!I389="","",Associates_Call_List_PQ!I389)</f>
        <v>R-XS</v>
      </c>
      <c r="J389" s="57" t="str">
        <f>IF(Associates_Call_List_PQ!J389="","",Associates_Call_List_PQ!J389)</f>
        <v>No</v>
      </c>
      <c r="K389" s="57" t="str">
        <f>IF(Associates_Call_List_PQ!K389="","",Associates_Call_List_PQ!K389)</f>
        <v>No</v>
      </c>
      <c r="L389" s="57" t="str">
        <f>IF(Associates_Call_List_PQ!L389="","",Associates_Call_List_PQ!L389)</f>
        <v>Yes</v>
      </c>
      <c r="M389" s="57" t="str">
        <f>IF(Associates_Call_List_PQ!M389="","",Associates_Call_List_PQ!M389)</f>
        <v>No</v>
      </c>
      <c r="N389" s="57" t="str">
        <f>IF(Associates_Call_List_PQ!N389="","",Associates_Call_List_PQ!N389)</f>
        <v>No</v>
      </c>
      <c r="O389" s="57" t="str">
        <f>IF(Associates_Call_List_PQ!O389="","",Associates_Call_List_PQ!O389)</f>
        <v>Yes</v>
      </c>
      <c r="P389" s="57" t="str">
        <f>IF(Associates_Call_List_PQ!P389="","",Associates_Call_List_PQ!P389)</f>
        <v>N</v>
      </c>
      <c r="Q389" s="57">
        <f>IF(Associates_Call_List_PQ!Q389="","",Associates_Call_List_PQ!Q389)</f>
        <v>45966</v>
      </c>
      <c r="R389" s="57" t="str">
        <f>IF(Associates_Call_List_PQ!R389="","",Associates_Call_List_PQ!R389)</f>
        <v/>
      </c>
      <c r="S389" s="57" t="str">
        <f>IF(Associates_Call_List_PQ!S389="","",Associates_Call_List_PQ!S389)</f>
        <v/>
      </c>
      <c r="T389" s="57" t="str">
        <f>IF(Associates_Call_List_PQ!T389="","",Associates_Call_List_PQ!T389)</f>
        <v/>
      </c>
      <c r="U389" s="57" t="str">
        <f>IF(Associates_Call_List_PQ!U389="","",Associates_Call_List_PQ!U389)</f>
        <v/>
      </c>
      <c r="V389" s="68"/>
      <c r="W389" s="68" t="s">
        <v>5432</v>
      </c>
      <c r="X389" s="68"/>
      <c r="Y389" s="68"/>
      <c r="Z389" s="72"/>
    </row>
    <row r="390" spans="1:26">
      <c r="A390" s="71">
        <f>IFERROR(Associates_Call_List_PQ!A390,"")</f>
        <v>45904</v>
      </c>
      <c r="B390" s="57" t="str">
        <f>IF(Associates_Call_List_PQ!B390="","",Associates_Call_List_PQ!B390)</f>
        <v>Vestal</v>
      </c>
      <c r="C390" s="57" t="str">
        <f>IF(Associates_Call_List_PQ!C390="","",Associates_Call_List_PQ!C390)</f>
        <v>Allen</v>
      </c>
      <c r="D390" s="57" t="str">
        <f>IF(Associates_Call_List_PQ!D390="","",Associates_Call_List_PQ!D390)</f>
        <v xml:space="preserve">Sun City </v>
      </c>
      <c r="E390" s="58">
        <f>IF(Associates_Call_List_PQ!E390="","",Associates_Call_List_PQ!E390)</f>
        <v>85373</v>
      </c>
      <c r="F390" s="57" t="str">
        <f>IF(Associates_Call_List_PQ!F390="","",Associates_Call_List_PQ!F390)</f>
        <v>Form letter</v>
      </c>
      <c r="G390" s="57" t="str">
        <f>IF(Associates_Call_List_PQ!G390="","",Associates_Call_List_PQ!G390)</f>
        <v>https://images.edocket.azcc.gov/docketpdf/E000046206.pdf</v>
      </c>
      <c r="H390" s="59" t="str">
        <f>IF(Associates_Call_List_PQ!H390="","",Associates_Call_List_PQ!H390)</f>
        <v xml:space="preserve">4308401000 </v>
      </c>
      <c r="I390" s="57" t="str">
        <f>IF(Associates_Call_List_PQ!I390="","",Associates_Call_List_PQ!I390)</f>
        <v>EPR-6w/ET-2</v>
      </c>
      <c r="J390" s="57" t="str">
        <f>IF(Associates_Call_List_PQ!J390="","",Associates_Call_List_PQ!J390)</f>
        <v>No</v>
      </c>
      <c r="K390" s="57" t="str">
        <f>IF(Associates_Call_List_PQ!K390="","",Associates_Call_List_PQ!K390)</f>
        <v>No</v>
      </c>
      <c r="L390" s="57" t="str">
        <f>IF(Associates_Call_List_PQ!L390="","",Associates_Call_List_PQ!L390)</f>
        <v>Frozen Rate</v>
      </c>
      <c r="M390" s="57" t="str">
        <f>IF(Associates_Call_List_PQ!M390="","",Associates_Call_List_PQ!M390)</f>
        <v>No</v>
      </c>
      <c r="N390" s="57" t="str">
        <f>IF(Associates_Call_List_PQ!N390="","",Associates_Call_List_PQ!N390)</f>
        <v>No</v>
      </c>
      <c r="O390" s="57" t="str">
        <f>IF(Associates_Call_List_PQ!O390="","",Associates_Call_List_PQ!O390)</f>
        <v>Yes</v>
      </c>
      <c r="P390" s="57" t="str">
        <f>IF(Associates_Call_List_PQ!P390="","",Associates_Call_List_PQ!P390)</f>
        <v>N</v>
      </c>
      <c r="Q390" s="57">
        <f>IF(Associates_Call_List_PQ!Q390="","",Associates_Call_List_PQ!Q390)</f>
        <v>45966</v>
      </c>
      <c r="R390" s="57" t="str">
        <f>IF(Associates_Call_List_PQ!R390="","",Associates_Call_List_PQ!R390)</f>
        <v/>
      </c>
      <c r="S390" s="57" t="str">
        <f>IF(Associates_Call_List_PQ!S390="","",Associates_Call_List_PQ!S390)</f>
        <v/>
      </c>
      <c r="T390" s="57" t="str">
        <f>IF(Associates_Call_List_PQ!T390="","",Associates_Call_List_PQ!T390)</f>
        <v/>
      </c>
      <c r="U390" s="57" t="str">
        <f>IF(Associates_Call_List_PQ!U390="","",Associates_Call_List_PQ!U390)</f>
        <v/>
      </c>
      <c r="V390" s="68"/>
      <c r="W390" s="68" t="s">
        <v>5432</v>
      </c>
      <c r="X390" s="68"/>
      <c r="Y390" s="68"/>
      <c r="Z390" s="72"/>
    </row>
    <row r="391" spans="1:26">
      <c r="A391" s="71">
        <f>IFERROR(Associates_Call_List_PQ!A391,"")</f>
        <v>45904</v>
      </c>
      <c r="B391" s="57" t="str">
        <f>IF(Associates_Call_List_PQ!B391="","",Associates_Call_List_PQ!B391)</f>
        <v>Robinson</v>
      </c>
      <c r="C391" s="57" t="str">
        <f>IF(Associates_Call_List_PQ!C391="","",Associates_Call_List_PQ!C391)</f>
        <v>Carter</v>
      </c>
      <c r="D391" s="57" t="str">
        <f>IF(Associates_Call_List_PQ!D391="","",Associates_Call_List_PQ!D391)</f>
        <v>Glendale</v>
      </c>
      <c r="E391" s="58">
        <f>IF(Associates_Call_List_PQ!E391="","",Associates_Call_List_PQ!E391)</f>
        <v>85306</v>
      </c>
      <c r="F391" s="57" t="str">
        <f>IF(Associates_Call_List_PQ!F391="","",Associates_Call_List_PQ!F391)</f>
        <v>Opposed, usage is not high, it is normal in AZ extreme climate</v>
      </c>
      <c r="G391" s="57" t="str">
        <f>IF(Associates_Call_List_PQ!G391="","",Associates_Call_List_PQ!G391)</f>
        <v>https://images.edocket.azcc.gov/docketpdf/E000046206.pdf</v>
      </c>
      <c r="H391" s="59" t="str">
        <f>IF(Associates_Call_List_PQ!H391="","",Associates_Call_List_PQ!H391)</f>
        <v xml:space="preserve">2166343167 </v>
      </c>
      <c r="I391" s="57" t="str">
        <f>IF(Associates_Call_List_PQ!I391="","",Associates_Call_List_PQ!I391)</f>
        <v>R-BASICL</v>
      </c>
      <c r="J391" s="57" t="str">
        <f>IF(Associates_Call_List_PQ!J391="","",Associates_Call_List_PQ!J391)</f>
        <v>No</v>
      </c>
      <c r="K391" s="57" t="str">
        <f>IF(Associates_Call_List_PQ!K391="","",Associates_Call_List_PQ!K391)</f>
        <v>No</v>
      </c>
      <c r="L391" s="57" t="str">
        <f>IF(Associates_Call_List_PQ!L391="","",Associates_Call_List_PQ!L391)</f>
        <v>No MEP R3-47 ($888.73)</v>
      </c>
      <c r="M391" s="57" t="str">
        <f>IF(Associates_Call_List_PQ!M391="","",Associates_Call_List_PQ!M391)</f>
        <v>No</v>
      </c>
      <c r="N391" s="57" t="str">
        <f>IF(Associates_Call_List_PQ!N391="","",Associates_Call_List_PQ!N391)</f>
        <v>No</v>
      </c>
      <c r="O391" s="57" t="str">
        <f>IF(Associates_Call_List_PQ!O391="","",Associates_Call_List_PQ!O391)</f>
        <v>Yes</v>
      </c>
      <c r="P391" s="57">
        <f>IF(Associates_Call_List_PQ!P391="","",Associates_Call_List_PQ!P391)</f>
        <v>45936</v>
      </c>
      <c r="Q391" s="57">
        <f>IF(Associates_Call_List_PQ!Q391="","",Associates_Call_List_PQ!Q391)</f>
        <v>45966</v>
      </c>
      <c r="R391" s="57" t="str">
        <f>IF(Associates_Call_List_PQ!R391="","",Associates_Call_List_PQ!R391)</f>
        <v>10/6 Left VM</v>
      </c>
      <c r="S391" s="57" t="str">
        <f>IF(Associates_Call_List_PQ!S391="","",Associates_Call_List_PQ!S391)</f>
        <v/>
      </c>
      <c r="T391" s="57" t="str">
        <f>IF(Associates_Call_List_PQ!T391="","",Associates_Call_List_PQ!T391)</f>
        <v/>
      </c>
      <c r="U391" s="57" t="s">
        <v>5598</v>
      </c>
      <c r="V391" s="68" t="s">
        <v>117</v>
      </c>
      <c r="W391" s="68">
        <v>46046</v>
      </c>
      <c r="X391" s="68" t="s">
        <v>5434</v>
      </c>
      <c r="Y391" s="68"/>
      <c r="Z391" s="72"/>
    </row>
    <row r="392" spans="1:26">
      <c r="A392" s="71">
        <f>IFERROR(Associates_Call_List_PQ!A392,"")</f>
        <v>45904</v>
      </c>
      <c r="B392" s="57" t="str">
        <f>IF(Associates_Call_List_PQ!B392="","",Associates_Call_List_PQ!B392)</f>
        <v>Coble</v>
      </c>
      <c r="C392" s="57" t="str">
        <f>IF(Associates_Call_List_PQ!C392="","",Associates_Call_List_PQ!C392)</f>
        <v>Kevin</v>
      </c>
      <c r="D392" s="57" t="str">
        <f>IF(Associates_Call_List_PQ!D392="","",Associates_Call_List_PQ!D392)</f>
        <v>Scottsdale</v>
      </c>
      <c r="E392" s="58">
        <f>IF(Associates_Call_List_PQ!E392="","",Associates_Call_List_PQ!E392)</f>
        <v>85258</v>
      </c>
      <c r="F392" s="57" t="str">
        <f>IF(Associates_Call_List_PQ!F392="","",Associates_Call_List_PQ!F392)</f>
        <v>Opposed</v>
      </c>
      <c r="G392" s="57" t="str">
        <f>IF(Associates_Call_List_PQ!G392="","",Associates_Call_List_PQ!G392)</f>
        <v>https://images.edocket.azcc.gov/docketpdf/E000046198.pdf</v>
      </c>
      <c r="H392" s="59">
        <f>IF(Associates_Call_List_PQ!H392="","",Associates_Call_List_PQ!H392)</f>
        <v>3485675279</v>
      </c>
      <c r="I392" s="57" t="str">
        <f>IF(Associates_Call_List_PQ!I392="","",Associates_Call_List_PQ!I392)</f>
        <v>R-BASIC</v>
      </c>
      <c r="J392" s="57" t="str">
        <f>IF(Associates_Call_List_PQ!J392="","",Associates_Call_List_PQ!J392)</f>
        <v>No</v>
      </c>
      <c r="K392" s="57" t="str">
        <f>IF(Associates_Call_List_PQ!K392="","",Associates_Call_List_PQ!K392)</f>
        <v>No</v>
      </c>
      <c r="L392" s="57" t="str">
        <f>IF(Associates_Call_List_PQ!L392="","",Associates_Call_List_PQ!L392)</f>
        <v>Yes</v>
      </c>
      <c r="M392" s="57" t="str">
        <f>IF(Associates_Call_List_PQ!M392="","",Associates_Call_List_PQ!M392)</f>
        <v>No</v>
      </c>
      <c r="N392" s="57" t="str">
        <f>IF(Associates_Call_List_PQ!N392="","",Associates_Call_List_PQ!N392)</f>
        <v>No</v>
      </c>
      <c r="O392" s="57" t="str">
        <f>IF(Associates_Call_List_PQ!O392="","",Associates_Call_List_PQ!O392)</f>
        <v>Yes</v>
      </c>
      <c r="P392" s="57" t="str">
        <f>IF(Associates_Call_List_PQ!P392="","",Associates_Call_List_PQ!P392)</f>
        <v>N</v>
      </c>
      <c r="Q392" s="57">
        <f>IF(Associates_Call_List_PQ!Q392="","",Associates_Call_List_PQ!Q392)</f>
        <v>45966</v>
      </c>
      <c r="R392" s="57" t="str">
        <f>IF(Associates_Call_List_PQ!R392="","",Associates_Call_List_PQ!R392)</f>
        <v/>
      </c>
      <c r="S392" s="57" t="str">
        <f>IF(Associates_Call_List_PQ!S392="","",Associates_Call_List_PQ!S392)</f>
        <v/>
      </c>
      <c r="T392" s="57" t="str">
        <f>IF(Associates_Call_List_PQ!T392="","",Associates_Call_List_PQ!T392)</f>
        <v/>
      </c>
      <c r="U392" s="57" t="str">
        <f>IF(Associates_Call_List_PQ!U392="","",Associates_Call_List_PQ!U392)</f>
        <v/>
      </c>
      <c r="V392" s="68"/>
      <c r="W392" s="68" t="s">
        <v>5432</v>
      </c>
      <c r="X392" s="68"/>
      <c r="Y392" s="68"/>
      <c r="Z392" s="72"/>
    </row>
    <row r="393" spans="1:26">
      <c r="A393" s="71">
        <f>IFERROR(Associates_Call_List_PQ!A393,"")</f>
        <v>45904</v>
      </c>
      <c r="B393" s="57" t="str">
        <f>IF(Associates_Call_List_PQ!B393="","",Associates_Call_List_PQ!B393)</f>
        <v>Woehl</v>
      </c>
      <c r="C393" s="57" t="str">
        <f>IF(Associates_Call_List_PQ!C393="","",Associates_Call_List_PQ!C393)</f>
        <v>Timothy</v>
      </c>
      <c r="D393" s="57" t="str">
        <f>IF(Associates_Call_List_PQ!D393="","",Associates_Call_List_PQ!D393)</f>
        <v>Scottsdale</v>
      </c>
      <c r="E393" s="58">
        <f>IF(Associates_Call_List_PQ!E393="","",Associates_Call_List_PQ!E393)</f>
        <v>85258</v>
      </c>
      <c r="F393" s="57" t="str">
        <f>IF(Associates_Call_List_PQ!F393="","",Associates_Call_List_PQ!F393)</f>
        <v>Opposed</v>
      </c>
      <c r="G393" s="57" t="str">
        <f>IF(Associates_Call_List_PQ!G393="","",Associates_Call_List_PQ!G393)</f>
        <v>https://images.edocket.azcc.gov/docketpdf/E000046196.pdf</v>
      </c>
      <c r="H393" s="59">
        <f>IF(Associates_Call_List_PQ!H393="","",Associates_Call_List_PQ!H393)</f>
        <v>6907731000</v>
      </c>
      <c r="I393" s="57" t="str">
        <f>IF(Associates_Call_List_PQ!I393="","",Associates_Call_List_PQ!I393)</f>
        <v>RTOUE47</v>
      </c>
      <c r="J393" s="57" t="str">
        <f>IF(Associates_Call_List_PQ!J393="","",Associates_Call_List_PQ!J393)</f>
        <v>No</v>
      </c>
      <c r="K393" s="57" t="str">
        <f>IF(Associates_Call_List_PQ!K393="","",Associates_Call_List_PQ!K393)</f>
        <v>No</v>
      </c>
      <c r="L393" s="57" t="str">
        <f>IF(Associates_Call_List_PQ!L393="","",Associates_Call_List_PQ!L393)</f>
        <v>No MEP R3-47(630.50)</v>
      </c>
      <c r="M393" s="57" t="str">
        <f>IF(Associates_Call_List_PQ!M393="","",Associates_Call_List_PQ!M393)</f>
        <v>No</v>
      </c>
      <c r="N393" s="57" t="str">
        <f>IF(Associates_Call_List_PQ!N393="","",Associates_Call_List_PQ!N393)</f>
        <v>No</v>
      </c>
      <c r="O393" s="57" t="str">
        <f>IF(Associates_Call_List_PQ!O393="","",Associates_Call_List_PQ!O393)</f>
        <v>Yes</v>
      </c>
      <c r="P393" s="57">
        <f>IF(Associates_Call_List_PQ!P393="","",Associates_Call_List_PQ!P393)</f>
        <v>45936</v>
      </c>
      <c r="Q393" s="57">
        <f>IF(Associates_Call_List_PQ!Q393="","",Associates_Call_List_PQ!Q393)</f>
        <v>45966</v>
      </c>
      <c r="R393" s="57" t="str">
        <f>IF(Associates_Call_List_PQ!R393="","",Associates_Call_List_PQ!R393)</f>
        <v>10/6 Left VM</v>
      </c>
      <c r="S393" s="57" t="str">
        <f>IF(Associates_Call_List_PQ!S393="","",Associates_Call_List_PQ!S393)</f>
        <v/>
      </c>
      <c r="T393" s="57" t="str">
        <f>IF(Associates_Call_List_PQ!T393="","",Associates_Call_List_PQ!T393)</f>
        <v/>
      </c>
      <c r="U393" s="57" t="str">
        <f>IF(Associates_Call_List_PQ!U393="","",Associates_Call_List_PQ!U393)</f>
        <v/>
      </c>
      <c r="V393" s="68" t="s">
        <v>5433</v>
      </c>
      <c r="W393" s="68">
        <v>46060</v>
      </c>
      <c r="X393" s="68" t="s">
        <v>5434</v>
      </c>
      <c r="Y393" s="68"/>
      <c r="Z393" s="72" t="s">
        <v>5599</v>
      </c>
    </row>
    <row r="394" spans="1:26">
      <c r="A394" s="71">
        <f>IFERROR(Associates_Call_List_PQ!A394,"")</f>
        <v>45904</v>
      </c>
      <c r="B394" s="57" t="str">
        <f>IF(Associates_Call_List_PQ!B394="","",Associates_Call_List_PQ!B394)</f>
        <v>McLeod</v>
      </c>
      <c r="C394" s="57" t="str">
        <f>IF(Associates_Call_List_PQ!C394="","",Associates_Call_List_PQ!C394)</f>
        <v>Lee</v>
      </c>
      <c r="D394" s="57" t="str">
        <f>IF(Associates_Call_List_PQ!D394="","",Associates_Call_List_PQ!D394)</f>
        <v>Hereford</v>
      </c>
      <c r="E394" s="58">
        <f>IF(Associates_Call_List_PQ!E394="","",Associates_Call_List_PQ!E394)</f>
        <v>85615</v>
      </c>
      <c r="F394" s="57" t="str">
        <f>IF(Associates_Call_List_PQ!F394="","",Associates_Call_List_PQ!F394)</f>
        <v>Opposed</v>
      </c>
      <c r="G394" s="57" t="str">
        <f>IF(Associates_Call_List_PQ!G394="","",Associates_Call_List_PQ!G394)</f>
        <v>https://images.edocket.azcc.gov/docketpdf/E000046196.pdf</v>
      </c>
      <c r="H394" s="59">
        <f>IF(Associates_Call_List_PQ!H394="","",Associates_Call_List_PQ!H394)</f>
        <v>1710517819</v>
      </c>
      <c r="I394" s="57" t="str">
        <f>IF(Associates_Call_List_PQ!I394="","",Associates_Call_List_PQ!I394)</f>
        <v>R-2</v>
      </c>
      <c r="J394" s="57" t="str">
        <f>IF(Associates_Call_List_PQ!J394="","",Associates_Call_List_PQ!J394)</f>
        <v>Yes</v>
      </c>
      <c r="K394" s="57" t="str">
        <f>IF(Associates_Call_List_PQ!K394="","",Associates_Call_List_PQ!K394)</f>
        <v>No</v>
      </c>
      <c r="L394" s="57" t="str">
        <f>IF(Associates_Call_List_PQ!L394="","",Associates_Call_List_PQ!L394)</f>
        <v>Frozen Rate</v>
      </c>
      <c r="M394" s="57" t="str">
        <f>IF(Associates_Call_List_PQ!M394="","",Associates_Call_List_PQ!M394)</f>
        <v>No</v>
      </c>
      <c r="N394" s="57" t="str">
        <f>IF(Associates_Call_List_PQ!N394="","",Associates_Call_List_PQ!N394)</f>
        <v>No</v>
      </c>
      <c r="O394" s="57" t="str">
        <f>IF(Associates_Call_List_PQ!O394="","",Associates_Call_List_PQ!O394)</f>
        <v>Yes</v>
      </c>
      <c r="P394" s="57" t="str">
        <f>IF(Associates_Call_List_PQ!P394="","",Associates_Call_List_PQ!P394)</f>
        <v>N</v>
      </c>
      <c r="Q394" s="57">
        <f>IF(Associates_Call_List_PQ!Q394="","",Associates_Call_List_PQ!Q394)</f>
        <v>45966</v>
      </c>
      <c r="R394" s="57" t="str">
        <f>IF(Associates_Call_List_PQ!R394="","",Associates_Call_List_PQ!R394)</f>
        <v/>
      </c>
      <c r="S394" s="57" t="str">
        <f>IF(Associates_Call_List_PQ!S394="","",Associates_Call_List_PQ!S394)</f>
        <v/>
      </c>
      <c r="T394" s="57" t="str">
        <f>IF(Associates_Call_List_PQ!T394="","",Associates_Call_List_PQ!T394)</f>
        <v/>
      </c>
      <c r="U394" s="57" t="str">
        <f>IF(Associates_Call_List_PQ!U394="","",Associates_Call_List_PQ!U394)</f>
        <v/>
      </c>
      <c r="V394" s="68"/>
      <c r="W394" s="68" t="s">
        <v>5432</v>
      </c>
      <c r="X394" s="68"/>
      <c r="Y394" s="68"/>
      <c r="Z394" s="72"/>
    </row>
    <row r="395" spans="1:26">
      <c r="A395" s="71">
        <f>IFERROR(Associates_Call_List_PQ!A395,"")</f>
        <v>45905</v>
      </c>
      <c r="B395" s="57" t="str">
        <f>IF(Associates_Call_List_PQ!B395="","",Associates_Call_List_PQ!B395)</f>
        <v>Mannella</v>
      </c>
      <c r="C395" s="57" t="str">
        <f>IF(Associates_Call_List_PQ!C395="","",Associates_Call_List_PQ!C395)</f>
        <v>Jonathan</v>
      </c>
      <c r="D395" s="57" t="str">
        <f>IF(Associates_Call_List_PQ!D395="","",Associates_Call_List_PQ!D395)</f>
        <v>Litchfield Park</v>
      </c>
      <c r="E395" s="58">
        <f>IF(Associates_Call_List_PQ!E395="","",Associates_Call_List_PQ!E395)</f>
        <v>85340</v>
      </c>
      <c r="F395" s="57" t="str">
        <f>IF(Associates_Call_List_PQ!F395="","",Associates_Call_List_PQ!F395)</f>
        <v>Opposed</v>
      </c>
      <c r="G395" s="57" t="str">
        <f>IF(Associates_Call_List_PQ!G395="","",Associates_Call_List_PQ!G395)</f>
        <v>https://images.edocket.azcc.gov/docketpdf/E000046230.pdf</v>
      </c>
      <c r="H395" s="59" t="str">
        <f>IF(Associates_Call_List_PQ!H395="","",Associates_Call_List_PQ!H395)</f>
        <v xml:space="preserve">6218364523 </v>
      </c>
      <c r="I395" s="57" t="str">
        <f>IF(Associates_Call_List_PQ!I395="","",Associates_Call_List_PQ!I395)</f>
        <v>R-XS</v>
      </c>
      <c r="J395" s="57" t="str">
        <f>IF(Associates_Call_List_PQ!J395="","",Associates_Call_List_PQ!J395)</f>
        <v>No</v>
      </c>
      <c r="K395" s="57" t="str">
        <f>IF(Associates_Call_List_PQ!K395="","",Associates_Call_List_PQ!K395)</f>
        <v>No</v>
      </c>
      <c r="L395" s="57" t="str">
        <f>IF(Associates_Call_List_PQ!L395="","",Associates_Call_List_PQ!L395)</f>
        <v>Yes</v>
      </c>
      <c r="M395" s="57" t="str">
        <f>IF(Associates_Call_List_PQ!M395="","",Associates_Call_List_PQ!M395)</f>
        <v>No</v>
      </c>
      <c r="N395" s="57" t="str">
        <f>IF(Associates_Call_List_PQ!N395="","",Associates_Call_List_PQ!N395)</f>
        <v>No</v>
      </c>
      <c r="O395" s="57" t="str">
        <f>IF(Associates_Call_List_PQ!O395="","",Associates_Call_List_PQ!O395)</f>
        <v>Yes</v>
      </c>
      <c r="P395" s="57" t="str">
        <f>IF(Associates_Call_List_PQ!P395="","",Associates_Call_List_PQ!P395)</f>
        <v>N</v>
      </c>
      <c r="Q395" s="57">
        <f>IF(Associates_Call_List_PQ!Q395="","",Associates_Call_List_PQ!Q395)</f>
        <v>45966</v>
      </c>
      <c r="R395" s="57" t="str">
        <f>IF(Associates_Call_List_PQ!R395="","",Associates_Call_List_PQ!R395)</f>
        <v/>
      </c>
      <c r="S395" s="57" t="str">
        <f>IF(Associates_Call_List_PQ!S395="","",Associates_Call_List_PQ!S395)</f>
        <v/>
      </c>
      <c r="T395" s="57" t="str">
        <f>IF(Associates_Call_List_PQ!T395="","",Associates_Call_List_PQ!T395)</f>
        <v/>
      </c>
      <c r="U395" s="57" t="str">
        <f>IF(Associates_Call_List_PQ!U395="","",Associates_Call_List_PQ!U395)</f>
        <v/>
      </c>
      <c r="V395" s="68"/>
      <c r="W395" s="68" t="s">
        <v>5432</v>
      </c>
      <c r="X395" s="68"/>
      <c r="Y395" s="68"/>
      <c r="Z395" s="72"/>
    </row>
    <row r="396" spans="1:26">
      <c r="A396" s="71">
        <f>IFERROR(Associates_Call_List_PQ!A396,"")</f>
        <v>45905</v>
      </c>
      <c r="B396" s="57" t="str">
        <f>IF(Associates_Call_List_PQ!B396="","",Associates_Call_List_PQ!B396)</f>
        <v>Carpenter</v>
      </c>
      <c r="C396" s="57" t="str">
        <f>IF(Associates_Call_List_PQ!C396="","",Associates_Call_List_PQ!C396)</f>
        <v>Bonny</v>
      </c>
      <c r="D396" s="57" t="str">
        <f>IF(Associates_Call_List_PQ!D396="","",Associates_Call_List_PQ!D396)</f>
        <v>Goodyear</v>
      </c>
      <c r="E396" s="58">
        <f>IF(Associates_Call_List_PQ!E396="","",Associates_Call_List_PQ!E396)</f>
        <v>85395</v>
      </c>
      <c r="F396" s="57" t="str">
        <f>IF(Associates_Call_List_PQ!F396="","",Associates_Call_List_PQ!F396)</f>
        <v>Out of hand</v>
      </c>
      <c r="G396" s="57" t="str">
        <f>IF(Associates_Call_List_PQ!G396="","",Associates_Call_List_PQ!G396)</f>
        <v>https://images.edocket.azcc.gov/docketpdf/E000046230.pdf</v>
      </c>
      <c r="H396" s="59" t="str">
        <f>IF(Associates_Call_List_PQ!H396="","",Associates_Call_List_PQ!H396)</f>
        <v xml:space="preserve">0040730000 </v>
      </c>
      <c r="I396" s="57" t="str">
        <f>IF(Associates_Call_List_PQ!I396="","",Associates_Call_List_PQ!I396)</f>
        <v>EPR-6w/ET-2</v>
      </c>
      <c r="J396" s="57" t="str">
        <f>IF(Associates_Call_List_PQ!J396="","",Associates_Call_List_PQ!J396)</f>
        <v>No</v>
      </c>
      <c r="K396" s="57" t="str">
        <f>IF(Associates_Call_List_PQ!K396="","",Associates_Call_List_PQ!K396)</f>
        <v>No</v>
      </c>
      <c r="L396" s="57" t="str">
        <f>IF(Associates_Call_List_PQ!L396="","",Associates_Call_List_PQ!L396)</f>
        <v>Frozen Rate</v>
      </c>
      <c r="M396" s="57" t="str">
        <f>IF(Associates_Call_List_PQ!M396="","",Associates_Call_List_PQ!M396)</f>
        <v>No</v>
      </c>
      <c r="N396" s="57" t="str">
        <f>IF(Associates_Call_List_PQ!N396="","",Associates_Call_List_PQ!N396)</f>
        <v>No</v>
      </c>
      <c r="O396" s="57" t="str">
        <f>IF(Associates_Call_List_PQ!O396="","",Associates_Call_List_PQ!O396)</f>
        <v>Yes</v>
      </c>
      <c r="P396" s="57" t="str">
        <f>IF(Associates_Call_List_PQ!P396="","",Associates_Call_List_PQ!P396)</f>
        <v>N</v>
      </c>
      <c r="Q396" s="57">
        <f>IF(Associates_Call_List_PQ!Q396="","",Associates_Call_List_PQ!Q396)</f>
        <v>45966</v>
      </c>
      <c r="R396" s="57" t="str">
        <f>IF(Associates_Call_List_PQ!R396="","",Associates_Call_List_PQ!R396)</f>
        <v/>
      </c>
      <c r="S396" s="57" t="str">
        <f>IF(Associates_Call_List_PQ!S396="","",Associates_Call_List_PQ!S396)</f>
        <v/>
      </c>
      <c r="T396" s="57" t="str">
        <f>IF(Associates_Call_List_PQ!T396="","",Associates_Call_List_PQ!T396)</f>
        <v/>
      </c>
      <c r="U396" s="57" t="str">
        <f>IF(Associates_Call_List_PQ!U396="","",Associates_Call_List_PQ!U396)</f>
        <v/>
      </c>
      <c r="V396" s="68"/>
      <c r="W396" s="68" t="s">
        <v>5432</v>
      </c>
      <c r="X396" s="68"/>
      <c r="Y396" s="68"/>
      <c r="Z396" s="72"/>
    </row>
    <row r="397" spans="1:26">
      <c r="A397" s="71">
        <f>IFERROR(Associates_Call_List_PQ!A397,"")</f>
        <v>45905</v>
      </c>
      <c r="B397" s="57" t="str">
        <f>IF(Associates_Call_List_PQ!B397="","",Associates_Call_List_PQ!B397)</f>
        <v>Delaney</v>
      </c>
      <c r="C397" s="57" t="str">
        <f>IF(Associates_Call_List_PQ!C397="","",Associates_Call_List_PQ!C397)</f>
        <v>Amy</v>
      </c>
      <c r="D397" s="57" t="str">
        <f>IF(Associates_Call_List_PQ!D397="","",Associates_Call_List_PQ!D397)</f>
        <v>Phoenix</v>
      </c>
      <c r="E397" s="58">
        <f>IF(Associates_Call_List_PQ!E397="","",Associates_Call_List_PQ!E397)</f>
        <v>85028</v>
      </c>
      <c r="F397" s="57" t="str">
        <f>IF(Associates_Call_List_PQ!F397="","",Associates_Call_List_PQ!F397)</f>
        <v>Form letter</v>
      </c>
      <c r="G397" s="57" t="str">
        <f>IF(Associates_Call_List_PQ!G397="","",Associates_Call_List_PQ!G397)</f>
        <v>https://images.edocket.azcc.gov/docketpdf/E000046230.pdf</v>
      </c>
      <c r="H397" s="59" t="str">
        <f>IF(Associates_Call_List_PQ!H397="","",Associates_Call_List_PQ!H397)</f>
        <v xml:space="preserve">0555026441 </v>
      </c>
      <c r="I397" s="57" t="str">
        <f>IF(Associates_Call_List_PQ!I397="","",Associates_Call_List_PQ!I397)</f>
        <v>RTOUE47</v>
      </c>
      <c r="J397" s="57" t="str">
        <f>IF(Associates_Call_List_PQ!J397="","",Associates_Call_List_PQ!J397)</f>
        <v>No</v>
      </c>
      <c r="K397" s="57" t="str">
        <f>IF(Associates_Call_List_PQ!K397="","",Associates_Call_List_PQ!K397)</f>
        <v>No</v>
      </c>
      <c r="L397" s="57" t="str">
        <f>IF(Associates_Call_List_PQ!L397="","",Associates_Call_List_PQ!L397)</f>
        <v>No MEP R-BASIC(110.71)</v>
      </c>
      <c r="M397" s="57" t="str">
        <f>IF(Associates_Call_List_PQ!M397="","",Associates_Call_List_PQ!M397)</f>
        <v>No</v>
      </c>
      <c r="N397" s="57" t="str">
        <f>IF(Associates_Call_List_PQ!N397="","",Associates_Call_List_PQ!N397)</f>
        <v>No</v>
      </c>
      <c r="O397" s="57" t="str">
        <f>IF(Associates_Call_List_PQ!O397="","",Associates_Call_List_PQ!O397)</f>
        <v>Yes</v>
      </c>
      <c r="P397" s="57">
        <f>IF(Associates_Call_List_PQ!P397="","",Associates_Call_List_PQ!P397)</f>
        <v>45936</v>
      </c>
      <c r="Q397" s="57">
        <f>IF(Associates_Call_List_PQ!Q397="","",Associates_Call_List_PQ!Q397)</f>
        <v>45966</v>
      </c>
      <c r="R397" s="57" t="str">
        <f>IF(Associates_Call_List_PQ!R397="","",Associates_Call_List_PQ!R397)</f>
        <v>10/06/2025 left VM</v>
      </c>
      <c r="S397" s="57" t="str">
        <f>IF(Associates_Call_List_PQ!S397="","",Associates_Call_List_PQ!S397)</f>
        <v/>
      </c>
      <c r="T397" s="57" t="str">
        <f>IF(Associates_Call_List_PQ!T397="","",Associates_Call_List_PQ!T397)</f>
        <v/>
      </c>
      <c r="U397" s="57" t="s">
        <v>5600</v>
      </c>
      <c r="V397" s="68" t="s">
        <v>117</v>
      </c>
      <c r="W397" s="68">
        <v>46060</v>
      </c>
      <c r="X397" s="68" t="s">
        <v>5434</v>
      </c>
      <c r="Y397" s="68"/>
      <c r="Z397" s="72"/>
    </row>
    <row r="398" spans="1:26">
      <c r="A398" s="71">
        <f>IFERROR(Associates_Call_List_PQ!A398,"")</f>
        <v>45905</v>
      </c>
      <c r="B398" s="57" t="str">
        <f>IF(Associates_Call_List_PQ!B398="","",Associates_Call_List_PQ!B398)</f>
        <v>Price</v>
      </c>
      <c r="C398" s="57" t="str">
        <f>IF(Associates_Call_List_PQ!C398="","",Associates_Call_List_PQ!C398)</f>
        <v>Shannon</v>
      </c>
      <c r="D398" s="57" t="str">
        <f>IF(Associates_Call_List_PQ!D398="","",Associates_Call_List_PQ!D398)</f>
        <v>Phoenix</v>
      </c>
      <c r="E398" s="58">
        <f>IF(Associates_Call_List_PQ!E398="","",Associates_Call_List_PQ!E398)</f>
        <v>85008</v>
      </c>
      <c r="F398" s="57" t="str">
        <f>IF(Associates_Call_List_PQ!F398="","",Associates_Call_List_PQ!F398)</f>
        <v>Form letter</v>
      </c>
      <c r="G398" s="57" t="str">
        <f>IF(Associates_Call_List_PQ!G398="","",Associates_Call_List_PQ!G398)</f>
        <v>https://images.edocket.azcc.gov/docketpdf/E000046230.pdf</v>
      </c>
      <c r="H398" s="59" t="str">
        <f>IF(Associates_Call_List_PQ!H398="","",Associates_Call_List_PQ!H398)</f>
        <v xml:space="preserve">5372102528 </v>
      </c>
      <c r="I398" s="57" t="str">
        <f>IF(Associates_Call_List_PQ!I398="","",Associates_Call_List_PQ!I398)</f>
        <v>R3-47</v>
      </c>
      <c r="J398" s="57" t="str">
        <f>IF(Associates_Call_List_PQ!J398="","",Associates_Call_List_PQ!J398)</f>
        <v>Yes</v>
      </c>
      <c r="K398" s="57" t="str">
        <f>IF(Associates_Call_List_PQ!K398="","",Associates_Call_List_PQ!K398)</f>
        <v>No</v>
      </c>
      <c r="L398" s="57" t="str">
        <f>IF(Associates_Call_List_PQ!L398="","",Associates_Call_List_PQ!L398)</f>
        <v>No MEP R-BASIC(31.45)</v>
      </c>
      <c r="M398" s="57" t="str">
        <f>IF(Associates_Call_List_PQ!M398="","",Associates_Call_List_PQ!M398)</f>
        <v>Yes</v>
      </c>
      <c r="N398" s="57">
        <f>IF(Associates_Call_List_PQ!N398="","",Associates_Call_List_PQ!N398)</f>
        <v>487.48</v>
      </c>
      <c r="O398" s="57" t="str">
        <f>IF(Associates_Call_List_PQ!O398="","",Associates_Call_List_PQ!O398)</f>
        <v>Yes</v>
      </c>
      <c r="P398" s="57" t="str">
        <f>IF(Associates_Call_List_PQ!P398="","",Associates_Call_List_PQ!P398)</f>
        <v/>
      </c>
      <c r="Q398" s="57">
        <f>IF(Associates_Call_List_PQ!Q398="","",Associates_Call_List_PQ!Q398)</f>
        <v>45966</v>
      </c>
      <c r="R398" s="57" t="str">
        <f>IF(Associates_Call_List_PQ!R398="","",Associates_Call_List_PQ!R398)</f>
        <v>Assistance?</v>
      </c>
      <c r="S398" s="57" t="str">
        <f>IF(Associates_Call_List_PQ!S398="","",Associates_Call_List_PQ!S398)</f>
        <v/>
      </c>
      <c r="T398" s="57" t="str">
        <f>IF(Associates_Call_List_PQ!T398="","",Associates_Call_List_PQ!T398)</f>
        <v/>
      </c>
      <c r="U398" s="57" t="s">
        <v>5601</v>
      </c>
      <c r="V398" s="68" t="s">
        <v>117</v>
      </c>
      <c r="W398" s="68">
        <v>46046</v>
      </c>
      <c r="X398" s="68" t="s">
        <v>5405</v>
      </c>
      <c r="Y398" s="68" t="s">
        <v>5602</v>
      </c>
      <c r="Z398" s="72"/>
    </row>
    <row r="399" spans="1:26">
      <c r="A399" s="71">
        <f>IFERROR(Associates_Call_List_PQ!A399,"")</f>
        <v>45905</v>
      </c>
      <c r="B399" s="57" t="str">
        <f>IF(Associates_Call_List_PQ!B399="","",Associates_Call_List_PQ!B399)</f>
        <v>Votypka</v>
      </c>
      <c r="C399" s="57" t="str">
        <f>IF(Associates_Call_List_PQ!C399="","",Associates_Call_List_PQ!C399)</f>
        <v>Lindsay</v>
      </c>
      <c r="D399" s="57" t="str">
        <f>IF(Associates_Call_List_PQ!D399="","",Associates_Call_List_PQ!D399)</f>
        <v>Scottsdale</v>
      </c>
      <c r="E399" s="58">
        <f>IF(Associates_Call_List_PQ!E399="","",Associates_Call_List_PQ!E399)</f>
        <v>85260</v>
      </c>
      <c r="F399" s="57" t="str">
        <f>IF(Associates_Call_List_PQ!F399="","",Associates_Call_List_PQ!F399)</f>
        <v>Form letter</v>
      </c>
      <c r="G399" s="57" t="str">
        <f>IF(Associates_Call_List_PQ!G399="","",Associates_Call_List_PQ!G399)</f>
        <v>https://images.edocket.azcc.gov/docketpdf/E000046230.pdf</v>
      </c>
      <c r="H399" s="59" t="str">
        <f>IF(Associates_Call_List_PQ!H399="","",Associates_Call_List_PQ!H399)</f>
        <v xml:space="preserve">3305713016 </v>
      </c>
      <c r="I399" s="57" t="str">
        <f>IF(Associates_Call_List_PQ!I399="","",Associates_Call_List_PQ!I399)</f>
        <v>RTOUE47</v>
      </c>
      <c r="J399" s="57" t="str">
        <f>IF(Associates_Call_List_PQ!J399="","",Associates_Call_List_PQ!J399)</f>
        <v>No</v>
      </c>
      <c r="K399" s="57" t="str">
        <f>IF(Associates_Call_List_PQ!K399="","",Associates_Call_List_PQ!K399)</f>
        <v>No</v>
      </c>
      <c r="L399" s="57" t="str">
        <f>IF(Associates_Call_List_PQ!L399="","",Associates_Call_List_PQ!L399)</f>
        <v>No MEP R-BASIC($19.26)</v>
      </c>
      <c r="M399" s="57" t="str">
        <f>IF(Associates_Call_List_PQ!M399="","",Associates_Call_List_PQ!M399)</f>
        <v>No</v>
      </c>
      <c r="N399" s="57" t="str">
        <f>IF(Associates_Call_List_PQ!N399="","",Associates_Call_List_PQ!N399)</f>
        <v>No</v>
      </c>
      <c r="O399" s="57" t="str">
        <f>IF(Associates_Call_List_PQ!O399="","",Associates_Call_List_PQ!O399)</f>
        <v>Yes</v>
      </c>
      <c r="P399" s="57" t="str">
        <f>IF(Associates_Call_List_PQ!P399="","",Associates_Call_List_PQ!P399)</f>
        <v>N</v>
      </c>
      <c r="Q399" s="57">
        <f>IF(Associates_Call_List_PQ!Q399="","",Associates_Call_List_PQ!Q399)</f>
        <v>45966</v>
      </c>
      <c r="R399" s="57" t="str">
        <f>IF(Associates_Call_List_PQ!R399="","",Associates_Call_List_PQ!R399)</f>
        <v/>
      </c>
      <c r="S399" s="57" t="str">
        <f>IF(Associates_Call_List_PQ!S399="","",Associates_Call_List_PQ!S399)</f>
        <v/>
      </c>
      <c r="T399" s="57" t="str">
        <f>IF(Associates_Call_List_PQ!T399="","",Associates_Call_List_PQ!T399)</f>
        <v/>
      </c>
      <c r="U399" s="57" t="s">
        <v>5603</v>
      </c>
      <c r="V399" s="68" t="s">
        <v>117</v>
      </c>
      <c r="W399" s="68">
        <v>46046</v>
      </c>
      <c r="X399" s="68" t="s">
        <v>5405</v>
      </c>
      <c r="Y399" s="68"/>
      <c r="Z399" s="72" t="s">
        <v>5604</v>
      </c>
    </row>
    <row r="400" spans="1:26">
      <c r="A400" s="71">
        <f>IFERROR(Associates_Call_List_PQ!A400,"")</f>
        <v>45905</v>
      </c>
      <c r="B400" s="57" t="str">
        <f>IF(Associates_Call_List_PQ!B400="","",Associates_Call_List_PQ!B400)</f>
        <v>Glanzer</v>
      </c>
      <c r="C400" s="57" t="str">
        <f>IF(Associates_Call_List_PQ!C400="","",Associates_Call_List_PQ!C400)</f>
        <v>Addison</v>
      </c>
      <c r="D400" s="57" t="str">
        <f>IF(Associates_Call_List_PQ!D400="","",Associates_Call_List_PQ!D400)</f>
        <v>Phoenix</v>
      </c>
      <c r="E400" s="58">
        <f>IF(Associates_Call_List_PQ!E400="","",Associates_Call_List_PQ!E400)</f>
        <v>85013</v>
      </c>
      <c r="F400" s="57" t="str">
        <f>IF(Associates_Call_List_PQ!F400="","",Associates_Call_List_PQ!F400)</f>
        <v>Facing financial hardship</v>
      </c>
      <c r="G400" s="57" t="str">
        <f>IF(Associates_Call_List_PQ!G400="","",Associates_Call_List_PQ!G400)</f>
        <v>https://images.edocket.azcc.gov/docketpdf/E000046230.pdf</v>
      </c>
      <c r="H400" s="59" t="str">
        <f>IF(Associates_Call_List_PQ!H400="","",Associates_Call_List_PQ!H400)</f>
        <v xml:space="preserve">8801331688 </v>
      </c>
      <c r="I400" s="57" t="str">
        <f>IF(Associates_Call_List_PQ!I400="","",Associates_Call_List_PQ!I400)</f>
        <v>R3-47</v>
      </c>
      <c r="J400" s="57" t="str">
        <f>IF(Associates_Call_List_PQ!J400="","",Associates_Call_List_PQ!J400)</f>
        <v>No</v>
      </c>
      <c r="K400" s="57" t="str">
        <f>IF(Associates_Call_List_PQ!K400="","",Associates_Call_List_PQ!K400)</f>
        <v>No</v>
      </c>
      <c r="L400" s="57" t="str">
        <f>IF(Associates_Call_List_PQ!L400="","",Associates_Call_List_PQ!L400)</f>
        <v>Yes</v>
      </c>
      <c r="M400" s="57" t="str">
        <f>IF(Associates_Call_List_PQ!M400="","",Associates_Call_List_PQ!M400)</f>
        <v>No</v>
      </c>
      <c r="N400" s="57" t="str">
        <f>IF(Associates_Call_List_PQ!N400="","",Associates_Call_List_PQ!N400)</f>
        <v>No</v>
      </c>
      <c r="O400" s="57" t="str">
        <f>IF(Associates_Call_List_PQ!O400="","",Associates_Call_List_PQ!O400)</f>
        <v>Yes</v>
      </c>
      <c r="P400" s="57" t="str">
        <f>IF(Associates_Call_List_PQ!P400="","",Associates_Call_List_PQ!P400)</f>
        <v>N</v>
      </c>
      <c r="Q400" s="57">
        <f>IF(Associates_Call_List_PQ!Q400="","",Associates_Call_List_PQ!Q400)</f>
        <v>45966</v>
      </c>
      <c r="R400" s="57" t="str">
        <f>IF(Associates_Call_List_PQ!R400="","",Associates_Call_List_PQ!R400)</f>
        <v/>
      </c>
      <c r="S400" s="57" t="str">
        <f>IF(Associates_Call_List_PQ!S400="","",Associates_Call_List_PQ!S400)</f>
        <v/>
      </c>
      <c r="T400" s="57" t="str">
        <f>IF(Associates_Call_List_PQ!T400="","",Associates_Call_List_PQ!T400)</f>
        <v/>
      </c>
      <c r="U400" s="57" t="str">
        <f>IF(Associates_Call_List_PQ!U400="","",Associates_Call_List_PQ!U400)</f>
        <v/>
      </c>
      <c r="V400" s="68"/>
      <c r="W400" s="68" t="s">
        <v>5432</v>
      </c>
      <c r="X400" s="68"/>
      <c r="Y400" s="68"/>
      <c r="Z400" s="72"/>
    </row>
    <row r="401" spans="1:26">
      <c r="A401" s="71">
        <f>IFERROR(Associates_Call_List_PQ!A401,"")</f>
        <v>45905</v>
      </c>
      <c r="B401" s="57" t="str">
        <f>IF(Associates_Call_List_PQ!B401="","",Associates_Call_List_PQ!B401)</f>
        <v>Sundarachar</v>
      </c>
      <c r="C401" s="57" t="str">
        <f>IF(Associates_Call_List_PQ!C401="","",Associates_Call_List_PQ!C401)</f>
        <v>Hema</v>
      </c>
      <c r="D401" s="57" t="str">
        <f>IF(Associates_Call_List_PQ!D401="","",Associates_Call_List_PQ!D401)</f>
        <v>Tempe</v>
      </c>
      <c r="E401" s="58">
        <f>IF(Associates_Call_List_PQ!E401="","",Associates_Call_List_PQ!E401)</f>
        <v>85281</v>
      </c>
      <c r="F401" s="57" t="str">
        <f>IF(Associates_Call_List_PQ!F401="","",Associates_Call_List_PQ!F401)</f>
        <v>Form letter</v>
      </c>
      <c r="G401" s="57" t="str">
        <f>IF(Associates_Call_List_PQ!G401="","",Associates_Call_List_PQ!G401)</f>
        <v>https://images.edocket.azcc.gov/docketpdf/E000046230.pdf</v>
      </c>
      <c r="H401" s="59" t="str">
        <f>IF(Associates_Call_List_PQ!H401="","",Associates_Call_List_PQ!H401)</f>
        <v>1687826451</v>
      </c>
      <c r="I401" s="57" t="str">
        <f>IF(Associates_Call_List_PQ!I401="","",Associates_Call_List_PQ!I401)</f>
        <v>RTOUE47</v>
      </c>
      <c r="J401" s="57" t="str">
        <f>IF(Associates_Call_List_PQ!J401="","",Associates_Call_List_PQ!J401)</f>
        <v>No</v>
      </c>
      <c r="K401" s="57" t="str">
        <f>IF(Associates_Call_List_PQ!K401="","",Associates_Call_List_PQ!K401)</f>
        <v>No</v>
      </c>
      <c r="L401" s="57" t="str">
        <f>IF(Associates_Call_List_PQ!L401="","",Associates_Call_List_PQ!L401)</f>
        <v>No MEP R3-47(3.29)</v>
      </c>
      <c r="M401" s="57" t="str">
        <f>IF(Associates_Call_List_PQ!M401="","",Associates_Call_List_PQ!M401)</f>
        <v>No</v>
      </c>
      <c r="N401" s="57" t="str">
        <f>IF(Associates_Call_List_PQ!N401="","",Associates_Call_List_PQ!N401)</f>
        <v>No</v>
      </c>
      <c r="O401" s="57" t="str">
        <f>IF(Associates_Call_List_PQ!O401="","",Associates_Call_List_PQ!O401)</f>
        <v>Yes</v>
      </c>
      <c r="P401" s="57" t="str">
        <f>IF(Associates_Call_List_PQ!P401="","",Associates_Call_List_PQ!P401)</f>
        <v>N</v>
      </c>
      <c r="Q401" s="57">
        <f>IF(Associates_Call_List_PQ!Q401="","",Associates_Call_List_PQ!Q401)</f>
        <v>45966</v>
      </c>
      <c r="R401" s="57" t="str">
        <f>IF(Associates_Call_List_PQ!R401="","",Associates_Call_List_PQ!R401)</f>
        <v/>
      </c>
      <c r="S401" s="57" t="str">
        <f>IF(Associates_Call_List_PQ!S401="","",Associates_Call_List_PQ!S401)</f>
        <v/>
      </c>
      <c r="T401" s="57" t="str">
        <f>IF(Associates_Call_List_PQ!T401="","",Associates_Call_List_PQ!T401)</f>
        <v/>
      </c>
      <c r="U401" s="57" t="s">
        <v>5605</v>
      </c>
      <c r="V401" s="68" t="s">
        <v>117</v>
      </c>
      <c r="W401" s="68">
        <v>46060</v>
      </c>
      <c r="X401" s="68" t="s">
        <v>5405</v>
      </c>
      <c r="Y401" s="68"/>
      <c r="Z401" s="72" t="s">
        <v>5606</v>
      </c>
    </row>
    <row r="402" spans="1:26">
      <c r="A402" s="71">
        <f>IFERROR(Associates_Call_List_PQ!A402,"")</f>
        <v>45905</v>
      </c>
      <c r="B402" s="57" t="str">
        <f>IF(Associates_Call_List_PQ!B402="","",Associates_Call_List_PQ!B402)</f>
        <v>Stecker</v>
      </c>
      <c r="C402" s="57" t="str">
        <f>IF(Associates_Call_List_PQ!C402="","",Associates_Call_List_PQ!C402)</f>
        <v>Stacey</v>
      </c>
      <c r="D402" s="57" t="str">
        <f>IF(Associates_Call_List_PQ!D402="","",Associates_Call_List_PQ!D402)</f>
        <v>Phoenix</v>
      </c>
      <c r="E402" s="58">
        <f>IF(Associates_Call_List_PQ!E402="","",Associates_Call_List_PQ!E402)</f>
        <v>85083</v>
      </c>
      <c r="F402" s="57" t="str">
        <f>IF(Associates_Call_List_PQ!F402="","",Associates_Call_List_PQ!F402)</f>
        <v>Opposed</v>
      </c>
      <c r="G402" s="57" t="str">
        <f>IF(Associates_Call_List_PQ!G402="","",Associates_Call_List_PQ!G402)</f>
        <v>https://images.edocket.azcc.gov/docketpdf/E000046230.pdf</v>
      </c>
      <c r="H402" s="59" t="str">
        <f>IF(Associates_Call_List_PQ!H402="","",Associates_Call_List_PQ!H402)</f>
        <v xml:space="preserve">0185829085 </v>
      </c>
      <c r="I402" s="57" t="str">
        <f>IF(Associates_Call_List_PQ!I402="","",Associates_Call_List_PQ!I402)</f>
        <v>RCPw/R3-47</v>
      </c>
      <c r="J402" s="57" t="str">
        <f>IF(Associates_Call_List_PQ!J402="","",Associates_Call_List_PQ!J402)</f>
        <v>No</v>
      </c>
      <c r="K402" s="57" t="str">
        <f>IF(Associates_Call_List_PQ!K402="","",Associates_Call_List_PQ!K402)</f>
        <v>No</v>
      </c>
      <c r="L402" s="57" t="str">
        <f>IF(Associates_Call_List_PQ!L402="","",Associates_Call_List_PQ!L402)</f>
        <v>Yes</v>
      </c>
      <c r="M402" s="57" t="str">
        <f>IF(Associates_Call_List_PQ!M402="","",Associates_Call_List_PQ!M402)</f>
        <v>No</v>
      </c>
      <c r="N402" s="57" t="str">
        <f>IF(Associates_Call_List_PQ!N402="","",Associates_Call_List_PQ!N402)</f>
        <v>No</v>
      </c>
      <c r="O402" s="57" t="str">
        <f>IF(Associates_Call_List_PQ!O402="","",Associates_Call_List_PQ!O402)</f>
        <v>Yes</v>
      </c>
      <c r="P402" s="57" t="str">
        <f>IF(Associates_Call_List_PQ!P402="","",Associates_Call_List_PQ!P402)</f>
        <v>N</v>
      </c>
      <c r="Q402" s="57">
        <f>IF(Associates_Call_List_PQ!Q402="","",Associates_Call_List_PQ!Q402)</f>
        <v>45966</v>
      </c>
      <c r="R402" s="57" t="str">
        <f>IF(Associates_Call_List_PQ!R402="","",Associates_Call_List_PQ!R402)</f>
        <v/>
      </c>
      <c r="S402" s="57" t="str">
        <f>IF(Associates_Call_List_PQ!S402="","",Associates_Call_List_PQ!S402)</f>
        <v/>
      </c>
      <c r="T402" s="57" t="str">
        <f>IF(Associates_Call_List_PQ!T402="","",Associates_Call_List_PQ!T402)</f>
        <v/>
      </c>
      <c r="U402" s="57" t="str">
        <f>IF(Associates_Call_List_PQ!U402="","",Associates_Call_List_PQ!U402)</f>
        <v/>
      </c>
      <c r="V402" s="68"/>
      <c r="W402" s="68" t="s">
        <v>5432</v>
      </c>
      <c r="X402" s="68"/>
      <c r="Y402" s="68"/>
      <c r="Z402" s="72"/>
    </row>
    <row r="403" spans="1:26">
      <c r="A403" s="71">
        <f>IFERROR(Associates_Call_List_PQ!A403,"")</f>
        <v>45905</v>
      </c>
      <c r="B403" s="57" t="str">
        <f>IF(Associates_Call_List_PQ!B403="","",Associates_Call_List_PQ!B403)</f>
        <v>Wallace</v>
      </c>
      <c r="C403" s="57" t="str">
        <f>IF(Associates_Call_List_PQ!C403="","",Associates_Call_List_PQ!C403)</f>
        <v>Joshua</v>
      </c>
      <c r="D403" s="57" t="str">
        <f>IF(Associates_Call_List_PQ!D403="","",Associates_Call_List_PQ!D403)</f>
        <v>Phoenix</v>
      </c>
      <c r="E403" s="58">
        <f>IF(Associates_Call_List_PQ!E403="","",Associates_Call_List_PQ!E403)</f>
        <v>85032</v>
      </c>
      <c r="F403" s="57" t="str">
        <f>IF(Associates_Call_List_PQ!F403="","",Associates_Call_List_PQ!F403)</f>
        <v>Form letter</v>
      </c>
      <c r="G403" s="57" t="str">
        <f>IF(Associates_Call_List_PQ!G403="","",Associates_Call_List_PQ!G403)</f>
        <v>https://images.edocket.azcc.gov/docketpdf/E000046230.pdf</v>
      </c>
      <c r="H403" s="59" t="str">
        <f>IF(Associates_Call_List_PQ!H403="","",Associates_Call_List_PQ!H403)</f>
        <v xml:space="preserve">6640329915 </v>
      </c>
      <c r="I403" s="57" t="str">
        <f>IF(Associates_Call_List_PQ!I403="","",Associates_Call_List_PQ!I403)</f>
        <v>RTOUE47</v>
      </c>
      <c r="J403" s="57" t="str">
        <f>IF(Associates_Call_List_PQ!J403="","",Associates_Call_List_PQ!J403)</f>
        <v>No</v>
      </c>
      <c r="K403" s="57" t="str">
        <f>IF(Associates_Call_List_PQ!K403="","",Associates_Call_List_PQ!K403)</f>
        <v>No</v>
      </c>
      <c r="L403" s="57" t="str">
        <f>IF(Associates_Call_List_PQ!L403="","",Associates_Call_List_PQ!L403)</f>
        <v>Yes</v>
      </c>
      <c r="M403" s="57" t="str">
        <f>IF(Associates_Call_List_PQ!M403="","",Associates_Call_List_PQ!M403)</f>
        <v>No</v>
      </c>
      <c r="N403" s="57" t="str">
        <f>IF(Associates_Call_List_PQ!N403="","",Associates_Call_List_PQ!N403)</f>
        <v>No</v>
      </c>
      <c r="O403" s="57" t="str">
        <f>IF(Associates_Call_List_PQ!O403="","",Associates_Call_List_PQ!O403)</f>
        <v>Yes</v>
      </c>
      <c r="P403" s="57" t="str">
        <f>IF(Associates_Call_List_PQ!P403="","",Associates_Call_List_PQ!P403)</f>
        <v>N</v>
      </c>
      <c r="Q403" s="57">
        <f>IF(Associates_Call_List_PQ!Q403="","",Associates_Call_List_PQ!Q403)</f>
        <v>45966</v>
      </c>
      <c r="R403" s="57" t="str">
        <f>IF(Associates_Call_List_PQ!R403="","",Associates_Call_List_PQ!R403)</f>
        <v/>
      </c>
      <c r="S403" s="57" t="str">
        <f>IF(Associates_Call_List_PQ!S403="","",Associates_Call_List_PQ!S403)</f>
        <v/>
      </c>
      <c r="T403" s="57" t="str">
        <f>IF(Associates_Call_List_PQ!T403="","",Associates_Call_List_PQ!T403)</f>
        <v/>
      </c>
      <c r="U403" s="57" t="str">
        <f>IF(Associates_Call_List_PQ!U403="","",Associates_Call_List_PQ!U403)</f>
        <v/>
      </c>
      <c r="V403" s="68"/>
      <c r="W403" s="68" t="s">
        <v>5432</v>
      </c>
      <c r="X403" s="68"/>
      <c r="Y403" s="68"/>
      <c r="Z403" s="72"/>
    </row>
    <row r="404" spans="1:26">
      <c r="A404" s="71">
        <f>IFERROR(Associates_Call_List_PQ!A404,"")</f>
        <v>45905</v>
      </c>
      <c r="B404" s="57" t="str">
        <f>IF(Associates_Call_List_PQ!B404="","",Associates_Call_List_PQ!B404)</f>
        <v>Short</v>
      </c>
      <c r="C404" s="57" t="str">
        <f>IF(Associates_Call_List_PQ!C404="","",Associates_Call_List_PQ!C404)</f>
        <v>Gregory</v>
      </c>
      <c r="D404" s="57" t="str">
        <f>IF(Associates_Call_List_PQ!D404="","",Associates_Call_List_PQ!D404)</f>
        <v>Surprise</v>
      </c>
      <c r="E404" s="58">
        <f>IF(Associates_Call_List_PQ!E404="","",Associates_Call_List_PQ!E404)</f>
        <v>85388</v>
      </c>
      <c r="F404" s="57" t="str">
        <f>IF(Associates_Call_List_PQ!F404="","",Associates_Call_List_PQ!F404)</f>
        <v>Form letter</v>
      </c>
      <c r="G404" s="57" t="str">
        <f>IF(Associates_Call_List_PQ!G404="","",Associates_Call_List_PQ!G404)</f>
        <v>https://images.edocket.azcc.gov/docketpdf/E000046230.pdf</v>
      </c>
      <c r="H404" s="59" t="str">
        <f>IF(Associates_Call_List_PQ!H404="","",Associates_Call_List_PQ!H404)</f>
        <v xml:space="preserve">8993658310 </v>
      </c>
      <c r="I404" s="57" t="str">
        <f>IF(Associates_Call_List_PQ!I404="","",Associates_Call_List_PQ!I404)</f>
        <v>R3-47</v>
      </c>
      <c r="J404" s="57" t="str">
        <f>IF(Associates_Call_List_PQ!J404="","",Associates_Call_List_PQ!J404)</f>
        <v>No</v>
      </c>
      <c r="K404" s="57" t="str">
        <f>IF(Associates_Call_List_PQ!K404="","",Associates_Call_List_PQ!K404)</f>
        <v>No</v>
      </c>
      <c r="L404" s="57" t="str">
        <f>IF(Associates_Call_List_PQ!L404="","",Associates_Call_List_PQ!L404)</f>
        <v>Yes</v>
      </c>
      <c r="M404" s="57" t="str">
        <f>IF(Associates_Call_List_PQ!M404="","",Associates_Call_List_PQ!M404)</f>
        <v>No</v>
      </c>
      <c r="N404" s="57" t="str">
        <f>IF(Associates_Call_List_PQ!N404="","",Associates_Call_List_PQ!N404)</f>
        <v>No</v>
      </c>
      <c r="O404" s="57" t="str">
        <f>IF(Associates_Call_List_PQ!O404="","",Associates_Call_List_PQ!O404)</f>
        <v>Yes</v>
      </c>
      <c r="P404" s="57" t="str">
        <f>IF(Associates_Call_List_PQ!P404="","",Associates_Call_List_PQ!P404)</f>
        <v>N</v>
      </c>
      <c r="Q404" s="57">
        <f>IF(Associates_Call_List_PQ!Q404="","",Associates_Call_List_PQ!Q404)</f>
        <v>45966</v>
      </c>
      <c r="R404" s="57" t="str">
        <f>IF(Associates_Call_List_PQ!R404="","",Associates_Call_List_PQ!R404)</f>
        <v/>
      </c>
      <c r="S404" s="57" t="str">
        <f>IF(Associates_Call_List_PQ!S404="","",Associates_Call_List_PQ!S404)</f>
        <v/>
      </c>
      <c r="T404" s="57" t="str">
        <f>IF(Associates_Call_List_PQ!T404="","",Associates_Call_List_PQ!T404)</f>
        <v/>
      </c>
      <c r="U404" s="57" t="str">
        <f>IF(Associates_Call_List_PQ!U404="","",Associates_Call_List_PQ!U404)</f>
        <v/>
      </c>
      <c r="V404" s="68"/>
      <c r="W404" s="68" t="s">
        <v>5432</v>
      </c>
      <c r="X404" s="68"/>
      <c r="Y404" s="68"/>
      <c r="Z404" s="72"/>
    </row>
    <row r="405" spans="1:26">
      <c r="A405" s="71">
        <f>IFERROR(Associates_Call_List_PQ!A405,"")</f>
        <v>45905</v>
      </c>
      <c r="B405" s="57" t="str">
        <f>IF(Associates_Call_List_PQ!B405="","",Associates_Call_List_PQ!B405)</f>
        <v>Flam</v>
      </c>
      <c r="C405" s="57" t="str">
        <f>IF(Associates_Call_List_PQ!C405="","",Associates_Call_List_PQ!C405)</f>
        <v>Sara</v>
      </c>
      <c r="D405" s="57" t="str">
        <f>IF(Associates_Call_List_PQ!D405="","",Associates_Call_List_PQ!D405)</f>
        <v>Gilbert</v>
      </c>
      <c r="E405" s="58">
        <f>IF(Associates_Call_List_PQ!E405="","",Associates_Call_List_PQ!E405)</f>
        <v>85233</v>
      </c>
      <c r="F405" s="57" t="str">
        <f>IF(Associates_Call_List_PQ!F405="","",Associates_Call_List_PQ!F405)</f>
        <v>Opposed</v>
      </c>
      <c r="G405" s="57" t="str">
        <f>IF(Associates_Call_List_PQ!G405="","",Associates_Call_List_PQ!G405)</f>
        <v>https://images.edocket.azcc.gov/docketpdf/E000046230.pdf</v>
      </c>
      <c r="H405" s="59" t="str">
        <f>IF(Associates_Call_List_PQ!H405="","",Associates_Call_List_PQ!H405)</f>
        <v xml:space="preserve">2550279335 </v>
      </c>
      <c r="I405" s="57" t="str">
        <f>IF(Associates_Call_List_PQ!I405="","",Associates_Call_List_PQ!I405)</f>
        <v>R3-47</v>
      </c>
      <c r="J405" s="57" t="str">
        <f>IF(Associates_Call_List_PQ!J405="","",Associates_Call_List_PQ!J405)</f>
        <v>No</v>
      </c>
      <c r="K405" s="57" t="str">
        <f>IF(Associates_Call_List_PQ!K405="","",Associates_Call_List_PQ!K405)</f>
        <v>No</v>
      </c>
      <c r="L405" s="57" t="str">
        <f>IF(Associates_Call_List_PQ!L405="","",Associates_Call_List_PQ!L405)</f>
        <v>Yes</v>
      </c>
      <c r="M405" s="57" t="str">
        <f>IF(Associates_Call_List_PQ!M405="","",Associates_Call_List_PQ!M405)</f>
        <v>No</v>
      </c>
      <c r="N405" s="57" t="str">
        <f>IF(Associates_Call_List_PQ!N405="","",Associates_Call_List_PQ!N405)</f>
        <v>No</v>
      </c>
      <c r="O405" s="57" t="str">
        <f>IF(Associates_Call_List_PQ!O405="","",Associates_Call_List_PQ!O405)</f>
        <v>Yes</v>
      </c>
      <c r="P405" s="57" t="str">
        <f>IF(Associates_Call_List_PQ!P405="","",Associates_Call_List_PQ!P405)</f>
        <v>N</v>
      </c>
      <c r="Q405" s="57">
        <f>IF(Associates_Call_List_PQ!Q405="","",Associates_Call_List_PQ!Q405)</f>
        <v>45966</v>
      </c>
      <c r="R405" s="57" t="str">
        <f>IF(Associates_Call_List_PQ!R405="","",Associates_Call_List_PQ!R405)</f>
        <v/>
      </c>
      <c r="S405" s="57" t="str">
        <f>IF(Associates_Call_List_PQ!S405="","",Associates_Call_List_PQ!S405)</f>
        <v/>
      </c>
      <c r="T405" s="57" t="str">
        <f>IF(Associates_Call_List_PQ!T405="","",Associates_Call_List_PQ!T405)</f>
        <v/>
      </c>
      <c r="U405" s="57" t="str">
        <f>IF(Associates_Call_List_PQ!U405="","",Associates_Call_List_PQ!U405)</f>
        <v/>
      </c>
      <c r="V405" s="68"/>
      <c r="W405" s="68" t="s">
        <v>5432</v>
      </c>
      <c r="X405" s="68"/>
      <c r="Y405" s="68"/>
      <c r="Z405" s="72"/>
    </row>
    <row r="406" spans="1:26">
      <c r="A406" s="71">
        <f>IFERROR(Associates_Call_List_PQ!A406,"")</f>
        <v>45905</v>
      </c>
      <c r="B406" s="57" t="str">
        <f>IF(Associates_Call_List_PQ!B406="","",Associates_Call_List_PQ!B406)</f>
        <v>Laszczak</v>
      </c>
      <c r="C406" s="57" t="str">
        <f>IF(Associates_Call_List_PQ!C406="","",Associates_Call_List_PQ!C406)</f>
        <v>Lauren</v>
      </c>
      <c r="D406" s="57" t="str">
        <f>IF(Associates_Call_List_PQ!D406="","",Associates_Call_List_PQ!D406)</f>
        <v>Phoenix</v>
      </c>
      <c r="E406" s="58">
        <f>IF(Associates_Call_List_PQ!E406="","",Associates_Call_List_PQ!E406)</f>
        <v>85020</v>
      </c>
      <c r="F406" s="57" t="str">
        <f>IF(Associates_Call_List_PQ!F406="","",Associates_Call_List_PQ!F406)</f>
        <v>Form letter</v>
      </c>
      <c r="G406" s="57" t="str">
        <f>IF(Associates_Call_List_PQ!G406="","",Associates_Call_List_PQ!G406)</f>
        <v>https://images.edocket.azcc.gov/docketpdf/E000046230.pdf</v>
      </c>
      <c r="H406" s="59" t="str">
        <f>IF(Associates_Call_List_PQ!H406="","",Associates_Call_List_PQ!H406)</f>
        <v xml:space="preserve">5718650660 </v>
      </c>
      <c r="I406" s="57" t="str">
        <f>IF(Associates_Call_List_PQ!I406="","",Associates_Call_List_PQ!I406)</f>
        <v>RTOUE47</v>
      </c>
      <c r="J406" s="57" t="str">
        <f>IF(Associates_Call_List_PQ!J406="","",Associates_Call_List_PQ!J406)</f>
        <v>No</v>
      </c>
      <c r="K406" s="57" t="str">
        <f>IF(Associates_Call_List_PQ!K406="","",Associates_Call_List_PQ!K406)</f>
        <v>No</v>
      </c>
      <c r="L406" s="57" t="str">
        <f>IF(Associates_Call_List_PQ!L406="","",Associates_Call_List_PQ!L406)</f>
        <v>No R-XS($56.43)</v>
      </c>
      <c r="M406" s="57" t="str">
        <f>IF(Associates_Call_List_PQ!M406="","",Associates_Call_List_PQ!M406)</f>
        <v>No</v>
      </c>
      <c r="N406" s="57" t="str">
        <f>IF(Associates_Call_List_PQ!N406="","",Associates_Call_List_PQ!N406)</f>
        <v>No</v>
      </c>
      <c r="O406" s="57" t="str">
        <f>IF(Associates_Call_List_PQ!O406="","",Associates_Call_List_PQ!O406)</f>
        <v>Yes</v>
      </c>
      <c r="P406" s="57" t="str">
        <f>IF(Associates_Call_List_PQ!P406="","",Associates_Call_List_PQ!P406)</f>
        <v>N</v>
      </c>
      <c r="Q406" s="57">
        <f>IF(Associates_Call_List_PQ!Q406="","",Associates_Call_List_PQ!Q406)</f>
        <v>45966</v>
      </c>
      <c r="R406" s="57" t="str">
        <f>IF(Associates_Call_List_PQ!R406="","",Associates_Call_List_PQ!R406)</f>
        <v/>
      </c>
      <c r="S406" s="57" t="str">
        <f>IF(Associates_Call_List_PQ!S406="","",Associates_Call_List_PQ!S406)</f>
        <v/>
      </c>
      <c r="T406" s="57" t="str">
        <f>IF(Associates_Call_List_PQ!T406="","",Associates_Call_List_PQ!T406)</f>
        <v/>
      </c>
      <c r="U406" s="57" t="s">
        <v>5513</v>
      </c>
      <c r="V406" s="68" t="s">
        <v>117</v>
      </c>
      <c r="W406" s="68">
        <v>46046</v>
      </c>
      <c r="X406" s="68" t="s">
        <v>5434</v>
      </c>
      <c r="Y406" s="68"/>
      <c r="Z406" s="72"/>
    </row>
    <row r="407" spans="1:26">
      <c r="A407" s="71">
        <f>IFERROR(Associates_Call_List_PQ!A407,"")</f>
        <v>45905</v>
      </c>
      <c r="B407" s="57" t="str">
        <f>IF(Associates_Call_List_PQ!B407="","",Associates_Call_List_PQ!B407)</f>
        <v>Blocker</v>
      </c>
      <c r="C407" s="57" t="str">
        <f>IF(Associates_Call_List_PQ!C407="","",Associates_Call_List_PQ!C407)</f>
        <v>Nicholas</v>
      </c>
      <c r="D407" s="57" t="str">
        <f>IF(Associates_Call_List_PQ!D407="","",Associates_Call_List_PQ!D407)</f>
        <v>Surprise</v>
      </c>
      <c r="E407" s="58">
        <f>IF(Associates_Call_List_PQ!E407="","",Associates_Call_List_PQ!E407)</f>
        <v>85387</v>
      </c>
      <c r="F407" s="57" t="str">
        <f>IF(Associates_Call_List_PQ!F407="","",Associates_Call_List_PQ!F407)</f>
        <v>Form letter</v>
      </c>
      <c r="G407" s="57" t="str">
        <f>IF(Associates_Call_List_PQ!G407="","",Associates_Call_List_PQ!G407)</f>
        <v>https://images.edocket.azcc.gov/docketpdf/E000046230.pdf</v>
      </c>
      <c r="H407" s="59" t="str">
        <f>IF(Associates_Call_List_PQ!H407="","",Associates_Call_List_PQ!H407)</f>
        <v xml:space="preserve">9800380431 </v>
      </c>
      <c r="I407" s="57" t="str">
        <f>IF(Associates_Call_List_PQ!I407="","",Associates_Call_List_PQ!I407)</f>
        <v>RTOUE47</v>
      </c>
      <c r="J407" s="57" t="str">
        <f>IF(Associates_Call_List_PQ!J407="","",Associates_Call_List_PQ!J407)</f>
        <v>No</v>
      </c>
      <c r="K407" s="57" t="str">
        <f>IF(Associates_Call_List_PQ!K407="","",Associates_Call_List_PQ!K407)</f>
        <v>No</v>
      </c>
      <c r="L407" s="57" t="str">
        <f>IF(Associates_Call_List_PQ!L407="","",Associates_Call_List_PQ!L407)</f>
        <v>No MEP R3-47(439.76)</v>
      </c>
      <c r="M407" s="57" t="str">
        <f>IF(Associates_Call_List_PQ!M407="","",Associates_Call_List_PQ!M407)</f>
        <v>No</v>
      </c>
      <c r="N407" s="57" t="str">
        <f>IF(Associates_Call_List_PQ!N407="","",Associates_Call_List_PQ!N407)</f>
        <v>No</v>
      </c>
      <c r="O407" s="57" t="str">
        <f>IF(Associates_Call_List_PQ!O407="","",Associates_Call_List_PQ!O407)</f>
        <v>Yes</v>
      </c>
      <c r="P407" s="57">
        <f>IF(Associates_Call_List_PQ!P407="","",Associates_Call_List_PQ!P407)</f>
        <v>45936</v>
      </c>
      <c r="Q407" s="57">
        <f>IF(Associates_Call_List_PQ!Q407="","",Associates_Call_List_PQ!Q407)</f>
        <v>45966</v>
      </c>
      <c r="R407" s="57" t="str">
        <f>IF(Associates_Call_List_PQ!R407="","",Associates_Call_List_PQ!R407)</f>
        <v>COR will review with his wife before changing the rate plan - 11/3 Customer initiated rate change</v>
      </c>
      <c r="S407" s="57" t="str">
        <f>IF(Associates_Call_List_PQ!S407="","",Associates_Call_List_PQ!S407)</f>
        <v/>
      </c>
      <c r="T407" s="57" t="str">
        <f>IF(Associates_Call_List_PQ!T407="","",Associates_Call_List_PQ!T407)</f>
        <v/>
      </c>
      <c r="U407" s="57" t="s">
        <v>5607</v>
      </c>
      <c r="V407" s="68" t="s">
        <v>117</v>
      </c>
      <c r="W407" s="68">
        <v>46060</v>
      </c>
      <c r="X407" s="68" t="s">
        <v>5434</v>
      </c>
      <c r="Y407" s="68"/>
      <c r="Z407" s="72"/>
    </row>
    <row r="408" spans="1:26">
      <c r="A408" s="71">
        <f>IFERROR(Associates_Call_List_PQ!A408,"")</f>
        <v>45905</v>
      </c>
      <c r="B408" s="57" t="str">
        <f>IF(Associates_Call_List_PQ!B408="","",Associates_Call_List_PQ!B408)</f>
        <v>Kwon</v>
      </c>
      <c r="C408" s="57" t="str">
        <f>IF(Associates_Call_List_PQ!C408="","",Associates_Call_List_PQ!C408)</f>
        <v>Grace</v>
      </c>
      <c r="D408" s="57" t="str">
        <f>IF(Associates_Call_List_PQ!D408="","",Associates_Call_List_PQ!D408)</f>
        <v>Phoenix</v>
      </c>
      <c r="E408" s="58">
        <f>IF(Associates_Call_List_PQ!E408="","",Associates_Call_List_PQ!E408)</f>
        <v>85024</v>
      </c>
      <c r="F408" s="57" t="str">
        <f>IF(Associates_Call_List_PQ!F408="","",Associates_Call_List_PQ!F408)</f>
        <v>Form letter</v>
      </c>
      <c r="G408" s="57" t="str">
        <f>IF(Associates_Call_List_PQ!G408="","",Associates_Call_List_PQ!G408)</f>
        <v>https://images.edocket.azcc.gov/docketpdf/E000046230.pdf</v>
      </c>
      <c r="H408" s="59" t="str">
        <f>IF(Associates_Call_List_PQ!H408="","",Associates_Call_List_PQ!H408)</f>
        <v xml:space="preserve">3505331000 </v>
      </c>
      <c r="I408" s="57" t="str">
        <f>IF(Associates_Call_List_PQ!I408="","",Associates_Call_List_PQ!I408)</f>
        <v>R3-47</v>
      </c>
      <c r="J408" s="57" t="str">
        <f>IF(Associates_Call_List_PQ!J408="","",Associates_Call_List_PQ!J408)</f>
        <v>No</v>
      </c>
      <c r="K408" s="57" t="str">
        <f>IF(Associates_Call_List_PQ!K408="","",Associates_Call_List_PQ!K408)</f>
        <v>No</v>
      </c>
      <c r="L408" s="57" t="str">
        <f>IF(Associates_Call_List_PQ!L408="","",Associates_Call_List_PQ!L408)</f>
        <v>Yes</v>
      </c>
      <c r="M408" s="57" t="str">
        <f>IF(Associates_Call_List_PQ!M408="","",Associates_Call_List_PQ!M408)</f>
        <v>No</v>
      </c>
      <c r="N408" s="57" t="str">
        <f>IF(Associates_Call_List_PQ!N408="","",Associates_Call_List_PQ!N408)</f>
        <v>No</v>
      </c>
      <c r="O408" s="57" t="str">
        <f>IF(Associates_Call_List_PQ!O408="","",Associates_Call_List_PQ!O408)</f>
        <v>Yes</v>
      </c>
      <c r="P408" s="57" t="str">
        <f>IF(Associates_Call_List_PQ!P408="","",Associates_Call_List_PQ!P408)</f>
        <v>N</v>
      </c>
      <c r="Q408" s="57">
        <f>IF(Associates_Call_List_PQ!Q408="","",Associates_Call_List_PQ!Q408)</f>
        <v>45966</v>
      </c>
      <c r="R408" s="57" t="str">
        <f>IF(Associates_Call_List_PQ!R408="","",Associates_Call_List_PQ!R408)</f>
        <v/>
      </c>
      <c r="S408" s="57" t="str">
        <f>IF(Associates_Call_List_PQ!S408="","",Associates_Call_List_PQ!S408)</f>
        <v/>
      </c>
      <c r="T408" s="57" t="str">
        <f>IF(Associates_Call_List_PQ!T408="","",Associates_Call_List_PQ!T408)</f>
        <v/>
      </c>
      <c r="U408" s="57" t="str">
        <f>IF(Associates_Call_List_PQ!U408="","",Associates_Call_List_PQ!U408)</f>
        <v/>
      </c>
      <c r="V408" s="68"/>
      <c r="W408" s="68" t="s">
        <v>5432</v>
      </c>
      <c r="X408" s="68"/>
      <c r="Y408" s="68"/>
      <c r="Z408" s="72"/>
    </row>
    <row r="409" spans="1:26">
      <c r="A409" s="71">
        <f>IFERROR(Associates_Call_List_PQ!A409,"")</f>
        <v>45905</v>
      </c>
      <c r="B409" s="57" t="str">
        <f>IF(Associates_Call_List_PQ!B409="","",Associates_Call_List_PQ!B409)</f>
        <v>Sacrison</v>
      </c>
      <c r="C409" s="57" t="str">
        <f>IF(Associates_Call_List_PQ!C409="","",Associates_Call_List_PQ!C409)</f>
        <v>Robert</v>
      </c>
      <c r="D409" s="57" t="str">
        <f>IF(Associates_Call_List_PQ!D409="","",Associates_Call_List_PQ!D409)</f>
        <v>Avondale</v>
      </c>
      <c r="E409" s="58">
        <f>IF(Associates_Call_List_PQ!E409="","",Associates_Call_List_PQ!E409)</f>
        <v>85392</v>
      </c>
      <c r="F409" s="57" t="str">
        <f>IF(Associates_Call_List_PQ!F409="","",Associates_Call_List_PQ!F409)</f>
        <v>Opposed</v>
      </c>
      <c r="G409" s="57" t="str">
        <f>IF(Associates_Call_List_PQ!G409="","",Associates_Call_List_PQ!G409)</f>
        <v>https://images.edocket.azcc.gov/docketpdf/E000046230.pdf</v>
      </c>
      <c r="H409" s="59" t="str">
        <f>IF(Associates_Call_List_PQ!H409="","",Associates_Call_List_PQ!H409)</f>
        <v>3207210000 </v>
      </c>
      <c r="I409" s="57" t="str">
        <f>IF(Associates_Call_List_PQ!I409="","",Associates_Call_List_PQ!I409)</f>
        <v>RTOUE47</v>
      </c>
      <c r="J409" s="57" t="str">
        <f>IF(Associates_Call_List_PQ!J409="","",Associates_Call_List_PQ!J409)</f>
        <v>No</v>
      </c>
      <c r="K409" s="57" t="str">
        <f>IF(Associates_Call_List_PQ!K409="","",Associates_Call_List_PQ!K409)</f>
        <v>No</v>
      </c>
      <c r="L409" s="57" t="str">
        <f>IF(Associates_Call_List_PQ!L409="","",Associates_Call_List_PQ!L409)</f>
        <v>No MEP R3-47($221.11)</v>
      </c>
      <c r="M409" s="57" t="str">
        <f>IF(Associates_Call_List_PQ!M409="","",Associates_Call_List_PQ!M409)</f>
        <v>No</v>
      </c>
      <c r="N409" s="57" t="str">
        <f>IF(Associates_Call_List_PQ!N409="","",Associates_Call_List_PQ!N409)</f>
        <v>No</v>
      </c>
      <c r="O409" s="57" t="str">
        <f>IF(Associates_Call_List_PQ!O409="","",Associates_Call_List_PQ!O409)</f>
        <v>Yes</v>
      </c>
      <c r="P409" s="57">
        <f>IF(Associates_Call_List_PQ!P409="","",Associates_Call_List_PQ!P409)</f>
        <v>45936</v>
      </c>
      <c r="Q409" s="57">
        <f>IF(Associates_Call_List_PQ!Q409="","",Associates_Call_List_PQ!Q409)</f>
        <v>45966</v>
      </c>
      <c r="R409" s="57" t="str">
        <f>IF(Associates_Call_List_PQ!R409="","",Associates_Call_List_PQ!R409)</f>
        <v>10/06/2025 left VM</v>
      </c>
      <c r="S409" s="57" t="str">
        <f>IF(Associates_Call_List_PQ!S409="","",Associates_Call_List_PQ!S409)</f>
        <v/>
      </c>
      <c r="T409" s="57" t="str">
        <f>IF(Associates_Call_List_PQ!T409="","",Associates_Call_List_PQ!T409)</f>
        <v/>
      </c>
      <c r="U409" s="57" t="s">
        <v>5513</v>
      </c>
      <c r="V409" s="68" t="s">
        <v>117</v>
      </c>
      <c r="W409" s="68">
        <v>46046</v>
      </c>
      <c r="X409" s="68" t="s">
        <v>5434</v>
      </c>
      <c r="Y409" s="68"/>
      <c r="Z409" s="72"/>
    </row>
    <row r="410" spans="1:26">
      <c r="A410" s="71">
        <f>IFERROR(Associates_Call_List_PQ!A410,"")</f>
        <v>45905</v>
      </c>
      <c r="B410" s="57" t="str">
        <f>IF(Associates_Call_List_PQ!B410="","",Associates_Call_List_PQ!B410)</f>
        <v>Hernandez</v>
      </c>
      <c r="C410" s="57" t="str">
        <f>IF(Associates_Call_List_PQ!C410="","",Associates_Call_List_PQ!C410)</f>
        <v>Cathy</v>
      </c>
      <c r="D410" s="57" t="str">
        <f>IF(Associates_Call_List_PQ!D410="","",Associates_Call_List_PQ!D410)</f>
        <v>Goodyear</v>
      </c>
      <c r="E410" s="58">
        <f>IF(Associates_Call_List_PQ!E410="","",Associates_Call_List_PQ!E410)</f>
        <v>85338</v>
      </c>
      <c r="F410" s="57" t="str">
        <f>IF(Associates_Call_List_PQ!F410="","",Associates_Call_List_PQ!F410)</f>
        <v xml:space="preserve">Monopoly,  </v>
      </c>
      <c r="G410" s="57" t="str">
        <f>IF(Associates_Call_List_PQ!G410="","",Associates_Call_List_PQ!G410)</f>
        <v>https://images.edocket.azcc.gov/docketpdf/E000046230.pdf</v>
      </c>
      <c r="H410" s="59" t="str">
        <f>IF(Associates_Call_List_PQ!H410="","",Associates_Call_List_PQ!H410)</f>
        <v xml:space="preserve">7114611000 </v>
      </c>
      <c r="I410" s="57" t="str">
        <f>IF(Associates_Call_List_PQ!I410="","",Associates_Call_List_PQ!I410)</f>
        <v>R3-47</v>
      </c>
      <c r="J410" s="57" t="str">
        <f>IF(Associates_Call_List_PQ!J410="","",Associates_Call_List_PQ!J410)</f>
        <v>No</v>
      </c>
      <c r="K410" s="57" t="str">
        <f>IF(Associates_Call_List_PQ!K410="","",Associates_Call_List_PQ!K410)</f>
        <v>No</v>
      </c>
      <c r="L410" s="57" t="str">
        <f>IF(Associates_Call_List_PQ!L410="","",Associates_Call_List_PQ!L410)</f>
        <v>Yes</v>
      </c>
      <c r="M410" s="57" t="str">
        <f>IF(Associates_Call_List_PQ!M410="","",Associates_Call_List_PQ!M410)</f>
        <v>No</v>
      </c>
      <c r="N410" s="57" t="str">
        <f>IF(Associates_Call_List_PQ!N410="","",Associates_Call_List_PQ!N410)</f>
        <v>No</v>
      </c>
      <c r="O410" s="57" t="str">
        <f>IF(Associates_Call_List_PQ!O410="","",Associates_Call_List_PQ!O410)</f>
        <v>Yes</v>
      </c>
      <c r="P410" s="57" t="str">
        <f>IF(Associates_Call_List_PQ!P410="","",Associates_Call_List_PQ!P410)</f>
        <v>N</v>
      </c>
      <c r="Q410" s="57">
        <f>IF(Associates_Call_List_PQ!Q410="","",Associates_Call_List_PQ!Q410)</f>
        <v>45966</v>
      </c>
      <c r="R410" s="57" t="str">
        <f>IF(Associates_Call_List_PQ!R410="","",Associates_Call_List_PQ!R410)</f>
        <v/>
      </c>
      <c r="S410" s="57" t="str">
        <f>IF(Associates_Call_List_PQ!S410="","",Associates_Call_List_PQ!S410)</f>
        <v/>
      </c>
      <c r="T410" s="57" t="str">
        <f>IF(Associates_Call_List_PQ!T410="","",Associates_Call_List_PQ!T410)</f>
        <v/>
      </c>
      <c r="U410" s="57" t="str">
        <f>IF(Associates_Call_List_PQ!U410="","",Associates_Call_List_PQ!U410)</f>
        <v/>
      </c>
      <c r="V410" s="68"/>
      <c r="W410" s="68" t="s">
        <v>5432</v>
      </c>
      <c r="X410" s="68"/>
      <c r="Y410" s="68"/>
      <c r="Z410" s="72"/>
    </row>
    <row r="411" spans="1:26">
      <c r="A411" s="71">
        <f>IFERROR(Associates_Call_List_PQ!A411,"")</f>
        <v>45905</v>
      </c>
      <c r="B411" s="57" t="str">
        <f>IF(Associates_Call_List_PQ!B411="","",Associates_Call_List_PQ!B411)</f>
        <v>Pierce</v>
      </c>
      <c r="C411" s="57" t="str">
        <f>IF(Associates_Call_List_PQ!C411="","",Associates_Call_List_PQ!C411)</f>
        <v>Coleen</v>
      </c>
      <c r="D411" s="57" t="str">
        <f>IF(Associates_Call_List_PQ!D411="","",Associates_Call_List_PQ!D411)</f>
        <v>Goodyear</v>
      </c>
      <c r="E411" s="58">
        <f>IF(Associates_Call_List_PQ!E411="","",Associates_Call_List_PQ!E411)</f>
        <v>85338</v>
      </c>
      <c r="F411" s="57" t="str">
        <f>IF(Associates_Call_List_PQ!F411="","",Associates_Call_List_PQ!F411)</f>
        <v xml:space="preserve">Senior/Fixed Income </v>
      </c>
      <c r="G411" s="57" t="str">
        <f>IF(Associates_Call_List_PQ!G411="","",Associates_Call_List_PQ!G411)</f>
        <v>https://images.edocket.azcc.gov/docketpdf/E000046230.pdf</v>
      </c>
      <c r="H411" s="59" t="str">
        <f>IF(Associates_Call_List_PQ!H411="","",Associates_Call_List_PQ!H411)</f>
        <v xml:space="preserve">2942450000 </v>
      </c>
      <c r="I411" s="57" t="str">
        <f>IF(Associates_Call_List_PQ!I411="","",Associates_Call_List_PQ!I411)</f>
        <v>EPR-6w/ET-2</v>
      </c>
      <c r="J411" s="57" t="str">
        <f>IF(Associates_Call_List_PQ!J411="","",Associates_Call_List_PQ!J411)</f>
        <v>No</v>
      </c>
      <c r="K411" s="57" t="str">
        <f>IF(Associates_Call_List_PQ!K411="","",Associates_Call_List_PQ!K411)</f>
        <v>No</v>
      </c>
      <c r="L411" s="57" t="str">
        <f>IF(Associates_Call_List_PQ!L411="","",Associates_Call_List_PQ!L411)</f>
        <v>Frozen Rate</v>
      </c>
      <c r="M411" s="57" t="str">
        <f>IF(Associates_Call_List_PQ!M411="","",Associates_Call_List_PQ!M411)</f>
        <v>No</v>
      </c>
      <c r="N411" s="57" t="str">
        <f>IF(Associates_Call_List_PQ!N411="","",Associates_Call_List_PQ!N411)</f>
        <v>No</v>
      </c>
      <c r="O411" s="57" t="str">
        <f>IF(Associates_Call_List_PQ!O411="","",Associates_Call_List_PQ!O411)</f>
        <v>Yes</v>
      </c>
      <c r="P411" s="57" t="str">
        <f>IF(Associates_Call_List_PQ!P411="","",Associates_Call_List_PQ!P411)</f>
        <v>N</v>
      </c>
      <c r="Q411" s="57">
        <f>IF(Associates_Call_List_PQ!Q411="","",Associates_Call_List_PQ!Q411)</f>
        <v>45966</v>
      </c>
      <c r="R411" s="57" t="str">
        <f>IF(Associates_Call_List_PQ!R411="","",Associates_Call_List_PQ!R411)</f>
        <v/>
      </c>
      <c r="S411" s="57" t="str">
        <f>IF(Associates_Call_List_PQ!S411="","",Associates_Call_List_PQ!S411)</f>
        <v/>
      </c>
      <c r="T411" s="57" t="str">
        <f>IF(Associates_Call_List_PQ!T411="","",Associates_Call_List_PQ!T411)</f>
        <v/>
      </c>
      <c r="U411" s="57" t="str">
        <f>IF(Associates_Call_List_PQ!U411="","",Associates_Call_List_PQ!U411)</f>
        <v/>
      </c>
      <c r="V411" s="68"/>
      <c r="W411" s="68" t="s">
        <v>5432</v>
      </c>
      <c r="X411" s="68"/>
      <c r="Y411" s="68"/>
      <c r="Z411" s="72"/>
    </row>
    <row r="412" spans="1:26">
      <c r="A412" s="71">
        <f>IFERROR(Associates_Call_List_PQ!A412,"")</f>
        <v>45905</v>
      </c>
      <c r="B412" s="57" t="str">
        <f>IF(Associates_Call_List_PQ!B412="","",Associates_Call_List_PQ!B412)</f>
        <v>Sedillo</v>
      </c>
      <c r="C412" s="57" t="str">
        <f>IF(Associates_Call_List_PQ!C412="","",Associates_Call_List_PQ!C412)</f>
        <v>Sidney</v>
      </c>
      <c r="D412" s="57" t="str">
        <f>IF(Associates_Call_List_PQ!D412="","",Associates_Call_List_PQ!D412)</f>
        <v>Chandler</v>
      </c>
      <c r="E412" s="58">
        <f>IF(Associates_Call_List_PQ!E412="","",Associates_Call_List_PQ!E412)</f>
        <v>85225</v>
      </c>
      <c r="F412" s="57" t="str">
        <f>IF(Associates_Call_List_PQ!F412="","",Associates_Call_List_PQ!F412)</f>
        <v>Form letter</v>
      </c>
      <c r="G412" s="57" t="str">
        <f>IF(Associates_Call_List_PQ!G412="","",Associates_Call_List_PQ!G412)</f>
        <v>https://images.edocket.azcc.gov/docketpdf/E000046230.pdf</v>
      </c>
      <c r="H412" s="59" t="str">
        <f>IF(Associates_Call_List_PQ!H412="","",Associates_Call_List_PQ!H412)</f>
        <v>0998552497</v>
      </c>
      <c r="I412" s="57" t="str">
        <f>IF(Associates_Call_List_PQ!I412="","",Associates_Call_List_PQ!I412)</f>
        <v>R3-47</v>
      </c>
      <c r="J412" s="57" t="str">
        <f>IF(Associates_Call_List_PQ!J412="","",Associates_Call_List_PQ!J412)</f>
        <v>Yes</v>
      </c>
      <c r="K412" s="57" t="str">
        <f>IF(Associates_Call_List_PQ!K412="","",Associates_Call_List_PQ!K412)</f>
        <v>No</v>
      </c>
      <c r="L412" s="57" t="str">
        <f>IF(Associates_Call_List_PQ!L412="","",Associates_Call_List_PQ!L412)</f>
        <v>NO MEP R-BASICL ($75.86)</v>
      </c>
      <c r="M412" s="57" t="str">
        <f>IF(Associates_Call_List_PQ!M412="","",Associates_Call_List_PQ!M412)</f>
        <v>No</v>
      </c>
      <c r="N412" s="57" t="str">
        <f>IF(Associates_Call_List_PQ!N412="","",Associates_Call_List_PQ!N412)</f>
        <v>No</v>
      </c>
      <c r="O412" s="57" t="str">
        <f>IF(Associates_Call_List_PQ!O412="","",Associates_Call_List_PQ!O412)</f>
        <v>Yes</v>
      </c>
      <c r="P412" s="57" t="str">
        <f>IF(Associates_Call_List_PQ!P412="","",Associates_Call_List_PQ!P412)</f>
        <v>N</v>
      </c>
      <c r="Q412" s="57">
        <f>IF(Associates_Call_List_PQ!Q412="","",Associates_Call_List_PQ!Q412)</f>
        <v>45966</v>
      </c>
      <c r="R412" s="57" t="str">
        <f>IF(Associates_Call_List_PQ!R412="","",Associates_Call_List_PQ!R412)</f>
        <v/>
      </c>
      <c r="S412" s="57" t="str">
        <f>IF(Associates_Call_List_PQ!S412="","",Associates_Call_List_PQ!S412)</f>
        <v/>
      </c>
      <c r="T412" s="57" t="str">
        <f>IF(Associates_Call_List_PQ!T412="","",Associates_Call_List_PQ!T412)</f>
        <v/>
      </c>
      <c r="U412" s="57" t="s">
        <v>5513</v>
      </c>
      <c r="V412" s="68" t="s">
        <v>117</v>
      </c>
      <c r="W412" s="68">
        <v>46053</v>
      </c>
      <c r="X412" s="68" t="s">
        <v>5434</v>
      </c>
      <c r="Y412" s="68"/>
      <c r="Z412" s="72"/>
    </row>
    <row r="413" spans="1:26">
      <c r="A413" s="71">
        <f>IFERROR(Associates_Call_List_PQ!A413,"")</f>
        <v>45905</v>
      </c>
      <c r="B413" s="57" t="str">
        <f>IF(Associates_Call_List_PQ!B413="","",Associates_Call_List_PQ!B413)</f>
        <v>Wallace</v>
      </c>
      <c r="C413" s="57" t="str">
        <f>IF(Associates_Call_List_PQ!C413="","",Associates_Call_List_PQ!C413)</f>
        <v>Justin</v>
      </c>
      <c r="D413" s="57" t="str">
        <f>IF(Associates_Call_List_PQ!D413="","",Associates_Call_List_PQ!D413)</f>
        <v>Scottsdale</v>
      </c>
      <c r="E413" s="58">
        <f>IF(Associates_Call_List_PQ!E413="","",Associates_Call_List_PQ!E413)</f>
        <v>85254</v>
      </c>
      <c r="F413" s="57" t="str">
        <f>IF(Associates_Call_List_PQ!F413="","",Associates_Call_List_PQ!F413)</f>
        <v>Form letter</v>
      </c>
      <c r="G413" s="57" t="str">
        <f>IF(Associates_Call_List_PQ!G413="","",Associates_Call_List_PQ!G413)</f>
        <v>https://images.edocket.azcc.gov/docketpdf/E000046230.pdf</v>
      </c>
      <c r="H413" s="59" t="str">
        <f>IF(Associates_Call_List_PQ!H413="","",Associates_Call_List_PQ!H413)</f>
        <v>1440430000 </v>
      </c>
      <c r="I413" s="57" t="str">
        <f>IF(Associates_Call_List_PQ!I413="","",Associates_Call_List_PQ!I413)</f>
        <v>R3-47</v>
      </c>
      <c r="J413" s="57" t="str">
        <f>IF(Associates_Call_List_PQ!J413="","",Associates_Call_List_PQ!J413)</f>
        <v>No</v>
      </c>
      <c r="K413" s="57" t="str">
        <f>IF(Associates_Call_List_PQ!K413="","",Associates_Call_List_PQ!K413)</f>
        <v>No</v>
      </c>
      <c r="L413" s="57" t="str">
        <f>IF(Associates_Call_List_PQ!L413="","",Associates_Call_List_PQ!L413)</f>
        <v>Yes</v>
      </c>
      <c r="M413" s="57" t="str">
        <f>IF(Associates_Call_List_PQ!M413="","",Associates_Call_List_PQ!M413)</f>
        <v>No</v>
      </c>
      <c r="N413" s="57" t="str">
        <f>IF(Associates_Call_List_PQ!N413="","",Associates_Call_List_PQ!N413)</f>
        <v>No</v>
      </c>
      <c r="O413" s="57" t="str">
        <f>IF(Associates_Call_List_PQ!O413="","",Associates_Call_List_PQ!O413)</f>
        <v>Yes</v>
      </c>
      <c r="P413" s="57" t="str">
        <f>IF(Associates_Call_List_PQ!P413="","",Associates_Call_List_PQ!P413)</f>
        <v>N</v>
      </c>
      <c r="Q413" s="57">
        <f>IF(Associates_Call_List_PQ!Q413="","",Associates_Call_List_PQ!Q413)</f>
        <v>45966</v>
      </c>
      <c r="R413" s="57" t="str">
        <f>IF(Associates_Call_List_PQ!R413="","",Associates_Call_List_PQ!R413)</f>
        <v/>
      </c>
      <c r="S413" s="57" t="str">
        <f>IF(Associates_Call_List_PQ!S413="","",Associates_Call_List_PQ!S413)</f>
        <v/>
      </c>
      <c r="T413" s="57" t="str">
        <f>IF(Associates_Call_List_PQ!T413="","",Associates_Call_List_PQ!T413)</f>
        <v/>
      </c>
      <c r="U413" s="57" t="str">
        <f>IF(Associates_Call_List_PQ!U413="","",Associates_Call_List_PQ!U413)</f>
        <v/>
      </c>
      <c r="V413" s="68"/>
      <c r="W413" s="68" t="s">
        <v>5432</v>
      </c>
      <c r="X413" s="68"/>
      <c r="Y413" s="68"/>
      <c r="Z413" s="72"/>
    </row>
    <row r="414" spans="1:26">
      <c r="A414" s="71">
        <f>IFERROR(Associates_Call_List_PQ!A414,"")</f>
        <v>45905</v>
      </c>
      <c r="B414" s="57" t="str">
        <f>IF(Associates_Call_List_PQ!B414="","",Associates_Call_List_PQ!B414)</f>
        <v>Roe</v>
      </c>
      <c r="C414" s="57" t="str">
        <f>IF(Associates_Call_List_PQ!C414="","",Associates_Call_List_PQ!C414)</f>
        <v>Sandy</v>
      </c>
      <c r="D414" s="57" t="str">
        <f>IF(Associates_Call_List_PQ!D414="","",Associates_Call_List_PQ!D414)</f>
        <v>Goodyear</v>
      </c>
      <c r="E414" s="58">
        <f>IF(Associates_Call_List_PQ!E414="","",Associates_Call_List_PQ!E414)</f>
        <v>85395</v>
      </c>
      <c r="F414" s="57" t="str">
        <f>IF(Associates_Call_List_PQ!F414="","",Associates_Call_List_PQ!F414)</f>
        <v>Opposed</v>
      </c>
      <c r="G414" s="57" t="str">
        <f>IF(Associates_Call_List_PQ!G414="","",Associates_Call_List_PQ!G414)</f>
        <v>https://images.edocket.azcc.gov/docketpdf/E000046230.pdf</v>
      </c>
      <c r="H414" s="59" t="str">
        <f>IF(Associates_Call_List_PQ!H414="","",Associates_Call_List_PQ!H414)</f>
        <v xml:space="preserve">4490163832 </v>
      </c>
      <c r="I414" s="57" t="str">
        <f>IF(Associates_Call_List_PQ!I414="","",Associates_Call_List_PQ!I414)</f>
        <v>R-XS</v>
      </c>
      <c r="J414" s="57" t="str">
        <f>IF(Associates_Call_List_PQ!J414="","",Associates_Call_List_PQ!J414)</f>
        <v>No</v>
      </c>
      <c r="K414" s="57" t="str">
        <f>IF(Associates_Call_List_PQ!K414="","",Associates_Call_List_PQ!K414)</f>
        <v>No</v>
      </c>
      <c r="L414" s="57" t="str">
        <f>IF(Associates_Call_List_PQ!L414="","",Associates_Call_List_PQ!L414)</f>
        <v>Yes</v>
      </c>
      <c r="M414" s="57" t="str">
        <f>IF(Associates_Call_List_PQ!M414="","",Associates_Call_List_PQ!M414)</f>
        <v>No</v>
      </c>
      <c r="N414" s="57" t="str">
        <f>IF(Associates_Call_List_PQ!N414="","",Associates_Call_List_PQ!N414)</f>
        <v>No</v>
      </c>
      <c r="O414" s="57" t="str">
        <f>IF(Associates_Call_List_PQ!O414="","",Associates_Call_List_PQ!O414)</f>
        <v>Yes</v>
      </c>
      <c r="P414" s="57" t="str">
        <f>IF(Associates_Call_List_PQ!P414="","",Associates_Call_List_PQ!P414)</f>
        <v>N</v>
      </c>
      <c r="Q414" s="57">
        <f>IF(Associates_Call_List_PQ!Q414="","",Associates_Call_List_PQ!Q414)</f>
        <v>45966</v>
      </c>
      <c r="R414" s="57" t="str">
        <f>IF(Associates_Call_List_PQ!R414="","",Associates_Call_List_PQ!R414)</f>
        <v/>
      </c>
      <c r="S414" s="57" t="str">
        <f>IF(Associates_Call_List_PQ!S414="","",Associates_Call_List_PQ!S414)</f>
        <v/>
      </c>
      <c r="T414" s="57" t="str">
        <f>IF(Associates_Call_List_PQ!T414="","",Associates_Call_List_PQ!T414)</f>
        <v/>
      </c>
      <c r="U414" s="57" t="str">
        <f>IF(Associates_Call_List_PQ!U414="","",Associates_Call_List_PQ!U414)</f>
        <v/>
      </c>
      <c r="V414" s="68"/>
      <c r="W414" s="68" t="s">
        <v>5432</v>
      </c>
      <c r="X414" s="68"/>
      <c r="Y414" s="68"/>
      <c r="Z414" s="72"/>
    </row>
    <row r="415" spans="1:26">
      <c r="A415" s="71">
        <f>IFERROR(Associates_Call_List_PQ!A415,"")</f>
        <v>45905</v>
      </c>
      <c r="B415" s="57" t="str">
        <f>IF(Associates_Call_List_PQ!B415="","",Associates_Call_List_PQ!B415)</f>
        <v>Richey</v>
      </c>
      <c r="C415" s="57" t="str">
        <f>IF(Associates_Call_List_PQ!C415="","",Associates_Call_List_PQ!C415)</f>
        <v>Sean</v>
      </c>
      <c r="D415" s="57" t="str">
        <f>IF(Associates_Call_List_PQ!D415="","",Associates_Call_List_PQ!D415)</f>
        <v>Phoenix</v>
      </c>
      <c r="E415" s="58">
        <f>IF(Associates_Call_List_PQ!E415="","",Associates_Call_List_PQ!E415)</f>
        <v>85028</v>
      </c>
      <c r="F415" s="57" t="str">
        <f>IF(Associates_Call_List_PQ!F415="","",Associates_Call_List_PQ!F415)</f>
        <v>Getting ridiculous</v>
      </c>
      <c r="G415" s="57" t="str">
        <f>IF(Associates_Call_List_PQ!G415="","",Associates_Call_List_PQ!G415)</f>
        <v>https://images.edocket.azcc.gov/docketpdf/E000046230.pdf</v>
      </c>
      <c r="H415" s="59" t="str">
        <f>IF(Associates_Call_List_PQ!H415="","",Associates_Call_List_PQ!H415)</f>
        <v xml:space="preserve">1880001294 </v>
      </c>
      <c r="I415" s="57" t="str">
        <f>IF(Associates_Call_List_PQ!I415="","",Associates_Call_List_PQ!I415)</f>
        <v>R3-47</v>
      </c>
      <c r="J415" s="57" t="str">
        <f>IF(Associates_Call_List_PQ!J415="","",Associates_Call_List_PQ!J415)</f>
        <v>Yes</v>
      </c>
      <c r="K415" s="57" t="str">
        <f>IF(Associates_Call_List_PQ!K415="","",Associates_Call_List_PQ!K415)</f>
        <v>No</v>
      </c>
      <c r="L415" s="57" t="str">
        <f>IF(Associates_Call_List_PQ!L415="","",Associates_Call_List_PQ!L415)</f>
        <v>Yes</v>
      </c>
      <c r="M415" s="57" t="str">
        <f>IF(Associates_Call_List_PQ!M415="","",Associates_Call_List_PQ!M415)</f>
        <v>Yes</v>
      </c>
      <c r="N415" s="57">
        <f>IF(Associates_Call_List_PQ!N415="","",Associates_Call_List_PQ!N415)</f>
        <v>414.43</v>
      </c>
      <c r="O415" s="57" t="str">
        <f>IF(Associates_Call_List_PQ!O415="","",Associates_Call_List_PQ!O415)</f>
        <v>Yes</v>
      </c>
      <c r="P415" s="57" t="str">
        <f>IF(Associates_Call_List_PQ!P415="","",Associates_Call_List_PQ!P415)</f>
        <v/>
      </c>
      <c r="Q415" s="57">
        <f>IF(Associates_Call_List_PQ!Q415="","",Associates_Call_List_PQ!Q415)</f>
        <v>45966</v>
      </c>
      <c r="R415" s="57" t="str">
        <f>IF(Associates_Call_List_PQ!R415="","",Associates_Call_List_PQ!R415)</f>
        <v>Assistance?</v>
      </c>
      <c r="S415" s="57" t="str">
        <f>IF(Associates_Call_List_PQ!S415="","",Associates_Call_List_PQ!S415)</f>
        <v/>
      </c>
      <c r="T415" s="57" t="str">
        <f>IF(Associates_Call_List_PQ!T415="","",Associates_Call_List_PQ!T415)</f>
        <v/>
      </c>
      <c r="U415" s="57" t="str">
        <f>IF(Associates_Call_List_PQ!U415="","",Associates_Call_List_PQ!U415)</f>
        <v/>
      </c>
      <c r="V415" s="68" t="s">
        <v>117</v>
      </c>
      <c r="W415" s="68">
        <v>46053</v>
      </c>
      <c r="X415" s="68" t="s">
        <v>5405</v>
      </c>
      <c r="Y415" s="68"/>
      <c r="Z415" s="72" t="s">
        <v>5608</v>
      </c>
    </row>
    <row r="416" spans="1:26">
      <c r="A416" s="71">
        <f>IFERROR(Associates_Call_List_PQ!A416,"")</f>
        <v>45905</v>
      </c>
      <c r="B416" s="57" t="str">
        <f>IF(Associates_Call_List_PQ!B416="","",Associates_Call_List_PQ!B416)</f>
        <v>Esman</v>
      </c>
      <c r="C416" s="57" t="str">
        <f>IF(Associates_Call_List_PQ!C416="","",Associates_Call_List_PQ!C416)</f>
        <v>Dava</v>
      </c>
      <c r="D416" s="57" t="str">
        <f>IF(Associates_Call_List_PQ!D416="","",Associates_Call_List_PQ!D416)</f>
        <v>Goodyear</v>
      </c>
      <c r="E416" s="58">
        <f>IF(Associates_Call_List_PQ!E416="","",Associates_Call_List_PQ!E416)</f>
        <v>85395</v>
      </c>
      <c r="F416" s="57" t="str">
        <f>IF(Associates_Call_List_PQ!F416="","",Associates_Call_List_PQ!F416)</f>
        <v>Unfair and discriminatory</v>
      </c>
      <c r="G416" s="57" t="str">
        <f>IF(Associates_Call_List_PQ!G416="","",Associates_Call_List_PQ!G416)</f>
        <v>https://images.edocket.azcc.gov/docketpdf/E000046230.pdf</v>
      </c>
      <c r="H416" s="59" t="str">
        <f>IF(Associates_Call_List_PQ!H416="","",Associates_Call_List_PQ!H416)</f>
        <v xml:space="preserve">8806340000 </v>
      </c>
      <c r="I416" s="57" t="str">
        <f>IF(Associates_Call_List_PQ!I416="","",Associates_Call_List_PQ!I416)</f>
        <v>RTOUE47</v>
      </c>
      <c r="J416" s="57" t="str">
        <f>IF(Associates_Call_List_PQ!J416="","",Associates_Call_List_PQ!J416)</f>
        <v>No</v>
      </c>
      <c r="K416" s="57" t="str">
        <f>IF(Associates_Call_List_PQ!K416="","",Associates_Call_List_PQ!K416)</f>
        <v>No</v>
      </c>
      <c r="L416" s="57" t="str">
        <f>IF(Associates_Call_List_PQ!L416="","",Associates_Call_List_PQ!L416)</f>
        <v>Yes</v>
      </c>
      <c r="M416" s="57" t="str">
        <f>IF(Associates_Call_List_PQ!M416="","",Associates_Call_List_PQ!M416)</f>
        <v>No</v>
      </c>
      <c r="N416" s="57" t="str">
        <f>IF(Associates_Call_List_PQ!N416="","",Associates_Call_List_PQ!N416)</f>
        <v>No</v>
      </c>
      <c r="O416" s="57" t="str">
        <f>IF(Associates_Call_List_PQ!O416="","",Associates_Call_List_PQ!O416)</f>
        <v>Yes</v>
      </c>
      <c r="P416" s="57" t="str">
        <f>IF(Associates_Call_List_PQ!P416="","",Associates_Call_List_PQ!P416)</f>
        <v>N</v>
      </c>
      <c r="Q416" s="57">
        <f>IF(Associates_Call_List_PQ!Q416="","",Associates_Call_List_PQ!Q416)</f>
        <v>45966</v>
      </c>
      <c r="R416" s="57" t="str">
        <f>IF(Associates_Call_List_PQ!R416="","",Associates_Call_List_PQ!R416)</f>
        <v/>
      </c>
      <c r="S416" s="57" t="str">
        <f>IF(Associates_Call_List_PQ!S416="","",Associates_Call_List_PQ!S416)</f>
        <v/>
      </c>
      <c r="T416" s="57" t="str">
        <f>IF(Associates_Call_List_PQ!T416="","",Associates_Call_List_PQ!T416)</f>
        <v/>
      </c>
      <c r="U416" s="57" t="str">
        <f>IF(Associates_Call_List_PQ!U416="","",Associates_Call_List_PQ!U416)</f>
        <v/>
      </c>
      <c r="V416" s="68"/>
      <c r="W416" s="68" t="s">
        <v>5432</v>
      </c>
      <c r="X416" s="68"/>
      <c r="Y416" s="68"/>
      <c r="Z416" s="72"/>
    </row>
    <row r="417" spans="1:26">
      <c r="A417" s="71">
        <f>IFERROR(Associates_Call_List_PQ!A417,"")</f>
        <v>45905</v>
      </c>
      <c r="B417" s="57" t="str">
        <f>IF(Associates_Call_List_PQ!B417="","",Associates_Call_List_PQ!B417)</f>
        <v xml:space="preserve">He </v>
      </c>
      <c r="C417" s="57" t="str">
        <f>IF(Associates_Call_List_PQ!C417="","",Associates_Call_List_PQ!C417)</f>
        <v>Luke</v>
      </c>
      <c r="D417" s="57" t="str">
        <f>IF(Associates_Call_List_PQ!D417="","",Associates_Call_List_PQ!D417)</f>
        <v>Phoenix</v>
      </c>
      <c r="E417" s="58">
        <f>IF(Associates_Call_List_PQ!E417="","",Associates_Call_List_PQ!E417)</f>
        <v>85032</v>
      </c>
      <c r="F417" s="57" t="str">
        <f>IF(Associates_Call_List_PQ!F417="","",Associates_Call_List_PQ!F417)</f>
        <v>Form letter</v>
      </c>
      <c r="G417" s="57" t="str">
        <f>IF(Associates_Call_List_PQ!G417="","",Associates_Call_List_PQ!G417)</f>
        <v>https://images.edocket.azcc.gov/docketpdf/E000046230.pdf</v>
      </c>
      <c r="H417" s="59" t="str">
        <f>IF(Associates_Call_List_PQ!H417="","",Associates_Call_List_PQ!H417)</f>
        <v xml:space="preserve">7096364439 </v>
      </c>
      <c r="I417" s="57" t="str">
        <f>IF(Associates_Call_List_PQ!I417="","",Associates_Call_List_PQ!I417)</f>
        <v>R3-47</v>
      </c>
      <c r="J417" s="57" t="str">
        <f>IF(Associates_Call_List_PQ!J417="","",Associates_Call_List_PQ!J417)</f>
        <v>No</v>
      </c>
      <c r="K417" s="57" t="str">
        <f>IF(Associates_Call_List_PQ!K417="","",Associates_Call_List_PQ!K417)</f>
        <v>No</v>
      </c>
      <c r="L417" s="57" t="str">
        <f>IF(Associates_Call_List_PQ!L417="","",Associates_Call_List_PQ!L417)</f>
        <v>Yes</v>
      </c>
      <c r="M417" s="57" t="str">
        <f>IF(Associates_Call_List_PQ!M417="","",Associates_Call_List_PQ!M417)</f>
        <v>No</v>
      </c>
      <c r="N417" s="57" t="str">
        <f>IF(Associates_Call_List_PQ!N417="","",Associates_Call_List_PQ!N417)</f>
        <v>No</v>
      </c>
      <c r="O417" s="57" t="str">
        <f>IF(Associates_Call_List_PQ!O417="","",Associates_Call_List_PQ!O417)</f>
        <v>Yes</v>
      </c>
      <c r="P417" s="57" t="str">
        <f>IF(Associates_Call_List_PQ!P417="","",Associates_Call_List_PQ!P417)</f>
        <v>N</v>
      </c>
      <c r="Q417" s="57">
        <f>IF(Associates_Call_List_PQ!Q417="","",Associates_Call_List_PQ!Q417)</f>
        <v>45966</v>
      </c>
      <c r="R417" s="57" t="str">
        <f>IF(Associates_Call_List_PQ!R417="","",Associates_Call_List_PQ!R417)</f>
        <v/>
      </c>
      <c r="S417" s="57" t="str">
        <f>IF(Associates_Call_List_PQ!S417="","",Associates_Call_List_PQ!S417)</f>
        <v/>
      </c>
      <c r="T417" s="57" t="str">
        <f>IF(Associates_Call_List_PQ!T417="","",Associates_Call_List_PQ!T417)</f>
        <v/>
      </c>
      <c r="U417" s="57" t="str">
        <f>IF(Associates_Call_List_PQ!U417="","",Associates_Call_List_PQ!U417)</f>
        <v/>
      </c>
      <c r="V417" s="68"/>
      <c r="W417" s="68" t="s">
        <v>5432</v>
      </c>
      <c r="X417" s="68"/>
      <c r="Y417" s="68"/>
      <c r="Z417" s="72"/>
    </row>
    <row r="418" spans="1:26">
      <c r="A418" s="71">
        <f>IFERROR(Associates_Call_List_PQ!A418,"")</f>
        <v>45905</v>
      </c>
      <c r="B418" s="57" t="str">
        <f>IF(Associates_Call_List_PQ!B418="","",Associates_Call_List_PQ!B418)</f>
        <v>Duensing</v>
      </c>
      <c r="C418" s="57" t="str">
        <f>IF(Associates_Call_List_PQ!C418="","",Associates_Call_List_PQ!C418)</f>
        <v>Alan</v>
      </c>
      <c r="D418" s="57" t="str">
        <f>IF(Associates_Call_List_PQ!D418="","",Associates_Call_List_PQ!D418)</f>
        <v>Goodyear</v>
      </c>
      <c r="E418" s="58">
        <f>IF(Associates_Call_List_PQ!E418="","",Associates_Call_List_PQ!E418)</f>
        <v>85395</v>
      </c>
      <c r="F418" s="57" t="str">
        <f>IF(Associates_Call_List_PQ!F418="","",Associates_Call_List_PQ!F418)</f>
        <v>Opposed</v>
      </c>
      <c r="G418" s="57" t="str">
        <f>IF(Associates_Call_List_PQ!G418="","",Associates_Call_List_PQ!G418)</f>
        <v>https://images.edocket.azcc.gov/docketpdf/E000046230.pdf</v>
      </c>
      <c r="H418" s="59" t="str">
        <f>IF(Associates_Call_List_PQ!H418="","",Associates_Call_List_PQ!H418)</f>
        <v xml:space="preserve">0002746863 </v>
      </c>
      <c r="I418" s="57" t="str">
        <f>IF(Associates_Call_List_PQ!I418="","",Associates_Call_List_PQ!I418)</f>
        <v>R3-47</v>
      </c>
      <c r="J418" s="57" t="str">
        <f>IF(Associates_Call_List_PQ!J418="","",Associates_Call_List_PQ!J418)</f>
        <v>No</v>
      </c>
      <c r="K418" s="57" t="str">
        <f>IF(Associates_Call_List_PQ!K418="","",Associates_Call_List_PQ!K418)</f>
        <v>No</v>
      </c>
      <c r="L418" s="57" t="str">
        <f>IF(Associates_Call_List_PQ!L418="","",Associates_Call_List_PQ!L418)</f>
        <v>Yes</v>
      </c>
      <c r="M418" s="57" t="str">
        <f>IF(Associates_Call_List_PQ!M418="","",Associates_Call_List_PQ!M418)</f>
        <v>No</v>
      </c>
      <c r="N418" s="57" t="str">
        <f>IF(Associates_Call_List_PQ!N418="","",Associates_Call_List_PQ!N418)</f>
        <v>No</v>
      </c>
      <c r="O418" s="57" t="str">
        <f>IF(Associates_Call_List_PQ!O418="","",Associates_Call_List_PQ!O418)</f>
        <v>Yes</v>
      </c>
      <c r="P418" s="57" t="str">
        <f>IF(Associates_Call_List_PQ!P418="","",Associates_Call_List_PQ!P418)</f>
        <v>N</v>
      </c>
      <c r="Q418" s="57">
        <f>IF(Associates_Call_List_PQ!Q418="","",Associates_Call_List_PQ!Q418)</f>
        <v>45966</v>
      </c>
      <c r="R418" s="57" t="str">
        <f>IF(Associates_Call_List_PQ!R418="","",Associates_Call_List_PQ!R418)</f>
        <v/>
      </c>
      <c r="S418" s="57" t="str">
        <f>IF(Associates_Call_List_PQ!S418="","",Associates_Call_List_PQ!S418)</f>
        <v/>
      </c>
      <c r="T418" s="57" t="str">
        <f>IF(Associates_Call_List_PQ!T418="","",Associates_Call_List_PQ!T418)</f>
        <v/>
      </c>
      <c r="U418" s="57" t="str">
        <f>IF(Associates_Call_List_PQ!U418="","",Associates_Call_List_PQ!U418)</f>
        <v/>
      </c>
      <c r="V418" s="68"/>
      <c r="W418" s="68" t="s">
        <v>5432</v>
      </c>
      <c r="X418" s="68"/>
      <c r="Y418" s="68"/>
      <c r="Z418" s="72"/>
    </row>
    <row r="419" spans="1:26">
      <c r="A419" s="71">
        <f>IFERROR(Associates_Call_List_PQ!A419,"")</f>
        <v>45905</v>
      </c>
      <c r="B419" s="57" t="str">
        <f>IF(Associates_Call_List_PQ!B419="","",Associates_Call_List_PQ!B419)</f>
        <v>Day</v>
      </c>
      <c r="C419" s="57" t="str">
        <f>IF(Associates_Call_List_PQ!C419="","",Associates_Call_List_PQ!C419)</f>
        <v>Ravyn</v>
      </c>
      <c r="D419" s="57" t="str">
        <f>IF(Associates_Call_List_PQ!D419="","",Associates_Call_List_PQ!D419)</f>
        <v>Scottsdale</v>
      </c>
      <c r="E419" s="58">
        <f>IF(Associates_Call_List_PQ!E419="","",Associates_Call_List_PQ!E419)</f>
        <v>85254</v>
      </c>
      <c r="F419" s="57" t="str">
        <f>IF(Associates_Call_List_PQ!F419="","",Associates_Call_List_PQ!F419)</f>
        <v>Opposed</v>
      </c>
      <c r="G419" s="57" t="str">
        <f>IF(Associates_Call_List_PQ!G419="","",Associates_Call_List_PQ!G419)</f>
        <v>https://images.edocket.azcc.gov/docketpdf/E000046230.pdf</v>
      </c>
      <c r="H419" s="59" t="str">
        <f>IF(Associates_Call_List_PQ!H419="","",Associates_Call_List_PQ!H419)</f>
        <v xml:space="preserve">2122958371 </v>
      </c>
      <c r="I419" s="57" t="str">
        <f>IF(Associates_Call_List_PQ!I419="","",Associates_Call_List_PQ!I419)</f>
        <v>R3-47</v>
      </c>
      <c r="J419" s="57" t="str">
        <f>IF(Associates_Call_List_PQ!J419="","",Associates_Call_List_PQ!J419)</f>
        <v>No</v>
      </c>
      <c r="K419" s="57" t="str">
        <f>IF(Associates_Call_List_PQ!K419="","",Associates_Call_List_PQ!K419)</f>
        <v>No</v>
      </c>
      <c r="L419" s="57" t="str">
        <f>IF(Associates_Call_List_PQ!L419="","",Associates_Call_List_PQ!L419)</f>
        <v>Yes</v>
      </c>
      <c r="M419" s="57" t="str">
        <f>IF(Associates_Call_List_PQ!M419="","",Associates_Call_List_PQ!M419)</f>
        <v>No</v>
      </c>
      <c r="N419" s="57" t="str">
        <f>IF(Associates_Call_List_PQ!N419="","",Associates_Call_List_PQ!N419)</f>
        <v>No</v>
      </c>
      <c r="O419" s="57" t="str">
        <f>IF(Associates_Call_List_PQ!O419="","",Associates_Call_List_PQ!O419)</f>
        <v>Yes</v>
      </c>
      <c r="P419" s="57" t="str">
        <f>IF(Associates_Call_List_PQ!P419="","",Associates_Call_List_PQ!P419)</f>
        <v>N</v>
      </c>
      <c r="Q419" s="57">
        <f>IF(Associates_Call_List_PQ!Q419="","",Associates_Call_List_PQ!Q419)</f>
        <v>45966</v>
      </c>
      <c r="R419" s="57" t="str">
        <f>IF(Associates_Call_List_PQ!R419="","",Associates_Call_List_PQ!R419)</f>
        <v/>
      </c>
      <c r="S419" s="57" t="str">
        <f>IF(Associates_Call_List_PQ!S419="","",Associates_Call_List_PQ!S419)</f>
        <v/>
      </c>
      <c r="T419" s="57" t="str">
        <f>IF(Associates_Call_List_PQ!T419="","",Associates_Call_List_PQ!T419)</f>
        <v/>
      </c>
      <c r="U419" s="57" t="str">
        <f>IF(Associates_Call_List_PQ!U419="","",Associates_Call_List_PQ!U419)</f>
        <v/>
      </c>
      <c r="V419" s="68"/>
      <c r="W419" s="68" t="s">
        <v>5432</v>
      </c>
      <c r="X419" s="68"/>
      <c r="Y419" s="68"/>
      <c r="Z419" s="72"/>
    </row>
    <row r="420" spans="1:26">
      <c r="A420" s="71">
        <f>IFERROR(Associates_Call_List_PQ!A420,"")</f>
        <v>45905</v>
      </c>
      <c r="B420" s="57" t="str">
        <f>IF(Associates_Call_List_PQ!B420="","",Associates_Call_List_PQ!B420)</f>
        <v>Petersen</v>
      </c>
      <c r="C420" s="57" t="str">
        <f>IF(Associates_Call_List_PQ!C420="","",Associates_Call_List_PQ!C420)</f>
        <v>Larry</v>
      </c>
      <c r="D420" s="57" t="str">
        <f>IF(Associates_Call_List_PQ!D420="","",Associates_Call_List_PQ!D420)</f>
        <v>Goodyear</v>
      </c>
      <c r="E420" s="58">
        <f>IF(Associates_Call_List_PQ!E420="","",Associates_Call_List_PQ!E420)</f>
        <v>85395</v>
      </c>
      <c r="F420" s="57" t="str">
        <f>IF(Associates_Call_List_PQ!F420="","",Associates_Call_List_PQ!F420)</f>
        <v>Opposed</v>
      </c>
      <c r="G420" s="57" t="str">
        <f>IF(Associates_Call_List_PQ!G420="","",Associates_Call_List_PQ!G420)</f>
        <v>https://images.edocket.azcc.gov/docketpdf/E000046230.pdf</v>
      </c>
      <c r="H420" s="59" t="str">
        <f>IF(Associates_Call_List_PQ!H420="","",Associates_Call_List_PQ!H420)</f>
        <v xml:space="preserve">5769060000 </v>
      </c>
      <c r="I420" s="57" t="str">
        <f>IF(Associates_Call_List_PQ!I420="","",Associates_Call_List_PQ!I420)</f>
        <v>EPR-6w/ET-1</v>
      </c>
      <c r="J420" s="57" t="str">
        <f>IF(Associates_Call_List_PQ!J420="","",Associates_Call_List_PQ!J420)</f>
        <v>No</v>
      </c>
      <c r="K420" s="57" t="str">
        <f>IF(Associates_Call_List_PQ!K420="","",Associates_Call_List_PQ!K420)</f>
        <v>No</v>
      </c>
      <c r="L420" s="57" t="str">
        <f>IF(Associates_Call_List_PQ!L420="","",Associates_Call_List_PQ!L420)</f>
        <v>Frozen Rate</v>
      </c>
      <c r="M420" s="57" t="str">
        <f>IF(Associates_Call_List_PQ!M420="","",Associates_Call_List_PQ!M420)</f>
        <v>No</v>
      </c>
      <c r="N420" s="57" t="str">
        <f>IF(Associates_Call_List_PQ!N420="","",Associates_Call_List_PQ!N420)</f>
        <v>No</v>
      </c>
      <c r="O420" s="57" t="str">
        <f>IF(Associates_Call_List_PQ!O420="","",Associates_Call_List_PQ!O420)</f>
        <v>Yes</v>
      </c>
      <c r="P420" s="57" t="str">
        <f>IF(Associates_Call_List_PQ!P420="","",Associates_Call_List_PQ!P420)</f>
        <v>N</v>
      </c>
      <c r="Q420" s="57">
        <f>IF(Associates_Call_List_PQ!Q420="","",Associates_Call_List_PQ!Q420)</f>
        <v>45966</v>
      </c>
      <c r="R420" s="57" t="str">
        <f>IF(Associates_Call_List_PQ!R420="","",Associates_Call_List_PQ!R420)</f>
        <v/>
      </c>
      <c r="S420" s="57" t="str">
        <f>IF(Associates_Call_List_PQ!S420="","",Associates_Call_List_PQ!S420)</f>
        <v/>
      </c>
      <c r="T420" s="57" t="str">
        <f>IF(Associates_Call_List_PQ!T420="","",Associates_Call_List_PQ!T420)</f>
        <v/>
      </c>
      <c r="U420" s="57" t="str">
        <f>IF(Associates_Call_List_PQ!U420="","",Associates_Call_List_PQ!U420)</f>
        <v/>
      </c>
      <c r="V420" s="68"/>
      <c r="W420" s="68" t="s">
        <v>5432</v>
      </c>
      <c r="X420" s="68"/>
      <c r="Y420" s="68"/>
      <c r="Z420" s="72"/>
    </row>
    <row r="421" spans="1:26">
      <c r="A421" s="71">
        <f>IFERROR(Associates_Call_List_PQ!A421,"")</f>
        <v>45905</v>
      </c>
      <c r="B421" s="57" t="str">
        <f>IF(Associates_Call_List_PQ!B421="","",Associates_Call_List_PQ!B421)</f>
        <v>Mahony</v>
      </c>
      <c r="C421" s="57" t="str">
        <f>IF(Associates_Call_List_PQ!C421="","",Associates_Call_List_PQ!C421)</f>
        <v>Monica</v>
      </c>
      <c r="D421" s="57" t="str">
        <f>IF(Associates_Call_List_PQ!D421="","",Associates_Call_List_PQ!D421)</f>
        <v>Scottsdale</v>
      </c>
      <c r="E421" s="58">
        <f>IF(Associates_Call_List_PQ!E421="","",Associates_Call_List_PQ!E421)</f>
        <v>85255</v>
      </c>
      <c r="F421" s="57" t="str">
        <f>IF(Associates_Call_List_PQ!F421="","",Associates_Call_List_PQ!F421)</f>
        <v>Opposed</v>
      </c>
      <c r="G421" s="57" t="str">
        <f>IF(Associates_Call_List_PQ!G421="","",Associates_Call_List_PQ!G421)</f>
        <v>https://images.edocket.azcc.gov/docketpdf/E000046230.pdf</v>
      </c>
      <c r="H421" s="59" t="str">
        <f>IF(Associates_Call_List_PQ!H421="","",Associates_Call_List_PQ!H421)</f>
        <v xml:space="preserve">5214610000 </v>
      </c>
      <c r="I421" s="57" t="str">
        <f>IF(Associates_Call_List_PQ!I421="","",Associates_Call_List_PQ!I421)</f>
        <v>R3-47</v>
      </c>
      <c r="J421" s="57" t="str">
        <f>IF(Associates_Call_List_PQ!J421="","",Associates_Call_List_PQ!J421)</f>
        <v>No</v>
      </c>
      <c r="K421" s="57" t="str">
        <f>IF(Associates_Call_List_PQ!K421="","",Associates_Call_List_PQ!K421)</f>
        <v>No</v>
      </c>
      <c r="L421" s="57" t="str">
        <f>IF(Associates_Call_List_PQ!L421="","",Associates_Call_List_PQ!L421)</f>
        <v>Yes</v>
      </c>
      <c r="M421" s="57" t="str">
        <f>IF(Associates_Call_List_PQ!M421="","",Associates_Call_List_PQ!M421)</f>
        <v>No</v>
      </c>
      <c r="N421" s="57" t="str">
        <f>IF(Associates_Call_List_PQ!N421="","",Associates_Call_List_PQ!N421)</f>
        <v>No</v>
      </c>
      <c r="O421" s="57" t="str">
        <f>IF(Associates_Call_List_PQ!O421="","",Associates_Call_List_PQ!O421)</f>
        <v>Yes</v>
      </c>
      <c r="P421" s="57" t="str">
        <f>IF(Associates_Call_List_PQ!P421="","",Associates_Call_List_PQ!P421)</f>
        <v>N</v>
      </c>
      <c r="Q421" s="57">
        <f>IF(Associates_Call_List_PQ!Q421="","",Associates_Call_List_PQ!Q421)</f>
        <v>45966</v>
      </c>
      <c r="R421" s="57" t="str">
        <f>IF(Associates_Call_List_PQ!R421="","",Associates_Call_List_PQ!R421)</f>
        <v/>
      </c>
      <c r="S421" s="57" t="str">
        <f>IF(Associates_Call_List_PQ!S421="","",Associates_Call_List_PQ!S421)</f>
        <v/>
      </c>
      <c r="T421" s="57" t="str">
        <f>IF(Associates_Call_List_PQ!T421="","",Associates_Call_List_PQ!T421)</f>
        <v/>
      </c>
      <c r="U421" s="57" t="str">
        <f>IF(Associates_Call_List_PQ!U421="","",Associates_Call_List_PQ!U421)</f>
        <v/>
      </c>
      <c r="V421" s="68"/>
      <c r="W421" s="68" t="s">
        <v>5432</v>
      </c>
      <c r="X421" s="68"/>
      <c r="Y421" s="68"/>
      <c r="Z421" s="72"/>
    </row>
    <row r="422" spans="1:26">
      <c r="A422" s="71">
        <f>IFERROR(Associates_Call_List_PQ!A422,"")</f>
        <v>45905</v>
      </c>
      <c r="B422" s="57" t="str">
        <f>IF(Associates_Call_List_PQ!B422="","",Associates_Call_List_PQ!B422)</f>
        <v>Briney</v>
      </c>
      <c r="C422" s="57" t="str">
        <f>IF(Associates_Call_List_PQ!C422="","",Associates_Call_List_PQ!C422)</f>
        <v>Dave</v>
      </c>
      <c r="D422" s="57" t="str">
        <f>IF(Associates_Call_List_PQ!D422="","",Associates_Call_List_PQ!D422)</f>
        <v>Phoenix</v>
      </c>
      <c r="E422" s="58">
        <f>IF(Associates_Call_List_PQ!E422="","",Associates_Call_List_PQ!E422)</f>
        <v>85018</v>
      </c>
      <c r="F422" s="57" t="str">
        <f>IF(Associates_Call_List_PQ!F422="","",Associates_Call_List_PQ!F422)</f>
        <v>Form letter</v>
      </c>
      <c r="G422" s="57" t="str">
        <f>IF(Associates_Call_List_PQ!G422="","",Associates_Call_List_PQ!G422)</f>
        <v>https://images.edocket.azcc.gov/docketpdf/E000046230.pdf</v>
      </c>
      <c r="H422" s="59" t="str">
        <f>IF(Associates_Call_List_PQ!H422="","",Associates_Call_List_PQ!H422)</f>
        <v xml:space="preserve">9294235852 </v>
      </c>
      <c r="I422" s="57" t="str">
        <f>IF(Associates_Call_List_PQ!I422="","",Associates_Call_List_PQ!I422)</f>
        <v>R3-47</v>
      </c>
      <c r="J422" s="57" t="str">
        <f>IF(Associates_Call_List_PQ!J422="","",Associates_Call_List_PQ!J422)</f>
        <v>No</v>
      </c>
      <c r="K422" s="57" t="str">
        <f>IF(Associates_Call_List_PQ!K422="","",Associates_Call_List_PQ!K422)</f>
        <v>No</v>
      </c>
      <c r="L422" s="57" t="str">
        <f>IF(Associates_Call_List_PQ!L422="","",Associates_Call_List_PQ!L422)</f>
        <v>Yes</v>
      </c>
      <c r="M422" s="57" t="str">
        <f>IF(Associates_Call_List_PQ!M422="","",Associates_Call_List_PQ!M422)</f>
        <v>No</v>
      </c>
      <c r="N422" s="57" t="str">
        <f>IF(Associates_Call_List_PQ!N422="","",Associates_Call_List_PQ!N422)</f>
        <v>No</v>
      </c>
      <c r="O422" s="57" t="str">
        <f>IF(Associates_Call_List_PQ!O422="","",Associates_Call_List_PQ!O422)</f>
        <v>Yes</v>
      </c>
      <c r="P422" s="57" t="str">
        <f>IF(Associates_Call_List_PQ!P422="","",Associates_Call_List_PQ!P422)</f>
        <v>N</v>
      </c>
      <c r="Q422" s="57">
        <f>IF(Associates_Call_List_PQ!Q422="","",Associates_Call_List_PQ!Q422)</f>
        <v>45966</v>
      </c>
      <c r="R422" s="57" t="str">
        <f>IF(Associates_Call_List_PQ!R422="","",Associates_Call_List_PQ!R422)</f>
        <v/>
      </c>
      <c r="S422" s="57" t="str">
        <f>IF(Associates_Call_List_PQ!S422="","",Associates_Call_List_PQ!S422)</f>
        <v/>
      </c>
      <c r="T422" s="57" t="str">
        <f>IF(Associates_Call_List_PQ!T422="","",Associates_Call_List_PQ!T422)</f>
        <v/>
      </c>
      <c r="U422" s="57" t="str">
        <f>IF(Associates_Call_List_PQ!U422="","",Associates_Call_List_PQ!U422)</f>
        <v/>
      </c>
      <c r="V422" s="68"/>
      <c r="W422" s="68" t="s">
        <v>5432</v>
      </c>
      <c r="X422" s="68"/>
      <c r="Y422" s="68"/>
      <c r="Z422" s="72"/>
    </row>
    <row r="423" spans="1:26">
      <c r="A423" s="71">
        <f>IFERROR(Associates_Call_List_PQ!A423,"")</f>
        <v>45905</v>
      </c>
      <c r="B423" s="57" t="str">
        <f>IF(Associates_Call_List_PQ!B423="","",Associates_Call_List_PQ!B423)</f>
        <v>Torres</v>
      </c>
      <c r="C423" s="57" t="str">
        <f>IF(Associates_Call_List_PQ!C423="","",Associates_Call_List_PQ!C423)</f>
        <v>Daniel</v>
      </c>
      <c r="D423" s="57" t="str">
        <f>IF(Associates_Call_List_PQ!D423="","",Associates_Call_List_PQ!D423)</f>
        <v>Phoenix</v>
      </c>
      <c r="E423" s="58">
        <f>IF(Associates_Call_List_PQ!E423="","",Associates_Call_List_PQ!E423)</f>
        <v>85007</v>
      </c>
      <c r="F423" s="57" t="str">
        <f>IF(Associates_Call_List_PQ!F423="","",Associates_Call_List_PQ!F423)</f>
        <v>Form letter</v>
      </c>
      <c r="G423" s="57" t="str">
        <f>IF(Associates_Call_List_PQ!G423="","",Associates_Call_List_PQ!G423)</f>
        <v>https://images.edocket.azcc.gov/docketpdf/E000046230.pdf</v>
      </c>
      <c r="H423" s="59" t="str">
        <f>IF(Associates_Call_List_PQ!H423="","",Associates_Call_List_PQ!H423)</f>
        <v xml:space="preserve">9660984623 </v>
      </c>
      <c r="I423" s="57" t="str">
        <f>IF(Associates_Call_List_PQ!I423="","",Associates_Call_List_PQ!I423)</f>
        <v>RTOUE47</v>
      </c>
      <c r="J423" s="57" t="str">
        <f>IF(Associates_Call_List_PQ!J423="","",Associates_Call_List_PQ!J423)</f>
        <v>No</v>
      </c>
      <c r="K423" s="57" t="str">
        <f>IF(Associates_Call_List_PQ!K423="","",Associates_Call_List_PQ!K423)</f>
        <v>No</v>
      </c>
      <c r="L423" s="57" t="str">
        <f>IF(Associates_Call_List_PQ!L423="","",Associates_Call_List_PQ!L423)</f>
        <v>No MEP R3-47($82.55)</v>
      </c>
      <c r="M423" s="57" t="str">
        <f>IF(Associates_Call_List_PQ!M423="","",Associates_Call_List_PQ!M423)</f>
        <v>No</v>
      </c>
      <c r="N423" s="57" t="str">
        <f>IF(Associates_Call_List_PQ!N423="","",Associates_Call_List_PQ!N423)</f>
        <v>No</v>
      </c>
      <c r="O423" s="57" t="str">
        <f>IF(Associates_Call_List_PQ!O423="","",Associates_Call_List_PQ!O423)</f>
        <v>Yes</v>
      </c>
      <c r="P423" s="57" t="str">
        <f>IF(Associates_Call_List_PQ!P423="","",Associates_Call_List_PQ!P423)</f>
        <v>N</v>
      </c>
      <c r="Q423" s="57">
        <f>IF(Associates_Call_List_PQ!Q423="","",Associates_Call_List_PQ!Q423)</f>
        <v>45966</v>
      </c>
      <c r="R423" s="57" t="str">
        <f>IF(Associates_Call_List_PQ!R423="","",Associates_Call_List_PQ!R423)</f>
        <v/>
      </c>
      <c r="S423" s="57" t="str">
        <f>IF(Associates_Call_List_PQ!S423="","",Associates_Call_List_PQ!S423)</f>
        <v/>
      </c>
      <c r="T423" s="57" t="str">
        <f>IF(Associates_Call_List_PQ!T423="","",Associates_Call_List_PQ!T423)</f>
        <v/>
      </c>
      <c r="U423" s="57" t="s">
        <v>5513</v>
      </c>
      <c r="V423" s="68" t="s">
        <v>117</v>
      </c>
      <c r="W423" s="68">
        <v>46053</v>
      </c>
      <c r="X423" s="68" t="s">
        <v>5434</v>
      </c>
      <c r="Y423" s="68"/>
      <c r="Z423" s="72"/>
    </row>
    <row r="424" spans="1:26">
      <c r="A424" s="71">
        <f>IFERROR(Associates_Call_List_PQ!A424,"")</f>
        <v>45905</v>
      </c>
      <c r="B424" s="57" t="str">
        <f>IF(Associates_Call_List_PQ!B424="","",Associates_Call_List_PQ!B424)</f>
        <v>Nabity</v>
      </c>
      <c r="C424" s="57" t="str">
        <f>IF(Associates_Call_List_PQ!C424="","",Associates_Call_List_PQ!C424)</f>
        <v>Mariah</v>
      </c>
      <c r="D424" s="57" t="str">
        <f>IF(Associates_Call_List_PQ!D424="","",Associates_Call_List_PQ!D424)</f>
        <v>Yuma</v>
      </c>
      <c r="E424" s="58">
        <f>IF(Associates_Call_List_PQ!E424="","",Associates_Call_List_PQ!E424)</f>
        <v>85365</v>
      </c>
      <c r="F424" s="57" t="str">
        <f>IF(Associates_Call_List_PQ!F424="","",Associates_Call_List_PQ!F424)</f>
        <v>Form letter</v>
      </c>
      <c r="G424" s="57" t="str">
        <f>IF(Associates_Call_List_PQ!G424="","",Associates_Call_List_PQ!G424)</f>
        <v>https://images.edocket.azcc.gov/docketpdf/E000046230.pdf</v>
      </c>
      <c r="H424" s="59" t="str">
        <f>IF(Associates_Call_List_PQ!H424="","",Associates_Call_List_PQ!H424)</f>
        <v xml:space="preserve">0887574779 </v>
      </c>
      <c r="I424" s="57" t="str">
        <f>IF(Associates_Call_List_PQ!I424="","",Associates_Call_List_PQ!I424)</f>
        <v>R-BASIC</v>
      </c>
      <c r="J424" s="57" t="str">
        <f>IF(Associates_Call_List_PQ!J424="","",Associates_Call_List_PQ!J424)</f>
        <v>No</v>
      </c>
      <c r="K424" s="57" t="str">
        <f>IF(Associates_Call_List_PQ!K424="","",Associates_Call_List_PQ!K424)</f>
        <v>No</v>
      </c>
      <c r="L424" s="57" t="str">
        <f>IF(Associates_Call_List_PQ!L424="","",Associates_Call_List_PQ!L424)</f>
        <v>Yes</v>
      </c>
      <c r="M424" s="57" t="str">
        <f>IF(Associates_Call_List_PQ!M424="","",Associates_Call_List_PQ!M424)</f>
        <v>No</v>
      </c>
      <c r="N424" s="57" t="str">
        <f>IF(Associates_Call_List_PQ!N424="","",Associates_Call_List_PQ!N424)</f>
        <v>No</v>
      </c>
      <c r="O424" s="57" t="str">
        <f>IF(Associates_Call_List_PQ!O424="","",Associates_Call_List_PQ!O424)</f>
        <v>Yes</v>
      </c>
      <c r="P424" s="57" t="str">
        <f>IF(Associates_Call_List_PQ!P424="","",Associates_Call_List_PQ!P424)</f>
        <v>N</v>
      </c>
      <c r="Q424" s="57">
        <f>IF(Associates_Call_List_PQ!Q424="","",Associates_Call_List_PQ!Q424)</f>
        <v>45966</v>
      </c>
      <c r="R424" s="57" t="str">
        <f>IF(Associates_Call_List_PQ!R424="","",Associates_Call_List_PQ!R424)</f>
        <v/>
      </c>
      <c r="S424" s="57" t="str">
        <f>IF(Associates_Call_List_PQ!S424="","",Associates_Call_List_PQ!S424)</f>
        <v/>
      </c>
      <c r="T424" s="57" t="str">
        <f>IF(Associates_Call_List_PQ!T424="","",Associates_Call_List_PQ!T424)</f>
        <v/>
      </c>
      <c r="U424" s="57" t="str">
        <f>IF(Associates_Call_List_PQ!U424="","",Associates_Call_List_PQ!U424)</f>
        <v/>
      </c>
      <c r="V424" s="68"/>
      <c r="W424" s="68" t="s">
        <v>5432</v>
      </c>
      <c r="X424" s="68"/>
      <c r="Y424" s="68"/>
      <c r="Z424" s="72"/>
    </row>
    <row r="425" spans="1:26">
      <c r="A425" s="71">
        <f>IFERROR(Associates_Call_List_PQ!A425,"")</f>
        <v>45905</v>
      </c>
      <c r="B425" s="57" t="str">
        <f>IF(Associates_Call_List_PQ!B425="","",Associates_Call_List_PQ!B425)</f>
        <v>Thomas</v>
      </c>
      <c r="C425" s="57" t="str">
        <f>IF(Associates_Call_List_PQ!C425="","",Associates_Call_List_PQ!C425)</f>
        <v>Shaun</v>
      </c>
      <c r="D425" s="57" t="str">
        <f>IF(Associates_Call_List_PQ!D425="","",Associates_Call_List_PQ!D425)</f>
        <v>Payson</v>
      </c>
      <c r="E425" s="58">
        <f>IF(Associates_Call_List_PQ!E425="","",Associates_Call_List_PQ!E425)</f>
        <v>85541</v>
      </c>
      <c r="F425" s="57" t="str">
        <f>IF(Associates_Call_List_PQ!F425="","",Associates_Call_List_PQ!F425)</f>
        <v>Opposed</v>
      </c>
      <c r="G425" s="57" t="str">
        <f>IF(Associates_Call_List_PQ!G425="","",Associates_Call_List_PQ!G425)</f>
        <v>https://images.edocket.azcc.gov/docketpdf/E000046230.pdf</v>
      </c>
      <c r="H425" s="59">
        <v>5278430000</v>
      </c>
      <c r="I425" s="57" t="str">
        <f>IF(Associates_Call_List_PQ!I425="","",Associates_Call_List_PQ!I425)</f>
        <v>RTOUE47</v>
      </c>
      <c r="J425" s="57" t="str">
        <f>IF(Associates_Call_List_PQ!J425="","",Associates_Call_List_PQ!J425)</f>
        <v>No</v>
      </c>
      <c r="K425" s="57" t="str">
        <f>IF(Associates_Call_List_PQ!K425="","",Associates_Call_List_PQ!K425)</f>
        <v>No</v>
      </c>
      <c r="L425" s="57" t="str">
        <f>IF(Associates_Call_List_PQ!L425="","",Associates_Call_List_PQ!L425)</f>
        <v>No MEP R-XS ($43.07)</v>
      </c>
      <c r="M425" s="57" t="str">
        <f>IF(Associates_Call_List_PQ!M425="","",Associates_Call_List_PQ!M425)</f>
        <v>No</v>
      </c>
      <c r="N425" s="57" t="str">
        <f>IF(Associates_Call_List_PQ!N425="","",Associates_Call_List_PQ!N425)</f>
        <v>No</v>
      </c>
      <c r="O425" s="57" t="str">
        <f>IF(Associates_Call_List_PQ!O425="","",Associates_Call_List_PQ!O425)</f>
        <v>Yes</v>
      </c>
      <c r="P425" s="57" t="str">
        <f>IF(Associates_Call_List_PQ!P425="","",Associates_Call_List_PQ!P425)</f>
        <v>N</v>
      </c>
      <c r="Q425" s="57">
        <f>IF(Associates_Call_List_PQ!Q425="","",Associates_Call_List_PQ!Q425)</f>
        <v>45966</v>
      </c>
      <c r="R425" s="57" t="str">
        <f>IF(Associates_Call_List_PQ!R425="","",Associates_Call_List_PQ!R425)</f>
        <v/>
      </c>
      <c r="S425" s="57" t="str">
        <f>IF(Associates_Call_List_PQ!S425="","",Associates_Call_List_PQ!S425)</f>
        <v/>
      </c>
      <c r="T425" s="57" t="str">
        <f>IF(Associates_Call_List_PQ!T425="","",Associates_Call_List_PQ!T425)</f>
        <v/>
      </c>
      <c r="U425" s="57" t="s">
        <v>5513</v>
      </c>
      <c r="V425" s="68" t="s">
        <v>117</v>
      </c>
      <c r="W425" s="68">
        <v>46053</v>
      </c>
      <c r="X425" s="68" t="s">
        <v>5434</v>
      </c>
      <c r="Y425" s="68"/>
      <c r="Z425" s="72"/>
    </row>
    <row r="426" spans="1:26">
      <c r="A426" s="71">
        <f>IFERROR(Associates_Call_List_PQ!A426,"")</f>
        <v>45905</v>
      </c>
      <c r="B426" s="57" t="str">
        <f>IF(Associates_Call_List_PQ!B426="","",Associates_Call_List_PQ!B426)</f>
        <v>Lund</v>
      </c>
      <c r="C426" s="57" t="str">
        <f>IF(Associates_Call_List_PQ!C426="","",Associates_Call_List_PQ!C426)</f>
        <v>Jason</v>
      </c>
      <c r="D426" s="57" t="str">
        <f>IF(Associates_Call_List_PQ!D426="","",Associates_Call_List_PQ!D426)</f>
        <v>Phoenix</v>
      </c>
      <c r="E426" s="58">
        <f>IF(Associates_Call_List_PQ!E426="","",Associates_Call_List_PQ!E426)</f>
        <v>85028</v>
      </c>
      <c r="F426" s="57" t="str">
        <f>IF(Associates_Call_List_PQ!F426="","",Associates_Call_List_PQ!F426)</f>
        <v>Form letter</v>
      </c>
      <c r="G426" s="57" t="str">
        <f>IF(Associates_Call_List_PQ!G426="","",Associates_Call_List_PQ!G426)</f>
        <v>https://images.edocket.azcc.gov/docketpdf/E000046230.pdf</v>
      </c>
      <c r="H426" s="59" t="str">
        <f>IF(Associates_Call_List_PQ!H426="","",Associates_Call_List_PQ!H426)</f>
        <v xml:space="preserve">3884451846 </v>
      </c>
      <c r="I426" s="57" t="str">
        <f>IF(Associates_Call_List_PQ!I426="","",Associates_Call_List_PQ!I426)</f>
        <v>R-2</v>
      </c>
      <c r="J426" s="57" t="str">
        <f>IF(Associates_Call_List_PQ!J426="","",Associates_Call_List_PQ!J426)</f>
        <v>No</v>
      </c>
      <c r="K426" s="57" t="str">
        <f>IF(Associates_Call_List_PQ!K426="","",Associates_Call_List_PQ!K426)</f>
        <v>No</v>
      </c>
      <c r="L426" s="57" t="str">
        <f>IF(Associates_Call_List_PQ!L426="","",Associates_Call_List_PQ!L426)</f>
        <v>Frozen Rate</v>
      </c>
      <c r="M426" s="57" t="str">
        <f>IF(Associates_Call_List_PQ!M426="","",Associates_Call_List_PQ!M426)</f>
        <v>No</v>
      </c>
      <c r="N426" s="57" t="str">
        <f>IF(Associates_Call_List_PQ!N426="","",Associates_Call_List_PQ!N426)</f>
        <v>No</v>
      </c>
      <c r="O426" s="57" t="str">
        <f>IF(Associates_Call_List_PQ!O426="","",Associates_Call_List_PQ!O426)</f>
        <v>Yes</v>
      </c>
      <c r="P426" s="57" t="str">
        <f>IF(Associates_Call_List_PQ!P426="","",Associates_Call_List_PQ!P426)</f>
        <v>N</v>
      </c>
      <c r="Q426" s="57">
        <f>IF(Associates_Call_List_PQ!Q426="","",Associates_Call_List_PQ!Q426)</f>
        <v>45966</v>
      </c>
      <c r="R426" s="57" t="str">
        <f>IF(Associates_Call_List_PQ!R426="","",Associates_Call_List_PQ!R426)</f>
        <v/>
      </c>
      <c r="S426" s="57" t="str">
        <f>IF(Associates_Call_List_PQ!S426="","",Associates_Call_List_PQ!S426)</f>
        <v/>
      </c>
      <c r="T426" s="57" t="str">
        <f>IF(Associates_Call_List_PQ!T426="","",Associates_Call_List_PQ!T426)</f>
        <v/>
      </c>
      <c r="U426" s="57" t="str">
        <f>IF(Associates_Call_List_PQ!U426="","",Associates_Call_List_PQ!U426)</f>
        <v/>
      </c>
      <c r="V426" s="68"/>
      <c r="W426" s="68" t="s">
        <v>5432</v>
      </c>
      <c r="X426" s="68"/>
      <c r="Y426" s="68"/>
      <c r="Z426" s="72"/>
    </row>
    <row r="427" spans="1:26">
      <c r="A427" s="71">
        <f>IFERROR(Associates_Call_List_PQ!A427,"")</f>
        <v>45905</v>
      </c>
      <c r="B427" s="57" t="str">
        <f>IF(Associates_Call_List_PQ!B427="","",Associates_Call_List_PQ!B427)</f>
        <v>Scheigert</v>
      </c>
      <c r="C427" s="57" t="str">
        <f>IF(Associates_Call_List_PQ!C427="","",Associates_Call_List_PQ!C427)</f>
        <v>Rebecca</v>
      </c>
      <c r="D427" s="57" t="str">
        <f>IF(Associates_Call_List_PQ!D427="","",Associates_Call_List_PQ!D427)</f>
        <v>Phoenix</v>
      </c>
      <c r="E427" s="58">
        <f>IF(Associates_Call_List_PQ!E427="","",Associates_Call_List_PQ!E427)</f>
        <v>85083</v>
      </c>
      <c r="F427" s="57" t="str">
        <f>IF(Associates_Call_List_PQ!F427="","",Associates_Call_List_PQ!F427)</f>
        <v>Form letter</v>
      </c>
      <c r="G427" s="57" t="str">
        <f>IF(Associates_Call_List_PQ!G427="","",Associates_Call_List_PQ!G427)</f>
        <v>https://images.edocket.azcc.gov/docketpdf/E000046230.pdf</v>
      </c>
      <c r="H427" s="59" t="str">
        <f>IF(Associates_Call_List_PQ!H427="","",Associates_Call_List_PQ!H427)</f>
        <v xml:space="preserve">9575044862 </v>
      </c>
      <c r="I427" s="57" t="str">
        <f>IF(Associates_Call_List_PQ!I427="","",Associates_Call_List_PQ!I427)</f>
        <v>R-BASICL</v>
      </c>
      <c r="J427" s="57" t="str">
        <f>IF(Associates_Call_List_PQ!J427="","",Associates_Call_List_PQ!J427)</f>
        <v>No</v>
      </c>
      <c r="K427" s="57" t="str">
        <f>IF(Associates_Call_List_PQ!K427="","",Associates_Call_List_PQ!K427)</f>
        <v>No</v>
      </c>
      <c r="L427" s="57" t="str">
        <f>IF(Associates_Call_List_PQ!L427="","",Associates_Call_List_PQ!L427)</f>
        <v>Yes</v>
      </c>
      <c r="M427" s="57" t="str">
        <f>IF(Associates_Call_List_PQ!M427="","",Associates_Call_List_PQ!M427)</f>
        <v>No</v>
      </c>
      <c r="N427" s="57" t="str">
        <f>IF(Associates_Call_List_PQ!N427="","",Associates_Call_List_PQ!N427)</f>
        <v>No</v>
      </c>
      <c r="O427" s="57" t="str">
        <f>IF(Associates_Call_List_PQ!O427="","",Associates_Call_List_PQ!O427)</f>
        <v>Yes</v>
      </c>
      <c r="P427" s="57" t="str">
        <f>IF(Associates_Call_List_PQ!P427="","",Associates_Call_List_PQ!P427)</f>
        <v>N</v>
      </c>
      <c r="Q427" s="57">
        <f>IF(Associates_Call_List_PQ!Q427="","",Associates_Call_List_PQ!Q427)</f>
        <v>45966</v>
      </c>
      <c r="R427" s="57" t="str">
        <f>IF(Associates_Call_List_PQ!R427="","",Associates_Call_List_PQ!R427)</f>
        <v/>
      </c>
      <c r="S427" s="57" t="str">
        <f>IF(Associates_Call_List_PQ!S427="","",Associates_Call_List_PQ!S427)</f>
        <v/>
      </c>
      <c r="T427" s="57" t="str">
        <f>IF(Associates_Call_List_PQ!T427="","",Associates_Call_List_PQ!T427)</f>
        <v/>
      </c>
      <c r="U427" s="57" t="str">
        <f>IF(Associates_Call_List_PQ!U427="","",Associates_Call_List_PQ!U427)</f>
        <v/>
      </c>
      <c r="V427" s="68"/>
      <c r="W427" s="68" t="s">
        <v>5432</v>
      </c>
      <c r="X427" s="68"/>
      <c r="Y427" s="68"/>
      <c r="Z427" s="72"/>
    </row>
    <row r="428" spans="1:26">
      <c r="A428" s="71">
        <f>IFERROR(Associates_Call_List_PQ!A428,"")</f>
        <v>45905</v>
      </c>
      <c r="B428" s="57" t="str">
        <f>IF(Associates_Call_List_PQ!B428="","",Associates_Call_List_PQ!B428)</f>
        <v>Turner-Warren</v>
      </c>
      <c r="C428" s="57" t="str">
        <f>IF(Associates_Call_List_PQ!C428="","",Associates_Call_List_PQ!C428)</f>
        <v>Tenneh</v>
      </c>
      <c r="D428" s="57" t="str">
        <f>IF(Associates_Call_List_PQ!D428="","",Associates_Call_List_PQ!D428)</f>
        <v>Phoenix</v>
      </c>
      <c r="E428" s="58">
        <f>IF(Associates_Call_List_PQ!E428="","",Associates_Call_List_PQ!E428)</f>
        <v>85032</v>
      </c>
      <c r="F428" s="57" t="str">
        <f>IF(Associates_Call_List_PQ!F428="","",Associates_Call_List_PQ!F428)</f>
        <v>Opposed</v>
      </c>
      <c r="G428" s="57" t="str">
        <f>IF(Associates_Call_List_PQ!G428="","",Associates_Call_List_PQ!G428)</f>
        <v>https://images.edocket.azcc.gov/docketpdf/E000046230.pdf</v>
      </c>
      <c r="H428" s="59" t="str">
        <f>IF(Associates_Call_List_PQ!H428="","",Associates_Call_List_PQ!H428)</f>
        <v>0362190628 </v>
      </c>
      <c r="I428" s="57" t="str">
        <f>IF(Associates_Call_List_PQ!I428="","",Associates_Call_List_PQ!I428)</f>
        <v>R-BASIC</v>
      </c>
      <c r="J428" s="57" t="str">
        <f>IF(Associates_Call_List_PQ!J428="","",Associates_Call_List_PQ!J428)</f>
        <v>No</v>
      </c>
      <c r="K428" s="57" t="str">
        <f>IF(Associates_Call_List_PQ!K428="","",Associates_Call_List_PQ!K428)</f>
        <v>No</v>
      </c>
      <c r="L428" s="57" t="str">
        <f>IF(Associates_Call_List_PQ!L428="","",Associates_Call_List_PQ!L428)</f>
        <v>Yes</v>
      </c>
      <c r="M428" s="57" t="str">
        <f>IF(Associates_Call_List_PQ!M428="","",Associates_Call_List_PQ!M428)</f>
        <v>No</v>
      </c>
      <c r="N428" s="57" t="str">
        <f>IF(Associates_Call_List_PQ!N428="","",Associates_Call_List_PQ!N428)</f>
        <v>No</v>
      </c>
      <c r="O428" s="57" t="str">
        <f>IF(Associates_Call_List_PQ!O428="","",Associates_Call_List_PQ!O428)</f>
        <v>Yes</v>
      </c>
      <c r="P428" s="57" t="str">
        <f>IF(Associates_Call_List_PQ!P428="","",Associates_Call_List_PQ!P428)</f>
        <v>N</v>
      </c>
      <c r="Q428" s="57">
        <f>IF(Associates_Call_List_PQ!Q428="","",Associates_Call_List_PQ!Q428)</f>
        <v>45966</v>
      </c>
      <c r="R428" s="57" t="str">
        <f>IF(Associates_Call_List_PQ!R428="","",Associates_Call_List_PQ!R428)</f>
        <v/>
      </c>
      <c r="S428" s="57" t="str">
        <f>IF(Associates_Call_List_PQ!S428="","",Associates_Call_List_PQ!S428)</f>
        <v/>
      </c>
      <c r="T428" s="57" t="str">
        <f>IF(Associates_Call_List_PQ!T428="","",Associates_Call_List_PQ!T428)</f>
        <v/>
      </c>
      <c r="U428" s="57" t="str">
        <f>IF(Associates_Call_List_PQ!U428="","",Associates_Call_List_PQ!U428)</f>
        <v/>
      </c>
      <c r="V428" s="68"/>
      <c r="W428" s="68" t="s">
        <v>5432</v>
      </c>
      <c r="X428" s="68"/>
      <c r="Y428" s="68"/>
      <c r="Z428" s="72"/>
    </row>
    <row r="429" spans="1:26">
      <c r="A429" s="71">
        <f>IFERROR(Associates_Call_List_PQ!A429,"")</f>
        <v>45905</v>
      </c>
      <c r="B429" s="57" t="str">
        <f>IF(Associates_Call_List_PQ!B429="","",Associates_Call_List_PQ!B429)</f>
        <v>Zeman</v>
      </c>
      <c r="C429" s="57" t="str">
        <f>IF(Associates_Call_List_PQ!C429="","",Associates_Call_List_PQ!C429)</f>
        <v>Cher</v>
      </c>
      <c r="D429" s="57" t="str">
        <f>IF(Associates_Call_List_PQ!D429="","",Associates_Call_List_PQ!D429)</f>
        <v>Goodyear</v>
      </c>
      <c r="E429" s="58">
        <f>IF(Associates_Call_List_PQ!E429="","",Associates_Call_List_PQ!E429)</f>
        <v>85395</v>
      </c>
      <c r="F429" s="57" t="str">
        <f>IF(Associates_Call_List_PQ!F429="","",Associates_Call_List_PQ!F429)</f>
        <v>Opposed</v>
      </c>
      <c r="G429" s="57" t="str">
        <f>IF(Associates_Call_List_PQ!G429="","",Associates_Call_List_PQ!G429)</f>
        <v>https://images.edocket.azcc.gov/docketpdf/E000046230.pdf</v>
      </c>
      <c r="H429" s="59" t="str">
        <f>IF(Associates_Call_List_PQ!H429="","",Associates_Call_List_PQ!H429)</f>
        <v>9651100000 </v>
      </c>
      <c r="I429" s="57" t="str">
        <f>IF(Associates_Call_List_PQ!I429="","",Associates_Call_List_PQ!I429)</f>
        <v>EPR-6w/ET-2</v>
      </c>
      <c r="J429" s="57" t="str">
        <f>IF(Associates_Call_List_PQ!J429="","",Associates_Call_List_PQ!J429)</f>
        <v>No</v>
      </c>
      <c r="K429" s="57" t="str">
        <f>IF(Associates_Call_List_PQ!K429="","",Associates_Call_List_PQ!K429)</f>
        <v>No</v>
      </c>
      <c r="L429" s="57" t="str">
        <f>IF(Associates_Call_List_PQ!L429="","",Associates_Call_List_PQ!L429)</f>
        <v>Frozen Rate</v>
      </c>
      <c r="M429" s="57" t="str">
        <f>IF(Associates_Call_List_PQ!M429="","",Associates_Call_List_PQ!M429)</f>
        <v>No</v>
      </c>
      <c r="N429" s="57" t="str">
        <f>IF(Associates_Call_List_PQ!N429="","",Associates_Call_List_PQ!N429)</f>
        <v>No</v>
      </c>
      <c r="O429" s="57" t="str">
        <f>IF(Associates_Call_List_PQ!O429="","",Associates_Call_List_PQ!O429)</f>
        <v>Yes</v>
      </c>
      <c r="P429" s="57" t="str">
        <f>IF(Associates_Call_List_PQ!P429="","",Associates_Call_List_PQ!P429)</f>
        <v>N</v>
      </c>
      <c r="Q429" s="57">
        <f>IF(Associates_Call_List_PQ!Q429="","",Associates_Call_List_PQ!Q429)</f>
        <v>45966</v>
      </c>
      <c r="R429" s="57" t="str">
        <f>IF(Associates_Call_List_PQ!R429="","",Associates_Call_List_PQ!R429)</f>
        <v/>
      </c>
      <c r="S429" s="57" t="str">
        <f>IF(Associates_Call_List_PQ!S429="","",Associates_Call_List_PQ!S429)</f>
        <v/>
      </c>
      <c r="T429" s="57" t="str">
        <f>IF(Associates_Call_List_PQ!T429="","",Associates_Call_List_PQ!T429)</f>
        <v/>
      </c>
      <c r="U429" s="57" t="str">
        <f>IF(Associates_Call_List_PQ!U429="","",Associates_Call_List_PQ!U429)</f>
        <v/>
      </c>
      <c r="V429" s="68"/>
      <c r="W429" s="68" t="s">
        <v>5432</v>
      </c>
      <c r="X429" s="68"/>
      <c r="Y429" s="68"/>
      <c r="Z429" s="72"/>
    </row>
    <row r="430" spans="1:26">
      <c r="A430" s="71">
        <f>IFERROR(Associates_Call_List_PQ!A430,"")</f>
        <v>45905</v>
      </c>
      <c r="B430" s="57" t="str">
        <f>IF(Associates_Call_List_PQ!B430="","",Associates_Call_List_PQ!B430)</f>
        <v>Scheele</v>
      </c>
      <c r="C430" s="57" t="str">
        <f>IF(Associates_Call_List_PQ!C430="","",Associates_Call_List_PQ!C430)</f>
        <v>Samuel</v>
      </c>
      <c r="D430" s="57" t="str">
        <f>IF(Associates_Call_List_PQ!D430="","",Associates_Call_List_PQ!D430)</f>
        <v>Chandler</v>
      </c>
      <c r="E430" s="58">
        <f>IF(Associates_Call_List_PQ!E430="","",Associates_Call_List_PQ!E430)</f>
        <v>85225</v>
      </c>
      <c r="F430" s="57" t="str">
        <f>IF(Associates_Call_List_PQ!F430="","",Associates_Call_List_PQ!F430)</f>
        <v>Form letter</v>
      </c>
      <c r="G430" s="57" t="str">
        <f>IF(Associates_Call_List_PQ!G430="","",Associates_Call_List_PQ!G430)</f>
        <v>https://images.edocket.azcc.gov/docketpdf/E000046230.pdf</v>
      </c>
      <c r="H430" s="59" t="str">
        <f>IF(Associates_Call_List_PQ!H430="","",Associates_Call_List_PQ!H430)</f>
        <v xml:space="preserve">5622315139 </v>
      </c>
      <c r="I430" s="57" t="str">
        <f>IF(Associates_Call_List_PQ!I430="","",Associates_Call_List_PQ!I430)</f>
        <v>R-XS</v>
      </c>
      <c r="J430" s="57" t="str">
        <f>IF(Associates_Call_List_PQ!J430="","",Associates_Call_List_PQ!J430)</f>
        <v>No</v>
      </c>
      <c r="K430" s="57" t="str">
        <f>IF(Associates_Call_List_PQ!K430="","",Associates_Call_List_PQ!K430)</f>
        <v>No</v>
      </c>
      <c r="L430" s="57" t="str">
        <f>IF(Associates_Call_List_PQ!L430="","",Associates_Call_List_PQ!L430)</f>
        <v>Yes</v>
      </c>
      <c r="M430" s="57" t="str">
        <f>IF(Associates_Call_List_PQ!M430="","",Associates_Call_List_PQ!M430)</f>
        <v>No</v>
      </c>
      <c r="N430" s="57" t="str">
        <f>IF(Associates_Call_List_PQ!N430="","",Associates_Call_List_PQ!N430)</f>
        <v>No</v>
      </c>
      <c r="O430" s="57" t="str">
        <f>IF(Associates_Call_List_PQ!O430="","",Associates_Call_List_PQ!O430)</f>
        <v>Yes</v>
      </c>
      <c r="P430" s="57" t="str">
        <f>IF(Associates_Call_List_PQ!P430="","",Associates_Call_List_PQ!P430)</f>
        <v>N</v>
      </c>
      <c r="Q430" s="57">
        <f>IF(Associates_Call_List_PQ!Q430="","",Associates_Call_List_PQ!Q430)</f>
        <v>45966</v>
      </c>
      <c r="R430" s="57" t="str">
        <f>IF(Associates_Call_List_PQ!R430="","",Associates_Call_List_PQ!R430)</f>
        <v/>
      </c>
      <c r="S430" s="57" t="str">
        <f>IF(Associates_Call_List_PQ!S430="","",Associates_Call_List_PQ!S430)</f>
        <v/>
      </c>
      <c r="T430" s="57" t="str">
        <f>IF(Associates_Call_List_PQ!T430="","",Associates_Call_List_PQ!T430)</f>
        <v/>
      </c>
      <c r="U430" s="57" t="str">
        <f>IF(Associates_Call_List_PQ!U430="","",Associates_Call_List_PQ!U430)</f>
        <v/>
      </c>
      <c r="V430" s="68"/>
      <c r="W430" s="68" t="s">
        <v>5432</v>
      </c>
      <c r="X430" s="68"/>
      <c r="Y430" s="68"/>
      <c r="Z430" s="72"/>
    </row>
    <row r="431" spans="1:26">
      <c r="A431" s="71">
        <f>IFERROR(Associates_Call_List_PQ!A431,"")</f>
        <v>45905</v>
      </c>
      <c r="B431" s="57" t="str">
        <f>IF(Associates_Call_List_PQ!B431="","",Associates_Call_List_PQ!B431)</f>
        <v>Geiger</v>
      </c>
      <c r="C431" s="57" t="str">
        <f>IF(Associates_Call_List_PQ!C431="","",Associates_Call_List_PQ!C431)</f>
        <v>William</v>
      </c>
      <c r="D431" s="57" t="str">
        <f>IF(Associates_Call_List_PQ!D431="","",Associates_Call_List_PQ!D431)</f>
        <v>Casa Grande</v>
      </c>
      <c r="E431" s="58">
        <f>IF(Associates_Call_List_PQ!E431="","",Associates_Call_List_PQ!E431)</f>
        <v>85194</v>
      </c>
      <c r="F431" s="57" t="str">
        <f>IF(Associates_Call_List_PQ!F431="","",Associates_Call_List_PQ!F431)</f>
        <v xml:space="preserve">Opposed </v>
      </c>
      <c r="G431" s="57" t="str">
        <f>IF(Associates_Call_List_PQ!G431="","",Associates_Call_List_PQ!G431)</f>
        <v>https://images.edocket.azcc.gov/docketpdf/E000046230.pdf</v>
      </c>
      <c r="H431" s="59" t="str">
        <f>IF(Associates_Call_List_PQ!H431="","",Associates_Call_List_PQ!H431)</f>
        <v xml:space="preserve">6031103650 </v>
      </c>
      <c r="I431" s="57" t="str">
        <f>IF(Associates_Call_List_PQ!I431="","",Associates_Call_List_PQ!I431)</f>
        <v>R3-47</v>
      </c>
      <c r="J431" s="57" t="str">
        <f>IF(Associates_Call_List_PQ!J431="","",Associates_Call_List_PQ!J431)</f>
        <v>No</v>
      </c>
      <c r="K431" s="57" t="str">
        <f>IF(Associates_Call_List_PQ!K431="","",Associates_Call_List_PQ!K431)</f>
        <v>No</v>
      </c>
      <c r="L431" s="57" t="str">
        <f>IF(Associates_Call_List_PQ!L431="","",Associates_Call_List_PQ!L431)</f>
        <v>Yes</v>
      </c>
      <c r="M431" s="57" t="str">
        <f>IF(Associates_Call_List_PQ!M431="","",Associates_Call_List_PQ!M431)</f>
        <v>No</v>
      </c>
      <c r="N431" s="57" t="str">
        <f>IF(Associates_Call_List_PQ!N431="","",Associates_Call_List_PQ!N431)</f>
        <v>No</v>
      </c>
      <c r="O431" s="57" t="str">
        <f>IF(Associates_Call_List_PQ!O431="","",Associates_Call_List_PQ!O431)</f>
        <v>Yes</v>
      </c>
      <c r="P431" s="57" t="str">
        <f>IF(Associates_Call_List_PQ!P431="","",Associates_Call_List_PQ!P431)</f>
        <v>N</v>
      </c>
      <c r="Q431" s="57">
        <f>IF(Associates_Call_List_PQ!Q431="","",Associates_Call_List_PQ!Q431)</f>
        <v>45966</v>
      </c>
      <c r="R431" s="57" t="str">
        <f>IF(Associates_Call_List_PQ!R431="","",Associates_Call_List_PQ!R431)</f>
        <v/>
      </c>
      <c r="S431" s="57" t="str">
        <f>IF(Associates_Call_List_PQ!S431="","",Associates_Call_List_PQ!S431)</f>
        <v/>
      </c>
      <c r="T431" s="57" t="str">
        <f>IF(Associates_Call_List_PQ!T431="","",Associates_Call_List_PQ!T431)</f>
        <v/>
      </c>
      <c r="U431" s="57" t="str">
        <f>IF(Associates_Call_List_PQ!U431="","",Associates_Call_List_PQ!U431)</f>
        <v/>
      </c>
      <c r="V431" s="68"/>
      <c r="W431" s="68" t="s">
        <v>5432</v>
      </c>
      <c r="X431" s="68"/>
      <c r="Y431" s="68"/>
      <c r="Z431" s="72"/>
    </row>
    <row r="432" spans="1:26">
      <c r="A432" s="71">
        <f>IFERROR(Associates_Call_List_PQ!A432,"")</f>
        <v>45905</v>
      </c>
      <c r="B432" s="57" t="str">
        <f>IF(Associates_Call_List_PQ!B432="","",Associates_Call_List_PQ!B432)</f>
        <v xml:space="preserve">Singh </v>
      </c>
      <c r="C432" s="57" t="str">
        <f>IF(Associates_Call_List_PQ!C432="","",Associates_Call_List_PQ!C432)</f>
        <v>Soni</v>
      </c>
      <c r="D432" s="57" t="str">
        <f>IF(Associates_Call_List_PQ!D432="","",Associates_Call_List_PQ!D432)</f>
        <v>Phoenix</v>
      </c>
      <c r="E432" s="58">
        <f>IF(Associates_Call_List_PQ!E432="","",Associates_Call_List_PQ!E432)</f>
        <v>85024</v>
      </c>
      <c r="F432" s="57" t="str">
        <f>IF(Associates_Call_List_PQ!F432="","",Associates_Call_List_PQ!F432)</f>
        <v>Too high already, opposed</v>
      </c>
      <c r="G432" s="57" t="str">
        <f>IF(Associates_Call_List_PQ!G432="","",Associates_Call_List_PQ!G432)</f>
        <v>https://images.edocket.azcc.gov/docketpdf/E000046230.pdf</v>
      </c>
      <c r="H432" s="59" t="str">
        <f>IF(Associates_Call_List_PQ!H432="","",Associates_Call_List_PQ!H432)</f>
        <v xml:space="preserve">7532070000 </v>
      </c>
      <c r="I432" s="57" t="str">
        <f>IF(Associates_Call_List_PQ!I432="","",Associates_Call_List_PQ!I432)</f>
        <v>R3-47</v>
      </c>
      <c r="J432" s="57" t="str">
        <f>IF(Associates_Call_List_PQ!J432="","",Associates_Call_List_PQ!J432)</f>
        <v>No</v>
      </c>
      <c r="K432" s="57" t="str">
        <f>IF(Associates_Call_List_PQ!K432="","",Associates_Call_List_PQ!K432)</f>
        <v>No</v>
      </c>
      <c r="L432" s="57" t="str">
        <f>IF(Associates_Call_List_PQ!L432="","",Associates_Call_List_PQ!L432)</f>
        <v>Yes</v>
      </c>
      <c r="M432" s="57" t="str">
        <f>IF(Associates_Call_List_PQ!M432="","",Associates_Call_List_PQ!M432)</f>
        <v>No</v>
      </c>
      <c r="N432" s="57" t="str">
        <f>IF(Associates_Call_List_PQ!N432="","",Associates_Call_List_PQ!N432)</f>
        <v>No</v>
      </c>
      <c r="O432" s="57" t="str">
        <f>IF(Associates_Call_List_PQ!O432="","",Associates_Call_List_PQ!O432)</f>
        <v>Yes</v>
      </c>
      <c r="P432" s="57" t="str">
        <f>IF(Associates_Call_List_PQ!P432="","",Associates_Call_List_PQ!P432)</f>
        <v>N</v>
      </c>
      <c r="Q432" s="57">
        <f>IF(Associates_Call_List_PQ!Q432="","",Associates_Call_List_PQ!Q432)</f>
        <v>45966</v>
      </c>
      <c r="R432" s="57" t="str">
        <f>IF(Associates_Call_List_PQ!R432="","",Associates_Call_List_PQ!R432)</f>
        <v/>
      </c>
      <c r="S432" s="57" t="str">
        <f>IF(Associates_Call_List_PQ!S432="","",Associates_Call_List_PQ!S432)</f>
        <v/>
      </c>
      <c r="T432" s="57" t="str">
        <f>IF(Associates_Call_List_PQ!T432="","",Associates_Call_List_PQ!T432)</f>
        <v/>
      </c>
      <c r="U432" s="57" t="str">
        <f>IF(Associates_Call_List_PQ!U432="","",Associates_Call_List_PQ!U432)</f>
        <v/>
      </c>
      <c r="V432" s="68"/>
      <c r="W432" s="68" t="s">
        <v>5432</v>
      </c>
      <c r="X432" s="68"/>
      <c r="Y432" s="68"/>
      <c r="Z432" s="72"/>
    </row>
    <row r="433" spans="1:26">
      <c r="A433" s="71">
        <f>IFERROR(Associates_Call_List_PQ!A433,"")</f>
        <v>45905</v>
      </c>
      <c r="B433" s="57" t="str">
        <f>IF(Associates_Call_List_PQ!B433="","",Associates_Call_List_PQ!B433)</f>
        <v>Pratik</v>
      </c>
      <c r="C433" s="57" t="str">
        <f>IF(Associates_Call_List_PQ!C433="","",Associates_Call_List_PQ!C433)</f>
        <v>Rahul</v>
      </c>
      <c r="D433" s="57" t="str">
        <f>IF(Associates_Call_List_PQ!D433="","",Associates_Call_List_PQ!D433)</f>
        <v>Phoenix</v>
      </c>
      <c r="E433" s="58">
        <f>IF(Associates_Call_List_PQ!E433="","",Associates_Call_List_PQ!E433)</f>
        <v>85022</v>
      </c>
      <c r="F433" s="57" t="str">
        <f>IF(Associates_Call_List_PQ!F433="","",Associates_Call_List_PQ!F433)</f>
        <v>Form letter</v>
      </c>
      <c r="G433" s="57" t="str">
        <f>IF(Associates_Call_List_PQ!G433="","",Associates_Call_List_PQ!G433)</f>
        <v>https://images.edocket.azcc.gov/docketpdf/E000046230.pdf</v>
      </c>
      <c r="H433" s="59" t="str">
        <f>IF(Associates_Call_List_PQ!H433="","",Associates_Call_List_PQ!H433)</f>
        <v xml:space="preserve">5526300000 </v>
      </c>
      <c r="I433" s="57" t="str">
        <f>IF(Associates_Call_List_PQ!I433="","",Associates_Call_List_PQ!I433)</f>
        <v>R3-47</v>
      </c>
      <c r="J433" s="57" t="str">
        <f>IF(Associates_Call_List_PQ!J433="","",Associates_Call_List_PQ!J433)</f>
        <v>No</v>
      </c>
      <c r="K433" s="57" t="str">
        <f>IF(Associates_Call_List_PQ!K433="","",Associates_Call_List_PQ!K433)</f>
        <v>No</v>
      </c>
      <c r="L433" s="57" t="str">
        <f>IF(Associates_Call_List_PQ!L433="","",Associates_Call_List_PQ!L433)</f>
        <v>Yes</v>
      </c>
      <c r="M433" s="57" t="str">
        <f>IF(Associates_Call_List_PQ!M433="","",Associates_Call_List_PQ!M433)</f>
        <v>No</v>
      </c>
      <c r="N433" s="57" t="str">
        <f>IF(Associates_Call_List_PQ!N433="","",Associates_Call_List_PQ!N433)</f>
        <v>No</v>
      </c>
      <c r="O433" s="57" t="str">
        <f>IF(Associates_Call_List_PQ!O433="","",Associates_Call_List_PQ!O433)</f>
        <v>Yes</v>
      </c>
      <c r="P433" s="57" t="str">
        <f>IF(Associates_Call_List_PQ!P433="","",Associates_Call_List_PQ!P433)</f>
        <v>N</v>
      </c>
      <c r="Q433" s="57">
        <f>IF(Associates_Call_List_PQ!Q433="","",Associates_Call_List_PQ!Q433)</f>
        <v>45966</v>
      </c>
      <c r="R433" s="57" t="str">
        <f>IF(Associates_Call_List_PQ!R433="","",Associates_Call_List_PQ!R433)</f>
        <v/>
      </c>
      <c r="S433" s="57" t="str">
        <f>IF(Associates_Call_List_PQ!S433="","",Associates_Call_List_PQ!S433)</f>
        <v/>
      </c>
      <c r="T433" s="57" t="str">
        <f>IF(Associates_Call_List_PQ!T433="","",Associates_Call_List_PQ!T433)</f>
        <v/>
      </c>
      <c r="U433" s="57" t="str">
        <f>IF(Associates_Call_List_PQ!U433="","",Associates_Call_List_PQ!U433)</f>
        <v/>
      </c>
      <c r="V433" s="68"/>
      <c r="W433" s="68" t="s">
        <v>5432</v>
      </c>
      <c r="X433" s="68"/>
      <c r="Y433" s="68"/>
      <c r="Z433" s="72"/>
    </row>
    <row r="434" spans="1:26">
      <c r="A434" s="71">
        <f>IFERROR(Associates_Call_List_PQ!A434,"")</f>
        <v>45905</v>
      </c>
      <c r="B434" s="57" t="str">
        <f>IF(Associates_Call_List_PQ!B434="","",Associates_Call_List_PQ!B434)</f>
        <v>Bodempudi</v>
      </c>
      <c r="C434" s="57" t="str">
        <f>IF(Associates_Call_List_PQ!C434="","",Associates_Call_List_PQ!C434)</f>
        <v>Vinod</v>
      </c>
      <c r="D434" s="57" t="str">
        <f>IF(Associates_Call_List_PQ!D434="","",Associates_Call_List_PQ!D434)</f>
        <v>Peoria</v>
      </c>
      <c r="E434" s="58">
        <f>IF(Associates_Call_List_PQ!E434="","",Associates_Call_List_PQ!E434)</f>
        <v>85383</v>
      </c>
      <c r="F434" s="57" t="str">
        <f>IF(Associates_Call_List_PQ!F434="","",Associates_Call_List_PQ!F434)</f>
        <v>Form letter</v>
      </c>
      <c r="G434" s="57" t="str">
        <f>IF(Associates_Call_List_PQ!G434="","",Associates_Call_List_PQ!G434)</f>
        <v>https://images.edocket.azcc.gov/docketpdf/E000046230.pdf</v>
      </c>
      <c r="H434" s="59" t="str">
        <f>IF(Associates_Call_List_PQ!H434="","",Associates_Call_List_PQ!H434)</f>
        <v xml:space="preserve">8251801000 </v>
      </c>
      <c r="I434" s="57" t="str">
        <f>IF(Associates_Call_List_PQ!I434="","",Associates_Call_List_PQ!I434)</f>
        <v>RTOUE47</v>
      </c>
      <c r="J434" s="57" t="str">
        <f>IF(Associates_Call_List_PQ!J434="","",Associates_Call_List_PQ!J434)</f>
        <v>No</v>
      </c>
      <c r="K434" s="57" t="str">
        <f>IF(Associates_Call_List_PQ!K434="","",Associates_Call_List_PQ!K434)</f>
        <v>No</v>
      </c>
      <c r="L434" s="57" t="str">
        <f>IF(Associates_Call_List_PQ!L434="","",Associates_Call_List_PQ!L434)</f>
        <v>Yes</v>
      </c>
      <c r="M434" s="57" t="str">
        <f>IF(Associates_Call_List_PQ!M434="","",Associates_Call_List_PQ!M434)</f>
        <v>No</v>
      </c>
      <c r="N434" s="57" t="str">
        <f>IF(Associates_Call_List_PQ!N434="","",Associates_Call_List_PQ!N434)</f>
        <v>No</v>
      </c>
      <c r="O434" s="57" t="str">
        <f>IF(Associates_Call_List_PQ!O434="","",Associates_Call_List_PQ!O434)</f>
        <v>Yes</v>
      </c>
      <c r="P434" s="57" t="str">
        <f>IF(Associates_Call_List_PQ!P434="","",Associates_Call_List_PQ!P434)</f>
        <v>N</v>
      </c>
      <c r="Q434" s="57">
        <f>IF(Associates_Call_List_PQ!Q434="","",Associates_Call_List_PQ!Q434)</f>
        <v>45966</v>
      </c>
      <c r="R434" s="57" t="str">
        <f>IF(Associates_Call_List_PQ!R434="","",Associates_Call_List_PQ!R434)</f>
        <v/>
      </c>
      <c r="S434" s="57" t="str">
        <f>IF(Associates_Call_List_PQ!S434="","",Associates_Call_List_PQ!S434)</f>
        <v/>
      </c>
      <c r="T434" s="57" t="str">
        <f>IF(Associates_Call_List_PQ!T434="","",Associates_Call_List_PQ!T434)</f>
        <v/>
      </c>
      <c r="U434" s="57" t="str">
        <f>IF(Associates_Call_List_PQ!U434="","",Associates_Call_List_PQ!U434)</f>
        <v/>
      </c>
      <c r="V434" s="68"/>
      <c r="W434" s="68" t="s">
        <v>5432</v>
      </c>
      <c r="X434" s="68"/>
      <c r="Y434" s="68"/>
      <c r="Z434" s="72"/>
    </row>
    <row r="435" spans="1:26">
      <c r="A435" s="71">
        <f>IFERROR(Associates_Call_List_PQ!A435,"")</f>
        <v>45905</v>
      </c>
      <c r="B435" s="57" t="str">
        <f>IF(Associates_Call_List_PQ!B435="","",Associates_Call_List_PQ!B435)</f>
        <v>Nelson</v>
      </c>
      <c r="C435" s="57" t="str">
        <f>IF(Associates_Call_List_PQ!C435="","",Associates_Call_List_PQ!C435)</f>
        <v>Corianne</v>
      </c>
      <c r="D435" s="57" t="str">
        <f>IF(Associates_Call_List_PQ!D435="","",Associates_Call_List_PQ!D435)</f>
        <v>Phoenix</v>
      </c>
      <c r="E435" s="58">
        <f>IF(Associates_Call_List_PQ!E435="","",Associates_Call_List_PQ!E435)</f>
        <v>85007</v>
      </c>
      <c r="F435" s="57" t="str">
        <f>IF(Associates_Call_List_PQ!F435="","",Associates_Call_List_PQ!F435)</f>
        <v>Form letter</v>
      </c>
      <c r="G435" s="57" t="str">
        <f>IF(Associates_Call_List_PQ!G435="","",Associates_Call_List_PQ!G435)</f>
        <v>https://images.edocket.azcc.gov/docketpdf/E000046230.pdf</v>
      </c>
      <c r="H435" s="59" t="str">
        <f>IF(Associates_Call_List_PQ!H435="","",Associates_Call_List_PQ!H435)</f>
        <v xml:space="preserve">3135361000 </v>
      </c>
      <c r="I435" s="57" t="str">
        <f>IF(Associates_Call_List_PQ!I435="","",Associates_Call_List_PQ!I435)</f>
        <v>R3-47</v>
      </c>
      <c r="J435" s="57" t="str">
        <f>IF(Associates_Call_List_PQ!J435="","",Associates_Call_List_PQ!J435)</f>
        <v>No</v>
      </c>
      <c r="K435" s="57" t="str">
        <f>IF(Associates_Call_List_PQ!K435="","",Associates_Call_List_PQ!K435)</f>
        <v>No</v>
      </c>
      <c r="L435" s="57" t="str">
        <f>IF(Associates_Call_List_PQ!L435="","",Associates_Call_List_PQ!L435)</f>
        <v>Yes</v>
      </c>
      <c r="M435" s="57" t="str">
        <f>IF(Associates_Call_List_PQ!M435="","",Associates_Call_List_PQ!M435)</f>
        <v>No</v>
      </c>
      <c r="N435" s="57" t="str">
        <f>IF(Associates_Call_List_PQ!N435="","",Associates_Call_List_PQ!N435)</f>
        <v>No</v>
      </c>
      <c r="O435" s="57" t="str">
        <f>IF(Associates_Call_List_PQ!O435="","",Associates_Call_List_PQ!O435)</f>
        <v>Yes</v>
      </c>
      <c r="P435" s="57" t="str">
        <f>IF(Associates_Call_List_PQ!P435="","",Associates_Call_List_PQ!P435)</f>
        <v>N</v>
      </c>
      <c r="Q435" s="57">
        <f>IF(Associates_Call_List_PQ!Q435="","",Associates_Call_List_PQ!Q435)</f>
        <v>45966</v>
      </c>
      <c r="R435" s="57" t="str">
        <f>IF(Associates_Call_List_PQ!R435="","",Associates_Call_List_PQ!R435)</f>
        <v/>
      </c>
      <c r="S435" s="57" t="str">
        <f>IF(Associates_Call_List_PQ!S435="","",Associates_Call_List_PQ!S435)</f>
        <v/>
      </c>
      <c r="T435" s="57" t="str">
        <f>IF(Associates_Call_List_PQ!T435="","",Associates_Call_List_PQ!T435)</f>
        <v/>
      </c>
      <c r="U435" s="57" t="str">
        <f>IF(Associates_Call_List_PQ!U435="","",Associates_Call_List_PQ!U435)</f>
        <v/>
      </c>
      <c r="V435" s="68"/>
      <c r="W435" s="68" t="s">
        <v>5432</v>
      </c>
      <c r="X435" s="68"/>
      <c r="Y435" s="68"/>
      <c r="Z435" s="72"/>
    </row>
    <row r="436" spans="1:26">
      <c r="A436" s="71">
        <f>IFERROR(Associates_Call_List_PQ!A436,"")</f>
        <v>45905</v>
      </c>
      <c r="B436" s="57" t="str">
        <f>IF(Associates_Call_List_PQ!B436="","",Associates_Call_List_PQ!B436)</f>
        <v>Syring</v>
      </c>
      <c r="C436" s="57" t="str">
        <f>IF(Associates_Call_List_PQ!C436="","",Associates_Call_List_PQ!C436)</f>
        <v>Lani</v>
      </c>
      <c r="D436" s="57" t="str">
        <f>IF(Associates_Call_List_PQ!D436="","",Associates_Call_List_PQ!D436)</f>
        <v>Surprise</v>
      </c>
      <c r="E436" s="58">
        <f>IF(Associates_Call_List_PQ!E436="","",Associates_Call_List_PQ!E436)</f>
        <v>85379</v>
      </c>
      <c r="F436" s="57" t="str">
        <f>IF(Associates_Call_List_PQ!F436="","",Associates_Call_List_PQ!F436)</f>
        <v>Form letter</v>
      </c>
      <c r="G436" s="57" t="str">
        <f>IF(Associates_Call_List_PQ!G436="","",Associates_Call_List_PQ!G436)</f>
        <v>https://images.edocket.azcc.gov/docketpdf/E000046230.pdf</v>
      </c>
      <c r="H436" s="59" t="str">
        <f>IF(Associates_Call_List_PQ!H436="","",Associates_Call_List_PQ!H436)</f>
        <v xml:space="preserve">5579377804 </v>
      </c>
      <c r="I436" s="57" t="str">
        <f>IF(Associates_Call_List_PQ!I436="","",Associates_Call_List_PQ!I436)</f>
        <v>RTOUE47</v>
      </c>
      <c r="J436" s="57" t="str">
        <f>IF(Associates_Call_List_PQ!J436="","",Associates_Call_List_PQ!J436)</f>
        <v>No</v>
      </c>
      <c r="K436" s="57" t="str">
        <f>IF(Associates_Call_List_PQ!K436="","",Associates_Call_List_PQ!K436)</f>
        <v>No</v>
      </c>
      <c r="L436" s="57" t="str">
        <f>IF(Associates_Call_List_PQ!L436="","",Associates_Call_List_PQ!L436)</f>
        <v>Yes</v>
      </c>
      <c r="M436" s="57" t="str">
        <f>IF(Associates_Call_List_PQ!M436="","",Associates_Call_List_PQ!M436)</f>
        <v>Yes</v>
      </c>
      <c r="N436" s="57">
        <f>IF(Associates_Call_List_PQ!N436="","",Associates_Call_List_PQ!N436)</f>
        <v>436.03</v>
      </c>
      <c r="O436" s="57" t="str">
        <f>IF(Associates_Call_List_PQ!O436="","",Associates_Call_List_PQ!O436)</f>
        <v>Yes</v>
      </c>
      <c r="P436" s="57" t="str">
        <f>IF(Associates_Call_List_PQ!P436="","",Associates_Call_List_PQ!P436)</f>
        <v>N</v>
      </c>
      <c r="Q436" s="57">
        <f>IF(Associates_Call_List_PQ!Q436="","",Associates_Call_List_PQ!Q436)</f>
        <v>45966</v>
      </c>
      <c r="R436" s="57" t="str">
        <f>IF(Associates_Call_List_PQ!R436="","",Associates_Call_List_PQ!R436)</f>
        <v/>
      </c>
      <c r="S436" s="57" t="str">
        <f>IF(Associates_Call_List_PQ!S436="","",Associates_Call_List_PQ!S436)</f>
        <v/>
      </c>
      <c r="T436" s="57" t="str">
        <f>IF(Associates_Call_List_PQ!T436="","",Associates_Call_List_PQ!T436)</f>
        <v/>
      </c>
      <c r="U436" s="57" t="s">
        <v>5531</v>
      </c>
      <c r="V436" s="68" t="s">
        <v>117</v>
      </c>
      <c r="W436" s="68">
        <v>45997</v>
      </c>
      <c r="X436" s="68" t="s">
        <v>5434</v>
      </c>
      <c r="Y436" s="68"/>
      <c r="Z436" s="72" t="s">
        <v>5438</v>
      </c>
    </row>
    <row r="437" spans="1:26">
      <c r="A437" s="71">
        <f>IFERROR(Associates_Call_List_PQ!A437,"")</f>
        <v>45905</v>
      </c>
      <c r="B437" s="57" t="str">
        <f>IF(Associates_Call_List_PQ!B437="","",Associates_Call_List_PQ!B437)</f>
        <v>Van Marter</v>
      </c>
      <c r="C437" s="57" t="str">
        <f>IF(Associates_Call_List_PQ!C437="","",Associates_Call_List_PQ!C437)</f>
        <v>Charles</v>
      </c>
      <c r="D437" s="57" t="str">
        <f>IF(Associates_Call_List_PQ!D437="","",Associates_Call_List_PQ!D437)</f>
        <v>Goodyear</v>
      </c>
      <c r="E437" s="58">
        <f>IF(Associates_Call_List_PQ!E437="","",Associates_Call_List_PQ!E437)</f>
        <v>85395</v>
      </c>
      <c r="F437" s="57" t="str">
        <f>IF(Associates_Call_List_PQ!F437="","",Associates_Call_List_PQ!F437)</f>
        <v>Opposed</v>
      </c>
      <c r="G437" s="57" t="str">
        <f>IF(Associates_Call_List_PQ!G437="","",Associates_Call_List_PQ!G437)</f>
        <v>https://images.edocket.azcc.gov/docketpdf/E000046230.pdf</v>
      </c>
      <c r="H437" s="59" t="str">
        <f>IF(Associates_Call_List_PQ!H437="","",Associates_Call_List_PQ!H437)</f>
        <v xml:space="preserve">0869170000 </v>
      </c>
      <c r="I437" s="57" t="str">
        <f>IF(Associates_Call_List_PQ!I437="","",Associates_Call_List_PQ!I437)</f>
        <v>R3-47</v>
      </c>
      <c r="J437" s="57" t="str">
        <f>IF(Associates_Call_List_PQ!J437="","",Associates_Call_List_PQ!J437)</f>
        <v>No</v>
      </c>
      <c r="K437" s="57" t="str">
        <f>IF(Associates_Call_List_PQ!K437="","",Associates_Call_List_PQ!K437)</f>
        <v>No</v>
      </c>
      <c r="L437" s="57" t="str">
        <f>IF(Associates_Call_List_PQ!L437="","",Associates_Call_List_PQ!L437)</f>
        <v>Yes</v>
      </c>
      <c r="M437" s="57" t="str">
        <f>IF(Associates_Call_List_PQ!M437="","",Associates_Call_List_PQ!M437)</f>
        <v>No</v>
      </c>
      <c r="N437" s="57" t="str">
        <f>IF(Associates_Call_List_PQ!N437="","",Associates_Call_List_PQ!N437)</f>
        <v>No</v>
      </c>
      <c r="O437" s="57" t="str">
        <f>IF(Associates_Call_List_PQ!O437="","",Associates_Call_List_PQ!O437)</f>
        <v>Yes</v>
      </c>
      <c r="P437" s="57" t="str">
        <f>IF(Associates_Call_List_PQ!P437="","",Associates_Call_List_PQ!P437)</f>
        <v>N</v>
      </c>
      <c r="Q437" s="57">
        <f>IF(Associates_Call_List_PQ!Q437="","",Associates_Call_List_PQ!Q437)</f>
        <v>45966</v>
      </c>
      <c r="R437" s="57" t="str">
        <f>IF(Associates_Call_List_PQ!R437="","",Associates_Call_List_PQ!R437)</f>
        <v/>
      </c>
      <c r="S437" s="57" t="str">
        <f>IF(Associates_Call_List_PQ!S437="","",Associates_Call_List_PQ!S437)</f>
        <v/>
      </c>
      <c r="T437" s="57" t="str">
        <f>IF(Associates_Call_List_PQ!T437="","",Associates_Call_List_PQ!T437)</f>
        <v/>
      </c>
      <c r="U437" s="57" t="str">
        <f>IF(Associates_Call_List_PQ!U437="","",Associates_Call_List_PQ!U437)</f>
        <v/>
      </c>
      <c r="V437" s="68"/>
      <c r="W437" s="68" t="s">
        <v>5432</v>
      </c>
      <c r="X437" s="68"/>
      <c r="Y437" s="68"/>
      <c r="Z437" s="72"/>
    </row>
    <row r="438" spans="1:26">
      <c r="A438" s="71">
        <f>IFERROR(Associates_Call_List_PQ!A438,"")</f>
        <v>45905</v>
      </c>
      <c r="B438" s="57" t="str">
        <f>IF(Associates_Call_List_PQ!B438="","",Associates_Call_List_PQ!B438)</f>
        <v>Gulotta</v>
      </c>
      <c r="C438" s="57" t="str">
        <f>IF(Associates_Call_List_PQ!C438="","",Associates_Call_List_PQ!C438)</f>
        <v>Nicholas</v>
      </c>
      <c r="D438" s="57" t="str">
        <f>IF(Associates_Call_List_PQ!D438="","",Associates_Call_List_PQ!D438)</f>
        <v>Tempe</v>
      </c>
      <c r="E438" s="58">
        <f>IF(Associates_Call_List_PQ!E438="","",Associates_Call_List_PQ!E438)</f>
        <v>85288</v>
      </c>
      <c r="F438" s="57" t="str">
        <f>IF(Associates_Call_List_PQ!F438="","",Associates_Call_List_PQ!F438)</f>
        <v>Form letter</v>
      </c>
      <c r="G438" s="57" t="str">
        <f>IF(Associates_Call_List_PQ!G438="","",Associates_Call_List_PQ!G438)</f>
        <v>https://images.edocket.azcc.gov/docketpdf/E000046230.pdf</v>
      </c>
      <c r="H438" s="59" t="str">
        <f>IF(Associates_Call_List_PQ!H438="","",Associates_Call_List_PQ!H438)</f>
        <v xml:space="preserve">4875496471 </v>
      </c>
      <c r="I438" s="57" t="str">
        <f>IF(Associates_Call_List_PQ!I438="","",Associates_Call_List_PQ!I438)</f>
        <v>R-XS</v>
      </c>
      <c r="J438" s="57" t="str">
        <f>IF(Associates_Call_List_PQ!J438="","",Associates_Call_List_PQ!J438)</f>
        <v>No</v>
      </c>
      <c r="K438" s="57" t="str">
        <f>IF(Associates_Call_List_PQ!K438="","",Associates_Call_List_PQ!K438)</f>
        <v>No</v>
      </c>
      <c r="L438" s="57" t="str">
        <f>IF(Associates_Call_List_PQ!L438="","",Associates_Call_List_PQ!L438)</f>
        <v>Yes</v>
      </c>
      <c r="M438" s="57" t="str">
        <f>IF(Associates_Call_List_PQ!M438="","",Associates_Call_List_PQ!M438)</f>
        <v>No</v>
      </c>
      <c r="N438" s="57" t="str">
        <f>IF(Associates_Call_List_PQ!N438="","",Associates_Call_List_PQ!N438)</f>
        <v>No</v>
      </c>
      <c r="O438" s="57" t="str">
        <f>IF(Associates_Call_List_PQ!O438="","",Associates_Call_List_PQ!O438)</f>
        <v>Yes</v>
      </c>
      <c r="P438" s="57" t="str">
        <f>IF(Associates_Call_List_PQ!P438="","",Associates_Call_List_PQ!P438)</f>
        <v>N</v>
      </c>
      <c r="Q438" s="57">
        <f>IF(Associates_Call_List_PQ!Q438="","",Associates_Call_List_PQ!Q438)</f>
        <v>45966</v>
      </c>
      <c r="R438" s="57" t="str">
        <f>IF(Associates_Call_List_PQ!R438="","",Associates_Call_List_PQ!R438)</f>
        <v/>
      </c>
      <c r="S438" s="57" t="str">
        <f>IF(Associates_Call_List_PQ!S438="","",Associates_Call_List_PQ!S438)</f>
        <v/>
      </c>
      <c r="T438" s="57" t="str">
        <f>IF(Associates_Call_List_PQ!T438="","",Associates_Call_List_PQ!T438)</f>
        <v/>
      </c>
      <c r="U438" s="57" t="str">
        <f>IF(Associates_Call_List_PQ!U438="","",Associates_Call_List_PQ!U438)</f>
        <v/>
      </c>
      <c r="V438" s="68"/>
      <c r="W438" s="68" t="s">
        <v>5432</v>
      </c>
      <c r="X438" s="68"/>
      <c r="Y438" s="68"/>
      <c r="Z438" s="72"/>
    </row>
    <row r="439" spans="1:26">
      <c r="A439" s="71">
        <f>IFERROR(Associates_Call_List_PQ!A439,"")</f>
        <v>45905</v>
      </c>
      <c r="B439" s="57" t="str">
        <f>IF(Associates_Call_List_PQ!B439="","",Associates_Call_List_PQ!B439)</f>
        <v>Caballero Sosa</v>
      </c>
      <c r="C439" s="57" t="str">
        <f>IF(Associates_Call_List_PQ!C439="","",Associates_Call_List_PQ!C439)</f>
        <v>Gabriel</v>
      </c>
      <c r="D439" s="57" t="str">
        <f>IF(Associates_Call_List_PQ!D439="","",Associates_Call_List_PQ!D439)</f>
        <v>Phoenix</v>
      </c>
      <c r="E439" s="58">
        <f>IF(Associates_Call_List_PQ!E439="","",Associates_Call_List_PQ!E439)</f>
        <v>85053</v>
      </c>
      <c r="F439" s="57" t="str">
        <f>IF(Associates_Call_List_PQ!F439="","",Associates_Call_List_PQ!F439)</f>
        <v>Form letter</v>
      </c>
      <c r="G439" s="57" t="str">
        <f>IF(Associates_Call_List_PQ!G439="","",Associates_Call_List_PQ!G439)</f>
        <v>https://images.edocket.azcc.gov/docketpdf/E000046230.pdf</v>
      </c>
      <c r="H439" s="59" t="str">
        <f>IF(Associates_Call_List_PQ!H439="","",Associates_Call_List_PQ!H439)</f>
        <v xml:space="preserve">4100903949 </v>
      </c>
      <c r="I439" s="57" t="str">
        <f>IF(Associates_Call_List_PQ!I439="","",Associates_Call_List_PQ!I439)</f>
        <v>R-XS</v>
      </c>
      <c r="J439" s="57" t="str">
        <f>IF(Associates_Call_List_PQ!J439="","",Associates_Call_List_PQ!J439)</f>
        <v>No</v>
      </c>
      <c r="K439" s="57" t="str">
        <f>IF(Associates_Call_List_PQ!K439="","",Associates_Call_List_PQ!K439)</f>
        <v>No</v>
      </c>
      <c r="L439" s="57" t="str">
        <f>IF(Associates_Call_List_PQ!L439="","",Associates_Call_List_PQ!L439)</f>
        <v>Yes</v>
      </c>
      <c r="M439" s="57" t="str">
        <f>IF(Associates_Call_List_PQ!M439="","",Associates_Call_List_PQ!M439)</f>
        <v>No</v>
      </c>
      <c r="N439" s="57" t="str">
        <f>IF(Associates_Call_List_PQ!N439="","",Associates_Call_List_PQ!N439)</f>
        <v>No</v>
      </c>
      <c r="O439" s="57" t="str">
        <f>IF(Associates_Call_List_PQ!O439="","",Associates_Call_List_PQ!O439)</f>
        <v>Yes</v>
      </c>
      <c r="P439" s="57" t="str">
        <f>IF(Associates_Call_List_PQ!P439="","",Associates_Call_List_PQ!P439)</f>
        <v>N</v>
      </c>
      <c r="Q439" s="57">
        <f>IF(Associates_Call_List_PQ!Q439="","",Associates_Call_List_PQ!Q439)</f>
        <v>45966</v>
      </c>
      <c r="R439" s="57" t="str">
        <f>IF(Associates_Call_List_PQ!R439="","",Associates_Call_List_PQ!R439)</f>
        <v/>
      </c>
      <c r="S439" s="57" t="str">
        <f>IF(Associates_Call_List_PQ!S439="","",Associates_Call_List_PQ!S439)</f>
        <v/>
      </c>
      <c r="T439" s="57" t="str">
        <f>IF(Associates_Call_List_PQ!T439="","",Associates_Call_List_PQ!T439)</f>
        <v/>
      </c>
      <c r="U439" s="57" t="str">
        <f>IF(Associates_Call_List_PQ!U439="","",Associates_Call_List_PQ!U439)</f>
        <v/>
      </c>
      <c r="V439" s="68"/>
      <c r="W439" s="68" t="s">
        <v>5432</v>
      </c>
      <c r="X439" s="68"/>
      <c r="Y439" s="68"/>
      <c r="Z439" s="72"/>
    </row>
    <row r="440" spans="1:26">
      <c r="A440" s="71">
        <f>IFERROR(Associates_Call_List_PQ!A440,"")</f>
        <v>45905</v>
      </c>
      <c r="B440" s="57" t="str">
        <f>IF(Associates_Call_List_PQ!B440="","",Associates_Call_List_PQ!B440)</f>
        <v>Harrison</v>
      </c>
      <c r="C440" s="57" t="str">
        <f>IF(Associates_Call_List_PQ!C440="","",Associates_Call_List_PQ!C440)</f>
        <v>Chelsie</v>
      </c>
      <c r="D440" s="57" t="str">
        <f>IF(Associates_Call_List_PQ!D440="","",Associates_Call_List_PQ!D440)</f>
        <v>Cottonwood</v>
      </c>
      <c r="E440" s="58">
        <f>IF(Associates_Call_List_PQ!E440="","",Associates_Call_List_PQ!E440)</f>
        <v>86326</v>
      </c>
      <c r="F440" s="57" t="str">
        <f>IF(Associates_Call_List_PQ!F440="","",Associates_Call_List_PQ!F440)</f>
        <v>Detrimental to our financial stability</v>
      </c>
      <c r="G440" s="57" t="str">
        <f>IF(Associates_Call_List_PQ!G440="","",Associates_Call_List_PQ!G440)</f>
        <v>https://images.edocket.azcc.gov/docketpdf/E000046230.pdf</v>
      </c>
      <c r="H440" s="59" t="str">
        <f>IF(Associates_Call_List_PQ!H440="","",Associates_Call_List_PQ!H440)</f>
        <v xml:space="preserve">6747966884 </v>
      </c>
      <c r="I440" s="57" t="str">
        <f>IF(Associates_Call_List_PQ!I440="","",Associates_Call_List_PQ!I440)</f>
        <v>R-XS</v>
      </c>
      <c r="J440" s="57" t="str">
        <f>IF(Associates_Call_List_PQ!J440="","",Associates_Call_List_PQ!J440)</f>
        <v>Yes</v>
      </c>
      <c r="K440" s="57" t="str">
        <f>IF(Associates_Call_List_PQ!K440="","",Associates_Call_List_PQ!K440)</f>
        <v>No</v>
      </c>
      <c r="L440" s="57" t="str">
        <f>IF(Associates_Call_List_PQ!L440="","",Associates_Call_List_PQ!L440)</f>
        <v>Yes</v>
      </c>
      <c r="M440" s="57" t="str">
        <f>IF(Associates_Call_List_PQ!M440="","",Associates_Call_List_PQ!M440)</f>
        <v>No</v>
      </c>
      <c r="N440" s="57" t="str">
        <f>IF(Associates_Call_List_PQ!N440="","",Associates_Call_List_PQ!N440)</f>
        <v>No</v>
      </c>
      <c r="O440" s="57" t="str">
        <f>IF(Associates_Call_List_PQ!O440="","",Associates_Call_List_PQ!O440)</f>
        <v>Yes</v>
      </c>
      <c r="P440" s="57" t="str">
        <f>IF(Associates_Call_List_PQ!P440="","",Associates_Call_List_PQ!P440)</f>
        <v>N</v>
      </c>
      <c r="Q440" s="57">
        <f>IF(Associates_Call_List_PQ!Q440="","",Associates_Call_List_PQ!Q440)</f>
        <v>45966</v>
      </c>
      <c r="R440" s="57" t="str">
        <f>IF(Associates_Call_List_PQ!R440="","",Associates_Call_List_PQ!R440)</f>
        <v/>
      </c>
      <c r="S440" s="57" t="str">
        <f>IF(Associates_Call_List_PQ!S440="","",Associates_Call_List_PQ!S440)</f>
        <v/>
      </c>
      <c r="T440" s="57" t="str">
        <f>IF(Associates_Call_List_PQ!T440="","",Associates_Call_List_PQ!T440)</f>
        <v/>
      </c>
      <c r="U440" s="57" t="str">
        <f>IF(Associates_Call_List_PQ!U440="","",Associates_Call_List_PQ!U440)</f>
        <v/>
      </c>
      <c r="V440" s="68"/>
      <c r="W440" s="68" t="s">
        <v>5432</v>
      </c>
      <c r="X440" s="68"/>
      <c r="Y440" s="68"/>
      <c r="Z440" s="72"/>
    </row>
    <row r="441" spans="1:26">
      <c r="A441" s="71">
        <f>IFERROR(Associates_Call_List_PQ!A441,"")</f>
        <v>45905</v>
      </c>
      <c r="B441" s="57" t="str">
        <f>IF(Associates_Call_List_PQ!B441="","",Associates_Call_List_PQ!B441)</f>
        <v>Berry</v>
      </c>
      <c r="C441" s="57" t="str">
        <f>IF(Associates_Call_List_PQ!C441="","",Associates_Call_List_PQ!C441)</f>
        <v>Mason</v>
      </c>
      <c r="D441" s="57" t="str">
        <f>IF(Associates_Call_List_PQ!D441="","",Associates_Call_List_PQ!D441)</f>
        <v>Phoenix</v>
      </c>
      <c r="E441" s="58">
        <f>IF(Associates_Call_List_PQ!E441="","",Associates_Call_List_PQ!E441)</f>
        <v>85083</v>
      </c>
      <c r="F441" s="57" t="str">
        <f>IF(Associates_Call_List_PQ!F441="","",Associates_Call_List_PQ!F441)</f>
        <v>Form letter</v>
      </c>
      <c r="G441" s="57" t="str">
        <f>IF(Associates_Call_List_PQ!G441="","",Associates_Call_List_PQ!G441)</f>
        <v>https://images.edocket.azcc.gov/docketpdf/E000046230.pdf</v>
      </c>
      <c r="H441" s="59">
        <f>IF(Associates_Call_List_PQ!H441="","",Associates_Call_List_PQ!H441)</f>
        <v>6940323949</v>
      </c>
      <c r="I441" s="57" t="str">
        <f>IF(Associates_Call_List_PQ!I441="","",Associates_Call_List_PQ!I441)</f>
        <v>RTOUE47</v>
      </c>
      <c r="J441" s="57" t="str">
        <f>IF(Associates_Call_List_PQ!J441="","",Associates_Call_List_PQ!J441)</f>
        <v>No</v>
      </c>
      <c r="K441" s="57" t="str">
        <f>IF(Associates_Call_List_PQ!K441="","",Associates_Call_List_PQ!K441)</f>
        <v>No</v>
      </c>
      <c r="L441" s="57" t="str">
        <f>IF(Associates_Call_List_PQ!L441="","",Associates_Call_List_PQ!L441)</f>
        <v>No MEP R3-47 ($90.56)</v>
      </c>
      <c r="M441" s="57" t="str">
        <f>IF(Associates_Call_List_PQ!M441="","",Associates_Call_List_PQ!M441)</f>
        <v>No</v>
      </c>
      <c r="N441" s="57" t="str">
        <f>IF(Associates_Call_List_PQ!N441="","",Associates_Call_List_PQ!N441)</f>
        <v>No</v>
      </c>
      <c r="O441" s="57" t="str">
        <f>IF(Associates_Call_List_PQ!O441="","",Associates_Call_List_PQ!O441)</f>
        <v>Yes</v>
      </c>
      <c r="P441" s="57" t="str">
        <f>IF(Associates_Call_List_PQ!P441="","",Associates_Call_List_PQ!P441)</f>
        <v>N</v>
      </c>
      <c r="Q441" s="57">
        <f>IF(Associates_Call_List_PQ!Q441="","",Associates_Call_List_PQ!Q441)</f>
        <v>45966</v>
      </c>
      <c r="R441" s="57" t="str">
        <f>IF(Associates_Call_List_PQ!R441="","",Associates_Call_List_PQ!R441)</f>
        <v/>
      </c>
      <c r="S441" s="57" t="str">
        <f>IF(Associates_Call_List_PQ!S441="","",Associates_Call_List_PQ!S441)</f>
        <v/>
      </c>
      <c r="T441" s="57" t="str">
        <f>IF(Associates_Call_List_PQ!T441="","",Associates_Call_List_PQ!T441)</f>
        <v/>
      </c>
      <c r="U441" s="57" t="s">
        <v>5584</v>
      </c>
      <c r="V441" s="68" t="s">
        <v>117</v>
      </c>
      <c r="W441" s="68">
        <v>46053</v>
      </c>
      <c r="X441" s="68" t="s">
        <v>5434</v>
      </c>
      <c r="Y441" s="68"/>
      <c r="Z441" s="72"/>
    </row>
    <row r="442" spans="1:26">
      <c r="A442" s="71">
        <f>IFERROR(Associates_Call_List_PQ!A442,"")</f>
        <v>45905</v>
      </c>
      <c r="B442" s="57" t="str">
        <f>IF(Associates_Call_List_PQ!B442="","",Associates_Call_List_PQ!B442)</f>
        <v>Bartley</v>
      </c>
      <c r="C442" s="57" t="str">
        <f>IF(Associates_Call_List_PQ!C442="","",Associates_Call_List_PQ!C442)</f>
        <v>Leslie</v>
      </c>
      <c r="D442" s="57" t="str">
        <f>IF(Associates_Call_List_PQ!D442="","",Associates_Call_List_PQ!D442)</f>
        <v>Goodyear</v>
      </c>
      <c r="E442" s="58">
        <f>IF(Associates_Call_List_PQ!E442="","",Associates_Call_List_PQ!E442)</f>
        <v>85395</v>
      </c>
      <c r="F442" s="57" t="str">
        <f>IF(Associates_Call_List_PQ!F442="","",Associates_Call_List_PQ!F442)</f>
        <v xml:space="preserve">Unfair  </v>
      </c>
      <c r="G442" s="57" t="str">
        <f>IF(Associates_Call_List_PQ!G442="","",Associates_Call_List_PQ!G442)</f>
        <v>https://images.edocket.azcc.gov/docketpdf/E000046230.pdf</v>
      </c>
      <c r="H442" s="59" t="str">
        <f>IF(Associates_Call_List_PQ!H442="","",Associates_Call_List_PQ!H442)</f>
        <v xml:space="preserve">9756846766 </v>
      </c>
      <c r="I442" s="57" t="str">
        <f>IF(Associates_Call_List_PQ!I442="","",Associates_Call_List_PQ!I442)</f>
        <v>Multiple SAs</v>
      </c>
      <c r="J442" s="57" t="str">
        <f>IF(Associates_Call_List_PQ!J442="","",Associates_Call_List_PQ!J442)</f>
        <v>No</v>
      </c>
      <c r="K442" s="57" t="str">
        <f>IF(Associates_Call_List_PQ!K442="","",Associates_Call_List_PQ!K442)</f>
        <v>No</v>
      </c>
      <c r="L442" s="57" t="str">
        <f>IF(Associates_Call_List_PQ!L442="","",Associates_Call_List_PQ!L442)</f>
        <v>Yes</v>
      </c>
      <c r="M442" s="57" t="str">
        <f>IF(Associates_Call_List_PQ!M442="","",Associates_Call_List_PQ!M442)</f>
        <v>No</v>
      </c>
      <c r="N442" s="57" t="str">
        <f>IF(Associates_Call_List_PQ!N442="","",Associates_Call_List_PQ!N442)</f>
        <v>No</v>
      </c>
      <c r="O442" s="57" t="str">
        <f>IF(Associates_Call_List_PQ!O442="","",Associates_Call_List_PQ!O442)</f>
        <v>Yes</v>
      </c>
      <c r="P442" s="57" t="str">
        <f>IF(Associates_Call_List_PQ!P442="","",Associates_Call_List_PQ!P442)</f>
        <v>N</v>
      </c>
      <c r="Q442" s="57">
        <f>IF(Associates_Call_List_PQ!Q442="","",Associates_Call_List_PQ!Q442)</f>
        <v>45966</v>
      </c>
      <c r="R442" s="57" t="str">
        <f>IF(Associates_Call_List_PQ!R442="","",Associates_Call_List_PQ!R442)</f>
        <v/>
      </c>
      <c r="S442" s="57" t="str">
        <f>IF(Associates_Call_List_PQ!S442="","",Associates_Call_List_PQ!S442)</f>
        <v/>
      </c>
      <c r="T442" s="57" t="str">
        <f>IF(Associates_Call_List_PQ!T442="","",Associates_Call_List_PQ!T442)</f>
        <v/>
      </c>
      <c r="U442" s="57" t="str">
        <f>IF(Associates_Call_List_PQ!U442="","",Associates_Call_List_PQ!U442)</f>
        <v/>
      </c>
      <c r="V442" s="68"/>
      <c r="W442" s="68" t="s">
        <v>5432</v>
      </c>
      <c r="X442" s="68"/>
      <c r="Y442" s="68"/>
      <c r="Z442" s="72"/>
    </row>
    <row r="443" spans="1:26">
      <c r="A443" s="71">
        <f>IFERROR(Associates_Call_List_PQ!A443,"")</f>
        <v>45905</v>
      </c>
      <c r="B443" s="57" t="str">
        <f>IF(Associates_Call_List_PQ!B443="","",Associates_Call_List_PQ!B443)</f>
        <v>Lawson</v>
      </c>
      <c r="C443" s="57" t="str">
        <f>IF(Associates_Call_List_PQ!C443="","",Associates_Call_List_PQ!C443)</f>
        <v>Candace</v>
      </c>
      <c r="D443" s="57" t="str">
        <f>IF(Associates_Call_List_PQ!D443="","",Associates_Call_List_PQ!D443)</f>
        <v>Goodyear</v>
      </c>
      <c r="E443" s="58">
        <f>IF(Associates_Call_List_PQ!E443="","",Associates_Call_List_PQ!E443)</f>
        <v>85395</v>
      </c>
      <c r="F443" s="57" t="str">
        <f>IF(Associates_Call_List_PQ!F443="","",Associates_Call_List_PQ!F443)</f>
        <v>Opposed</v>
      </c>
      <c r="G443" s="57" t="str">
        <f>IF(Associates_Call_List_PQ!G443="","",Associates_Call_List_PQ!G443)</f>
        <v>https://images.edocket.azcc.gov/docketpdf/E000046230.pdf</v>
      </c>
      <c r="H443" s="59" t="str">
        <f>IF(Associates_Call_List_PQ!H443="","",Associates_Call_List_PQ!H443)</f>
        <v xml:space="preserve">3718280000 </v>
      </c>
      <c r="I443" s="57" t="str">
        <f>IF(Associates_Call_List_PQ!I443="","",Associates_Call_List_PQ!I443)</f>
        <v>EPR-6w/E-12</v>
      </c>
      <c r="J443" s="57" t="str">
        <f>IF(Associates_Call_List_PQ!J443="","",Associates_Call_List_PQ!J443)</f>
        <v>No</v>
      </c>
      <c r="K443" s="57" t="str">
        <f>IF(Associates_Call_List_PQ!K443="","",Associates_Call_List_PQ!K443)</f>
        <v>No</v>
      </c>
      <c r="L443" s="57" t="str">
        <f>IF(Associates_Call_List_PQ!L443="","",Associates_Call_List_PQ!L443)</f>
        <v>Frozen Rate</v>
      </c>
      <c r="M443" s="57" t="str">
        <f>IF(Associates_Call_List_PQ!M443="","",Associates_Call_List_PQ!M443)</f>
        <v>No</v>
      </c>
      <c r="N443" s="57" t="str">
        <f>IF(Associates_Call_List_PQ!N443="","",Associates_Call_List_PQ!N443)</f>
        <v>No</v>
      </c>
      <c r="O443" s="57" t="str">
        <f>IF(Associates_Call_List_PQ!O443="","",Associates_Call_List_PQ!O443)</f>
        <v>Yes</v>
      </c>
      <c r="P443" s="57" t="str">
        <f>IF(Associates_Call_List_PQ!P443="","",Associates_Call_List_PQ!P443)</f>
        <v>N</v>
      </c>
      <c r="Q443" s="57">
        <f>IF(Associates_Call_List_PQ!Q443="","",Associates_Call_List_PQ!Q443)</f>
        <v>45966</v>
      </c>
      <c r="R443" s="57" t="str">
        <f>IF(Associates_Call_List_PQ!R443="","",Associates_Call_List_PQ!R443)</f>
        <v/>
      </c>
      <c r="S443" s="57" t="str">
        <f>IF(Associates_Call_List_PQ!S443="","",Associates_Call_List_PQ!S443)</f>
        <v/>
      </c>
      <c r="T443" s="57" t="str">
        <f>IF(Associates_Call_List_PQ!T443="","",Associates_Call_List_PQ!T443)</f>
        <v/>
      </c>
      <c r="U443" s="57" t="str">
        <f>IF(Associates_Call_List_PQ!U443="","",Associates_Call_List_PQ!U443)</f>
        <v/>
      </c>
      <c r="V443" s="68"/>
      <c r="W443" s="68" t="s">
        <v>5432</v>
      </c>
      <c r="X443" s="68"/>
      <c r="Y443" s="68"/>
      <c r="Z443" s="72"/>
    </row>
    <row r="444" spans="1:26">
      <c r="A444" s="71">
        <f>IFERROR(Associates_Call_List_PQ!A444,"")</f>
        <v>45905</v>
      </c>
      <c r="B444" s="57" t="str">
        <f>IF(Associates_Call_List_PQ!B444="","",Associates_Call_List_PQ!B444)</f>
        <v>Ficarra</v>
      </c>
      <c r="C444" s="57" t="str">
        <f>IF(Associates_Call_List_PQ!C444="","",Associates_Call_List_PQ!C444)</f>
        <v>Gregory</v>
      </c>
      <c r="D444" s="57" t="str">
        <f>IF(Associates_Call_List_PQ!D444="","",Associates_Call_List_PQ!D444)</f>
        <v>Glendale</v>
      </c>
      <c r="E444" s="58">
        <f>IF(Associates_Call_List_PQ!E444="","",Associates_Call_List_PQ!E444)</f>
        <v>85308</v>
      </c>
      <c r="F444" s="57" t="str">
        <f>IF(Associates_Call_List_PQ!F444="","",Associates_Call_List_PQ!F444)</f>
        <v>Form letter</v>
      </c>
      <c r="G444" s="57" t="str">
        <f>IF(Associates_Call_List_PQ!G444="","",Associates_Call_List_PQ!G444)</f>
        <v>https://images.edocket.azcc.gov/docketpdf/E000046230.pdf</v>
      </c>
      <c r="H444" s="59" t="str">
        <f>IF(Associates_Call_List_PQ!H444="","",Associates_Call_List_PQ!H444)</f>
        <v xml:space="preserve">2290331000 </v>
      </c>
      <c r="I444" s="57" t="str">
        <f>IF(Associates_Call_List_PQ!I444="","",Associates_Call_List_PQ!I444)</f>
        <v>RTOUE47</v>
      </c>
      <c r="J444" s="57" t="str">
        <f>IF(Associates_Call_List_PQ!J444="","",Associates_Call_List_PQ!J444)</f>
        <v>No</v>
      </c>
      <c r="K444" s="57" t="str">
        <f>IF(Associates_Call_List_PQ!K444="","",Associates_Call_List_PQ!K444)</f>
        <v>No</v>
      </c>
      <c r="L444" s="57" t="str">
        <f>IF(Associates_Call_List_PQ!L444="","",Associates_Call_List_PQ!L444)</f>
        <v>No MEP R-XS ($58.00)</v>
      </c>
      <c r="M444" s="57" t="str">
        <f>IF(Associates_Call_List_PQ!M444="","",Associates_Call_List_PQ!M444)</f>
        <v>No</v>
      </c>
      <c r="N444" s="57" t="str">
        <f>IF(Associates_Call_List_PQ!N444="","",Associates_Call_List_PQ!N444)</f>
        <v>No</v>
      </c>
      <c r="O444" s="57" t="str">
        <f>IF(Associates_Call_List_PQ!O444="","",Associates_Call_List_PQ!O444)</f>
        <v>Yes</v>
      </c>
      <c r="P444" s="57" t="str">
        <f>IF(Associates_Call_List_PQ!P444="","",Associates_Call_List_PQ!P444)</f>
        <v>N</v>
      </c>
      <c r="Q444" s="57">
        <f>IF(Associates_Call_List_PQ!Q444="","",Associates_Call_List_PQ!Q444)</f>
        <v>45966</v>
      </c>
      <c r="R444" s="57" t="str">
        <f>IF(Associates_Call_List_PQ!R444="","",Associates_Call_List_PQ!R444)</f>
        <v/>
      </c>
      <c r="S444" s="57" t="str">
        <f>IF(Associates_Call_List_PQ!S444="","",Associates_Call_List_PQ!S444)</f>
        <v/>
      </c>
      <c r="T444" s="57" t="str">
        <f>IF(Associates_Call_List_PQ!T444="","",Associates_Call_List_PQ!T444)</f>
        <v/>
      </c>
      <c r="U444" s="57" t="s">
        <v>5609</v>
      </c>
      <c r="V444" s="68" t="s">
        <v>117</v>
      </c>
      <c r="W444" s="68">
        <v>46053</v>
      </c>
      <c r="X444" s="68" t="s">
        <v>5434</v>
      </c>
      <c r="Y444" s="68"/>
      <c r="Z444" s="72"/>
    </row>
    <row r="445" spans="1:26">
      <c r="A445" s="71">
        <f>IFERROR(Associates_Call_List_PQ!A445,"")</f>
        <v>45905</v>
      </c>
      <c r="B445" s="57" t="str">
        <f>IF(Associates_Call_List_PQ!B445="","",Associates_Call_List_PQ!B445)</f>
        <v>Ramos</v>
      </c>
      <c r="C445" s="57" t="str">
        <f>IF(Associates_Call_List_PQ!C445="","",Associates_Call_List_PQ!C445)</f>
        <v>Pedro</v>
      </c>
      <c r="D445" s="57" t="str">
        <f>IF(Associates_Call_List_PQ!D445="","",Associates_Call_List_PQ!D445)</f>
        <v>Yuma</v>
      </c>
      <c r="E445" s="58">
        <f>IF(Associates_Call_List_PQ!E445="","",Associates_Call_List_PQ!E445)</f>
        <v>85365</v>
      </c>
      <c r="F445" s="57" t="str">
        <f>IF(Associates_Call_List_PQ!F445="","",Associates_Call_List_PQ!F445)</f>
        <v xml:space="preserve">Senior/Fixed Income </v>
      </c>
      <c r="G445" s="57" t="str">
        <f>IF(Associates_Call_List_PQ!G445="","",Associates_Call_List_PQ!G445)</f>
        <v>https://images.edocket.azcc.gov/docketpdf/E000046230.pdf</v>
      </c>
      <c r="H445" s="59" t="str">
        <f>IF(Associates_Call_List_PQ!H445="","",Associates_Call_List_PQ!H445)</f>
        <v xml:space="preserve">4333270000 </v>
      </c>
      <c r="I445" s="57" t="str">
        <f>IF(Associates_Call_List_PQ!I445="","",Associates_Call_List_PQ!I445)</f>
        <v>R-BASICL</v>
      </c>
      <c r="J445" s="57" t="str">
        <f>IF(Associates_Call_List_PQ!J445="","",Associates_Call_List_PQ!J445)</f>
        <v>No</v>
      </c>
      <c r="K445" s="57" t="str">
        <f>IF(Associates_Call_List_PQ!K445="","",Associates_Call_List_PQ!K445)</f>
        <v>No</v>
      </c>
      <c r="L445" s="57" t="str">
        <f>IF(Associates_Call_List_PQ!L445="","",Associates_Call_List_PQ!L445)</f>
        <v>No MEP R3-47($230.57)</v>
      </c>
      <c r="M445" s="57" t="str">
        <f>IF(Associates_Call_List_PQ!M445="","",Associates_Call_List_PQ!M445)</f>
        <v>No</v>
      </c>
      <c r="N445" s="57" t="str">
        <f>IF(Associates_Call_List_PQ!N445="","",Associates_Call_List_PQ!N445)</f>
        <v>No</v>
      </c>
      <c r="O445" s="57" t="str">
        <f>IF(Associates_Call_List_PQ!O445="","",Associates_Call_List_PQ!O445)</f>
        <v>Yes</v>
      </c>
      <c r="P445" s="57" t="str">
        <f>IF(Associates_Call_List_PQ!P445="","",Associates_Call_List_PQ!P445)</f>
        <v/>
      </c>
      <c r="Q445" s="57">
        <f>IF(Associates_Call_List_PQ!Q445="","",Associates_Call_List_PQ!Q445)</f>
        <v>45966</v>
      </c>
      <c r="R445" s="57" t="str">
        <f>IF(Associates_Call_List_PQ!R445="","",Associates_Call_List_PQ!R445)</f>
        <v>Spanish CX Team Lead attempted to call customer with number on file, number is no longer in service</v>
      </c>
      <c r="S445" s="57" t="str">
        <f>IF(Associates_Call_List_PQ!S445="","",Associates_Call_List_PQ!S445)</f>
        <v/>
      </c>
      <c r="T445" s="57" t="str">
        <f>IF(Associates_Call_List_PQ!T445="","",Associates_Call_List_PQ!T445)</f>
        <v/>
      </c>
      <c r="U445" s="57" t="str">
        <f>IF(Associates_Call_List_PQ!U445="","",Associates_Call_List_PQ!U445)</f>
        <v/>
      </c>
      <c r="V445" s="68" t="s">
        <v>5433</v>
      </c>
      <c r="W445" s="68">
        <v>46053</v>
      </c>
      <c r="X445" s="68" t="s">
        <v>5405</v>
      </c>
      <c r="Y445" s="68"/>
      <c r="Z445" s="72" t="s">
        <v>5610</v>
      </c>
    </row>
    <row r="446" spans="1:26">
      <c r="A446" s="71">
        <f>IFERROR(Associates_Call_List_PQ!A446,"")</f>
        <v>45905</v>
      </c>
      <c r="B446" s="57" t="str">
        <f>IF(Associates_Call_List_PQ!B446="","",Associates_Call_List_PQ!B446)</f>
        <v>Quain-Kollar</v>
      </c>
      <c r="C446" s="57" t="str">
        <f>IF(Associates_Call_List_PQ!C446="","",Associates_Call_List_PQ!C446)</f>
        <v>Scott</v>
      </c>
      <c r="D446" s="57" t="str">
        <f>IF(Associates_Call_List_PQ!D446="","",Associates_Call_List_PQ!D446)</f>
        <v>Peoria</v>
      </c>
      <c r="E446" s="58">
        <f>IF(Associates_Call_List_PQ!E446="","",Associates_Call_List_PQ!E446)</f>
        <v>85383</v>
      </c>
      <c r="F446" s="57" t="str">
        <f>IF(Associates_Call_List_PQ!F446="","",Associates_Call_List_PQ!F446)</f>
        <v>Opposed</v>
      </c>
      <c r="G446" s="57" t="str">
        <f>IF(Associates_Call_List_PQ!G446="","",Associates_Call_List_PQ!G446)</f>
        <v>https://images.edocket.azcc.gov/docketpdf/E000046230.pdf</v>
      </c>
      <c r="H446" s="59" t="str">
        <f>IF(Associates_Call_List_PQ!H446="","",Associates_Call_List_PQ!H446)</f>
        <v xml:space="preserve">2216771581 </v>
      </c>
      <c r="I446" s="57" t="str">
        <f>IF(Associates_Call_List_PQ!I446="","",Associates_Call_List_PQ!I446)</f>
        <v>R3-47//R-XS</v>
      </c>
      <c r="J446" s="57" t="str">
        <f>IF(Associates_Call_List_PQ!J446="","",Associates_Call_List_PQ!J446)</f>
        <v>No</v>
      </c>
      <c r="K446" s="57" t="str">
        <f>IF(Associates_Call_List_PQ!K446="","",Associates_Call_List_PQ!K446)</f>
        <v>No</v>
      </c>
      <c r="L446" s="57" t="str">
        <f>IF(Associates_Call_List_PQ!L446="","",Associates_Call_List_PQ!L446)</f>
        <v>Yes</v>
      </c>
      <c r="M446" s="57" t="str">
        <f>IF(Associates_Call_List_PQ!M446="","",Associates_Call_List_PQ!M446)</f>
        <v>No</v>
      </c>
      <c r="N446" s="57" t="str">
        <f>IF(Associates_Call_List_PQ!N446="","",Associates_Call_List_PQ!N446)</f>
        <v>No</v>
      </c>
      <c r="O446" s="57" t="str">
        <f>IF(Associates_Call_List_PQ!O446="","",Associates_Call_List_PQ!O446)</f>
        <v>Yes</v>
      </c>
      <c r="P446" s="57" t="str">
        <f>IF(Associates_Call_List_PQ!P446="","",Associates_Call_List_PQ!P446)</f>
        <v>N</v>
      </c>
      <c r="Q446" s="57">
        <f>IF(Associates_Call_List_PQ!Q446="","",Associates_Call_List_PQ!Q446)</f>
        <v>45966</v>
      </c>
      <c r="R446" s="57" t="str">
        <f>IF(Associates_Call_List_PQ!R446="","",Associates_Call_List_PQ!R446)</f>
        <v/>
      </c>
      <c r="S446" s="57" t="str">
        <f>IF(Associates_Call_List_PQ!S446="","",Associates_Call_List_PQ!S446)</f>
        <v/>
      </c>
      <c r="T446" s="57" t="str">
        <f>IF(Associates_Call_List_PQ!T446="","",Associates_Call_List_PQ!T446)</f>
        <v/>
      </c>
      <c r="U446" s="57" t="str">
        <f>IF(Associates_Call_List_PQ!U446="","",Associates_Call_List_PQ!U446)</f>
        <v/>
      </c>
      <c r="V446" s="68"/>
      <c r="W446" s="68" t="s">
        <v>5432</v>
      </c>
      <c r="X446" s="68"/>
      <c r="Y446" s="68"/>
      <c r="Z446" s="72"/>
    </row>
    <row r="447" spans="1:26">
      <c r="A447" s="71">
        <f>IFERROR(Associates_Call_List_PQ!A447,"")</f>
        <v>45905</v>
      </c>
      <c r="B447" s="57" t="str">
        <f>IF(Associates_Call_List_PQ!B447="","",Associates_Call_List_PQ!B447)</f>
        <v>Carson</v>
      </c>
      <c r="C447" s="57" t="str">
        <f>IF(Associates_Call_List_PQ!C447="","",Associates_Call_List_PQ!C447)</f>
        <v>Loren</v>
      </c>
      <c r="D447" s="57" t="str">
        <f>IF(Associates_Call_List_PQ!D447="","",Associates_Call_List_PQ!D447)</f>
        <v>Phoenix</v>
      </c>
      <c r="E447" s="58">
        <f>IF(Associates_Call_List_PQ!E447="","",Associates_Call_List_PQ!E447)</f>
        <v>85024</v>
      </c>
      <c r="F447" s="57" t="str">
        <f>IF(Associates_Call_List_PQ!F447="","",Associates_Call_List_PQ!F447)</f>
        <v>Opposed, already paying grid access</v>
      </c>
      <c r="G447" s="57" t="str">
        <f>IF(Associates_Call_List_PQ!G447="","",Associates_Call_List_PQ!G447)</f>
        <v>https://images.edocket.azcc.gov/docketpdf/E000046230.pdf</v>
      </c>
      <c r="H447" s="59" t="str">
        <f>IF(Associates_Call_List_PQ!H447="","",Associates_Call_List_PQ!H447)</f>
        <v xml:space="preserve">9214141000 </v>
      </c>
      <c r="I447" s="57" t="str">
        <f>IF(Associates_Call_List_PQ!I447="","",Associates_Call_List_PQ!I447)</f>
        <v>RCPw/RTOUE47</v>
      </c>
      <c r="J447" s="57" t="str">
        <f>IF(Associates_Call_List_PQ!J447="","",Associates_Call_List_PQ!J447)</f>
        <v>No</v>
      </c>
      <c r="K447" s="57" t="str">
        <f>IF(Associates_Call_List_PQ!K447="","",Associates_Call_List_PQ!K447)</f>
        <v>No</v>
      </c>
      <c r="L447" s="57" t="str">
        <f>IF(Associates_Call_List_PQ!L447="","",Associates_Call_List_PQ!L447)</f>
        <v>Yes</v>
      </c>
      <c r="M447" s="57" t="str">
        <f>IF(Associates_Call_List_PQ!M447="","",Associates_Call_List_PQ!M447)</f>
        <v>No</v>
      </c>
      <c r="N447" s="57" t="str">
        <f>IF(Associates_Call_List_PQ!N447="","",Associates_Call_List_PQ!N447)</f>
        <v>No</v>
      </c>
      <c r="O447" s="57" t="str">
        <f>IF(Associates_Call_List_PQ!O447="","",Associates_Call_List_PQ!O447)</f>
        <v>Yes</v>
      </c>
      <c r="P447" s="57" t="str">
        <f>IF(Associates_Call_List_PQ!P447="","",Associates_Call_List_PQ!P447)</f>
        <v>N</v>
      </c>
      <c r="Q447" s="57">
        <f>IF(Associates_Call_List_PQ!Q447="","",Associates_Call_List_PQ!Q447)</f>
        <v>45966</v>
      </c>
      <c r="R447" s="57" t="str">
        <f>IF(Associates_Call_List_PQ!R447="","",Associates_Call_List_PQ!R447)</f>
        <v/>
      </c>
      <c r="S447" s="57" t="str">
        <f>IF(Associates_Call_List_PQ!S447="","",Associates_Call_List_PQ!S447)</f>
        <v/>
      </c>
      <c r="T447" s="57" t="str">
        <f>IF(Associates_Call_List_PQ!T447="","",Associates_Call_List_PQ!T447)</f>
        <v/>
      </c>
      <c r="U447" s="57" t="str">
        <f>IF(Associates_Call_List_PQ!U447="","",Associates_Call_List_PQ!U447)</f>
        <v/>
      </c>
      <c r="V447" s="68"/>
      <c r="W447" s="68" t="s">
        <v>5432</v>
      </c>
      <c r="X447" s="68"/>
      <c r="Y447" s="68"/>
      <c r="Z447" s="72"/>
    </row>
    <row r="448" spans="1:26">
      <c r="A448" s="71">
        <f>IFERROR(Associates_Call_List_PQ!A448,"")</f>
        <v>45905</v>
      </c>
      <c r="B448" s="57" t="str">
        <f>IF(Associates_Call_List_PQ!B448="","",Associates_Call_List_PQ!B448)</f>
        <v>Hanel</v>
      </c>
      <c r="C448" s="57" t="str">
        <f>IF(Associates_Call_List_PQ!C448="","",Associates_Call_List_PQ!C448)</f>
        <v>Beverly</v>
      </c>
      <c r="D448" s="57" t="str">
        <f>IF(Associates_Call_List_PQ!D448="","",Associates_Call_List_PQ!D448)</f>
        <v>Goodyear</v>
      </c>
      <c r="E448" s="58">
        <f>IF(Associates_Call_List_PQ!E448="","",Associates_Call_List_PQ!E448)</f>
        <v>85395</v>
      </c>
      <c r="F448" s="57" t="str">
        <f>IF(Associates_Call_List_PQ!F448="","",Associates_Call_List_PQ!F448)</f>
        <v>Data centers pay less that residential</v>
      </c>
      <c r="G448" s="57" t="str">
        <f>IF(Associates_Call_List_PQ!G448="","",Associates_Call_List_PQ!G448)</f>
        <v>https://images.edocket.azcc.gov/docketpdf/E000046230.pdf</v>
      </c>
      <c r="H448" s="59" t="str">
        <f>IF(Associates_Call_List_PQ!H448="","",Associates_Call_List_PQ!H448)</f>
        <v xml:space="preserve">4328013004 </v>
      </c>
      <c r="I448" s="57" t="str">
        <f>IF(Associates_Call_List_PQ!I448="","",Associates_Call_List_PQ!I448)</f>
        <v>R-2</v>
      </c>
      <c r="J448" s="57" t="str">
        <f>IF(Associates_Call_List_PQ!J448="","",Associates_Call_List_PQ!J448)</f>
        <v>No</v>
      </c>
      <c r="K448" s="57" t="str">
        <f>IF(Associates_Call_List_PQ!K448="","",Associates_Call_List_PQ!K448)</f>
        <v>No</v>
      </c>
      <c r="L448" s="57" t="str">
        <f>IF(Associates_Call_List_PQ!L448="","",Associates_Call_List_PQ!L448)</f>
        <v>Frozen Rate</v>
      </c>
      <c r="M448" s="57" t="str">
        <f>IF(Associates_Call_List_PQ!M448="","",Associates_Call_List_PQ!M448)</f>
        <v>No</v>
      </c>
      <c r="N448" s="57" t="str">
        <f>IF(Associates_Call_List_PQ!N448="","",Associates_Call_List_PQ!N448)</f>
        <v>No</v>
      </c>
      <c r="O448" s="57" t="str">
        <f>IF(Associates_Call_List_PQ!O448="","",Associates_Call_List_PQ!O448)</f>
        <v>Yes</v>
      </c>
      <c r="P448" s="57" t="str">
        <f>IF(Associates_Call_List_PQ!P448="","",Associates_Call_List_PQ!P448)</f>
        <v>N</v>
      </c>
      <c r="Q448" s="57">
        <f>IF(Associates_Call_List_PQ!Q448="","",Associates_Call_List_PQ!Q448)</f>
        <v>45966</v>
      </c>
      <c r="R448" s="57" t="str">
        <f>IF(Associates_Call_List_PQ!R448="","",Associates_Call_List_PQ!R448)</f>
        <v/>
      </c>
      <c r="S448" s="57" t="str">
        <f>IF(Associates_Call_List_PQ!S448="","",Associates_Call_List_PQ!S448)</f>
        <v/>
      </c>
      <c r="T448" s="57" t="str">
        <f>IF(Associates_Call_List_PQ!T448="","",Associates_Call_List_PQ!T448)</f>
        <v/>
      </c>
      <c r="U448" s="57" t="str">
        <f>IF(Associates_Call_List_PQ!U448="","",Associates_Call_List_PQ!U448)</f>
        <v/>
      </c>
      <c r="V448" s="68"/>
      <c r="W448" s="68" t="s">
        <v>5432</v>
      </c>
      <c r="X448" s="68"/>
      <c r="Y448" s="68"/>
      <c r="Z448" s="72"/>
    </row>
    <row r="449" spans="1:26">
      <c r="A449" s="71">
        <f>IFERROR(Associates_Call_List_PQ!A449,"")</f>
        <v>45905</v>
      </c>
      <c r="B449" s="57" t="str">
        <f>IF(Associates_Call_List_PQ!B449="","",Associates_Call_List_PQ!B449)</f>
        <v>Cross</v>
      </c>
      <c r="C449" s="57" t="str">
        <f>IF(Associates_Call_List_PQ!C449="","",Associates_Call_List_PQ!C449)</f>
        <v>Katie</v>
      </c>
      <c r="D449" s="57" t="str">
        <f>IF(Associates_Call_List_PQ!D449="","",Associates_Call_List_PQ!D449)</f>
        <v>Tempe</v>
      </c>
      <c r="E449" s="58">
        <f>IF(Associates_Call_List_PQ!E449="","",Associates_Call_List_PQ!E449)</f>
        <v>85281</v>
      </c>
      <c r="F449" s="57" t="str">
        <f>IF(Associates_Call_List_PQ!F449="","",Associates_Call_List_PQ!F449)</f>
        <v>Form letter</v>
      </c>
      <c r="G449" s="57" t="str">
        <f>IF(Associates_Call_List_PQ!G449="","",Associates_Call_List_PQ!G449)</f>
        <v>https://images.edocket.azcc.gov/docketpdf/E000046230.pdf</v>
      </c>
      <c r="H449" s="59" t="str">
        <f>IF(Associates_Call_List_PQ!H449="","",Associates_Call_List_PQ!H449)</f>
        <v xml:space="preserve">4789794091 </v>
      </c>
      <c r="I449" s="57" t="str">
        <f>IF(Associates_Call_List_PQ!I449="","",Associates_Call_List_PQ!I449)</f>
        <v>R-BASIC</v>
      </c>
      <c r="J449" s="57" t="str">
        <f>IF(Associates_Call_List_PQ!J449="","",Associates_Call_List_PQ!J449)</f>
        <v>No</v>
      </c>
      <c r="K449" s="57" t="str">
        <f>IF(Associates_Call_List_PQ!K449="","",Associates_Call_List_PQ!K449)</f>
        <v>No</v>
      </c>
      <c r="L449" s="57" t="str">
        <f>IF(Associates_Call_List_PQ!L449="","",Associates_Call_List_PQ!L449)</f>
        <v>No MEP R3-47($32.46)</v>
      </c>
      <c r="M449" s="57" t="str">
        <f>IF(Associates_Call_List_PQ!M449="","",Associates_Call_List_PQ!M449)</f>
        <v>No</v>
      </c>
      <c r="N449" s="57" t="str">
        <f>IF(Associates_Call_List_PQ!N449="","",Associates_Call_List_PQ!N449)</f>
        <v>No</v>
      </c>
      <c r="O449" s="57" t="str">
        <f>IF(Associates_Call_List_PQ!O449="","",Associates_Call_List_PQ!O449)</f>
        <v>Yes</v>
      </c>
      <c r="P449" s="57" t="str">
        <f>IF(Associates_Call_List_PQ!P449="","",Associates_Call_List_PQ!P449)</f>
        <v>N</v>
      </c>
      <c r="Q449" s="57">
        <f>IF(Associates_Call_List_PQ!Q449="","",Associates_Call_List_PQ!Q449)</f>
        <v>45966</v>
      </c>
      <c r="R449" s="57" t="str">
        <f>IF(Associates_Call_List_PQ!R449="","",Associates_Call_List_PQ!R449)</f>
        <v/>
      </c>
      <c r="S449" s="57" t="str">
        <f>IF(Associates_Call_List_PQ!S449="","",Associates_Call_List_PQ!S449)</f>
        <v/>
      </c>
      <c r="T449" s="57" t="str">
        <f>IF(Associates_Call_List_PQ!T449="","",Associates_Call_List_PQ!T449)</f>
        <v/>
      </c>
      <c r="U449" s="57" t="str">
        <f>IF(Associates_Call_List_PQ!U449="","",Associates_Call_List_PQ!U449)</f>
        <v/>
      </c>
      <c r="V449" s="68" t="s">
        <v>5433</v>
      </c>
      <c r="W449" s="68">
        <v>46053</v>
      </c>
      <c r="X449" s="68" t="s">
        <v>5434</v>
      </c>
      <c r="Y449" s="68"/>
      <c r="Z449" s="72" t="s">
        <v>5599</v>
      </c>
    </row>
    <row r="450" spans="1:26">
      <c r="A450" s="71">
        <f>IFERROR(Associates_Call_List_PQ!A450,"")</f>
        <v>45905</v>
      </c>
      <c r="B450" s="57" t="str">
        <f>IF(Associates_Call_List_PQ!B450="","",Associates_Call_List_PQ!B450)</f>
        <v>Hermida</v>
      </c>
      <c r="C450" s="57" t="str">
        <f>IF(Associates_Call_List_PQ!C450="","",Associates_Call_List_PQ!C450)</f>
        <v>Anne</v>
      </c>
      <c r="D450" s="57" t="str">
        <f>IF(Associates_Call_List_PQ!D450="","",Associates_Call_List_PQ!D450)</f>
        <v>Phoenix</v>
      </c>
      <c r="E450" s="58">
        <f>IF(Associates_Call_List_PQ!E450="","",Associates_Call_List_PQ!E450)</f>
        <v>85007</v>
      </c>
      <c r="F450" s="57" t="str">
        <f>IF(Associates_Call_List_PQ!F450="","",Associates_Call_List_PQ!F450)</f>
        <v>Opposed</v>
      </c>
      <c r="G450" s="57" t="str">
        <f>IF(Associates_Call_List_PQ!G450="","",Associates_Call_List_PQ!G450)</f>
        <v>https://images.edocket.azcc.gov/docketpdf/E000046230.pdf</v>
      </c>
      <c r="H450" s="59" t="str">
        <f>IF(Associates_Call_List_PQ!H450="","",Associates_Call_List_PQ!H450)</f>
        <v xml:space="preserve">8551601000 </v>
      </c>
      <c r="I450" s="57" t="str">
        <f>IF(Associates_Call_List_PQ!I450="","",Associates_Call_List_PQ!I450)</f>
        <v>R3-47</v>
      </c>
      <c r="J450" s="57" t="str">
        <f>IF(Associates_Call_List_PQ!J450="","",Associates_Call_List_PQ!J450)</f>
        <v>No</v>
      </c>
      <c r="K450" s="57" t="str">
        <f>IF(Associates_Call_List_PQ!K450="","",Associates_Call_List_PQ!K450)</f>
        <v>No</v>
      </c>
      <c r="L450" s="57" t="str">
        <f>IF(Associates_Call_List_PQ!L450="","",Associates_Call_List_PQ!L450)</f>
        <v>Yes</v>
      </c>
      <c r="M450" s="57" t="str">
        <f>IF(Associates_Call_List_PQ!M450="","",Associates_Call_List_PQ!M450)</f>
        <v>No</v>
      </c>
      <c r="N450" s="57" t="str">
        <f>IF(Associates_Call_List_PQ!N450="","",Associates_Call_List_PQ!N450)</f>
        <v>No</v>
      </c>
      <c r="O450" s="57" t="str">
        <f>IF(Associates_Call_List_PQ!O450="","",Associates_Call_List_PQ!O450)</f>
        <v>Yes</v>
      </c>
      <c r="P450" s="57" t="str">
        <f>IF(Associates_Call_List_PQ!P450="","",Associates_Call_List_PQ!P450)</f>
        <v>N</v>
      </c>
      <c r="Q450" s="57">
        <f>IF(Associates_Call_List_PQ!Q450="","",Associates_Call_List_PQ!Q450)</f>
        <v>45966</v>
      </c>
      <c r="R450" s="57" t="str">
        <f>IF(Associates_Call_List_PQ!R450="","",Associates_Call_List_PQ!R450)</f>
        <v/>
      </c>
      <c r="S450" s="57" t="str">
        <f>IF(Associates_Call_List_PQ!S450="","",Associates_Call_List_PQ!S450)</f>
        <v/>
      </c>
      <c r="T450" s="57" t="str">
        <f>IF(Associates_Call_List_PQ!T450="","",Associates_Call_List_PQ!T450)</f>
        <v/>
      </c>
      <c r="U450" s="57" t="str">
        <f>IF(Associates_Call_List_PQ!U450="","",Associates_Call_List_PQ!U450)</f>
        <v/>
      </c>
      <c r="V450" s="68"/>
      <c r="W450" s="68" t="s">
        <v>5432</v>
      </c>
      <c r="X450" s="68"/>
      <c r="Y450" s="68"/>
      <c r="Z450" s="72"/>
    </row>
    <row r="451" spans="1:26">
      <c r="A451" s="71">
        <f>IFERROR(Associates_Call_List_PQ!A451,"")</f>
        <v>45905</v>
      </c>
      <c r="B451" s="57" t="str">
        <f>IF(Associates_Call_List_PQ!B451="","",Associates_Call_List_PQ!B451)</f>
        <v>Matelski</v>
      </c>
      <c r="C451" s="57" t="str">
        <f>IF(Associates_Call_List_PQ!C451="","",Associates_Call_List_PQ!C451)</f>
        <v>Heather</v>
      </c>
      <c r="D451" s="57" t="str">
        <f>IF(Associates_Call_List_PQ!D451="","",Associates_Call_List_PQ!D451)</f>
        <v>Tempe</v>
      </c>
      <c r="E451" s="58">
        <f>IF(Associates_Call_List_PQ!E451="","",Associates_Call_List_PQ!E451)</f>
        <v>85288</v>
      </c>
      <c r="F451" s="57" t="str">
        <f>IF(Associates_Call_List_PQ!F451="","",Associates_Call_List_PQ!F451)</f>
        <v>Opposed</v>
      </c>
      <c r="G451" s="57" t="str">
        <f>IF(Associates_Call_List_PQ!G451="","",Associates_Call_List_PQ!G451)</f>
        <v>https://images.edocket.azcc.gov/docketpdf/E000046230.pdf</v>
      </c>
      <c r="H451" s="59" t="str">
        <f>IF(Associates_Call_List_PQ!H451="","",Associates_Call_List_PQ!H451)</f>
        <v xml:space="preserve">5582530000 </v>
      </c>
      <c r="I451" s="57" t="str">
        <f>IF(Associates_Call_List_PQ!I451="","",Associates_Call_List_PQ!I451)</f>
        <v>RTOUE47</v>
      </c>
      <c r="J451" s="57" t="str">
        <f>IF(Associates_Call_List_PQ!J451="","",Associates_Call_List_PQ!J451)</f>
        <v>No</v>
      </c>
      <c r="K451" s="57" t="str">
        <f>IF(Associates_Call_List_PQ!K451="","",Associates_Call_List_PQ!K451)</f>
        <v>No</v>
      </c>
      <c r="L451" s="57" t="str">
        <f>IF(Associates_Call_List_PQ!L451="","",Associates_Call_List_PQ!L451)</f>
        <v>No MEP R3-47($149.40)</v>
      </c>
      <c r="M451" s="57" t="str">
        <f>IF(Associates_Call_List_PQ!M451="","",Associates_Call_List_PQ!M451)</f>
        <v>No</v>
      </c>
      <c r="N451" s="57" t="str">
        <f>IF(Associates_Call_List_PQ!N451="","",Associates_Call_List_PQ!N451)</f>
        <v>No</v>
      </c>
      <c r="O451" s="57" t="str">
        <f>IF(Associates_Call_List_PQ!O451="","",Associates_Call_List_PQ!O451)</f>
        <v>Yes</v>
      </c>
      <c r="P451" s="57">
        <f>IF(Associates_Call_List_PQ!P451="","",Associates_Call_List_PQ!P451)</f>
        <v>45936</v>
      </c>
      <c r="Q451" s="57">
        <f>IF(Associates_Call_List_PQ!Q451="","",Associates_Call_List_PQ!Q451)</f>
        <v>45966</v>
      </c>
      <c r="R451" s="57" t="str">
        <f>IF(Associates_Call_List_PQ!R451="","",Associates_Call_List_PQ!R451)</f>
        <v>10/06/2025 left VM</v>
      </c>
      <c r="S451" s="57" t="str">
        <f>IF(Associates_Call_List_PQ!S451="","",Associates_Call_List_PQ!S451)</f>
        <v/>
      </c>
      <c r="T451" s="57" t="str">
        <f>IF(Associates_Call_List_PQ!T451="","",Associates_Call_List_PQ!T451)</f>
        <v/>
      </c>
      <c r="U451" s="57" t="str">
        <f>IF(Associates_Call_List_PQ!U451="","",Associates_Call_List_PQ!U451)</f>
        <v/>
      </c>
      <c r="V451" s="68" t="s">
        <v>5433</v>
      </c>
      <c r="W451" s="68">
        <v>46053</v>
      </c>
      <c r="X451" s="68" t="s">
        <v>5405</v>
      </c>
      <c r="Y451" s="68" t="s">
        <v>5461</v>
      </c>
      <c r="Z451" s="72" t="s">
        <v>5611</v>
      </c>
    </row>
    <row r="452" spans="1:26">
      <c r="A452" s="71">
        <f>IFERROR(Associates_Call_List_PQ!A452,"")</f>
        <v>45905</v>
      </c>
      <c r="B452" s="57" t="str">
        <f>IF(Associates_Call_List_PQ!B452="","",Associates_Call_List_PQ!B452)</f>
        <v>Brooksby</v>
      </c>
      <c r="C452" s="57" t="str">
        <f>IF(Associates_Call_List_PQ!C452="","",Associates_Call_List_PQ!C452)</f>
        <v>Jared</v>
      </c>
      <c r="D452" s="57" t="str">
        <f>IF(Associates_Call_List_PQ!D452="","",Associates_Call_List_PQ!D452)</f>
        <v>Phoenix</v>
      </c>
      <c r="E452" s="58">
        <f>IF(Associates_Call_List_PQ!E452="","",Associates_Call_List_PQ!E452)</f>
        <v>85032</v>
      </c>
      <c r="F452" s="57" t="str">
        <f>IF(Associates_Call_List_PQ!F452="","",Associates_Call_List_PQ!F452)</f>
        <v>Impossible to keep up with</v>
      </c>
      <c r="G452" s="57" t="str">
        <f>IF(Associates_Call_List_PQ!G452="","",Associates_Call_List_PQ!G452)</f>
        <v>https://images.edocket.azcc.gov/docketpdf/E000046230.pdf</v>
      </c>
      <c r="H452" s="59" t="str">
        <f>IF(Associates_Call_List_PQ!H452="","",Associates_Call_List_PQ!H452)</f>
        <v xml:space="preserve">4220132529 </v>
      </c>
      <c r="I452" s="57" t="str">
        <f>IF(Associates_Call_List_PQ!I452="","",Associates_Call_List_PQ!I452)</f>
        <v>R-XS</v>
      </c>
      <c r="J452" s="57" t="str">
        <f>IF(Associates_Call_List_PQ!J452="","",Associates_Call_List_PQ!J452)</f>
        <v>No</v>
      </c>
      <c r="K452" s="57" t="str">
        <f>IF(Associates_Call_List_PQ!K452="","",Associates_Call_List_PQ!K452)</f>
        <v>No</v>
      </c>
      <c r="L452" s="57" t="str">
        <f>IF(Associates_Call_List_PQ!L452="","",Associates_Call_List_PQ!L452)</f>
        <v>Yes</v>
      </c>
      <c r="M452" s="57" t="str">
        <f>IF(Associates_Call_List_PQ!M452="","",Associates_Call_List_PQ!M452)</f>
        <v>No</v>
      </c>
      <c r="N452" s="57" t="str">
        <f>IF(Associates_Call_List_PQ!N452="","",Associates_Call_List_PQ!N452)</f>
        <v>No</v>
      </c>
      <c r="O452" s="57" t="str">
        <f>IF(Associates_Call_List_PQ!O452="","",Associates_Call_List_PQ!O452)</f>
        <v>Yes</v>
      </c>
      <c r="P452" s="57" t="str">
        <f>IF(Associates_Call_List_PQ!P452="","",Associates_Call_List_PQ!P452)</f>
        <v>N</v>
      </c>
      <c r="Q452" s="57">
        <f>IF(Associates_Call_List_PQ!Q452="","",Associates_Call_List_PQ!Q452)</f>
        <v>45966</v>
      </c>
      <c r="R452" s="57" t="str">
        <f>IF(Associates_Call_List_PQ!R452="","",Associates_Call_List_PQ!R452)</f>
        <v/>
      </c>
      <c r="S452" s="57" t="str">
        <f>IF(Associates_Call_List_PQ!S452="","",Associates_Call_List_PQ!S452)</f>
        <v/>
      </c>
      <c r="T452" s="57" t="str">
        <f>IF(Associates_Call_List_PQ!T452="","",Associates_Call_List_PQ!T452)</f>
        <v/>
      </c>
      <c r="U452" s="57" t="str">
        <f>IF(Associates_Call_List_PQ!U452="","",Associates_Call_List_PQ!U452)</f>
        <v/>
      </c>
      <c r="V452" s="68" t="s">
        <v>117</v>
      </c>
      <c r="W452" s="68">
        <v>45997</v>
      </c>
      <c r="X452" s="68" t="s">
        <v>5434</v>
      </c>
      <c r="Y452" s="68"/>
      <c r="Z452" s="72" t="s">
        <v>5470</v>
      </c>
    </row>
    <row r="453" spans="1:26">
      <c r="A453" s="71">
        <f>IFERROR(Associates_Call_List_PQ!A453,"")</f>
        <v>45905</v>
      </c>
      <c r="B453" s="57" t="str">
        <f>IF(Associates_Call_List_PQ!B453="","",Associates_Call_List_PQ!B453)</f>
        <v>Schmidt</v>
      </c>
      <c r="C453" s="57" t="str">
        <f>IF(Associates_Call_List_PQ!C453="","",Associates_Call_List_PQ!C453)</f>
        <v>Rebecca</v>
      </c>
      <c r="D453" s="57" t="str">
        <f>IF(Associates_Call_List_PQ!D453="","",Associates_Call_List_PQ!D453)</f>
        <v>Chino Valley</v>
      </c>
      <c r="E453" s="58">
        <f>IF(Associates_Call_List_PQ!E453="","",Associates_Call_List_PQ!E453)</f>
        <v>86323</v>
      </c>
      <c r="F453" s="57" t="str">
        <f>IF(Associates_Call_List_PQ!F453="","",Associates_Call_List_PQ!F453)</f>
        <v>Opposed</v>
      </c>
      <c r="G453" s="57" t="str">
        <f>IF(Associates_Call_List_PQ!G453="","",Associates_Call_List_PQ!G453)</f>
        <v>https://images.edocket.azcc.gov/docketpdf/E000046230.pdf</v>
      </c>
      <c r="H453" s="59" t="str">
        <f>IF(Associates_Call_List_PQ!H453="","",Associates_Call_List_PQ!H453)</f>
        <v xml:space="preserve">5703576714 </v>
      </c>
      <c r="I453" s="57" t="str">
        <f>IF(Associates_Call_List_PQ!I453="","",Associates_Call_List_PQ!I453)</f>
        <v>R3-47</v>
      </c>
      <c r="J453" s="57" t="str">
        <f>IF(Associates_Call_List_PQ!J453="","",Associates_Call_List_PQ!J453)</f>
        <v>No</v>
      </c>
      <c r="K453" s="57" t="str">
        <f>IF(Associates_Call_List_PQ!K453="","",Associates_Call_List_PQ!K453)</f>
        <v>No</v>
      </c>
      <c r="L453" s="57" t="str">
        <f>IF(Associates_Call_List_PQ!L453="","",Associates_Call_List_PQ!L453)</f>
        <v>Yes</v>
      </c>
      <c r="M453" s="57" t="str">
        <f>IF(Associates_Call_List_PQ!M453="","",Associates_Call_List_PQ!M453)</f>
        <v>No</v>
      </c>
      <c r="N453" s="57" t="str">
        <f>IF(Associates_Call_List_PQ!N453="","",Associates_Call_List_PQ!N453)</f>
        <v>No</v>
      </c>
      <c r="O453" s="57" t="str">
        <f>IF(Associates_Call_List_PQ!O453="","",Associates_Call_List_PQ!O453)</f>
        <v>Yes</v>
      </c>
      <c r="P453" s="57" t="str">
        <f>IF(Associates_Call_List_PQ!P453="","",Associates_Call_List_PQ!P453)</f>
        <v>N</v>
      </c>
      <c r="Q453" s="57">
        <f>IF(Associates_Call_List_PQ!Q453="","",Associates_Call_List_PQ!Q453)</f>
        <v>45966</v>
      </c>
      <c r="R453" s="57" t="str">
        <f>IF(Associates_Call_List_PQ!R453="","",Associates_Call_List_PQ!R453)</f>
        <v/>
      </c>
      <c r="S453" s="57" t="str">
        <f>IF(Associates_Call_List_PQ!S453="","",Associates_Call_List_PQ!S453)</f>
        <v/>
      </c>
      <c r="T453" s="57" t="str">
        <f>IF(Associates_Call_List_PQ!T453="","",Associates_Call_List_PQ!T453)</f>
        <v/>
      </c>
      <c r="U453" s="57" t="str">
        <f>IF(Associates_Call_List_PQ!U453="","",Associates_Call_List_PQ!U453)</f>
        <v/>
      </c>
      <c r="V453" s="68"/>
      <c r="W453" s="68" t="s">
        <v>5432</v>
      </c>
      <c r="X453" s="68"/>
      <c r="Y453" s="68"/>
      <c r="Z453" s="72"/>
    </row>
    <row r="454" spans="1:26">
      <c r="A454" s="71">
        <f>IFERROR(Associates_Call_List_PQ!A454,"")</f>
        <v>45905</v>
      </c>
      <c r="B454" s="57" t="str">
        <f>IF(Associates_Call_List_PQ!B454="","",Associates_Call_List_PQ!B454)</f>
        <v>Campbell</v>
      </c>
      <c r="C454" s="57" t="str">
        <f>IF(Associates_Call_List_PQ!C454="","",Associates_Call_List_PQ!C454)</f>
        <v>Corey</v>
      </c>
      <c r="D454" s="57" t="str">
        <f>IF(Associates_Call_List_PQ!D454="","",Associates_Call_List_PQ!D454)</f>
        <v>Phoenix</v>
      </c>
      <c r="E454" s="58">
        <f>IF(Associates_Call_List_PQ!E454="","",Associates_Call_List_PQ!E454)</f>
        <v>85032</v>
      </c>
      <c r="F454" s="57" t="str">
        <f>IF(Associates_Call_List_PQ!F454="","",Associates_Call_List_PQ!F454)</f>
        <v>Form letter</v>
      </c>
      <c r="G454" s="57" t="str">
        <f>IF(Associates_Call_List_PQ!G454="","",Associates_Call_List_PQ!G454)</f>
        <v>https://images.edocket.azcc.gov/docketpdf/E000046230.pdf</v>
      </c>
      <c r="H454" s="59" t="str">
        <f>IF(Associates_Call_List_PQ!H454="","",Associates_Call_List_PQ!H454)</f>
        <v xml:space="preserve">0448028030 </v>
      </c>
      <c r="I454" s="57" t="str">
        <f>IF(Associates_Call_List_PQ!I454="","",Associates_Call_List_PQ!I454)</f>
        <v>R-XS</v>
      </c>
      <c r="J454" s="57" t="str">
        <f>IF(Associates_Call_List_PQ!J454="","",Associates_Call_List_PQ!J454)</f>
        <v>No</v>
      </c>
      <c r="K454" s="57" t="str">
        <f>IF(Associates_Call_List_PQ!K454="","",Associates_Call_List_PQ!K454)</f>
        <v>No</v>
      </c>
      <c r="L454" s="57" t="str">
        <f>IF(Associates_Call_List_PQ!L454="","",Associates_Call_List_PQ!L454)</f>
        <v>Yes</v>
      </c>
      <c r="M454" s="57" t="str">
        <f>IF(Associates_Call_List_PQ!M454="","",Associates_Call_List_PQ!M454)</f>
        <v>No</v>
      </c>
      <c r="N454" s="57" t="str">
        <f>IF(Associates_Call_List_PQ!N454="","",Associates_Call_List_PQ!N454)</f>
        <v>No</v>
      </c>
      <c r="O454" s="57" t="str">
        <f>IF(Associates_Call_List_PQ!O454="","",Associates_Call_List_PQ!O454)</f>
        <v>Yes</v>
      </c>
      <c r="P454" s="57" t="str">
        <f>IF(Associates_Call_List_PQ!P454="","",Associates_Call_List_PQ!P454)</f>
        <v>N</v>
      </c>
      <c r="Q454" s="57">
        <f>IF(Associates_Call_List_PQ!Q454="","",Associates_Call_List_PQ!Q454)</f>
        <v>45966</v>
      </c>
      <c r="R454" s="57" t="str">
        <f>IF(Associates_Call_List_PQ!R454="","",Associates_Call_List_PQ!R454)</f>
        <v/>
      </c>
      <c r="S454" s="57" t="str">
        <f>IF(Associates_Call_List_PQ!S454="","",Associates_Call_List_PQ!S454)</f>
        <v/>
      </c>
      <c r="T454" s="57" t="str">
        <f>IF(Associates_Call_List_PQ!T454="","",Associates_Call_List_PQ!T454)</f>
        <v/>
      </c>
      <c r="U454" s="57" t="str">
        <f>IF(Associates_Call_List_PQ!U454="","",Associates_Call_List_PQ!U454)</f>
        <v/>
      </c>
      <c r="V454" s="68"/>
      <c r="W454" s="68" t="s">
        <v>5432</v>
      </c>
      <c r="X454" s="68"/>
      <c r="Y454" s="68"/>
      <c r="Z454" s="72"/>
    </row>
    <row r="455" spans="1:26">
      <c r="A455" s="71">
        <f>IFERROR(Associates_Call_List_PQ!A455,"")</f>
        <v>45905</v>
      </c>
      <c r="B455" s="57" t="str">
        <f>IF(Associates_Call_List_PQ!B455="","",Associates_Call_List_PQ!B455)</f>
        <v>Scallorns</v>
      </c>
      <c r="C455" s="57" t="str">
        <f>IF(Associates_Call_List_PQ!C455="","",Associates_Call_List_PQ!C455)</f>
        <v>Melodie</v>
      </c>
      <c r="D455" s="57" t="str">
        <f>IF(Associates_Call_List_PQ!D455="","",Associates_Call_List_PQ!D455)</f>
        <v>Phoenix</v>
      </c>
      <c r="E455" s="58">
        <f>IF(Associates_Call_List_PQ!E455="","",Associates_Call_List_PQ!E455)</f>
        <v>85012</v>
      </c>
      <c r="F455" s="57" t="str">
        <f>IF(Associates_Call_List_PQ!F455="","",Associates_Call_List_PQ!F455)</f>
        <v>Form letter</v>
      </c>
      <c r="G455" s="57" t="str">
        <f>IF(Associates_Call_List_PQ!G455="","",Associates_Call_List_PQ!G455)</f>
        <v>https://images.edocket.azcc.gov/docketpdf/E000046230.pdf</v>
      </c>
      <c r="H455" s="59" t="str">
        <f>IF(Associates_Call_List_PQ!H455="","",Associates_Call_List_PQ!H455)</f>
        <v xml:space="preserve">5780730097 </v>
      </c>
      <c r="I455" s="57" t="str">
        <f>IF(Associates_Call_List_PQ!I455="","",Associates_Call_List_PQ!I455)</f>
        <v>R-XS</v>
      </c>
      <c r="J455" s="57" t="str">
        <f>IF(Associates_Call_List_PQ!J455="","",Associates_Call_List_PQ!J455)</f>
        <v>No</v>
      </c>
      <c r="K455" s="57" t="str">
        <f>IF(Associates_Call_List_PQ!K455="","",Associates_Call_List_PQ!K455)</f>
        <v>No</v>
      </c>
      <c r="L455" s="57" t="str">
        <f>IF(Associates_Call_List_PQ!L455="","",Associates_Call_List_PQ!L455)</f>
        <v>Yes</v>
      </c>
      <c r="M455" s="57" t="str">
        <f>IF(Associates_Call_List_PQ!M455="","",Associates_Call_List_PQ!M455)</f>
        <v>No</v>
      </c>
      <c r="N455" s="57" t="str">
        <f>IF(Associates_Call_List_PQ!N455="","",Associates_Call_List_PQ!N455)</f>
        <v>No</v>
      </c>
      <c r="O455" s="57" t="str">
        <f>IF(Associates_Call_List_PQ!O455="","",Associates_Call_List_PQ!O455)</f>
        <v>Yes</v>
      </c>
      <c r="P455" s="57" t="str">
        <f>IF(Associates_Call_List_PQ!P455="","",Associates_Call_List_PQ!P455)</f>
        <v>N</v>
      </c>
      <c r="Q455" s="57">
        <f>IF(Associates_Call_List_PQ!Q455="","",Associates_Call_List_PQ!Q455)</f>
        <v>45966</v>
      </c>
      <c r="R455" s="57" t="str">
        <f>IF(Associates_Call_List_PQ!R455="","",Associates_Call_List_PQ!R455)</f>
        <v/>
      </c>
      <c r="S455" s="57" t="str">
        <f>IF(Associates_Call_List_PQ!S455="","",Associates_Call_List_PQ!S455)</f>
        <v/>
      </c>
      <c r="T455" s="57" t="str">
        <f>IF(Associates_Call_List_PQ!T455="","",Associates_Call_List_PQ!T455)</f>
        <v/>
      </c>
      <c r="U455" s="57" t="str">
        <f>IF(Associates_Call_List_PQ!U455="","",Associates_Call_List_PQ!U455)</f>
        <v/>
      </c>
      <c r="V455" s="68"/>
      <c r="W455" s="68" t="s">
        <v>5432</v>
      </c>
      <c r="X455" s="68"/>
      <c r="Y455" s="68"/>
      <c r="Z455" s="72"/>
    </row>
    <row r="456" spans="1:26">
      <c r="A456" s="71">
        <f>IFERROR(Associates_Call_List_PQ!A456,"")</f>
        <v>45905</v>
      </c>
      <c r="B456" s="57" t="str">
        <f>IF(Associates_Call_List_PQ!B456="","",Associates_Call_List_PQ!B456)</f>
        <v>Hoffa</v>
      </c>
      <c r="C456" s="57" t="str">
        <f>IF(Associates_Call_List_PQ!C456="","",Associates_Call_List_PQ!C456)</f>
        <v>Geoffery</v>
      </c>
      <c r="D456" s="57" t="str">
        <f>IF(Associates_Call_List_PQ!D456="","",Associates_Call_List_PQ!D456)</f>
        <v>Phoenix</v>
      </c>
      <c r="E456" s="58">
        <f>IF(Associates_Call_List_PQ!E456="","",Associates_Call_List_PQ!E456)</f>
        <v>85086</v>
      </c>
      <c r="F456" s="57" t="str">
        <f>IF(Associates_Call_List_PQ!F456="","",Associates_Call_List_PQ!F456)</f>
        <v>Opposed</v>
      </c>
      <c r="G456" s="57" t="str">
        <f>IF(Associates_Call_List_PQ!G456="","",Associates_Call_List_PQ!G456)</f>
        <v>https://images.edocket.azcc.gov/docketpdf/E000046230.pdf</v>
      </c>
      <c r="H456" s="59" t="str">
        <f>IF(Associates_Call_List_PQ!H456="","",Associates_Call_List_PQ!H456)</f>
        <v xml:space="preserve">8651110000 </v>
      </c>
      <c r="I456" s="57" t="str">
        <f>IF(Associates_Call_List_PQ!I456="","",Associates_Call_List_PQ!I456)</f>
        <v>R3-47</v>
      </c>
      <c r="J456" s="57" t="str">
        <f>IF(Associates_Call_List_PQ!J456="","",Associates_Call_List_PQ!J456)</f>
        <v>No</v>
      </c>
      <c r="K456" s="57" t="str">
        <f>IF(Associates_Call_List_PQ!K456="","",Associates_Call_List_PQ!K456)</f>
        <v>No</v>
      </c>
      <c r="L456" s="57" t="str">
        <f>IF(Associates_Call_List_PQ!L456="","",Associates_Call_List_PQ!L456)</f>
        <v>Yes</v>
      </c>
      <c r="M456" s="57" t="str">
        <f>IF(Associates_Call_List_PQ!M456="","",Associates_Call_List_PQ!M456)</f>
        <v>No</v>
      </c>
      <c r="N456" s="57" t="str">
        <f>IF(Associates_Call_List_PQ!N456="","",Associates_Call_List_PQ!N456)</f>
        <v>No</v>
      </c>
      <c r="O456" s="57" t="str">
        <f>IF(Associates_Call_List_PQ!O456="","",Associates_Call_List_PQ!O456)</f>
        <v>Yes</v>
      </c>
      <c r="P456" s="57" t="str">
        <f>IF(Associates_Call_List_PQ!P456="","",Associates_Call_List_PQ!P456)</f>
        <v>N</v>
      </c>
      <c r="Q456" s="57">
        <f>IF(Associates_Call_List_PQ!Q456="","",Associates_Call_List_PQ!Q456)</f>
        <v>45966</v>
      </c>
      <c r="R456" s="57" t="str">
        <f>IF(Associates_Call_List_PQ!R456="","",Associates_Call_List_PQ!R456)</f>
        <v/>
      </c>
      <c r="S456" s="57" t="str">
        <f>IF(Associates_Call_List_PQ!S456="","",Associates_Call_List_PQ!S456)</f>
        <v/>
      </c>
      <c r="T456" s="57" t="str">
        <f>IF(Associates_Call_List_PQ!T456="","",Associates_Call_List_PQ!T456)</f>
        <v/>
      </c>
      <c r="U456" s="57" t="str">
        <f>IF(Associates_Call_List_PQ!U456="","",Associates_Call_List_PQ!U456)</f>
        <v/>
      </c>
      <c r="V456" s="68"/>
      <c r="W456" s="68" t="s">
        <v>5432</v>
      </c>
      <c r="X456" s="68"/>
      <c r="Y456" s="68"/>
      <c r="Z456" s="72"/>
    </row>
    <row r="457" spans="1:26">
      <c r="A457" s="71">
        <f>IFERROR(Associates_Call_List_PQ!A457,"")</f>
        <v>45905</v>
      </c>
      <c r="B457" s="57" t="str">
        <f>IF(Associates_Call_List_PQ!B457="","",Associates_Call_List_PQ!B457)</f>
        <v>Testo</v>
      </c>
      <c r="C457" s="57" t="str">
        <f>IF(Associates_Call_List_PQ!C457="","",Associates_Call_List_PQ!C457)</f>
        <v>George</v>
      </c>
      <c r="D457" s="57" t="str">
        <f>IF(Associates_Call_List_PQ!D457="","",Associates_Call_List_PQ!D457)</f>
        <v>Flagstaff</v>
      </c>
      <c r="E457" s="58">
        <f>IF(Associates_Call_List_PQ!E457="","",Associates_Call_List_PQ!E457)</f>
        <v>86001</v>
      </c>
      <c r="F457" s="57" t="str">
        <f>IF(Associates_Call_List_PQ!F457="","",Associates_Call_List_PQ!F457)</f>
        <v>Opposed</v>
      </c>
      <c r="G457" s="57" t="str">
        <f>IF(Associates_Call_List_PQ!G457="","",Associates_Call_List_PQ!G457)</f>
        <v>https://images.edocket.azcc.gov/docketpdf/E000046230.pdf</v>
      </c>
      <c r="H457" s="59" t="str">
        <f>IF(Associates_Call_List_PQ!H457="","",Associates_Call_List_PQ!H457)</f>
        <v xml:space="preserve">2697623904 </v>
      </c>
      <c r="I457" s="57" t="str">
        <f>IF(Associates_Call_List_PQ!I457="","",Associates_Call_List_PQ!I457)</f>
        <v>RTOUE47</v>
      </c>
      <c r="J457" s="57" t="str">
        <f>IF(Associates_Call_List_PQ!J457="","",Associates_Call_List_PQ!J457)</f>
        <v>No</v>
      </c>
      <c r="K457" s="57" t="str">
        <f>IF(Associates_Call_List_PQ!K457="","",Associates_Call_List_PQ!K457)</f>
        <v>No</v>
      </c>
      <c r="L457" s="57" t="str">
        <f>IF(Associates_Call_List_PQ!L457="","",Associates_Call_List_PQ!L457)</f>
        <v>No MEP R-XS ($49.64)</v>
      </c>
      <c r="M457" s="57" t="str">
        <f>IF(Associates_Call_List_PQ!M457="","",Associates_Call_List_PQ!M457)</f>
        <v>No</v>
      </c>
      <c r="N457" s="57" t="str">
        <f>IF(Associates_Call_List_PQ!N457="","",Associates_Call_List_PQ!N457)</f>
        <v>No</v>
      </c>
      <c r="O457" s="57" t="str">
        <f>IF(Associates_Call_List_PQ!O457="","",Associates_Call_List_PQ!O457)</f>
        <v>Yes</v>
      </c>
      <c r="P457" s="57" t="str">
        <f>IF(Associates_Call_List_PQ!P457="","",Associates_Call_List_PQ!P457)</f>
        <v>N</v>
      </c>
      <c r="Q457" s="57">
        <f>IF(Associates_Call_List_PQ!Q457="","",Associates_Call_List_PQ!Q457)</f>
        <v>45966</v>
      </c>
      <c r="R457" s="57" t="str">
        <f>IF(Associates_Call_List_PQ!R457="","",Associates_Call_List_PQ!R457)</f>
        <v/>
      </c>
      <c r="S457" s="57" t="str">
        <f>IF(Associates_Call_List_PQ!S457="","",Associates_Call_List_PQ!S457)</f>
        <v/>
      </c>
      <c r="T457" s="57" t="str">
        <f>IF(Associates_Call_List_PQ!T457="","",Associates_Call_List_PQ!T457)</f>
        <v/>
      </c>
      <c r="U457" s="57" t="str">
        <f>IF(Associates_Call_List_PQ!U457="","",Associates_Call_List_PQ!U457)</f>
        <v/>
      </c>
      <c r="V457" s="68" t="s">
        <v>5433</v>
      </c>
      <c r="W457" s="68">
        <v>46053</v>
      </c>
      <c r="X457" s="68" t="s">
        <v>5405</v>
      </c>
      <c r="Y457" s="68" t="s">
        <v>5461</v>
      </c>
      <c r="Z457" s="72"/>
    </row>
    <row r="458" spans="1:26">
      <c r="A458" s="71">
        <f>IFERROR(Associates_Call_List_PQ!A458,"")</f>
        <v>45905</v>
      </c>
      <c r="B458" s="57" t="str">
        <f>IF(Associates_Call_List_PQ!B458="","",Associates_Call_List_PQ!B458)</f>
        <v>McAdams</v>
      </c>
      <c r="C458" s="57" t="str">
        <f>IF(Associates_Call_List_PQ!C458="","",Associates_Call_List_PQ!C458)</f>
        <v>Levi</v>
      </c>
      <c r="D458" s="57" t="str">
        <f>IF(Associates_Call_List_PQ!D458="","",Associates_Call_List_PQ!D458)</f>
        <v>Phoenix</v>
      </c>
      <c r="E458" s="58">
        <f>IF(Associates_Call_List_PQ!E458="","",Associates_Call_List_PQ!E458)</f>
        <v>85020</v>
      </c>
      <c r="F458" s="57" t="str">
        <f>IF(Associates_Call_List_PQ!F458="","",Associates_Call_List_PQ!F458)</f>
        <v>Form letter</v>
      </c>
      <c r="G458" s="57" t="str">
        <f>IF(Associates_Call_List_PQ!G458="","",Associates_Call_List_PQ!G458)</f>
        <v>https://images.edocket.azcc.gov/docketpdf/E000046230.pdf</v>
      </c>
      <c r="H458" s="59" t="str">
        <f>IF(Associates_Call_List_PQ!H458="","",Associates_Call_List_PQ!H458)</f>
        <v xml:space="preserve">0086465467 </v>
      </c>
      <c r="I458" s="57" t="str">
        <f>IF(Associates_Call_List_PQ!I458="","",Associates_Call_List_PQ!I458)</f>
        <v>R-XS</v>
      </c>
      <c r="J458" s="57" t="str">
        <f>IF(Associates_Call_List_PQ!J458="","",Associates_Call_List_PQ!J458)</f>
        <v>No</v>
      </c>
      <c r="K458" s="57" t="str">
        <f>IF(Associates_Call_List_PQ!K458="","",Associates_Call_List_PQ!K458)</f>
        <v>No</v>
      </c>
      <c r="L458" s="57" t="str">
        <f>IF(Associates_Call_List_PQ!L458="","",Associates_Call_List_PQ!L458)</f>
        <v>Yes</v>
      </c>
      <c r="M458" s="57" t="str">
        <f>IF(Associates_Call_List_PQ!M458="","",Associates_Call_List_PQ!M458)</f>
        <v>No</v>
      </c>
      <c r="N458" s="57" t="str">
        <f>IF(Associates_Call_List_PQ!N458="","",Associates_Call_List_PQ!N458)</f>
        <v>No</v>
      </c>
      <c r="O458" s="57" t="str">
        <f>IF(Associates_Call_List_PQ!O458="","",Associates_Call_List_PQ!O458)</f>
        <v>Yes</v>
      </c>
      <c r="P458" s="57" t="str">
        <f>IF(Associates_Call_List_PQ!P458="","",Associates_Call_List_PQ!P458)</f>
        <v>N</v>
      </c>
      <c r="Q458" s="57">
        <f>IF(Associates_Call_List_PQ!Q458="","",Associates_Call_List_PQ!Q458)</f>
        <v>45966</v>
      </c>
      <c r="R458" s="57" t="str">
        <f>IF(Associates_Call_List_PQ!R458="","",Associates_Call_List_PQ!R458)</f>
        <v/>
      </c>
      <c r="S458" s="57" t="str">
        <f>IF(Associates_Call_List_PQ!S458="","",Associates_Call_List_PQ!S458)</f>
        <v/>
      </c>
      <c r="T458" s="57" t="str">
        <f>IF(Associates_Call_List_PQ!T458="","",Associates_Call_List_PQ!T458)</f>
        <v/>
      </c>
      <c r="U458" s="57" t="str">
        <f>IF(Associates_Call_List_PQ!U458="","",Associates_Call_List_PQ!U458)</f>
        <v/>
      </c>
      <c r="V458" s="68"/>
      <c r="W458" s="68" t="s">
        <v>5432</v>
      </c>
      <c r="X458" s="68"/>
      <c r="Y458" s="68"/>
      <c r="Z458" s="72"/>
    </row>
    <row r="459" spans="1:26">
      <c r="A459" s="71">
        <f>IFERROR(Associates_Call_List_PQ!A459,"")</f>
        <v>45905</v>
      </c>
      <c r="B459" s="57" t="str">
        <f>IF(Associates_Call_List_PQ!B459="","",Associates_Call_List_PQ!B459)</f>
        <v>Brunetti</v>
      </c>
      <c r="C459" s="57" t="str">
        <f>IF(Associates_Call_List_PQ!C459="","",Associates_Call_List_PQ!C459)</f>
        <v>Isabel</v>
      </c>
      <c r="D459" s="57" t="str">
        <f>IF(Associates_Call_List_PQ!D459="","",Associates_Call_List_PQ!D459)</f>
        <v>Phoenix</v>
      </c>
      <c r="E459" s="58">
        <f>IF(Associates_Call_List_PQ!E459="","",Associates_Call_List_PQ!E459)</f>
        <v>85020</v>
      </c>
      <c r="F459" s="57" t="str">
        <f>IF(Associates_Call_List_PQ!F459="","",Associates_Call_List_PQ!F459)</f>
        <v>Unfair</v>
      </c>
      <c r="G459" s="57" t="str">
        <f>IF(Associates_Call_List_PQ!G459="","",Associates_Call_List_PQ!G459)</f>
        <v>https://images.edocket.azcc.gov/docketpdf/E000046230.pdf</v>
      </c>
      <c r="H459" s="59" t="str">
        <f>IF(Associates_Call_List_PQ!H459="","",Associates_Call_List_PQ!H459)</f>
        <v xml:space="preserve">7036097429 </v>
      </c>
      <c r="I459" s="57" t="str">
        <f>IF(Associates_Call_List_PQ!I459="","",Associates_Call_List_PQ!I459)</f>
        <v>R3-47</v>
      </c>
      <c r="J459" s="57" t="str">
        <f>IF(Associates_Call_List_PQ!J459="","",Associates_Call_List_PQ!J459)</f>
        <v>No</v>
      </c>
      <c r="K459" s="57" t="str">
        <f>IF(Associates_Call_List_PQ!K459="","",Associates_Call_List_PQ!K459)</f>
        <v>No</v>
      </c>
      <c r="L459" s="57" t="str">
        <f>IF(Associates_Call_List_PQ!L459="","",Associates_Call_List_PQ!L459)</f>
        <v>No MEP R-BASIC($187.87)</v>
      </c>
      <c r="M459" s="57" t="str">
        <f>IF(Associates_Call_List_PQ!M459="","",Associates_Call_List_PQ!M459)</f>
        <v>No</v>
      </c>
      <c r="N459" s="57" t="str">
        <f>IF(Associates_Call_List_PQ!N459="","",Associates_Call_List_PQ!N459)</f>
        <v>No</v>
      </c>
      <c r="O459" s="57" t="str">
        <f>IF(Associates_Call_List_PQ!O459="","",Associates_Call_List_PQ!O459)</f>
        <v>Yes</v>
      </c>
      <c r="P459" s="57" t="str">
        <f>IF(Associates_Call_List_PQ!P459="","",Associates_Call_List_PQ!P459)</f>
        <v>N</v>
      </c>
      <c r="Q459" s="57">
        <f>IF(Associates_Call_List_PQ!Q459="","",Associates_Call_List_PQ!Q459)</f>
        <v>45966</v>
      </c>
      <c r="R459" s="57" t="str">
        <f>IF(Associates_Call_List_PQ!R459="","",Associates_Call_List_PQ!R459)</f>
        <v>10/06/2025 Number is not in service - Initiated rate change on 10/17</v>
      </c>
      <c r="S459" s="57" t="str">
        <f>IF(Associates_Call_List_PQ!S459="","",Associates_Call_List_PQ!S459)</f>
        <v/>
      </c>
      <c r="T459" s="57" t="str">
        <f>IF(Associates_Call_List_PQ!T459="","",Associates_Call_List_PQ!T459)</f>
        <v/>
      </c>
      <c r="U459" s="57" t="str">
        <f>IF(Associates_Call_List_PQ!U459="","",Associates_Call_List_PQ!U459)</f>
        <v/>
      </c>
      <c r="V459" s="68" t="s">
        <v>5433</v>
      </c>
      <c r="W459" s="68">
        <v>46053</v>
      </c>
      <c r="X459" s="68" t="s">
        <v>5405</v>
      </c>
      <c r="Y459" s="68" t="s">
        <v>5461</v>
      </c>
      <c r="Z459" s="72"/>
    </row>
    <row r="460" spans="1:26">
      <c r="A460" s="71">
        <f>IFERROR(Associates_Call_List_PQ!A460,"")</f>
        <v>45905</v>
      </c>
      <c r="B460" s="57" t="str">
        <f>IF(Associates_Call_List_PQ!B460="","",Associates_Call_List_PQ!B460)</f>
        <v>Court</v>
      </c>
      <c r="C460" s="57" t="str">
        <f>IF(Associates_Call_List_PQ!C460="","",Associates_Call_List_PQ!C460)</f>
        <v>Jonathan</v>
      </c>
      <c r="D460" s="57" t="str">
        <f>IF(Associates_Call_List_PQ!D460="","",Associates_Call_List_PQ!D460)</f>
        <v>Phoenix</v>
      </c>
      <c r="E460" s="58">
        <f>IF(Associates_Call_List_PQ!E460="","",Associates_Call_List_PQ!E460)</f>
        <v>85023</v>
      </c>
      <c r="F460" s="57" t="str">
        <f>IF(Associates_Call_List_PQ!F460="","",Associates_Call_List_PQ!F460)</f>
        <v>Charge companies running massive data centers instead</v>
      </c>
      <c r="G460" s="57" t="str">
        <f>IF(Associates_Call_List_PQ!G460="","",Associates_Call_List_PQ!G460)</f>
        <v>https://images.edocket.azcc.gov/docketpdf/E000046230.pdf</v>
      </c>
      <c r="H460" s="59" t="str">
        <f>IF(Associates_Call_List_PQ!H460="","",Associates_Call_List_PQ!H460)</f>
        <v xml:space="preserve">9890161000 </v>
      </c>
      <c r="I460" s="57" t="str">
        <f>IF(Associates_Call_List_PQ!I460="","",Associates_Call_List_PQ!I460)</f>
        <v>EPR-6w/E-12</v>
      </c>
      <c r="J460" s="57" t="str">
        <f>IF(Associates_Call_List_PQ!J460="","",Associates_Call_List_PQ!J460)</f>
        <v>No</v>
      </c>
      <c r="K460" s="57" t="str">
        <f>IF(Associates_Call_List_PQ!K460="","",Associates_Call_List_PQ!K460)</f>
        <v>No</v>
      </c>
      <c r="L460" s="57" t="str">
        <f>IF(Associates_Call_List_PQ!L460="","",Associates_Call_List_PQ!L460)</f>
        <v>Frozen Rate</v>
      </c>
      <c r="M460" s="57" t="str">
        <f>IF(Associates_Call_List_PQ!M460="","",Associates_Call_List_PQ!M460)</f>
        <v>No</v>
      </c>
      <c r="N460" s="57" t="str">
        <f>IF(Associates_Call_List_PQ!N460="","",Associates_Call_List_PQ!N460)</f>
        <v>No</v>
      </c>
      <c r="O460" s="57" t="str">
        <f>IF(Associates_Call_List_PQ!O460="","",Associates_Call_List_PQ!O460)</f>
        <v>Yes</v>
      </c>
      <c r="P460" s="57" t="str">
        <f>IF(Associates_Call_List_PQ!P460="","",Associates_Call_List_PQ!P460)</f>
        <v>N</v>
      </c>
      <c r="Q460" s="57">
        <f>IF(Associates_Call_List_PQ!Q460="","",Associates_Call_List_PQ!Q460)</f>
        <v>45966</v>
      </c>
      <c r="R460" s="57" t="str">
        <f>IF(Associates_Call_List_PQ!R460="","",Associates_Call_List_PQ!R460)</f>
        <v/>
      </c>
      <c r="S460" s="57" t="str">
        <f>IF(Associates_Call_List_PQ!S460="","",Associates_Call_List_PQ!S460)</f>
        <v/>
      </c>
      <c r="T460" s="57" t="str">
        <f>IF(Associates_Call_List_PQ!T460="","",Associates_Call_List_PQ!T460)</f>
        <v/>
      </c>
      <c r="U460" s="57" t="str">
        <f>IF(Associates_Call_List_PQ!U460="","",Associates_Call_List_PQ!U460)</f>
        <v/>
      </c>
      <c r="V460" s="68"/>
      <c r="W460" s="68" t="s">
        <v>5432</v>
      </c>
      <c r="X460" s="68"/>
      <c r="Y460" s="68"/>
      <c r="Z460" s="72"/>
    </row>
    <row r="461" spans="1:26">
      <c r="A461" s="71">
        <f>IFERROR(Associates_Call_List_PQ!A461,"")</f>
        <v>45905</v>
      </c>
      <c r="B461" s="57" t="str">
        <f>IF(Associates_Call_List_PQ!B461="","",Associates_Call_List_PQ!B461)</f>
        <v>Pera</v>
      </c>
      <c r="C461" s="57" t="str">
        <f>IF(Associates_Call_List_PQ!C461="","",Associates_Call_List_PQ!C461)</f>
        <v>Natalie</v>
      </c>
      <c r="D461" s="57" t="str">
        <f>IF(Associates_Call_List_PQ!D461="","",Associates_Call_List_PQ!D461)</f>
        <v>Phoenix</v>
      </c>
      <c r="E461" s="58">
        <f>IF(Associates_Call_List_PQ!E461="","",Associates_Call_List_PQ!E461)</f>
        <v>85020</v>
      </c>
      <c r="F461" s="57" t="str">
        <f>IF(Associates_Call_List_PQ!F461="","",Associates_Call_List_PQ!F461)</f>
        <v>Form letter</v>
      </c>
      <c r="G461" s="57" t="str">
        <f>IF(Associates_Call_List_PQ!G461="","",Associates_Call_List_PQ!G461)</f>
        <v>https://images.edocket.azcc.gov/docketpdf/E000046230.pdf</v>
      </c>
      <c r="H461" s="59" t="str">
        <f>IF(Associates_Call_List_PQ!H461="","",Associates_Call_List_PQ!H461)</f>
        <v xml:space="preserve">0947385737 </v>
      </c>
      <c r="I461" s="57" t="str">
        <f>IF(Associates_Call_List_PQ!I461="","",Associates_Call_List_PQ!I461)</f>
        <v>RTOUE47</v>
      </c>
      <c r="J461" s="57" t="str">
        <f>IF(Associates_Call_List_PQ!J461="","",Associates_Call_List_PQ!J461)</f>
        <v>No</v>
      </c>
      <c r="K461" s="57" t="str">
        <f>IF(Associates_Call_List_PQ!K461="","",Associates_Call_List_PQ!K461)</f>
        <v>No</v>
      </c>
      <c r="L461" s="57" t="str">
        <f>IF(Associates_Call_List_PQ!L461="","",Associates_Call_List_PQ!L461)</f>
        <v>No MEP R3-47 ($108.13)</v>
      </c>
      <c r="M461" s="57" t="str">
        <f>IF(Associates_Call_List_PQ!M461="","",Associates_Call_List_PQ!M461)</f>
        <v>No</v>
      </c>
      <c r="N461" s="57" t="str">
        <f>IF(Associates_Call_List_PQ!N461="","",Associates_Call_List_PQ!N461)</f>
        <v>No</v>
      </c>
      <c r="O461" s="57" t="str">
        <f>IF(Associates_Call_List_PQ!O461="","",Associates_Call_List_PQ!O461)</f>
        <v>Yes</v>
      </c>
      <c r="P461" s="57" t="str">
        <f>IF(Associates_Call_List_PQ!P461="","",Associates_Call_List_PQ!P461)</f>
        <v>N</v>
      </c>
      <c r="Q461" s="57">
        <f>IF(Associates_Call_List_PQ!Q461="","",Associates_Call_List_PQ!Q461)</f>
        <v>45966</v>
      </c>
      <c r="R461" s="57" t="str">
        <f>IF(Associates_Call_List_PQ!R461="","",Associates_Call_List_PQ!R461)</f>
        <v>Rate change already in place as of 9/18</v>
      </c>
      <c r="S461" s="57" t="str">
        <f>IF(Associates_Call_List_PQ!S461="","",Associates_Call_List_PQ!S461)</f>
        <v/>
      </c>
      <c r="T461" s="57" t="str">
        <f>IF(Associates_Call_List_PQ!T461="","",Associates_Call_List_PQ!T461)</f>
        <v/>
      </c>
      <c r="U461" s="57" t="str">
        <f>IF(Associates_Call_List_PQ!U461="","",Associates_Call_List_PQ!U461)</f>
        <v/>
      </c>
      <c r="V461" s="68" t="s">
        <v>5433</v>
      </c>
      <c r="W461" s="68">
        <v>46053</v>
      </c>
      <c r="X461" s="68" t="s">
        <v>5434</v>
      </c>
      <c r="Y461" s="68"/>
      <c r="Z461" s="72" t="s">
        <v>5599</v>
      </c>
    </row>
    <row r="462" spans="1:26">
      <c r="A462" s="71">
        <f>IFERROR(Associates_Call_List_PQ!A462,"")</f>
        <v>45905</v>
      </c>
      <c r="B462" s="57" t="str">
        <f>IF(Associates_Call_List_PQ!B462="","",Associates_Call_List_PQ!B462)</f>
        <v>Stroup</v>
      </c>
      <c r="C462" s="57" t="str">
        <f>IF(Associates_Call_List_PQ!C462="","",Associates_Call_List_PQ!C462)</f>
        <v>Karen</v>
      </c>
      <c r="D462" s="57" t="str">
        <f>IF(Associates_Call_List_PQ!D462="","",Associates_Call_List_PQ!D462)</f>
        <v>Goodyear</v>
      </c>
      <c r="E462" s="58">
        <f>IF(Associates_Call_List_PQ!E462="","",Associates_Call_List_PQ!E462)</f>
        <v>85395</v>
      </c>
      <c r="F462" s="57" t="str">
        <f>IF(Associates_Call_List_PQ!F462="","",Associates_Call_List_PQ!F462)</f>
        <v>Opposed</v>
      </c>
      <c r="G462" s="57" t="str">
        <f>IF(Associates_Call_List_PQ!G462="","",Associates_Call_List_PQ!G462)</f>
        <v>https://images.edocket.azcc.gov/docketpdf/E000046230.pdf</v>
      </c>
      <c r="H462" s="59" t="str">
        <f>IF(Associates_Call_List_PQ!H462="","",Associates_Call_List_PQ!H462)</f>
        <v xml:space="preserve">9738604563 </v>
      </c>
      <c r="I462" s="57" t="str">
        <f>IF(Associates_Call_List_PQ!I462="","",Associates_Call_List_PQ!I462)</f>
        <v>R-BASIC</v>
      </c>
      <c r="J462" s="57" t="str">
        <f>IF(Associates_Call_List_PQ!J462="","",Associates_Call_List_PQ!J462)</f>
        <v>No</v>
      </c>
      <c r="K462" s="57" t="str">
        <f>IF(Associates_Call_List_PQ!K462="","",Associates_Call_List_PQ!K462)</f>
        <v>No</v>
      </c>
      <c r="L462" s="57" t="str">
        <f>IF(Associates_Call_List_PQ!L462="","",Associates_Call_List_PQ!L462)</f>
        <v>Yes</v>
      </c>
      <c r="M462" s="57" t="str">
        <f>IF(Associates_Call_List_PQ!M462="","",Associates_Call_List_PQ!M462)</f>
        <v>No</v>
      </c>
      <c r="N462" s="57" t="str">
        <f>IF(Associates_Call_List_PQ!N462="","",Associates_Call_List_PQ!N462)</f>
        <v>No</v>
      </c>
      <c r="O462" s="57" t="str">
        <f>IF(Associates_Call_List_PQ!O462="","",Associates_Call_List_PQ!O462)</f>
        <v>Yes</v>
      </c>
      <c r="P462" s="57" t="str">
        <f>IF(Associates_Call_List_PQ!P462="","",Associates_Call_List_PQ!P462)</f>
        <v>N</v>
      </c>
      <c r="Q462" s="57">
        <f>IF(Associates_Call_List_PQ!Q462="","",Associates_Call_List_PQ!Q462)</f>
        <v>45966</v>
      </c>
      <c r="R462" s="57" t="str">
        <f>IF(Associates_Call_List_PQ!R462="","",Associates_Call_List_PQ!R462)</f>
        <v/>
      </c>
      <c r="S462" s="57" t="str">
        <f>IF(Associates_Call_List_PQ!S462="","",Associates_Call_List_PQ!S462)</f>
        <v/>
      </c>
      <c r="T462" s="57" t="str">
        <f>IF(Associates_Call_List_PQ!T462="","",Associates_Call_List_PQ!T462)</f>
        <v/>
      </c>
      <c r="U462" s="57" t="str">
        <f>IF(Associates_Call_List_PQ!U462="","",Associates_Call_List_PQ!U462)</f>
        <v/>
      </c>
      <c r="V462" s="68"/>
      <c r="W462" s="68" t="s">
        <v>5432</v>
      </c>
      <c r="X462" s="68"/>
      <c r="Y462" s="68"/>
      <c r="Z462" s="72"/>
    </row>
    <row r="463" spans="1:26">
      <c r="A463" s="71">
        <f>IFERROR(Associates_Call_List_PQ!A463,"")</f>
        <v>45905</v>
      </c>
      <c r="B463" s="57" t="str">
        <f>IF(Associates_Call_List_PQ!B463="","",Associates_Call_List_PQ!B463)</f>
        <v>Fortson</v>
      </c>
      <c r="C463" s="57" t="str">
        <f>IF(Associates_Call_List_PQ!C463="","",Associates_Call_List_PQ!C463)</f>
        <v>Steven</v>
      </c>
      <c r="D463" s="57" t="str">
        <f>IF(Associates_Call_List_PQ!D463="","",Associates_Call_List_PQ!D463)</f>
        <v>Eloy</v>
      </c>
      <c r="E463" s="58">
        <f>IF(Associates_Call_List_PQ!E463="","",Associates_Call_List_PQ!E463)</f>
        <v>85131</v>
      </c>
      <c r="F463" s="57" t="str">
        <f>IF(Associates_Call_List_PQ!F463="","",Associates_Call_List_PQ!F463)</f>
        <v>Form letter</v>
      </c>
      <c r="G463" s="57" t="str">
        <f>IF(Associates_Call_List_PQ!G463="","",Associates_Call_List_PQ!G463)</f>
        <v>https://images.edocket.azcc.gov/docketpdf/E000046230.pdf</v>
      </c>
      <c r="H463" s="59" t="str">
        <f>IF(Associates_Call_List_PQ!H463="","",Associates_Call_List_PQ!H463)</f>
        <v xml:space="preserve">6892964511 </v>
      </c>
      <c r="I463" s="57" t="str">
        <f>IF(Associates_Call_List_PQ!I463="","",Associates_Call_List_PQ!I463)</f>
        <v>R-2</v>
      </c>
      <c r="J463" s="57" t="str">
        <f>IF(Associates_Call_List_PQ!J463="","",Associates_Call_List_PQ!J463)</f>
        <v>No</v>
      </c>
      <c r="K463" s="57" t="str">
        <f>IF(Associates_Call_List_PQ!K463="","",Associates_Call_List_PQ!K463)</f>
        <v>No</v>
      </c>
      <c r="L463" s="57" t="str">
        <f>IF(Associates_Call_List_PQ!L463="","",Associates_Call_List_PQ!L463)</f>
        <v>Frozen Rate</v>
      </c>
      <c r="M463" s="57" t="str">
        <f>IF(Associates_Call_List_PQ!M463="","",Associates_Call_List_PQ!M463)</f>
        <v>No</v>
      </c>
      <c r="N463" s="57" t="str">
        <f>IF(Associates_Call_List_PQ!N463="","",Associates_Call_List_PQ!N463)</f>
        <v>No</v>
      </c>
      <c r="O463" s="57" t="str">
        <f>IF(Associates_Call_List_PQ!O463="","",Associates_Call_List_PQ!O463)</f>
        <v>Yes</v>
      </c>
      <c r="P463" s="57" t="str">
        <f>IF(Associates_Call_List_PQ!P463="","",Associates_Call_List_PQ!P463)</f>
        <v>N</v>
      </c>
      <c r="Q463" s="57">
        <f>IF(Associates_Call_List_PQ!Q463="","",Associates_Call_List_PQ!Q463)</f>
        <v>45966</v>
      </c>
      <c r="R463" s="57" t="str">
        <f>IF(Associates_Call_List_PQ!R463="","",Associates_Call_List_PQ!R463)</f>
        <v/>
      </c>
      <c r="S463" s="57" t="str">
        <f>IF(Associates_Call_List_PQ!S463="","",Associates_Call_List_PQ!S463)</f>
        <v/>
      </c>
      <c r="T463" s="57" t="str">
        <f>IF(Associates_Call_List_PQ!T463="","",Associates_Call_List_PQ!T463)</f>
        <v/>
      </c>
      <c r="U463" s="57" t="str">
        <f>IF(Associates_Call_List_PQ!U463="","",Associates_Call_List_PQ!U463)</f>
        <v/>
      </c>
      <c r="V463" s="68"/>
      <c r="W463" s="68" t="s">
        <v>5432</v>
      </c>
      <c r="X463" s="68"/>
      <c r="Y463" s="68"/>
      <c r="Z463" s="72"/>
    </row>
    <row r="464" spans="1:26">
      <c r="A464" s="71">
        <f>IFERROR(Associates_Call_List_PQ!A464,"")</f>
        <v>45905</v>
      </c>
      <c r="B464" s="57" t="str">
        <f>IF(Associates_Call_List_PQ!B464="","",Associates_Call_List_PQ!B464)</f>
        <v>Walker</v>
      </c>
      <c r="C464" s="57" t="str">
        <f>IF(Associates_Call_List_PQ!C464="","",Associates_Call_List_PQ!C464)</f>
        <v>Clint</v>
      </c>
      <c r="D464" s="57" t="str">
        <f>IF(Associates_Call_List_PQ!D464="","",Associates_Call_List_PQ!D464)</f>
        <v>Scottsdale</v>
      </c>
      <c r="E464" s="58">
        <f>IF(Associates_Call_List_PQ!E464="","",Associates_Call_List_PQ!E464)</f>
        <v>85254</v>
      </c>
      <c r="F464" s="57" t="str">
        <f>IF(Associates_Call_List_PQ!F464="","",Associates_Call_List_PQ!F464)</f>
        <v>Form letter</v>
      </c>
      <c r="G464" s="57" t="str">
        <f>IF(Associates_Call_List_PQ!G464="","",Associates_Call_List_PQ!G464)</f>
        <v>https://images.edocket.azcc.gov/docketpdf/E000046230.pdf</v>
      </c>
      <c r="H464" s="59" t="str">
        <f>IF(Associates_Call_List_PQ!H464="","",Associates_Call_List_PQ!H464)</f>
        <v xml:space="preserve">8233981790 </v>
      </c>
      <c r="I464" s="57" t="str">
        <f>IF(Associates_Call_List_PQ!I464="","",Associates_Call_List_PQ!I464)</f>
        <v>R3-47</v>
      </c>
      <c r="J464" s="57" t="str">
        <f>IF(Associates_Call_List_PQ!J464="","",Associates_Call_List_PQ!J464)</f>
        <v>No</v>
      </c>
      <c r="K464" s="57" t="str">
        <f>IF(Associates_Call_List_PQ!K464="","",Associates_Call_List_PQ!K464)</f>
        <v>No</v>
      </c>
      <c r="L464" s="57" t="str">
        <f>IF(Associates_Call_List_PQ!L464="","",Associates_Call_List_PQ!L464)</f>
        <v>Yes</v>
      </c>
      <c r="M464" s="57" t="str">
        <f>IF(Associates_Call_List_PQ!M464="","",Associates_Call_List_PQ!M464)</f>
        <v>No</v>
      </c>
      <c r="N464" s="57" t="str">
        <f>IF(Associates_Call_List_PQ!N464="","",Associates_Call_List_PQ!N464)</f>
        <v>No</v>
      </c>
      <c r="O464" s="57" t="str">
        <f>IF(Associates_Call_List_PQ!O464="","",Associates_Call_List_PQ!O464)</f>
        <v>Yes</v>
      </c>
      <c r="P464" s="57" t="str">
        <f>IF(Associates_Call_List_PQ!P464="","",Associates_Call_List_PQ!P464)</f>
        <v>N</v>
      </c>
      <c r="Q464" s="57">
        <f>IF(Associates_Call_List_PQ!Q464="","",Associates_Call_List_PQ!Q464)</f>
        <v>45966</v>
      </c>
      <c r="R464" s="57" t="str">
        <f>IF(Associates_Call_List_PQ!R464="","",Associates_Call_List_PQ!R464)</f>
        <v/>
      </c>
      <c r="S464" s="57" t="str">
        <f>IF(Associates_Call_List_PQ!S464="","",Associates_Call_List_PQ!S464)</f>
        <v/>
      </c>
      <c r="T464" s="57" t="str">
        <f>IF(Associates_Call_List_PQ!T464="","",Associates_Call_List_PQ!T464)</f>
        <v/>
      </c>
      <c r="U464" s="57" t="str">
        <f>IF(Associates_Call_List_PQ!U464="","",Associates_Call_List_PQ!U464)</f>
        <v/>
      </c>
      <c r="V464" s="68"/>
      <c r="W464" s="68" t="s">
        <v>5432</v>
      </c>
      <c r="X464" s="68"/>
      <c r="Y464" s="68"/>
      <c r="Z464" s="72"/>
    </row>
    <row r="465" spans="1:26">
      <c r="A465" s="71">
        <f>IFERROR(Associates_Call_List_PQ!A465,"")</f>
        <v>45905</v>
      </c>
      <c r="B465" s="57" t="str">
        <f>IF(Associates_Call_List_PQ!B465="","",Associates_Call_List_PQ!B465)</f>
        <v>Glass</v>
      </c>
      <c r="C465" s="57" t="str">
        <f>IF(Associates_Call_List_PQ!C465="","",Associates_Call_List_PQ!C465)</f>
        <v>Louis</v>
      </c>
      <c r="D465" s="57" t="str">
        <f>IF(Associates_Call_List_PQ!D465="","",Associates_Call_List_PQ!D465)</f>
        <v>Phoenix</v>
      </c>
      <c r="E465" s="58">
        <f>IF(Associates_Call_List_PQ!E465="","",Associates_Call_List_PQ!E465)</f>
        <v>85022</v>
      </c>
      <c r="F465" s="57" t="str">
        <f>IF(Associates_Call_List_PQ!F465="","",Associates_Call_List_PQ!F465)</f>
        <v>Opposed</v>
      </c>
      <c r="G465" s="57" t="str">
        <f>IF(Associates_Call_List_PQ!G465="","",Associates_Call_List_PQ!G465)</f>
        <v>https://images.edocket.azcc.gov/docketpdf/E000046230.pdf</v>
      </c>
      <c r="H465" s="59" t="str">
        <f>IF(Associates_Call_List_PQ!H465="","",Associates_Call_List_PQ!H465)</f>
        <v xml:space="preserve">7482519669 </v>
      </c>
      <c r="I465" s="57" t="str">
        <f>IF(Associates_Call_List_PQ!I465="","",Associates_Call_List_PQ!I465)</f>
        <v>R3-47</v>
      </c>
      <c r="J465" s="57" t="str">
        <f>IF(Associates_Call_List_PQ!J465="","",Associates_Call_List_PQ!J465)</f>
        <v>No</v>
      </c>
      <c r="K465" s="57" t="str">
        <f>IF(Associates_Call_List_PQ!K465="","",Associates_Call_List_PQ!K465)</f>
        <v>No</v>
      </c>
      <c r="L465" s="57" t="str">
        <f>IF(Associates_Call_List_PQ!L465="","",Associates_Call_List_PQ!L465)</f>
        <v>Yes</v>
      </c>
      <c r="M465" s="57" t="str">
        <f>IF(Associates_Call_List_PQ!M465="","",Associates_Call_List_PQ!M465)</f>
        <v>No</v>
      </c>
      <c r="N465" s="57" t="str">
        <f>IF(Associates_Call_List_PQ!N465="","",Associates_Call_List_PQ!N465)</f>
        <v>No</v>
      </c>
      <c r="O465" s="57" t="str">
        <f>IF(Associates_Call_List_PQ!O465="","",Associates_Call_List_PQ!O465)</f>
        <v>Yes</v>
      </c>
      <c r="P465" s="57" t="str">
        <f>IF(Associates_Call_List_PQ!P465="","",Associates_Call_List_PQ!P465)</f>
        <v>N</v>
      </c>
      <c r="Q465" s="57">
        <f>IF(Associates_Call_List_PQ!Q465="","",Associates_Call_List_PQ!Q465)</f>
        <v>45966</v>
      </c>
      <c r="R465" s="57" t="str">
        <f>IF(Associates_Call_List_PQ!R465="","",Associates_Call_List_PQ!R465)</f>
        <v/>
      </c>
      <c r="S465" s="57" t="str">
        <f>IF(Associates_Call_List_PQ!S465="","",Associates_Call_List_PQ!S465)</f>
        <v/>
      </c>
      <c r="T465" s="57" t="str">
        <f>IF(Associates_Call_List_PQ!T465="","",Associates_Call_List_PQ!T465)</f>
        <v/>
      </c>
      <c r="U465" s="57" t="str">
        <f>IF(Associates_Call_List_PQ!U465="","",Associates_Call_List_PQ!U465)</f>
        <v/>
      </c>
      <c r="V465" s="68"/>
      <c r="W465" s="68" t="s">
        <v>5432</v>
      </c>
      <c r="X465" s="68"/>
      <c r="Y465" s="68"/>
      <c r="Z465" s="72"/>
    </row>
    <row r="466" spans="1:26">
      <c r="A466" s="71">
        <f>IFERROR(Associates_Call_List_PQ!A466,"")</f>
        <v>45905</v>
      </c>
      <c r="B466" s="57" t="str">
        <f>IF(Associates_Call_List_PQ!B466="","",Associates_Call_List_PQ!B466)</f>
        <v>Beltz</v>
      </c>
      <c r="C466" s="57" t="str">
        <f>IF(Associates_Call_List_PQ!C466="","",Associates_Call_List_PQ!C466)</f>
        <v>Sherri</v>
      </c>
      <c r="D466" s="57" t="str">
        <f>IF(Associates_Call_List_PQ!D466="","",Associates_Call_List_PQ!D466)</f>
        <v>Goodyear</v>
      </c>
      <c r="E466" s="58">
        <f>IF(Associates_Call_List_PQ!E466="","",Associates_Call_List_PQ!E466)</f>
        <v>85338</v>
      </c>
      <c r="F466" s="57" t="str">
        <f>IF(Associates_Call_List_PQ!F466="","",Associates_Call_List_PQ!F466)</f>
        <v>Strongly opposed</v>
      </c>
      <c r="G466" s="57" t="str">
        <f>IF(Associates_Call_List_PQ!G466="","",Associates_Call_List_PQ!G466)</f>
        <v>https://images.edocket.azcc.gov/docketpdf/E000046230.pdf</v>
      </c>
      <c r="H466" s="59" t="str">
        <f>IF(Associates_Call_List_PQ!H466="","",Associates_Call_List_PQ!H466)</f>
        <v xml:space="preserve">4321958928 </v>
      </c>
      <c r="I466" s="57" t="str">
        <f>IF(Associates_Call_List_PQ!I466="","",Associates_Call_List_PQ!I466)</f>
        <v>R3-47</v>
      </c>
      <c r="J466" s="57" t="str">
        <f>IF(Associates_Call_List_PQ!J466="","",Associates_Call_List_PQ!J466)</f>
        <v>No</v>
      </c>
      <c r="K466" s="57" t="str">
        <f>IF(Associates_Call_List_PQ!K466="","",Associates_Call_List_PQ!K466)</f>
        <v>No</v>
      </c>
      <c r="L466" s="57" t="str">
        <f>IF(Associates_Call_List_PQ!L466="","",Associates_Call_List_PQ!L466)</f>
        <v>Yes</v>
      </c>
      <c r="M466" s="57" t="str">
        <f>IF(Associates_Call_List_PQ!M466="","",Associates_Call_List_PQ!M466)</f>
        <v>No</v>
      </c>
      <c r="N466" s="57" t="str">
        <f>IF(Associates_Call_List_PQ!N466="","",Associates_Call_List_PQ!N466)</f>
        <v>No</v>
      </c>
      <c r="O466" s="57" t="str">
        <f>IF(Associates_Call_List_PQ!O466="","",Associates_Call_List_PQ!O466)</f>
        <v>Yes</v>
      </c>
      <c r="P466" s="57" t="str">
        <f>IF(Associates_Call_List_PQ!P466="","",Associates_Call_List_PQ!P466)</f>
        <v>N</v>
      </c>
      <c r="Q466" s="57">
        <f>IF(Associates_Call_List_PQ!Q466="","",Associates_Call_List_PQ!Q466)</f>
        <v>45966</v>
      </c>
      <c r="R466" s="57" t="str">
        <f>IF(Associates_Call_List_PQ!R466="","",Associates_Call_List_PQ!R466)</f>
        <v/>
      </c>
      <c r="S466" s="57" t="str">
        <f>IF(Associates_Call_List_PQ!S466="","",Associates_Call_List_PQ!S466)</f>
        <v/>
      </c>
      <c r="T466" s="57" t="str">
        <f>IF(Associates_Call_List_PQ!T466="","",Associates_Call_List_PQ!T466)</f>
        <v/>
      </c>
      <c r="U466" s="57" t="str">
        <f>IF(Associates_Call_List_PQ!U466="","",Associates_Call_List_PQ!U466)</f>
        <v/>
      </c>
      <c r="V466" s="68"/>
      <c r="W466" s="68" t="s">
        <v>5432</v>
      </c>
      <c r="X466" s="68"/>
      <c r="Y466" s="68"/>
      <c r="Z466" s="72"/>
    </row>
    <row r="467" spans="1:26">
      <c r="A467" s="71">
        <f>IFERROR(Associates_Call_List_PQ!A467,"")</f>
        <v>45905</v>
      </c>
      <c r="B467" s="57" t="str">
        <f>IF(Associates_Call_List_PQ!B467="","",Associates_Call_List_PQ!B467)</f>
        <v>Sies</v>
      </c>
      <c r="C467" s="57" t="str">
        <f>IF(Associates_Call_List_PQ!C467="","",Associates_Call_List_PQ!C467)</f>
        <v>Dale</v>
      </c>
      <c r="D467" s="57" t="str">
        <f>IF(Associates_Call_List_PQ!D467="","",Associates_Call_List_PQ!D467)</f>
        <v>Goodyear</v>
      </c>
      <c r="E467" s="58">
        <f>IF(Associates_Call_List_PQ!E467="","",Associates_Call_List_PQ!E467)</f>
        <v>85395</v>
      </c>
      <c r="F467" s="57" t="str">
        <f>IF(Associates_Call_List_PQ!F467="","",Associates_Call_List_PQ!F467)</f>
        <v>Negative impact on our household</v>
      </c>
      <c r="G467" s="57" t="str">
        <f>IF(Associates_Call_List_PQ!G467="","",Associates_Call_List_PQ!G467)</f>
        <v>https://images.edocket.azcc.gov/docketpdf/E000046230.pdf</v>
      </c>
      <c r="H467" s="59" t="str">
        <f>IF(Associates_Call_List_PQ!H467="","",Associates_Call_List_PQ!H467)</f>
        <v xml:space="preserve">9277734775 </v>
      </c>
      <c r="I467" s="57" t="str">
        <f>IF(Associates_Call_List_PQ!I467="","",Associates_Call_List_PQ!I467)</f>
        <v>R3-47</v>
      </c>
      <c r="J467" s="57" t="str">
        <f>IF(Associates_Call_List_PQ!J467="","",Associates_Call_List_PQ!J467)</f>
        <v>No</v>
      </c>
      <c r="K467" s="57" t="str">
        <f>IF(Associates_Call_List_PQ!K467="","",Associates_Call_List_PQ!K467)</f>
        <v>No</v>
      </c>
      <c r="L467" s="57" t="str">
        <f>IF(Associates_Call_List_PQ!L467="","",Associates_Call_List_PQ!L467)</f>
        <v>Yes</v>
      </c>
      <c r="M467" s="57" t="str">
        <f>IF(Associates_Call_List_PQ!M467="","",Associates_Call_List_PQ!M467)</f>
        <v>No</v>
      </c>
      <c r="N467" s="57" t="str">
        <f>IF(Associates_Call_List_PQ!N467="","",Associates_Call_List_PQ!N467)</f>
        <v>No</v>
      </c>
      <c r="O467" s="57" t="str">
        <f>IF(Associates_Call_List_PQ!O467="","",Associates_Call_List_PQ!O467)</f>
        <v>Yes</v>
      </c>
      <c r="P467" s="57" t="str">
        <f>IF(Associates_Call_List_PQ!P467="","",Associates_Call_List_PQ!P467)</f>
        <v>N</v>
      </c>
      <c r="Q467" s="57">
        <f>IF(Associates_Call_List_PQ!Q467="","",Associates_Call_List_PQ!Q467)</f>
        <v>45966</v>
      </c>
      <c r="R467" s="57" t="str">
        <f>IF(Associates_Call_List_PQ!R467="","",Associates_Call_List_PQ!R467)</f>
        <v/>
      </c>
      <c r="S467" s="57" t="str">
        <f>IF(Associates_Call_List_PQ!S467="","",Associates_Call_List_PQ!S467)</f>
        <v/>
      </c>
      <c r="T467" s="57" t="str">
        <f>IF(Associates_Call_List_PQ!T467="","",Associates_Call_List_PQ!T467)</f>
        <v/>
      </c>
      <c r="U467" s="57" t="str">
        <f>IF(Associates_Call_List_PQ!U467="","",Associates_Call_List_PQ!U467)</f>
        <v/>
      </c>
      <c r="V467" s="68"/>
      <c r="W467" s="68" t="s">
        <v>5432</v>
      </c>
      <c r="X467" s="68"/>
      <c r="Y467" s="68"/>
      <c r="Z467" s="72"/>
    </row>
    <row r="468" spans="1:26">
      <c r="A468" s="71">
        <f>IFERROR(Associates_Call_List_PQ!A468,"")</f>
        <v>45905</v>
      </c>
      <c r="B468" s="57" t="str">
        <f>IF(Associates_Call_List_PQ!B468="","",Associates_Call_List_PQ!B468)</f>
        <v>Scott</v>
      </c>
      <c r="C468" s="57" t="str">
        <f>IF(Associates_Call_List_PQ!C468="","",Associates_Call_List_PQ!C468)</f>
        <v>Fatima</v>
      </c>
      <c r="D468" s="57" t="str">
        <f>IF(Associates_Call_List_PQ!D468="","",Associates_Call_List_PQ!D468)</f>
        <v>Phoenix</v>
      </c>
      <c r="E468" s="58">
        <f>IF(Associates_Call_List_PQ!E468="","",Associates_Call_List_PQ!E468)</f>
        <v>85027</v>
      </c>
      <c r="F468" s="57" t="str">
        <f>IF(Associates_Call_List_PQ!F468="","",Associates_Call_List_PQ!F468)</f>
        <v>Strongly opposed</v>
      </c>
      <c r="G468" s="57" t="str">
        <f>IF(Associates_Call_List_PQ!G468="","",Associates_Call_List_PQ!G468)</f>
        <v>https://images.edocket.azcc.gov/docketpdf/E000046230.pdf</v>
      </c>
      <c r="H468" s="59" t="str">
        <f>IF(Associates_Call_List_PQ!H468="","",Associates_Call_List_PQ!H468)</f>
        <v xml:space="preserve">5786437888 </v>
      </c>
      <c r="I468" s="57" t="str">
        <f>IF(Associates_Call_List_PQ!I468="","",Associates_Call_List_PQ!I468)</f>
        <v>R-BASIC</v>
      </c>
      <c r="J468" s="57" t="str">
        <f>IF(Associates_Call_List_PQ!J468="","",Associates_Call_List_PQ!J468)</f>
        <v>Yes</v>
      </c>
      <c r="K468" s="57" t="str">
        <f>IF(Associates_Call_List_PQ!K468="","",Associates_Call_List_PQ!K468)</f>
        <v>No</v>
      </c>
      <c r="L468" s="57" t="str">
        <f>IF(Associates_Call_List_PQ!L468="","",Associates_Call_List_PQ!L468)</f>
        <v>Yes</v>
      </c>
      <c r="M468" s="57" t="str">
        <f>IF(Associates_Call_List_PQ!M468="","",Associates_Call_List_PQ!M468)</f>
        <v>Yes</v>
      </c>
      <c r="N468" s="57">
        <f>IF(Associates_Call_List_PQ!N468="","",Associates_Call_List_PQ!N468)</f>
        <v>349.29</v>
      </c>
      <c r="O468" s="57" t="str">
        <f>IF(Associates_Call_List_PQ!O468="","",Associates_Call_List_PQ!O468)</f>
        <v>Yes</v>
      </c>
      <c r="P468" s="57" t="str">
        <f>IF(Associates_Call_List_PQ!P468="","",Associates_Call_List_PQ!P468)</f>
        <v>N</v>
      </c>
      <c r="Q468" s="57">
        <f>IF(Associates_Call_List_PQ!Q468="","",Associates_Call_List_PQ!Q468)</f>
        <v>45966</v>
      </c>
      <c r="R468" s="57" t="str">
        <f>IF(Associates_Call_List_PQ!R468="","",Associates_Call_List_PQ!R468)</f>
        <v>Assistance?</v>
      </c>
      <c r="S468" s="57" t="str">
        <f>IF(Associates_Call_List_PQ!S468="","",Associates_Call_List_PQ!S468)</f>
        <v/>
      </c>
      <c r="T468" s="57" t="str">
        <f>IF(Associates_Call_List_PQ!T468="","",Associates_Call_List_PQ!T468)</f>
        <v/>
      </c>
      <c r="U468" s="57" t="str">
        <f>IF(Associates_Call_List_PQ!U468="","",Associates_Call_List_PQ!U468)</f>
        <v/>
      </c>
      <c r="V468" s="68" t="s">
        <v>5433</v>
      </c>
      <c r="W468" s="68">
        <v>46053</v>
      </c>
      <c r="X468" s="68" t="s">
        <v>5434</v>
      </c>
      <c r="Y468" s="68"/>
      <c r="Z468" s="72" t="s">
        <v>5599</v>
      </c>
    </row>
    <row r="469" spans="1:26">
      <c r="A469" s="71">
        <f>IFERROR(Associates_Call_List_PQ!A469,"")</f>
        <v>45905</v>
      </c>
      <c r="B469" s="57" t="str">
        <f>IF(Associates_Call_List_PQ!B469="","",Associates_Call_List_PQ!B469)</f>
        <v>Phillips</v>
      </c>
      <c r="C469" s="57" t="str">
        <f>IF(Associates_Call_List_PQ!C469="","",Associates_Call_List_PQ!C469)</f>
        <v>Nicole</v>
      </c>
      <c r="D469" s="57" t="str">
        <f>IF(Associates_Call_List_PQ!D469="","",Associates_Call_List_PQ!D469)</f>
        <v>Phoenix</v>
      </c>
      <c r="E469" s="58">
        <f>IF(Associates_Call_List_PQ!E469="","",Associates_Call_List_PQ!E469)</f>
        <v>85027</v>
      </c>
      <c r="F469" s="57" t="str">
        <f>IF(Associates_Call_List_PQ!F469="","",Associates_Call_List_PQ!F469)</f>
        <v>Opposed</v>
      </c>
      <c r="G469" s="57" t="str">
        <f>IF(Associates_Call_List_PQ!G469="","",Associates_Call_List_PQ!G469)</f>
        <v>https://images.edocket.azcc.gov/docketpdf/E000046230.pdf</v>
      </c>
      <c r="H469" s="59" t="str">
        <f>IF(Associates_Call_List_PQ!H469="","",Associates_Call_List_PQ!H469)</f>
        <v xml:space="preserve">3530497128 </v>
      </c>
      <c r="I469" s="57" t="str">
        <f>IF(Associates_Call_List_PQ!I469="","",Associates_Call_List_PQ!I469)</f>
        <v>R-XS</v>
      </c>
      <c r="J469" s="57" t="str">
        <f>IF(Associates_Call_List_PQ!J469="","",Associates_Call_List_PQ!J469)</f>
        <v>No</v>
      </c>
      <c r="K469" s="57" t="str">
        <f>IF(Associates_Call_List_PQ!K469="","",Associates_Call_List_PQ!K469)</f>
        <v>No</v>
      </c>
      <c r="L469" s="57" t="str">
        <f>IF(Associates_Call_List_PQ!L469="","",Associates_Call_List_PQ!L469)</f>
        <v>Yes</v>
      </c>
      <c r="M469" s="57" t="str">
        <f>IF(Associates_Call_List_PQ!M469="","",Associates_Call_List_PQ!M469)</f>
        <v>No</v>
      </c>
      <c r="N469" s="57" t="str">
        <f>IF(Associates_Call_List_PQ!N469="","",Associates_Call_List_PQ!N469)</f>
        <v>No</v>
      </c>
      <c r="O469" s="57" t="str">
        <f>IF(Associates_Call_List_PQ!O469="","",Associates_Call_List_PQ!O469)</f>
        <v>Yes</v>
      </c>
      <c r="P469" s="57" t="str">
        <f>IF(Associates_Call_List_PQ!P469="","",Associates_Call_List_PQ!P469)</f>
        <v>N</v>
      </c>
      <c r="Q469" s="57">
        <f>IF(Associates_Call_List_PQ!Q469="","",Associates_Call_List_PQ!Q469)</f>
        <v>45966</v>
      </c>
      <c r="R469" s="57" t="str">
        <f>IF(Associates_Call_List_PQ!R469="","",Associates_Call_List_PQ!R469)</f>
        <v/>
      </c>
      <c r="S469" s="57" t="str">
        <f>IF(Associates_Call_List_PQ!S469="","",Associates_Call_List_PQ!S469)</f>
        <v/>
      </c>
      <c r="T469" s="57" t="str">
        <f>IF(Associates_Call_List_PQ!T469="","",Associates_Call_List_PQ!T469)</f>
        <v/>
      </c>
      <c r="U469" s="57" t="str">
        <f>IF(Associates_Call_List_PQ!U469="","",Associates_Call_List_PQ!U469)</f>
        <v/>
      </c>
      <c r="V469" s="68"/>
      <c r="X469" s="68"/>
      <c r="Y469" s="68"/>
      <c r="Z469" s="72"/>
    </row>
    <row r="470" spans="1:26">
      <c r="A470" s="71">
        <f>IFERROR(Associates_Call_List_PQ!A470,"")</f>
        <v>45905</v>
      </c>
      <c r="B470" s="57" t="str">
        <f>IF(Associates_Call_List_PQ!B470="","",Associates_Call_List_PQ!B470)</f>
        <v>Pennington</v>
      </c>
      <c r="C470" s="57" t="str">
        <f>IF(Associates_Call_List_PQ!C470="","",Associates_Call_List_PQ!C470)</f>
        <v>Maurice</v>
      </c>
      <c r="D470" s="57" t="str">
        <f>IF(Associates_Call_List_PQ!D470="","",Associates_Call_List_PQ!D470)</f>
        <v>Buckeye</v>
      </c>
      <c r="E470" s="58">
        <f>IF(Associates_Call_List_PQ!E470="","",Associates_Call_List_PQ!E470)</f>
        <v>85396</v>
      </c>
      <c r="F470" s="57" t="str">
        <f>IF(Associates_Call_List_PQ!F470="","",Associates_Call_List_PQ!F470)</f>
        <v>Opposed</v>
      </c>
      <c r="G470" s="57" t="str">
        <f>IF(Associates_Call_List_PQ!G470="","",Associates_Call_List_PQ!G470)</f>
        <v>https://images.edocket.azcc.gov/docketpdf/E000046230.pdf</v>
      </c>
      <c r="H470" s="59" t="str">
        <f>IF(Associates_Call_List_PQ!H470="","",Associates_Call_List_PQ!H470)</f>
        <v xml:space="preserve">0240641000 </v>
      </c>
      <c r="I470" s="57" t="str">
        <f>IF(Associates_Call_List_PQ!I470="","",Associates_Call_List_PQ!I470)</f>
        <v>RTOUE47</v>
      </c>
      <c r="J470" s="57" t="str">
        <f>IF(Associates_Call_List_PQ!J470="","",Associates_Call_List_PQ!J470)</f>
        <v>No</v>
      </c>
      <c r="K470" s="57" t="str">
        <f>IF(Associates_Call_List_PQ!K470="","",Associates_Call_List_PQ!K470)</f>
        <v>No</v>
      </c>
      <c r="L470" s="57" t="str">
        <f>IF(Associates_Call_List_PQ!L470="","",Associates_Call_List_PQ!L470)</f>
        <v>Yes</v>
      </c>
      <c r="M470" s="57" t="str">
        <f>IF(Associates_Call_List_PQ!M470="","",Associates_Call_List_PQ!M470)</f>
        <v>No</v>
      </c>
      <c r="N470" s="57" t="str">
        <f>IF(Associates_Call_List_PQ!N470="","",Associates_Call_List_PQ!N470)</f>
        <v>No</v>
      </c>
      <c r="O470" s="57" t="str">
        <f>IF(Associates_Call_List_PQ!O470="","",Associates_Call_List_PQ!O470)</f>
        <v>Yes</v>
      </c>
      <c r="P470" s="57" t="str">
        <f>IF(Associates_Call_List_PQ!P470="","",Associates_Call_List_PQ!P470)</f>
        <v>N</v>
      </c>
      <c r="Q470" s="57">
        <f>IF(Associates_Call_List_PQ!Q470="","",Associates_Call_List_PQ!Q470)</f>
        <v>45966</v>
      </c>
      <c r="R470" s="57" t="str">
        <f>IF(Associates_Call_List_PQ!R470="","",Associates_Call_List_PQ!R470)</f>
        <v/>
      </c>
      <c r="S470" s="57" t="str">
        <f>IF(Associates_Call_List_PQ!S470="","",Associates_Call_List_PQ!S470)</f>
        <v/>
      </c>
      <c r="T470" s="57" t="str">
        <f>IF(Associates_Call_List_PQ!T470="","",Associates_Call_List_PQ!T470)</f>
        <v/>
      </c>
      <c r="U470" s="57" t="str">
        <f>IF(Associates_Call_List_PQ!U470="","",Associates_Call_List_PQ!U470)</f>
        <v/>
      </c>
      <c r="V470" s="68"/>
      <c r="W470" s="68" t="s">
        <v>5432</v>
      </c>
      <c r="X470" s="68"/>
      <c r="Y470" s="68"/>
      <c r="Z470" s="72"/>
    </row>
    <row r="471" spans="1:26">
      <c r="A471" s="71">
        <f>IFERROR(Associates_Call_List_PQ!A471,"")</f>
        <v>45905</v>
      </c>
      <c r="B471" s="57" t="str">
        <f>IF(Associates_Call_List_PQ!B471="","",Associates_Call_List_PQ!B471)</f>
        <v>Devarapu</v>
      </c>
      <c r="C471" s="57" t="str">
        <f>IF(Associates_Call_List_PQ!C471="","",Associates_Call_List_PQ!C471)</f>
        <v>Kondal</v>
      </c>
      <c r="D471" s="57" t="str">
        <f>IF(Associates_Call_List_PQ!D471="","",Associates_Call_List_PQ!D471)</f>
        <v>Phoenix</v>
      </c>
      <c r="E471" s="58">
        <f>IF(Associates_Call_List_PQ!E471="","",Associates_Call_List_PQ!E471)</f>
        <v>85083</v>
      </c>
      <c r="F471" s="57" t="str">
        <f>IF(Associates_Call_List_PQ!F471="","",Associates_Call_List_PQ!F471)</f>
        <v>Form letter</v>
      </c>
      <c r="G471" s="57" t="str">
        <f>IF(Associates_Call_List_PQ!G471="","",Associates_Call_List_PQ!G471)</f>
        <v>https://images.edocket.azcc.gov/docketpdf/E000046230.pdf</v>
      </c>
      <c r="H471" s="59" t="str">
        <f>IF(Associates_Call_List_PQ!H471="","",Associates_Call_List_PQ!H471)</f>
        <v xml:space="preserve">1560882175 </v>
      </c>
      <c r="I471" s="57" t="str">
        <f>IF(Associates_Call_List_PQ!I471="","",Associates_Call_List_PQ!I471)</f>
        <v>RCPw/RTOUE47</v>
      </c>
      <c r="J471" s="57" t="str">
        <f>IF(Associates_Call_List_PQ!J471="","",Associates_Call_List_PQ!J471)</f>
        <v>No</v>
      </c>
      <c r="K471" s="57" t="str">
        <f>IF(Associates_Call_List_PQ!K471="","",Associates_Call_List_PQ!K471)</f>
        <v>No</v>
      </c>
      <c r="L471" s="57" t="str">
        <f>IF(Associates_Call_List_PQ!L471="","",Associates_Call_List_PQ!L471)</f>
        <v>Yes</v>
      </c>
      <c r="M471" s="57" t="str">
        <f>IF(Associates_Call_List_PQ!M471="","",Associates_Call_List_PQ!M471)</f>
        <v>No</v>
      </c>
      <c r="N471" s="57" t="str">
        <f>IF(Associates_Call_List_PQ!N471="","",Associates_Call_List_PQ!N471)</f>
        <v>No</v>
      </c>
      <c r="O471" s="57" t="str">
        <f>IF(Associates_Call_List_PQ!O471="","",Associates_Call_List_PQ!O471)</f>
        <v>Yes</v>
      </c>
      <c r="P471" s="57" t="str">
        <f>IF(Associates_Call_List_PQ!P471="","",Associates_Call_List_PQ!P471)</f>
        <v>N</v>
      </c>
      <c r="Q471" s="57">
        <f>IF(Associates_Call_List_PQ!Q471="","",Associates_Call_List_PQ!Q471)</f>
        <v>45966</v>
      </c>
      <c r="R471" s="57" t="str">
        <f>IF(Associates_Call_List_PQ!R471="","",Associates_Call_List_PQ!R471)</f>
        <v/>
      </c>
      <c r="S471" s="57" t="str">
        <f>IF(Associates_Call_List_PQ!S471="","",Associates_Call_List_PQ!S471)</f>
        <v/>
      </c>
      <c r="T471" s="57" t="str">
        <f>IF(Associates_Call_List_PQ!T471="","",Associates_Call_List_PQ!T471)</f>
        <v/>
      </c>
      <c r="U471" s="57" t="str">
        <f>IF(Associates_Call_List_PQ!U471="","",Associates_Call_List_PQ!U471)</f>
        <v/>
      </c>
      <c r="V471" s="68"/>
      <c r="W471" s="68" t="s">
        <v>5432</v>
      </c>
      <c r="X471" s="68"/>
      <c r="Y471" s="68"/>
      <c r="Z471" s="72"/>
    </row>
    <row r="472" spans="1:26">
      <c r="A472" s="71">
        <f>IFERROR(Associates_Call_List_PQ!A472,"")</f>
        <v>45905</v>
      </c>
      <c r="B472" s="57" t="str">
        <f>IF(Associates_Call_List_PQ!B472="","",Associates_Call_List_PQ!B472)</f>
        <v>Kennedy</v>
      </c>
      <c r="C472" s="57" t="str">
        <f>IF(Associates_Call_List_PQ!C472="","",Associates_Call_List_PQ!C472)</f>
        <v>Robert</v>
      </c>
      <c r="D472" s="57" t="str">
        <f>IF(Associates_Call_List_PQ!D472="","",Associates_Call_List_PQ!D472)</f>
        <v>Phoenix</v>
      </c>
      <c r="E472" s="58">
        <f>IF(Associates_Call_List_PQ!E472="","",Associates_Call_List_PQ!E472)</f>
        <v>85083</v>
      </c>
      <c r="F472" s="57" t="str">
        <f>IF(Associates_Call_List_PQ!F472="","",Associates_Call_List_PQ!F472)</f>
        <v>Opposed</v>
      </c>
      <c r="G472" s="57" t="str">
        <f>IF(Associates_Call_List_PQ!G472="","",Associates_Call_List_PQ!G472)</f>
        <v>https://images.edocket.azcc.gov/docketpdf/E000046230.pdf</v>
      </c>
      <c r="H472" s="59" t="str">
        <f>IF(Associates_Call_List_PQ!H472="","",Associates_Call_List_PQ!H472)</f>
        <v xml:space="preserve">0189241000 </v>
      </c>
      <c r="I472" s="57" t="str">
        <f>IF(Associates_Call_List_PQ!I472="","",Associates_Call_List_PQ!I472)</f>
        <v>R3-47</v>
      </c>
      <c r="J472" s="57" t="str">
        <f>IF(Associates_Call_List_PQ!J472="","",Associates_Call_List_PQ!J472)</f>
        <v>No</v>
      </c>
      <c r="K472" s="57" t="str">
        <f>IF(Associates_Call_List_PQ!K472="","",Associates_Call_List_PQ!K472)</f>
        <v>No</v>
      </c>
      <c r="L472" s="57" t="str">
        <f>IF(Associates_Call_List_PQ!L472="","",Associates_Call_List_PQ!L472)</f>
        <v>No MEP R-XS ($287.81)</v>
      </c>
      <c r="M472" s="57" t="str">
        <f>IF(Associates_Call_List_PQ!M472="","",Associates_Call_List_PQ!M472)</f>
        <v>No</v>
      </c>
      <c r="N472" s="57" t="str">
        <f>IF(Associates_Call_List_PQ!N472="","",Associates_Call_List_PQ!N472)</f>
        <v>No</v>
      </c>
      <c r="O472" s="57" t="str">
        <f>IF(Associates_Call_List_PQ!O472="","",Associates_Call_List_PQ!O472)</f>
        <v>Yes</v>
      </c>
      <c r="P472" s="57" t="str">
        <f>IF(Associates_Call_List_PQ!P472="","",Associates_Call_List_PQ!P472)</f>
        <v>N</v>
      </c>
      <c r="Q472" s="57">
        <f>IF(Associates_Call_List_PQ!Q472="","",Associates_Call_List_PQ!Q472)</f>
        <v>45966</v>
      </c>
      <c r="R472" s="57" t="str">
        <f>IF(Associates_Call_List_PQ!R472="","",Associates_Call_List_PQ!R472)</f>
        <v>COR initiated rate change on 11/2</v>
      </c>
      <c r="S472" s="57" t="str">
        <f>IF(Associates_Call_List_PQ!S472="","",Associates_Call_List_PQ!S472)</f>
        <v/>
      </c>
      <c r="T472" s="57" t="str">
        <f>IF(Associates_Call_List_PQ!T472="","",Associates_Call_List_PQ!T472)</f>
        <v/>
      </c>
      <c r="U472" s="57" t="str">
        <f>IF(Associates_Call_List_PQ!U472="","",Associates_Call_List_PQ!U472)</f>
        <v/>
      </c>
      <c r="V472" s="68" t="s">
        <v>5433</v>
      </c>
      <c r="W472" s="68">
        <v>46053</v>
      </c>
      <c r="X472" s="68" t="s">
        <v>5434</v>
      </c>
      <c r="Y472" s="68"/>
      <c r="Z472" s="72" t="s">
        <v>5599</v>
      </c>
    </row>
    <row r="473" spans="1:26">
      <c r="A473" s="71">
        <f>IFERROR(Associates_Call_List_PQ!A473,"")</f>
        <v>45905</v>
      </c>
      <c r="B473" s="57" t="str">
        <f>IF(Associates_Call_List_PQ!B473="","",Associates_Call_List_PQ!B473)</f>
        <v>Spicola</v>
      </c>
      <c r="C473" s="57" t="str">
        <f>IF(Associates_Call_List_PQ!C473="","",Associates_Call_List_PQ!C473)</f>
        <v>Jason</v>
      </c>
      <c r="D473" s="57" t="str">
        <f>IF(Associates_Call_List_PQ!D473="","",Associates_Call_List_PQ!D473)</f>
        <v>Phoenix</v>
      </c>
      <c r="E473" s="58">
        <f>IF(Associates_Call_List_PQ!E473="","",Associates_Call_List_PQ!E473)</f>
        <v>85028</v>
      </c>
      <c r="F473" s="57" t="str">
        <f>IF(Associates_Call_List_PQ!F473="","",Associates_Call_List_PQ!F473)</f>
        <v>Opposed, will worsen financial stress</v>
      </c>
      <c r="G473" s="57" t="str">
        <f>IF(Associates_Call_List_PQ!G473="","",Associates_Call_List_PQ!G473)</f>
        <v>https://images.edocket.azcc.gov/docketpdf/E000046230.pdf</v>
      </c>
      <c r="H473" s="59" t="str">
        <f>IF(Associates_Call_List_PQ!H473="","",Associates_Call_List_PQ!H473)</f>
        <v xml:space="preserve">2815878027 </v>
      </c>
      <c r="I473" s="57" t="str">
        <f>IF(Associates_Call_List_PQ!I473="","",Associates_Call_List_PQ!I473)</f>
        <v>R-BASIC</v>
      </c>
      <c r="J473" s="57" t="str">
        <f>IF(Associates_Call_List_PQ!J473="","",Associates_Call_List_PQ!J473)</f>
        <v>No</v>
      </c>
      <c r="K473" s="57" t="str">
        <f>IF(Associates_Call_List_PQ!K473="","",Associates_Call_List_PQ!K473)</f>
        <v>No</v>
      </c>
      <c r="L473" s="57" t="str">
        <f>IF(Associates_Call_List_PQ!L473="","",Associates_Call_List_PQ!L473)</f>
        <v>Yes</v>
      </c>
      <c r="M473" s="57" t="str">
        <f>IF(Associates_Call_List_PQ!M473="","",Associates_Call_List_PQ!M473)</f>
        <v>No</v>
      </c>
      <c r="N473" s="57" t="str">
        <f>IF(Associates_Call_List_PQ!N473="","",Associates_Call_List_PQ!N473)</f>
        <v>No</v>
      </c>
      <c r="O473" s="57" t="str">
        <f>IF(Associates_Call_List_PQ!O473="","",Associates_Call_List_PQ!O473)</f>
        <v>Yes</v>
      </c>
      <c r="P473" s="57" t="str">
        <f>IF(Associates_Call_List_PQ!P473="","",Associates_Call_List_PQ!P473)</f>
        <v>N</v>
      </c>
      <c r="Q473" s="57">
        <f>IF(Associates_Call_List_PQ!Q473="","",Associates_Call_List_PQ!Q473)</f>
        <v>45966</v>
      </c>
      <c r="R473" s="57" t="str">
        <f>IF(Associates_Call_List_PQ!R473="","",Associates_Call_List_PQ!R473)</f>
        <v/>
      </c>
      <c r="S473" s="57" t="str">
        <f>IF(Associates_Call_List_PQ!S473="","",Associates_Call_List_PQ!S473)</f>
        <v/>
      </c>
      <c r="T473" s="57" t="str">
        <f>IF(Associates_Call_List_PQ!T473="","",Associates_Call_List_PQ!T473)</f>
        <v/>
      </c>
      <c r="U473" s="57" t="str">
        <f>IF(Associates_Call_List_PQ!U473="","",Associates_Call_List_PQ!U473)</f>
        <v/>
      </c>
      <c r="V473" s="68"/>
      <c r="W473" s="68" t="s">
        <v>5432</v>
      </c>
      <c r="X473" s="68"/>
      <c r="Y473" s="68"/>
      <c r="Z473" s="72"/>
    </row>
    <row r="474" spans="1:26">
      <c r="A474" s="71">
        <f>IFERROR(Associates_Call_List_PQ!A474,"")</f>
        <v>45905</v>
      </c>
      <c r="B474" s="57" t="str">
        <f>IF(Associates_Call_List_PQ!B474="","",Associates_Call_List_PQ!B474)</f>
        <v>Healey</v>
      </c>
      <c r="C474" s="57" t="str">
        <f>IF(Associates_Call_List_PQ!C474="","",Associates_Call_List_PQ!C474)</f>
        <v>Tyler</v>
      </c>
      <c r="D474" s="57" t="str">
        <f>IF(Associates_Call_List_PQ!D474="","",Associates_Call_List_PQ!D474)</f>
        <v>Phoenix</v>
      </c>
      <c r="E474" s="58">
        <f>IF(Associates_Call_List_PQ!E474="","",Associates_Call_List_PQ!E474)</f>
        <v>85022</v>
      </c>
      <c r="F474" s="57" t="str">
        <f>IF(Associates_Call_List_PQ!F474="","",Associates_Call_List_PQ!F474)</f>
        <v>Enough with the rate hikes</v>
      </c>
      <c r="G474" s="57" t="str">
        <f>IF(Associates_Call_List_PQ!G474="","",Associates_Call_List_PQ!G474)</f>
        <v>https://images.edocket.azcc.gov/docketpdf/E000046230.pdf</v>
      </c>
      <c r="H474" s="59" t="str">
        <f>IF(Associates_Call_List_PQ!H474="","",Associates_Call_List_PQ!H474)</f>
        <v>5976850000</v>
      </c>
      <c r="I474" s="57" t="str">
        <f>IF(Associates_Call_List_PQ!I474="","",Associates_Call_List_PQ!I474)</f>
        <v>RTOUE47</v>
      </c>
      <c r="J474" s="57" t="str">
        <f>IF(Associates_Call_List_PQ!J474="","",Associates_Call_List_PQ!J474)</f>
        <v>No</v>
      </c>
      <c r="K474" s="57" t="str">
        <f>IF(Associates_Call_List_PQ!K474="","",Associates_Call_List_PQ!K474)</f>
        <v>No</v>
      </c>
      <c r="L474" s="57" t="str">
        <f>IF(Associates_Call_List_PQ!L474="","",Associates_Call_List_PQ!L474)</f>
        <v>No MEP R3-47($271.50)</v>
      </c>
      <c r="M474" s="57" t="str">
        <f>IF(Associates_Call_List_PQ!M474="","",Associates_Call_List_PQ!M474)</f>
        <v>No</v>
      </c>
      <c r="N474" s="57" t="str">
        <f>IF(Associates_Call_List_PQ!N474="","",Associates_Call_List_PQ!N474)</f>
        <v>No</v>
      </c>
      <c r="O474" s="57" t="str">
        <f>IF(Associates_Call_List_PQ!O474="","",Associates_Call_List_PQ!O474)</f>
        <v>Yes</v>
      </c>
      <c r="P474" s="57">
        <f>IF(Associates_Call_List_PQ!P474="","",Associates_Call_List_PQ!P474)</f>
        <v>45936</v>
      </c>
      <c r="Q474" s="57">
        <f>IF(Associates_Call_List_PQ!Q474="","",Associates_Call_List_PQ!Q474)</f>
        <v>45966</v>
      </c>
      <c r="R474" s="57" t="str">
        <f>IF(Associates_Call_List_PQ!R474="","",Associates_Call_List_PQ!R474)</f>
        <v>COR will check aps.com comp tool and potentially change plans there</v>
      </c>
      <c r="S474" s="57" t="str">
        <f>IF(Associates_Call_List_PQ!S474="","",Associates_Call_List_PQ!S474)</f>
        <v/>
      </c>
      <c r="T474" s="57" t="str">
        <f>IF(Associates_Call_List_PQ!T474="","",Associates_Call_List_PQ!T474)</f>
        <v/>
      </c>
      <c r="U474" s="57" t="str">
        <f>IF(Associates_Call_List_PQ!U474="","",Associates_Call_List_PQ!U474)</f>
        <v/>
      </c>
      <c r="V474" s="68" t="s">
        <v>5433</v>
      </c>
      <c r="W474" s="68">
        <v>46053</v>
      </c>
      <c r="X474" s="68" t="s">
        <v>5405</v>
      </c>
      <c r="Y474" s="68" t="s">
        <v>5447</v>
      </c>
      <c r="Z474" s="72" t="s">
        <v>5612</v>
      </c>
    </row>
    <row r="475" spans="1:26">
      <c r="A475" s="71">
        <f>IFERROR(Associates_Call_List_PQ!A475,"")</f>
        <v>45905</v>
      </c>
      <c r="B475" s="57" t="str">
        <f>IF(Associates_Call_List_PQ!B475="","",Associates_Call_List_PQ!B475)</f>
        <v>Maheshwari</v>
      </c>
      <c r="C475" s="57" t="str">
        <f>IF(Associates_Call_List_PQ!C475="","",Associates_Call_List_PQ!C475)</f>
        <v>Vishal</v>
      </c>
      <c r="D475" s="57" t="str">
        <f>IF(Associates_Call_List_PQ!D475="","",Associates_Call_List_PQ!D475)</f>
        <v>Peoria</v>
      </c>
      <c r="E475" s="58">
        <f>IF(Associates_Call_List_PQ!E475="","",Associates_Call_List_PQ!E475)</f>
        <v>85383</v>
      </c>
      <c r="F475" s="57" t="str">
        <f>IF(Associates_Call_List_PQ!F475="","",Associates_Call_List_PQ!F475)</f>
        <v>Form letter</v>
      </c>
      <c r="G475" s="57" t="str">
        <f>IF(Associates_Call_List_PQ!G475="","",Associates_Call_List_PQ!G475)</f>
        <v>https://images.edocket.azcc.gov/docketpdf/E000046230.pdf</v>
      </c>
      <c r="H475" s="59" t="str">
        <f>IF(Associates_Call_List_PQ!H475="","",Associates_Call_List_PQ!H475)</f>
        <v xml:space="preserve">0208180000 </v>
      </c>
      <c r="I475" s="57" t="str">
        <f>IF(Associates_Call_List_PQ!I475="","",Associates_Call_List_PQ!I475)</f>
        <v>EPR-6w/ET-2</v>
      </c>
      <c r="J475" s="57" t="str">
        <f>IF(Associates_Call_List_PQ!J475="","",Associates_Call_List_PQ!J475)</f>
        <v>No</v>
      </c>
      <c r="K475" s="57" t="str">
        <f>IF(Associates_Call_List_PQ!K475="","",Associates_Call_List_PQ!K475)</f>
        <v>No</v>
      </c>
      <c r="L475" s="57" t="str">
        <f>IF(Associates_Call_List_PQ!L475="","",Associates_Call_List_PQ!L475)</f>
        <v>Frozen Rate</v>
      </c>
      <c r="M475" s="57" t="str">
        <f>IF(Associates_Call_List_PQ!M475="","",Associates_Call_List_PQ!M475)</f>
        <v>No</v>
      </c>
      <c r="N475" s="57" t="str">
        <f>IF(Associates_Call_List_PQ!N475="","",Associates_Call_List_PQ!N475)</f>
        <v>No</v>
      </c>
      <c r="O475" s="57" t="str">
        <f>IF(Associates_Call_List_PQ!O475="","",Associates_Call_List_PQ!O475)</f>
        <v>Yes</v>
      </c>
      <c r="P475" s="57" t="str">
        <f>IF(Associates_Call_List_PQ!P475="","",Associates_Call_List_PQ!P475)</f>
        <v>N</v>
      </c>
      <c r="Q475" s="57">
        <f>IF(Associates_Call_List_PQ!Q475="","",Associates_Call_List_PQ!Q475)</f>
        <v>45966</v>
      </c>
      <c r="R475" s="57" t="str">
        <f>IF(Associates_Call_List_PQ!R475="","",Associates_Call_List_PQ!R475)</f>
        <v/>
      </c>
      <c r="S475" s="57" t="str">
        <f>IF(Associates_Call_List_PQ!S475="","",Associates_Call_List_PQ!S475)</f>
        <v/>
      </c>
      <c r="T475" s="57" t="str">
        <f>IF(Associates_Call_List_PQ!T475="","",Associates_Call_List_PQ!T475)</f>
        <v/>
      </c>
      <c r="U475" s="57" t="str">
        <f>IF(Associates_Call_List_PQ!U475="","",Associates_Call_List_PQ!U475)</f>
        <v/>
      </c>
      <c r="V475" s="68"/>
      <c r="W475" s="68" t="s">
        <v>5432</v>
      </c>
      <c r="X475" s="68"/>
      <c r="Y475" s="68"/>
      <c r="Z475" s="72"/>
    </row>
    <row r="476" spans="1:26">
      <c r="A476" s="71">
        <f>IFERROR(Associates_Call_List_PQ!A476,"")</f>
        <v>45905</v>
      </c>
      <c r="B476" s="57" t="str">
        <f>IF(Associates_Call_List_PQ!B476="","",Associates_Call_List_PQ!B476)</f>
        <v>Abitz</v>
      </c>
      <c r="C476" s="57" t="str">
        <f>IF(Associates_Call_List_PQ!C476="","",Associates_Call_List_PQ!C476)</f>
        <v>Zachary</v>
      </c>
      <c r="D476" s="57" t="str">
        <f>IF(Associates_Call_List_PQ!D476="","",Associates_Call_List_PQ!D476)</f>
        <v>Surprise</v>
      </c>
      <c r="E476" s="58">
        <f>IF(Associates_Call_List_PQ!E476="","",Associates_Call_List_PQ!E476)</f>
        <v>85388</v>
      </c>
      <c r="F476" s="57" t="str">
        <f>IF(Associates_Call_List_PQ!F476="","",Associates_Call_List_PQ!F476)</f>
        <v>Enough is enough</v>
      </c>
      <c r="G476" s="57" t="str">
        <f>IF(Associates_Call_List_PQ!G476="","",Associates_Call_List_PQ!G476)</f>
        <v>https://images.edocket.azcc.gov/docketpdf/E000046230.pdf</v>
      </c>
      <c r="H476" s="59" t="str">
        <f>IF(Associates_Call_List_PQ!H476="","",Associates_Call_List_PQ!H476)</f>
        <v xml:space="preserve">9504901000 </v>
      </c>
      <c r="I476" s="57" t="str">
        <f>IF(Associates_Call_List_PQ!I476="","",Associates_Call_List_PQ!I476)</f>
        <v>RTOUE47</v>
      </c>
      <c r="J476" s="57" t="str">
        <f>IF(Associates_Call_List_PQ!J476="","",Associates_Call_List_PQ!J476)</f>
        <v>No</v>
      </c>
      <c r="K476" s="57" t="str">
        <f>IF(Associates_Call_List_PQ!K476="","",Associates_Call_List_PQ!K476)</f>
        <v>No</v>
      </c>
      <c r="L476" s="57" t="str">
        <f>IF(Associates_Call_List_PQ!L476="","",Associates_Call_List_PQ!L476)</f>
        <v>No MEP R3-47($426.81)</v>
      </c>
      <c r="M476" s="57" t="str">
        <f>IF(Associates_Call_List_PQ!M476="","",Associates_Call_List_PQ!M476)</f>
        <v>No</v>
      </c>
      <c r="N476" s="57" t="str">
        <f>IF(Associates_Call_List_PQ!N476="","",Associates_Call_List_PQ!N476)</f>
        <v>No</v>
      </c>
      <c r="O476" s="57" t="str">
        <f>IF(Associates_Call_List_PQ!O476="","",Associates_Call_List_PQ!O476)</f>
        <v>Yes</v>
      </c>
      <c r="P476" s="57">
        <f>IF(Associates_Call_List_PQ!P476="","",Associates_Call_List_PQ!P476)</f>
        <v>45936</v>
      </c>
      <c r="Q476" s="57">
        <f>IF(Associates_Call_List_PQ!Q476="","",Associates_Call_List_PQ!Q476)</f>
        <v>45966</v>
      </c>
      <c r="R476" s="57" t="str">
        <f>IF(Associates_Call_List_PQ!R476="","",Associates_Call_List_PQ!R476)</f>
        <v>10/6/2025 left vm</v>
      </c>
      <c r="S476" s="57" t="str">
        <f>IF(Associates_Call_List_PQ!S476="","",Associates_Call_List_PQ!S476)</f>
        <v/>
      </c>
      <c r="T476" s="57" t="str">
        <f>IF(Associates_Call_List_PQ!T476="","",Associates_Call_List_PQ!T476)</f>
        <v/>
      </c>
      <c r="U476" s="57" t="str">
        <f>IF(Associates_Call_List_PQ!U476="","",Associates_Call_List_PQ!U476)</f>
        <v/>
      </c>
      <c r="V476" s="68" t="s">
        <v>5433</v>
      </c>
      <c r="W476" s="68">
        <v>46053</v>
      </c>
      <c r="X476" s="68" t="s">
        <v>5434</v>
      </c>
      <c r="Y476" s="68"/>
      <c r="Z476" s="72" t="s">
        <v>5599</v>
      </c>
    </row>
    <row r="477" spans="1:26">
      <c r="A477" s="71">
        <f>IFERROR(Associates_Call_List_PQ!A477,"")</f>
        <v>45905</v>
      </c>
      <c r="B477" s="57" t="str">
        <f>IF(Associates_Call_List_PQ!B477="","",Associates_Call_List_PQ!B477)</f>
        <v>Chaffin</v>
      </c>
      <c r="C477" s="57" t="str">
        <f>IF(Associates_Call_List_PQ!C477="","",Associates_Call_List_PQ!C477)</f>
        <v>Dustin</v>
      </c>
      <c r="D477" s="57" t="str">
        <f>IF(Associates_Call_List_PQ!D477="","",Associates_Call_List_PQ!D477)</f>
        <v>Phoenix</v>
      </c>
      <c r="E477" s="58">
        <f>IF(Associates_Call_List_PQ!E477="","",Associates_Call_List_PQ!E477)</f>
        <v>85021</v>
      </c>
      <c r="F477" s="57" t="str">
        <f>IF(Associates_Call_List_PQ!F477="","",Associates_Call_List_PQ!F477)</f>
        <v>Not a good economic decision</v>
      </c>
      <c r="G477" s="57" t="str">
        <f>IF(Associates_Call_List_PQ!G477="","",Associates_Call_List_PQ!G477)</f>
        <v>https://images.edocket.azcc.gov/docketpdf/E000046230.pdf</v>
      </c>
      <c r="H477" s="59" t="str">
        <f>IF(Associates_Call_List_PQ!H477="","",Associates_Call_List_PQ!H477)</f>
        <v xml:space="preserve">8950883553 </v>
      </c>
      <c r="I477" s="57" t="str">
        <f>IF(Associates_Call_List_PQ!I477="","",Associates_Call_List_PQ!I477)</f>
        <v>RCPw/RTOUE47</v>
      </c>
      <c r="J477" s="57" t="str">
        <f>IF(Associates_Call_List_PQ!J477="","",Associates_Call_List_PQ!J477)</f>
        <v>No</v>
      </c>
      <c r="K477" s="57" t="str">
        <f>IF(Associates_Call_List_PQ!K477="","",Associates_Call_List_PQ!K477)</f>
        <v>No</v>
      </c>
      <c r="L477" s="57" t="str">
        <f>IF(Associates_Call_List_PQ!L477="","",Associates_Call_List_PQ!L477)</f>
        <v>Yes</v>
      </c>
      <c r="M477" s="57" t="str">
        <f>IF(Associates_Call_List_PQ!M477="","",Associates_Call_List_PQ!M477)</f>
        <v>No</v>
      </c>
      <c r="N477" s="57" t="str">
        <f>IF(Associates_Call_List_PQ!N477="","",Associates_Call_List_PQ!N477)</f>
        <v>No</v>
      </c>
      <c r="O477" s="57" t="str">
        <f>IF(Associates_Call_List_PQ!O477="","",Associates_Call_List_PQ!O477)</f>
        <v>Yes</v>
      </c>
      <c r="P477" s="57" t="str">
        <f>IF(Associates_Call_List_PQ!P477="","",Associates_Call_List_PQ!P477)</f>
        <v>N</v>
      </c>
      <c r="Q477" s="57">
        <f>IF(Associates_Call_List_PQ!Q477="","",Associates_Call_List_PQ!Q477)</f>
        <v>45966</v>
      </c>
      <c r="R477" s="57" t="str">
        <f>IF(Associates_Call_List_PQ!R477="","",Associates_Call_List_PQ!R477)</f>
        <v/>
      </c>
      <c r="S477" s="57" t="str">
        <f>IF(Associates_Call_List_PQ!S477="","",Associates_Call_List_PQ!S477)</f>
        <v/>
      </c>
      <c r="T477" s="57" t="str">
        <f>IF(Associates_Call_List_PQ!T477="","",Associates_Call_List_PQ!T477)</f>
        <v/>
      </c>
      <c r="U477" s="57" t="str">
        <f>IF(Associates_Call_List_PQ!U477="","",Associates_Call_List_PQ!U477)</f>
        <v/>
      </c>
      <c r="V477" s="68"/>
      <c r="W477" s="68" t="s">
        <v>5432</v>
      </c>
      <c r="X477" s="68"/>
      <c r="Y477" s="68"/>
      <c r="Z477" s="72"/>
    </row>
    <row r="478" spans="1:26">
      <c r="A478" s="71">
        <f>IFERROR(Associates_Call_List_PQ!A478,"")</f>
        <v>45905</v>
      </c>
      <c r="B478" s="57" t="str">
        <f>IF(Associates_Call_List_PQ!B478="","",Associates_Call_List_PQ!B478)</f>
        <v>Henderson</v>
      </c>
      <c r="C478" s="57" t="str">
        <f>IF(Associates_Call_List_PQ!C478="","",Associates_Call_List_PQ!C478)</f>
        <v>David</v>
      </c>
      <c r="D478" s="57" t="str">
        <f>IF(Associates_Call_List_PQ!D478="","",Associates_Call_List_PQ!D478)</f>
        <v>Scottsdale</v>
      </c>
      <c r="E478" s="58">
        <f>IF(Associates_Call_List_PQ!E478="","",Associates_Call_List_PQ!E478)</f>
        <v>85255</v>
      </c>
      <c r="F478" s="57" t="str">
        <f>IF(Associates_Call_List_PQ!F478="","",Associates_Call_List_PQ!F478)</f>
        <v>Form letter</v>
      </c>
      <c r="G478" s="57" t="str">
        <f>IF(Associates_Call_List_PQ!G478="","",Associates_Call_List_PQ!G478)</f>
        <v>https://images.edocket.azcc.gov/docketpdf/E000046230.pdf</v>
      </c>
      <c r="H478" s="59" t="str">
        <f>IF(Associates_Call_List_PQ!H478="","",Associates_Call_List_PQ!H478)</f>
        <v xml:space="preserve">9467156300 </v>
      </c>
      <c r="I478" s="57" t="str">
        <f>IF(Associates_Call_List_PQ!I478="","",Associates_Call_List_PQ!I478)</f>
        <v>RTOUE47</v>
      </c>
      <c r="J478" s="57" t="str">
        <f>IF(Associates_Call_List_PQ!J478="","",Associates_Call_List_PQ!J478)</f>
        <v>No</v>
      </c>
      <c r="K478" s="57" t="str">
        <f>IF(Associates_Call_List_PQ!K478="","",Associates_Call_List_PQ!K478)</f>
        <v>No</v>
      </c>
      <c r="L478" s="57" t="str">
        <f>IF(Associates_Call_List_PQ!L478="","",Associates_Call_List_PQ!L478)</f>
        <v>No MEP R-BASIC($140.27)</v>
      </c>
      <c r="M478" s="57" t="str">
        <f>IF(Associates_Call_List_PQ!M478="","",Associates_Call_List_PQ!M478)</f>
        <v>No</v>
      </c>
      <c r="N478" s="57" t="str">
        <f>IF(Associates_Call_List_PQ!N478="","",Associates_Call_List_PQ!N478)</f>
        <v>No</v>
      </c>
      <c r="O478" s="57" t="str">
        <f>IF(Associates_Call_List_PQ!O478="","",Associates_Call_List_PQ!O478)</f>
        <v>Yes</v>
      </c>
      <c r="P478" s="57">
        <f>IF(Associates_Call_List_PQ!P478="","",Associates_Call_List_PQ!P478)</f>
        <v>45936</v>
      </c>
      <c r="Q478" s="57">
        <f>IF(Associates_Call_List_PQ!Q478="","",Associates_Call_List_PQ!Q478)</f>
        <v>45966</v>
      </c>
      <c r="R478" s="57" t="str">
        <f>IF(Associates_Call_List_PQ!R478="","",Associates_Call_List_PQ!R478)</f>
        <v xml:space="preserve">Cor will review w/aps comp tool online and decided </v>
      </c>
      <c r="S478" s="57" t="str">
        <f>IF(Associates_Call_List_PQ!S478="","",Associates_Call_List_PQ!S478)</f>
        <v/>
      </c>
      <c r="T478" s="57" t="str">
        <f>IF(Associates_Call_List_PQ!T478="","",Associates_Call_List_PQ!T478)</f>
        <v/>
      </c>
      <c r="U478" s="57" t="str">
        <f>IF(Associates_Call_List_PQ!U478="","",Associates_Call_List_PQ!U478)</f>
        <v/>
      </c>
      <c r="V478" s="68" t="s">
        <v>5433</v>
      </c>
      <c r="W478" s="68">
        <v>46046</v>
      </c>
      <c r="X478" s="68" t="s">
        <v>5405</v>
      </c>
      <c r="Y478" s="68"/>
      <c r="Z478" s="72" t="s">
        <v>5613</v>
      </c>
    </row>
    <row r="479" spans="1:26">
      <c r="A479" s="71">
        <f>IFERROR(Associates_Call_List_PQ!A479,"")</f>
        <v>45905</v>
      </c>
      <c r="B479" s="57" t="str">
        <f>IF(Associates_Call_List_PQ!B479="","",Associates_Call_List_PQ!B479)</f>
        <v>Feldman</v>
      </c>
      <c r="C479" s="57" t="str">
        <f>IF(Associates_Call_List_PQ!C479="","",Associates_Call_List_PQ!C479)</f>
        <v>Zack</v>
      </c>
      <c r="D479" s="57" t="str">
        <f>IF(Associates_Call_List_PQ!D479="","",Associates_Call_List_PQ!D479)</f>
        <v>Phoenix</v>
      </c>
      <c r="E479" s="58">
        <f>IF(Associates_Call_List_PQ!E479="","",Associates_Call_List_PQ!E479)</f>
        <v>85016</v>
      </c>
      <c r="F479" s="57" t="str">
        <f>IF(Associates_Call_List_PQ!F479="","",Associates_Call_List_PQ!F479)</f>
        <v>Opposed, abusing their power</v>
      </c>
      <c r="G479" s="57" t="str">
        <f>IF(Associates_Call_List_PQ!G479="","",Associates_Call_List_PQ!G479)</f>
        <v>https://images.edocket.azcc.gov/docketpdf/E000046230.pdf</v>
      </c>
      <c r="H479" s="59" t="str">
        <f>IF(Associates_Call_List_PQ!H479="","",Associates_Call_List_PQ!H479)</f>
        <v xml:space="preserve">6677040000 </v>
      </c>
      <c r="I479" s="57" t="str">
        <f>IF(Associates_Call_List_PQ!I479="","",Associates_Call_List_PQ!I479)</f>
        <v>R3-47</v>
      </c>
      <c r="J479" s="57" t="str">
        <f>IF(Associates_Call_List_PQ!J479="","",Associates_Call_List_PQ!J479)</f>
        <v>No</v>
      </c>
      <c r="K479" s="57" t="str">
        <f>IF(Associates_Call_List_PQ!K479="","",Associates_Call_List_PQ!K479)</f>
        <v>No</v>
      </c>
      <c r="L479" s="57" t="str">
        <f>IF(Associates_Call_List_PQ!L479="","",Associates_Call_List_PQ!L479)</f>
        <v>Yes</v>
      </c>
      <c r="M479" s="57" t="str">
        <f>IF(Associates_Call_List_PQ!M479="","",Associates_Call_List_PQ!M479)</f>
        <v>No</v>
      </c>
      <c r="N479" s="57" t="str">
        <f>IF(Associates_Call_List_PQ!N479="","",Associates_Call_List_PQ!N479)</f>
        <v>No</v>
      </c>
      <c r="O479" s="57" t="str">
        <f>IF(Associates_Call_List_PQ!O479="","",Associates_Call_List_PQ!O479)</f>
        <v>Yes</v>
      </c>
      <c r="P479" s="57" t="str">
        <f>IF(Associates_Call_List_PQ!P479="","",Associates_Call_List_PQ!P479)</f>
        <v>N</v>
      </c>
      <c r="Q479" s="57">
        <f>IF(Associates_Call_List_PQ!Q479="","",Associates_Call_List_PQ!Q479)</f>
        <v>45966</v>
      </c>
      <c r="R479" s="57" t="str">
        <f>IF(Associates_Call_List_PQ!R479="","",Associates_Call_List_PQ!R479)</f>
        <v/>
      </c>
      <c r="S479" s="57" t="str">
        <f>IF(Associates_Call_List_PQ!S479="","",Associates_Call_List_PQ!S479)</f>
        <v/>
      </c>
      <c r="T479" s="57" t="str">
        <f>IF(Associates_Call_List_PQ!T479="","",Associates_Call_List_PQ!T479)</f>
        <v/>
      </c>
      <c r="U479" s="57" t="str">
        <f>IF(Associates_Call_List_PQ!U479="","",Associates_Call_List_PQ!U479)</f>
        <v/>
      </c>
      <c r="V479" s="68"/>
      <c r="W479" s="68" t="s">
        <v>5432</v>
      </c>
      <c r="X479" s="68"/>
      <c r="Y479" s="68"/>
      <c r="Z479" s="72"/>
    </row>
    <row r="480" spans="1:26">
      <c r="A480" s="71">
        <f>IFERROR(Associates_Call_List_PQ!A480,"")</f>
        <v>45905</v>
      </c>
      <c r="B480" s="57" t="str">
        <f>IF(Associates_Call_List_PQ!B480="","",Associates_Call_List_PQ!B480)</f>
        <v>Siddavatam</v>
      </c>
      <c r="C480" s="57" t="str">
        <f>IF(Associates_Call_List_PQ!C480="","",Associates_Call_List_PQ!C480)</f>
        <v>Govardhan Reddy</v>
      </c>
      <c r="D480" s="57" t="str">
        <f>IF(Associates_Call_List_PQ!D480="","",Associates_Call_List_PQ!D480)</f>
        <v>Peoria</v>
      </c>
      <c r="E480" s="58">
        <f>IF(Associates_Call_List_PQ!E480="","",Associates_Call_List_PQ!E480)</f>
        <v>85383</v>
      </c>
      <c r="F480" s="57" t="str">
        <f>IF(Associates_Call_List_PQ!F480="","",Associates_Call_List_PQ!F480)</f>
        <v>Opposed</v>
      </c>
      <c r="G480" s="57" t="str">
        <f>IF(Associates_Call_List_PQ!G480="","",Associates_Call_List_PQ!G480)</f>
        <v>https://images.edocket.azcc.gov/docketpdf/E000046230.pdf</v>
      </c>
      <c r="H480" s="59" t="str">
        <f>IF(Associates_Call_List_PQ!H480="","",Associates_Call_List_PQ!H480)</f>
        <v xml:space="preserve">1876163520 </v>
      </c>
      <c r="I480" s="57" t="str">
        <f>IF(Associates_Call_List_PQ!I480="","",Associates_Call_List_PQ!I480)</f>
        <v>RTOUE47</v>
      </c>
      <c r="J480" s="57" t="str">
        <f>IF(Associates_Call_List_PQ!J480="","",Associates_Call_List_PQ!J480)</f>
        <v>No</v>
      </c>
      <c r="K480" s="57" t="str">
        <f>IF(Associates_Call_List_PQ!K480="","",Associates_Call_List_PQ!K480)</f>
        <v>No</v>
      </c>
      <c r="L480" s="57" t="str">
        <f>IF(Associates_Call_List_PQ!L480="","",Associates_Call_List_PQ!L480)</f>
        <v>No MEP R3-47($305.79)</v>
      </c>
      <c r="M480" s="57" t="str">
        <f>IF(Associates_Call_List_PQ!M480="","",Associates_Call_List_PQ!M480)</f>
        <v>No</v>
      </c>
      <c r="N480" s="57" t="str">
        <f>IF(Associates_Call_List_PQ!N480="","",Associates_Call_List_PQ!N480)</f>
        <v>No</v>
      </c>
      <c r="O480" s="57" t="str">
        <f>IF(Associates_Call_List_PQ!O480="","",Associates_Call_List_PQ!O480)</f>
        <v>Yes</v>
      </c>
      <c r="P480" s="57">
        <f>IF(Associates_Call_List_PQ!P480="","",Associates_Call_List_PQ!P480)</f>
        <v>45936</v>
      </c>
      <c r="Q480" s="57">
        <f>IF(Associates_Call_List_PQ!Q480="","",Associates_Call_List_PQ!Q480)</f>
        <v>45966</v>
      </c>
      <c r="R480" s="57" t="str">
        <f>IF(Associates_Call_List_PQ!R480="","",Associates_Call_List_PQ!R480)</f>
        <v>COR will think about it and potentially change plans if he decides to he will cb</v>
      </c>
      <c r="S480" s="57" t="str">
        <f>IF(Associates_Call_List_PQ!S480="","",Associates_Call_List_PQ!S480)</f>
        <v/>
      </c>
      <c r="T480" s="57" t="str">
        <f>IF(Associates_Call_List_PQ!T480="","",Associates_Call_List_PQ!T480)</f>
        <v/>
      </c>
      <c r="U480" s="57" t="str">
        <f>IF(Associates_Call_List_PQ!U480="","",Associates_Call_List_PQ!U480)</f>
        <v/>
      </c>
      <c r="V480" s="68" t="s">
        <v>5433</v>
      </c>
      <c r="W480" s="68">
        <v>46060</v>
      </c>
      <c r="X480" s="68" t="s">
        <v>5405</v>
      </c>
      <c r="Y480" s="68" t="s">
        <v>5455</v>
      </c>
      <c r="Z480" s="72" t="s">
        <v>5614</v>
      </c>
    </row>
    <row r="481" spans="1:26">
      <c r="A481" s="71">
        <f>IFERROR(Associates_Call_List_PQ!A481,"")</f>
        <v>45905</v>
      </c>
      <c r="B481" s="57" t="str">
        <f>IF(Associates_Call_List_PQ!B481="","",Associates_Call_List_PQ!B481)</f>
        <v>Zohn</v>
      </c>
      <c r="C481" s="57" t="str">
        <f>IF(Associates_Call_List_PQ!C481="","",Associates_Call_List_PQ!C481)</f>
        <v>Ethan</v>
      </c>
      <c r="D481" s="57" t="str">
        <f>IF(Associates_Call_List_PQ!D481="","",Associates_Call_List_PQ!D481)</f>
        <v>Phoenix</v>
      </c>
      <c r="E481" s="58">
        <f>IF(Associates_Call_List_PQ!E481="","",Associates_Call_List_PQ!E481)</f>
        <v>85003</v>
      </c>
      <c r="F481" s="57" t="str">
        <f>IF(Associates_Call_List_PQ!F481="","",Associates_Call_List_PQ!F481)</f>
        <v>Not good</v>
      </c>
      <c r="G481" s="57" t="str">
        <f>IF(Associates_Call_List_PQ!G481="","",Associates_Call_List_PQ!G481)</f>
        <v>https://images.edocket.azcc.gov/docketpdf/E000046230.pdf</v>
      </c>
      <c r="H481" s="59" t="str">
        <f>IF(Associates_Call_List_PQ!H481="","",Associates_Call_List_PQ!H481)</f>
        <v xml:space="preserve">0901196121 </v>
      </c>
      <c r="I481" s="57" t="str">
        <f>IF(Associates_Call_List_PQ!I481="","",Associates_Call_List_PQ!I481)</f>
        <v>RTOUE47</v>
      </c>
      <c r="J481" s="57" t="str">
        <f>IF(Associates_Call_List_PQ!J481="","",Associates_Call_List_PQ!J481)</f>
        <v>Yes</v>
      </c>
      <c r="K481" s="57" t="str">
        <f>IF(Associates_Call_List_PQ!K481="","",Associates_Call_List_PQ!K481)</f>
        <v>No</v>
      </c>
      <c r="L481" s="57" t="str">
        <f>IF(Associates_Call_List_PQ!L481="","",Associates_Call_List_PQ!L481)</f>
        <v>No MEP R-XS($38.65)</v>
      </c>
      <c r="M481" s="57" t="str">
        <f>IF(Associates_Call_List_PQ!M481="","",Associates_Call_List_PQ!M481)</f>
        <v>No</v>
      </c>
      <c r="N481" s="57" t="str">
        <f>IF(Associates_Call_List_PQ!N481="","",Associates_Call_List_PQ!N481)</f>
        <v>No</v>
      </c>
      <c r="O481" s="57" t="str">
        <f>IF(Associates_Call_List_PQ!O481="","",Associates_Call_List_PQ!O481)</f>
        <v>Yes</v>
      </c>
      <c r="P481" s="57" t="str">
        <f>IF(Associates_Call_List_PQ!P481="","",Associates_Call_List_PQ!P481)</f>
        <v>N</v>
      </c>
      <c r="Q481" s="57">
        <f>IF(Associates_Call_List_PQ!Q481="","",Associates_Call_List_PQ!Q481)</f>
        <v>45966</v>
      </c>
      <c r="R481" s="57" t="str">
        <f>IF(Associates_Call_List_PQ!R481="","",Associates_Call_List_PQ!R481)</f>
        <v/>
      </c>
      <c r="S481" s="57" t="str">
        <f>IF(Associates_Call_List_PQ!S481="","",Associates_Call_List_PQ!S481)</f>
        <v/>
      </c>
      <c r="T481" s="57" t="str">
        <f>IF(Associates_Call_List_PQ!T481="","",Associates_Call_List_PQ!T481)</f>
        <v/>
      </c>
      <c r="U481" s="57" t="str">
        <f>IF(Associates_Call_List_PQ!U481="","",Associates_Call_List_PQ!U481)</f>
        <v/>
      </c>
      <c r="V481" s="68" t="s">
        <v>5433</v>
      </c>
      <c r="W481" s="68">
        <v>46046</v>
      </c>
      <c r="X481" s="68" t="s">
        <v>5405</v>
      </c>
      <c r="Y481" s="68" t="s">
        <v>5447</v>
      </c>
      <c r="Z481" s="72" t="s">
        <v>5615</v>
      </c>
    </row>
    <row r="482" spans="1:26">
      <c r="A482" s="71">
        <f>IFERROR(Associates_Call_List_PQ!A482,"")</f>
        <v>45905</v>
      </c>
      <c r="B482" s="57" t="str">
        <f>IF(Associates_Call_List_PQ!B482="","",Associates_Call_List_PQ!B482)</f>
        <v>Welsch</v>
      </c>
      <c r="C482" s="57" t="str">
        <f>IF(Associates_Call_List_PQ!C482="","",Associates_Call_List_PQ!C482)</f>
        <v>Scott</v>
      </c>
      <c r="D482" s="57" t="str">
        <f>IF(Associates_Call_List_PQ!D482="","",Associates_Call_List_PQ!D482)</f>
        <v>Peoria</v>
      </c>
      <c r="E482" s="58">
        <f>IF(Associates_Call_List_PQ!E482="","",Associates_Call_List_PQ!E482)</f>
        <v>85383</v>
      </c>
      <c r="F482" s="57" t="str">
        <f>IF(Associates_Call_List_PQ!F482="","",Associates_Call_List_PQ!F482)</f>
        <v>Form letter</v>
      </c>
      <c r="G482" s="57" t="str">
        <f>IF(Associates_Call_List_PQ!G482="","",Associates_Call_List_PQ!G482)</f>
        <v>https://images.edocket.azcc.gov/docketpdf/E000046230.pdf</v>
      </c>
      <c r="H482" s="59" t="str">
        <f>IF(Associates_Call_List_PQ!H482="","",Associates_Call_List_PQ!H482)</f>
        <v>1714040979 </v>
      </c>
      <c r="I482" s="57" t="str">
        <f>IF(Associates_Call_List_PQ!I482="","",Associates_Call_List_PQ!I482)</f>
        <v>RCPw/RTOUE47</v>
      </c>
      <c r="J482" s="57" t="str">
        <f>IF(Associates_Call_List_PQ!J482="","",Associates_Call_List_PQ!J482)</f>
        <v>No</v>
      </c>
      <c r="K482" s="57" t="str">
        <f>IF(Associates_Call_List_PQ!K482="","",Associates_Call_List_PQ!K482)</f>
        <v>No</v>
      </c>
      <c r="L482" s="57" t="str">
        <f>IF(Associates_Call_List_PQ!L482="","",Associates_Call_List_PQ!L482)</f>
        <v>Yes</v>
      </c>
      <c r="M482" s="57" t="str">
        <f>IF(Associates_Call_List_PQ!M482="","",Associates_Call_List_PQ!M482)</f>
        <v>No</v>
      </c>
      <c r="N482" s="57" t="str">
        <f>IF(Associates_Call_List_PQ!N482="","",Associates_Call_List_PQ!N482)</f>
        <v>No</v>
      </c>
      <c r="O482" s="57" t="str">
        <f>IF(Associates_Call_List_PQ!O482="","",Associates_Call_List_PQ!O482)</f>
        <v>Yes</v>
      </c>
      <c r="P482" s="57" t="str">
        <f>IF(Associates_Call_List_PQ!P482="","",Associates_Call_List_PQ!P482)</f>
        <v>N</v>
      </c>
      <c r="Q482" s="57">
        <f>IF(Associates_Call_List_PQ!Q482="","",Associates_Call_List_PQ!Q482)</f>
        <v>45966</v>
      </c>
      <c r="R482" s="57" t="str">
        <f>IF(Associates_Call_List_PQ!R482="","",Associates_Call_List_PQ!R482)</f>
        <v/>
      </c>
      <c r="S482" s="57" t="str">
        <f>IF(Associates_Call_List_PQ!S482="","",Associates_Call_List_PQ!S482)</f>
        <v/>
      </c>
      <c r="T482" s="57" t="str">
        <f>IF(Associates_Call_List_PQ!T482="","",Associates_Call_List_PQ!T482)</f>
        <v/>
      </c>
      <c r="U482" s="57" t="str">
        <f>IF(Associates_Call_List_PQ!U482="","",Associates_Call_List_PQ!U482)</f>
        <v/>
      </c>
      <c r="V482" s="68"/>
      <c r="W482" s="68" t="s">
        <v>5432</v>
      </c>
      <c r="X482" s="68"/>
      <c r="Y482" s="68"/>
      <c r="Z482" s="72"/>
    </row>
    <row r="483" spans="1:26">
      <c r="A483" s="71">
        <f>IFERROR(Associates_Call_List_PQ!A483,"")</f>
        <v>45905</v>
      </c>
      <c r="B483" s="57" t="str">
        <f>IF(Associates_Call_List_PQ!B483="","",Associates_Call_List_PQ!B483)</f>
        <v>Hanshew</v>
      </c>
      <c r="C483" s="57" t="str">
        <f>IF(Associates_Call_List_PQ!C483="","",Associates_Call_List_PQ!C483)</f>
        <v>Eric</v>
      </c>
      <c r="D483" s="57" t="str">
        <f>IF(Associates_Call_List_PQ!D483="","",Associates_Call_List_PQ!D483)</f>
        <v>Scottsdale</v>
      </c>
      <c r="E483" s="58">
        <f>IF(Associates_Call_List_PQ!E483="","",Associates_Call_List_PQ!E483)</f>
        <v>85255</v>
      </c>
      <c r="F483" s="57" t="str">
        <f>IF(Associates_Call_List_PQ!F483="","",Associates_Call_List_PQ!F483)</f>
        <v>Opposed</v>
      </c>
      <c r="G483" s="57" t="str">
        <f>IF(Associates_Call_List_PQ!G483="","",Associates_Call_List_PQ!G483)</f>
        <v>https://images.edocket.azcc.gov/docketpdf/E000046230.pdf</v>
      </c>
      <c r="H483" s="59" t="str">
        <f>IF(Associates_Call_List_PQ!H483="","",Associates_Call_List_PQ!H483)</f>
        <v xml:space="preserve">3106790000 </v>
      </c>
      <c r="I483" s="57" t="str">
        <f>IF(Associates_Call_List_PQ!I483="","",Associates_Call_List_PQ!I483)</f>
        <v>RCPw/R3-47</v>
      </c>
      <c r="J483" s="57" t="str">
        <f>IF(Associates_Call_List_PQ!J483="","",Associates_Call_List_PQ!J483)</f>
        <v>No</v>
      </c>
      <c r="K483" s="57" t="str">
        <f>IF(Associates_Call_List_PQ!K483="","",Associates_Call_List_PQ!K483)</f>
        <v>No</v>
      </c>
      <c r="L483" s="57" t="str">
        <f>IF(Associates_Call_List_PQ!L483="","",Associates_Call_List_PQ!L483)</f>
        <v>Yes</v>
      </c>
      <c r="M483" s="57" t="str">
        <f>IF(Associates_Call_List_PQ!M483="","",Associates_Call_List_PQ!M483)</f>
        <v>No</v>
      </c>
      <c r="N483" s="57" t="str">
        <f>IF(Associates_Call_List_PQ!N483="","",Associates_Call_List_PQ!N483)</f>
        <v>No</v>
      </c>
      <c r="O483" s="57" t="str">
        <f>IF(Associates_Call_List_PQ!O483="","",Associates_Call_List_PQ!O483)</f>
        <v>Yes</v>
      </c>
      <c r="P483" s="57" t="str">
        <f>IF(Associates_Call_List_PQ!P483="","",Associates_Call_List_PQ!P483)</f>
        <v>N</v>
      </c>
      <c r="Q483" s="57">
        <f>IF(Associates_Call_List_PQ!Q483="","",Associates_Call_List_PQ!Q483)</f>
        <v>45966</v>
      </c>
      <c r="R483" s="57" t="str">
        <f>IF(Associates_Call_List_PQ!R483="","",Associates_Call_List_PQ!R483)</f>
        <v/>
      </c>
      <c r="S483" s="57" t="str">
        <f>IF(Associates_Call_List_PQ!S483="","",Associates_Call_List_PQ!S483)</f>
        <v/>
      </c>
      <c r="T483" s="57" t="str">
        <f>IF(Associates_Call_List_PQ!T483="","",Associates_Call_List_PQ!T483)</f>
        <v/>
      </c>
      <c r="U483" s="57" t="str">
        <f>IF(Associates_Call_List_PQ!U483="","",Associates_Call_List_PQ!U483)</f>
        <v/>
      </c>
      <c r="V483" s="68"/>
      <c r="W483" s="68" t="s">
        <v>5432</v>
      </c>
      <c r="X483" s="68"/>
      <c r="Y483" s="68"/>
      <c r="Z483" s="72"/>
    </row>
    <row r="484" spans="1:26">
      <c r="A484" s="71">
        <f>IFERROR(Associates_Call_List_PQ!A484,"")</f>
        <v>45905</v>
      </c>
      <c r="B484" s="57" t="str">
        <f>IF(Associates_Call_List_PQ!B484="","",Associates_Call_List_PQ!B484)</f>
        <v>Royster</v>
      </c>
      <c r="C484" s="57" t="str">
        <f>IF(Associates_Call_List_PQ!C484="","",Associates_Call_List_PQ!C484)</f>
        <v>Aaron</v>
      </c>
      <c r="D484" s="57" t="str">
        <f>IF(Associates_Call_List_PQ!D484="","",Associates_Call_List_PQ!D484)</f>
        <v>Tempe</v>
      </c>
      <c r="E484" s="58">
        <f>IF(Associates_Call_List_PQ!E484="","",Associates_Call_List_PQ!E484)</f>
        <v>85288</v>
      </c>
      <c r="F484" s="57" t="str">
        <f>IF(Associates_Call_List_PQ!F484="","",Associates_Call_List_PQ!F484)</f>
        <v>Form letter</v>
      </c>
      <c r="G484" s="57" t="str">
        <f>IF(Associates_Call_List_PQ!G484="","",Associates_Call_List_PQ!G484)</f>
        <v>https://images.edocket.azcc.gov/docketpdf/E000046230.pdf</v>
      </c>
      <c r="H484" s="59" t="str">
        <f>IF(Associates_Call_List_PQ!H484="","",Associates_Call_List_PQ!H484)</f>
        <v xml:space="preserve">0363441000 </v>
      </c>
      <c r="I484" s="57" t="str">
        <f>IF(Associates_Call_List_PQ!I484="","",Associates_Call_List_PQ!I484)</f>
        <v>RTOUE47</v>
      </c>
      <c r="J484" s="57" t="str">
        <f>IF(Associates_Call_List_PQ!J484="","",Associates_Call_List_PQ!J484)</f>
        <v>No</v>
      </c>
      <c r="K484" s="57" t="str">
        <f>IF(Associates_Call_List_PQ!K484="","",Associates_Call_List_PQ!K484)</f>
        <v>No</v>
      </c>
      <c r="L484" s="57" t="str">
        <f>IF(Associates_Call_List_PQ!L484="","",Associates_Call_List_PQ!L484)</f>
        <v>No MEP R3-47 ($130.61)</v>
      </c>
      <c r="M484" s="57" t="str">
        <f>IF(Associates_Call_List_PQ!M484="","",Associates_Call_List_PQ!M484)</f>
        <v>No</v>
      </c>
      <c r="N484" s="57" t="str">
        <f>IF(Associates_Call_List_PQ!N484="","",Associates_Call_List_PQ!N484)</f>
        <v>No</v>
      </c>
      <c r="O484" s="57" t="str">
        <f>IF(Associates_Call_List_PQ!O484="","",Associates_Call_List_PQ!O484)</f>
        <v>Yes</v>
      </c>
      <c r="P484" s="57">
        <f>IF(Associates_Call_List_PQ!P484="","",Associates_Call_List_PQ!P484)</f>
        <v>45936</v>
      </c>
      <c r="Q484" s="57">
        <f>IF(Associates_Call_List_PQ!Q484="","",Associates_Call_List_PQ!Q484)</f>
        <v>45966</v>
      </c>
      <c r="R484" s="57" t="str">
        <f>IF(Associates_Call_List_PQ!R484="","",Associates_Call_List_PQ!R484)</f>
        <v>10/06/2025 left vm</v>
      </c>
      <c r="S484" s="57" t="str">
        <f>IF(Associates_Call_List_PQ!S484="","",Associates_Call_List_PQ!S484)</f>
        <v/>
      </c>
      <c r="T484" s="57" t="str">
        <f>IF(Associates_Call_List_PQ!T484="","",Associates_Call_List_PQ!T484)</f>
        <v/>
      </c>
      <c r="U484" s="57" t="str">
        <f>IF(Associates_Call_List_PQ!U484="","",Associates_Call_List_PQ!U484)</f>
        <v/>
      </c>
      <c r="V484" s="68" t="s">
        <v>5433</v>
      </c>
      <c r="W484" s="68">
        <v>46046</v>
      </c>
      <c r="X484" s="68" t="s">
        <v>5434</v>
      </c>
      <c r="Y484" s="68"/>
      <c r="Z484" s="72"/>
    </row>
    <row r="485" spans="1:26">
      <c r="A485" s="71">
        <f>IFERROR(Associates_Call_List_PQ!A485,"")</f>
        <v>45905</v>
      </c>
      <c r="B485" s="57" t="str">
        <f>IF(Associates_Call_List_PQ!B485="","",Associates_Call_List_PQ!B485)</f>
        <v>German</v>
      </c>
      <c r="C485" s="57" t="str">
        <f>IF(Associates_Call_List_PQ!C485="","",Associates_Call_List_PQ!C485)</f>
        <v>Alexander</v>
      </c>
      <c r="D485" s="57" t="str">
        <f>IF(Associates_Call_List_PQ!D485="","",Associates_Call_List_PQ!D485)</f>
        <v>Phoenix</v>
      </c>
      <c r="E485" s="58">
        <f>IF(Associates_Call_List_PQ!E485="","",Associates_Call_List_PQ!E485)</f>
        <v>85024</v>
      </c>
      <c r="F485" s="57" t="str">
        <f>IF(Associates_Call_List_PQ!F485="","",Associates_Call_List_PQ!F485)</f>
        <v>Form letter</v>
      </c>
      <c r="G485" s="57" t="str">
        <f>IF(Associates_Call_List_PQ!G485="","",Associates_Call_List_PQ!G485)</f>
        <v>https://images.edocket.azcc.gov/docketpdf/E000046230.pdf</v>
      </c>
      <c r="H485" s="59" t="str">
        <f>IF(Associates_Call_List_PQ!H485="","",Associates_Call_List_PQ!H485)</f>
        <v xml:space="preserve">8098420000 </v>
      </c>
      <c r="I485" s="57" t="str">
        <f>IF(Associates_Call_List_PQ!I485="","",Associates_Call_List_PQ!I485)</f>
        <v>RTOUE47</v>
      </c>
      <c r="J485" s="57" t="str">
        <f>IF(Associates_Call_List_PQ!J485="","",Associates_Call_List_PQ!J485)</f>
        <v>No</v>
      </c>
      <c r="K485" s="57" t="str">
        <f>IF(Associates_Call_List_PQ!K485="","",Associates_Call_List_PQ!K485)</f>
        <v>No</v>
      </c>
      <c r="L485" s="57" t="str">
        <f>IF(Associates_Call_List_PQ!L485="","",Associates_Call_List_PQ!L485)</f>
        <v>Yes</v>
      </c>
      <c r="M485" s="57" t="str">
        <f>IF(Associates_Call_List_PQ!M485="","",Associates_Call_List_PQ!M485)</f>
        <v>No</v>
      </c>
      <c r="N485" s="57" t="str">
        <f>IF(Associates_Call_List_PQ!N485="","",Associates_Call_List_PQ!N485)</f>
        <v>No</v>
      </c>
      <c r="O485" s="57" t="str">
        <f>IF(Associates_Call_List_PQ!O485="","",Associates_Call_List_PQ!O485)</f>
        <v>Yes</v>
      </c>
      <c r="P485" s="57" t="str">
        <f>IF(Associates_Call_List_PQ!P485="","",Associates_Call_List_PQ!P485)</f>
        <v>N</v>
      </c>
      <c r="Q485" s="57">
        <f>IF(Associates_Call_List_PQ!Q485="","",Associates_Call_List_PQ!Q485)</f>
        <v>45966</v>
      </c>
      <c r="R485" s="57" t="str">
        <f>IF(Associates_Call_List_PQ!R485="","",Associates_Call_List_PQ!R485)</f>
        <v/>
      </c>
      <c r="S485" s="57" t="str">
        <f>IF(Associates_Call_List_PQ!S485="","",Associates_Call_List_PQ!S485)</f>
        <v/>
      </c>
      <c r="T485" s="57" t="str">
        <f>IF(Associates_Call_List_PQ!T485="","",Associates_Call_List_PQ!T485)</f>
        <v/>
      </c>
      <c r="U485" s="57" t="str">
        <f>IF(Associates_Call_List_PQ!U485="","",Associates_Call_List_PQ!U485)</f>
        <v/>
      </c>
      <c r="V485" s="68"/>
      <c r="W485" s="68" t="s">
        <v>5432</v>
      </c>
      <c r="X485" s="68"/>
      <c r="Y485" s="68"/>
      <c r="Z485" s="72"/>
    </row>
    <row r="486" spans="1:26">
      <c r="A486" s="71">
        <f>IFERROR(Associates_Call_List_PQ!A486,"")</f>
        <v>45905</v>
      </c>
      <c r="B486" s="57" t="str">
        <f>IF(Associates_Call_List_PQ!B486="","",Associates_Call_List_PQ!B486)</f>
        <v>Reynolds</v>
      </c>
      <c r="C486" s="57" t="str">
        <f>IF(Associates_Call_List_PQ!C486="","",Associates_Call_List_PQ!C486)</f>
        <v>James</v>
      </c>
      <c r="D486" s="57" t="str">
        <f>IF(Associates_Call_List_PQ!D486="","",Associates_Call_List_PQ!D486)</f>
        <v>El Mirage</v>
      </c>
      <c r="E486" s="58">
        <f>IF(Associates_Call_List_PQ!E486="","",Associates_Call_List_PQ!E486)</f>
        <v>85335</v>
      </c>
      <c r="F486" s="57" t="str">
        <f>IF(Associates_Call_List_PQ!F486="","",Associates_Call_List_PQ!F486)</f>
        <v>Opposed, discourages solar</v>
      </c>
      <c r="G486" s="57" t="str">
        <f>IF(Associates_Call_List_PQ!G486="","",Associates_Call_List_PQ!G486)</f>
        <v>https://images.edocket.azcc.gov/docketpdf/E000046230.pdf</v>
      </c>
      <c r="H486" s="59" t="str">
        <f>IF(Associates_Call_List_PQ!H486="","",Associates_Call_List_PQ!H486)</f>
        <v xml:space="preserve">0225558656 </v>
      </c>
      <c r="I486" s="57" t="str">
        <f>IF(Associates_Call_List_PQ!I486="","",Associates_Call_List_PQ!I486)</f>
        <v>RCPw/RTOUE47</v>
      </c>
      <c r="J486" s="57" t="str">
        <f>IF(Associates_Call_List_PQ!J486="","",Associates_Call_List_PQ!J486)</f>
        <v>No</v>
      </c>
      <c r="K486" s="57" t="str">
        <f>IF(Associates_Call_List_PQ!K486="","",Associates_Call_List_PQ!K486)</f>
        <v>No</v>
      </c>
      <c r="L486" s="57" t="str">
        <f>IF(Associates_Call_List_PQ!L486="","",Associates_Call_List_PQ!L486)</f>
        <v>Yes</v>
      </c>
      <c r="M486" s="57" t="str">
        <f>IF(Associates_Call_List_PQ!M486="","",Associates_Call_List_PQ!M486)</f>
        <v>No</v>
      </c>
      <c r="N486" s="57" t="str">
        <f>IF(Associates_Call_List_PQ!N486="","",Associates_Call_List_PQ!N486)</f>
        <v>No</v>
      </c>
      <c r="O486" s="57" t="str">
        <f>IF(Associates_Call_List_PQ!O486="","",Associates_Call_List_PQ!O486)</f>
        <v>Yes</v>
      </c>
      <c r="P486" s="57" t="str">
        <f>IF(Associates_Call_List_PQ!P486="","",Associates_Call_List_PQ!P486)</f>
        <v>N</v>
      </c>
      <c r="Q486" s="57">
        <f>IF(Associates_Call_List_PQ!Q486="","",Associates_Call_List_PQ!Q486)</f>
        <v>45966</v>
      </c>
      <c r="R486" s="57" t="str">
        <f>IF(Associates_Call_List_PQ!R486="","",Associates_Call_List_PQ!R486)</f>
        <v/>
      </c>
      <c r="S486" s="57" t="str">
        <f>IF(Associates_Call_List_PQ!S486="","",Associates_Call_List_PQ!S486)</f>
        <v/>
      </c>
      <c r="T486" s="57" t="str">
        <f>IF(Associates_Call_List_PQ!T486="","",Associates_Call_List_PQ!T486)</f>
        <v/>
      </c>
      <c r="U486" s="57" t="str">
        <f>IF(Associates_Call_List_PQ!U486="","",Associates_Call_List_PQ!U486)</f>
        <v/>
      </c>
      <c r="V486" s="68"/>
      <c r="W486" s="68" t="s">
        <v>5432</v>
      </c>
      <c r="X486" s="68"/>
      <c r="Y486" s="68"/>
      <c r="Z486" s="72"/>
    </row>
    <row r="487" spans="1:26">
      <c r="A487" s="71">
        <f>IFERROR(Associates_Call_List_PQ!A487,"")</f>
        <v>45905</v>
      </c>
      <c r="B487" s="57" t="str">
        <f>IF(Associates_Call_List_PQ!B487="","",Associates_Call_List_PQ!B487)</f>
        <v>Gorman</v>
      </c>
      <c r="C487" s="57" t="str">
        <f>IF(Associates_Call_List_PQ!C487="","",Associates_Call_List_PQ!C487)</f>
        <v>Joshua</v>
      </c>
      <c r="D487" s="57" t="str">
        <f>IF(Associates_Call_List_PQ!D487="","",Associates_Call_List_PQ!D487)</f>
        <v>Goodyear</v>
      </c>
      <c r="E487" s="58">
        <f>IF(Associates_Call_List_PQ!E487="","",Associates_Call_List_PQ!E487)</f>
        <v>85338</v>
      </c>
      <c r="F487" s="57" t="str">
        <f>IF(Associates_Call_List_PQ!F487="","",Associates_Call_List_PQ!F487)</f>
        <v>Opposed</v>
      </c>
      <c r="G487" s="57" t="str">
        <f>IF(Associates_Call_List_PQ!G487="","",Associates_Call_List_PQ!G487)</f>
        <v>https://images.edocket.azcc.gov/docketpdf/E000046230.pdf</v>
      </c>
      <c r="H487" s="59" t="str">
        <f>IF(Associates_Call_List_PQ!H487="","",Associates_Call_List_PQ!H487)</f>
        <v xml:space="preserve">3472796278 </v>
      </c>
      <c r="I487" s="57" t="str">
        <f>IF(Associates_Call_List_PQ!I487="","",Associates_Call_List_PQ!I487)</f>
        <v>R3-47</v>
      </c>
      <c r="J487" s="57" t="str">
        <f>IF(Associates_Call_List_PQ!J487="","",Associates_Call_List_PQ!J487)</f>
        <v>Yes</v>
      </c>
      <c r="K487" s="57" t="str">
        <f>IF(Associates_Call_List_PQ!K487="","",Associates_Call_List_PQ!K487)</f>
        <v>No</v>
      </c>
      <c r="L487" s="57" t="str">
        <f>IF(Associates_Call_List_PQ!L487="","",Associates_Call_List_PQ!L487)</f>
        <v>Yes</v>
      </c>
      <c r="M487" s="57" t="str">
        <f>IF(Associates_Call_List_PQ!M487="","",Associates_Call_List_PQ!M487)</f>
        <v>No</v>
      </c>
      <c r="N487" s="57" t="str">
        <f>IF(Associates_Call_List_PQ!N487="","",Associates_Call_List_PQ!N487)</f>
        <v>No</v>
      </c>
      <c r="O487" s="57" t="str">
        <f>IF(Associates_Call_List_PQ!O487="","",Associates_Call_List_PQ!O487)</f>
        <v>Yes</v>
      </c>
      <c r="P487" s="57" t="str">
        <f>IF(Associates_Call_List_PQ!P487="","",Associates_Call_List_PQ!P487)</f>
        <v>N</v>
      </c>
      <c r="Q487" s="57">
        <f>IF(Associates_Call_List_PQ!Q487="","",Associates_Call_List_PQ!Q487)</f>
        <v>45966</v>
      </c>
      <c r="R487" s="57" t="str">
        <f>IF(Associates_Call_List_PQ!R487="","",Associates_Call_List_PQ!R487)</f>
        <v/>
      </c>
      <c r="S487" s="57" t="str">
        <f>IF(Associates_Call_List_PQ!S487="","",Associates_Call_List_PQ!S487)</f>
        <v/>
      </c>
      <c r="T487" s="57" t="str">
        <f>IF(Associates_Call_List_PQ!T487="","",Associates_Call_List_PQ!T487)</f>
        <v/>
      </c>
      <c r="U487" s="57" t="str">
        <f>IF(Associates_Call_List_PQ!U487="","",Associates_Call_List_PQ!U487)</f>
        <v/>
      </c>
      <c r="V487" s="68"/>
      <c r="W487" s="68" t="s">
        <v>5432</v>
      </c>
      <c r="X487" s="68"/>
      <c r="Y487" s="68"/>
      <c r="Z487" s="72"/>
    </row>
    <row r="488" spans="1:26">
      <c r="A488" s="71">
        <f>IFERROR(Associates_Call_List_PQ!A488,"")</f>
        <v>45905</v>
      </c>
      <c r="B488" s="57" t="str">
        <f>IF(Associates_Call_List_PQ!B488="","",Associates_Call_List_PQ!B488)</f>
        <v>Macagni</v>
      </c>
      <c r="C488" s="57" t="str">
        <f>IF(Associates_Call_List_PQ!C488="","",Associates_Call_List_PQ!C488)</f>
        <v>Christopher</v>
      </c>
      <c r="D488" s="57" t="str">
        <f>IF(Associates_Call_List_PQ!D488="","",Associates_Call_List_PQ!D488)</f>
        <v>Peoria</v>
      </c>
      <c r="E488" s="58">
        <f>IF(Associates_Call_List_PQ!E488="","",Associates_Call_List_PQ!E488)</f>
        <v>85383</v>
      </c>
      <c r="F488" s="57" t="str">
        <f>IF(Associates_Call_List_PQ!F488="","",Associates_Call_List_PQ!F488)</f>
        <v>Form letter</v>
      </c>
      <c r="G488" s="57" t="str">
        <f>IF(Associates_Call_List_PQ!G488="","",Associates_Call_List_PQ!G488)</f>
        <v>https://images.edocket.azcc.gov/docketpdf/E000046230.pdf</v>
      </c>
      <c r="H488" s="59" t="str">
        <f>IF(Associates_Call_List_PQ!H488="","",Associates_Call_List_PQ!H488)</f>
        <v xml:space="preserve">9986232210 </v>
      </c>
      <c r="I488" s="57" t="str">
        <f>IF(Associates_Call_List_PQ!I488="","",Associates_Call_List_PQ!I488)</f>
        <v>RTOUE47</v>
      </c>
      <c r="J488" s="57" t="str">
        <f>IF(Associates_Call_List_PQ!J488="","",Associates_Call_List_PQ!J488)</f>
        <v>No</v>
      </c>
      <c r="K488" s="57" t="str">
        <f>IF(Associates_Call_List_PQ!K488="","",Associates_Call_List_PQ!K488)</f>
        <v>No</v>
      </c>
      <c r="L488" s="57" t="str">
        <f>IF(Associates_Call_List_PQ!L488="","",Associates_Call_List_PQ!L488)</f>
        <v>No MEP R3-47($392.95)</v>
      </c>
      <c r="M488" s="57" t="str">
        <f>IF(Associates_Call_List_PQ!M488="","",Associates_Call_List_PQ!M488)</f>
        <v>No</v>
      </c>
      <c r="N488" s="57" t="str">
        <f>IF(Associates_Call_List_PQ!N488="","",Associates_Call_List_PQ!N488)</f>
        <v>No</v>
      </c>
      <c r="O488" s="57" t="str">
        <f>IF(Associates_Call_List_PQ!O488="","",Associates_Call_List_PQ!O488)</f>
        <v>Yes</v>
      </c>
      <c r="P488" s="57">
        <f>IF(Associates_Call_List_PQ!P488="","",Associates_Call_List_PQ!P488)</f>
        <v>45936</v>
      </c>
      <c r="Q488" s="57">
        <f>IF(Associates_Call_List_PQ!Q488="","",Associates_Call_List_PQ!Q488)</f>
        <v>45966</v>
      </c>
      <c r="R488" s="57" t="str">
        <f>IF(Associates_Call_List_PQ!R488="","",Associates_Call_List_PQ!R488)</f>
        <v>10/06/2025 left VM</v>
      </c>
      <c r="S488" s="57" t="str">
        <f>IF(Associates_Call_List_PQ!S488="","",Associates_Call_List_PQ!S488)</f>
        <v/>
      </c>
      <c r="T488" s="57" t="str">
        <f>IF(Associates_Call_List_PQ!T488="","",Associates_Call_List_PQ!T488)</f>
        <v/>
      </c>
      <c r="U488" s="57" t="str">
        <f>IF(Associates_Call_List_PQ!U488="","",Associates_Call_List_PQ!U488)</f>
        <v/>
      </c>
      <c r="V488" s="68" t="s">
        <v>5433</v>
      </c>
      <c r="W488" s="68">
        <v>46046</v>
      </c>
      <c r="X488" s="68" t="s">
        <v>5434</v>
      </c>
      <c r="Y488" s="68"/>
      <c r="Z488" s="72" t="s">
        <v>5599</v>
      </c>
    </row>
    <row r="489" spans="1:26">
      <c r="A489" s="71">
        <f>IFERROR(Associates_Call_List_PQ!A489,"")</f>
        <v>45905</v>
      </c>
      <c r="B489" s="57" t="str">
        <f>IF(Associates_Call_List_PQ!B489="","",Associates_Call_List_PQ!B489)</f>
        <v>Chambers</v>
      </c>
      <c r="C489" s="57" t="str">
        <f>IF(Associates_Call_List_PQ!C489="","",Associates_Call_List_PQ!C489)</f>
        <v>Timothy</v>
      </c>
      <c r="D489" s="57" t="str">
        <f>IF(Associates_Call_List_PQ!D489="","",Associates_Call_List_PQ!D489)</f>
        <v>Surprise</v>
      </c>
      <c r="E489" s="58">
        <f>IF(Associates_Call_List_PQ!E489="","",Associates_Call_List_PQ!E489)</f>
        <v>85379</v>
      </c>
      <c r="F489" s="57" t="str">
        <f>IF(Associates_Call_List_PQ!F489="","",Associates_Call_List_PQ!F489)</f>
        <v>Form letter</v>
      </c>
      <c r="G489" s="57" t="str">
        <f>IF(Associates_Call_List_PQ!G489="","",Associates_Call_List_PQ!G489)</f>
        <v>https://images.edocket.azcc.gov/docketpdf/E000046230.pdf</v>
      </c>
      <c r="H489" s="59" t="str">
        <f>IF(Associates_Call_List_PQ!H489="","",Associates_Call_List_PQ!H489)</f>
        <v xml:space="preserve">3240422325 </v>
      </c>
      <c r="I489" s="57" t="str">
        <f>IF(Associates_Call_List_PQ!I489="","",Associates_Call_List_PQ!I489)</f>
        <v>RCPw/R3-47</v>
      </c>
      <c r="J489" s="57" t="str">
        <f>IF(Associates_Call_List_PQ!J489="","",Associates_Call_List_PQ!J489)</f>
        <v>No</v>
      </c>
      <c r="K489" s="57" t="str">
        <f>IF(Associates_Call_List_PQ!K489="","",Associates_Call_List_PQ!K489)</f>
        <v>No</v>
      </c>
      <c r="L489" s="57" t="str">
        <f>IF(Associates_Call_List_PQ!L489="","",Associates_Call_List_PQ!L489)</f>
        <v>Yes</v>
      </c>
      <c r="M489" s="57" t="str">
        <f>IF(Associates_Call_List_PQ!M489="","",Associates_Call_List_PQ!M489)</f>
        <v>No</v>
      </c>
      <c r="N489" s="57" t="str">
        <f>IF(Associates_Call_List_PQ!N489="","",Associates_Call_List_PQ!N489)</f>
        <v>No</v>
      </c>
      <c r="O489" s="57" t="str">
        <f>IF(Associates_Call_List_PQ!O489="","",Associates_Call_List_PQ!O489)</f>
        <v>Yes</v>
      </c>
      <c r="P489" s="57" t="str">
        <f>IF(Associates_Call_List_PQ!P489="","",Associates_Call_List_PQ!P489)</f>
        <v>N</v>
      </c>
      <c r="Q489" s="57">
        <f>IF(Associates_Call_List_PQ!Q489="","",Associates_Call_List_PQ!Q489)</f>
        <v>45966</v>
      </c>
      <c r="R489" s="57" t="str">
        <f>IF(Associates_Call_List_PQ!R489="","",Associates_Call_List_PQ!R489)</f>
        <v/>
      </c>
      <c r="S489" s="57" t="str">
        <f>IF(Associates_Call_List_PQ!S489="","",Associates_Call_List_PQ!S489)</f>
        <v/>
      </c>
      <c r="T489" s="57" t="str">
        <f>IF(Associates_Call_List_PQ!T489="","",Associates_Call_List_PQ!T489)</f>
        <v/>
      </c>
      <c r="U489" s="57" t="str">
        <f>IF(Associates_Call_List_PQ!U489="","",Associates_Call_List_PQ!U489)</f>
        <v/>
      </c>
      <c r="V489" s="68"/>
      <c r="W489" s="68" t="s">
        <v>5432</v>
      </c>
      <c r="X489" s="68"/>
      <c r="Y489" s="68"/>
      <c r="Z489" s="72"/>
    </row>
    <row r="490" spans="1:26">
      <c r="A490" s="71">
        <f>IFERROR(Associates_Call_List_PQ!A490,"")</f>
        <v>45905</v>
      </c>
      <c r="B490" s="57" t="str">
        <f>IF(Associates_Call_List_PQ!B490="","",Associates_Call_List_PQ!B490)</f>
        <v>Macagni</v>
      </c>
      <c r="C490" s="57" t="str">
        <f>IF(Associates_Call_List_PQ!C490="","",Associates_Call_List_PQ!C490)</f>
        <v>Loren</v>
      </c>
      <c r="D490" s="57" t="str">
        <f>IF(Associates_Call_List_PQ!D490="","",Associates_Call_List_PQ!D490)</f>
        <v>Peoria</v>
      </c>
      <c r="E490" s="58">
        <f>IF(Associates_Call_List_PQ!E490="","",Associates_Call_List_PQ!E490)</f>
        <v>85383</v>
      </c>
      <c r="F490" s="57" t="str">
        <f>IF(Associates_Call_List_PQ!F490="","",Associates_Call_List_PQ!F490)</f>
        <v>Form letter</v>
      </c>
      <c r="G490" s="57" t="str">
        <f>IF(Associates_Call_List_PQ!G490="","",Associates_Call_List_PQ!G490)</f>
        <v>https://images.edocket.azcc.gov/docketpdf/E000046230.pdf</v>
      </c>
      <c r="H490" s="59" t="str">
        <f>IF(Associates_Call_List_PQ!H490="","",Associates_Call_List_PQ!H490)</f>
        <v xml:space="preserve">9986232210 </v>
      </c>
      <c r="I490" s="57" t="str">
        <f>IF(Associates_Call_List_PQ!I490="","",Associates_Call_List_PQ!I490)</f>
        <v>RTOUE47</v>
      </c>
      <c r="J490" s="57" t="str">
        <f>IF(Associates_Call_List_PQ!J490="","",Associates_Call_List_PQ!J490)</f>
        <v>No</v>
      </c>
      <c r="K490" s="57" t="str">
        <f>IF(Associates_Call_List_PQ!K490="","",Associates_Call_List_PQ!K490)</f>
        <v>No</v>
      </c>
      <c r="L490" s="57" t="str">
        <f>IF(Associates_Call_List_PQ!L490="","",Associates_Call_List_PQ!L490)</f>
        <v>No MEP R3-47($392.95)</v>
      </c>
      <c r="M490" s="57" t="str">
        <f>IF(Associates_Call_List_PQ!M490="","",Associates_Call_List_PQ!M490)</f>
        <v>No</v>
      </c>
      <c r="N490" s="57" t="str">
        <f>IF(Associates_Call_List_PQ!N490="","",Associates_Call_List_PQ!N490)</f>
        <v>No</v>
      </c>
      <c r="O490" s="57" t="str">
        <f>IF(Associates_Call_List_PQ!O490="","",Associates_Call_List_PQ!O490)</f>
        <v>Yes</v>
      </c>
      <c r="P490" s="57">
        <f>IF(Associates_Call_List_PQ!P490="","",Associates_Call_List_PQ!P490)</f>
        <v>45936</v>
      </c>
      <c r="Q490" s="57">
        <f>IF(Associates_Call_List_PQ!Q490="","",Associates_Call_List_PQ!Q490)</f>
        <v>45966</v>
      </c>
      <c r="R490" s="57" t="str">
        <f>IF(Associates_Call_List_PQ!R490="","",Associates_Call_List_PQ!R490)</f>
        <v>10/06/2025 left VM</v>
      </c>
      <c r="S490" s="57" t="str">
        <f>IF(Associates_Call_List_PQ!S490="","",Associates_Call_List_PQ!S490)</f>
        <v/>
      </c>
      <c r="T490" s="57" t="str">
        <f>IF(Associates_Call_List_PQ!T490="","",Associates_Call_List_PQ!T490)</f>
        <v/>
      </c>
      <c r="U490" s="57" t="str">
        <f>IF(Associates_Call_List_PQ!U490="","",Associates_Call_List_PQ!U490)</f>
        <v/>
      </c>
      <c r="V490" s="68" t="s">
        <v>5433</v>
      </c>
      <c r="W490" s="68">
        <v>46046</v>
      </c>
      <c r="X490" s="68" t="s">
        <v>5405</v>
      </c>
      <c r="Y490" s="68"/>
      <c r="Z490" s="72" t="s">
        <v>5613</v>
      </c>
    </row>
    <row r="491" spans="1:26">
      <c r="A491" s="71">
        <f>IFERROR(Associates_Call_List_PQ!A491,"")</f>
        <v>45905</v>
      </c>
      <c r="B491" s="57" t="str">
        <f>IF(Associates_Call_List_PQ!B491="","",Associates_Call_List_PQ!B491)</f>
        <v>Blue</v>
      </c>
      <c r="C491" s="57" t="str">
        <f>IF(Associates_Call_List_PQ!C491="","",Associates_Call_List_PQ!C491)</f>
        <v>Casey</v>
      </c>
      <c r="D491" s="57" t="str">
        <f>IF(Associates_Call_List_PQ!D491="","",Associates_Call_List_PQ!D491)</f>
        <v>Phoenix</v>
      </c>
      <c r="E491" s="58">
        <f>IF(Associates_Call_List_PQ!E491="","",Associates_Call_List_PQ!E491)</f>
        <v>85020</v>
      </c>
      <c r="F491" s="57" t="str">
        <f>IF(Associates_Call_List_PQ!F491="","",Associates_Call_List_PQ!F491)</f>
        <v>Opposed</v>
      </c>
      <c r="G491" s="57" t="str">
        <f>IF(Associates_Call_List_PQ!G491="","",Associates_Call_List_PQ!G491)</f>
        <v>https://images.edocket.azcc.gov/docketpdf/E000046230.pdf</v>
      </c>
      <c r="H491" s="59" t="str">
        <f>IF(Associates_Call_List_PQ!H491="","",Associates_Call_List_PQ!H491)</f>
        <v xml:space="preserve">7036097429 </v>
      </c>
      <c r="I491" s="57" t="str">
        <f>IF(Associates_Call_List_PQ!I491="","",Associates_Call_List_PQ!I491)</f>
        <v>R3-47</v>
      </c>
      <c r="J491" s="57" t="str">
        <f>IF(Associates_Call_List_PQ!J491="","",Associates_Call_List_PQ!J491)</f>
        <v>No</v>
      </c>
      <c r="K491" s="57" t="str">
        <f>IF(Associates_Call_List_PQ!K491="","",Associates_Call_List_PQ!K491)</f>
        <v>No</v>
      </c>
      <c r="L491" s="57" t="str">
        <f>IF(Associates_Call_List_PQ!L491="","",Associates_Call_List_PQ!L491)</f>
        <v>No MEP R-BASIC(149.26)</v>
      </c>
      <c r="M491" s="57" t="str">
        <f>IF(Associates_Call_List_PQ!M491="","",Associates_Call_List_PQ!M491)</f>
        <v>No</v>
      </c>
      <c r="N491" s="57" t="str">
        <f>IF(Associates_Call_List_PQ!N491="","",Associates_Call_List_PQ!N491)</f>
        <v>No</v>
      </c>
      <c r="O491" s="57" t="str">
        <f>IF(Associates_Call_List_PQ!O491="","",Associates_Call_List_PQ!O491)</f>
        <v>Yes</v>
      </c>
      <c r="P491" s="57">
        <f>IF(Associates_Call_List_PQ!P491="","",Associates_Call_List_PQ!P491)</f>
        <v>45936</v>
      </c>
      <c r="Q491" s="57">
        <f>IF(Associates_Call_List_PQ!Q491="","",Associates_Call_List_PQ!Q491)</f>
        <v>45966</v>
      </c>
      <c r="R491" s="57" t="str">
        <f>IF(Associates_Call_List_PQ!R491="","",Associates_Call_List_PQ!R491)</f>
        <v>Cor will discuss with his partner about rate change - 10/17 RATE CHANGE ONLINE</v>
      </c>
      <c r="S491" s="57" t="str">
        <f>IF(Associates_Call_List_PQ!S491="","",Associates_Call_List_PQ!S491)</f>
        <v/>
      </c>
      <c r="T491" s="57" t="str">
        <f>IF(Associates_Call_List_PQ!T491="","",Associates_Call_List_PQ!T491)</f>
        <v/>
      </c>
      <c r="U491" s="57" t="str">
        <f>IF(Associates_Call_List_PQ!U491="","",Associates_Call_List_PQ!U491)</f>
        <v/>
      </c>
      <c r="V491" s="68" t="s">
        <v>5433</v>
      </c>
      <c r="W491" s="68">
        <v>46060</v>
      </c>
      <c r="X491" s="68"/>
      <c r="Y491" s="68"/>
      <c r="Z491" s="72" t="s">
        <v>5599</v>
      </c>
    </row>
    <row r="492" spans="1:26">
      <c r="A492" s="71">
        <f>IFERROR(Associates_Call_List_PQ!A492,"")</f>
        <v>45905</v>
      </c>
      <c r="B492" s="57" t="str">
        <f>IF(Associates_Call_List_PQ!B492="","",Associates_Call_List_PQ!B492)</f>
        <v>Saraniero</v>
      </c>
      <c r="C492" s="57" t="str">
        <f>IF(Associates_Call_List_PQ!C492="","",Associates_Call_List_PQ!C492)</f>
        <v>Cathy</v>
      </c>
      <c r="D492" s="57" t="str">
        <f>IF(Associates_Call_List_PQ!D492="","",Associates_Call_List_PQ!D492)</f>
        <v>Scottsdale</v>
      </c>
      <c r="E492" s="58">
        <f>IF(Associates_Call_List_PQ!E492="","",Associates_Call_List_PQ!E492)</f>
        <v>85258</v>
      </c>
      <c r="F492" s="57" t="str">
        <f>IF(Associates_Call_List_PQ!F492="","",Associates_Call_List_PQ!F492)</f>
        <v>Opposed</v>
      </c>
      <c r="G492" s="57" t="str">
        <f>IF(Associates_Call_List_PQ!G492="","",Associates_Call_List_PQ!G492)</f>
        <v>https://images.edocket.azcc.gov/docketpdf/E000046230.pdf</v>
      </c>
      <c r="H492" s="59" t="str">
        <f>IF(Associates_Call_List_PQ!H492="","",Associates_Call_List_PQ!H492)</f>
        <v>8493970000 </v>
      </c>
      <c r="I492" s="57" t="str">
        <f>IF(Associates_Call_List_PQ!I492="","",Associates_Call_List_PQ!I492)</f>
        <v>R-2</v>
      </c>
      <c r="J492" s="57" t="str">
        <f>IF(Associates_Call_List_PQ!J492="","",Associates_Call_List_PQ!J492)</f>
        <v>No</v>
      </c>
      <c r="K492" s="57" t="str">
        <f>IF(Associates_Call_List_PQ!K492="","",Associates_Call_List_PQ!K492)</f>
        <v>No</v>
      </c>
      <c r="L492" s="57" t="str">
        <f>IF(Associates_Call_List_PQ!L492="","",Associates_Call_List_PQ!L492)</f>
        <v>Frozen Rate</v>
      </c>
      <c r="M492" s="57" t="str">
        <f>IF(Associates_Call_List_PQ!M492="","",Associates_Call_List_PQ!M492)</f>
        <v>No</v>
      </c>
      <c r="N492" s="57" t="str">
        <f>IF(Associates_Call_List_PQ!N492="","",Associates_Call_List_PQ!N492)</f>
        <v>No</v>
      </c>
      <c r="O492" s="57" t="str">
        <f>IF(Associates_Call_List_PQ!O492="","",Associates_Call_List_PQ!O492)</f>
        <v>Yes</v>
      </c>
      <c r="P492" s="57" t="str">
        <f>IF(Associates_Call_List_PQ!P492="","",Associates_Call_List_PQ!P492)</f>
        <v>N</v>
      </c>
      <c r="Q492" s="57">
        <f>IF(Associates_Call_List_PQ!Q492="","",Associates_Call_List_PQ!Q492)</f>
        <v>45966</v>
      </c>
      <c r="R492" s="57" t="str">
        <f>IF(Associates_Call_List_PQ!R492="","",Associates_Call_List_PQ!R492)</f>
        <v/>
      </c>
      <c r="S492" s="57" t="str">
        <f>IF(Associates_Call_List_PQ!S492="","",Associates_Call_List_PQ!S492)</f>
        <v/>
      </c>
      <c r="T492" s="57" t="str">
        <f>IF(Associates_Call_List_PQ!T492="","",Associates_Call_List_PQ!T492)</f>
        <v/>
      </c>
      <c r="U492" s="57" t="str">
        <f>IF(Associates_Call_List_PQ!U492="","",Associates_Call_List_PQ!U492)</f>
        <v/>
      </c>
      <c r="V492" s="68"/>
      <c r="W492" s="68" t="s">
        <v>5432</v>
      </c>
      <c r="X492" s="68"/>
      <c r="Y492" s="68"/>
      <c r="Z492" s="72"/>
    </row>
    <row r="493" spans="1:26">
      <c r="A493" s="71">
        <f>IFERROR(Associates_Call_List_PQ!A493,"")</f>
        <v>45905</v>
      </c>
      <c r="B493" s="57" t="str">
        <f>IF(Associates_Call_List_PQ!B493="","",Associates_Call_List_PQ!B493)</f>
        <v>Daniels</v>
      </c>
      <c r="C493" s="57" t="str">
        <f>IF(Associates_Call_List_PQ!C493="","",Associates_Call_List_PQ!C493)</f>
        <v>Shannon</v>
      </c>
      <c r="D493" s="57" t="str">
        <f>IF(Associates_Call_List_PQ!D493="","",Associates_Call_List_PQ!D493)</f>
        <v>Surprise</v>
      </c>
      <c r="E493" s="58">
        <f>IF(Associates_Call_List_PQ!E493="","",Associates_Call_List_PQ!E493)</f>
        <v>85388</v>
      </c>
      <c r="F493" s="57" t="str">
        <f>IF(Associates_Call_List_PQ!F493="","",Associates_Call_List_PQ!F493)</f>
        <v>Form letter</v>
      </c>
      <c r="G493" s="57" t="str">
        <f>IF(Associates_Call_List_PQ!G493="","",Associates_Call_List_PQ!G493)</f>
        <v>https://images.edocket.azcc.gov/docketpdf/E000046230.pdf</v>
      </c>
      <c r="H493" s="59" t="str">
        <f>IF(Associates_Call_List_PQ!H493="","",Associates_Call_List_PQ!H493)</f>
        <v xml:space="preserve">7248154783 </v>
      </c>
      <c r="I493" s="57" t="str">
        <f>IF(Associates_Call_List_PQ!I493="","",Associates_Call_List_PQ!I493)</f>
        <v>R3-47</v>
      </c>
      <c r="J493" s="57" t="str">
        <f>IF(Associates_Call_List_PQ!J493="","",Associates_Call_List_PQ!J493)</f>
        <v>No</v>
      </c>
      <c r="K493" s="57" t="str">
        <f>IF(Associates_Call_List_PQ!K493="","",Associates_Call_List_PQ!K493)</f>
        <v>No</v>
      </c>
      <c r="L493" s="57" t="str">
        <f>IF(Associates_Call_List_PQ!L493="","",Associates_Call_List_PQ!L493)</f>
        <v>Yes</v>
      </c>
      <c r="M493" s="57" t="str">
        <f>IF(Associates_Call_List_PQ!M493="","",Associates_Call_List_PQ!M493)</f>
        <v>No</v>
      </c>
      <c r="N493" s="57" t="str">
        <f>IF(Associates_Call_List_PQ!N493="","",Associates_Call_List_PQ!N493)</f>
        <v>No</v>
      </c>
      <c r="O493" s="57" t="str">
        <f>IF(Associates_Call_List_PQ!O493="","",Associates_Call_List_PQ!O493)</f>
        <v>Yes</v>
      </c>
      <c r="P493" s="57" t="str">
        <f>IF(Associates_Call_List_PQ!P493="","",Associates_Call_List_PQ!P493)</f>
        <v>N</v>
      </c>
      <c r="Q493" s="57">
        <f>IF(Associates_Call_List_PQ!Q493="","",Associates_Call_List_PQ!Q493)</f>
        <v>45966</v>
      </c>
      <c r="R493" s="57" t="str">
        <f>IF(Associates_Call_List_PQ!R493="","",Associates_Call_List_PQ!R493)</f>
        <v/>
      </c>
      <c r="S493" s="57" t="str">
        <f>IF(Associates_Call_List_PQ!S493="","",Associates_Call_List_PQ!S493)</f>
        <v/>
      </c>
      <c r="T493" s="57" t="str">
        <f>IF(Associates_Call_List_PQ!T493="","",Associates_Call_List_PQ!T493)</f>
        <v/>
      </c>
      <c r="U493" s="57" t="str">
        <f>IF(Associates_Call_List_PQ!U493="","",Associates_Call_List_PQ!U493)</f>
        <v/>
      </c>
      <c r="V493" s="68"/>
      <c r="W493" s="68" t="s">
        <v>5432</v>
      </c>
      <c r="X493" s="68"/>
      <c r="Y493" s="68"/>
      <c r="Z493" s="72"/>
    </row>
    <row r="494" spans="1:26">
      <c r="A494" s="71">
        <f>IFERROR(Associates_Call_List_PQ!A494,"")</f>
        <v>45905</v>
      </c>
      <c r="B494" s="57" t="str">
        <f>IF(Associates_Call_List_PQ!B494="","",Associates_Call_List_PQ!B494)</f>
        <v>Heiser</v>
      </c>
      <c r="C494" s="57" t="str">
        <f>IF(Associates_Call_List_PQ!C494="","",Associates_Call_List_PQ!C494)</f>
        <v>Morgan</v>
      </c>
      <c r="D494" s="57" t="str">
        <f>IF(Associates_Call_List_PQ!D494="","",Associates_Call_List_PQ!D494)</f>
        <v>Phoenix</v>
      </c>
      <c r="E494" s="58">
        <f>IF(Associates_Call_List_PQ!E494="","",Associates_Call_List_PQ!E494)</f>
        <v>85014</v>
      </c>
      <c r="F494" s="57" t="str">
        <f>IF(Associates_Call_List_PQ!F494="","",Associates_Call_List_PQ!F494)</f>
        <v>Opposed</v>
      </c>
      <c r="G494" s="57" t="str">
        <f>IF(Associates_Call_List_PQ!G494="","",Associates_Call_List_PQ!G494)</f>
        <v>https://images.edocket.azcc.gov/docketpdf/E000046230.pdf</v>
      </c>
      <c r="H494" s="59" t="str">
        <f>IF(Associates_Call_List_PQ!H494="","",Associates_Call_List_PQ!H494)</f>
        <v xml:space="preserve">4586872061 </v>
      </c>
      <c r="I494" s="57" t="str">
        <f>IF(Associates_Call_List_PQ!I494="","",Associates_Call_List_PQ!I494)</f>
        <v>R3-47</v>
      </c>
      <c r="J494" s="57" t="str">
        <f>IF(Associates_Call_List_PQ!J494="","",Associates_Call_List_PQ!J494)</f>
        <v>No</v>
      </c>
      <c r="K494" s="57" t="str">
        <f>IF(Associates_Call_List_PQ!K494="","",Associates_Call_List_PQ!K494)</f>
        <v>No</v>
      </c>
      <c r="L494" s="57" t="str">
        <f>IF(Associates_Call_List_PQ!L494="","",Associates_Call_List_PQ!L494)</f>
        <v>No MEP R-XS($171.24)</v>
      </c>
      <c r="M494" s="57" t="str">
        <f>IF(Associates_Call_List_PQ!M494="","",Associates_Call_List_PQ!M494)</f>
        <v>No</v>
      </c>
      <c r="N494" s="57" t="str">
        <f>IF(Associates_Call_List_PQ!N494="","",Associates_Call_List_PQ!N494)</f>
        <v>No</v>
      </c>
      <c r="O494" s="57" t="str">
        <f>IF(Associates_Call_List_PQ!O494="","",Associates_Call_List_PQ!O494)</f>
        <v>Yes</v>
      </c>
      <c r="P494" s="57">
        <f>IF(Associates_Call_List_PQ!P494="","",Associates_Call_List_PQ!P494)</f>
        <v>45936</v>
      </c>
      <c r="Q494" s="57">
        <f>IF(Associates_Call_List_PQ!Q494="","",Associates_Call_List_PQ!Q494)</f>
        <v>45966</v>
      </c>
      <c r="R494" s="57" t="str">
        <f>IF(Associates_Call_List_PQ!R494="","",Associates_Call_List_PQ!R494)</f>
        <v>10/06/2025 left vm</v>
      </c>
      <c r="S494" s="57" t="str">
        <f>IF(Associates_Call_List_PQ!S494="","",Associates_Call_List_PQ!S494)</f>
        <v/>
      </c>
      <c r="T494" s="57" t="str">
        <f>IF(Associates_Call_List_PQ!T494="","",Associates_Call_List_PQ!T494)</f>
        <v/>
      </c>
      <c r="U494" s="57" t="str">
        <f>IF(Associates_Call_List_PQ!U494="","",Associates_Call_List_PQ!U494)</f>
        <v/>
      </c>
      <c r="V494" s="68" t="s">
        <v>5433</v>
      </c>
      <c r="W494" s="68">
        <v>46046</v>
      </c>
      <c r="X494" s="68" t="s">
        <v>5434</v>
      </c>
      <c r="Y494" s="68"/>
      <c r="Z494" s="72" t="s">
        <v>5599</v>
      </c>
    </row>
    <row r="495" spans="1:26">
      <c r="A495" s="71">
        <f>IFERROR(Associates_Call_List_PQ!A495,"")</f>
        <v>45905</v>
      </c>
      <c r="B495" s="57" t="str">
        <f>IF(Associates_Call_List_PQ!B495="","",Associates_Call_List_PQ!B495)</f>
        <v>Michels</v>
      </c>
      <c r="C495" s="57" t="str">
        <f>IF(Associates_Call_List_PQ!C495="","",Associates_Call_List_PQ!C495)</f>
        <v>Aleshia</v>
      </c>
      <c r="D495" s="57" t="str">
        <f>IF(Associates_Call_List_PQ!D495="","",Associates_Call_List_PQ!D495)</f>
        <v>Mayer</v>
      </c>
      <c r="E495" s="58">
        <f>IF(Associates_Call_List_PQ!E495="","",Associates_Call_List_PQ!E495)</f>
        <v>86333</v>
      </c>
      <c r="F495" s="57" t="str">
        <f>IF(Associates_Call_List_PQ!F495="","",Associates_Call_List_PQ!F495)</f>
        <v>Opposed</v>
      </c>
      <c r="G495" s="57" t="str">
        <f>IF(Associates_Call_List_PQ!G495="","",Associates_Call_List_PQ!G495)</f>
        <v>https://images.edocket.azcc.gov/docketpdf/E000046230.pdf</v>
      </c>
      <c r="H495" s="59" t="str">
        <f>IF(Associates_Call_List_PQ!H495="","",Associates_Call_List_PQ!H495)</f>
        <v xml:space="preserve">1975660000 </v>
      </c>
      <c r="I495" s="57" t="str">
        <f>IF(Associates_Call_List_PQ!I495="","",Associates_Call_List_PQ!I495)</f>
        <v>R3-47</v>
      </c>
      <c r="J495" s="57" t="str">
        <f>IF(Associates_Call_List_PQ!J495="","",Associates_Call_List_PQ!J495)</f>
        <v>No</v>
      </c>
      <c r="K495" s="57" t="str">
        <f>IF(Associates_Call_List_PQ!K495="","",Associates_Call_List_PQ!K495)</f>
        <v>No</v>
      </c>
      <c r="L495" s="57" t="str">
        <f>IF(Associates_Call_List_PQ!L495="","",Associates_Call_List_PQ!L495)</f>
        <v>Yes</v>
      </c>
      <c r="M495" s="57" t="str">
        <f>IF(Associates_Call_List_PQ!M495="","",Associates_Call_List_PQ!M495)</f>
        <v>No</v>
      </c>
      <c r="N495" s="57" t="str">
        <f>IF(Associates_Call_List_PQ!N495="","",Associates_Call_List_PQ!N495)</f>
        <v>No</v>
      </c>
      <c r="O495" s="57" t="str">
        <f>IF(Associates_Call_List_PQ!O495="","",Associates_Call_List_PQ!O495)</f>
        <v>Yes</v>
      </c>
      <c r="P495" s="57" t="str">
        <f>IF(Associates_Call_List_PQ!P495="","",Associates_Call_List_PQ!P495)</f>
        <v>N</v>
      </c>
      <c r="Q495" s="57">
        <f>IF(Associates_Call_List_PQ!Q495="","",Associates_Call_List_PQ!Q495)</f>
        <v>45966</v>
      </c>
      <c r="R495" s="57" t="str">
        <f>IF(Associates_Call_List_PQ!R495="","",Associates_Call_List_PQ!R495)</f>
        <v/>
      </c>
      <c r="S495" s="57" t="str">
        <f>IF(Associates_Call_List_PQ!S495="","",Associates_Call_List_PQ!S495)</f>
        <v/>
      </c>
      <c r="T495" s="57" t="str">
        <f>IF(Associates_Call_List_PQ!T495="","",Associates_Call_List_PQ!T495)</f>
        <v/>
      </c>
      <c r="U495" s="57" t="str">
        <f>IF(Associates_Call_List_PQ!U495="","",Associates_Call_List_PQ!U495)</f>
        <v>filed 2x on this day</v>
      </c>
      <c r="V495" s="68"/>
      <c r="W495" s="68" t="s">
        <v>5432</v>
      </c>
      <c r="X495" s="68"/>
      <c r="Y495" s="68"/>
      <c r="Z495" s="72"/>
    </row>
    <row r="496" spans="1:26">
      <c r="A496" s="71">
        <f>IFERROR(Associates_Call_List_PQ!A496,"")</f>
        <v>45905</v>
      </c>
      <c r="B496" s="57" t="str">
        <f>IF(Associates_Call_List_PQ!B496="","",Associates_Call_List_PQ!B496)</f>
        <v>Phipps</v>
      </c>
      <c r="C496" s="57" t="str">
        <f>IF(Associates_Call_List_PQ!C496="","",Associates_Call_List_PQ!C496)</f>
        <v>Michelle</v>
      </c>
      <c r="D496" s="57" t="str">
        <f>IF(Associates_Call_List_PQ!D496="","",Associates_Call_List_PQ!D496)</f>
        <v>Casa Grande</v>
      </c>
      <c r="E496" s="58">
        <f>IF(Associates_Call_List_PQ!E496="","",Associates_Call_List_PQ!E496)</f>
        <v>85122</v>
      </c>
      <c r="F496" s="57" t="str">
        <f>IF(Associates_Call_List_PQ!F496="","",Associates_Call_List_PQ!F496)</f>
        <v>Opposed, out of control</v>
      </c>
      <c r="G496" s="57" t="str">
        <f>IF(Associates_Call_List_PQ!G496="","",Associates_Call_List_PQ!G496)</f>
        <v>https://images.edocket.azcc.gov/docketpdf/E000046230.pdf</v>
      </c>
      <c r="H496" s="59" t="str">
        <f>IF(Associates_Call_List_PQ!H496="","",Associates_Call_List_PQ!H496)</f>
        <v xml:space="preserve">5137610000 </v>
      </c>
      <c r="I496" s="57" t="str">
        <f>IF(Associates_Call_List_PQ!I496="","",Associates_Call_List_PQ!I496)</f>
        <v>RTOUE47</v>
      </c>
      <c r="J496" s="57" t="str">
        <f>IF(Associates_Call_List_PQ!J496="","",Associates_Call_List_PQ!J496)</f>
        <v>Yes</v>
      </c>
      <c r="K496" s="57" t="str">
        <f>IF(Associates_Call_List_PQ!K496="","",Associates_Call_List_PQ!K496)</f>
        <v>No</v>
      </c>
      <c r="L496" s="57" t="str">
        <f>IF(Associates_Call_List_PQ!L496="","",Associates_Call_List_PQ!L496)</f>
        <v>No MEP R3-47($1.24)</v>
      </c>
      <c r="M496" s="57" t="str">
        <f>IF(Associates_Call_List_PQ!M496="","",Associates_Call_List_PQ!M496)</f>
        <v>No</v>
      </c>
      <c r="N496" s="57" t="str">
        <f>IF(Associates_Call_List_PQ!N496="","",Associates_Call_List_PQ!N496)</f>
        <v>No</v>
      </c>
      <c r="O496" s="57" t="str">
        <f>IF(Associates_Call_List_PQ!O496="","",Associates_Call_List_PQ!O496)</f>
        <v>Yes</v>
      </c>
      <c r="P496" s="57" t="str">
        <f>IF(Associates_Call_List_PQ!P496="","",Associates_Call_List_PQ!P496)</f>
        <v>N</v>
      </c>
      <c r="Q496" s="57">
        <f>IF(Associates_Call_List_PQ!Q496="","",Associates_Call_List_PQ!Q496)</f>
        <v>45966</v>
      </c>
      <c r="R496" s="57" t="str">
        <f>IF(Associates_Call_List_PQ!R496="","",Associates_Call_List_PQ!R496)</f>
        <v/>
      </c>
      <c r="S496" s="57" t="str">
        <f>IF(Associates_Call_List_PQ!S496="","",Associates_Call_List_PQ!S496)</f>
        <v/>
      </c>
      <c r="T496" s="57" t="str">
        <f>IF(Associates_Call_List_PQ!T496="","",Associates_Call_List_PQ!T496)</f>
        <v/>
      </c>
      <c r="U496" s="57" t="str">
        <f>IF(Associates_Call_List_PQ!U496="","",Associates_Call_List_PQ!U496)</f>
        <v/>
      </c>
      <c r="V496" s="68" t="s">
        <v>5433</v>
      </c>
      <c r="W496" s="68">
        <v>46046</v>
      </c>
      <c r="X496" s="68" t="s">
        <v>5434</v>
      </c>
      <c r="Y496" s="68"/>
      <c r="Z496" s="72" t="s">
        <v>5599</v>
      </c>
    </row>
    <row r="497" spans="1:26">
      <c r="A497" s="71">
        <f>IFERROR(Associates_Call_List_PQ!A497,"")</f>
        <v>45905</v>
      </c>
      <c r="B497" s="57" t="str">
        <f>IF(Associates_Call_List_PQ!B497="","",Associates_Call_List_PQ!B497)</f>
        <v>Albers</v>
      </c>
      <c r="C497" s="57" t="str">
        <f>IF(Associates_Call_List_PQ!C497="","",Associates_Call_List_PQ!C497)</f>
        <v xml:space="preserve">Ann </v>
      </c>
      <c r="D497" s="57" t="str">
        <f>IF(Associates_Call_List_PQ!D497="","",Associates_Call_List_PQ!D497)</f>
        <v>Phoenix</v>
      </c>
      <c r="E497" s="58">
        <f>IF(Associates_Call_List_PQ!E497="","",Associates_Call_List_PQ!E497)</f>
        <v>85032</v>
      </c>
      <c r="F497" s="57" t="str">
        <f>IF(Associates_Call_List_PQ!F497="","",Associates_Call_List_PQ!F497)</f>
        <v>Form letter</v>
      </c>
      <c r="G497" s="57" t="str">
        <f>IF(Associates_Call_List_PQ!G497="","",Associates_Call_List_PQ!G497)</f>
        <v>https://images.edocket.azcc.gov/docketpdf/E000046230.pdf</v>
      </c>
      <c r="H497" s="59" t="str">
        <f>IF(Associates_Call_List_PQ!H497="","",Associates_Call_List_PQ!H497)</f>
        <v xml:space="preserve">2398680000 </v>
      </c>
      <c r="I497" s="57" t="str">
        <f>IF(Associates_Call_List_PQ!I497="","",Associates_Call_List_PQ!I497)</f>
        <v>R-2</v>
      </c>
      <c r="J497" s="57" t="str">
        <f>IF(Associates_Call_List_PQ!J497="","",Associates_Call_List_PQ!J497)</f>
        <v>No</v>
      </c>
      <c r="K497" s="57" t="str">
        <f>IF(Associates_Call_List_PQ!K497="","",Associates_Call_List_PQ!K497)</f>
        <v>No</v>
      </c>
      <c r="L497" s="57" t="str">
        <f>IF(Associates_Call_List_PQ!L497="","",Associates_Call_List_PQ!L497)</f>
        <v>Frozen Rate</v>
      </c>
      <c r="M497" s="57" t="str">
        <f>IF(Associates_Call_List_PQ!M497="","",Associates_Call_List_PQ!M497)</f>
        <v>No</v>
      </c>
      <c r="N497" s="57" t="str">
        <f>IF(Associates_Call_List_PQ!N497="","",Associates_Call_List_PQ!N497)</f>
        <v>No</v>
      </c>
      <c r="O497" s="57" t="str">
        <f>IF(Associates_Call_List_PQ!O497="","",Associates_Call_List_PQ!O497)</f>
        <v>Yes</v>
      </c>
      <c r="P497" s="57" t="str">
        <f>IF(Associates_Call_List_PQ!P497="","",Associates_Call_List_PQ!P497)</f>
        <v>N</v>
      </c>
      <c r="Q497" s="57">
        <f>IF(Associates_Call_List_PQ!Q497="","",Associates_Call_List_PQ!Q497)</f>
        <v>45966</v>
      </c>
      <c r="R497" s="57" t="str">
        <f>IF(Associates_Call_List_PQ!R497="","",Associates_Call_List_PQ!R497)</f>
        <v/>
      </c>
      <c r="S497" s="57" t="str">
        <f>IF(Associates_Call_List_PQ!S497="","",Associates_Call_List_PQ!S497)</f>
        <v/>
      </c>
      <c r="T497" s="57" t="str">
        <f>IF(Associates_Call_List_PQ!T497="","",Associates_Call_List_PQ!T497)</f>
        <v/>
      </c>
      <c r="U497" s="57" t="str">
        <f>IF(Associates_Call_List_PQ!U497="","",Associates_Call_List_PQ!U497)</f>
        <v/>
      </c>
      <c r="V497" s="68"/>
      <c r="W497" s="68" t="s">
        <v>5432</v>
      </c>
      <c r="X497" s="68"/>
      <c r="Y497" s="68"/>
      <c r="Z497" s="72"/>
    </row>
    <row r="498" spans="1:26">
      <c r="A498" s="71">
        <f>IFERROR(Associates_Call_List_PQ!A498,"")</f>
        <v>45905</v>
      </c>
      <c r="B498" s="57" t="str">
        <f>IF(Associates_Call_List_PQ!B498="","",Associates_Call_List_PQ!B498)</f>
        <v>Calvert</v>
      </c>
      <c r="C498" s="57" t="str">
        <f>IF(Associates_Call_List_PQ!C498="","",Associates_Call_List_PQ!C498)</f>
        <v>Tess</v>
      </c>
      <c r="D498" s="57" t="str">
        <f>IF(Associates_Call_List_PQ!D498="","",Associates_Call_List_PQ!D498)</f>
        <v>Phoenix</v>
      </c>
      <c r="E498" s="58">
        <f>IF(Associates_Call_List_PQ!E498="","",Associates_Call_List_PQ!E498)</f>
        <v>85007</v>
      </c>
      <c r="F498" s="57" t="str">
        <f>IF(Associates_Call_List_PQ!F498="","",Associates_Call_List_PQ!F498)</f>
        <v>Barely afford now</v>
      </c>
      <c r="G498" s="57" t="str">
        <f>IF(Associates_Call_List_PQ!G498="","",Associates_Call_List_PQ!G498)</f>
        <v>https://images.edocket.azcc.gov/docketpdf/E000046230.pdf</v>
      </c>
      <c r="H498" s="59" t="str">
        <f>IF(Associates_Call_List_PQ!H498="","",Associates_Call_List_PQ!H498)</f>
        <v>9093518390 </v>
      </c>
      <c r="I498" s="57" t="str">
        <f>IF(Associates_Call_List_PQ!I498="","",Associates_Call_List_PQ!I498)</f>
        <v>RTOUE47</v>
      </c>
      <c r="J498" s="57" t="str">
        <f>IF(Associates_Call_List_PQ!J498="","",Associates_Call_List_PQ!J498)</f>
        <v>No</v>
      </c>
      <c r="K498" s="57" t="str">
        <f>IF(Associates_Call_List_PQ!K498="","",Associates_Call_List_PQ!K498)</f>
        <v>No</v>
      </c>
      <c r="L498" s="57" t="str">
        <f>IF(Associates_Call_List_PQ!L498="","",Associates_Call_List_PQ!L498)</f>
        <v>No MEP R3-47(517.75)</v>
      </c>
      <c r="M498" s="57" t="str">
        <f>IF(Associates_Call_List_PQ!M498="","",Associates_Call_List_PQ!M498)</f>
        <v>No</v>
      </c>
      <c r="N498" s="57" t="str">
        <f>IF(Associates_Call_List_PQ!N498="","",Associates_Call_List_PQ!N498)</f>
        <v>No</v>
      </c>
      <c r="O498" s="57" t="str">
        <f>IF(Associates_Call_List_PQ!O498="","",Associates_Call_List_PQ!O498)</f>
        <v>Yes</v>
      </c>
      <c r="P498" s="57">
        <f>IF(Associates_Call_List_PQ!P498="","",Associates_Call_List_PQ!P498)</f>
        <v>45936</v>
      </c>
      <c r="Q498" s="57">
        <f>IF(Associates_Call_List_PQ!Q498="","",Associates_Call_List_PQ!Q498)</f>
        <v>45966</v>
      </c>
      <c r="R498" s="57" t="str">
        <f>IF(Associates_Call_List_PQ!R498="","",Associates_Call_List_PQ!R498)</f>
        <v>COR will think about potentially changing to MEP- cor is upset at potentiall rate changes in the future - 10/15 COR MADE RATE CHANGE ONLINE</v>
      </c>
      <c r="S498" s="57" t="str">
        <f>IF(Associates_Call_List_PQ!S498="","",Associates_Call_List_PQ!S498)</f>
        <v/>
      </c>
      <c r="T498" s="57" t="str">
        <f>IF(Associates_Call_List_PQ!T498="","",Associates_Call_List_PQ!T498)</f>
        <v/>
      </c>
      <c r="U498" s="57" t="str">
        <f>IF(Associates_Call_List_PQ!U498="","",Associates_Call_List_PQ!U498)</f>
        <v/>
      </c>
      <c r="V498" s="68" t="s">
        <v>5433</v>
      </c>
      <c r="W498" s="68">
        <v>46060</v>
      </c>
      <c r="X498" s="68" t="s">
        <v>5405</v>
      </c>
      <c r="Y498" s="68" t="s">
        <v>5461</v>
      </c>
      <c r="Z498" s="72"/>
    </row>
    <row r="499" spans="1:26">
      <c r="A499" s="71">
        <f>IFERROR(Associates_Call_List_PQ!A499,"")</f>
        <v>45905</v>
      </c>
      <c r="B499" s="57" t="str">
        <f>IF(Associates_Call_List_PQ!B499="","",Associates_Call_List_PQ!B499)</f>
        <v>Hurd</v>
      </c>
      <c r="C499" s="57" t="str">
        <f>IF(Associates_Call_List_PQ!C499="","",Associates_Call_List_PQ!C499)</f>
        <v>Robert</v>
      </c>
      <c r="D499" s="57" t="str">
        <f>IF(Associates_Call_List_PQ!D499="","",Associates_Call_List_PQ!D499)</f>
        <v>Goodyear</v>
      </c>
      <c r="E499" s="58">
        <f>IF(Associates_Call_List_PQ!E499="","",Associates_Call_List_PQ!E499)</f>
        <v>85395</v>
      </c>
      <c r="F499" s="57" t="str">
        <f>IF(Associates_Call_List_PQ!F499="","",Associates_Call_List_PQ!F499)</f>
        <v>Middle class are suffering enough</v>
      </c>
      <c r="G499" s="57" t="str">
        <f>IF(Associates_Call_List_PQ!G499="","",Associates_Call_List_PQ!G499)</f>
        <v>https://images.edocket.azcc.gov/docketpdf/E000046230.pdf</v>
      </c>
      <c r="H499" s="59" t="str">
        <f>IF(Associates_Call_List_PQ!H499="","",Associates_Call_List_PQ!H499)</f>
        <v>8365380635 </v>
      </c>
      <c r="I499" s="57" t="str">
        <f>IF(Associates_Call_List_PQ!I499="","",Associates_Call_List_PQ!I499)</f>
        <v>R3-47</v>
      </c>
      <c r="J499" s="57" t="str">
        <f>IF(Associates_Call_List_PQ!J499="","",Associates_Call_List_PQ!J499)</f>
        <v>No</v>
      </c>
      <c r="K499" s="57" t="str">
        <f>IF(Associates_Call_List_PQ!K499="","",Associates_Call_List_PQ!K499)</f>
        <v>No</v>
      </c>
      <c r="L499" s="57" t="str">
        <f>IF(Associates_Call_List_PQ!L499="","",Associates_Call_List_PQ!L499)</f>
        <v>Yes</v>
      </c>
      <c r="M499" s="57" t="str">
        <f>IF(Associates_Call_List_PQ!M499="","",Associates_Call_List_PQ!M499)</f>
        <v>No</v>
      </c>
      <c r="N499" s="57" t="str">
        <f>IF(Associates_Call_List_PQ!N499="","",Associates_Call_List_PQ!N499)</f>
        <v>No</v>
      </c>
      <c r="O499" s="57" t="str">
        <f>IF(Associates_Call_List_PQ!O499="","",Associates_Call_List_PQ!O499)</f>
        <v>Yes</v>
      </c>
      <c r="P499" s="57" t="str">
        <f>IF(Associates_Call_List_PQ!P499="","",Associates_Call_List_PQ!P499)</f>
        <v>N</v>
      </c>
      <c r="Q499" s="57">
        <f>IF(Associates_Call_List_PQ!Q499="","",Associates_Call_List_PQ!Q499)</f>
        <v>45966</v>
      </c>
      <c r="R499" s="57" t="str">
        <f>IF(Associates_Call_List_PQ!R499="","",Associates_Call_List_PQ!R499)</f>
        <v/>
      </c>
      <c r="S499" s="57" t="str">
        <f>IF(Associates_Call_List_PQ!S499="","",Associates_Call_List_PQ!S499)</f>
        <v/>
      </c>
      <c r="T499" s="57" t="str">
        <f>IF(Associates_Call_List_PQ!T499="","",Associates_Call_List_PQ!T499)</f>
        <v/>
      </c>
      <c r="U499" s="57" t="str">
        <f>IF(Associates_Call_List_PQ!U499="","",Associates_Call_List_PQ!U499)</f>
        <v/>
      </c>
      <c r="V499" s="68"/>
      <c r="W499" s="68" t="s">
        <v>5432</v>
      </c>
      <c r="X499" s="68"/>
      <c r="Y499" s="68"/>
      <c r="Z499" s="72"/>
    </row>
    <row r="500" spans="1:26">
      <c r="A500" s="71">
        <f>IFERROR(Associates_Call_List_PQ!A500,"")</f>
        <v>45905</v>
      </c>
      <c r="B500" s="57" t="str">
        <f>IF(Associates_Call_List_PQ!B500="","",Associates_Call_List_PQ!B500)</f>
        <v>Li</v>
      </c>
      <c r="C500" s="57" t="str">
        <f>IF(Associates_Call_List_PQ!C500="","",Associates_Call_List_PQ!C500)</f>
        <v>Duo</v>
      </c>
      <c r="D500" s="57" t="str">
        <f>IF(Associates_Call_List_PQ!D500="","",Associates_Call_List_PQ!D500)</f>
        <v>Peoria</v>
      </c>
      <c r="E500" s="58">
        <f>IF(Associates_Call_List_PQ!E500="","",Associates_Call_List_PQ!E500)</f>
        <v>85383</v>
      </c>
      <c r="F500" s="57" t="str">
        <f>IF(Associates_Call_List_PQ!F500="","",Associates_Call_List_PQ!F500)</f>
        <v>Form letter</v>
      </c>
      <c r="G500" s="57" t="str">
        <f>IF(Associates_Call_List_PQ!G500="","",Associates_Call_List_PQ!G500)</f>
        <v>https://images.edocket.azcc.gov/docketpdf/E000046230.pdf</v>
      </c>
      <c r="H500" s="59" t="str">
        <f>IF(Associates_Call_List_PQ!H500="","",Associates_Call_List_PQ!H500)</f>
        <v xml:space="preserve">2557440000 </v>
      </c>
      <c r="I500" s="57" t="str">
        <f>IF(Associates_Call_List_PQ!I500="","",Associates_Call_List_PQ!I500)</f>
        <v>EPR-6w/E-12</v>
      </c>
      <c r="J500" s="57" t="str">
        <f>IF(Associates_Call_List_PQ!J500="","",Associates_Call_List_PQ!J500)</f>
        <v>No</v>
      </c>
      <c r="K500" s="57" t="str">
        <f>IF(Associates_Call_List_PQ!K500="","",Associates_Call_List_PQ!K500)</f>
        <v>No</v>
      </c>
      <c r="L500" s="57" t="str">
        <f>IF(Associates_Call_List_PQ!L500="","",Associates_Call_List_PQ!L500)</f>
        <v>Frozen Rate</v>
      </c>
      <c r="M500" s="57" t="str">
        <f>IF(Associates_Call_List_PQ!M500="","",Associates_Call_List_PQ!M500)</f>
        <v>No</v>
      </c>
      <c r="N500" s="57" t="str">
        <f>IF(Associates_Call_List_PQ!N500="","",Associates_Call_List_PQ!N500)</f>
        <v>No</v>
      </c>
      <c r="O500" s="57" t="str">
        <f>IF(Associates_Call_List_PQ!O500="","",Associates_Call_List_PQ!O500)</f>
        <v>Yes</v>
      </c>
      <c r="P500" s="57" t="str">
        <f>IF(Associates_Call_List_PQ!P500="","",Associates_Call_List_PQ!P500)</f>
        <v>N</v>
      </c>
      <c r="Q500" s="57">
        <f>IF(Associates_Call_List_PQ!Q500="","",Associates_Call_List_PQ!Q500)</f>
        <v>45966</v>
      </c>
      <c r="R500" s="57" t="str">
        <f>IF(Associates_Call_List_PQ!R500="","",Associates_Call_List_PQ!R500)</f>
        <v/>
      </c>
      <c r="S500" s="57" t="str">
        <f>IF(Associates_Call_List_PQ!S500="","",Associates_Call_List_PQ!S500)</f>
        <v/>
      </c>
      <c r="T500" s="57" t="str">
        <f>IF(Associates_Call_List_PQ!T500="","",Associates_Call_List_PQ!T500)</f>
        <v/>
      </c>
      <c r="U500" s="57" t="str">
        <f>IF(Associates_Call_List_PQ!U500="","",Associates_Call_List_PQ!U500)</f>
        <v/>
      </c>
      <c r="V500" s="68"/>
      <c r="W500" s="68" t="s">
        <v>5432</v>
      </c>
      <c r="X500" s="68"/>
      <c r="Y500" s="68"/>
      <c r="Z500" s="72"/>
    </row>
    <row r="501" spans="1:26">
      <c r="A501" s="71">
        <f>IFERROR(Associates_Call_List_PQ!A501,"")</f>
        <v>45905</v>
      </c>
      <c r="B501" s="57" t="str">
        <f>IF(Associates_Call_List_PQ!B501="","",Associates_Call_List_PQ!B501)</f>
        <v>Pereluka</v>
      </c>
      <c r="C501" s="57" t="str">
        <f>IF(Associates_Call_List_PQ!C501="","",Associates_Call_List_PQ!C501)</f>
        <v>Vasyl</v>
      </c>
      <c r="D501" s="57" t="str">
        <f>IF(Associates_Call_List_PQ!D501="","",Associates_Call_List_PQ!D501)</f>
        <v>Phoenix</v>
      </c>
      <c r="E501" s="58">
        <f>IF(Associates_Call_List_PQ!E501="","",Associates_Call_List_PQ!E501)</f>
        <v>85012</v>
      </c>
      <c r="F501" s="57" t="str">
        <f>IF(Associates_Call_List_PQ!F501="","",Associates_Call_List_PQ!F501)</f>
        <v>not interested in paying more</v>
      </c>
      <c r="G501" s="57" t="str">
        <f>IF(Associates_Call_List_PQ!G501="","",Associates_Call_List_PQ!G501)</f>
        <v>https://images.edocket.azcc.gov/docketpdf/E000046230.pdf</v>
      </c>
      <c r="H501" s="59" t="str">
        <f>IF(Associates_Call_List_PQ!H501="","",Associates_Call_List_PQ!H501)</f>
        <v xml:space="preserve">6098358533 </v>
      </c>
      <c r="I501" s="57" t="str">
        <f>IF(Associates_Call_List_PQ!I501="","",Associates_Call_List_PQ!I501)</f>
        <v>R-XS</v>
      </c>
      <c r="J501" s="57" t="str">
        <f>IF(Associates_Call_List_PQ!J501="","",Associates_Call_List_PQ!J501)</f>
        <v>No</v>
      </c>
      <c r="K501" s="57" t="str">
        <f>IF(Associates_Call_List_PQ!K501="","",Associates_Call_List_PQ!K501)</f>
        <v>No</v>
      </c>
      <c r="L501" s="57" t="str">
        <f>IF(Associates_Call_List_PQ!L501="","",Associates_Call_List_PQ!L501)</f>
        <v>Yes</v>
      </c>
      <c r="M501" s="57" t="str">
        <f>IF(Associates_Call_List_PQ!M501="","",Associates_Call_List_PQ!M501)</f>
        <v>No</v>
      </c>
      <c r="N501" s="57" t="str">
        <f>IF(Associates_Call_List_PQ!N501="","",Associates_Call_List_PQ!N501)</f>
        <v>No</v>
      </c>
      <c r="O501" s="57" t="str">
        <f>IF(Associates_Call_List_PQ!O501="","",Associates_Call_List_PQ!O501)</f>
        <v>Yes</v>
      </c>
      <c r="P501" s="57" t="str">
        <f>IF(Associates_Call_List_PQ!P501="","",Associates_Call_List_PQ!P501)</f>
        <v>N</v>
      </c>
      <c r="Q501" s="57">
        <f>IF(Associates_Call_List_PQ!Q501="","",Associates_Call_List_PQ!Q501)</f>
        <v>45966</v>
      </c>
      <c r="R501" s="57" t="str">
        <f>IF(Associates_Call_List_PQ!R501="","",Associates_Call_List_PQ!R501)</f>
        <v/>
      </c>
      <c r="S501" s="57" t="str">
        <f>IF(Associates_Call_List_PQ!S501="","",Associates_Call_List_PQ!S501)</f>
        <v/>
      </c>
      <c r="T501" s="57" t="str">
        <f>IF(Associates_Call_List_PQ!T501="","",Associates_Call_List_PQ!T501)</f>
        <v/>
      </c>
      <c r="U501" s="57" t="str">
        <f>IF(Associates_Call_List_PQ!U501="","",Associates_Call_List_PQ!U501)</f>
        <v/>
      </c>
      <c r="V501" s="68"/>
      <c r="W501" s="68" t="s">
        <v>5432</v>
      </c>
      <c r="X501" s="68"/>
      <c r="Y501" s="68"/>
      <c r="Z501" s="72"/>
    </row>
    <row r="502" spans="1:26">
      <c r="A502" s="71">
        <f>IFERROR(Associates_Call_List_PQ!A502,"")</f>
        <v>45905</v>
      </c>
      <c r="B502" s="57" t="str">
        <f>IF(Associates_Call_List_PQ!B502="","",Associates_Call_List_PQ!B502)</f>
        <v>Wagner</v>
      </c>
      <c r="C502" s="57" t="str">
        <f>IF(Associates_Call_List_PQ!C502="","",Associates_Call_List_PQ!C502)</f>
        <v>Ryan</v>
      </c>
      <c r="D502" s="57" t="str">
        <f>IF(Associates_Call_List_PQ!D502="","",Associates_Call_List_PQ!D502)</f>
        <v>Scottsdale</v>
      </c>
      <c r="E502" s="58">
        <f>IF(Associates_Call_List_PQ!E502="","",Associates_Call_List_PQ!E502)</f>
        <v>85259</v>
      </c>
      <c r="F502" s="57" t="str">
        <f>IF(Associates_Call_List_PQ!F502="","",Associates_Call_List_PQ!F502)</f>
        <v>Opposed</v>
      </c>
      <c r="G502" s="57" t="str">
        <f>IF(Associates_Call_List_PQ!G502="","",Associates_Call_List_PQ!G502)</f>
        <v>https://images.edocket.azcc.gov/docketpdf/E000046230.pdf</v>
      </c>
      <c r="H502" s="59" t="str">
        <f>IF(Associates_Call_List_PQ!H502="","",Associates_Call_List_PQ!H502)</f>
        <v xml:space="preserve">2160086156 </v>
      </c>
      <c r="I502" s="57" t="str">
        <f>IF(Associates_Call_List_PQ!I502="","",Associates_Call_List_PQ!I502)</f>
        <v>R3-47</v>
      </c>
      <c r="J502" s="57" t="str">
        <f>IF(Associates_Call_List_PQ!J502="","",Associates_Call_List_PQ!J502)</f>
        <v>No</v>
      </c>
      <c r="K502" s="57" t="str">
        <f>IF(Associates_Call_List_PQ!K502="","",Associates_Call_List_PQ!K502)</f>
        <v>No</v>
      </c>
      <c r="L502" s="57" t="str">
        <f>IF(Associates_Call_List_PQ!L502="","",Associates_Call_List_PQ!L502)</f>
        <v>Yes</v>
      </c>
      <c r="M502" s="57" t="str">
        <f>IF(Associates_Call_List_PQ!M502="","",Associates_Call_List_PQ!M502)</f>
        <v>No</v>
      </c>
      <c r="N502" s="57" t="str">
        <f>IF(Associates_Call_List_PQ!N502="","",Associates_Call_List_PQ!N502)</f>
        <v>No</v>
      </c>
      <c r="O502" s="57" t="str">
        <f>IF(Associates_Call_List_PQ!O502="","",Associates_Call_List_PQ!O502)</f>
        <v>Yes</v>
      </c>
      <c r="P502" s="57" t="str">
        <f>IF(Associates_Call_List_PQ!P502="","",Associates_Call_List_PQ!P502)</f>
        <v>N</v>
      </c>
      <c r="Q502" s="57">
        <f>IF(Associates_Call_List_PQ!Q502="","",Associates_Call_List_PQ!Q502)</f>
        <v>45966</v>
      </c>
      <c r="R502" s="57" t="str">
        <f>IF(Associates_Call_List_PQ!R502="","",Associates_Call_List_PQ!R502)</f>
        <v>10/9 changed rate to REV</v>
      </c>
      <c r="S502" s="57" t="str">
        <f>IF(Associates_Call_List_PQ!S502="","",Associates_Call_List_PQ!S502)</f>
        <v/>
      </c>
      <c r="T502" s="57" t="str">
        <f>IF(Associates_Call_List_PQ!T502="","",Associates_Call_List_PQ!T502)</f>
        <v/>
      </c>
      <c r="U502" s="57" t="str">
        <f>IF(Associates_Call_List_PQ!U502="","",Associates_Call_List_PQ!U502)</f>
        <v/>
      </c>
      <c r="V502" s="68"/>
      <c r="W502" s="68" t="s">
        <v>5432</v>
      </c>
      <c r="X502" s="68"/>
      <c r="Y502" s="68"/>
      <c r="Z502" s="72"/>
    </row>
    <row r="503" spans="1:26">
      <c r="A503" s="71">
        <f>IFERROR(Associates_Call_List_PQ!A503,"")</f>
        <v>45905</v>
      </c>
      <c r="B503" s="57" t="str">
        <f>IF(Associates_Call_List_PQ!B503="","",Associates_Call_List_PQ!B503)</f>
        <v>Smith</v>
      </c>
      <c r="C503" s="57" t="str">
        <f>IF(Associates_Call_List_PQ!C503="","",Associates_Call_List_PQ!C503)</f>
        <v>Jordon</v>
      </c>
      <c r="D503" s="57" t="str">
        <f>IF(Associates_Call_List_PQ!D503="","",Associates_Call_List_PQ!D503)</f>
        <v>Phoenix</v>
      </c>
      <c r="E503" s="58">
        <f>IF(Associates_Call_List_PQ!E503="","",Associates_Call_List_PQ!E503)</f>
        <v>85028</v>
      </c>
      <c r="F503" s="57" t="str">
        <f>IF(Associates_Call_List_PQ!F503="","",Associates_Call_List_PQ!F503)</f>
        <v>Opposed</v>
      </c>
      <c r="G503" s="57" t="str">
        <f>IF(Associates_Call_List_PQ!G503="","",Associates_Call_List_PQ!G503)</f>
        <v>https://images.edocket.azcc.gov/docketpdf/E000046230.pdf</v>
      </c>
      <c r="H503" s="59" t="str">
        <f>IF(Associates_Call_List_PQ!H503="","",Associates_Call_List_PQ!H503)</f>
        <v xml:space="preserve">5161972296 </v>
      </c>
      <c r="I503" s="57" t="str">
        <f>IF(Associates_Call_List_PQ!I503="","",Associates_Call_List_PQ!I503)</f>
        <v>R-BASICL</v>
      </c>
      <c r="J503" s="57" t="str">
        <f>IF(Associates_Call_List_PQ!J503="","",Associates_Call_List_PQ!J503)</f>
        <v>No</v>
      </c>
      <c r="K503" s="57" t="str">
        <f>IF(Associates_Call_List_PQ!K503="","",Associates_Call_List_PQ!K503)</f>
        <v>No</v>
      </c>
      <c r="L503" s="57" t="str">
        <f>IF(Associates_Call_List_PQ!L503="","",Associates_Call_List_PQ!L503)</f>
        <v>No MEP R3-47($694.71)</v>
      </c>
      <c r="M503" s="57" t="str">
        <f>IF(Associates_Call_List_PQ!M503="","",Associates_Call_List_PQ!M503)</f>
        <v>No</v>
      </c>
      <c r="N503" s="57" t="str">
        <f>IF(Associates_Call_List_PQ!N503="","",Associates_Call_List_PQ!N503)</f>
        <v>No</v>
      </c>
      <c r="O503" s="57" t="str">
        <f>IF(Associates_Call_List_PQ!O503="","",Associates_Call_List_PQ!O503)</f>
        <v>Yes</v>
      </c>
      <c r="P503" s="57">
        <f>IF(Associates_Call_List_PQ!P503="","",Associates_Call_List_PQ!P503)</f>
        <v>45936</v>
      </c>
      <c r="Q503" s="57">
        <f>IF(Associates_Call_List_PQ!Q503="","",Associates_Call_List_PQ!Q503)</f>
        <v>45966</v>
      </c>
      <c r="R503" s="57" t="str">
        <f>IF(Associates_Call_List_PQ!R503="","",Associates_Call_List_PQ!R503)</f>
        <v>10/06/2025 left vm</v>
      </c>
      <c r="S503" s="57" t="str">
        <f>IF(Associates_Call_List_PQ!S503="","",Associates_Call_List_PQ!S503)</f>
        <v/>
      </c>
      <c r="T503" s="57" t="str">
        <f>IF(Associates_Call_List_PQ!T503="","",Associates_Call_List_PQ!T503)</f>
        <v/>
      </c>
      <c r="U503" s="57" t="str">
        <f>IF(Associates_Call_List_PQ!U503="","",Associates_Call_List_PQ!U503)</f>
        <v/>
      </c>
      <c r="V503" s="68" t="s">
        <v>5433</v>
      </c>
      <c r="W503" s="68">
        <v>46046</v>
      </c>
      <c r="X503" s="68" t="s">
        <v>5434</v>
      </c>
      <c r="Y503" s="68"/>
      <c r="Z503" s="72" t="s">
        <v>5599</v>
      </c>
    </row>
    <row r="504" spans="1:26">
      <c r="A504" s="71">
        <f>IFERROR(Associates_Call_List_PQ!A504,"")</f>
        <v>45905</v>
      </c>
      <c r="B504" s="57" t="str">
        <f>IF(Associates_Call_List_PQ!B504="","",Associates_Call_List_PQ!B504)</f>
        <v>Long</v>
      </c>
      <c r="C504" s="57" t="str">
        <f>IF(Associates_Call_List_PQ!C504="","",Associates_Call_List_PQ!C504)</f>
        <v>Dana</v>
      </c>
      <c r="D504" s="57" t="str">
        <f>IF(Associates_Call_List_PQ!D504="","",Associates_Call_List_PQ!D504)</f>
        <v>Phoenix</v>
      </c>
      <c r="E504" s="58">
        <f>IF(Associates_Call_List_PQ!E504="","",Associates_Call_List_PQ!E504)</f>
        <v>85027</v>
      </c>
      <c r="F504" s="57" t="str">
        <f>IF(Associates_Call_List_PQ!F504="","",Associates_Call_List_PQ!F504)</f>
        <v>Form letter</v>
      </c>
      <c r="G504" s="57" t="str">
        <f>IF(Associates_Call_List_PQ!G504="","",Associates_Call_List_PQ!G504)</f>
        <v>https://images.edocket.azcc.gov/docketpdf/E000046230.pdf</v>
      </c>
      <c r="H504" s="59" t="str">
        <f>IF(Associates_Call_List_PQ!H504="","",Associates_Call_List_PQ!H504)</f>
        <v xml:space="preserve">8133906758 </v>
      </c>
      <c r="I504" s="57" t="str">
        <f>IF(Associates_Call_List_PQ!I504="","",Associates_Call_List_PQ!I504)</f>
        <v>R-BASIC</v>
      </c>
      <c r="J504" s="57" t="str">
        <f>IF(Associates_Call_List_PQ!J504="","",Associates_Call_List_PQ!J504)</f>
        <v>No</v>
      </c>
      <c r="K504" s="57" t="str">
        <f>IF(Associates_Call_List_PQ!K504="","",Associates_Call_List_PQ!K504)</f>
        <v>No</v>
      </c>
      <c r="L504" s="57" t="str">
        <f>IF(Associates_Call_List_PQ!L504="","",Associates_Call_List_PQ!L504)</f>
        <v>Yes</v>
      </c>
      <c r="M504" s="57" t="str">
        <f>IF(Associates_Call_List_PQ!M504="","",Associates_Call_List_PQ!M504)</f>
        <v>No</v>
      </c>
      <c r="N504" s="57" t="str">
        <f>IF(Associates_Call_List_PQ!N504="","",Associates_Call_List_PQ!N504)</f>
        <v>No</v>
      </c>
      <c r="O504" s="57" t="str">
        <f>IF(Associates_Call_List_PQ!O504="","",Associates_Call_List_PQ!O504)</f>
        <v>Yes</v>
      </c>
      <c r="P504" s="57" t="str">
        <f>IF(Associates_Call_List_PQ!P504="","",Associates_Call_List_PQ!P504)</f>
        <v>N</v>
      </c>
      <c r="Q504" s="57">
        <f>IF(Associates_Call_List_PQ!Q504="","",Associates_Call_List_PQ!Q504)</f>
        <v>45966</v>
      </c>
      <c r="R504" s="57" t="str">
        <f>IF(Associates_Call_List_PQ!R504="","",Associates_Call_List_PQ!R504)</f>
        <v/>
      </c>
      <c r="S504" s="57" t="str">
        <f>IF(Associates_Call_List_PQ!S504="","",Associates_Call_List_PQ!S504)</f>
        <v/>
      </c>
      <c r="T504" s="57" t="str">
        <f>IF(Associates_Call_List_PQ!T504="","",Associates_Call_List_PQ!T504)</f>
        <v/>
      </c>
      <c r="U504" s="57" t="str">
        <f>IF(Associates_Call_List_PQ!U504="","",Associates_Call_List_PQ!U504)</f>
        <v/>
      </c>
      <c r="V504" s="68"/>
      <c r="W504" s="68" t="s">
        <v>5432</v>
      </c>
      <c r="X504" s="68"/>
      <c r="Y504" s="68"/>
      <c r="Z504" s="72"/>
    </row>
    <row r="505" spans="1:26">
      <c r="A505" s="71">
        <f>IFERROR(Associates_Call_List_PQ!A505,"")</f>
        <v>45905</v>
      </c>
      <c r="B505" s="57" t="str">
        <f>IF(Associates_Call_List_PQ!B505="","",Associates_Call_List_PQ!B505)</f>
        <v>Huynh</v>
      </c>
      <c r="C505" s="57" t="str">
        <f>IF(Associates_Call_List_PQ!C505="","",Associates_Call_List_PQ!C505)</f>
        <v>Nam</v>
      </c>
      <c r="D505" s="57" t="str">
        <f>IF(Associates_Call_List_PQ!D505="","",Associates_Call_List_PQ!D505)</f>
        <v>Buckeye</v>
      </c>
      <c r="E505" s="58">
        <f>IF(Associates_Call_List_PQ!E505="","",Associates_Call_List_PQ!E505)</f>
        <v>85326</v>
      </c>
      <c r="F505" s="57" t="str">
        <f>IF(Associates_Call_List_PQ!F505="","",Associates_Call_List_PQ!F505)</f>
        <v>Strongly opposed</v>
      </c>
      <c r="G505" s="57" t="str">
        <f>IF(Associates_Call_List_PQ!G505="","",Associates_Call_List_PQ!G505)</f>
        <v>https://images.edocket.azcc.gov/docketpdf/E000046230.pdf</v>
      </c>
      <c r="H505" s="59" t="str">
        <f>IF(Associates_Call_List_PQ!H505="","",Associates_Call_List_PQ!H505)</f>
        <v xml:space="preserve">6062541000 </v>
      </c>
      <c r="I505" s="57" t="str">
        <f>IF(Associates_Call_List_PQ!I505="","",Associates_Call_List_PQ!I505)</f>
        <v>R3-47</v>
      </c>
      <c r="J505" s="57" t="str">
        <f>IF(Associates_Call_List_PQ!J505="","",Associates_Call_List_PQ!J505)</f>
        <v>No</v>
      </c>
      <c r="K505" s="57" t="str">
        <f>IF(Associates_Call_List_PQ!K505="","",Associates_Call_List_PQ!K505)</f>
        <v>No</v>
      </c>
      <c r="L505" s="57" t="str">
        <f>IF(Associates_Call_List_PQ!L505="","",Associates_Call_List_PQ!L505)</f>
        <v>Yes</v>
      </c>
      <c r="M505" s="57" t="str">
        <f>IF(Associates_Call_List_PQ!M505="","",Associates_Call_List_PQ!M505)</f>
        <v>No</v>
      </c>
      <c r="N505" s="57" t="str">
        <f>IF(Associates_Call_List_PQ!N505="","",Associates_Call_List_PQ!N505)</f>
        <v>No</v>
      </c>
      <c r="O505" s="57" t="str">
        <f>IF(Associates_Call_List_PQ!O505="","",Associates_Call_List_PQ!O505)</f>
        <v>Yes</v>
      </c>
      <c r="P505" s="57" t="str">
        <f>IF(Associates_Call_List_PQ!P505="","",Associates_Call_List_PQ!P505)</f>
        <v>N</v>
      </c>
      <c r="Q505" s="57">
        <f>IF(Associates_Call_List_PQ!Q505="","",Associates_Call_List_PQ!Q505)</f>
        <v>45966</v>
      </c>
      <c r="R505" s="57" t="str">
        <f>IF(Associates_Call_List_PQ!R505="","",Associates_Call_List_PQ!R505)</f>
        <v/>
      </c>
      <c r="S505" s="57" t="str">
        <f>IF(Associates_Call_List_PQ!S505="","",Associates_Call_List_PQ!S505)</f>
        <v/>
      </c>
      <c r="T505" s="57" t="str">
        <f>IF(Associates_Call_List_PQ!T505="","",Associates_Call_List_PQ!T505)</f>
        <v/>
      </c>
      <c r="U505" s="57" t="str">
        <f>IF(Associates_Call_List_PQ!U505="","",Associates_Call_List_PQ!U505)</f>
        <v/>
      </c>
      <c r="V505" s="68"/>
      <c r="W505" s="68" t="s">
        <v>5432</v>
      </c>
      <c r="X505" s="68"/>
      <c r="Y505" s="68"/>
      <c r="Z505" s="72"/>
    </row>
    <row r="506" spans="1:26">
      <c r="A506" s="71">
        <f>IFERROR(Associates_Call_List_PQ!A506,"")</f>
        <v>45905</v>
      </c>
      <c r="B506" s="57" t="str">
        <f>IF(Associates_Call_List_PQ!B506="","",Associates_Call_List_PQ!B506)</f>
        <v>Duncan</v>
      </c>
      <c r="C506" s="57" t="str">
        <f>IF(Associates_Call_List_PQ!C506="","",Associates_Call_List_PQ!C506)</f>
        <v>Nicholas</v>
      </c>
      <c r="D506" s="57" t="str">
        <f>IF(Associates_Call_List_PQ!D506="","",Associates_Call_List_PQ!D506)</f>
        <v>Phoenix</v>
      </c>
      <c r="E506" s="58">
        <f>IF(Associates_Call_List_PQ!E506="","",Associates_Call_List_PQ!E506)</f>
        <v>85029</v>
      </c>
      <c r="F506" s="57" t="str">
        <f>IF(Associates_Call_List_PQ!F506="","",Associates_Call_List_PQ!F506)</f>
        <v>Form letter</v>
      </c>
      <c r="G506" s="57" t="str">
        <f>IF(Associates_Call_List_PQ!G506="","",Associates_Call_List_PQ!G506)</f>
        <v>https://images.edocket.azcc.gov/docketpdf/E000046230.pdf</v>
      </c>
      <c r="H506" s="59" t="str">
        <f>IF(Associates_Call_List_PQ!H506="","",Associates_Call_List_PQ!H506)</f>
        <v xml:space="preserve">4386253597 </v>
      </c>
      <c r="I506" s="57" t="str">
        <f>IF(Associates_Call_List_PQ!I506="","",Associates_Call_List_PQ!I506)</f>
        <v>RTOUE47</v>
      </c>
      <c r="J506" s="57" t="str">
        <f>IF(Associates_Call_List_PQ!J506="","",Associates_Call_List_PQ!J506)</f>
        <v>No</v>
      </c>
      <c r="K506" s="57" t="str">
        <f>IF(Associates_Call_List_PQ!K506="","",Associates_Call_List_PQ!K506)</f>
        <v>No</v>
      </c>
      <c r="L506" s="57" t="str">
        <f>IF(Associates_Call_List_PQ!L506="","",Associates_Call_List_PQ!L506)</f>
        <v>Yes</v>
      </c>
      <c r="M506" s="57" t="str">
        <f>IF(Associates_Call_List_PQ!M506="","",Associates_Call_List_PQ!M506)</f>
        <v>No</v>
      </c>
      <c r="N506" s="57" t="str">
        <f>IF(Associates_Call_List_PQ!N506="","",Associates_Call_List_PQ!N506)</f>
        <v>No</v>
      </c>
      <c r="O506" s="57" t="str">
        <f>IF(Associates_Call_List_PQ!O506="","",Associates_Call_List_PQ!O506)</f>
        <v>Yes</v>
      </c>
      <c r="P506" s="57" t="str">
        <f>IF(Associates_Call_List_PQ!P506="","",Associates_Call_List_PQ!P506)</f>
        <v>N</v>
      </c>
      <c r="Q506" s="57">
        <f>IF(Associates_Call_List_PQ!Q506="","",Associates_Call_List_PQ!Q506)</f>
        <v>45966</v>
      </c>
      <c r="R506" s="57" t="str">
        <f>IF(Associates_Call_List_PQ!R506="","",Associates_Call_List_PQ!R506)</f>
        <v>No call, will be reassigned next month but total energy usage might keep COR on Tier 2</v>
      </c>
      <c r="S506" s="57" t="str">
        <f>IF(Associates_Call_List_PQ!S506="","",Associates_Call_List_PQ!S506)</f>
        <v/>
      </c>
      <c r="T506" s="57" t="str">
        <f>IF(Associates_Call_List_PQ!T506="","",Associates_Call_List_PQ!T506)</f>
        <v/>
      </c>
      <c r="U506" s="57" t="str">
        <f>IF(Associates_Call_List_PQ!U506="","",Associates_Call_List_PQ!U506)</f>
        <v/>
      </c>
      <c r="V506" s="68"/>
      <c r="W506" s="68" t="s">
        <v>5432</v>
      </c>
      <c r="X506" s="68"/>
      <c r="Y506" s="68"/>
      <c r="Z506" s="72"/>
    </row>
    <row r="507" spans="1:26">
      <c r="A507" s="71">
        <f>IFERROR(Associates_Call_List_PQ!A507,"")</f>
        <v>45905</v>
      </c>
      <c r="B507" s="57" t="str">
        <f>IF(Associates_Call_List_PQ!B507="","",Associates_Call_List_PQ!B507)</f>
        <v>Sommer</v>
      </c>
      <c r="C507" s="57" t="str">
        <f>IF(Associates_Call_List_PQ!C507="","",Associates_Call_List_PQ!C507)</f>
        <v>Bryce</v>
      </c>
      <c r="D507" s="57" t="str">
        <f>IF(Associates_Call_List_PQ!D507="","",Associates_Call_List_PQ!D507)</f>
        <v>Scottsdale</v>
      </c>
      <c r="E507" s="58">
        <f>IF(Associates_Call_List_PQ!E507="","",Associates_Call_List_PQ!E507)</f>
        <v>85251</v>
      </c>
      <c r="F507" s="57" t="str">
        <f>IF(Associates_Call_List_PQ!F507="","",Associates_Call_List_PQ!F507)</f>
        <v>Horrible policy</v>
      </c>
      <c r="G507" s="57" t="str">
        <f>IF(Associates_Call_List_PQ!G507="","",Associates_Call_List_PQ!G507)</f>
        <v>https://images.edocket.azcc.gov/docketpdf/E000046230.pdf</v>
      </c>
      <c r="H507" s="59" t="str">
        <f>IF(Associates_Call_List_PQ!H507="","",Associates_Call_List_PQ!H507)</f>
        <v xml:space="preserve">6017698985 </v>
      </c>
      <c r="I507" s="57" t="str">
        <f>IF(Associates_Call_List_PQ!I507="","",Associates_Call_List_PQ!I507)</f>
        <v>R-BASIC</v>
      </c>
      <c r="J507" s="57" t="str">
        <f>IF(Associates_Call_List_PQ!J507="","",Associates_Call_List_PQ!J507)</f>
        <v>No</v>
      </c>
      <c r="K507" s="57" t="str">
        <f>IF(Associates_Call_List_PQ!K507="","",Associates_Call_List_PQ!K507)</f>
        <v>No</v>
      </c>
      <c r="L507" s="57" t="str">
        <f>IF(Associates_Call_List_PQ!L507="","",Associates_Call_List_PQ!L507)</f>
        <v>No MEP R-XS(125.13)</v>
      </c>
      <c r="M507" s="57" t="str">
        <f>IF(Associates_Call_List_PQ!M507="","",Associates_Call_List_PQ!M507)</f>
        <v>No</v>
      </c>
      <c r="N507" s="57" t="str">
        <f>IF(Associates_Call_List_PQ!N507="","",Associates_Call_List_PQ!N507)</f>
        <v>No</v>
      </c>
      <c r="O507" s="57" t="str">
        <f>IF(Associates_Call_List_PQ!O507="","",Associates_Call_List_PQ!O507)</f>
        <v>Yes</v>
      </c>
      <c r="P507" s="57" t="str">
        <f>IF(Associates_Call_List_PQ!P507="","",Associates_Call_List_PQ!P507)</f>
        <v>N</v>
      </c>
      <c r="Q507" s="57">
        <f>IF(Associates_Call_List_PQ!Q507="","",Associates_Call_List_PQ!Q507)</f>
        <v>45966</v>
      </c>
      <c r="R507" s="57" t="str">
        <f>IF(Associates_Call_List_PQ!R507="","",Associates_Call_List_PQ!R507)</f>
        <v/>
      </c>
      <c r="S507" s="57" t="str">
        <f>IF(Associates_Call_List_PQ!S507="","",Associates_Call_List_PQ!S507)</f>
        <v/>
      </c>
      <c r="T507" s="57" t="str">
        <f>IF(Associates_Call_List_PQ!T507="","",Associates_Call_List_PQ!T507)</f>
        <v/>
      </c>
      <c r="U507" s="57" t="str">
        <f>IF(Associates_Call_List_PQ!U507="","",Associates_Call_List_PQ!U507)</f>
        <v/>
      </c>
      <c r="V507" s="68" t="s">
        <v>5433</v>
      </c>
      <c r="W507" s="68">
        <v>46060</v>
      </c>
      <c r="X507" s="68" t="s">
        <v>5434</v>
      </c>
      <c r="Y507" s="68"/>
      <c r="Z507" s="72" t="s">
        <v>5599</v>
      </c>
    </row>
    <row r="508" spans="1:26">
      <c r="A508" s="71">
        <f>IFERROR(Associates_Call_List_PQ!A508,"")</f>
        <v>45905</v>
      </c>
      <c r="B508" s="57" t="str">
        <f>IF(Associates_Call_List_PQ!B508="","",Associates_Call_List_PQ!B508)</f>
        <v>Wood</v>
      </c>
      <c r="C508" s="57" t="str">
        <f>IF(Associates_Call_List_PQ!C508="","",Associates_Call_List_PQ!C508)</f>
        <v>Joshua</v>
      </c>
      <c r="D508" s="57" t="str">
        <f>IF(Associates_Call_List_PQ!D508="","",Associates_Call_List_PQ!D508)</f>
        <v>Phoenix</v>
      </c>
      <c r="E508" s="58">
        <f>IF(Associates_Call_List_PQ!E508="","",Associates_Call_List_PQ!E508)</f>
        <v>85085</v>
      </c>
      <c r="F508" s="57" t="str">
        <f>IF(Associates_Call_List_PQ!F508="","",Associates_Call_List_PQ!F508)</f>
        <v>Increase outpaces inflation</v>
      </c>
      <c r="G508" s="57" t="str">
        <f>IF(Associates_Call_List_PQ!G508="","",Associates_Call_List_PQ!G508)</f>
        <v>https://images.edocket.azcc.gov/docketpdf/E000046230.pdf</v>
      </c>
      <c r="H508" s="59" t="str">
        <f>IF(Associates_Call_List_PQ!H508="","",Associates_Call_List_PQ!H508)</f>
        <v xml:space="preserve">8168993129 </v>
      </c>
      <c r="I508" s="57" t="str">
        <f>IF(Associates_Call_List_PQ!I508="","",Associates_Call_List_PQ!I508)</f>
        <v>R3-47</v>
      </c>
      <c r="J508" s="57" t="str">
        <f>IF(Associates_Call_List_PQ!J508="","",Associates_Call_List_PQ!J508)</f>
        <v>No</v>
      </c>
      <c r="K508" s="57" t="str">
        <f>IF(Associates_Call_List_PQ!K508="","",Associates_Call_List_PQ!K508)</f>
        <v>No</v>
      </c>
      <c r="L508" s="57" t="str">
        <f>IF(Associates_Call_List_PQ!L508="","",Associates_Call_List_PQ!L508)</f>
        <v>Yes</v>
      </c>
      <c r="M508" s="57" t="str">
        <f>IF(Associates_Call_List_PQ!M508="","",Associates_Call_List_PQ!M508)</f>
        <v>No</v>
      </c>
      <c r="N508" s="57" t="str">
        <f>IF(Associates_Call_List_PQ!N508="","",Associates_Call_List_PQ!N508)</f>
        <v>No</v>
      </c>
      <c r="O508" s="57" t="str">
        <f>IF(Associates_Call_List_PQ!O508="","",Associates_Call_List_PQ!O508)</f>
        <v>Yes</v>
      </c>
      <c r="P508" s="57" t="str">
        <f>IF(Associates_Call_List_PQ!P508="","",Associates_Call_List_PQ!P508)</f>
        <v>N</v>
      </c>
      <c r="Q508" s="57">
        <f>IF(Associates_Call_List_PQ!Q508="","",Associates_Call_List_PQ!Q508)</f>
        <v>45966</v>
      </c>
      <c r="R508" s="57" t="str">
        <f>IF(Associates_Call_List_PQ!R508="","",Associates_Call_List_PQ!R508)</f>
        <v/>
      </c>
      <c r="S508" s="57" t="str">
        <f>IF(Associates_Call_List_PQ!S508="","",Associates_Call_List_PQ!S508)</f>
        <v/>
      </c>
      <c r="T508" s="57" t="str">
        <f>IF(Associates_Call_List_PQ!T508="","",Associates_Call_List_PQ!T508)</f>
        <v/>
      </c>
      <c r="U508" s="57" t="str">
        <f>IF(Associates_Call_List_PQ!U508="","",Associates_Call_List_PQ!U508)</f>
        <v/>
      </c>
      <c r="V508" s="68"/>
      <c r="W508" s="68" t="s">
        <v>5432</v>
      </c>
      <c r="X508" s="68"/>
      <c r="Y508" s="68"/>
      <c r="Z508" s="72"/>
    </row>
    <row r="509" spans="1:26">
      <c r="A509" s="71">
        <f>IFERROR(Associates_Call_List_PQ!A509,"")</f>
        <v>45905</v>
      </c>
      <c r="B509" s="57" t="str">
        <f>IF(Associates_Call_List_PQ!B509="","",Associates_Call_List_PQ!B509)</f>
        <v>Kaples</v>
      </c>
      <c r="C509" s="57" t="str">
        <f>IF(Associates_Call_List_PQ!C509="","",Associates_Call_List_PQ!C509)</f>
        <v>Kameron</v>
      </c>
      <c r="D509" s="57" t="str">
        <f>IF(Associates_Call_List_PQ!D509="","",Associates_Call_List_PQ!D509)</f>
        <v>Coolidge</v>
      </c>
      <c r="E509" s="58">
        <f>IF(Associates_Call_List_PQ!E509="","",Associates_Call_List_PQ!E509)</f>
        <v>85128</v>
      </c>
      <c r="F509" s="57" t="str">
        <f>IF(Associates_Call_List_PQ!F509="","",Associates_Call_List_PQ!F509)</f>
        <v>APS is predatory</v>
      </c>
      <c r="G509" s="57" t="str">
        <f>IF(Associates_Call_List_PQ!G509="","",Associates_Call_List_PQ!G509)</f>
        <v>https://images.edocket.azcc.gov/docketpdf/E000046230.pdf</v>
      </c>
      <c r="H509" s="59" t="str">
        <f>IF(Associates_Call_List_PQ!H509="","",Associates_Call_List_PQ!H509)</f>
        <v xml:space="preserve">8830066687 </v>
      </c>
      <c r="I509" s="57" t="str">
        <f>IF(Associates_Call_List_PQ!I509="","",Associates_Call_List_PQ!I509)</f>
        <v>RCPw/RTOUE47</v>
      </c>
      <c r="J509" s="57" t="str">
        <f>IF(Associates_Call_List_PQ!J509="","",Associates_Call_List_PQ!J509)</f>
        <v>No</v>
      </c>
      <c r="K509" s="57" t="str">
        <f>IF(Associates_Call_List_PQ!K509="","",Associates_Call_List_PQ!K509)</f>
        <v>No</v>
      </c>
      <c r="L509" s="57" t="str">
        <f>IF(Associates_Call_List_PQ!L509="","",Associates_Call_List_PQ!L509)</f>
        <v>Yes</v>
      </c>
      <c r="M509" s="57" t="str">
        <f>IF(Associates_Call_List_PQ!M509="","",Associates_Call_List_PQ!M509)</f>
        <v>No</v>
      </c>
      <c r="N509" s="57" t="str">
        <f>IF(Associates_Call_List_PQ!N509="","",Associates_Call_List_PQ!N509)</f>
        <v>No</v>
      </c>
      <c r="O509" s="57" t="str">
        <f>IF(Associates_Call_List_PQ!O509="","",Associates_Call_List_PQ!O509)</f>
        <v>Yes</v>
      </c>
      <c r="P509" s="57" t="str">
        <f>IF(Associates_Call_List_PQ!P509="","",Associates_Call_List_PQ!P509)</f>
        <v>N</v>
      </c>
      <c r="Q509" s="57">
        <f>IF(Associates_Call_List_PQ!Q509="","",Associates_Call_List_PQ!Q509)</f>
        <v>45966</v>
      </c>
      <c r="R509" s="57" t="str">
        <f>IF(Associates_Call_List_PQ!R509="","",Associates_Call_List_PQ!R509)</f>
        <v/>
      </c>
      <c r="S509" s="57" t="str">
        <f>IF(Associates_Call_List_PQ!S509="","",Associates_Call_List_PQ!S509)</f>
        <v/>
      </c>
      <c r="T509" s="57" t="str">
        <f>IF(Associates_Call_List_PQ!T509="","",Associates_Call_List_PQ!T509)</f>
        <v/>
      </c>
      <c r="U509" s="57" t="str">
        <f>IF(Associates_Call_List_PQ!U509="","",Associates_Call_List_PQ!U509)</f>
        <v/>
      </c>
      <c r="V509" s="68"/>
      <c r="W509" s="68" t="s">
        <v>5432</v>
      </c>
      <c r="X509" s="68"/>
      <c r="Y509" s="68"/>
      <c r="Z509" s="72"/>
    </row>
    <row r="510" spans="1:26">
      <c r="A510" s="71">
        <f>IFERROR(Associates_Call_List_PQ!A510,"")</f>
        <v>45905</v>
      </c>
      <c r="B510" s="57" t="str">
        <f>IF(Associates_Call_List_PQ!B510="","",Associates_Call_List_PQ!B510)</f>
        <v>Duffy</v>
      </c>
      <c r="C510" s="57" t="str">
        <f>IF(Associates_Call_List_PQ!C510="","",Associates_Call_List_PQ!C510)</f>
        <v>Scott</v>
      </c>
      <c r="D510" s="57" t="str">
        <f>IF(Associates_Call_List_PQ!D510="","",Associates_Call_List_PQ!D510)</f>
        <v>Dewey</v>
      </c>
      <c r="E510" s="58">
        <f>IF(Associates_Call_List_PQ!E510="","",Associates_Call_List_PQ!E510)</f>
        <v>86327</v>
      </c>
      <c r="F510" s="57" t="str">
        <f>IF(Associates_Call_List_PQ!F510="","",Associates_Call_List_PQ!F510)</f>
        <v>Opposed</v>
      </c>
      <c r="G510" s="57" t="str">
        <f>IF(Associates_Call_List_PQ!G510="","",Associates_Call_List_PQ!G510)</f>
        <v>https://images.edocket.azcc.gov/docketpdf/E000046230.pdf</v>
      </c>
      <c r="H510" s="59" t="str">
        <f>IF(Associates_Call_List_PQ!H510="","",Associates_Call_List_PQ!H510)</f>
        <v xml:space="preserve">5377231000 </v>
      </c>
      <c r="I510" s="57" t="str">
        <f>IF(Associates_Call_List_PQ!I510="","",Associates_Call_List_PQ!I510)</f>
        <v>R-BASIC</v>
      </c>
      <c r="J510" s="57" t="str">
        <f>IF(Associates_Call_List_PQ!J510="","",Associates_Call_List_PQ!J510)</f>
        <v>No</v>
      </c>
      <c r="K510" s="57" t="str">
        <f>IF(Associates_Call_List_PQ!K510="","",Associates_Call_List_PQ!K510)</f>
        <v>No</v>
      </c>
      <c r="L510" s="57" t="str">
        <f>IF(Associates_Call_List_PQ!L510="","",Associates_Call_List_PQ!L510)</f>
        <v>Yes</v>
      </c>
      <c r="M510" s="57" t="str">
        <f>IF(Associates_Call_List_PQ!M510="","",Associates_Call_List_PQ!M510)</f>
        <v>No</v>
      </c>
      <c r="N510" s="57" t="str">
        <f>IF(Associates_Call_List_PQ!N510="","",Associates_Call_List_PQ!N510)</f>
        <v>No</v>
      </c>
      <c r="O510" s="57" t="str">
        <f>IF(Associates_Call_List_PQ!O510="","",Associates_Call_List_PQ!O510)</f>
        <v>Yes</v>
      </c>
      <c r="P510" s="57" t="str">
        <f>IF(Associates_Call_List_PQ!P510="","",Associates_Call_List_PQ!P510)</f>
        <v>N</v>
      </c>
      <c r="Q510" s="57">
        <f>IF(Associates_Call_List_PQ!Q510="","",Associates_Call_List_PQ!Q510)</f>
        <v>45966</v>
      </c>
      <c r="R510" s="57" t="str">
        <f>IF(Associates_Call_List_PQ!R510="","",Associates_Call_List_PQ!R510)</f>
        <v/>
      </c>
      <c r="S510" s="57" t="str">
        <f>IF(Associates_Call_List_PQ!S510="","",Associates_Call_List_PQ!S510)</f>
        <v/>
      </c>
      <c r="T510" s="57" t="str">
        <f>IF(Associates_Call_List_PQ!T510="","",Associates_Call_List_PQ!T510)</f>
        <v/>
      </c>
      <c r="U510" s="57" t="str">
        <f>IF(Associates_Call_List_PQ!U510="","",Associates_Call_List_PQ!U510)</f>
        <v/>
      </c>
      <c r="V510" s="68"/>
      <c r="W510" s="68" t="s">
        <v>5432</v>
      </c>
      <c r="X510" s="68"/>
      <c r="Y510" s="68"/>
      <c r="Z510" s="72"/>
    </row>
    <row r="511" spans="1:26">
      <c r="A511" s="71">
        <f>IFERROR(Associates_Call_List_PQ!A511,"")</f>
        <v>45905</v>
      </c>
      <c r="B511" s="57" t="str">
        <f>IF(Associates_Call_List_PQ!B511="","",Associates_Call_List_PQ!B511)</f>
        <v>Glass</v>
      </c>
      <c r="C511" s="57" t="str">
        <f>IF(Associates_Call_List_PQ!C511="","",Associates_Call_List_PQ!C511)</f>
        <v>Samuel</v>
      </c>
      <c r="D511" s="57" t="str">
        <f>IF(Associates_Call_List_PQ!D511="","",Associates_Call_List_PQ!D511)</f>
        <v>Surprise</v>
      </c>
      <c r="E511" s="58">
        <f>IF(Associates_Call_List_PQ!E511="","",Associates_Call_List_PQ!E511)</f>
        <v>85388</v>
      </c>
      <c r="F511" s="57" t="str">
        <f>IF(Associates_Call_List_PQ!F511="","",Associates_Call_List_PQ!F511)</f>
        <v>Opposed, unjust and wrong</v>
      </c>
      <c r="G511" s="57" t="str">
        <f>IF(Associates_Call_List_PQ!G511="","",Associates_Call_List_PQ!G511)</f>
        <v>https://images.edocket.azcc.gov/docketpdf/E000046230.pdf</v>
      </c>
      <c r="H511" s="59" t="str">
        <f>IF(Associates_Call_List_PQ!H511="","",Associates_Call_List_PQ!H511)</f>
        <v xml:space="preserve">6228956660 </v>
      </c>
      <c r="I511" s="57" t="str">
        <f>IF(Associates_Call_List_PQ!I511="","",Associates_Call_List_PQ!I511)</f>
        <v>RTOUE47</v>
      </c>
      <c r="J511" s="57" t="str">
        <f>IF(Associates_Call_List_PQ!J511="","",Associates_Call_List_PQ!J511)</f>
        <v>No</v>
      </c>
      <c r="K511" s="57" t="str">
        <f>IF(Associates_Call_List_PQ!K511="","",Associates_Call_List_PQ!K511)</f>
        <v>No</v>
      </c>
      <c r="L511" s="57" t="str">
        <f>IF(Associates_Call_List_PQ!L511="","",Associates_Call_List_PQ!L511)</f>
        <v>No MEP R3-47(145.00)</v>
      </c>
      <c r="M511" s="57" t="str">
        <f>IF(Associates_Call_List_PQ!M511="","",Associates_Call_List_PQ!M511)</f>
        <v>No</v>
      </c>
      <c r="N511" s="57" t="str">
        <f>IF(Associates_Call_List_PQ!N511="","",Associates_Call_List_PQ!N511)</f>
        <v>No</v>
      </c>
      <c r="O511" s="57" t="str">
        <f>IF(Associates_Call_List_PQ!O511="","",Associates_Call_List_PQ!O511)</f>
        <v>Yes</v>
      </c>
      <c r="P511" s="57">
        <f>IF(Associates_Call_List_PQ!P511="","",Associates_Call_List_PQ!P511)</f>
        <v>45936</v>
      </c>
      <c r="Q511" s="57">
        <f>IF(Associates_Call_List_PQ!Q511="","",Associates_Call_List_PQ!Q511)</f>
        <v>45966</v>
      </c>
      <c r="R511" s="57" t="str">
        <f>IF(Associates_Call_List_PQ!R511="","",Associates_Call_List_PQ!R511)</f>
        <v>COR will check aps.com comp tool and potentially change plans there - MADE A RATE CHANGE ON 10/7</v>
      </c>
      <c r="S511" s="57" t="str">
        <f>IF(Associates_Call_List_PQ!S511="","",Associates_Call_List_PQ!S511)</f>
        <v/>
      </c>
      <c r="T511" s="57" t="str">
        <f>IF(Associates_Call_List_PQ!T511="","",Associates_Call_List_PQ!T511)</f>
        <v/>
      </c>
      <c r="U511" s="57" t="str">
        <f>IF(Associates_Call_List_PQ!U511="","",Associates_Call_List_PQ!U511)</f>
        <v/>
      </c>
      <c r="V511" s="68" t="s">
        <v>5433</v>
      </c>
      <c r="W511" s="68">
        <v>46060</v>
      </c>
      <c r="X511" s="68" t="s">
        <v>5405</v>
      </c>
      <c r="Y511" s="68"/>
      <c r="Z511" s="72" t="s">
        <v>5616</v>
      </c>
    </row>
    <row r="512" spans="1:26">
      <c r="A512" s="71">
        <f>IFERROR(Associates_Call_List_PQ!A512,"")</f>
        <v>45905</v>
      </c>
      <c r="B512" s="57" t="str">
        <f>IF(Associates_Call_List_PQ!B512="","",Associates_Call_List_PQ!B512)</f>
        <v>Keehn</v>
      </c>
      <c r="C512" s="57" t="str">
        <f>IF(Associates_Call_List_PQ!C512="","",Associates_Call_List_PQ!C512)</f>
        <v>Aaron</v>
      </c>
      <c r="D512" s="57" t="str">
        <f>IF(Associates_Call_List_PQ!D512="","",Associates_Call_List_PQ!D512)</f>
        <v>Casa Grande</v>
      </c>
      <c r="E512" s="58">
        <f>IF(Associates_Call_List_PQ!E512="","",Associates_Call_List_PQ!E512)</f>
        <v>85122</v>
      </c>
      <c r="F512" s="57" t="str">
        <f>IF(Associates_Call_List_PQ!F512="","",Associates_Call_List_PQ!F512)</f>
        <v>Opposed</v>
      </c>
      <c r="G512" s="57" t="str">
        <f>IF(Associates_Call_List_PQ!G512="","",Associates_Call_List_PQ!G512)</f>
        <v>https://images.edocket.azcc.gov/docketpdf/E000046230.pdf</v>
      </c>
      <c r="H512" s="59" t="str">
        <f>IF(Associates_Call_List_PQ!H512="","",Associates_Call_List_PQ!H512)</f>
        <v xml:space="preserve">0980512306 </v>
      </c>
      <c r="I512" s="57" t="str">
        <f>IF(Associates_Call_List_PQ!I512="","",Associates_Call_List_PQ!I512)</f>
        <v>R-XS</v>
      </c>
      <c r="J512" s="57" t="str">
        <f>IF(Associates_Call_List_PQ!J512="","",Associates_Call_List_PQ!J512)</f>
        <v>No</v>
      </c>
      <c r="K512" s="57" t="str">
        <f>IF(Associates_Call_List_PQ!K512="","",Associates_Call_List_PQ!K512)</f>
        <v>No</v>
      </c>
      <c r="L512" s="57" t="str">
        <f>IF(Associates_Call_List_PQ!L512="","",Associates_Call_List_PQ!L512)</f>
        <v>Yes</v>
      </c>
      <c r="M512" s="57" t="str">
        <f>IF(Associates_Call_List_PQ!M512="","",Associates_Call_List_PQ!M512)</f>
        <v>No</v>
      </c>
      <c r="N512" s="57" t="str">
        <f>IF(Associates_Call_List_PQ!N512="","",Associates_Call_List_PQ!N512)</f>
        <v>No</v>
      </c>
      <c r="O512" s="57" t="str">
        <f>IF(Associates_Call_List_PQ!O512="","",Associates_Call_List_PQ!O512)</f>
        <v>Yes</v>
      </c>
      <c r="P512" s="57" t="str">
        <f>IF(Associates_Call_List_PQ!P512="","",Associates_Call_List_PQ!P512)</f>
        <v>N</v>
      </c>
      <c r="Q512" s="57">
        <f>IF(Associates_Call_List_PQ!Q512="","",Associates_Call_List_PQ!Q512)</f>
        <v>45966</v>
      </c>
      <c r="R512" s="57" t="str">
        <f>IF(Associates_Call_List_PQ!R512="","",Associates_Call_List_PQ!R512)</f>
        <v/>
      </c>
      <c r="S512" s="57" t="str">
        <f>IF(Associates_Call_List_PQ!S512="","",Associates_Call_List_PQ!S512)</f>
        <v/>
      </c>
      <c r="T512" s="57" t="str">
        <f>IF(Associates_Call_List_PQ!T512="","",Associates_Call_List_PQ!T512)</f>
        <v/>
      </c>
      <c r="U512" s="57" t="str">
        <f>IF(Associates_Call_List_PQ!U512="","",Associates_Call_List_PQ!U512)</f>
        <v/>
      </c>
      <c r="V512" s="68"/>
      <c r="W512" s="68" t="s">
        <v>5432</v>
      </c>
      <c r="X512" s="68"/>
      <c r="Y512" s="68"/>
      <c r="Z512" s="72"/>
    </row>
    <row r="513" spans="1:26">
      <c r="A513" s="71">
        <f>IFERROR(Associates_Call_List_PQ!A513,"")</f>
        <v>45905</v>
      </c>
      <c r="B513" s="57" t="str">
        <f>IF(Associates_Call_List_PQ!B513="","",Associates_Call_List_PQ!B513)</f>
        <v>Pham</v>
      </c>
      <c r="C513" s="57" t="str">
        <f>IF(Associates_Call_List_PQ!C513="","",Associates_Call_List_PQ!C513)</f>
        <v>Anthony</v>
      </c>
      <c r="D513" s="57" t="str">
        <f>IF(Associates_Call_List_PQ!D513="","",Associates_Call_List_PQ!D513)</f>
        <v>Peoria</v>
      </c>
      <c r="E513" s="58">
        <f>IF(Associates_Call_List_PQ!E513="","",Associates_Call_List_PQ!E513)</f>
        <v>85383</v>
      </c>
      <c r="F513" s="57" t="str">
        <f>IF(Associates_Call_List_PQ!F513="","",Associates_Call_List_PQ!F513)</f>
        <v>Opposed (included news story of indoor heat deaths)</v>
      </c>
      <c r="G513" s="57" t="str">
        <f>IF(Associates_Call_List_PQ!G513="","",Associates_Call_List_PQ!G513)</f>
        <v>https://images.edocket.azcc.gov/docketpdf/E000046230.pdf</v>
      </c>
      <c r="H513" s="59" t="str">
        <f>IF(Associates_Call_List_PQ!H513="","",Associates_Call_List_PQ!H513)</f>
        <v xml:space="preserve">9746250000 </v>
      </c>
      <c r="I513" s="57" t="str">
        <f>IF(Associates_Call_List_PQ!I513="","",Associates_Call_List_PQ!I513)</f>
        <v>R-BASICL</v>
      </c>
      <c r="J513" s="57" t="str">
        <f>IF(Associates_Call_List_PQ!J513="","",Associates_Call_List_PQ!J513)</f>
        <v>Yes</v>
      </c>
      <c r="K513" s="57" t="str">
        <f>IF(Associates_Call_List_PQ!K513="","",Associates_Call_List_PQ!K513)</f>
        <v>No</v>
      </c>
      <c r="L513" s="57" t="str">
        <f>IF(Associates_Call_List_PQ!L513="","",Associates_Call_List_PQ!L513)</f>
        <v>No MEP R-BASIC($135.72)</v>
      </c>
      <c r="M513" s="57" t="str">
        <f>IF(Associates_Call_List_PQ!M513="","",Associates_Call_List_PQ!M513)</f>
        <v>No</v>
      </c>
      <c r="N513" s="57" t="str">
        <f>IF(Associates_Call_List_PQ!N513="","",Associates_Call_List_PQ!N513)</f>
        <v>No</v>
      </c>
      <c r="O513" s="57" t="str">
        <f>IF(Associates_Call_List_PQ!O513="","",Associates_Call_List_PQ!O513)</f>
        <v>Yes</v>
      </c>
      <c r="P513" s="57" t="str">
        <f>IF(Associates_Call_List_PQ!P513="","",Associates_Call_List_PQ!P513)</f>
        <v>N</v>
      </c>
      <c r="Q513" s="57">
        <f>IF(Associates_Call_List_PQ!Q513="","",Associates_Call_List_PQ!Q513)</f>
        <v>45966</v>
      </c>
      <c r="R513" s="57" t="str">
        <f>IF(Associates_Call_List_PQ!R513="","",Associates_Call_List_PQ!R513)</f>
        <v>Should automatically be reassigned soon</v>
      </c>
      <c r="S513" s="57" t="str">
        <f>IF(Associates_Call_List_PQ!S513="","",Associates_Call_List_PQ!S513)</f>
        <v/>
      </c>
      <c r="T513" s="57" t="str">
        <f>IF(Associates_Call_List_PQ!T513="","",Associates_Call_List_PQ!T513)</f>
        <v/>
      </c>
      <c r="U513" s="57" t="str">
        <f>IF(Associates_Call_List_PQ!U513="","",Associates_Call_List_PQ!U513)</f>
        <v/>
      </c>
      <c r="V513" s="68" t="s">
        <v>5433</v>
      </c>
      <c r="W513" s="68">
        <v>46046</v>
      </c>
      <c r="X513" s="68" t="s">
        <v>5434</v>
      </c>
      <c r="Y513" s="68"/>
      <c r="Z513" s="72" t="s">
        <v>5599</v>
      </c>
    </row>
    <row r="514" spans="1:26">
      <c r="A514" s="71">
        <f>IFERROR(Associates_Call_List_PQ!A514,"")</f>
        <v>45905</v>
      </c>
      <c r="B514" s="57" t="str">
        <f>IF(Associates_Call_List_PQ!B514="","",Associates_Call_List_PQ!B514)</f>
        <v>Roberts</v>
      </c>
      <c r="C514" s="57" t="str">
        <f>IF(Associates_Call_List_PQ!C514="","",Associates_Call_List_PQ!C514)</f>
        <v>Stefan</v>
      </c>
      <c r="D514" s="57" t="str">
        <f>IF(Associates_Call_List_PQ!D514="","",Associates_Call_List_PQ!D514)</f>
        <v>Glendale</v>
      </c>
      <c r="E514" s="58">
        <f>IF(Associates_Call_List_PQ!E514="","",Associates_Call_List_PQ!E514)</f>
        <v>85308</v>
      </c>
      <c r="F514" s="57" t="str">
        <f>IF(Associates_Call_List_PQ!F514="","",Associates_Call_List_PQ!F514)</f>
        <v>Form letter</v>
      </c>
      <c r="G514" s="57" t="str">
        <f>IF(Associates_Call_List_PQ!G514="","",Associates_Call_List_PQ!G514)</f>
        <v>https://images.edocket.azcc.gov/docketpdf/E000046230.pdf</v>
      </c>
      <c r="H514" s="59" t="str">
        <f>IF(Associates_Call_List_PQ!H514="","",Associates_Call_List_PQ!H514)</f>
        <v xml:space="preserve">4022467820 </v>
      </c>
      <c r="I514" s="57" t="str">
        <f>IF(Associates_Call_List_PQ!I514="","",Associates_Call_List_PQ!I514)</f>
        <v>RTOUE47</v>
      </c>
      <c r="J514" s="57" t="str">
        <f>IF(Associates_Call_List_PQ!J514="","",Associates_Call_List_PQ!J514)</f>
        <v>Yes</v>
      </c>
      <c r="K514" s="57" t="str">
        <f>IF(Associates_Call_List_PQ!K514="","",Associates_Call_List_PQ!K514)</f>
        <v>No</v>
      </c>
      <c r="L514" s="57" t="str">
        <f>IF(Associates_Call_List_PQ!L514="","",Associates_Call_List_PQ!L514)</f>
        <v>No MEP R-BASIC ($0.57)</v>
      </c>
      <c r="M514" s="57" t="str">
        <f>IF(Associates_Call_List_PQ!M514="","",Associates_Call_List_PQ!M514)</f>
        <v>No</v>
      </c>
      <c r="N514" s="57" t="str">
        <f>IF(Associates_Call_List_PQ!N514="","",Associates_Call_List_PQ!N514)</f>
        <v>No</v>
      </c>
      <c r="O514" s="57" t="str">
        <f>IF(Associates_Call_List_PQ!O514="","",Associates_Call_List_PQ!O514)</f>
        <v>Yes</v>
      </c>
      <c r="P514" s="57" t="str">
        <f>IF(Associates_Call_List_PQ!P514="","",Associates_Call_List_PQ!P514)</f>
        <v>N</v>
      </c>
      <c r="Q514" s="57">
        <f>IF(Associates_Call_List_PQ!Q514="","",Associates_Call_List_PQ!Q514)</f>
        <v>45966</v>
      </c>
      <c r="R514" s="57" t="str">
        <f>IF(Associates_Call_List_PQ!R514="","",Associates_Call_List_PQ!R514)</f>
        <v/>
      </c>
      <c r="S514" s="57" t="str">
        <f>IF(Associates_Call_List_PQ!S514="","",Associates_Call_List_PQ!S514)</f>
        <v/>
      </c>
      <c r="T514" s="57" t="str">
        <f>IF(Associates_Call_List_PQ!T514="","",Associates_Call_List_PQ!T514)</f>
        <v/>
      </c>
      <c r="U514" s="57" t="str">
        <f>IF(Associates_Call_List_PQ!U514="","",Associates_Call_List_PQ!U514)</f>
        <v/>
      </c>
      <c r="V514" s="68" t="s">
        <v>5433</v>
      </c>
      <c r="W514" s="68">
        <v>46046</v>
      </c>
      <c r="X514" s="68" t="s">
        <v>5434</v>
      </c>
      <c r="Y514" s="68"/>
      <c r="Z514" s="72" t="s">
        <v>5599</v>
      </c>
    </row>
    <row r="515" spans="1:26">
      <c r="A515" s="71">
        <f>IFERROR(Associates_Call_List_PQ!A515,"")</f>
        <v>45905</v>
      </c>
      <c r="B515" s="57" t="str">
        <f>IF(Associates_Call_List_PQ!B515="","",Associates_Call_List_PQ!B515)</f>
        <v>Phillips</v>
      </c>
      <c r="C515" s="57" t="str">
        <f>IF(Associates_Call_List_PQ!C515="","",Associates_Call_List_PQ!C515)</f>
        <v>Ruth</v>
      </c>
      <c r="D515" s="57" t="str">
        <f>IF(Associates_Call_List_PQ!D515="","",Associates_Call_List_PQ!D515)</f>
        <v>Casa Grande</v>
      </c>
      <c r="E515" s="58">
        <f>IF(Associates_Call_List_PQ!E515="","",Associates_Call_List_PQ!E515)</f>
        <v>85122</v>
      </c>
      <c r="F515" s="57" t="str">
        <f>IF(Associates_Call_List_PQ!F515="","",Associates_Call_List_PQ!F515)</f>
        <v>Unnecessary</v>
      </c>
      <c r="G515" s="57" t="str">
        <f>IF(Associates_Call_List_PQ!G515="","",Associates_Call_List_PQ!G515)</f>
        <v>https://docket.images.azcc.gov/E000046235.pdf</v>
      </c>
      <c r="H515" s="59" t="str">
        <f>IF(Associates_Call_List_PQ!H515="","",Associates_Call_List_PQ!H515)</f>
        <v xml:space="preserve">2800620000 </v>
      </c>
      <c r="I515" s="57" t="str">
        <f>IF(Associates_Call_List_PQ!I515="","",Associates_Call_List_PQ!I515)</f>
        <v>R-2</v>
      </c>
      <c r="J515" s="57" t="str">
        <f>IF(Associates_Call_List_PQ!J515="","",Associates_Call_List_PQ!J515)</f>
        <v>No</v>
      </c>
      <c r="K515" s="57" t="str">
        <f>IF(Associates_Call_List_PQ!K515="","",Associates_Call_List_PQ!K515)</f>
        <v>No</v>
      </c>
      <c r="L515" s="57" t="str">
        <f>IF(Associates_Call_List_PQ!L515="","",Associates_Call_List_PQ!L515)</f>
        <v>Frozen Rate</v>
      </c>
      <c r="M515" s="57" t="str">
        <f>IF(Associates_Call_List_PQ!M515="","",Associates_Call_List_PQ!M515)</f>
        <v>No</v>
      </c>
      <c r="N515" s="57" t="str">
        <f>IF(Associates_Call_List_PQ!N515="","",Associates_Call_List_PQ!N515)</f>
        <v>No</v>
      </c>
      <c r="O515" s="57" t="str">
        <f>IF(Associates_Call_List_PQ!O515="","",Associates_Call_List_PQ!O515)</f>
        <v>Yes</v>
      </c>
      <c r="P515" s="57" t="str">
        <f>IF(Associates_Call_List_PQ!P515="","",Associates_Call_List_PQ!P515)</f>
        <v>N</v>
      </c>
      <c r="Q515" s="57">
        <f>IF(Associates_Call_List_PQ!Q515="","",Associates_Call_List_PQ!Q515)</f>
        <v>45966</v>
      </c>
      <c r="R515" s="57" t="str">
        <f>IF(Associates_Call_List_PQ!R515="","",Associates_Call_List_PQ!R515)</f>
        <v/>
      </c>
      <c r="S515" s="57" t="str">
        <f>IF(Associates_Call_List_PQ!S515="","",Associates_Call_List_PQ!S515)</f>
        <v/>
      </c>
      <c r="T515" s="57" t="str">
        <f>IF(Associates_Call_List_PQ!T515="","",Associates_Call_List_PQ!T515)</f>
        <v/>
      </c>
      <c r="U515" s="57" t="str">
        <f>IF(Associates_Call_List_PQ!U515="","",Associates_Call_List_PQ!U515)</f>
        <v/>
      </c>
      <c r="V515" s="68"/>
      <c r="W515" s="68" t="s">
        <v>5432</v>
      </c>
      <c r="X515" s="68"/>
      <c r="Y515" s="68"/>
      <c r="Z515" s="72"/>
    </row>
    <row r="516" spans="1:26">
      <c r="A516" s="71">
        <f>IFERROR(Associates_Call_List_PQ!A516,"")</f>
        <v>45905</v>
      </c>
      <c r="B516" s="57" t="str">
        <f>IF(Associates_Call_List_PQ!B516="","",Associates_Call_List_PQ!B516)</f>
        <v>Willits</v>
      </c>
      <c r="C516" s="57" t="str">
        <f>IF(Associates_Call_List_PQ!C516="","",Associates_Call_List_PQ!C516)</f>
        <v>Mark</v>
      </c>
      <c r="D516" s="57" t="str">
        <f>IF(Associates_Call_List_PQ!D516="","",Associates_Call_List_PQ!D516)</f>
        <v>Scottsdale</v>
      </c>
      <c r="E516" s="58">
        <f>IF(Associates_Call_List_PQ!E516="","",Associates_Call_List_PQ!E516)</f>
        <v>85255</v>
      </c>
      <c r="F516" s="57" t="str">
        <f>IF(Associates_Call_List_PQ!F516="","",Associates_Call_List_PQ!F516)</f>
        <v>Form letter</v>
      </c>
      <c r="G516" s="57" t="str">
        <f>IF(Associates_Call_List_PQ!G516="","",Associates_Call_List_PQ!G516)</f>
        <v>https://docket.images.azcc.gov/E000046235.pdf</v>
      </c>
      <c r="H516" s="59" t="str">
        <f>IF(Associates_Call_List_PQ!H516="","",Associates_Call_List_PQ!H516)</f>
        <v xml:space="preserve">3957802541 </v>
      </c>
      <c r="I516" s="57" t="str">
        <f>IF(Associates_Call_List_PQ!I516="","",Associates_Call_List_PQ!I516)</f>
        <v>R-2</v>
      </c>
      <c r="J516" s="57" t="str">
        <f>IF(Associates_Call_List_PQ!J516="","",Associates_Call_List_PQ!J516)</f>
        <v>No</v>
      </c>
      <c r="K516" s="57" t="str">
        <f>IF(Associates_Call_List_PQ!K516="","",Associates_Call_List_PQ!K516)</f>
        <v>No</v>
      </c>
      <c r="L516" s="57" t="str">
        <f>IF(Associates_Call_List_PQ!L516="","",Associates_Call_List_PQ!L516)</f>
        <v>Frozen Rate</v>
      </c>
      <c r="M516" s="57" t="str">
        <f>IF(Associates_Call_List_PQ!M516="","",Associates_Call_List_PQ!M516)</f>
        <v>No</v>
      </c>
      <c r="N516" s="57" t="str">
        <f>IF(Associates_Call_List_PQ!N516="","",Associates_Call_List_PQ!N516)</f>
        <v>No</v>
      </c>
      <c r="O516" s="57" t="str">
        <f>IF(Associates_Call_List_PQ!O516="","",Associates_Call_List_PQ!O516)</f>
        <v>Yes</v>
      </c>
      <c r="P516" s="57" t="str">
        <f>IF(Associates_Call_List_PQ!P516="","",Associates_Call_List_PQ!P516)</f>
        <v>N</v>
      </c>
      <c r="Q516" s="57">
        <f>IF(Associates_Call_List_PQ!Q516="","",Associates_Call_List_PQ!Q516)</f>
        <v>45966</v>
      </c>
      <c r="R516" s="57" t="str">
        <f>IF(Associates_Call_List_PQ!R516="","",Associates_Call_List_PQ!R516)</f>
        <v/>
      </c>
      <c r="S516" s="57" t="str">
        <f>IF(Associates_Call_List_PQ!S516="","",Associates_Call_List_PQ!S516)</f>
        <v/>
      </c>
      <c r="T516" s="57" t="str">
        <f>IF(Associates_Call_List_PQ!T516="","",Associates_Call_List_PQ!T516)</f>
        <v/>
      </c>
      <c r="U516" s="57" t="str">
        <f>IF(Associates_Call_List_PQ!U516="","",Associates_Call_List_PQ!U516)</f>
        <v/>
      </c>
      <c r="V516" s="68"/>
      <c r="W516" s="68" t="s">
        <v>5432</v>
      </c>
      <c r="X516" s="68"/>
      <c r="Y516" s="68"/>
      <c r="Z516" s="72"/>
    </row>
    <row r="517" spans="1:26">
      <c r="A517" s="71">
        <f>IFERROR(Associates_Call_List_PQ!A517,"")</f>
        <v>45905</v>
      </c>
      <c r="B517" s="57" t="str">
        <f>IF(Associates_Call_List_PQ!B517="","",Associates_Call_List_PQ!B517)</f>
        <v>Grassi</v>
      </c>
      <c r="C517" s="57" t="str">
        <f>IF(Associates_Call_List_PQ!C517="","",Associates_Call_List_PQ!C517)</f>
        <v>Benjamin</v>
      </c>
      <c r="D517" s="57" t="str">
        <f>IF(Associates_Call_List_PQ!D517="","",Associates_Call_List_PQ!D517)</f>
        <v>Litchfield Park</v>
      </c>
      <c r="E517" s="58">
        <f>IF(Associates_Call_List_PQ!E517="","",Associates_Call_List_PQ!E517)</f>
        <v>85340</v>
      </c>
      <c r="F517" s="57" t="str">
        <f>IF(Associates_Call_List_PQ!F517="","",Associates_Call_List_PQ!F517)</f>
        <v>Opposed</v>
      </c>
      <c r="G517" s="57" t="str">
        <f>IF(Associates_Call_List_PQ!G517="","",Associates_Call_List_PQ!G517)</f>
        <v>https://docket.images.azcc.gov/E000046235.pdf</v>
      </c>
      <c r="H517" s="59" t="str">
        <f>IF(Associates_Call_List_PQ!H517="","",Associates_Call_List_PQ!H517)</f>
        <v xml:space="preserve">0747358204 </v>
      </c>
      <c r="I517" s="57" t="str">
        <f>IF(Associates_Call_List_PQ!I517="","",Associates_Call_List_PQ!I517)</f>
        <v>EPR-6w/E-12</v>
      </c>
      <c r="J517" s="57" t="str">
        <f>IF(Associates_Call_List_PQ!J517="","",Associates_Call_List_PQ!J517)</f>
        <v>No</v>
      </c>
      <c r="K517" s="57" t="str">
        <f>IF(Associates_Call_List_PQ!K517="","",Associates_Call_List_PQ!K517)</f>
        <v>No</v>
      </c>
      <c r="L517" s="57" t="str">
        <f>IF(Associates_Call_List_PQ!L517="","",Associates_Call_List_PQ!L517)</f>
        <v>Frozen Rate</v>
      </c>
      <c r="M517" s="57" t="str">
        <f>IF(Associates_Call_List_PQ!M517="","",Associates_Call_List_PQ!M517)</f>
        <v>No</v>
      </c>
      <c r="N517" s="57" t="str">
        <f>IF(Associates_Call_List_PQ!N517="","",Associates_Call_List_PQ!N517)</f>
        <v>No</v>
      </c>
      <c r="O517" s="57" t="str">
        <f>IF(Associates_Call_List_PQ!O517="","",Associates_Call_List_PQ!O517)</f>
        <v>Yes</v>
      </c>
      <c r="P517" s="57" t="str">
        <f>IF(Associates_Call_List_PQ!P517="","",Associates_Call_List_PQ!P517)</f>
        <v>N</v>
      </c>
      <c r="Q517" s="57">
        <f>IF(Associates_Call_List_PQ!Q517="","",Associates_Call_List_PQ!Q517)</f>
        <v>45966</v>
      </c>
      <c r="R517" s="57" t="str">
        <f>IF(Associates_Call_List_PQ!R517="","",Associates_Call_List_PQ!R517)</f>
        <v/>
      </c>
      <c r="S517" s="57" t="str">
        <f>IF(Associates_Call_List_PQ!S517="","",Associates_Call_List_PQ!S517)</f>
        <v/>
      </c>
      <c r="T517" s="57" t="str">
        <f>IF(Associates_Call_List_PQ!T517="","",Associates_Call_List_PQ!T517)</f>
        <v/>
      </c>
      <c r="U517" s="57" t="str">
        <f>IF(Associates_Call_List_PQ!U517="","",Associates_Call_List_PQ!U517)</f>
        <v/>
      </c>
      <c r="V517" s="68"/>
      <c r="W517" s="68" t="s">
        <v>5432</v>
      </c>
      <c r="X517" s="68"/>
      <c r="Y517" s="68"/>
      <c r="Z517" s="72"/>
    </row>
    <row r="518" spans="1:26">
      <c r="A518" s="71">
        <f>IFERROR(Associates_Call_List_PQ!A518,"")</f>
        <v>45905</v>
      </c>
      <c r="B518" s="57" t="str">
        <f>IF(Associates_Call_List_PQ!B518="","",Associates_Call_List_PQ!B518)</f>
        <v>Leslie</v>
      </c>
      <c r="C518" s="57" t="str">
        <f>IF(Associates_Call_List_PQ!C518="","",Associates_Call_List_PQ!C518)</f>
        <v>Steven</v>
      </c>
      <c r="D518" s="57" t="str">
        <f>IF(Associates_Call_List_PQ!D518="","",Associates_Call_List_PQ!D518)</f>
        <v>Gilbert</v>
      </c>
      <c r="E518" s="58">
        <f>IF(Associates_Call_List_PQ!E518="","",Associates_Call_List_PQ!E518)</f>
        <v>85296</v>
      </c>
      <c r="F518" s="57" t="str">
        <f>IF(Associates_Call_List_PQ!F518="","",Associates_Call_List_PQ!F518)</f>
        <v>Form letter</v>
      </c>
      <c r="G518" s="57" t="str">
        <f>IF(Associates_Call_List_PQ!G518="","",Associates_Call_List_PQ!G518)</f>
        <v>https://docket.images.azcc.gov/E000046235.pdf</v>
      </c>
      <c r="H518" s="59" t="str">
        <f>IF(Associates_Call_List_PQ!H518="","",Associates_Call_List_PQ!H518)</f>
        <v xml:space="preserve">4860597868 </v>
      </c>
      <c r="I518" s="57" t="str">
        <f>IF(Associates_Call_List_PQ!I518="","",Associates_Call_List_PQ!I518)</f>
        <v>R-BASIC</v>
      </c>
      <c r="J518" s="57" t="str">
        <f>IF(Associates_Call_List_PQ!J518="","",Associates_Call_List_PQ!J518)</f>
        <v>No</v>
      </c>
      <c r="K518" s="57" t="str">
        <f>IF(Associates_Call_List_PQ!K518="","",Associates_Call_List_PQ!K518)</f>
        <v>No</v>
      </c>
      <c r="L518" s="57" t="str">
        <f>IF(Associates_Call_List_PQ!L518="","",Associates_Call_List_PQ!L518)</f>
        <v>Yes</v>
      </c>
      <c r="M518" s="57" t="str">
        <f>IF(Associates_Call_List_PQ!M518="","",Associates_Call_List_PQ!M518)</f>
        <v>No</v>
      </c>
      <c r="N518" s="57" t="str">
        <f>IF(Associates_Call_List_PQ!N518="","",Associates_Call_List_PQ!N518)</f>
        <v>No</v>
      </c>
      <c r="O518" s="57" t="str">
        <f>IF(Associates_Call_List_PQ!O518="","",Associates_Call_List_PQ!O518)</f>
        <v>Yes</v>
      </c>
      <c r="P518" s="57" t="str">
        <f>IF(Associates_Call_List_PQ!P518="","",Associates_Call_List_PQ!P518)</f>
        <v>N</v>
      </c>
      <c r="Q518" s="57">
        <f>IF(Associates_Call_List_PQ!Q518="","",Associates_Call_List_PQ!Q518)</f>
        <v>45966</v>
      </c>
      <c r="R518" s="57" t="str">
        <f>IF(Associates_Call_List_PQ!R518="","",Associates_Call_List_PQ!R518)</f>
        <v/>
      </c>
      <c r="S518" s="57" t="str">
        <f>IF(Associates_Call_List_PQ!S518="","",Associates_Call_List_PQ!S518)</f>
        <v/>
      </c>
      <c r="T518" s="57" t="str">
        <f>IF(Associates_Call_List_PQ!T518="","",Associates_Call_List_PQ!T518)</f>
        <v/>
      </c>
      <c r="U518" s="57" t="str">
        <f>IF(Associates_Call_List_PQ!U518="","",Associates_Call_List_PQ!U518)</f>
        <v/>
      </c>
      <c r="V518" s="68"/>
      <c r="W518" s="68" t="s">
        <v>5432</v>
      </c>
      <c r="X518" s="68"/>
      <c r="Y518" s="68"/>
      <c r="Z518" s="72"/>
    </row>
    <row r="519" spans="1:26">
      <c r="A519" s="71">
        <f>IFERROR(Associates_Call_List_PQ!A519,"")</f>
        <v>45905</v>
      </c>
      <c r="B519" s="57" t="str">
        <f>IF(Associates_Call_List_PQ!B519="","",Associates_Call_List_PQ!B519)</f>
        <v>Herrin</v>
      </c>
      <c r="C519" s="57" t="str">
        <f>IF(Associates_Call_List_PQ!C519="","",Associates_Call_List_PQ!C519)</f>
        <v xml:space="preserve">Dani </v>
      </c>
      <c r="D519" s="57" t="str">
        <f>IF(Associates_Call_List_PQ!D519="","",Associates_Call_List_PQ!D519)</f>
        <v>Tempe</v>
      </c>
      <c r="E519" s="58">
        <f>IF(Associates_Call_List_PQ!E519="","",Associates_Call_List_PQ!E519)</f>
        <v>85281</v>
      </c>
      <c r="F519" s="57" t="str">
        <f>IF(Associates_Call_List_PQ!F519="","",Associates_Call_List_PQ!F519)</f>
        <v>Form letter</v>
      </c>
      <c r="G519" s="57" t="str">
        <f>IF(Associates_Call_List_PQ!G519="","",Associates_Call_List_PQ!G519)</f>
        <v>https://docket.images.azcc.gov/E000046235.pdf</v>
      </c>
      <c r="H519" s="59" t="str">
        <f>IF(Associates_Call_List_PQ!H519="","",Associates_Call_List_PQ!H519)</f>
        <v xml:space="preserve">8125471475 </v>
      </c>
      <c r="I519" s="57" t="str">
        <f>IF(Associates_Call_List_PQ!I519="","",Associates_Call_List_PQ!I519)</f>
        <v>RTOUE47</v>
      </c>
      <c r="J519" s="57" t="str">
        <f>IF(Associates_Call_List_PQ!J519="","",Associates_Call_List_PQ!J519)</f>
        <v>No</v>
      </c>
      <c r="K519" s="57" t="str">
        <f>IF(Associates_Call_List_PQ!K519="","",Associates_Call_List_PQ!K519)</f>
        <v>No</v>
      </c>
      <c r="L519" s="57" t="str">
        <f>IF(Associates_Call_List_PQ!L519="","",Associates_Call_List_PQ!L519)</f>
        <v>Yes</v>
      </c>
      <c r="M519" s="57" t="str">
        <f>IF(Associates_Call_List_PQ!M519="","",Associates_Call_List_PQ!M519)</f>
        <v>Yes</v>
      </c>
      <c r="N519" s="57">
        <f>IF(Associates_Call_List_PQ!N519="","",Associates_Call_List_PQ!N519)</f>
        <v>422.52</v>
      </c>
      <c r="O519" s="57" t="str">
        <f>IF(Associates_Call_List_PQ!O519="","",Associates_Call_List_PQ!O519)</f>
        <v>Yes</v>
      </c>
      <c r="P519" s="57" t="str">
        <f>IF(Associates_Call_List_PQ!P519="","",Associates_Call_List_PQ!P519)</f>
        <v>N</v>
      </c>
      <c r="Q519" s="57">
        <f>IF(Associates_Call_List_PQ!Q519="","",Associates_Call_List_PQ!Q519)</f>
        <v>45966</v>
      </c>
      <c r="R519" s="57" t="str">
        <f>IF(Associates_Call_List_PQ!R519="","",Associates_Call_List_PQ!R519)</f>
        <v/>
      </c>
      <c r="S519" s="57" t="str">
        <f>IF(Associates_Call_List_PQ!S519="","",Associates_Call_List_PQ!S519)</f>
        <v/>
      </c>
      <c r="T519" s="57" t="str">
        <f>IF(Associates_Call_List_PQ!T519="","",Associates_Call_List_PQ!T519)</f>
        <v/>
      </c>
      <c r="U519" s="57" t="str">
        <f>IF(Associates_Call_List_PQ!U519="","",Associates_Call_List_PQ!U519)</f>
        <v/>
      </c>
      <c r="V519" s="68" t="s">
        <v>5433</v>
      </c>
      <c r="W519" s="68">
        <v>46046</v>
      </c>
      <c r="X519" s="68" t="s">
        <v>5434</v>
      </c>
      <c r="Y519" s="68"/>
      <c r="Z519" s="72" t="s">
        <v>5599</v>
      </c>
    </row>
    <row r="520" spans="1:26">
      <c r="A520" s="71">
        <f>IFERROR(Associates_Call_List_PQ!A520,"")</f>
        <v>45905</v>
      </c>
      <c r="B520" s="57" t="str">
        <f>IF(Associates_Call_List_PQ!B520="","",Associates_Call_List_PQ!B520)</f>
        <v>Bandy</v>
      </c>
      <c r="C520" s="57" t="str">
        <f>IF(Associates_Call_List_PQ!C520="","",Associates_Call_List_PQ!C520)</f>
        <v>Justin</v>
      </c>
      <c r="D520" s="57" t="str">
        <f>IF(Associates_Call_List_PQ!D520="","",Associates_Call_List_PQ!D520)</f>
        <v>Chandler</v>
      </c>
      <c r="E520" s="58">
        <f>IF(Associates_Call_List_PQ!E520="","",Associates_Call_List_PQ!E520)</f>
        <v>85225</v>
      </c>
      <c r="F520" s="57" t="str">
        <f>IF(Associates_Call_List_PQ!F520="","",Associates_Call_List_PQ!F520)</f>
        <v>Form letter</v>
      </c>
      <c r="G520" s="57" t="str">
        <f>IF(Associates_Call_List_PQ!G520="","",Associates_Call_List_PQ!G520)</f>
        <v>https://docket.images.azcc.gov/E000046235.pdf</v>
      </c>
      <c r="H520" s="59" t="str">
        <f>IF(Associates_Call_List_PQ!H520="","",Associates_Call_List_PQ!H520)</f>
        <v xml:space="preserve">7247493303 </v>
      </c>
      <c r="I520" s="57" t="str">
        <f>IF(Associates_Call_List_PQ!I520="","",Associates_Call_List_PQ!I520)</f>
        <v>R3-47</v>
      </c>
      <c r="J520" s="57" t="str">
        <f>IF(Associates_Call_List_PQ!J520="","",Associates_Call_List_PQ!J520)</f>
        <v>No</v>
      </c>
      <c r="K520" s="57" t="str">
        <f>IF(Associates_Call_List_PQ!K520="","",Associates_Call_List_PQ!K520)</f>
        <v>No</v>
      </c>
      <c r="L520" s="57" t="str">
        <f>IF(Associates_Call_List_PQ!L520="","",Associates_Call_List_PQ!L520)</f>
        <v>Yes</v>
      </c>
      <c r="M520" s="57" t="str">
        <f>IF(Associates_Call_List_PQ!M520="","",Associates_Call_List_PQ!M520)</f>
        <v>No</v>
      </c>
      <c r="N520" s="57" t="str">
        <f>IF(Associates_Call_List_PQ!N520="","",Associates_Call_List_PQ!N520)</f>
        <v>No</v>
      </c>
      <c r="O520" s="57" t="str">
        <f>IF(Associates_Call_List_PQ!O520="","",Associates_Call_List_PQ!O520)</f>
        <v>Yes</v>
      </c>
      <c r="P520" s="57" t="str">
        <f>IF(Associates_Call_List_PQ!P520="","",Associates_Call_List_PQ!P520)</f>
        <v>N</v>
      </c>
      <c r="Q520" s="57">
        <f>IF(Associates_Call_List_PQ!Q520="","",Associates_Call_List_PQ!Q520)</f>
        <v>45966</v>
      </c>
      <c r="R520" s="57" t="str">
        <f>IF(Associates_Call_List_PQ!R520="","",Associates_Call_List_PQ!R520)</f>
        <v/>
      </c>
      <c r="S520" s="57" t="str">
        <f>IF(Associates_Call_List_PQ!S520="","",Associates_Call_List_PQ!S520)</f>
        <v/>
      </c>
      <c r="T520" s="57" t="str">
        <f>IF(Associates_Call_List_PQ!T520="","",Associates_Call_List_PQ!T520)</f>
        <v/>
      </c>
      <c r="U520" s="57" t="str">
        <f>IF(Associates_Call_List_PQ!U520="","",Associates_Call_List_PQ!U520)</f>
        <v/>
      </c>
      <c r="V520" s="68"/>
      <c r="W520" s="68" t="s">
        <v>5432</v>
      </c>
      <c r="X520" s="68"/>
      <c r="Y520" s="68"/>
      <c r="Z520" s="72"/>
    </row>
    <row r="521" spans="1:26">
      <c r="A521" s="71">
        <f>IFERROR(Associates_Call_List_PQ!A521,"")</f>
        <v>45905</v>
      </c>
      <c r="B521" s="57" t="str">
        <f>IF(Associates_Call_List_PQ!B521="","",Associates_Call_List_PQ!B521)</f>
        <v>Rascon</v>
      </c>
      <c r="C521" s="57" t="str">
        <f>IF(Associates_Call_List_PQ!C521="","",Associates_Call_List_PQ!C521)</f>
        <v>Diego</v>
      </c>
      <c r="D521" s="57" t="str">
        <f>IF(Associates_Call_List_PQ!D521="","",Associates_Call_List_PQ!D521)</f>
        <v>Phoenix</v>
      </c>
      <c r="E521" s="58">
        <f>IF(Associates_Call_List_PQ!E521="","",Associates_Call_List_PQ!E521)</f>
        <v>85032</v>
      </c>
      <c r="F521" s="57" t="str">
        <f>IF(Associates_Call_List_PQ!F521="","",Associates_Call_List_PQ!F521)</f>
        <v>Form letter</v>
      </c>
      <c r="G521" s="57" t="str">
        <f>IF(Associates_Call_List_PQ!G521="","",Associates_Call_List_PQ!G521)</f>
        <v>https://docket.images.azcc.gov/E000046235.pdf</v>
      </c>
      <c r="H521" s="59" t="str">
        <f>IF(Associates_Call_List_PQ!H521="","",Associates_Call_List_PQ!H521)</f>
        <v xml:space="preserve">3852813845 </v>
      </c>
      <c r="I521" s="57" t="str">
        <f>IF(Associates_Call_List_PQ!I521="","",Associates_Call_List_PQ!I521)</f>
        <v>R-BASICL</v>
      </c>
      <c r="J521" s="57" t="str">
        <f>IF(Associates_Call_List_PQ!J521="","",Associates_Call_List_PQ!J521)</f>
        <v>No</v>
      </c>
      <c r="K521" s="57" t="str">
        <f>IF(Associates_Call_List_PQ!K521="","",Associates_Call_List_PQ!K521)</f>
        <v>No</v>
      </c>
      <c r="L521" s="57" t="str">
        <f>IF(Associates_Call_List_PQ!L521="","",Associates_Call_List_PQ!L521)</f>
        <v>Not eligible yet (needs 3 months)</v>
      </c>
      <c r="M521" s="57" t="str">
        <f>IF(Associates_Call_List_PQ!M521="","",Associates_Call_List_PQ!M521)</f>
        <v>No</v>
      </c>
      <c r="N521" s="57" t="str">
        <f>IF(Associates_Call_List_PQ!N521="","",Associates_Call_List_PQ!N521)</f>
        <v>No</v>
      </c>
      <c r="O521" s="57" t="str">
        <f>IF(Associates_Call_List_PQ!O521="","",Associates_Call_List_PQ!O521)</f>
        <v>Yes</v>
      </c>
      <c r="P521" s="57" t="str">
        <f>IF(Associates_Call_List_PQ!P521="","",Associates_Call_List_PQ!P521)</f>
        <v>N</v>
      </c>
      <c r="Q521" s="57">
        <f>IF(Associates_Call_List_PQ!Q521="","",Associates_Call_List_PQ!Q521)</f>
        <v>45966</v>
      </c>
      <c r="R521" s="57" t="str">
        <f>IF(Associates_Call_List_PQ!R521="","",Associates_Call_List_PQ!R521)</f>
        <v/>
      </c>
      <c r="S521" s="57" t="str">
        <f>IF(Associates_Call_List_PQ!S521="","",Associates_Call_List_PQ!S521)</f>
        <v/>
      </c>
      <c r="T521" s="57" t="str">
        <f>IF(Associates_Call_List_PQ!T521="","",Associates_Call_List_PQ!T521)</f>
        <v/>
      </c>
      <c r="U521" s="57" t="str">
        <f>IF(Associates_Call_List_PQ!U521="","",Associates_Call_List_PQ!U521)</f>
        <v/>
      </c>
      <c r="V521" s="68" t="s">
        <v>5433</v>
      </c>
      <c r="W521" s="68">
        <v>46060</v>
      </c>
      <c r="X521" s="68" t="s">
        <v>5434</v>
      </c>
      <c r="Y521" s="68"/>
      <c r="Z521" s="72" t="s">
        <v>5599</v>
      </c>
    </row>
    <row r="522" spans="1:26">
      <c r="A522" s="71">
        <f>IFERROR(Associates_Call_List_PQ!A522,"")</f>
        <v>45905</v>
      </c>
      <c r="B522" s="57" t="str">
        <f>IF(Associates_Call_List_PQ!B522="","",Associates_Call_List_PQ!B522)</f>
        <v>De Simone</v>
      </c>
      <c r="C522" s="57" t="str">
        <f>IF(Associates_Call_List_PQ!C522="","",Associates_Call_List_PQ!C522)</f>
        <v>Andre</v>
      </c>
      <c r="D522" s="57" t="str">
        <f>IF(Associates_Call_List_PQ!D522="","",Associates_Call_List_PQ!D522)</f>
        <v>Phoenix</v>
      </c>
      <c r="E522" s="58">
        <f>IF(Associates_Call_List_PQ!E522="","",Associates_Call_List_PQ!E522)</f>
        <v>85032</v>
      </c>
      <c r="F522" s="57" t="str">
        <f>IF(Associates_Call_List_PQ!F522="","",Associates_Call_List_PQ!F522)</f>
        <v>Form letter</v>
      </c>
      <c r="G522" s="57" t="str">
        <f>IF(Associates_Call_List_PQ!G522="","",Associates_Call_List_PQ!G522)</f>
        <v>https://docket.images.azcc.gov/E000046235.pdf</v>
      </c>
      <c r="H522" s="59" t="str">
        <f>IF(Associates_Call_List_PQ!H522="","",Associates_Call_List_PQ!H522)</f>
        <v xml:space="preserve">7042751772 </v>
      </c>
      <c r="I522" s="57" t="str">
        <f>IF(Associates_Call_List_PQ!I522="","",Associates_Call_List_PQ!I522)</f>
        <v>RTOUE47</v>
      </c>
      <c r="J522" s="57" t="str">
        <f>IF(Associates_Call_List_PQ!J522="","",Associates_Call_List_PQ!J522)</f>
        <v>No</v>
      </c>
      <c r="K522" s="57" t="str">
        <f>IF(Associates_Call_List_PQ!K522="","",Associates_Call_List_PQ!K522)</f>
        <v>No</v>
      </c>
      <c r="L522" s="57" t="str">
        <f>IF(Associates_Call_List_PQ!L522="","",Associates_Call_List_PQ!L522)</f>
        <v>No MEP R-BASIC($60.32)</v>
      </c>
      <c r="M522" s="57" t="str">
        <f>IF(Associates_Call_List_PQ!M522="","",Associates_Call_List_PQ!M522)</f>
        <v>No</v>
      </c>
      <c r="N522" s="57" t="str">
        <f>IF(Associates_Call_List_PQ!N522="","",Associates_Call_List_PQ!N522)</f>
        <v>No</v>
      </c>
      <c r="O522" s="57" t="str">
        <f>IF(Associates_Call_List_PQ!O522="","",Associates_Call_List_PQ!O522)</f>
        <v>Yes</v>
      </c>
      <c r="P522" s="57" t="str">
        <f>IF(Associates_Call_List_PQ!P522="","",Associates_Call_List_PQ!P522)</f>
        <v>N</v>
      </c>
      <c r="Q522" s="57">
        <f>IF(Associates_Call_List_PQ!Q522="","",Associates_Call_List_PQ!Q522)</f>
        <v>45966</v>
      </c>
      <c r="R522" s="57" t="str">
        <f>IF(Associates_Call_List_PQ!R522="","",Associates_Call_List_PQ!R522)</f>
        <v/>
      </c>
      <c r="S522" s="57" t="str">
        <f>IF(Associates_Call_List_PQ!S522="","",Associates_Call_List_PQ!S522)</f>
        <v/>
      </c>
      <c r="T522" s="57" t="str">
        <f>IF(Associates_Call_List_PQ!T522="","",Associates_Call_List_PQ!T522)</f>
        <v/>
      </c>
      <c r="U522" s="57" t="str">
        <f>IF(Associates_Call_List_PQ!U522="","",Associates_Call_List_PQ!U522)</f>
        <v/>
      </c>
      <c r="V522" s="68" t="s">
        <v>5433</v>
      </c>
      <c r="W522" s="68">
        <v>46046</v>
      </c>
      <c r="X522" s="68" t="s">
        <v>5434</v>
      </c>
      <c r="Y522" s="68"/>
      <c r="Z522" s="72" t="s">
        <v>5599</v>
      </c>
    </row>
    <row r="523" spans="1:26">
      <c r="A523" s="71">
        <f>IFERROR(Associates_Call_List_PQ!A523,"")</f>
        <v>45905</v>
      </c>
      <c r="B523" s="57" t="str">
        <f>IF(Associates_Call_List_PQ!B523="","",Associates_Call_List_PQ!B523)</f>
        <v>James</v>
      </c>
      <c r="C523" s="57" t="str">
        <f>IF(Associates_Call_List_PQ!C523="","",Associates_Call_List_PQ!C523)</f>
        <v>Jerome</v>
      </c>
      <c r="D523" s="57" t="str">
        <f>IF(Associates_Call_List_PQ!D523="","",Associates_Call_List_PQ!D523)</f>
        <v>Phoenix</v>
      </c>
      <c r="E523" s="58">
        <f>IF(Associates_Call_List_PQ!E523="","",Associates_Call_List_PQ!E523)</f>
        <v>85006</v>
      </c>
      <c r="F523" s="57" t="str">
        <f>IF(Associates_Call_List_PQ!F523="","",Associates_Call_List_PQ!F523)</f>
        <v>Form letter</v>
      </c>
      <c r="G523" s="57" t="str">
        <f>IF(Associates_Call_List_PQ!G523="","",Associates_Call_List_PQ!G523)</f>
        <v>https://docket.images.azcc.gov/E000046235.pdf</v>
      </c>
      <c r="H523" s="59" t="str">
        <f>IF(Associates_Call_List_PQ!H523="","",Associates_Call_List_PQ!H523)</f>
        <v xml:space="preserve">2698642394 </v>
      </c>
      <c r="I523" s="57" t="str">
        <f>IF(Associates_Call_List_PQ!I523="","",Associates_Call_List_PQ!I523)</f>
        <v>R-XS</v>
      </c>
      <c r="J523" s="57" t="str">
        <f>IF(Associates_Call_List_PQ!J523="","",Associates_Call_List_PQ!J523)</f>
        <v>No</v>
      </c>
      <c r="K523" s="57" t="str">
        <f>IF(Associates_Call_List_PQ!K523="","",Associates_Call_List_PQ!K523)</f>
        <v>No</v>
      </c>
      <c r="L523" s="57" t="str">
        <f>IF(Associates_Call_List_PQ!L523="","",Associates_Call_List_PQ!L523)</f>
        <v>Yes</v>
      </c>
      <c r="M523" s="57" t="str">
        <f>IF(Associates_Call_List_PQ!M523="","",Associates_Call_List_PQ!M523)</f>
        <v>No</v>
      </c>
      <c r="N523" s="57" t="str">
        <f>IF(Associates_Call_List_PQ!N523="","",Associates_Call_List_PQ!N523)</f>
        <v>No</v>
      </c>
      <c r="O523" s="57" t="str">
        <f>IF(Associates_Call_List_PQ!O523="","",Associates_Call_List_PQ!O523)</f>
        <v>Yes</v>
      </c>
      <c r="P523" s="57" t="str">
        <f>IF(Associates_Call_List_PQ!P523="","",Associates_Call_List_PQ!P523)</f>
        <v>N</v>
      </c>
      <c r="Q523" s="57">
        <f>IF(Associates_Call_List_PQ!Q523="","",Associates_Call_List_PQ!Q523)</f>
        <v>45966</v>
      </c>
      <c r="R523" s="57" t="str">
        <f>IF(Associates_Call_List_PQ!R523="","",Associates_Call_List_PQ!R523)</f>
        <v/>
      </c>
      <c r="S523" s="57" t="str">
        <f>IF(Associates_Call_List_PQ!S523="","",Associates_Call_List_PQ!S523)</f>
        <v/>
      </c>
      <c r="T523" s="57" t="str">
        <f>IF(Associates_Call_List_PQ!T523="","",Associates_Call_List_PQ!T523)</f>
        <v/>
      </c>
      <c r="U523" s="57" t="str">
        <f>IF(Associates_Call_List_PQ!U523="","",Associates_Call_List_PQ!U523)</f>
        <v/>
      </c>
      <c r="V523" s="68"/>
      <c r="W523" s="68" t="s">
        <v>5432</v>
      </c>
      <c r="X523" s="68"/>
      <c r="Y523" s="68"/>
      <c r="Z523" s="72"/>
    </row>
    <row r="524" spans="1:26">
      <c r="A524" s="71">
        <f>IFERROR(Associates_Call_List_PQ!A524,"")</f>
        <v>45905</v>
      </c>
      <c r="B524" s="57" t="str">
        <f>IF(Associates_Call_List_PQ!B524="","",Associates_Call_List_PQ!B524)</f>
        <v>Mongini</v>
      </c>
      <c r="C524" s="57" t="str">
        <f>IF(Associates_Call_List_PQ!C524="","",Associates_Call_List_PQ!C524)</f>
        <v>Joey</v>
      </c>
      <c r="D524" s="57" t="str">
        <f>IF(Associates_Call_List_PQ!D524="","",Associates_Call_List_PQ!D524)</f>
        <v>Cottonwood</v>
      </c>
      <c r="E524" s="58">
        <f>IF(Associates_Call_List_PQ!E524="","",Associates_Call_List_PQ!E524)</f>
        <v>86326</v>
      </c>
      <c r="F524" s="57" t="str">
        <f>IF(Associates_Call_List_PQ!F524="","",Associates_Call_List_PQ!F524)</f>
        <v>Strongly opposed</v>
      </c>
      <c r="G524" s="57" t="str">
        <f>IF(Associates_Call_List_PQ!G524="","",Associates_Call_List_PQ!G524)</f>
        <v>https://docket.images.azcc.gov/E000046235.pdf</v>
      </c>
      <c r="H524" s="59" t="str">
        <f>IF(Associates_Call_List_PQ!H524="","",Associates_Call_List_PQ!H524)</f>
        <v xml:space="preserve">0871451000 </v>
      </c>
      <c r="I524" s="57" t="str">
        <f>IF(Associates_Call_List_PQ!I524="","",Associates_Call_List_PQ!I524)</f>
        <v>RCPw/RTOUE47</v>
      </c>
      <c r="J524" s="57" t="str">
        <f>IF(Associates_Call_List_PQ!J524="","",Associates_Call_List_PQ!J524)</f>
        <v>No</v>
      </c>
      <c r="K524" s="57" t="str">
        <f>IF(Associates_Call_List_PQ!K524="","",Associates_Call_List_PQ!K524)</f>
        <v>No</v>
      </c>
      <c r="L524" s="57" t="str">
        <f>IF(Associates_Call_List_PQ!L524="","",Associates_Call_List_PQ!L524)</f>
        <v>Yes</v>
      </c>
      <c r="M524" s="57" t="str">
        <f>IF(Associates_Call_List_PQ!M524="","",Associates_Call_List_PQ!M524)</f>
        <v>No</v>
      </c>
      <c r="N524" s="57" t="str">
        <f>IF(Associates_Call_List_PQ!N524="","",Associates_Call_List_PQ!N524)</f>
        <v>No</v>
      </c>
      <c r="O524" s="57" t="str">
        <f>IF(Associates_Call_List_PQ!O524="","",Associates_Call_List_PQ!O524)</f>
        <v>Yes</v>
      </c>
      <c r="P524" s="57" t="str">
        <f>IF(Associates_Call_List_PQ!P524="","",Associates_Call_List_PQ!P524)</f>
        <v>N</v>
      </c>
      <c r="Q524" s="57">
        <f>IF(Associates_Call_List_PQ!Q524="","",Associates_Call_List_PQ!Q524)</f>
        <v>45966</v>
      </c>
      <c r="R524" s="57" t="str">
        <f>IF(Associates_Call_List_PQ!R524="","",Associates_Call_List_PQ!R524)</f>
        <v/>
      </c>
      <c r="S524" s="57" t="str">
        <f>IF(Associates_Call_List_PQ!S524="","",Associates_Call_List_PQ!S524)</f>
        <v/>
      </c>
      <c r="T524" s="57" t="str">
        <f>IF(Associates_Call_List_PQ!T524="","",Associates_Call_List_PQ!T524)</f>
        <v/>
      </c>
      <c r="U524" s="57" t="str">
        <f>IF(Associates_Call_List_PQ!U524="","",Associates_Call_List_PQ!U524)</f>
        <v/>
      </c>
      <c r="V524" s="68"/>
      <c r="W524" s="68" t="s">
        <v>5432</v>
      </c>
      <c r="X524" s="68"/>
      <c r="Y524" s="68"/>
      <c r="Z524" s="72"/>
    </row>
    <row r="525" spans="1:26">
      <c r="A525" s="71">
        <f>IFERROR(Associates_Call_List_PQ!A525,"")</f>
        <v>45905</v>
      </c>
      <c r="B525" s="57" t="str">
        <f>IF(Associates_Call_List_PQ!B525="","",Associates_Call_List_PQ!B525)</f>
        <v>Frey</v>
      </c>
      <c r="C525" s="57" t="str">
        <f>IF(Associates_Call_List_PQ!C525="","",Associates_Call_List_PQ!C525)</f>
        <v>Gabriel</v>
      </c>
      <c r="D525" s="57" t="str">
        <f>IF(Associates_Call_List_PQ!D525="","",Associates_Call_List_PQ!D525)</f>
        <v>Phoenix</v>
      </c>
      <c r="E525" s="58">
        <f>IF(Associates_Call_List_PQ!E525="","",Associates_Call_List_PQ!E525)</f>
        <v>85032</v>
      </c>
      <c r="F525" s="57" t="str">
        <f>IF(Associates_Call_List_PQ!F525="","",Associates_Call_List_PQ!F525)</f>
        <v>Form letter</v>
      </c>
      <c r="G525" s="57" t="str">
        <f>IF(Associates_Call_List_PQ!G525="","",Associates_Call_List_PQ!G525)</f>
        <v>https://docket.images.azcc.gov/E000046235.pdf</v>
      </c>
      <c r="H525" s="59" t="str">
        <f>IF(Associates_Call_List_PQ!H525="","",Associates_Call_List_PQ!H525)</f>
        <v xml:space="preserve">8085100837 </v>
      </c>
      <c r="I525" s="57" t="str">
        <f>IF(Associates_Call_List_PQ!I525="","",Associates_Call_List_PQ!I525)</f>
        <v>R-BASIC</v>
      </c>
      <c r="J525" s="57" t="str">
        <f>IF(Associates_Call_List_PQ!J525="","",Associates_Call_List_PQ!J525)</f>
        <v>No</v>
      </c>
      <c r="K525" s="57" t="str">
        <f>IF(Associates_Call_List_PQ!K525="","",Associates_Call_List_PQ!K525)</f>
        <v>No</v>
      </c>
      <c r="L525" s="57" t="str">
        <f>IF(Associates_Call_List_PQ!L525="","",Associates_Call_List_PQ!L525)</f>
        <v>Yes</v>
      </c>
      <c r="M525" s="57" t="str">
        <f>IF(Associates_Call_List_PQ!M525="","",Associates_Call_List_PQ!M525)</f>
        <v>No</v>
      </c>
      <c r="N525" s="57" t="str">
        <f>IF(Associates_Call_List_PQ!N525="","",Associates_Call_List_PQ!N525)</f>
        <v>No</v>
      </c>
      <c r="O525" s="57" t="str">
        <f>IF(Associates_Call_List_PQ!O525="","",Associates_Call_List_PQ!O525)</f>
        <v>Yes</v>
      </c>
      <c r="P525" s="57" t="str">
        <f>IF(Associates_Call_List_PQ!P525="","",Associates_Call_List_PQ!P525)</f>
        <v>N</v>
      </c>
      <c r="Q525" s="57">
        <f>IF(Associates_Call_List_PQ!Q525="","",Associates_Call_List_PQ!Q525)</f>
        <v>45966</v>
      </c>
      <c r="R525" s="57" t="str">
        <f>IF(Associates_Call_List_PQ!R525="","",Associates_Call_List_PQ!R525)</f>
        <v/>
      </c>
      <c r="S525" s="57" t="str">
        <f>IF(Associates_Call_List_PQ!S525="","",Associates_Call_List_PQ!S525)</f>
        <v/>
      </c>
      <c r="T525" s="57" t="str">
        <f>IF(Associates_Call_List_PQ!T525="","",Associates_Call_List_PQ!T525)</f>
        <v/>
      </c>
      <c r="U525" s="57" t="str">
        <f>IF(Associates_Call_List_PQ!U525="","",Associates_Call_List_PQ!U525)</f>
        <v/>
      </c>
      <c r="V525" s="68"/>
      <c r="W525" s="68" t="s">
        <v>5432</v>
      </c>
      <c r="X525" s="68"/>
      <c r="Y525" s="68"/>
      <c r="Z525" s="72"/>
    </row>
    <row r="526" spans="1:26">
      <c r="A526" s="71">
        <f>IFERROR(Associates_Call_List_PQ!A526,"")</f>
        <v>45905</v>
      </c>
      <c r="B526" s="57" t="str">
        <f>IF(Associates_Call_List_PQ!B526="","",Associates_Call_List_PQ!B526)</f>
        <v>Siegel</v>
      </c>
      <c r="C526" s="57" t="str">
        <f>IF(Associates_Call_List_PQ!C526="","",Associates_Call_List_PQ!C526)</f>
        <v>Austin</v>
      </c>
      <c r="D526" s="57" t="str">
        <f>IF(Associates_Call_List_PQ!D526="","",Associates_Call_List_PQ!D526)</f>
        <v>Phoenix</v>
      </c>
      <c r="E526" s="58">
        <f>IF(Associates_Call_List_PQ!E526="","",Associates_Call_List_PQ!E526)</f>
        <v>85032</v>
      </c>
      <c r="F526" s="57" t="str">
        <f>IF(Associates_Call_List_PQ!F526="","",Associates_Call_List_PQ!F526)</f>
        <v>Form letter</v>
      </c>
      <c r="G526" s="57" t="str">
        <f>IF(Associates_Call_List_PQ!G526="","",Associates_Call_List_PQ!G526)</f>
        <v>https://docket.images.azcc.gov/E000046235.pdf</v>
      </c>
      <c r="H526" s="59" t="str">
        <f>IF(Associates_Call_List_PQ!H526="","",Associates_Call_List_PQ!H526)</f>
        <v xml:space="preserve">6040546107 </v>
      </c>
      <c r="I526" s="57" t="str">
        <f>IF(Associates_Call_List_PQ!I526="","",Associates_Call_List_PQ!I526)</f>
        <v>R3-47</v>
      </c>
      <c r="J526" s="57" t="str">
        <f>IF(Associates_Call_List_PQ!J526="","",Associates_Call_List_PQ!J526)</f>
        <v>No</v>
      </c>
      <c r="K526" s="57" t="str">
        <f>IF(Associates_Call_List_PQ!K526="","",Associates_Call_List_PQ!K526)</f>
        <v>No</v>
      </c>
      <c r="L526" s="57" t="str">
        <f>IF(Associates_Call_List_PQ!L526="","",Associates_Call_List_PQ!L526)</f>
        <v>Yes</v>
      </c>
      <c r="M526" s="57" t="str">
        <f>IF(Associates_Call_List_PQ!M526="","",Associates_Call_List_PQ!M526)</f>
        <v>No</v>
      </c>
      <c r="N526" s="57" t="str">
        <f>IF(Associates_Call_List_PQ!N526="","",Associates_Call_List_PQ!N526)</f>
        <v>No</v>
      </c>
      <c r="O526" s="57" t="str">
        <f>IF(Associates_Call_List_PQ!O526="","",Associates_Call_List_PQ!O526)</f>
        <v>Yes</v>
      </c>
      <c r="P526" s="57" t="str">
        <f>IF(Associates_Call_List_PQ!P526="","",Associates_Call_List_PQ!P526)</f>
        <v>N</v>
      </c>
      <c r="Q526" s="57">
        <f>IF(Associates_Call_List_PQ!Q526="","",Associates_Call_List_PQ!Q526)</f>
        <v>45966</v>
      </c>
      <c r="R526" s="57" t="str">
        <f>IF(Associates_Call_List_PQ!R526="","",Associates_Call_List_PQ!R526)</f>
        <v/>
      </c>
      <c r="S526" s="57" t="str">
        <f>IF(Associates_Call_List_PQ!S526="","",Associates_Call_List_PQ!S526)</f>
        <v/>
      </c>
      <c r="T526" s="57" t="str">
        <f>IF(Associates_Call_List_PQ!T526="","",Associates_Call_List_PQ!T526)</f>
        <v/>
      </c>
      <c r="U526" s="57" t="str">
        <f>IF(Associates_Call_List_PQ!U526="","",Associates_Call_List_PQ!U526)</f>
        <v/>
      </c>
      <c r="V526" s="68"/>
      <c r="W526" s="68" t="s">
        <v>5432</v>
      </c>
      <c r="X526" s="68"/>
      <c r="Y526" s="68"/>
      <c r="Z526" s="72"/>
    </row>
    <row r="527" spans="1:26">
      <c r="A527" s="71">
        <f>IFERROR(Associates_Call_List_PQ!A527,"")</f>
        <v>45905</v>
      </c>
      <c r="B527" s="57" t="str">
        <f>IF(Associates_Call_List_PQ!B527="","",Associates_Call_List_PQ!B527)</f>
        <v xml:space="preserve">Singh </v>
      </c>
      <c r="C527" s="57" t="str">
        <f>IF(Associates_Call_List_PQ!C527="","",Associates_Call_List_PQ!C527)</f>
        <v>Harjeet</v>
      </c>
      <c r="D527" s="57" t="str">
        <f>IF(Associates_Call_List_PQ!D527="","",Associates_Call_List_PQ!D527)</f>
        <v>Phoenix</v>
      </c>
      <c r="E527" s="58">
        <f>IF(Associates_Call_List_PQ!E527="","",Associates_Call_List_PQ!E527)</f>
        <v>85024</v>
      </c>
      <c r="F527" s="57" t="str">
        <f>IF(Associates_Call_List_PQ!F527="","",Associates_Call_List_PQ!F527)</f>
        <v>Form letter</v>
      </c>
      <c r="G527" s="57" t="str">
        <f>IF(Associates_Call_List_PQ!G527="","",Associates_Call_List_PQ!G527)</f>
        <v>https://docket.images.azcc.gov/E000046235.pdf</v>
      </c>
      <c r="H527" s="59" t="str">
        <f>IF(Associates_Call_List_PQ!H527="","",Associates_Call_List_PQ!H527)</f>
        <v xml:space="preserve">1459950257 </v>
      </c>
      <c r="I527" s="57" t="str">
        <f>IF(Associates_Call_List_PQ!I527="","",Associates_Call_List_PQ!I527)</f>
        <v>R3-47</v>
      </c>
      <c r="J527" s="57" t="str">
        <f>IF(Associates_Call_List_PQ!J527="","",Associates_Call_List_PQ!J527)</f>
        <v>No</v>
      </c>
      <c r="K527" s="57" t="str">
        <f>IF(Associates_Call_List_PQ!K527="","",Associates_Call_List_PQ!K527)</f>
        <v>No</v>
      </c>
      <c r="L527" s="57" t="str">
        <f>IF(Associates_Call_List_PQ!L527="","",Associates_Call_List_PQ!L527)</f>
        <v>Yes</v>
      </c>
      <c r="M527" s="57" t="str">
        <f>IF(Associates_Call_List_PQ!M527="","",Associates_Call_List_PQ!M527)</f>
        <v>No</v>
      </c>
      <c r="N527" s="57" t="str">
        <f>IF(Associates_Call_List_PQ!N527="","",Associates_Call_List_PQ!N527)</f>
        <v>No</v>
      </c>
      <c r="O527" s="57" t="str">
        <f>IF(Associates_Call_List_PQ!O527="","",Associates_Call_List_PQ!O527)</f>
        <v>Yes</v>
      </c>
      <c r="P527" s="57" t="str">
        <f>IF(Associates_Call_List_PQ!P527="","",Associates_Call_List_PQ!P527)</f>
        <v>N</v>
      </c>
      <c r="Q527" s="57">
        <f>IF(Associates_Call_List_PQ!Q527="","",Associates_Call_List_PQ!Q527)</f>
        <v>45966</v>
      </c>
      <c r="R527" s="57" t="str">
        <f>IF(Associates_Call_List_PQ!R527="","",Associates_Call_List_PQ!R527)</f>
        <v/>
      </c>
      <c r="S527" s="57" t="str">
        <f>IF(Associates_Call_List_PQ!S527="","",Associates_Call_List_PQ!S527)</f>
        <v/>
      </c>
      <c r="T527" s="57" t="str">
        <f>IF(Associates_Call_List_PQ!T527="","",Associates_Call_List_PQ!T527)</f>
        <v/>
      </c>
      <c r="U527" s="57" t="str">
        <f>IF(Associates_Call_List_PQ!U527="","",Associates_Call_List_PQ!U527)</f>
        <v/>
      </c>
      <c r="V527" s="68"/>
      <c r="W527" s="68" t="s">
        <v>5432</v>
      </c>
      <c r="X527" s="68"/>
      <c r="Y527" s="68"/>
      <c r="Z527" s="72"/>
    </row>
    <row r="528" spans="1:26">
      <c r="A528" s="71">
        <f>IFERROR(Associates_Call_List_PQ!A528,"")</f>
        <v>45905</v>
      </c>
      <c r="B528" s="57" t="str">
        <f>IF(Associates_Call_List_PQ!B528="","",Associates_Call_List_PQ!B528)</f>
        <v>Klemm</v>
      </c>
      <c r="C528" s="57" t="str">
        <f>IF(Associates_Call_List_PQ!C528="","",Associates_Call_List_PQ!C528)</f>
        <v>Joshua</v>
      </c>
      <c r="D528" s="57" t="str">
        <f>IF(Associates_Call_List_PQ!D528="","",Associates_Call_List_PQ!D528)</f>
        <v>Phoenix</v>
      </c>
      <c r="E528" s="58">
        <f>IF(Associates_Call_List_PQ!E528="","",Associates_Call_List_PQ!E528)</f>
        <v>85020</v>
      </c>
      <c r="F528" s="57" t="str">
        <f>IF(Associates_Call_List_PQ!F528="","",Associates_Call_List_PQ!F528)</f>
        <v>Unacceptable and wrong</v>
      </c>
      <c r="G528" s="57" t="str">
        <f>IF(Associates_Call_List_PQ!G528="","",Associates_Call_List_PQ!G528)</f>
        <v>https://docket.images.azcc.gov/E000046235.pdf</v>
      </c>
      <c r="H528" s="59" t="str">
        <f>IF(Associates_Call_List_PQ!H528="","",Associates_Call_List_PQ!H528)</f>
        <v>2445041000 </v>
      </c>
      <c r="I528" s="57" t="str">
        <f>IF(Associates_Call_List_PQ!I528="","",Associates_Call_List_PQ!I528)</f>
        <v>R3-47</v>
      </c>
      <c r="J528" s="57" t="str">
        <f>IF(Associates_Call_List_PQ!J528="","",Associates_Call_List_PQ!J528)</f>
        <v>No</v>
      </c>
      <c r="K528" s="57" t="str">
        <f>IF(Associates_Call_List_PQ!K528="","",Associates_Call_List_PQ!K528)</f>
        <v>No</v>
      </c>
      <c r="L528" s="57" t="str">
        <f>IF(Associates_Call_List_PQ!L528="","",Associates_Call_List_PQ!L528)</f>
        <v>Yes</v>
      </c>
      <c r="M528" s="57" t="str">
        <f>IF(Associates_Call_List_PQ!M528="","",Associates_Call_List_PQ!M528)</f>
        <v>No</v>
      </c>
      <c r="N528" s="57" t="str">
        <f>IF(Associates_Call_List_PQ!N528="","",Associates_Call_List_PQ!N528)</f>
        <v>No</v>
      </c>
      <c r="O528" s="57" t="str">
        <f>IF(Associates_Call_List_PQ!O528="","",Associates_Call_List_PQ!O528)</f>
        <v>Yes</v>
      </c>
      <c r="P528" s="57" t="str">
        <f>IF(Associates_Call_List_PQ!P528="","",Associates_Call_List_PQ!P528)</f>
        <v>N</v>
      </c>
      <c r="Q528" s="57">
        <f>IF(Associates_Call_List_PQ!Q528="","",Associates_Call_List_PQ!Q528)</f>
        <v>45966</v>
      </c>
      <c r="R528" s="57" t="str">
        <f>IF(Associates_Call_List_PQ!R528="","",Associates_Call_List_PQ!R528)</f>
        <v/>
      </c>
      <c r="S528" s="57" t="str">
        <f>IF(Associates_Call_List_PQ!S528="","",Associates_Call_List_PQ!S528)</f>
        <v/>
      </c>
      <c r="T528" s="57" t="str">
        <f>IF(Associates_Call_List_PQ!T528="","",Associates_Call_List_PQ!T528)</f>
        <v/>
      </c>
      <c r="U528" s="57" t="str">
        <f>IF(Associates_Call_List_PQ!U528="","",Associates_Call_List_PQ!U528)</f>
        <v/>
      </c>
      <c r="V528" s="68"/>
      <c r="W528" s="68" t="s">
        <v>5432</v>
      </c>
      <c r="X528" s="68"/>
      <c r="Y528" s="68"/>
      <c r="Z528" s="72"/>
    </row>
    <row r="529" spans="1:26">
      <c r="A529" s="71">
        <f>IFERROR(Associates_Call_List_PQ!A529,"")</f>
        <v>45905</v>
      </c>
      <c r="B529" s="57" t="str">
        <f>IF(Associates_Call_List_PQ!B529="","",Associates_Call_List_PQ!B529)</f>
        <v>Mesch</v>
      </c>
      <c r="C529" s="57" t="str">
        <f>IF(Associates_Call_List_PQ!C529="","",Associates_Call_List_PQ!C529)</f>
        <v>Ryan</v>
      </c>
      <c r="D529" s="57" t="str">
        <f>IF(Associates_Call_List_PQ!D529="","",Associates_Call_List_PQ!D529)</f>
        <v>Phoenix</v>
      </c>
      <c r="E529" s="58">
        <f>IF(Associates_Call_List_PQ!E529="","",Associates_Call_List_PQ!E529)</f>
        <v>85003</v>
      </c>
      <c r="F529" s="57" t="str">
        <f>IF(Associates_Call_List_PQ!F529="","",Associates_Call_List_PQ!F529)</f>
        <v xml:space="preserve">Strongly against </v>
      </c>
      <c r="G529" s="57" t="str">
        <f>IF(Associates_Call_List_PQ!G529="","",Associates_Call_List_PQ!G529)</f>
        <v>https://docket.images.azcc.gov/E000046235.pdf</v>
      </c>
      <c r="H529" s="59" t="str">
        <f>IF(Associates_Call_List_PQ!H529="","",Associates_Call_List_PQ!H529)</f>
        <v xml:space="preserve">0126527094 </v>
      </c>
      <c r="I529" s="57" t="str">
        <f>IF(Associates_Call_List_PQ!I529="","",Associates_Call_List_PQ!I529)</f>
        <v>RCPw/RTOUE47</v>
      </c>
      <c r="J529" s="57" t="str">
        <f>IF(Associates_Call_List_PQ!J529="","",Associates_Call_List_PQ!J529)</f>
        <v>No</v>
      </c>
      <c r="K529" s="57" t="str">
        <f>IF(Associates_Call_List_PQ!K529="","",Associates_Call_List_PQ!K529)</f>
        <v>No</v>
      </c>
      <c r="L529" s="57" t="str">
        <f>IF(Associates_Call_List_PQ!L529="","",Associates_Call_List_PQ!L529)</f>
        <v>Yes</v>
      </c>
      <c r="M529" s="57" t="str">
        <f>IF(Associates_Call_List_PQ!M529="","",Associates_Call_List_PQ!M529)</f>
        <v>No</v>
      </c>
      <c r="N529" s="57" t="str">
        <f>IF(Associates_Call_List_PQ!N529="","",Associates_Call_List_PQ!N529)</f>
        <v>No</v>
      </c>
      <c r="O529" s="57" t="str">
        <f>IF(Associates_Call_List_PQ!O529="","",Associates_Call_List_PQ!O529)</f>
        <v>Yes</v>
      </c>
      <c r="P529" s="57" t="str">
        <f>IF(Associates_Call_List_PQ!P529="","",Associates_Call_List_PQ!P529)</f>
        <v>N</v>
      </c>
      <c r="Q529" s="57">
        <f>IF(Associates_Call_List_PQ!Q529="","",Associates_Call_List_PQ!Q529)</f>
        <v>45966</v>
      </c>
      <c r="R529" s="57" t="str">
        <f>IF(Associates_Call_List_PQ!R529="","",Associates_Call_List_PQ!R529)</f>
        <v/>
      </c>
      <c r="S529" s="57" t="str">
        <f>IF(Associates_Call_List_PQ!S529="","",Associates_Call_List_PQ!S529)</f>
        <v/>
      </c>
      <c r="T529" s="57" t="str">
        <f>IF(Associates_Call_List_PQ!T529="","",Associates_Call_List_PQ!T529)</f>
        <v/>
      </c>
      <c r="U529" s="57" t="str">
        <f>IF(Associates_Call_List_PQ!U529="","",Associates_Call_List_PQ!U529)</f>
        <v/>
      </c>
      <c r="V529" s="68"/>
      <c r="W529" s="68" t="s">
        <v>5432</v>
      </c>
      <c r="X529" s="68"/>
      <c r="Y529" s="68"/>
      <c r="Z529" s="72"/>
    </row>
    <row r="530" spans="1:26">
      <c r="A530" s="71">
        <f>IFERROR(Associates_Call_List_PQ!A530,"")</f>
        <v>45905</v>
      </c>
      <c r="B530" s="57" t="str">
        <f>IF(Associates_Call_List_PQ!B530="","",Associates_Call_List_PQ!B530)</f>
        <v>McWilliams</v>
      </c>
      <c r="C530" s="57" t="str">
        <f>IF(Associates_Call_List_PQ!C530="","",Associates_Call_List_PQ!C530)</f>
        <v>Jesse</v>
      </c>
      <c r="D530" s="57" t="str">
        <f>IF(Associates_Call_List_PQ!D530="","",Associates_Call_List_PQ!D530)</f>
        <v>Cave Creek</v>
      </c>
      <c r="E530" s="58">
        <f>IF(Associates_Call_List_PQ!E530="","",Associates_Call_List_PQ!E530)</f>
        <v>85331</v>
      </c>
      <c r="F530" s="57" t="str">
        <f>IF(Associates_Call_List_PQ!F530="","",Associates_Call_List_PQ!F530)</f>
        <v>Form letter</v>
      </c>
      <c r="G530" s="57" t="str">
        <f>IF(Associates_Call_List_PQ!G530="","",Associates_Call_List_PQ!G530)</f>
        <v>https://docket.images.azcc.gov/E000046235.pdf</v>
      </c>
      <c r="H530" s="59" t="str">
        <f>IF(Associates_Call_List_PQ!H530="","",Associates_Call_List_PQ!H530)</f>
        <v xml:space="preserve">4096651000 </v>
      </c>
      <c r="I530" s="57" t="str">
        <f>IF(Associates_Call_List_PQ!I530="","",Associates_Call_List_PQ!I530)</f>
        <v>RTOUE47</v>
      </c>
      <c r="J530" s="57" t="str">
        <f>IF(Associates_Call_List_PQ!J530="","",Associates_Call_List_PQ!J530)</f>
        <v>No</v>
      </c>
      <c r="K530" s="57" t="str">
        <f>IF(Associates_Call_List_PQ!K530="","",Associates_Call_List_PQ!K530)</f>
        <v>No</v>
      </c>
      <c r="L530" s="57" t="str">
        <f>IF(Associates_Call_List_PQ!L530="","",Associates_Call_List_PQ!L530)</f>
        <v>No MEP R3-47($631.55)</v>
      </c>
      <c r="M530" s="57" t="str">
        <f>IF(Associates_Call_List_PQ!M530="","",Associates_Call_List_PQ!M530)</f>
        <v>No</v>
      </c>
      <c r="N530" s="57" t="str">
        <f>IF(Associates_Call_List_PQ!N530="","",Associates_Call_List_PQ!N530)</f>
        <v>No</v>
      </c>
      <c r="O530" s="57" t="str">
        <f>IF(Associates_Call_List_PQ!O530="","",Associates_Call_List_PQ!O530)</f>
        <v>Yes</v>
      </c>
      <c r="P530" s="57">
        <f>IF(Associates_Call_List_PQ!P530="","",Associates_Call_List_PQ!P530)</f>
        <v>45971</v>
      </c>
      <c r="Q530" s="57">
        <f>IF(Associates_Call_List_PQ!Q530="","",Associates_Call_List_PQ!Q530)</f>
        <v>45966</v>
      </c>
      <c r="R530" s="57" t="str">
        <f>IF(Associates_Call_List_PQ!R530="","",Associates_Call_List_PQ!R530)</f>
        <v>11/10 Left VM regarding MEP</v>
      </c>
      <c r="S530" s="57" t="str">
        <f>IF(Associates_Call_List_PQ!S530="","",Associates_Call_List_PQ!S530)</f>
        <v/>
      </c>
      <c r="T530" s="57" t="str">
        <f>IF(Associates_Call_List_PQ!T530="","",Associates_Call_List_PQ!T530)</f>
        <v/>
      </c>
      <c r="U530" s="57" t="str">
        <f>IF(Associates_Call_List_PQ!U530="","",Associates_Call_List_PQ!U530)</f>
        <v/>
      </c>
      <c r="V530" s="68" t="s">
        <v>5433</v>
      </c>
      <c r="W530" s="68">
        <v>46046</v>
      </c>
      <c r="X530" s="68" t="s">
        <v>5434</v>
      </c>
      <c r="Y530" s="68"/>
      <c r="Z530" s="72" t="s">
        <v>5599</v>
      </c>
    </row>
    <row r="531" spans="1:26">
      <c r="A531" s="71">
        <f>IFERROR(Associates_Call_List_PQ!A531,"")</f>
        <v>45905</v>
      </c>
      <c r="B531" s="57" t="str">
        <f>IF(Associates_Call_List_PQ!B531="","",Associates_Call_List_PQ!B531)</f>
        <v>Quine</v>
      </c>
      <c r="C531" s="57" t="str">
        <f>IF(Associates_Call_List_PQ!C531="","",Associates_Call_List_PQ!C531)</f>
        <v>Andrew</v>
      </c>
      <c r="D531" s="57" t="str">
        <f>IF(Associates_Call_List_PQ!D531="","",Associates_Call_List_PQ!D531)</f>
        <v>Glendale</v>
      </c>
      <c r="E531" s="58">
        <f>IF(Associates_Call_List_PQ!E531="","",Associates_Call_List_PQ!E531)</f>
        <v>85308</v>
      </c>
      <c r="F531" s="57" t="str">
        <f>IF(Associates_Call_List_PQ!F531="","",Associates_Call_List_PQ!F531)</f>
        <v>Form letter</v>
      </c>
      <c r="G531" s="57" t="str">
        <f>IF(Associates_Call_List_PQ!G531="","",Associates_Call_List_PQ!G531)</f>
        <v>https://docket.images.azcc.gov/E000046235.pdf</v>
      </c>
      <c r="H531" s="59" t="str">
        <f>IF(Associates_Call_List_PQ!H531="","",Associates_Call_List_PQ!H531)</f>
        <v>3920858144</v>
      </c>
      <c r="I531" s="57" t="str">
        <f>IF(Associates_Call_List_PQ!I531="","",Associates_Call_List_PQ!I531)</f>
        <v>R3-47</v>
      </c>
      <c r="J531" s="57" t="str">
        <f>IF(Associates_Call_List_PQ!J531="","",Associates_Call_List_PQ!J531)</f>
        <v>No</v>
      </c>
      <c r="K531" s="57" t="str">
        <f>IF(Associates_Call_List_PQ!K531="","",Associates_Call_List_PQ!K531)</f>
        <v>No</v>
      </c>
      <c r="L531" s="57" t="str">
        <f>IF(Associates_Call_List_PQ!L531="","",Associates_Call_List_PQ!L531)</f>
        <v>Yes</v>
      </c>
      <c r="M531" s="57" t="str">
        <f>IF(Associates_Call_List_PQ!M531="","",Associates_Call_List_PQ!M531)</f>
        <v>No</v>
      </c>
      <c r="N531" s="57" t="str">
        <f>IF(Associates_Call_List_PQ!N531="","",Associates_Call_List_PQ!N531)</f>
        <v>No</v>
      </c>
      <c r="O531" s="57" t="str">
        <f>IF(Associates_Call_List_PQ!O531="","",Associates_Call_List_PQ!O531)</f>
        <v>Yes</v>
      </c>
      <c r="P531" s="57" t="str">
        <f>IF(Associates_Call_List_PQ!P531="","",Associates_Call_List_PQ!P531)</f>
        <v>N</v>
      </c>
      <c r="Q531" s="57">
        <f>IF(Associates_Call_List_PQ!Q531="","",Associates_Call_List_PQ!Q531)</f>
        <v>45966</v>
      </c>
      <c r="R531" s="57" t="str">
        <f>IF(Associates_Call_List_PQ!R531="","",Associates_Call_List_PQ!R531)</f>
        <v/>
      </c>
      <c r="S531" s="57" t="str">
        <f>IF(Associates_Call_List_PQ!S531="","",Associates_Call_List_PQ!S531)</f>
        <v/>
      </c>
      <c r="T531" s="57" t="str">
        <f>IF(Associates_Call_List_PQ!T531="","",Associates_Call_List_PQ!T531)</f>
        <v/>
      </c>
      <c r="U531" s="57" t="str">
        <f>IF(Associates_Call_List_PQ!U531="","",Associates_Call_List_PQ!U531)</f>
        <v/>
      </c>
      <c r="V531" s="68"/>
      <c r="W531" s="68" t="s">
        <v>5432</v>
      </c>
      <c r="X531" s="68"/>
      <c r="Y531" s="68"/>
      <c r="Z531" s="72"/>
    </row>
    <row r="532" spans="1:26">
      <c r="A532" s="71">
        <f>IFERROR(Associates_Call_List_PQ!A532,"")</f>
        <v>45905</v>
      </c>
      <c r="B532" s="57" t="str">
        <f>IF(Associates_Call_List_PQ!B532="","",Associates_Call_List_PQ!B532)</f>
        <v>Bowen</v>
      </c>
      <c r="C532" s="57" t="str">
        <f>IF(Associates_Call_List_PQ!C532="","",Associates_Call_List_PQ!C532)</f>
        <v>Sunsarae</v>
      </c>
      <c r="D532" s="57" t="str">
        <f>IF(Associates_Call_List_PQ!D532="","",Associates_Call_List_PQ!D532)</f>
        <v>Goodyear</v>
      </c>
      <c r="E532" s="58">
        <f>IF(Associates_Call_List_PQ!E532="","",Associates_Call_List_PQ!E532)</f>
        <v>85338</v>
      </c>
      <c r="F532" s="57" t="str">
        <f>IF(Associates_Call_List_PQ!F532="","",Associates_Call_List_PQ!F532)</f>
        <v>Form letter</v>
      </c>
      <c r="G532" s="57" t="str">
        <f>IF(Associates_Call_List_PQ!G532="","",Associates_Call_List_PQ!G532)</f>
        <v>https://docket.images.azcc.gov/E000046235.pdf</v>
      </c>
      <c r="H532" s="59" t="str">
        <f>IF(Associates_Call_List_PQ!H532="","",Associates_Call_List_PQ!H532)</f>
        <v xml:space="preserve">8764120000 </v>
      </c>
      <c r="I532" s="57" t="str">
        <f>IF(Associates_Call_List_PQ!I532="","",Associates_Call_List_PQ!I532)</f>
        <v>R-BASIC</v>
      </c>
      <c r="J532" s="57" t="str">
        <f>IF(Associates_Call_List_PQ!J532="","",Associates_Call_List_PQ!J532)</f>
        <v>No</v>
      </c>
      <c r="K532" s="57" t="str">
        <f>IF(Associates_Call_List_PQ!K532="","",Associates_Call_List_PQ!K532)</f>
        <v>No</v>
      </c>
      <c r="L532" s="57" t="str">
        <f>IF(Associates_Call_List_PQ!L532="","",Associates_Call_List_PQ!L532)</f>
        <v>Yes</v>
      </c>
      <c r="M532" s="57" t="str">
        <f>IF(Associates_Call_List_PQ!M532="","",Associates_Call_List_PQ!M532)</f>
        <v>No</v>
      </c>
      <c r="N532" s="57" t="str">
        <f>IF(Associates_Call_List_PQ!N532="","",Associates_Call_List_PQ!N532)</f>
        <v>No</v>
      </c>
      <c r="O532" s="57" t="str">
        <f>IF(Associates_Call_List_PQ!O532="","",Associates_Call_List_PQ!O532)</f>
        <v>Yes</v>
      </c>
      <c r="P532" s="57" t="str">
        <f>IF(Associates_Call_List_PQ!P532="","",Associates_Call_List_PQ!P532)</f>
        <v>N</v>
      </c>
      <c r="Q532" s="57">
        <f>IF(Associates_Call_List_PQ!Q532="","",Associates_Call_List_PQ!Q532)</f>
        <v>45966</v>
      </c>
      <c r="R532" s="57" t="str">
        <f>IF(Associates_Call_List_PQ!R532="","",Associates_Call_List_PQ!R532)</f>
        <v/>
      </c>
      <c r="S532" s="57" t="str">
        <f>IF(Associates_Call_List_PQ!S532="","",Associates_Call_List_PQ!S532)</f>
        <v/>
      </c>
      <c r="T532" s="57" t="str">
        <f>IF(Associates_Call_List_PQ!T532="","",Associates_Call_List_PQ!T532)</f>
        <v/>
      </c>
      <c r="U532" s="57" t="str">
        <f>IF(Associates_Call_List_PQ!U532="","",Associates_Call_List_PQ!U532)</f>
        <v/>
      </c>
      <c r="V532" s="68"/>
      <c r="W532" s="68" t="s">
        <v>5432</v>
      </c>
      <c r="X532" s="68"/>
      <c r="Y532" s="68"/>
      <c r="Z532" s="72"/>
    </row>
    <row r="533" spans="1:26">
      <c r="A533" s="71">
        <f>IFERROR(Associates_Call_List_PQ!A533,"")</f>
        <v>45905</v>
      </c>
      <c r="B533" s="57" t="str">
        <f>IF(Associates_Call_List_PQ!B533="","",Associates_Call_List_PQ!B533)</f>
        <v>Irwin</v>
      </c>
      <c r="C533" s="57" t="str">
        <f>IF(Associates_Call_List_PQ!C533="","",Associates_Call_List_PQ!C533)</f>
        <v>William</v>
      </c>
      <c r="D533" s="57" t="str">
        <f>IF(Associates_Call_List_PQ!D533="","",Associates_Call_List_PQ!D533)</f>
        <v>Phoenix</v>
      </c>
      <c r="E533" s="58">
        <f>IF(Associates_Call_List_PQ!E533="","",Associates_Call_List_PQ!E533)</f>
        <v>85050</v>
      </c>
      <c r="F533" s="57" t="str">
        <f>IF(Associates_Call_List_PQ!F533="","",Associates_Call_List_PQ!F533)</f>
        <v>Form letter</v>
      </c>
      <c r="G533" s="57" t="str">
        <f>IF(Associates_Call_List_PQ!G533="","",Associates_Call_List_PQ!G533)</f>
        <v>https://docket.images.azcc.gov/E000046235.pdf</v>
      </c>
      <c r="H533" s="59" t="str">
        <f>IF(Associates_Call_List_PQ!H533="","",Associates_Call_List_PQ!H533)</f>
        <v xml:space="preserve">1567183764 </v>
      </c>
      <c r="I533" s="57" t="str">
        <f>IF(Associates_Call_List_PQ!I533="","",Associates_Call_List_PQ!I533)</f>
        <v>R3-47</v>
      </c>
      <c r="J533" s="57" t="str">
        <f>IF(Associates_Call_List_PQ!J533="","",Associates_Call_List_PQ!J533)</f>
        <v>No</v>
      </c>
      <c r="K533" s="57" t="str">
        <f>IF(Associates_Call_List_PQ!K533="","",Associates_Call_List_PQ!K533)</f>
        <v>No</v>
      </c>
      <c r="L533" s="57" t="str">
        <f>IF(Associates_Call_List_PQ!L533="","",Associates_Call_List_PQ!L533)</f>
        <v>Yes</v>
      </c>
      <c r="M533" s="57" t="str">
        <f>IF(Associates_Call_List_PQ!M533="","",Associates_Call_List_PQ!M533)</f>
        <v>No</v>
      </c>
      <c r="N533" s="57" t="str">
        <f>IF(Associates_Call_List_PQ!N533="","",Associates_Call_List_PQ!N533)</f>
        <v>No</v>
      </c>
      <c r="O533" s="57" t="str">
        <f>IF(Associates_Call_List_PQ!O533="","",Associates_Call_List_PQ!O533)</f>
        <v>Yes</v>
      </c>
      <c r="P533" s="57" t="str">
        <f>IF(Associates_Call_List_PQ!P533="","",Associates_Call_List_PQ!P533)</f>
        <v>N</v>
      </c>
      <c r="Q533" s="57">
        <f>IF(Associates_Call_List_PQ!Q533="","",Associates_Call_List_PQ!Q533)</f>
        <v>45966</v>
      </c>
      <c r="R533" s="57" t="str">
        <f>IF(Associates_Call_List_PQ!R533="","",Associates_Call_List_PQ!R533)</f>
        <v/>
      </c>
      <c r="S533" s="57" t="str">
        <f>IF(Associates_Call_List_PQ!S533="","",Associates_Call_List_PQ!S533)</f>
        <v/>
      </c>
      <c r="T533" s="57" t="str">
        <f>IF(Associates_Call_List_PQ!T533="","",Associates_Call_List_PQ!T533)</f>
        <v/>
      </c>
      <c r="U533" s="57" t="str">
        <f>IF(Associates_Call_List_PQ!U533="","",Associates_Call_List_PQ!U533)</f>
        <v/>
      </c>
      <c r="V533" s="68"/>
      <c r="W533" s="68" t="s">
        <v>5432</v>
      </c>
      <c r="X533" s="68"/>
      <c r="Y533" s="68"/>
      <c r="Z533" s="72"/>
    </row>
    <row r="534" spans="1:26">
      <c r="A534" s="71">
        <f>IFERROR(Associates_Call_List_PQ!A534,"")</f>
        <v>45905</v>
      </c>
      <c r="B534" s="57" t="str">
        <f>IF(Associates_Call_List_PQ!B534="","",Associates_Call_List_PQ!B534)</f>
        <v>DeMelo</v>
      </c>
      <c r="C534" s="57" t="str">
        <f>IF(Associates_Call_List_PQ!C534="","",Associates_Call_List_PQ!C534)</f>
        <v>Marc</v>
      </c>
      <c r="D534" s="57" t="str">
        <f>IF(Associates_Call_List_PQ!D534="","",Associates_Call_List_PQ!D534)</f>
        <v>Scottsdale</v>
      </c>
      <c r="E534" s="58">
        <f>IF(Associates_Call_List_PQ!E534="","",Associates_Call_List_PQ!E534)</f>
        <v>85260</v>
      </c>
      <c r="F534" s="57" t="str">
        <f>IF(Associates_Call_List_PQ!F534="","",Associates_Call_List_PQ!F534)</f>
        <v>Blatant gouging</v>
      </c>
      <c r="G534" s="57" t="str">
        <f>IF(Associates_Call_List_PQ!G534="","",Associates_Call_List_PQ!G534)</f>
        <v>https://docket.images.azcc.gov/E000046235.pdf</v>
      </c>
      <c r="H534" s="59" t="str">
        <f>IF(Associates_Call_List_PQ!H534="","",Associates_Call_List_PQ!H534)</f>
        <v>6206172265</v>
      </c>
      <c r="I534" s="57" t="str">
        <f>IF(Associates_Call_List_PQ!I534="","",Associates_Call_List_PQ!I534)</f>
        <v>R3-47</v>
      </c>
      <c r="J534" s="57" t="str">
        <f>IF(Associates_Call_List_PQ!J534="","",Associates_Call_List_PQ!J534)</f>
        <v>No</v>
      </c>
      <c r="K534" s="57" t="str">
        <f>IF(Associates_Call_List_PQ!K534="","",Associates_Call_List_PQ!K534)</f>
        <v>No</v>
      </c>
      <c r="L534" s="57" t="str">
        <f>IF(Associates_Call_List_PQ!L534="","",Associates_Call_List_PQ!L534)</f>
        <v>Yes</v>
      </c>
      <c r="M534" s="57" t="str">
        <f>IF(Associates_Call_List_PQ!M534="","",Associates_Call_List_PQ!M534)</f>
        <v>No</v>
      </c>
      <c r="N534" s="57" t="str">
        <f>IF(Associates_Call_List_PQ!N534="","",Associates_Call_List_PQ!N534)</f>
        <v>No</v>
      </c>
      <c r="O534" s="57" t="str">
        <f>IF(Associates_Call_List_PQ!O534="","",Associates_Call_List_PQ!O534)</f>
        <v>Yes</v>
      </c>
      <c r="P534" s="57" t="str">
        <f>IF(Associates_Call_List_PQ!P534="","",Associates_Call_List_PQ!P534)</f>
        <v>N</v>
      </c>
      <c r="Q534" s="57">
        <f>IF(Associates_Call_List_PQ!Q534="","",Associates_Call_List_PQ!Q534)</f>
        <v>45966</v>
      </c>
      <c r="R534" s="57" t="str">
        <f>IF(Associates_Call_List_PQ!R534="","",Associates_Call_List_PQ!R534)</f>
        <v/>
      </c>
      <c r="S534" s="57" t="str">
        <f>IF(Associates_Call_List_PQ!S534="","",Associates_Call_List_PQ!S534)</f>
        <v/>
      </c>
      <c r="T534" s="57" t="str">
        <f>IF(Associates_Call_List_PQ!T534="","",Associates_Call_List_PQ!T534)</f>
        <v/>
      </c>
      <c r="U534" s="57" t="str">
        <f>IF(Associates_Call_List_PQ!U534="","",Associates_Call_List_PQ!U534)</f>
        <v/>
      </c>
      <c r="V534" s="68"/>
      <c r="W534" s="68" t="s">
        <v>5432</v>
      </c>
      <c r="X534" s="68"/>
      <c r="Y534" s="68"/>
      <c r="Z534" s="72"/>
    </row>
    <row r="535" spans="1:26">
      <c r="A535" s="71">
        <f>IFERROR(Associates_Call_List_PQ!A535,"")</f>
        <v>45905</v>
      </c>
      <c r="B535" s="57" t="str">
        <f>IF(Associates_Call_List_PQ!B535="","",Associates_Call_List_PQ!B535)</f>
        <v>Bryant</v>
      </c>
      <c r="C535" s="57" t="str">
        <f>IF(Associates_Call_List_PQ!C535="","",Associates_Call_List_PQ!C535)</f>
        <v>Shelby</v>
      </c>
      <c r="D535" s="57" t="str">
        <f>IF(Associates_Call_List_PQ!D535="","",Associates_Call_List_PQ!D535)</f>
        <v>Phoenix</v>
      </c>
      <c r="E535" s="58">
        <f>IF(Associates_Call_List_PQ!E535="","",Associates_Call_List_PQ!E535)</f>
        <v>85024</v>
      </c>
      <c r="F535" s="57" t="str">
        <f>IF(Associates_Call_List_PQ!F535="","",Associates_Call_List_PQ!F535)</f>
        <v>Opposed, unfair burden on families and seniors</v>
      </c>
      <c r="G535" s="57" t="str">
        <f>IF(Associates_Call_List_PQ!G535="","",Associates_Call_List_PQ!G535)</f>
        <v>https://docket.images.azcc.gov/E000046235.pdf</v>
      </c>
      <c r="H535" s="59" t="str">
        <f>IF(Associates_Call_List_PQ!H535="","",Associates_Call_List_PQ!H535)</f>
        <v xml:space="preserve">4300170000 </v>
      </c>
      <c r="I535" s="57" t="str">
        <f>IF(Associates_Call_List_PQ!I535="","",Associates_Call_List_PQ!I535)</f>
        <v>RTOUE47</v>
      </c>
      <c r="J535" s="57" t="str">
        <f>IF(Associates_Call_List_PQ!J535="","",Associates_Call_List_PQ!J535)</f>
        <v>No</v>
      </c>
      <c r="K535" s="57" t="str">
        <f>IF(Associates_Call_List_PQ!K535="","",Associates_Call_List_PQ!K535)</f>
        <v>No</v>
      </c>
      <c r="L535" s="57" t="str">
        <f>IF(Associates_Call_List_PQ!L535="","",Associates_Call_List_PQ!L535)</f>
        <v>No MEP R3-47(28.19)</v>
      </c>
      <c r="M535" s="57" t="str">
        <f>IF(Associates_Call_List_PQ!M535="","",Associates_Call_List_PQ!M535)</f>
        <v>Yes</v>
      </c>
      <c r="N535" s="57">
        <f>IF(Associates_Call_List_PQ!N535="","",Associates_Call_List_PQ!N535)</f>
        <v>470.06</v>
      </c>
      <c r="O535" s="57" t="str">
        <f>IF(Associates_Call_List_PQ!O535="","",Associates_Call_List_PQ!O535)</f>
        <v>Yes</v>
      </c>
      <c r="P535" s="57" t="str">
        <f>IF(Associates_Call_List_PQ!P535="","",Associates_Call_List_PQ!P535)</f>
        <v>N</v>
      </c>
      <c r="Q535" s="57">
        <f>IF(Associates_Call_List_PQ!Q535="","",Associates_Call_List_PQ!Q535)</f>
        <v>45966</v>
      </c>
      <c r="R535" s="57" t="str">
        <f>IF(Associates_Call_List_PQ!R535="","",Associates_Call_List_PQ!R535)</f>
        <v/>
      </c>
      <c r="S535" s="57" t="str">
        <f>IF(Associates_Call_List_PQ!S535="","",Associates_Call_List_PQ!S535)</f>
        <v/>
      </c>
      <c r="T535" s="57" t="str">
        <f>IF(Associates_Call_List_PQ!T535="","",Associates_Call_List_PQ!T535)</f>
        <v/>
      </c>
      <c r="U535" s="57" t="str">
        <f>IF(Associates_Call_List_PQ!U535="","",Associates_Call_List_PQ!U535)</f>
        <v/>
      </c>
      <c r="V535" s="68" t="s">
        <v>5433</v>
      </c>
      <c r="W535" s="68">
        <v>46046</v>
      </c>
      <c r="X535" s="68" t="s">
        <v>5434</v>
      </c>
      <c r="Y535" s="68"/>
      <c r="Z535" s="72" t="s">
        <v>5617</v>
      </c>
    </row>
    <row r="536" spans="1:26">
      <c r="A536" s="71">
        <f>IFERROR(Associates_Call_List_PQ!A536,"")</f>
        <v>45905</v>
      </c>
      <c r="B536" s="57" t="str">
        <f>IF(Associates_Call_List_PQ!B536="","",Associates_Call_List_PQ!B536)</f>
        <v>Sidebottom</v>
      </c>
      <c r="C536" s="57" t="str">
        <f>IF(Associates_Call_List_PQ!C536="","",Associates_Call_List_PQ!C536)</f>
        <v>Ryan</v>
      </c>
      <c r="D536" s="57" t="str">
        <f>IF(Associates_Call_List_PQ!D536="","",Associates_Call_List_PQ!D536)</f>
        <v>Phoenix</v>
      </c>
      <c r="E536" s="58">
        <f>IF(Associates_Call_List_PQ!E536="","",Associates_Call_List_PQ!E536)</f>
        <v>85016</v>
      </c>
      <c r="F536" s="57" t="str">
        <f>IF(Associates_Call_List_PQ!F536="","",Associates_Call_List_PQ!F536)</f>
        <v>Form letter</v>
      </c>
      <c r="G536" s="57" t="str">
        <f>IF(Associates_Call_List_PQ!G536="","",Associates_Call_List_PQ!G536)</f>
        <v>https://docket.images.azcc.gov/E000046235.pdf</v>
      </c>
      <c r="H536" s="59" t="str">
        <f>IF(Associates_Call_List_PQ!H536="","",Associates_Call_List_PQ!H536)</f>
        <v xml:space="preserve">3300419615 </v>
      </c>
      <c r="I536" s="57" t="str">
        <f>IF(Associates_Call_List_PQ!I536="","",Associates_Call_List_PQ!I536)</f>
        <v>R-BASIC</v>
      </c>
      <c r="J536" s="57" t="str">
        <f>IF(Associates_Call_List_PQ!J536="","",Associates_Call_List_PQ!J536)</f>
        <v>No</v>
      </c>
      <c r="K536" s="57" t="str">
        <f>IF(Associates_Call_List_PQ!K536="","",Associates_Call_List_PQ!K536)</f>
        <v>No</v>
      </c>
      <c r="L536" s="57" t="str">
        <f>IF(Associates_Call_List_PQ!L536="","",Associates_Call_List_PQ!L536)</f>
        <v>Yes</v>
      </c>
      <c r="M536" s="57" t="str">
        <f>IF(Associates_Call_List_PQ!M536="","",Associates_Call_List_PQ!M536)</f>
        <v>No</v>
      </c>
      <c r="N536" s="57" t="str">
        <f>IF(Associates_Call_List_PQ!N536="","",Associates_Call_List_PQ!N536)</f>
        <v>No</v>
      </c>
      <c r="O536" s="57" t="str">
        <f>IF(Associates_Call_List_PQ!O536="","",Associates_Call_List_PQ!O536)</f>
        <v>Yes</v>
      </c>
      <c r="P536" s="57" t="str">
        <f>IF(Associates_Call_List_PQ!P536="","",Associates_Call_List_PQ!P536)</f>
        <v>N</v>
      </c>
      <c r="Q536" s="57">
        <f>IF(Associates_Call_List_PQ!Q536="","",Associates_Call_List_PQ!Q536)</f>
        <v>45966</v>
      </c>
      <c r="R536" s="57" t="str">
        <f>IF(Associates_Call_List_PQ!R536="","",Associates_Call_List_PQ!R536)</f>
        <v/>
      </c>
      <c r="S536" s="57" t="str">
        <f>IF(Associates_Call_List_PQ!S536="","",Associates_Call_List_PQ!S536)</f>
        <v/>
      </c>
      <c r="T536" s="57" t="str">
        <f>IF(Associates_Call_List_PQ!T536="","",Associates_Call_List_PQ!T536)</f>
        <v/>
      </c>
      <c r="U536" s="57" t="str">
        <f>IF(Associates_Call_List_PQ!U536="","",Associates_Call_List_PQ!U536)</f>
        <v/>
      </c>
      <c r="V536" s="68"/>
      <c r="W536" s="68" t="s">
        <v>5432</v>
      </c>
      <c r="X536" s="68"/>
      <c r="Y536" s="68"/>
      <c r="Z536" s="72"/>
    </row>
    <row r="537" spans="1:26">
      <c r="A537" s="71">
        <f>IFERROR(Associates_Call_List_PQ!A537,"")</f>
        <v>45905</v>
      </c>
      <c r="B537" s="57" t="str">
        <f>IF(Associates_Call_List_PQ!B537="","",Associates_Call_List_PQ!B537)</f>
        <v>Perelman</v>
      </c>
      <c r="C537" s="57" t="str">
        <f>IF(Associates_Call_List_PQ!C537="","",Associates_Call_List_PQ!C537)</f>
        <v>Dale</v>
      </c>
      <c r="D537" s="57" t="str">
        <f>IF(Associates_Call_List_PQ!D537="","",Associates_Call_List_PQ!D537)</f>
        <v>Scottsdale</v>
      </c>
      <c r="E537" s="58">
        <f>IF(Associates_Call_List_PQ!E537="","",Associates_Call_List_PQ!E537)</f>
        <v>85258</v>
      </c>
      <c r="F537" s="57" t="str">
        <f>IF(Associates_Call_List_PQ!F537="","",Associates_Call_List_PQ!F537)</f>
        <v>Increase will be very onerous for those on fixed income</v>
      </c>
      <c r="G537" s="57" t="str">
        <f>IF(Associates_Call_List_PQ!G537="","",Associates_Call_List_PQ!G537)</f>
        <v>https://docket.images.azcc.gov/E000046235.pdf</v>
      </c>
      <c r="H537" s="59" t="str">
        <f>IF(Associates_Call_List_PQ!H537="","",Associates_Call_List_PQ!H537)</f>
        <v xml:space="preserve">5127241787 </v>
      </c>
      <c r="I537" s="57" t="str">
        <f>IF(Associates_Call_List_PQ!I537="","",Associates_Call_List_PQ!I537)</f>
        <v>R3-47</v>
      </c>
      <c r="J537" s="57" t="str">
        <f>IF(Associates_Call_List_PQ!J537="","",Associates_Call_List_PQ!J537)</f>
        <v>No</v>
      </c>
      <c r="K537" s="57" t="str">
        <f>IF(Associates_Call_List_PQ!K537="","",Associates_Call_List_PQ!K537)</f>
        <v>No</v>
      </c>
      <c r="L537" s="57" t="str">
        <f>IF(Associates_Call_List_PQ!L537="","",Associates_Call_List_PQ!L537)</f>
        <v>No MEP R-BSIC(32.84)</v>
      </c>
      <c r="M537" s="57" t="str">
        <f>IF(Associates_Call_List_PQ!M537="","",Associates_Call_List_PQ!M537)</f>
        <v>No</v>
      </c>
      <c r="N537" s="57" t="str">
        <f>IF(Associates_Call_List_PQ!N537="","",Associates_Call_List_PQ!N537)</f>
        <v>No</v>
      </c>
      <c r="O537" s="57" t="str">
        <f>IF(Associates_Call_List_PQ!O537="","",Associates_Call_List_PQ!O537)</f>
        <v>Yes</v>
      </c>
      <c r="P537" s="57" t="str">
        <f>IF(Associates_Call_List_PQ!P537="","",Associates_Call_List_PQ!P537)</f>
        <v>N</v>
      </c>
      <c r="Q537" s="57">
        <f>IF(Associates_Call_List_PQ!Q537="","",Associates_Call_List_PQ!Q537)</f>
        <v>45966</v>
      </c>
      <c r="R537" s="57" t="str">
        <f>IF(Associates_Call_List_PQ!R537="","",Associates_Call_List_PQ!R537)</f>
        <v>MEP does not appear on bill due to 'flagged for irregular usage' - Ashley is looking into it.</v>
      </c>
      <c r="S537" s="57" t="str">
        <f>IF(Associates_Call_List_PQ!S537="","",Associates_Call_List_PQ!S537)</f>
        <v/>
      </c>
      <c r="T537" s="57" t="str">
        <f>IF(Associates_Call_List_PQ!T537="","",Associates_Call_List_PQ!T537)</f>
        <v/>
      </c>
      <c r="U537" s="57" t="str">
        <f>IF(Associates_Call_List_PQ!U537="","",Associates_Call_List_PQ!U537)</f>
        <v/>
      </c>
      <c r="V537" s="68" t="s">
        <v>5433</v>
      </c>
      <c r="W537" s="68">
        <v>46060</v>
      </c>
      <c r="X537" s="68" t="s">
        <v>5405</v>
      </c>
      <c r="Y537" s="68" t="s">
        <v>5461</v>
      </c>
      <c r="Z537" s="72"/>
    </row>
    <row r="538" spans="1:26">
      <c r="A538" s="71">
        <f>IFERROR(Associates_Call_List_PQ!A538,"")</f>
        <v>45905</v>
      </c>
      <c r="B538" s="57" t="str">
        <f>IF(Associates_Call_List_PQ!B538="","",Associates_Call_List_PQ!B538)</f>
        <v>McKinney</v>
      </c>
      <c r="C538" s="57" t="str">
        <f>IF(Associates_Call_List_PQ!C538="","",Associates_Call_List_PQ!C538)</f>
        <v>Joshua</v>
      </c>
      <c r="D538" s="57" t="str">
        <f>IF(Associates_Call_List_PQ!D538="","",Associates_Call_List_PQ!D538)</f>
        <v>Phoenix</v>
      </c>
      <c r="E538" s="58">
        <f>IF(Associates_Call_List_PQ!E538="","",Associates_Call_List_PQ!E538)</f>
        <v>85022</v>
      </c>
      <c r="F538" s="57" t="str">
        <f>IF(Associates_Call_List_PQ!F538="","",Associates_Call_List_PQ!F538)</f>
        <v>Form letter</v>
      </c>
      <c r="G538" s="57" t="str">
        <f>IF(Associates_Call_List_PQ!G538="","",Associates_Call_List_PQ!G538)</f>
        <v>https://docket.images.azcc.gov/E000046235.pdf</v>
      </c>
      <c r="H538" s="59" t="str">
        <f>IF(Associates_Call_List_PQ!H538="","",Associates_Call_List_PQ!H538)</f>
        <v xml:space="preserve">3567250984 </v>
      </c>
      <c r="I538" s="57" t="str">
        <f>IF(Associates_Call_List_PQ!I538="","",Associates_Call_List_PQ!I538)</f>
        <v>R-XS</v>
      </c>
      <c r="J538" s="57" t="str">
        <f>IF(Associates_Call_List_PQ!J538="","",Associates_Call_List_PQ!J538)</f>
        <v>No</v>
      </c>
      <c r="K538" s="57" t="str">
        <f>IF(Associates_Call_List_PQ!K538="","",Associates_Call_List_PQ!K538)</f>
        <v>No</v>
      </c>
      <c r="L538" s="57" t="str">
        <f>IF(Associates_Call_List_PQ!L538="","",Associates_Call_List_PQ!L538)</f>
        <v>Yes</v>
      </c>
      <c r="M538" s="57" t="str">
        <f>IF(Associates_Call_List_PQ!M538="","",Associates_Call_List_PQ!M538)</f>
        <v>No</v>
      </c>
      <c r="N538" s="57" t="str">
        <f>IF(Associates_Call_List_PQ!N538="","",Associates_Call_List_PQ!N538)</f>
        <v>No</v>
      </c>
      <c r="O538" s="57" t="str">
        <f>IF(Associates_Call_List_PQ!O538="","",Associates_Call_List_PQ!O538)</f>
        <v>Yes</v>
      </c>
      <c r="P538" s="57" t="str">
        <f>IF(Associates_Call_List_PQ!P538="","",Associates_Call_List_PQ!P538)</f>
        <v>N</v>
      </c>
      <c r="Q538" s="57">
        <f>IF(Associates_Call_List_PQ!Q538="","",Associates_Call_List_PQ!Q538)</f>
        <v>45966</v>
      </c>
      <c r="R538" s="57" t="str">
        <f>IF(Associates_Call_List_PQ!R538="","",Associates_Call_List_PQ!R538)</f>
        <v/>
      </c>
      <c r="S538" s="57" t="str">
        <f>IF(Associates_Call_List_PQ!S538="","",Associates_Call_List_PQ!S538)</f>
        <v/>
      </c>
      <c r="T538" s="57" t="str">
        <f>IF(Associates_Call_List_PQ!T538="","",Associates_Call_List_PQ!T538)</f>
        <v/>
      </c>
      <c r="U538" s="57" t="str">
        <f>IF(Associates_Call_List_PQ!U538="","",Associates_Call_List_PQ!U538)</f>
        <v/>
      </c>
      <c r="V538" s="68" t="s">
        <v>117</v>
      </c>
      <c r="W538" s="68">
        <v>45997</v>
      </c>
      <c r="X538" s="68" t="s">
        <v>5405</v>
      </c>
      <c r="Y538" s="68"/>
      <c r="Z538" s="72" t="s">
        <v>5471</v>
      </c>
    </row>
    <row r="539" spans="1:26">
      <c r="A539" s="71">
        <f>IFERROR(Associates_Call_List_PQ!A539,"")</f>
        <v>45905</v>
      </c>
      <c r="B539" s="57" t="str">
        <f>IF(Associates_Call_List_PQ!B539="","",Associates_Call_List_PQ!B539)</f>
        <v>Vontran</v>
      </c>
      <c r="C539" s="57" t="str">
        <f>IF(Associates_Call_List_PQ!C539="","",Associates_Call_List_PQ!C539)</f>
        <v>Brady</v>
      </c>
      <c r="D539" s="57" t="str">
        <f>IF(Associates_Call_List_PQ!D539="","",Associates_Call_List_PQ!D539)</f>
        <v>Glendale</v>
      </c>
      <c r="E539" s="58">
        <f>IF(Associates_Call_List_PQ!E539="","",Associates_Call_List_PQ!E539)</f>
        <v>85308</v>
      </c>
      <c r="F539" s="57" t="str">
        <f>IF(Associates_Call_List_PQ!F539="","",Associates_Call_List_PQ!F539)</f>
        <v>Form letter</v>
      </c>
      <c r="G539" s="57" t="str">
        <f>IF(Associates_Call_List_PQ!G539="","",Associates_Call_List_PQ!G539)</f>
        <v>https://docket.images.azcc.gov/E000046235.pdf</v>
      </c>
      <c r="H539" s="59" t="str">
        <f>IF(Associates_Call_List_PQ!H539="","",Associates_Call_List_PQ!H539)</f>
        <v xml:space="preserve">7298780000 </v>
      </c>
      <c r="I539" s="57" t="str">
        <f>IF(Associates_Call_List_PQ!I539="","",Associates_Call_List_PQ!I539)</f>
        <v>R3-47</v>
      </c>
      <c r="J539" s="57" t="str">
        <f>IF(Associates_Call_List_PQ!J539="","",Associates_Call_List_PQ!J539)</f>
        <v>No</v>
      </c>
      <c r="K539" s="57" t="str">
        <f>IF(Associates_Call_List_PQ!K539="","",Associates_Call_List_PQ!K539)</f>
        <v>No</v>
      </c>
      <c r="L539" s="57" t="str">
        <f>IF(Associates_Call_List_PQ!L539="","",Associates_Call_List_PQ!L539)</f>
        <v>Yes</v>
      </c>
      <c r="M539" s="57" t="str">
        <f>IF(Associates_Call_List_PQ!M539="","",Associates_Call_List_PQ!M539)</f>
        <v>No</v>
      </c>
      <c r="N539" s="57" t="str">
        <f>IF(Associates_Call_List_PQ!N539="","",Associates_Call_List_PQ!N539)</f>
        <v>No</v>
      </c>
      <c r="O539" s="57" t="str">
        <f>IF(Associates_Call_List_PQ!O539="","",Associates_Call_List_PQ!O539)</f>
        <v>Yes</v>
      </c>
      <c r="P539" s="57" t="str">
        <f>IF(Associates_Call_List_PQ!P539="","",Associates_Call_List_PQ!P539)</f>
        <v>N</v>
      </c>
      <c r="Q539" s="57">
        <f>IF(Associates_Call_List_PQ!Q539="","",Associates_Call_List_PQ!Q539)</f>
        <v>45966</v>
      </c>
      <c r="R539" s="57" t="str">
        <f>IF(Associates_Call_List_PQ!R539="","",Associates_Call_List_PQ!R539)</f>
        <v/>
      </c>
      <c r="S539" s="57" t="str">
        <f>IF(Associates_Call_List_PQ!S539="","",Associates_Call_List_PQ!S539)</f>
        <v/>
      </c>
      <c r="T539" s="57" t="str">
        <f>IF(Associates_Call_List_PQ!T539="","",Associates_Call_List_PQ!T539)</f>
        <v/>
      </c>
      <c r="U539" s="57" t="str">
        <f>IF(Associates_Call_List_PQ!U539="","",Associates_Call_List_PQ!U539)</f>
        <v/>
      </c>
      <c r="V539" s="68"/>
      <c r="W539" s="68" t="s">
        <v>5432</v>
      </c>
      <c r="X539" s="68"/>
      <c r="Y539" s="68"/>
      <c r="Z539" s="72"/>
    </row>
    <row r="540" spans="1:26">
      <c r="A540" s="71">
        <f>IFERROR(Associates_Call_List_PQ!A540,"")</f>
        <v>45905</v>
      </c>
      <c r="B540" s="57" t="str">
        <f>IF(Associates_Call_List_PQ!B540="","",Associates_Call_List_PQ!B540)</f>
        <v>Ingraham</v>
      </c>
      <c r="C540" s="57" t="str">
        <f>IF(Associates_Call_List_PQ!C540="","",Associates_Call_List_PQ!C540)</f>
        <v>Corey</v>
      </c>
      <c r="D540" s="57" t="str">
        <f>IF(Associates_Call_List_PQ!D540="","",Associates_Call_List_PQ!D540)</f>
        <v>Buckeye</v>
      </c>
      <c r="E540" s="58">
        <f>IF(Associates_Call_List_PQ!E540="","",Associates_Call_List_PQ!E540)</f>
        <v>85396</v>
      </c>
      <c r="F540" s="57" t="str">
        <f>IF(Associates_Call_List_PQ!F540="","",Associates_Call_List_PQ!F540)</f>
        <v>Form letter</v>
      </c>
      <c r="G540" s="57" t="str">
        <f>IF(Associates_Call_List_PQ!G540="","",Associates_Call_List_PQ!G540)</f>
        <v>https://docket.images.azcc.gov/E000046235.pdf</v>
      </c>
      <c r="H540" s="59" t="str">
        <f>IF(Associates_Call_List_PQ!H540="","",Associates_Call_List_PQ!H540)</f>
        <v xml:space="preserve">4409132093 </v>
      </c>
      <c r="I540" s="57" t="str">
        <f>IF(Associates_Call_List_PQ!I540="","",Associates_Call_List_PQ!I540)</f>
        <v>R3-47</v>
      </c>
      <c r="J540" s="57" t="str">
        <f>IF(Associates_Call_List_PQ!J540="","",Associates_Call_List_PQ!J540)</f>
        <v>No</v>
      </c>
      <c r="K540" s="57" t="str">
        <f>IF(Associates_Call_List_PQ!K540="","",Associates_Call_List_PQ!K540)</f>
        <v>No</v>
      </c>
      <c r="L540" s="57" t="str">
        <f>IF(Associates_Call_List_PQ!L540="","",Associates_Call_List_PQ!L540)</f>
        <v>Yes</v>
      </c>
      <c r="M540" s="57" t="str">
        <f>IF(Associates_Call_List_PQ!M540="","",Associates_Call_List_PQ!M540)</f>
        <v>No</v>
      </c>
      <c r="N540" s="57" t="str">
        <f>IF(Associates_Call_List_PQ!N540="","",Associates_Call_List_PQ!N540)</f>
        <v>No</v>
      </c>
      <c r="O540" s="57" t="str">
        <f>IF(Associates_Call_List_PQ!O540="","",Associates_Call_List_PQ!O540)</f>
        <v>Yes</v>
      </c>
      <c r="P540" s="57" t="str">
        <f>IF(Associates_Call_List_PQ!P540="","",Associates_Call_List_PQ!P540)</f>
        <v>N</v>
      </c>
      <c r="Q540" s="57">
        <f>IF(Associates_Call_List_PQ!Q540="","",Associates_Call_List_PQ!Q540)</f>
        <v>45966</v>
      </c>
      <c r="R540" s="57" t="str">
        <f>IF(Associates_Call_List_PQ!R540="","",Associates_Call_List_PQ!R540)</f>
        <v/>
      </c>
      <c r="S540" s="57" t="str">
        <f>IF(Associates_Call_List_PQ!S540="","",Associates_Call_List_PQ!S540)</f>
        <v/>
      </c>
      <c r="T540" s="57" t="str">
        <f>IF(Associates_Call_List_PQ!T540="","",Associates_Call_List_PQ!T540)</f>
        <v/>
      </c>
      <c r="U540" s="57" t="str">
        <f>IF(Associates_Call_List_PQ!U540="","",Associates_Call_List_PQ!U540)</f>
        <v/>
      </c>
      <c r="V540" s="68"/>
      <c r="W540" s="68" t="s">
        <v>5432</v>
      </c>
      <c r="X540" s="68"/>
      <c r="Y540" s="68"/>
      <c r="Z540" s="72"/>
    </row>
    <row r="541" spans="1:26">
      <c r="A541" s="71">
        <f>IFERROR(Associates_Call_List_PQ!A541,"")</f>
        <v>45905</v>
      </c>
      <c r="B541" s="57" t="str">
        <f>IF(Associates_Call_List_PQ!B541="","",Associates_Call_List_PQ!B541)</f>
        <v>Briden</v>
      </c>
      <c r="C541" s="57" t="str">
        <f>IF(Associates_Call_List_PQ!C541="","",Associates_Call_List_PQ!C541)</f>
        <v>Jeffrey</v>
      </c>
      <c r="D541" s="57" t="str">
        <f>IF(Associates_Call_List_PQ!D541="","",Associates_Call_List_PQ!D541)</f>
        <v xml:space="preserve">Sun City </v>
      </c>
      <c r="E541" s="58">
        <f>IF(Associates_Call_List_PQ!E541="","",Associates_Call_List_PQ!E541)</f>
        <v>85351</v>
      </c>
      <c r="F541" s="57" t="str">
        <f>IF(Associates_Call_List_PQ!F541="","",Associates_Call_List_PQ!F541)</f>
        <v>Increase will break many fixed income seniors</v>
      </c>
      <c r="G541" s="57" t="str">
        <f>IF(Associates_Call_List_PQ!G541="","",Associates_Call_List_PQ!G541)</f>
        <v>https://docket.images.azcc.gov/E000046235.pdf</v>
      </c>
      <c r="H541" s="59" t="str">
        <f>IF(Associates_Call_List_PQ!H541="","",Associates_Call_List_PQ!H541)</f>
        <v>6085118737 </v>
      </c>
      <c r="I541" s="57" t="str">
        <f>IF(Associates_Call_List_PQ!I541="","",Associates_Call_List_PQ!I541)</f>
        <v>R-2</v>
      </c>
      <c r="J541" s="57" t="str">
        <f>IF(Associates_Call_List_PQ!J541="","",Associates_Call_List_PQ!J541)</f>
        <v>No</v>
      </c>
      <c r="K541" s="57" t="str">
        <f>IF(Associates_Call_List_PQ!K541="","",Associates_Call_List_PQ!K541)</f>
        <v>No</v>
      </c>
      <c r="L541" s="57" t="str">
        <f>IF(Associates_Call_List_PQ!L541="","",Associates_Call_List_PQ!L541)</f>
        <v>Frozen Rate</v>
      </c>
      <c r="M541" s="57" t="str">
        <f>IF(Associates_Call_List_PQ!M541="","",Associates_Call_List_PQ!M541)</f>
        <v>No</v>
      </c>
      <c r="N541" s="57" t="str">
        <f>IF(Associates_Call_List_PQ!N541="","",Associates_Call_List_PQ!N541)</f>
        <v>No</v>
      </c>
      <c r="O541" s="57" t="str">
        <f>IF(Associates_Call_List_PQ!O541="","",Associates_Call_List_PQ!O541)</f>
        <v>Yes</v>
      </c>
      <c r="P541" s="57" t="str">
        <f>IF(Associates_Call_List_PQ!P541="","",Associates_Call_List_PQ!P541)</f>
        <v>N</v>
      </c>
      <c r="Q541" s="57">
        <f>IF(Associates_Call_List_PQ!Q541="","",Associates_Call_List_PQ!Q541)</f>
        <v>45966</v>
      </c>
      <c r="R541" s="57" t="str">
        <f>IF(Associates_Call_List_PQ!R541="","",Associates_Call_List_PQ!R541)</f>
        <v/>
      </c>
      <c r="S541" s="57" t="str">
        <f>IF(Associates_Call_List_PQ!S541="","",Associates_Call_List_PQ!S541)</f>
        <v/>
      </c>
      <c r="T541" s="57" t="str">
        <f>IF(Associates_Call_List_PQ!T541="","",Associates_Call_List_PQ!T541)</f>
        <v/>
      </c>
      <c r="U541" s="57" t="str">
        <f>IF(Associates_Call_List_PQ!U541="","",Associates_Call_List_PQ!U541)</f>
        <v/>
      </c>
      <c r="V541" s="68"/>
      <c r="W541" s="68" t="s">
        <v>5432</v>
      </c>
      <c r="X541" s="68"/>
      <c r="Y541" s="68"/>
      <c r="Z541" s="72"/>
    </row>
    <row r="542" spans="1:26">
      <c r="A542" s="71">
        <f>IFERROR(Associates_Call_List_PQ!A542,"")</f>
        <v>45905</v>
      </c>
      <c r="B542" s="57" t="str">
        <f>IF(Associates_Call_List_PQ!B542="","",Associates_Call_List_PQ!B542)</f>
        <v>Leal</v>
      </c>
      <c r="C542" s="57" t="str">
        <f>IF(Associates_Call_List_PQ!C542="","",Associates_Call_List_PQ!C542)</f>
        <v>Steven</v>
      </c>
      <c r="D542" s="57" t="str">
        <f>IF(Associates_Call_List_PQ!D542="","",Associates_Call_List_PQ!D542)</f>
        <v>Phoenix</v>
      </c>
      <c r="E542" s="58">
        <f>IF(Associates_Call_List_PQ!E542="","",Associates_Call_List_PQ!E542)</f>
        <v>85014</v>
      </c>
      <c r="F542" s="57" t="str">
        <f>IF(Associates_Call_List_PQ!F542="","",Associates_Call_List_PQ!F542)</f>
        <v>Opposed</v>
      </c>
      <c r="G542" s="57" t="str">
        <f>IF(Associates_Call_List_PQ!G542="","",Associates_Call_List_PQ!G542)</f>
        <v>https://docket.images.azcc.gov/E000046235.pdf</v>
      </c>
      <c r="H542" s="59" t="str">
        <f>IF(Associates_Call_List_PQ!H542="","",Associates_Call_List_PQ!H542)</f>
        <v xml:space="preserve">4864054917 </v>
      </c>
      <c r="I542" s="57" t="str">
        <f>IF(Associates_Call_List_PQ!I542="","",Associates_Call_List_PQ!I542)</f>
        <v>R-BASIC</v>
      </c>
      <c r="J542" s="57" t="str">
        <f>IF(Associates_Call_List_PQ!J542="","",Associates_Call_List_PQ!J542)</f>
        <v>No</v>
      </c>
      <c r="K542" s="57" t="str">
        <f>IF(Associates_Call_List_PQ!K542="","",Associates_Call_List_PQ!K542)</f>
        <v>No</v>
      </c>
      <c r="L542" s="57" t="str">
        <f>IF(Associates_Call_List_PQ!L542="","",Associates_Call_List_PQ!L542)</f>
        <v>No MEP RTOUE47($18.11)</v>
      </c>
      <c r="M542" s="57" t="str">
        <f>IF(Associates_Call_List_PQ!M542="","",Associates_Call_List_PQ!M542)</f>
        <v>No</v>
      </c>
      <c r="N542" s="57" t="str">
        <f>IF(Associates_Call_List_PQ!N542="","",Associates_Call_List_PQ!N542)</f>
        <v>No</v>
      </c>
      <c r="O542" s="57" t="str">
        <f>IF(Associates_Call_List_PQ!O542="","",Associates_Call_List_PQ!O542)</f>
        <v>Yes</v>
      </c>
      <c r="P542" s="57" t="str">
        <f>IF(Associates_Call_List_PQ!P542="","",Associates_Call_List_PQ!P542)</f>
        <v>N</v>
      </c>
      <c r="Q542" s="57">
        <f>IF(Associates_Call_List_PQ!Q542="","",Associates_Call_List_PQ!Q542)</f>
        <v>45966</v>
      </c>
      <c r="R542" s="57" t="str">
        <f>IF(Associates_Call_List_PQ!R542="","",Associates_Call_List_PQ!R542)</f>
        <v/>
      </c>
      <c r="S542" s="57" t="str">
        <f>IF(Associates_Call_List_PQ!S542="","",Associates_Call_List_PQ!S542)</f>
        <v/>
      </c>
      <c r="T542" s="57" t="str">
        <f>IF(Associates_Call_List_PQ!T542="","",Associates_Call_List_PQ!T542)</f>
        <v/>
      </c>
      <c r="U542" s="57" t="str">
        <f>IF(Associates_Call_List_PQ!U542="","",Associates_Call_List_PQ!U542)</f>
        <v/>
      </c>
      <c r="V542" s="68" t="s">
        <v>5433</v>
      </c>
      <c r="W542" s="68">
        <v>46046</v>
      </c>
      <c r="X542" s="68" t="s">
        <v>5434</v>
      </c>
      <c r="Y542" s="68"/>
      <c r="Z542" s="72" t="s">
        <v>5599</v>
      </c>
    </row>
    <row r="543" spans="1:26">
      <c r="A543" s="71">
        <f>IFERROR(Associates_Call_List_PQ!A543,"")</f>
        <v>45905</v>
      </c>
      <c r="B543" s="57" t="str">
        <f>IF(Associates_Call_List_PQ!B543="","",Associates_Call_List_PQ!B543)</f>
        <v>Lakshmipathy</v>
      </c>
      <c r="C543" s="57" t="str">
        <f>IF(Associates_Call_List_PQ!C543="","",Associates_Call_List_PQ!C543)</f>
        <v>Arunkumar</v>
      </c>
      <c r="D543" s="57" t="str">
        <f>IF(Associates_Call_List_PQ!D543="","",Associates_Call_List_PQ!D543)</f>
        <v>Peoria</v>
      </c>
      <c r="E543" s="58">
        <f>IF(Associates_Call_List_PQ!E543="","",Associates_Call_List_PQ!E543)</f>
        <v>85383</v>
      </c>
      <c r="F543" s="57" t="str">
        <f>IF(Associates_Call_List_PQ!F543="","",Associates_Call_List_PQ!F543)</f>
        <v>Form letter</v>
      </c>
      <c r="G543" s="57" t="str">
        <f>IF(Associates_Call_List_PQ!G543="","",Associates_Call_List_PQ!G543)</f>
        <v>https://docket.images.azcc.gov/E000046235.pdf</v>
      </c>
      <c r="H543" s="59" t="str">
        <f>IF(Associates_Call_List_PQ!H543="","",Associates_Call_List_PQ!H543)</f>
        <v xml:space="preserve">0228851000 </v>
      </c>
      <c r="I543" s="57" t="str">
        <f>IF(Associates_Call_List_PQ!I543="","",Associates_Call_List_PQ!I543)</f>
        <v>RCPw/RTOUE47</v>
      </c>
      <c r="J543" s="57" t="str">
        <f>IF(Associates_Call_List_PQ!J543="","",Associates_Call_List_PQ!J543)</f>
        <v>No</v>
      </c>
      <c r="K543" s="57" t="str">
        <f>IF(Associates_Call_List_PQ!K543="","",Associates_Call_List_PQ!K543)</f>
        <v>No</v>
      </c>
      <c r="L543" s="57" t="str">
        <f>IF(Associates_Call_List_PQ!L543="","",Associates_Call_List_PQ!L543)</f>
        <v>No MEP R3-47($52.51)</v>
      </c>
      <c r="M543" s="57" t="str">
        <f>IF(Associates_Call_List_PQ!M543="","",Associates_Call_List_PQ!M543)</f>
        <v>No</v>
      </c>
      <c r="N543" s="57" t="str">
        <f>IF(Associates_Call_List_PQ!N543="","",Associates_Call_List_PQ!N543)</f>
        <v>No</v>
      </c>
      <c r="O543" s="57" t="str">
        <f>IF(Associates_Call_List_PQ!O543="","",Associates_Call_List_PQ!O543)</f>
        <v>Yes</v>
      </c>
      <c r="P543" s="57" t="str">
        <f>IF(Associates_Call_List_PQ!P543="","",Associates_Call_List_PQ!P543)</f>
        <v>N</v>
      </c>
      <c r="Q543" s="57">
        <f>IF(Associates_Call_List_PQ!Q543="","",Associates_Call_List_PQ!Q543)</f>
        <v>45966</v>
      </c>
      <c r="R543" s="57" t="str">
        <f>IF(Associates_Call_List_PQ!R543="","",Associates_Call_List_PQ!R543)</f>
        <v/>
      </c>
      <c r="S543" s="57" t="str">
        <f>IF(Associates_Call_List_PQ!S543="","",Associates_Call_List_PQ!S543)</f>
        <v/>
      </c>
      <c r="T543" s="57" t="str">
        <f>IF(Associates_Call_List_PQ!T543="","",Associates_Call_List_PQ!T543)</f>
        <v/>
      </c>
      <c r="U543" s="57" t="str">
        <f>IF(Associates_Call_List_PQ!U543="","",Associates_Call_List_PQ!U543)</f>
        <v>Filed 2x on this day</v>
      </c>
      <c r="V543" s="68" t="s">
        <v>5433</v>
      </c>
      <c r="W543" s="68">
        <v>46046</v>
      </c>
      <c r="X543" s="68" t="s">
        <v>5405</v>
      </c>
      <c r="Y543" s="68" t="s">
        <v>5455</v>
      </c>
      <c r="Z543" s="72" t="s">
        <v>5618</v>
      </c>
    </row>
    <row r="544" spans="1:26">
      <c r="A544" s="71">
        <f>IFERROR(Associates_Call_List_PQ!A544,"")</f>
        <v>45905</v>
      </c>
      <c r="B544" s="57" t="str">
        <f>IF(Associates_Call_List_PQ!B544="","",Associates_Call_List_PQ!B544)</f>
        <v>Lengowski</v>
      </c>
      <c r="C544" s="57" t="str">
        <f>IF(Associates_Call_List_PQ!C544="","",Associates_Call_List_PQ!C544)</f>
        <v>David</v>
      </c>
      <c r="D544" s="57" t="str">
        <f>IF(Associates_Call_List_PQ!D544="","",Associates_Call_List_PQ!D544)</f>
        <v>Phoenix</v>
      </c>
      <c r="E544" s="58">
        <f>IF(Associates_Call_List_PQ!E544="","",Associates_Call_List_PQ!E544)</f>
        <v>85023</v>
      </c>
      <c r="F544" s="57" t="str">
        <f>IF(Associates_Call_List_PQ!F544="","",Associates_Call_List_PQ!F544)</f>
        <v>Form letter</v>
      </c>
      <c r="G544" s="57" t="str">
        <f>IF(Associates_Call_List_PQ!G544="","",Associates_Call_List_PQ!G544)</f>
        <v>https://docket.images.azcc.gov/E000046235.pdf</v>
      </c>
      <c r="H544" s="59" t="str">
        <f>IF(Associates_Call_List_PQ!H544="","",Associates_Call_List_PQ!H544)</f>
        <v>7209213637 </v>
      </c>
      <c r="I544" s="57" t="str">
        <f>IF(Associates_Call_List_PQ!I544="","",Associates_Call_List_PQ!I544)</f>
        <v>R-XS</v>
      </c>
      <c r="J544" s="57" t="str">
        <f>IF(Associates_Call_List_PQ!J544="","",Associates_Call_List_PQ!J544)</f>
        <v>No</v>
      </c>
      <c r="K544" s="57" t="str">
        <f>IF(Associates_Call_List_PQ!K544="","",Associates_Call_List_PQ!K544)</f>
        <v>No</v>
      </c>
      <c r="L544" s="57" t="str">
        <f>IF(Associates_Call_List_PQ!L544="","",Associates_Call_List_PQ!L544)</f>
        <v>Yes</v>
      </c>
      <c r="M544" s="57" t="str">
        <f>IF(Associates_Call_List_PQ!M544="","",Associates_Call_List_PQ!M544)</f>
        <v>No</v>
      </c>
      <c r="N544" s="57" t="str">
        <f>IF(Associates_Call_List_PQ!N544="","",Associates_Call_List_PQ!N544)</f>
        <v>No</v>
      </c>
      <c r="O544" s="57" t="str">
        <f>IF(Associates_Call_List_PQ!O544="","",Associates_Call_List_PQ!O544)</f>
        <v>Yes</v>
      </c>
      <c r="P544" s="57" t="str">
        <f>IF(Associates_Call_List_PQ!P544="","",Associates_Call_List_PQ!P544)</f>
        <v>N</v>
      </c>
      <c r="Q544" s="57">
        <f>IF(Associates_Call_List_PQ!Q544="","",Associates_Call_List_PQ!Q544)</f>
        <v>45966</v>
      </c>
      <c r="R544" s="57" t="str">
        <f>IF(Associates_Call_List_PQ!R544="","",Associates_Call_List_PQ!R544)</f>
        <v/>
      </c>
      <c r="S544" s="57" t="str">
        <f>IF(Associates_Call_List_PQ!S544="","",Associates_Call_List_PQ!S544)</f>
        <v/>
      </c>
      <c r="T544" s="57" t="str">
        <f>IF(Associates_Call_List_PQ!T544="","",Associates_Call_List_PQ!T544)</f>
        <v/>
      </c>
      <c r="U544" s="57" t="str">
        <f>IF(Associates_Call_List_PQ!U544="","",Associates_Call_List_PQ!U544)</f>
        <v/>
      </c>
      <c r="V544" s="68"/>
      <c r="W544" s="68" t="s">
        <v>5432</v>
      </c>
      <c r="X544" s="68"/>
      <c r="Y544" s="68"/>
      <c r="Z544" s="72"/>
    </row>
    <row r="545" spans="1:26">
      <c r="A545" s="71">
        <f>IFERROR(Associates_Call_List_PQ!A545,"")</f>
        <v>45905</v>
      </c>
      <c r="B545" s="57" t="str">
        <f>IF(Associates_Call_List_PQ!B545="","",Associates_Call_List_PQ!B545)</f>
        <v>Greenfield</v>
      </c>
      <c r="C545" s="57" t="str">
        <f>IF(Associates_Call_List_PQ!C545="","",Associates_Call_List_PQ!C545)</f>
        <v>Ronald</v>
      </c>
      <c r="D545" s="57" t="str">
        <f>IF(Associates_Call_List_PQ!D545="","",Associates_Call_List_PQ!D545)</f>
        <v>Buckeye</v>
      </c>
      <c r="E545" s="58">
        <f>IF(Associates_Call_List_PQ!E545="","",Associates_Call_List_PQ!E545)</f>
        <v>85396</v>
      </c>
      <c r="F545" s="57" t="str">
        <f>IF(Associates_Call_List_PQ!F545="","",Associates_Call_List_PQ!F545)</f>
        <v>Opposed</v>
      </c>
      <c r="G545" s="57" t="str">
        <f>IF(Associates_Call_List_PQ!G545="","",Associates_Call_List_PQ!G545)</f>
        <v>https://docket.images.azcc.gov/E000046235.pdf</v>
      </c>
      <c r="H545" s="59" t="str">
        <f>IF(Associates_Call_List_PQ!H545="","",Associates_Call_List_PQ!H545)</f>
        <v xml:space="preserve">0020521000 </v>
      </c>
      <c r="I545" s="57" t="str">
        <f>IF(Associates_Call_List_PQ!I545="","",Associates_Call_List_PQ!I545)</f>
        <v>EPR-6w/ET-2</v>
      </c>
      <c r="J545" s="57" t="str">
        <f>IF(Associates_Call_List_PQ!J545="","",Associates_Call_List_PQ!J545)</f>
        <v>No</v>
      </c>
      <c r="K545" s="57" t="str">
        <f>IF(Associates_Call_List_PQ!K545="","",Associates_Call_List_PQ!K545)</f>
        <v>No</v>
      </c>
      <c r="L545" s="57" t="str">
        <f>IF(Associates_Call_List_PQ!L545="","",Associates_Call_List_PQ!L545)</f>
        <v>Frozen Rate</v>
      </c>
      <c r="M545" s="57" t="str">
        <f>IF(Associates_Call_List_PQ!M545="","",Associates_Call_List_PQ!M545)</f>
        <v>No</v>
      </c>
      <c r="N545" s="57" t="str">
        <f>IF(Associates_Call_List_PQ!N545="","",Associates_Call_List_PQ!N545)</f>
        <v>No</v>
      </c>
      <c r="O545" s="57" t="str">
        <f>IF(Associates_Call_List_PQ!O545="","",Associates_Call_List_PQ!O545)</f>
        <v>Yes</v>
      </c>
      <c r="P545" s="57" t="str">
        <f>IF(Associates_Call_List_PQ!P545="","",Associates_Call_List_PQ!P545)</f>
        <v>N</v>
      </c>
      <c r="Q545" s="57">
        <f>IF(Associates_Call_List_PQ!Q545="","",Associates_Call_List_PQ!Q545)</f>
        <v>45966</v>
      </c>
      <c r="R545" s="57" t="str">
        <f>IF(Associates_Call_List_PQ!R545="","",Associates_Call_List_PQ!R545)</f>
        <v/>
      </c>
      <c r="S545" s="57" t="str">
        <f>IF(Associates_Call_List_PQ!S545="","",Associates_Call_List_PQ!S545)</f>
        <v/>
      </c>
      <c r="T545" s="57" t="str">
        <f>IF(Associates_Call_List_PQ!T545="","",Associates_Call_List_PQ!T545)</f>
        <v/>
      </c>
      <c r="U545" s="57" t="str">
        <f>IF(Associates_Call_List_PQ!U545="","",Associates_Call_List_PQ!U545)</f>
        <v/>
      </c>
      <c r="V545" s="68"/>
      <c r="W545" s="68" t="s">
        <v>5432</v>
      </c>
      <c r="X545" s="68"/>
      <c r="Y545" s="68"/>
      <c r="Z545" s="72"/>
    </row>
    <row r="546" spans="1:26">
      <c r="A546" s="71">
        <f>IFERROR(Associates_Call_List_PQ!A546,"")</f>
        <v>45905</v>
      </c>
      <c r="B546" s="57" t="str">
        <f>IF(Associates_Call_List_PQ!B546="","",Associates_Call_List_PQ!B546)</f>
        <v>Duclos</v>
      </c>
      <c r="C546" s="57" t="str">
        <f>IF(Associates_Call_List_PQ!C546="","",Associates_Call_List_PQ!C546)</f>
        <v>Bryan</v>
      </c>
      <c r="D546" s="57" t="str">
        <f>IF(Associates_Call_List_PQ!D546="","",Associates_Call_List_PQ!D546)</f>
        <v>Goodyear</v>
      </c>
      <c r="E546" s="58">
        <f>IF(Associates_Call_List_PQ!E546="","",Associates_Call_List_PQ!E546)</f>
        <v>85448</v>
      </c>
      <c r="F546" s="57" t="str">
        <f>IF(Associates_Call_List_PQ!F546="","",Associates_Call_List_PQ!F546)</f>
        <v xml:space="preserve">Monopoly,  </v>
      </c>
      <c r="G546" s="57" t="str">
        <f>IF(Associates_Call_List_PQ!G546="","",Associates_Call_List_PQ!G546)</f>
        <v>https://docket.images.azcc.gov/E000046235.pdf</v>
      </c>
      <c r="H546" s="59" t="str">
        <f>IF(Associates_Call_List_PQ!H546="","",Associates_Call_List_PQ!H546)</f>
        <v xml:space="preserve">7447867552 </v>
      </c>
      <c r="I546" s="57" t="str">
        <f>IF(Associates_Call_List_PQ!I546="","",Associates_Call_List_PQ!I546)</f>
        <v>EPR-6w/ET-2</v>
      </c>
      <c r="J546" s="57" t="str">
        <f>IF(Associates_Call_List_PQ!J546="","",Associates_Call_List_PQ!J546)</f>
        <v>No</v>
      </c>
      <c r="K546" s="57" t="str">
        <f>IF(Associates_Call_List_PQ!K546="","",Associates_Call_List_PQ!K546)</f>
        <v>No</v>
      </c>
      <c r="L546" s="57" t="str">
        <f>IF(Associates_Call_List_PQ!L546="","",Associates_Call_List_PQ!L546)</f>
        <v>Frozen Rate</v>
      </c>
      <c r="M546" s="57" t="str">
        <f>IF(Associates_Call_List_PQ!M546="","",Associates_Call_List_PQ!M546)</f>
        <v>No</v>
      </c>
      <c r="N546" s="57" t="str">
        <f>IF(Associates_Call_List_PQ!N546="","",Associates_Call_List_PQ!N546)</f>
        <v>No</v>
      </c>
      <c r="O546" s="57" t="str">
        <f>IF(Associates_Call_List_PQ!O546="","",Associates_Call_List_PQ!O546)</f>
        <v>Yes</v>
      </c>
      <c r="P546" s="57" t="str">
        <f>IF(Associates_Call_List_PQ!P546="","",Associates_Call_List_PQ!P546)</f>
        <v>N</v>
      </c>
      <c r="Q546" s="57">
        <f>IF(Associates_Call_List_PQ!Q546="","",Associates_Call_List_PQ!Q546)</f>
        <v>45966</v>
      </c>
      <c r="R546" s="57" t="str">
        <f>IF(Associates_Call_List_PQ!R546="","",Associates_Call_List_PQ!R546)</f>
        <v/>
      </c>
      <c r="S546" s="57" t="str">
        <f>IF(Associates_Call_List_PQ!S546="","",Associates_Call_List_PQ!S546)</f>
        <v/>
      </c>
      <c r="T546" s="57" t="str">
        <f>IF(Associates_Call_List_PQ!T546="","",Associates_Call_List_PQ!T546)</f>
        <v/>
      </c>
      <c r="U546" s="57" t="str">
        <f>IF(Associates_Call_List_PQ!U546="","",Associates_Call_List_PQ!U546)</f>
        <v/>
      </c>
      <c r="V546" s="68"/>
      <c r="W546" s="68" t="s">
        <v>5432</v>
      </c>
      <c r="X546" s="68"/>
      <c r="Y546" s="68"/>
      <c r="Z546" s="72"/>
    </row>
    <row r="547" spans="1:26">
      <c r="A547" s="71">
        <f>IFERROR(Associates_Call_List_PQ!A547,"")</f>
        <v>45905</v>
      </c>
      <c r="B547" s="57" t="str">
        <f>IF(Associates_Call_List_PQ!B547="","",Associates_Call_List_PQ!B547)</f>
        <v>Santoyo</v>
      </c>
      <c r="C547" s="57" t="str">
        <f>IF(Associates_Call_List_PQ!C547="","",Associates_Call_List_PQ!C547)</f>
        <v>Ashlee</v>
      </c>
      <c r="D547" s="57" t="str">
        <f>IF(Associates_Call_List_PQ!D547="","",Associates_Call_List_PQ!D547)</f>
        <v>Surprise</v>
      </c>
      <c r="E547" s="58">
        <f>IF(Associates_Call_List_PQ!E547="","",Associates_Call_List_PQ!E547)</f>
        <v>85387</v>
      </c>
      <c r="F547" s="57" t="str">
        <f>IF(Associates_Call_List_PQ!F547="","",Associates_Call_List_PQ!F547)</f>
        <v>Form letter</v>
      </c>
      <c r="G547" s="57" t="str">
        <f>IF(Associates_Call_List_PQ!G547="","",Associates_Call_List_PQ!G547)</f>
        <v>https://docket.images.azcc.gov/E000046235.pdf</v>
      </c>
      <c r="H547" s="59" t="str">
        <f>IF(Associates_Call_List_PQ!H547="","",Associates_Call_List_PQ!H547)</f>
        <v xml:space="preserve">0356005964 </v>
      </c>
      <c r="I547" s="57" t="str">
        <f>IF(Associates_Call_List_PQ!I547="","",Associates_Call_List_PQ!I547)</f>
        <v>RTOUE47</v>
      </c>
      <c r="J547" s="57" t="str">
        <f>IF(Associates_Call_List_PQ!J547="","",Associates_Call_List_PQ!J547)</f>
        <v>No</v>
      </c>
      <c r="K547" s="57" t="str">
        <f>IF(Associates_Call_List_PQ!K547="","",Associates_Call_List_PQ!K547)</f>
        <v>No</v>
      </c>
      <c r="L547" s="57" t="str">
        <f>IF(Associates_Call_List_PQ!L547="","",Associates_Call_List_PQ!L547)</f>
        <v>No MEP R3-47($153.61)</v>
      </c>
      <c r="M547" s="57" t="str">
        <f>IF(Associates_Call_List_PQ!M547="","",Associates_Call_List_PQ!M547)</f>
        <v>Y</v>
      </c>
      <c r="N547" s="57">
        <f>IF(Associates_Call_List_PQ!N547="","",Associates_Call_List_PQ!N547)</f>
        <v>1278.31</v>
      </c>
      <c r="O547" s="57" t="str">
        <f>IF(Associates_Call_List_PQ!O547="","",Associates_Call_List_PQ!O547)</f>
        <v>Yes</v>
      </c>
      <c r="P547" s="57">
        <f>IF(Associates_Call_List_PQ!P547="","",Associates_Call_List_PQ!P547)</f>
        <v>45936</v>
      </c>
      <c r="Q547" s="57">
        <f>IF(Associates_Call_List_PQ!Q547="","",Associates_Call_List_PQ!Q547)</f>
        <v>45966</v>
      </c>
      <c r="R547" s="57" t="str">
        <f>IF(Associates_Call_List_PQ!R547="","",Associates_Call_List_PQ!R547)</f>
        <v>COR will remain on current serv plan, Assistance?</v>
      </c>
      <c r="S547" s="57" t="str">
        <f>IF(Associates_Call_List_PQ!S547="","",Associates_Call_List_PQ!S547)</f>
        <v/>
      </c>
      <c r="T547" s="57" t="str">
        <f>IF(Associates_Call_List_PQ!T547="","",Associates_Call_List_PQ!T547)</f>
        <v/>
      </c>
      <c r="U547" s="57" t="str">
        <f>IF(Associates_Call_List_PQ!U547="","",Associates_Call_List_PQ!U547)</f>
        <v/>
      </c>
      <c r="V547" s="68" t="s">
        <v>5433</v>
      </c>
      <c r="W547" s="68">
        <v>46046</v>
      </c>
      <c r="X547" s="68" t="s">
        <v>5405</v>
      </c>
      <c r="Y547" s="68" t="s">
        <v>5461</v>
      </c>
      <c r="Z547" s="72" t="s">
        <v>5619</v>
      </c>
    </row>
    <row r="548" spans="1:26">
      <c r="A548" s="71">
        <f>IFERROR(Associates_Call_List_PQ!A548,"")</f>
        <v>45905</v>
      </c>
      <c r="B548" s="57" t="str">
        <f>IF(Associates_Call_List_PQ!B548="","",Associates_Call_List_PQ!B548)</f>
        <v>Guerin</v>
      </c>
      <c r="C548" s="57" t="str">
        <f>IF(Associates_Call_List_PQ!C548="","",Associates_Call_List_PQ!C548)</f>
        <v>Patrick</v>
      </c>
      <c r="D548" s="57" t="str">
        <f>IF(Associates_Call_List_PQ!D548="","",Associates_Call_List_PQ!D548)</f>
        <v>Ajo</v>
      </c>
      <c r="E548" s="58">
        <f>IF(Associates_Call_List_PQ!E548="","",Associates_Call_List_PQ!E548)</f>
        <v>85321</v>
      </c>
      <c r="F548" s="57" t="str">
        <f>IF(Associates_Call_List_PQ!F548="","",Associates_Call_List_PQ!F548)</f>
        <v>Form letter</v>
      </c>
      <c r="G548" s="57" t="str">
        <f>IF(Associates_Call_List_PQ!G548="","",Associates_Call_List_PQ!G548)</f>
        <v>https://docket.images.azcc.gov/E000046235.pdf</v>
      </c>
      <c r="H548" s="59" t="str">
        <f>IF(Associates_Call_List_PQ!H548="","",Associates_Call_List_PQ!H548)</f>
        <v xml:space="preserve">7898944772 </v>
      </c>
      <c r="I548" s="57" t="str">
        <f>IF(Associates_Call_List_PQ!I548="","",Associates_Call_List_PQ!I548)</f>
        <v>RCPw/RTOUE47</v>
      </c>
      <c r="J548" s="57" t="str">
        <f>IF(Associates_Call_List_PQ!J548="","",Associates_Call_List_PQ!J548)</f>
        <v>No</v>
      </c>
      <c r="K548" s="57" t="str">
        <f>IF(Associates_Call_List_PQ!K548="","",Associates_Call_List_PQ!K548)</f>
        <v>No</v>
      </c>
      <c r="L548" s="57" t="str">
        <f>IF(Associates_Call_List_PQ!L548="","",Associates_Call_List_PQ!L548)</f>
        <v>Yes</v>
      </c>
      <c r="M548" s="57" t="str">
        <f>IF(Associates_Call_List_PQ!M548="","",Associates_Call_List_PQ!M548)</f>
        <v>No</v>
      </c>
      <c r="N548" s="57" t="str">
        <f>IF(Associates_Call_List_PQ!N548="","",Associates_Call_List_PQ!N548)</f>
        <v>No</v>
      </c>
      <c r="O548" s="57" t="str">
        <f>IF(Associates_Call_List_PQ!O548="","",Associates_Call_List_PQ!O548)</f>
        <v>Yes</v>
      </c>
      <c r="P548" s="57" t="str">
        <f>IF(Associates_Call_List_PQ!P548="","",Associates_Call_List_PQ!P548)</f>
        <v>N</v>
      </c>
      <c r="Q548" s="57">
        <f>IF(Associates_Call_List_PQ!Q548="","",Associates_Call_List_PQ!Q548)</f>
        <v>45966</v>
      </c>
      <c r="R548" s="57" t="str">
        <f>IF(Associates_Call_List_PQ!R548="","",Associates_Call_List_PQ!R548)</f>
        <v/>
      </c>
      <c r="S548" s="57" t="str">
        <f>IF(Associates_Call_List_PQ!S548="","",Associates_Call_List_PQ!S548)</f>
        <v/>
      </c>
      <c r="T548" s="57" t="str">
        <f>IF(Associates_Call_List_PQ!T548="","",Associates_Call_List_PQ!T548)</f>
        <v/>
      </c>
      <c r="U548" s="57" t="str">
        <f>IF(Associates_Call_List_PQ!U548="","",Associates_Call_List_PQ!U548)</f>
        <v/>
      </c>
      <c r="V548" s="68"/>
      <c r="W548" s="68" t="s">
        <v>5432</v>
      </c>
      <c r="X548" s="68"/>
      <c r="Y548" s="68"/>
      <c r="Z548" s="72"/>
    </row>
    <row r="549" spans="1:26">
      <c r="A549" s="71">
        <f>IFERROR(Associates_Call_List_PQ!A549,"")</f>
        <v>45905</v>
      </c>
      <c r="B549" s="57" t="str">
        <f>IF(Associates_Call_List_PQ!B549="","",Associates_Call_List_PQ!B549)</f>
        <v>Bello</v>
      </c>
      <c r="C549" s="57" t="str">
        <f>IF(Associates_Call_List_PQ!C549="","",Associates_Call_List_PQ!C549)</f>
        <v>Jose</v>
      </c>
      <c r="D549" s="57" t="str">
        <f>IF(Associates_Call_List_PQ!D549="","",Associates_Call_List_PQ!D549)</f>
        <v>Goodyear</v>
      </c>
      <c r="E549" s="58">
        <f>IF(Associates_Call_List_PQ!E549="","",Associates_Call_List_PQ!E549)</f>
        <v>85338</v>
      </c>
      <c r="F549" s="57" t="str">
        <f>IF(Associates_Call_List_PQ!F549="","",Associates_Call_List_PQ!F549)</f>
        <v>Ridiculously high</v>
      </c>
      <c r="G549" s="57" t="str">
        <f>IF(Associates_Call_List_PQ!G549="","",Associates_Call_List_PQ!G549)</f>
        <v>https://docket.images.azcc.gov/E000046235.pdf</v>
      </c>
      <c r="H549" s="59" t="str">
        <f>IF(Associates_Call_List_PQ!H549="","",Associates_Call_List_PQ!H549)</f>
        <v>0849482490</v>
      </c>
      <c r="I549" s="57" t="str">
        <f>IF(Associates_Call_List_PQ!I549="","",Associates_Call_List_PQ!I549)</f>
        <v>RCPw/RTOUE47</v>
      </c>
      <c r="J549" s="57" t="str">
        <f>IF(Associates_Call_List_PQ!J549="","",Associates_Call_List_PQ!J549)</f>
        <v>No</v>
      </c>
      <c r="K549" s="57" t="str">
        <f>IF(Associates_Call_List_PQ!K549="","",Associates_Call_List_PQ!K549)</f>
        <v>No</v>
      </c>
      <c r="L549" s="57" t="str">
        <f>IF(Associates_Call_List_PQ!L549="","",Associates_Call_List_PQ!L549)</f>
        <v>Yes</v>
      </c>
      <c r="M549" s="57" t="str">
        <f>IF(Associates_Call_List_PQ!M549="","",Associates_Call_List_PQ!M549)</f>
        <v>No</v>
      </c>
      <c r="N549" s="57" t="str">
        <f>IF(Associates_Call_List_PQ!N549="","",Associates_Call_List_PQ!N549)</f>
        <v>No</v>
      </c>
      <c r="O549" s="57" t="str">
        <f>IF(Associates_Call_List_PQ!O549="","",Associates_Call_List_PQ!O549)</f>
        <v>Yes</v>
      </c>
      <c r="P549" s="57" t="str">
        <f>IF(Associates_Call_List_PQ!P549="","",Associates_Call_List_PQ!P549)</f>
        <v>N</v>
      </c>
      <c r="Q549" s="57">
        <f>IF(Associates_Call_List_PQ!Q549="","",Associates_Call_List_PQ!Q549)</f>
        <v>45966</v>
      </c>
      <c r="R549" s="57" t="str">
        <f>IF(Associates_Call_List_PQ!R549="","",Associates_Call_List_PQ!R549)</f>
        <v/>
      </c>
      <c r="S549" s="57" t="str">
        <f>IF(Associates_Call_List_PQ!S549="","",Associates_Call_List_PQ!S549)</f>
        <v/>
      </c>
      <c r="T549" s="57" t="str">
        <f>IF(Associates_Call_List_PQ!T549="","",Associates_Call_List_PQ!T549)</f>
        <v/>
      </c>
      <c r="U549" s="57" t="str">
        <f>IF(Associates_Call_List_PQ!U549="","",Associates_Call_List_PQ!U549)</f>
        <v/>
      </c>
      <c r="V549" s="68"/>
      <c r="W549" s="68" t="s">
        <v>5432</v>
      </c>
      <c r="X549" s="68"/>
      <c r="Y549" s="68"/>
      <c r="Z549" s="72"/>
    </row>
    <row r="550" spans="1:26">
      <c r="A550" s="71">
        <f>IFERROR(Associates_Call_List_PQ!A550,"")</f>
        <v>45905</v>
      </c>
      <c r="B550" s="57" t="str">
        <f>IF(Associates_Call_List_PQ!B550="","",Associates_Call_List_PQ!B550)</f>
        <v>Copeland</v>
      </c>
      <c r="C550" s="57" t="str">
        <f>IF(Associates_Call_List_PQ!C550="","",Associates_Call_List_PQ!C550)</f>
        <v>Joen</v>
      </c>
      <c r="D550" s="57" t="str">
        <f>IF(Associates_Call_List_PQ!D550="","",Associates_Call_List_PQ!D550)</f>
        <v>Phoenix</v>
      </c>
      <c r="E550" s="58">
        <f>IF(Associates_Call_List_PQ!E550="","",Associates_Call_List_PQ!E550)</f>
        <v>85006</v>
      </c>
      <c r="F550" s="57" t="str">
        <f>IF(Associates_Call_List_PQ!F550="","",Associates_Call_List_PQ!F550)</f>
        <v>Opposed</v>
      </c>
      <c r="G550" s="57" t="str">
        <f>IF(Associates_Call_List_PQ!G550="","",Associates_Call_List_PQ!G550)</f>
        <v>https://docket.images.azcc.gov/E000046235.pdf</v>
      </c>
      <c r="H550" s="59" t="str">
        <f>IF(Associates_Call_List_PQ!H550="","",Associates_Call_List_PQ!H550)</f>
        <v xml:space="preserve">7370951000 </v>
      </c>
      <c r="I550" s="57" t="str">
        <f>IF(Associates_Call_List_PQ!I550="","",Associates_Call_List_PQ!I550)</f>
        <v>R-BASICL</v>
      </c>
      <c r="J550" s="57" t="str">
        <f>IF(Associates_Call_List_PQ!J550="","",Associates_Call_List_PQ!J550)</f>
        <v>No</v>
      </c>
      <c r="K550" s="57" t="str">
        <f>IF(Associates_Call_List_PQ!K550="","",Associates_Call_List_PQ!K550)</f>
        <v>No</v>
      </c>
      <c r="L550" s="57" t="str">
        <f>IF(Associates_Call_List_PQ!L550="","",Associates_Call_List_PQ!L550)</f>
        <v>No MEP R3-47(498.46)</v>
      </c>
      <c r="M550" s="57" t="str">
        <f>IF(Associates_Call_List_PQ!M550="","",Associates_Call_List_PQ!M550)</f>
        <v>No</v>
      </c>
      <c r="N550" s="57" t="str">
        <f>IF(Associates_Call_List_PQ!N550="","",Associates_Call_List_PQ!N550)</f>
        <v>No</v>
      </c>
      <c r="O550" s="57" t="str">
        <f>IF(Associates_Call_List_PQ!O550="","",Associates_Call_List_PQ!O550)</f>
        <v>Yes</v>
      </c>
      <c r="P550" s="57">
        <f>IF(Associates_Call_List_PQ!P550="","",Associates_Call_List_PQ!P550)</f>
        <v>45937</v>
      </c>
      <c r="Q550" s="57">
        <f>IF(Associates_Call_List_PQ!Q550="","",Associates_Call_List_PQ!Q550)</f>
        <v>45966</v>
      </c>
      <c r="R550" s="57" t="str">
        <f>IF(Associates_Call_List_PQ!R550="","",Associates_Call_List_PQ!R550)</f>
        <v>COR conf she wanted to change to R3-47Rate changed per request</v>
      </c>
      <c r="S550" s="57" t="str">
        <f>IF(Associates_Call_List_PQ!S550="","",Associates_Call_List_PQ!S550)</f>
        <v/>
      </c>
      <c r="T550" s="57" t="str">
        <f>IF(Associates_Call_List_PQ!T550="","",Associates_Call_List_PQ!T550)</f>
        <v/>
      </c>
      <c r="U550" s="57" t="str">
        <f>IF(Associates_Call_List_PQ!U550="","",Associates_Call_List_PQ!U550)</f>
        <v/>
      </c>
      <c r="V550" s="68" t="s">
        <v>5433</v>
      </c>
      <c r="W550" s="68">
        <v>46060</v>
      </c>
      <c r="X550" s="68" t="s">
        <v>5405</v>
      </c>
      <c r="Y550" s="68"/>
      <c r="Z550" s="72" t="s">
        <v>5620</v>
      </c>
    </row>
    <row r="551" spans="1:26">
      <c r="A551" s="71">
        <f>IFERROR(Associates_Call_List_PQ!A551,"")</f>
        <v>45905</v>
      </c>
      <c r="B551" s="57" t="str">
        <f>IF(Associates_Call_List_PQ!B551="","",Associates_Call_List_PQ!B551)</f>
        <v>Fransen</v>
      </c>
      <c r="C551" s="57" t="str">
        <f>IF(Associates_Call_List_PQ!C551="","",Associates_Call_List_PQ!C551)</f>
        <v>Eric</v>
      </c>
      <c r="D551" s="57" t="str">
        <f>IF(Associates_Call_List_PQ!D551="","",Associates_Call_List_PQ!D551)</f>
        <v>Scottsdale</v>
      </c>
      <c r="E551" s="58">
        <f>IF(Associates_Call_List_PQ!E551="","",Associates_Call_List_PQ!E551)</f>
        <v>85258</v>
      </c>
      <c r="F551" s="57" t="str">
        <f>IF(Associates_Call_List_PQ!F551="","",Associates_Call_List_PQ!F551)</f>
        <v>Form letter</v>
      </c>
      <c r="G551" s="57" t="str">
        <f>IF(Associates_Call_List_PQ!G551="","",Associates_Call_List_PQ!G551)</f>
        <v>https://docket.images.azcc.gov/E000046235.pdf</v>
      </c>
      <c r="H551" s="59" t="str">
        <f>IF(Associates_Call_List_PQ!H551="","",Associates_Call_List_PQ!H551)</f>
        <v xml:space="preserve">4650100233 </v>
      </c>
      <c r="I551" s="57" t="str">
        <f>IF(Associates_Call_List_PQ!I551="","",Associates_Call_List_PQ!I551)</f>
        <v>R-2</v>
      </c>
      <c r="J551" s="57" t="str">
        <f>IF(Associates_Call_List_PQ!J551="","",Associates_Call_List_PQ!J551)</f>
        <v>No</v>
      </c>
      <c r="K551" s="57" t="str">
        <f>IF(Associates_Call_List_PQ!K551="","",Associates_Call_List_PQ!K551)</f>
        <v>No</v>
      </c>
      <c r="L551" s="57" t="str">
        <f>IF(Associates_Call_List_PQ!L551="","",Associates_Call_List_PQ!L551)</f>
        <v>Frozen Rate</v>
      </c>
      <c r="M551" s="57" t="str">
        <f>IF(Associates_Call_List_PQ!M551="","",Associates_Call_List_PQ!M551)</f>
        <v>No</v>
      </c>
      <c r="N551" s="57" t="str">
        <f>IF(Associates_Call_List_PQ!N551="","",Associates_Call_List_PQ!N551)</f>
        <v>No</v>
      </c>
      <c r="O551" s="57" t="str">
        <f>IF(Associates_Call_List_PQ!O551="","",Associates_Call_List_PQ!O551)</f>
        <v>Yes</v>
      </c>
      <c r="P551" s="57" t="str">
        <f>IF(Associates_Call_List_PQ!P551="","",Associates_Call_List_PQ!P551)</f>
        <v>N</v>
      </c>
      <c r="Q551" s="57">
        <f>IF(Associates_Call_List_PQ!Q551="","",Associates_Call_List_PQ!Q551)</f>
        <v>45966</v>
      </c>
      <c r="R551" s="57" t="str">
        <f>IF(Associates_Call_List_PQ!R551="","",Associates_Call_List_PQ!R551)</f>
        <v/>
      </c>
      <c r="S551" s="57" t="str">
        <f>IF(Associates_Call_List_PQ!S551="","",Associates_Call_List_PQ!S551)</f>
        <v/>
      </c>
      <c r="T551" s="57" t="str">
        <f>IF(Associates_Call_List_PQ!T551="","",Associates_Call_List_PQ!T551)</f>
        <v/>
      </c>
      <c r="U551" s="57" t="str">
        <f>IF(Associates_Call_List_PQ!U551="","",Associates_Call_List_PQ!U551)</f>
        <v/>
      </c>
      <c r="V551" s="68"/>
      <c r="W551" s="68" t="s">
        <v>5432</v>
      </c>
      <c r="X551" s="68"/>
      <c r="Y551" s="68"/>
      <c r="Z551" s="72"/>
    </row>
    <row r="552" spans="1:26">
      <c r="A552" s="71">
        <f>IFERROR(Associates_Call_List_PQ!A552,"")</f>
        <v>45905</v>
      </c>
      <c r="B552" s="57" t="str">
        <f>IF(Associates_Call_List_PQ!B552="","",Associates_Call_List_PQ!B552)</f>
        <v>Alba</v>
      </c>
      <c r="C552" s="57" t="str">
        <f>IF(Associates_Call_List_PQ!C552="","",Associates_Call_List_PQ!C552)</f>
        <v>Ellen</v>
      </c>
      <c r="D552" s="57" t="str">
        <f>IF(Associates_Call_List_PQ!D552="","",Associates_Call_List_PQ!D552)</f>
        <v>Scottsdale</v>
      </c>
      <c r="E552" s="58">
        <f>IF(Associates_Call_List_PQ!E552="","",Associates_Call_List_PQ!E552)</f>
        <v>85258</v>
      </c>
      <c r="F552" s="57" t="str">
        <f>IF(Associates_Call_List_PQ!F552="","",Associates_Call_List_PQ!F552)</f>
        <v>Opposed</v>
      </c>
      <c r="G552" s="57" t="str">
        <f>IF(Associates_Call_List_PQ!G552="","",Associates_Call_List_PQ!G552)</f>
        <v>https://docket.images.azcc.gov/E000046235.pdf</v>
      </c>
      <c r="H552" s="59" t="str">
        <f>IF(Associates_Call_List_PQ!H552="","",Associates_Call_List_PQ!H552)</f>
        <v xml:space="preserve">2090761111 </v>
      </c>
      <c r="I552" s="57" t="str">
        <f>IF(Associates_Call_List_PQ!I552="","",Associates_Call_List_PQ!I552)</f>
        <v>R3-47</v>
      </c>
      <c r="J552" s="57" t="str">
        <f>IF(Associates_Call_List_PQ!J552="","",Associates_Call_List_PQ!J552)</f>
        <v>No</v>
      </c>
      <c r="K552" s="57" t="str">
        <f>IF(Associates_Call_List_PQ!K552="","",Associates_Call_List_PQ!K552)</f>
        <v>No</v>
      </c>
      <c r="L552" s="57" t="str">
        <f>IF(Associates_Call_List_PQ!L552="","",Associates_Call_List_PQ!L552)</f>
        <v>Yes</v>
      </c>
      <c r="M552" s="57" t="str">
        <f>IF(Associates_Call_List_PQ!M552="","",Associates_Call_List_PQ!M552)</f>
        <v>No</v>
      </c>
      <c r="N552" s="57" t="str">
        <f>IF(Associates_Call_List_PQ!N552="","",Associates_Call_List_PQ!N552)</f>
        <v>No</v>
      </c>
      <c r="O552" s="57" t="str">
        <f>IF(Associates_Call_List_PQ!O552="","",Associates_Call_List_PQ!O552)</f>
        <v>Yes</v>
      </c>
      <c r="P552" s="57" t="str">
        <f>IF(Associates_Call_List_PQ!P552="","",Associates_Call_List_PQ!P552)</f>
        <v>N</v>
      </c>
      <c r="Q552" s="57">
        <f>IF(Associates_Call_List_PQ!Q552="","",Associates_Call_List_PQ!Q552)</f>
        <v>45966</v>
      </c>
      <c r="R552" s="57" t="str">
        <f>IF(Associates_Call_List_PQ!R552="","",Associates_Call_List_PQ!R552)</f>
        <v/>
      </c>
      <c r="S552" s="57" t="str">
        <f>IF(Associates_Call_List_PQ!S552="","",Associates_Call_List_PQ!S552)</f>
        <v/>
      </c>
      <c r="T552" s="57" t="str">
        <f>IF(Associates_Call_List_PQ!T552="","",Associates_Call_List_PQ!T552)</f>
        <v/>
      </c>
      <c r="U552" s="57" t="str">
        <f>IF(Associates_Call_List_PQ!U552="","",Associates_Call_List_PQ!U552)</f>
        <v/>
      </c>
      <c r="V552" s="68"/>
      <c r="W552" s="68" t="s">
        <v>5432</v>
      </c>
      <c r="X552" s="68"/>
      <c r="Y552" s="68"/>
      <c r="Z552" s="72"/>
    </row>
    <row r="553" spans="1:26">
      <c r="A553" s="71">
        <f>IFERROR(Associates_Call_List_PQ!A553,"")</f>
        <v>45905</v>
      </c>
      <c r="B553" s="57" t="str">
        <f>IF(Associates_Call_List_PQ!B553="","",Associates_Call_List_PQ!B553)</f>
        <v>Willer</v>
      </c>
      <c r="C553" s="57" t="str">
        <f>IF(Associates_Call_List_PQ!C553="","",Associates_Call_List_PQ!C553)</f>
        <v>Jeffrey</v>
      </c>
      <c r="D553" s="57" t="str">
        <f>IF(Associates_Call_List_PQ!D553="","",Associates_Call_List_PQ!D553)</f>
        <v>Phoenix</v>
      </c>
      <c r="E553" s="58">
        <f>IF(Associates_Call_List_PQ!E553="","",Associates_Call_List_PQ!E553)</f>
        <v>85085</v>
      </c>
      <c r="F553" s="57" t="str">
        <f>IF(Associates_Call_List_PQ!F553="","",Associates_Call_List_PQ!F553)</f>
        <v>can't afford</v>
      </c>
      <c r="G553" s="57" t="str">
        <f>IF(Associates_Call_List_PQ!G553="","",Associates_Call_List_PQ!G553)</f>
        <v>https://docket.images.azcc.gov/E000046235.pdf</v>
      </c>
      <c r="H553" s="59" t="str">
        <f>IF(Associates_Call_List_PQ!H553="","",Associates_Call_List_PQ!H553)</f>
        <v xml:space="preserve">7675631000 </v>
      </c>
      <c r="I553" s="57" t="str">
        <f>IF(Associates_Call_List_PQ!I553="","",Associates_Call_List_PQ!I553)</f>
        <v>R3-47</v>
      </c>
      <c r="J553" s="57" t="str">
        <f>IF(Associates_Call_List_PQ!J553="","",Associates_Call_List_PQ!J553)</f>
        <v>No</v>
      </c>
      <c r="K553" s="57" t="str">
        <f>IF(Associates_Call_List_PQ!K553="","",Associates_Call_List_PQ!K553)</f>
        <v>No</v>
      </c>
      <c r="L553" s="57" t="str">
        <f>IF(Associates_Call_List_PQ!L553="","",Associates_Call_List_PQ!L553)</f>
        <v>Yes</v>
      </c>
      <c r="M553" s="57" t="str">
        <f>IF(Associates_Call_List_PQ!M553="","",Associates_Call_List_PQ!M553)</f>
        <v>No</v>
      </c>
      <c r="N553" s="57" t="str">
        <f>IF(Associates_Call_List_PQ!N553="","",Associates_Call_List_PQ!N553)</f>
        <v>No</v>
      </c>
      <c r="O553" s="57" t="str">
        <f>IF(Associates_Call_List_PQ!O553="","",Associates_Call_List_PQ!O553)</f>
        <v>Yes</v>
      </c>
      <c r="P553" s="57" t="str">
        <f>IF(Associates_Call_List_PQ!P553="","",Associates_Call_List_PQ!P553)</f>
        <v>N</v>
      </c>
      <c r="Q553" s="57">
        <f>IF(Associates_Call_List_PQ!Q553="","",Associates_Call_List_PQ!Q553)</f>
        <v>45966</v>
      </c>
      <c r="R553" s="57" t="str">
        <f>IF(Associates_Call_List_PQ!R553="","",Associates_Call_List_PQ!R553)</f>
        <v/>
      </c>
      <c r="S553" s="57" t="str">
        <f>IF(Associates_Call_List_PQ!S553="","",Associates_Call_List_PQ!S553)</f>
        <v/>
      </c>
      <c r="T553" s="57" t="str">
        <f>IF(Associates_Call_List_PQ!T553="","",Associates_Call_List_PQ!T553)</f>
        <v/>
      </c>
      <c r="U553" s="57" t="str">
        <f>IF(Associates_Call_List_PQ!U553="","",Associates_Call_List_PQ!U553)</f>
        <v/>
      </c>
      <c r="V553" s="68"/>
      <c r="W553" s="68" t="s">
        <v>5432</v>
      </c>
      <c r="X553" s="68"/>
      <c r="Y553" s="68"/>
      <c r="Z553" s="72"/>
    </row>
    <row r="554" spans="1:26">
      <c r="A554" s="71">
        <f>IFERROR(Associates_Call_List_PQ!A554,"")</f>
        <v>45905</v>
      </c>
      <c r="B554" s="57" t="str">
        <f>IF(Associates_Call_List_PQ!B554="","",Associates_Call_List_PQ!B554)</f>
        <v>Johnson</v>
      </c>
      <c r="C554" s="57" t="str">
        <f>IF(Associates_Call_List_PQ!C554="","",Associates_Call_List_PQ!C554)</f>
        <v>Colin</v>
      </c>
      <c r="D554" s="57" t="str">
        <f>IF(Associates_Call_List_PQ!D554="","",Associates_Call_List_PQ!D554)</f>
        <v>Phoenix</v>
      </c>
      <c r="E554" s="58">
        <f>IF(Associates_Call_List_PQ!E554="","",Associates_Call_List_PQ!E554)</f>
        <v>85014</v>
      </c>
      <c r="F554" s="57" t="str">
        <f>IF(Associates_Call_List_PQ!F554="","",Associates_Call_List_PQ!F554)</f>
        <v>Form letter</v>
      </c>
      <c r="G554" s="57" t="str">
        <f>IF(Associates_Call_List_PQ!G554="","",Associates_Call_List_PQ!G554)</f>
        <v>https://docket.images.azcc.gov/E000046235.pdf</v>
      </c>
      <c r="H554" s="59" t="str">
        <f>IF(Associates_Call_List_PQ!H554="","",Associates_Call_List_PQ!H554)</f>
        <v xml:space="preserve">9779470098 </v>
      </c>
      <c r="I554" s="57" t="str">
        <f>IF(Associates_Call_List_PQ!I554="","",Associates_Call_List_PQ!I554)</f>
        <v>R-XS</v>
      </c>
      <c r="J554" s="57" t="str">
        <f>IF(Associates_Call_List_PQ!J554="","",Associates_Call_List_PQ!J554)</f>
        <v>No</v>
      </c>
      <c r="K554" s="57" t="str">
        <f>IF(Associates_Call_List_PQ!K554="","",Associates_Call_List_PQ!K554)</f>
        <v>No</v>
      </c>
      <c r="L554" s="57" t="str">
        <f>IF(Associates_Call_List_PQ!L554="","",Associates_Call_List_PQ!L554)</f>
        <v>Yes</v>
      </c>
      <c r="M554" s="57" t="str">
        <f>IF(Associates_Call_List_PQ!M554="","",Associates_Call_List_PQ!M554)</f>
        <v>No</v>
      </c>
      <c r="N554" s="57" t="str">
        <f>IF(Associates_Call_List_PQ!N554="","",Associates_Call_List_PQ!N554)</f>
        <v>No</v>
      </c>
      <c r="O554" s="57" t="str">
        <f>IF(Associates_Call_List_PQ!O554="","",Associates_Call_List_PQ!O554)</f>
        <v>Yes</v>
      </c>
      <c r="P554" s="57" t="str">
        <f>IF(Associates_Call_List_PQ!P554="","",Associates_Call_List_PQ!P554)</f>
        <v>N</v>
      </c>
      <c r="Q554" s="57">
        <f>IF(Associates_Call_List_PQ!Q554="","",Associates_Call_List_PQ!Q554)</f>
        <v>45966</v>
      </c>
      <c r="R554" s="57" t="str">
        <f>IF(Associates_Call_List_PQ!R554="","",Associates_Call_List_PQ!R554)</f>
        <v/>
      </c>
      <c r="S554" s="57" t="str">
        <f>IF(Associates_Call_List_PQ!S554="","",Associates_Call_List_PQ!S554)</f>
        <v/>
      </c>
      <c r="T554" s="57" t="str">
        <f>IF(Associates_Call_List_PQ!T554="","",Associates_Call_List_PQ!T554)</f>
        <v/>
      </c>
      <c r="U554" s="57" t="str">
        <f>IF(Associates_Call_List_PQ!U554="","",Associates_Call_List_PQ!U554)</f>
        <v/>
      </c>
      <c r="V554" s="68"/>
      <c r="W554" s="68" t="s">
        <v>5432</v>
      </c>
      <c r="X554" s="68"/>
      <c r="Y554" s="68"/>
      <c r="Z554" s="72"/>
    </row>
    <row r="555" spans="1:26">
      <c r="A555" s="71">
        <f>IFERROR(Associates_Call_List_PQ!A555,"")</f>
        <v>45905</v>
      </c>
      <c r="B555" s="57" t="str">
        <f>IF(Associates_Call_List_PQ!B555="","",Associates_Call_List_PQ!B555)</f>
        <v>Rothen</v>
      </c>
      <c r="C555" s="57" t="str">
        <f>IF(Associates_Call_List_PQ!C555="","",Associates_Call_List_PQ!C555)</f>
        <v>James</v>
      </c>
      <c r="D555" s="57" t="str">
        <f>IF(Associates_Call_List_PQ!D555="","",Associates_Call_List_PQ!D555)</f>
        <v>Phoenix</v>
      </c>
      <c r="E555" s="58">
        <f>IF(Associates_Call_List_PQ!E555="","",Associates_Call_List_PQ!E555)</f>
        <v>85016</v>
      </c>
      <c r="F555" s="57" t="str">
        <f>IF(Associates_Call_List_PQ!F555="","",Associates_Call_List_PQ!F555)</f>
        <v>Form letter</v>
      </c>
      <c r="G555" s="57" t="str">
        <f>IF(Associates_Call_List_PQ!G555="","",Associates_Call_List_PQ!G555)</f>
        <v>https://docket.images.azcc.gov/E000046235.pdf</v>
      </c>
      <c r="H555" s="59" t="str">
        <f>IF(Associates_Call_List_PQ!H555="","",Associates_Call_List_PQ!H555)</f>
        <v xml:space="preserve">6229785331 </v>
      </c>
      <c r="I555" s="57" t="str">
        <f>IF(Associates_Call_List_PQ!I555="","",Associates_Call_List_PQ!I555)</f>
        <v>R-BASIC</v>
      </c>
      <c r="J555" s="57" t="str">
        <f>IF(Associates_Call_List_PQ!J555="","",Associates_Call_List_PQ!J555)</f>
        <v>No</v>
      </c>
      <c r="K555" s="57" t="str">
        <f>IF(Associates_Call_List_PQ!K555="","",Associates_Call_List_PQ!K555)</f>
        <v>No</v>
      </c>
      <c r="L555" s="57" t="str">
        <f>IF(Associates_Call_List_PQ!L555="","",Associates_Call_List_PQ!L555)</f>
        <v>Yes</v>
      </c>
      <c r="M555" s="57" t="str">
        <f>IF(Associates_Call_List_PQ!M555="","",Associates_Call_List_PQ!M555)</f>
        <v>No</v>
      </c>
      <c r="N555" s="57" t="str">
        <f>IF(Associates_Call_List_PQ!N555="","",Associates_Call_List_PQ!N555)</f>
        <v>No</v>
      </c>
      <c r="O555" s="57" t="str">
        <f>IF(Associates_Call_List_PQ!O555="","",Associates_Call_List_PQ!O555)</f>
        <v>Yes</v>
      </c>
      <c r="P555" s="57" t="str">
        <f>IF(Associates_Call_List_PQ!P555="","",Associates_Call_List_PQ!P555)</f>
        <v>N</v>
      </c>
      <c r="Q555" s="57">
        <f>IF(Associates_Call_List_PQ!Q555="","",Associates_Call_List_PQ!Q555)</f>
        <v>45966</v>
      </c>
      <c r="R555" s="57" t="str">
        <f>IF(Associates_Call_List_PQ!R555="","",Associates_Call_List_PQ!R555)</f>
        <v/>
      </c>
      <c r="S555" s="57" t="str">
        <f>IF(Associates_Call_List_PQ!S555="","",Associates_Call_List_PQ!S555)</f>
        <v/>
      </c>
      <c r="T555" s="57" t="str">
        <f>IF(Associates_Call_List_PQ!T555="","",Associates_Call_List_PQ!T555)</f>
        <v/>
      </c>
      <c r="U555" s="57" t="str">
        <f>IF(Associates_Call_List_PQ!U555="","",Associates_Call_List_PQ!U555)</f>
        <v/>
      </c>
      <c r="V555" s="68"/>
      <c r="W555" s="68" t="s">
        <v>5432</v>
      </c>
      <c r="X555" s="68"/>
      <c r="Y555" s="68"/>
      <c r="Z555" s="72"/>
    </row>
    <row r="556" spans="1:26">
      <c r="A556" s="71">
        <f>IFERROR(Associates_Call_List_PQ!A556,"")</f>
        <v>45905</v>
      </c>
      <c r="B556" s="57" t="str">
        <f>IF(Associates_Call_List_PQ!B556="","",Associates_Call_List_PQ!B556)</f>
        <v>Ling</v>
      </c>
      <c r="C556" s="57" t="str">
        <f>IF(Associates_Call_List_PQ!C556="","",Associates_Call_List_PQ!C556)</f>
        <v>Aaron</v>
      </c>
      <c r="D556" s="57" t="str">
        <f>IF(Associates_Call_List_PQ!D556="","",Associates_Call_List_PQ!D556)</f>
        <v>Scottsdale</v>
      </c>
      <c r="E556" s="58">
        <f>IF(Associates_Call_List_PQ!E556="","",Associates_Call_List_PQ!E556)</f>
        <v>85254</v>
      </c>
      <c r="F556" s="57" t="str">
        <f>IF(Associates_Call_List_PQ!F556="","",Associates_Call_List_PQ!F556)</f>
        <v>Against rate hike</v>
      </c>
      <c r="G556" s="57" t="str">
        <f>IF(Associates_Call_List_PQ!G556="","",Associates_Call_List_PQ!G556)</f>
        <v>https://docket.images.azcc.gov/E000046235.pdf</v>
      </c>
      <c r="H556" s="59" t="str">
        <f>IF(Associates_Call_List_PQ!H556="","",Associates_Call_List_PQ!H556)</f>
        <v xml:space="preserve">1794260000 </v>
      </c>
      <c r="I556" s="57" t="str">
        <f>IF(Associates_Call_List_PQ!I556="","",Associates_Call_List_PQ!I556)</f>
        <v>EPR-6w/E-12</v>
      </c>
      <c r="J556" s="57" t="str">
        <f>IF(Associates_Call_List_PQ!J556="","",Associates_Call_List_PQ!J556)</f>
        <v>No</v>
      </c>
      <c r="K556" s="57" t="str">
        <f>IF(Associates_Call_List_PQ!K556="","",Associates_Call_List_PQ!K556)</f>
        <v>No</v>
      </c>
      <c r="L556" s="57" t="str">
        <f>IF(Associates_Call_List_PQ!L556="","",Associates_Call_List_PQ!L556)</f>
        <v>Frozen Rate</v>
      </c>
      <c r="M556" s="57" t="str">
        <f>IF(Associates_Call_List_PQ!M556="","",Associates_Call_List_PQ!M556)</f>
        <v>No</v>
      </c>
      <c r="N556" s="57" t="str">
        <f>IF(Associates_Call_List_PQ!N556="","",Associates_Call_List_PQ!N556)</f>
        <v>No</v>
      </c>
      <c r="O556" s="57" t="str">
        <f>IF(Associates_Call_List_PQ!O556="","",Associates_Call_List_PQ!O556)</f>
        <v>Yes</v>
      </c>
      <c r="P556" s="57" t="str">
        <f>IF(Associates_Call_List_PQ!P556="","",Associates_Call_List_PQ!P556)</f>
        <v>N</v>
      </c>
      <c r="Q556" s="57">
        <f>IF(Associates_Call_List_PQ!Q556="","",Associates_Call_List_PQ!Q556)</f>
        <v>45966</v>
      </c>
      <c r="R556" s="57" t="str">
        <f>IF(Associates_Call_List_PQ!R556="","",Associates_Call_List_PQ!R556)</f>
        <v/>
      </c>
      <c r="S556" s="57" t="str">
        <f>IF(Associates_Call_List_PQ!S556="","",Associates_Call_List_PQ!S556)</f>
        <v/>
      </c>
      <c r="T556" s="57" t="str">
        <f>IF(Associates_Call_List_PQ!T556="","",Associates_Call_List_PQ!T556)</f>
        <v/>
      </c>
      <c r="U556" s="57" t="str">
        <f>IF(Associates_Call_List_PQ!U556="","",Associates_Call_List_PQ!U556)</f>
        <v/>
      </c>
      <c r="V556" s="68"/>
      <c r="W556" s="68" t="s">
        <v>5432</v>
      </c>
      <c r="X556" s="68"/>
      <c r="Y556" s="68"/>
      <c r="Z556" s="72"/>
    </row>
    <row r="557" spans="1:26">
      <c r="A557" s="71">
        <f>IFERROR(Associates_Call_List_PQ!A557,"")</f>
        <v>45905</v>
      </c>
      <c r="B557" s="57" t="str">
        <f>IF(Associates_Call_List_PQ!B557="","",Associates_Call_List_PQ!B557)</f>
        <v>Noel</v>
      </c>
      <c r="C557" s="57" t="str">
        <f>IF(Associates_Call_List_PQ!C557="","",Associates_Call_List_PQ!C557)</f>
        <v>Brian</v>
      </c>
      <c r="D557" s="57" t="str">
        <f>IF(Associates_Call_List_PQ!D557="","",Associates_Call_List_PQ!D557)</f>
        <v>Phoenix</v>
      </c>
      <c r="E557" s="58">
        <f>IF(Associates_Call_List_PQ!E557="","",Associates_Call_List_PQ!E557)</f>
        <v>85083</v>
      </c>
      <c r="F557" s="57" t="str">
        <f>IF(Associates_Call_List_PQ!F557="","",Associates_Call_List_PQ!F557)</f>
        <v>Opposed</v>
      </c>
      <c r="G557" s="57" t="str">
        <f>IF(Associates_Call_List_PQ!G557="","",Associates_Call_List_PQ!G557)</f>
        <v>https://docket.images.azcc.gov/E000046235.pdf</v>
      </c>
      <c r="H557" s="59" t="str">
        <f>IF(Associates_Call_List_PQ!H557="","",Associates_Call_List_PQ!H557)</f>
        <v xml:space="preserve">7776290000 </v>
      </c>
      <c r="I557" s="57" t="str">
        <f>IF(Associates_Call_List_PQ!I557="","",Associates_Call_List_PQ!I557)</f>
        <v>R3-47</v>
      </c>
      <c r="J557" s="57" t="str">
        <f>IF(Associates_Call_List_PQ!J557="","",Associates_Call_List_PQ!J557)</f>
        <v>No</v>
      </c>
      <c r="K557" s="57" t="str">
        <f>IF(Associates_Call_List_PQ!K557="","",Associates_Call_List_PQ!K557)</f>
        <v>No</v>
      </c>
      <c r="L557" s="57" t="str">
        <f>IF(Associates_Call_List_PQ!L557="","",Associates_Call_List_PQ!L557)</f>
        <v>Yes</v>
      </c>
      <c r="M557" s="57" t="str">
        <f>IF(Associates_Call_List_PQ!M557="","",Associates_Call_List_PQ!M557)</f>
        <v>No</v>
      </c>
      <c r="N557" s="57" t="str">
        <f>IF(Associates_Call_List_PQ!N557="","",Associates_Call_List_PQ!N557)</f>
        <v>No</v>
      </c>
      <c r="O557" s="57" t="str">
        <f>IF(Associates_Call_List_PQ!O557="","",Associates_Call_List_PQ!O557)</f>
        <v>Yes</v>
      </c>
      <c r="P557" s="57" t="str">
        <f>IF(Associates_Call_List_PQ!P557="","",Associates_Call_List_PQ!P557)</f>
        <v>N</v>
      </c>
      <c r="Q557" s="57">
        <f>IF(Associates_Call_List_PQ!Q557="","",Associates_Call_List_PQ!Q557)</f>
        <v>45966</v>
      </c>
      <c r="R557" s="57" t="str">
        <f>IF(Associates_Call_List_PQ!R557="","",Associates_Call_List_PQ!R557)</f>
        <v/>
      </c>
      <c r="S557" s="57" t="str">
        <f>IF(Associates_Call_List_PQ!S557="","",Associates_Call_List_PQ!S557)</f>
        <v/>
      </c>
      <c r="T557" s="57" t="str">
        <f>IF(Associates_Call_List_PQ!T557="","",Associates_Call_List_PQ!T557)</f>
        <v/>
      </c>
      <c r="U557" s="57" t="str">
        <f>IF(Associates_Call_List_PQ!U557="","",Associates_Call_List_PQ!U557)</f>
        <v/>
      </c>
      <c r="V557" s="68"/>
      <c r="W557" s="68" t="s">
        <v>5432</v>
      </c>
      <c r="X557" s="68"/>
      <c r="Y557" s="68"/>
      <c r="Z557" s="72"/>
    </row>
    <row r="558" spans="1:26">
      <c r="A558" s="71">
        <f>IFERROR(Associates_Call_List_PQ!A558,"")</f>
        <v>45905</v>
      </c>
      <c r="B558" s="57" t="str">
        <f>IF(Associates_Call_List_PQ!B558="","",Associates_Call_List_PQ!B558)</f>
        <v xml:space="preserve">Lim </v>
      </c>
      <c r="C558" s="57" t="str">
        <f>IF(Associates_Call_List_PQ!C558="","",Associates_Call_List_PQ!C558)</f>
        <v>Jaclyn</v>
      </c>
      <c r="D558" s="57" t="str">
        <f>IF(Associates_Call_List_PQ!D558="","",Associates_Call_List_PQ!D558)</f>
        <v>Chandler</v>
      </c>
      <c r="E558" s="58">
        <f>IF(Associates_Call_List_PQ!E558="","",Associates_Call_List_PQ!E558)</f>
        <v>85225</v>
      </c>
      <c r="F558" s="57" t="str">
        <f>IF(Associates_Call_List_PQ!F558="","",Associates_Call_List_PQ!F558)</f>
        <v>Form letter</v>
      </c>
      <c r="G558" s="57" t="str">
        <f>IF(Associates_Call_List_PQ!G558="","",Associates_Call_List_PQ!G558)</f>
        <v>https://docket.images.azcc.gov/E000046235.pdf</v>
      </c>
      <c r="H558" s="59" t="str">
        <f>IF(Associates_Call_List_PQ!H558="","",Associates_Call_List_PQ!H558)</f>
        <v>0342680000 </v>
      </c>
      <c r="I558" s="57" t="str">
        <f>IF(Associates_Call_List_PQ!I558="","",Associates_Call_List_PQ!I558)</f>
        <v>EPR-6w/ET-2</v>
      </c>
      <c r="J558" s="57" t="str">
        <f>IF(Associates_Call_List_PQ!J558="","",Associates_Call_List_PQ!J558)</f>
        <v>No</v>
      </c>
      <c r="K558" s="57" t="str">
        <f>IF(Associates_Call_List_PQ!K558="","",Associates_Call_List_PQ!K558)</f>
        <v>No</v>
      </c>
      <c r="L558" s="57" t="str">
        <f>IF(Associates_Call_List_PQ!L558="","",Associates_Call_List_PQ!L558)</f>
        <v>Frozen Rate</v>
      </c>
      <c r="M558" s="57" t="str">
        <f>IF(Associates_Call_List_PQ!M558="","",Associates_Call_List_PQ!M558)</f>
        <v>No</v>
      </c>
      <c r="N558" s="57" t="str">
        <f>IF(Associates_Call_List_PQ!N558="","",Associates_Call_List_PQ!N558)</f>
        <v>No</v>
      </c>
      <c r="O558" s="57" t="str">
        <f>IF(Associates_Call_List_PQ!O558="","",Associates_Call_List_PQ!O558)</f>
        <v>Yes</v>
      </c>
      <c r="P558" s="57" t="str">
        <f>IF(Associates_Call_List_PQ!P558="","",Associates_Call_List_PQ!P558)</f>
        <v>N</v>
      </c>
      <c r="Q558" s="57">
        <f>IF(Associates_Call_List_PQ!Q558="","",Associates_Call_List_PQ!Q558)</f>
        <v>45966</v>
      </c>
      <c r="R558" s="57" t="str">
        <f>IF(Associates_Call_List_PQ!R558="","",Associates_Call_List_PQ!R558)</f>
        <v/>
      </c>
      <c r="S558" s="57" t="str">
        <f>IF(Associates_Call_List_PQ!S558="","",Associates_Call_List_PQ!S558)</f>
        <v/>
      </c>
      <c r="T558" s="57" t="str">
        <f>IF(Associates_Call_List_PQ!T558="","",Associates_Call_List_PQ!T558)</f>
        <v/>
      </c>
      <c r="U558" s="57" t="str">
        <f>IF(Associates_Call_List_PQ!U558="","",Associates_Call_List_PQ!U558)</f>
        <v/>
      </c>
      <c r="V558" s="68"/>
      <c r="W558" s="68" t="s">
        <v>5432</v>
      </c>
      <c r="X558" s="68"/>
      <c r="Y558" s="68"/>
      <c r="Z558" s="72"/>
    </row>
    <row r="559" spans="1:26">
      <c r="A559" s="71">
        <f>IFERROR(Associates_Call_List_PQ!A559,"")</f>
        <v>45905</v>
      </c>
      <c r="B559" s="57" t="str">
        <f>IF(Associates_Call_List_PQ!B559="","",Associates_Call_List_PQ!B559)</f>
        <v>Mroczek</v>
      </c>
      <c r="C559" s="57" t="str">
        <f>IF(Associates_Call_List_PQ!C559="","",Associates_Call_List_PQ!C559)</f>
        <v>Rayanne</v>
      </c>
      <c r="D559" s="57" t="str">
        <f>IF(Associates_Call_List_PQ!D559="","",Associates_Call_List_PQ!D559)</f>
        <v>Bisbee</v>
      </c>
      <c r="E559" s="58">
        <f>IF(Associates_Call_List_PQ!E559="","",Associates_Call_List_PQ!E559)</f>
        <v>85603</v>
      </c>
      <c r="F559" s="57" t="str">
        <f>IF(Associates_Call_List_PQ!F559="","",Associates_Call_List_PQ!F559)</f>
        <v>Opposed</v>
      </c>
      <c r="G559" s="57" t="str">
        <f>IF(Associates_Call_List_PQ!G559="","",Associates_Call_List_PQ!G559)</f>
        <v>https://docket.images.azcc.gov/E000046235.pdf</v>
      </c>
      <c r="H559" s="59" t="str">
        <f>IF(Associates_Call_List_PQ!H559="","",Associates_Call_List_PQ!H559)</f>
        <v xml:space="preserve">6833563852 </v>
      </c>
      <c r="I559" s="57" t="str">
        <f>IF(Associates_Call_List_PQ!I559="","",Associates_Call_List_PQ!I559)</f>
        <v>R3-47</v>
      </c>
      <c r="J559" s="57" t="str">
        <f>IF(Associates_Call_List_PQ!J559="","",Associates_Call_List_PQ!J559)</f>
        <v>No</v>
      </c>
      <c r="K559" s="57" t="str">
        <f>IF(Associates_Call_List_PQ!K559="","",Associates_Call_List_PQ!K559)</f>
        <v>No</v>
      </c>
      <c r="L559" s="57" t="str">
        <f>IF(Associates_Call_List_PQ!L559="","",Associates_Call_List_PQ!L559)</f>
        <v>Yes</v>
      </c>
      <c r="M559" s="57" t="str">
        <f>IF(Associates_Call_List_PQ!M559="","",Associates_Call_List_PQ!M559)</f>
        <v>No</v>
      </c>
      <c r="N559" s="57" t="str">
        <f>IF(Associates_Call_List_PQ!N559="","",Associates_Call_List_PQ!N559)</f>
        <v>No</v>
      </c>
      <c r="O559" s="57" t="str">
        <f>IF(Associates_Call_List_PQ!O559="","",Associates_Call_List_PQ!O559)</f>
        <v>Yes</v>
      </c>
      <c r="P559" s="57" t="str">
        <f>IF(Associates_Call_List_PQ!P559="","",Associates_Call_List_PQ!P559)</f>
        <v>N</v>
      </c>
      <c r="Q559" s="57">
        <f>IF(Associates_Call_List_PQ!Q559="","",Associates_Call_List_PQ!Q559)</f>
        <v>45966</v>
      </c>
      <c r="R559" s="57" t="str">
        <f>IF(Associates_Call_List_PQ!R559="","",Associates_Call_List_PQ!R559)</f>
        <v/>
      </c>
      <c r="S559" s="57" t="str">
        <f>IF(Associates_Call_List_PQ!S559="","",Associates_Call_List_PQ!S559)</f>
        <v/>
      </c>
      <c r="T559" s="57" t="str">
        <f>IF(Associates_Call_List_PQ!T559="","",Associates_Call_List_PQ!T559)</f>
        <v/>
      </c>
      <c r="U559" s="57" t="str">
        <f>IF(Associates_Call_List_PQ!U559="","",Associates_Call_List_PQ!U559)</f>
        <v/>
      </c>
      <c r="V559" s="68"/>
      <c r="W559" s="68" t="s">
        <v>5432</v>
      </c>
      <c r="X559" s="68"/>
      <c r="Y559" s="68"/>
      <c r="Z559" s="72"/>
    </row>
    <row r="560" spans="1:26">
      <c r="A560" s="71">
        <f>IFERROR(Associates_Call_List_PQ!A560,"")</f>
        <v>45905</v>
      </c>
      <c r="B560" s="57" t="str">
        <f>IF(Associates_Call_List_PQ!B560="","",Associates_Call_List_PQ!B560)</f>
        <v>Bracken</v>
      </c>
      <c r="C560" s="57" t="str">
        <f>IF(Associates_Call_List_PQ!C560="","",Associates_Call_List_PQ!C560)</f>
        <v>Daniel</v>
      </c>
      <c r="D560" s="57" t="str">
        <f>IF(Associates_Call_List_PQ!D560="","",Associates_Call_List_PQ!D560)</f>
        <v>Scottsdale</v>
      </c>
      <c r="E560" s="58">
        <f>IF(Associates_Call_List_PQ!E560="","",Associates_Call_List_PQ!E560)</f>
        <v>85260</v>
      </c>
      <c r="F560" s="57" t="str">
        <f>IF(Associates_Call_List_PQ!F560="","",Associates_Call_List_PQ!F560)</f>
        <v>Form letter</v>
      </c>
      <c r="G560" s="57" t="str">
        <f>IF(Associates_Call_List_PQ!G560="","",Associates_Call_List_PQ!G560)</f>
        <v>https://docket.images.azcc.gov/E000046235.pdf</v>
      </c>
      <c r="H560" s="59" t="str">
        <f>IF(Associates_Call_List_PQ!H560="","",Associates_Call_List_PQ!H560)</f>
        <v xml:space="preserve">5604121000 </v>
      </c>
      <c r="I560" s="57" t="str">
        <f>IF(Associates_Call_List_PQ!I560="","",Associates_Call_List_PQ!I560)</f>
        <v>R-BASICL</v>
      </c>
      <c r="J560" s="57" t="str">
        <f>IF(Associates_Call_List_PQ!J560="","",Associates_Call_List_PQ!J560)</f>
        <v>No</v>
      </c>
      <c r="K560" s="57" t="str">
        <f>IF(Associates_Call_List_PQ!K560="","",Associates_Call_List_PQ!K560)</f>
        <v>No</v>
      </c>
      <c r="L560" s="57" t="str">
        <f>IF(Associates_Call_List_PQ!L560="","",Associates_Call_List_PQ!L560)</f>
        <v>No MEP R3-47($150.38)</v>
      </c>
      <c r="M560" s="57" t="str">
        <f>IF(Associates_Call_List_PQ!M560="","",Associates_Call_List_PQ!M560)</f>
        <v>No</v>
      </c>
      <c r="N560" s="57" t="str">
        <f>IF(Associates_Call_List_PQ!N560="","",Associates_Call_List_PQ!N560)</f>
        <v>No</v>
      </c>
      <c r="O560" s="57" t="str">
        <f>IF(Associates_Call_List_PQ!O560="","",Associates_Call_List_PQ!O560)</f>
        <v>Yes</v>
      </c>
      <c r="P560" s="57">
        <f>IF(Associates_Call_List_PQ!P560="","",Associates_Call_List_PQ!P560)</f>
        <v>45937</v>
      </c>
      <c r="Q560" s="57">
        <f>IF(Associates_Call_List_PQ!Q560="","",Associates_Call_List_PQ!Q560)</f>
        <v>45966</v>
      </c>
      <c r="R560" s="57" t="str">
        <f>IF(Associates_Call_List_PQ!R560="","",Associates_Call_List_PQ!R560)</f>
        <v>Not interested in changing plans</v>
      </c>
      <c r="S560" s="57" t="str">
        <f>IF(Associates_Call_List_PQ!S560="","",Associates_Call_List_PQ!S560)</f>
        <v/>
      </c>
      <c r="T560" s="57" t="str">
        <f>IF(Associates_Call_List_PQ!T560="","",Associates_Call_List_PQ!T560)</f>
        <v/>
      </c>
      <c r="U560" s="57" t="str">
        <f>IF(Associates_Call_List_PQ!U560="","",Associates_Call_List_PQ!U560)</f>
        <v/>
      </c>
      <c r="V560" s="68" t="s">
        <v>5433</v>
      </c>
      <c r="W560" s="68">
        <v>46046</v>
      </c>
      <c r="X560" s="68" t="s">
        <v>5434</v>
      </c>
      <c r="Y560" s="68"/>
      <c r="Z560" s="72" t="s">
        <v>5599</v>
      </c>
    </row>
    <row r="561" spans="1:26">
      <c r="A561" s="71">
        <f>IFERROR(Associates_Call_List_PQ!A561,"")</f>
        <v>45905</v>
      </c>
      <c r="B561" s="57" t="str">
        <f>IF(Associates_Call_List_PQ!B561="","",Associates_Call_List_PQ!B561)</f>
        <v>Johnston</v>
      </c>
      <c r="C561" s="57" t="str">
        <f>IF(Associates_Call_List_PQ!C561="","",Associates_Call_List_PQ!C561)</f>
        <v>Linda</v>
      </c>
      <c r="D561" s="57" t="str">
        <f>IF(Associates_Call_List_PQ!D561="","",Associates_Call_List_PQ!D561)</f>
        <v>Surprise</v>
      </c>
      <c r="E561" s="58">
        <f>IF(Associates_Call_List_PQ!E561="","",Associates_Call_List_PQ!E561)</f>
        <v>85388</v>
      </c>
      <c r="F561" s="57" t="str">
        <f>IF(Associates_Call_List_PQ!F561="","",Associates_Call_List_PQ!F561)</f>
        <v>Cannot afford</v>
      </c>
      <c r="G561" s="57" t="str">
        <f>IF(Associates_Call_List_PQ!G561="","",Associates_Call_List_PQ!G561)</f>
        <v>https://docket.images.azcc.gov/E000046235.pdf</v>
      </c>
      <c r="H561" s="59" t="str">
        <f>IF(Associates_Call_List_PQ!H561="","",Associates_Call_List_PQ!H561)</f>
        <v>3856949221 </v>
      </c>
      <c r="I561" s="57" t="str">
        <f>IF(Associates_Call_List_PQ!I561="","",Associates_Call_List_PQ!I561)</f>
        <v>R3-47</v>
      </c>
      <c r="J561" s="57" t="str">
        <f>IF(Associates_Call_List_PQ!J561="","",Associates_Call_List_PQ!J561)</f>
        <v>No</v>
      </c>
      <c r="K561" s="57" t="str">
        <f>IF(Associates_Call_List_PQ!K561="","",Associates_Call_List_PQ!K561)</f>
        <v>No</v>
      </c>
      <c r="L561" s="57" t="str">
        <f>IF(Associates_Call_List_PQ!L561="","",Associates_Call_List_PQ!L561)</f>
        <v>Yes</v>
      </c>
      <c r="M561" s="57" t="str">
        <f>IF(Associates_Call_List_PQ!M561="","",Associates_Call_List_PQ!M561)</f>
        <v>No</v>
      </c>
      <c r="N561" s="57" t="str">
        <f>IF(Associates_Call_List_PQ!N561="","",Associates_Call_List_PQ!N561)</f>
        <v>No</v>
      </c>
      <c r="O561" s="57" t="str">
        <f>IF(Associates_Call_List_PQ!O561="","",Associates_Call_List_PQ!O561)</f>
        <v>Yes</v>
      </c>
      <c r="P561" s="57" t="str">
        <f>IF(Associates_Call_List_PQ!P561="","",Associates_Call_List_PQ!P561)</f>
        <v>N</v>
      </c>
      <c r="Q561" s="57">
        <f>IF(Associates_Call_List_PQ!Q561="","",Associates_Call_List_PQ!Q561)</f>
        <v>45966</v>
      </c>
      <c r="R561" s="57" t="str">
        <f>IF(Associates_Call_List_PQ!R561="","",Associates_Call_List_PQ!R561)</f>
        <v/>
      </c>
      <c r="S561" s="57" t="str">
        <f>IF(Associates_Call_List_PQ!S561="","",Associates_Call_List_PQ!S561)</f>
        <v/>
      </c>
      <c r="T561" s="57" t="str">
        <f>IF(Associates_Call_List_PQ!T561="","",Associates_Call_List_PQ!T561)</f>
        <v/>
      </c>
      <c r="U561" s="57" t="str">
        <f>IF(Associates_Call_List_PQ!U561="","",Associates_Call_List_PQ!U561)</f>
        <v/>
      </c>
      <c r="V561" s="68"/>
      <c r="W561" s="68" t="s">
        <v>5432</v>
      </c>
      <c r="X561" s="68"/>
      <c r="Y561" s="68"/>
      <c r="Z561" s="72"/>
    </row>
    <row r="562" spans="1:26">
      <c r="A562" s="71">
        <f>IFERROR(Associates_Call_List_PQ!A562,"")</f>
        <v>45905</v>
      </c>
      <c r="B562" s="57" t="str">
        <f>IF(Associates_Call_List_PQ!B562="","",Associates_Call_List_PQ!B562)</f>
        <v>Hull</v>
      </c>
      <c r="C562" s="57" t="str">
        <f>IF(Associates_Call_List_PQ!C562="","",Associates_Call_List_PQ!C562)</f>
        <v>Jason</v>
      </c>
      <c r="D562" s="57" t="str">
        <f>IF(Associates_Call_List_PQ!D562="","",Associates_Call_List_PQ!D562)</f>
        <v>Glendale</v>
      </c>
      <c r="E562" s="58">
        <f>IF(Associates_Call_List_PQ!E562="","",Associates_Call_List_PQ!E562)</f>
        <v>85308</v>
      </c>
      <c r="F562" s="57" t="str">
        <f>IF(Associates_Call_List_PQ!F562="","",Associates_Call_List_PQ!F562)</f>
        <v>Opposed</v>
      </c>
      <c r="G562" s="57" t="str">
        <f>IF(Associates_Call_List_PQ!G562="","",Associates_Call_List_PQ!G562)</f>
        <v>https://docket.images.azcc.gov/E000046235.pdf</v>
      </c>
      <c r="H562" s="59" t="str">
        <f>IF(Associates_Call_List_PQ!H562="","",Associates_Call_List_PQ!H562)</f>
        <v xml:space="preserve">7671960000 </v>
      </c>
      <c r="I562" s="57" t="str">
        <f>IF(Associates_Call_List_PQ!I562="","",Associates_Call_List_PQ!I562)</f>
        <v>RTOUE47</v>
      </c>
      <c r="J562" s="57" t="str">
        <f>IF(Associates_Call_List_PQ!J562="","",Associates_Call_List_PQ!J562)</f>
        <v>No</v>
      </c>
      <c r="K562" s="57" t="str">
        <f>IF(Associates_Call_List_PQ!K562="","",Associates_Call_List_PQ!K562)</f>
        <v>No</v>
      </c>
      <c r="L562" s="57" t="str">
        <f>IF(Associates_Call_List_PQ!L562="","",Associates_Call_List_PQ!L562)</f>
        <v>Yes</v>
      </c>
      <c r="M562" s="57" t="str">
        <f>IF(Associates_Call_List_PQ!M562="","",Associates_Call_List_PQ!M562)</f>
        <v>No</v>
      </c>
      <c r="N562" s="57" t="str">
        <f>IF(Associates_Call_List_PQ!N562="","",Associates_Call_List_PQ!N562)</f>
        <v>No</v>
      </c>
      <c r="O562" s="57" t="str">
        <f>IF(Associates_Call_List_PQ!O562="","",Associates_Call_List_PQ!O562)</f>
        <v>Yes</v>
      </c>
      <c r="P562" s="57" t="str">
        <f>IF(Associates_Call_List_PQ!P562="","",Associates_Call_List_PQ!P562)</f>
        <v>N</v>
      </c>
      <c r="Q562" s="57">
        <f>IF(Associates_Call_List_PQ!Q562="","",Associates_Call_List_PQ!Q562)</f>
        <v>45966</v>
      </c>
      <c r="R562" s="57" t="str">
        <f>IF(Associates_Call_List_PQ!R562="","",Associates_Call_List_PQ!R562)</f>
        <v/>
      </c>
      <c r="S562" s="57" t="str">
        <f>IF(Associates_Call_List_PQ!S562="","",Associates_Call_List_PQ!S562)</f>
        <v/>
      </c>
      <c r="T562" s="57" t="str">
        <f>IF(Associates_Call_List_PQ!T562="","",Associates_Call_List_PQ!T562)</f>
        <v/>
      </c>
      <c r="U562" s="57" t="str">
        <f>IF(Associates_Call_List_PQ!U562="","",Associates_Call_List_PQ!U562)</f>
        <v/>
      </c>
      <c r="V562" s="68"/>
      <c r="W562" s="68" t="s">
        <v>5432</v>
      </c>
      <c r="X562" s="68"/>
      <c r="Y562" s="68"/>
      <c r="Z562" s="72"/>
    </row>
    <row r="563" spans="1:26">
      <c r="A563" s="71">
        <f>IFERROR(Associates_Call_List_PQ!A563,"")</f>
        <v>45905</v>
      </c>
      <c r="B563" s="57" t="str">
        <f>IF(Associates_Call_List_PQ!B563="","",Associates_Call_List_PQ!B563)</f>
        <v>Hanson</v>
      </c>
      <c r="C563" s="57" t="str">
        <f>IF(Associates_Call_List_PQ!C563="","",Associates_Call_List_PQ!C563)</f>
        <v xml:space="preserve">Chris </v>
      </c>
      <c r="D563" s="57" t="str">
        <f>IF(Associates_Call_List_PQ!D563="","",Associates_Call_List_PQ!D563)</f>
        <v>Phoenix</v>
      </c>
      <c r="E563" s="58">
        <f>IF(Associates_Call_List_PQ!E563="","",Associates_Call_List_PQ!E563)</f>
        <v>85028</v>
      </c>
      <c r="F563" s="57" t="str">
        <f>IF(Associates_Call_List_PQ!F563="","",Associates_Call_List_PQ!F563)</f>
        <v>Form letter</v>
      </c>
      <c r="G563" s="57" t="str">
        <f>IF(Associates_Call_List_PQ!G563="","",Associates_Call_List_PQ!G563)</f>
        <v>https://docket.images.azcc.gov/E000046235.pdf</v>
      </c>
      <c r="H563" s="59" t="str">
        <f>IF(Associates_Call_List_PQ!H563="","",Associates_Call_List_PQ!H563)</f>
        <v>3604131000 </v>
      </c>
      <c r="I563" s="57" t="str">
        <f>IF(Associates_Call_List_PQ!I563="","",Associates_Call_List_PQ!I563)</f>
        <v>RCPw/RTOUE47</v>
      </c>
      <c r="J563" s="57" t="str">
        <f>IF(Associates_Call_List_PQ!J563="","",Associates_Call_List_PQ!J563)</f>
        <v>No</v>
      </c>
      <c r="K563" s="57" t="str">
        <f>IF(Associates_Call_List_PQ!K563="","",Associates_Call_List_PQ!K563)</f>
        <v>No</v>
      </c>
      <c r="L563" s="57" t="str">
        <f>IF(Associates_Call_List_PQ!L563="","",Associates_Call_List_PQ!L563)</f>
        <v>No MEP R3-47($352.39)</v>
      </c>
      <c r="M563" s="57" t="str">
        <f>IF(Associates_Call_List_PQ!M563="","",Associates_Call_List_PQ!M563)</f>
        <v>No</v>
      </c>
      <c r="N563" s="57" t="str">
        <f>IF(Associates_Call_List_PQ!N563="","",Associates_Call_List_PQ!N563)</f>
        <v>No</v>
      </c>
      <c r="O563" s="57" t="str">
        <f>IF(Associates_Call_List_PQ!O563="","",Associates_Call_List_PQ!O563)</f>
        <v>Yes</v>
      </c>
      <c r="P563" s="57">
        <f>IF(Associates_Call_List_PQ!P563="","",Associates_Call_List_PQ!P563)</f>
        <v>45937</v>
      </c>
      <c r="Q563" s="57">
        <f>IF(Associates_Call_List_PQ!Q563="","",Associates_Call_List_PQ!Q563)</f>
        <v>45966</v>
      </c>
      <c r="R563" s="57" t="str">
        <f>IF(Associates_Call_List_PQ!R563="","",Associates_Call_List_PQ!R563)</f>
        <v>10/07/2025 left VM</v>
      </c>
      <c r="S563" s="57" t="str">
        <f>IF(Associates_Call_List_PQ!S563="","",Associates_Call_List_PQ!S563)</f>
        <v/>
      </c>
      <c r="T563" s="57" t="str">
        <f>IF(Associates_Call_List_PQ!T563="","",Associates_Call_List_PQ!T563)</f>
        <v/>
      </c>
      <c r="U563" s="57" t="str">
        <f>IF(Associates_Call_List_PQ!U563="","",Associates_Call_List_PQ!U563)</f>
        <v/>
      </c>
      <c r="V563" s="68" t="s">
        <v>5433</v>
      </c>
      <c r="W563" s="68">
        <v>46046</v>
      </c>
      <c r="X563" s="68" t="s">
        <v>5434</v>
      </c>
      <c r="Y563" s="68" t="s">
        <v>5447</v>
      </c>
      <c r="Z563" s="72"/>
    </row>
    <row r="564" spans="1:26">
      <c r="A564" s="71">
        <f>IFERROR(Associates_Call_List_PQ!A564,"")</f>
        <v>45905</v>
      </c>
      <c r="B564" s="57" t="str">
        <f>IF(Associates_Call_List_PQ!B564="","",Associates_Call_List_PQ!B564)</f>
        <v>Fajardo</v>
      </c>
      <c r="C564" s="57" t="str">
        <f>IF(Associates_Call_List_PQ!C564="","",Associates_Call_List_PQ!C564)</f>
        <v>James</v>
      </c>
      <c r="D564" s="57" t="str">
        <f>IF(Associates_Call_List_PQ!D564="","",Associates_Call_List_PQ!D564)</f>
        <v>Phoenix</v>
      </c>
      <c r="E564" s="58">
        <f>IF(Associates_Call_List_PQ!E564="","",Associates_Call_List_PQ!E564)</f>
        <v>85050</v>
      </c>
      <c r="F564" s="57" t="str">
        <f>IF(Associates_Call_List_PQ!F564="","",Associates_Call_List_PQ!F564)</f>
        <v>Form letter</v>
      </c>
      <c r="G564" s="57" t="str">
        <f>IF(Associates_Call_List_PQ!G564="","",Associates_Call_List_PQ!G564)</f>
        <v>https://docket.images.azcc.gov/E000046235.pdf</v>
      </c>
      <c r="H564" s="59" t="str">
        <f>IF(Associates_Call_List_PQ!H564="","",Associates_Call_List_PQ!H564)</f>
        <v xml:space="preserve">3846098682 </v>
      </c>
      <c r="I564" s="57" t="str">
        <f>IF(Associates_Call_List_PQ!I564="","",Associates_Call_List_PQ!I564)</f>
        <v>R3-47</v>
      </c>
      <c r="J564" s="57" t="str">
        <f>IF(Associates_Call_List_PQ!J564="","",Associates_Call_List_PQ!J564)</f>
        <v>No</v>
      </c>
      <c r="K564" s="57" t="str">
        <f>IF(Associates_Call_List_PQ!K564="","",Associates_Call_List_PQ!K564)</f>
        <v>No</v>
      </c>
      <c r="L564" s="57" t="str">
        <f>IF(Associates_Call_List_PQ!L564="","",Associates_Call_List_PQ!L564)</f>
        <v>Yes</v>
      </c>
      <c r="M564" s="57" t="str">
        <f>IF(Associates_Call_List_PQ!M564="","",Associates_Call_List_PQ!M564)</f>
        <v>No</v>
      </c>
      <c r="N564" s="57" t="str">
        <f>IF(Associates_Call_List_PQ!N564="","",Associates_Call_List_PQ!N564)</f>
        <v>No</v>
      </c>
      <c r="O564" s="57" t="str">
        <f>IF(Associates_Call_List_PQ!O564="","",Associates_Call_List_PQ!O564)</f>
        <v>Yes</v>
      </c>
      <c r="P564" s="57" t="str">
        <f>IF(Associates_Call_List_PQ!P564="","",Associates_Call_List_PQ!P564)</f>
        <v>N</v>
      </c>
      <c r="Q564" s="57">
        <f>IF(Associates_Call_List_PQ!Q564="","",Associates_Call_List_PQ!Q564)</f>
        <v>45966</v>
      </c>
      <c r="R564" s="57" t="str">
        <f>IF(Associates_Call_List_PQ!R564="","",Associates_Call_List_PQ!R564)</f>
        <v/>
      </c>
      <c r="S564" s="57" t="str">
        <f>IF(Associates_Call_List_PQ!S564="","",Associates_Call_List_PQ!S564)</f>
        <v/>
      </c>
      <c r="T564" s="57" t="str">
        <f>IF(Associates_Call_List_PQ!T564="","",Associates_Call_List_PQ!T564)</f>
        <v/>
      </c>
      <c r="U564" s="57" t="str">
        <f>IF(Associates_Call_List_PQ!U564="","",Associates_Call_List_PQ!U564)</f>
        <v/>
      </c>
      <c r="V564" s="68"/>
      <c r="W564" s="68" t="s">
        <v>5432</v>
      </c>
      <c r="X564" s="68"/>
      <c r="Y564" s="68"/>
      <c r="Z564" s="72"/>
    </row>
    <row r="565" spans="1:26">
      <c r="A565" s="71">
        <f>IFERROR(Associates_Call_List_PQ!A565,"")</f>
        <v>45905</v>
      </c>
      <c r="B565" s="57" t="str">
        <f>IF(Associates_Call_List_PQ!B565="","",Associates_Call_List_PQ!B565)</f>
        <v>Granato</v>
      </c>
      <c r="C565" s="57" t="str">
        <f>IF(Associates_Call_List_PQ!C565="","",Associates_Call_List_PQ!C565)</f>
        <v>Heather</v>
      </c>
      <c r="D565" s="57" t="str">
        <f>IF(Associates_Call_List_PQ!D565="","",Associates_Call_List_PQ!D565)</f>
        <v>Scottsdale</v>
      </c>
      <c r="E565" s="58">
        <f>IF(Associates_Call_List_PQ!E565="","",Associates_Call_List_PQ!E565)</f>
        <v>85254</v>
      </c>
      <c r="F565" s="57" t="str">
        <f>IF(Associates_Call_List_PQ!F565="","",Associates_Call_List_PQ!F565)</f>
        <v>Form letter</v>
      </c>
      <c r="G565" s="57" t="str">
        <f>IF(Associates_Call_List_PQ!G565="","",Associates_Call_List_PQ!G565)</f>
        <v>https://docket.images.azcc.gov/E000046235.pdf</v>
      </c>
      <c r="H565" s="59" t="str">
        <f>IF(Associates_Call_List_PQ!H565="","",Associates_Call_List_PQ!H565)</f>
        <v>2720371841 </v>
      </c>
      <c r="I565" s="57" t="str">
        <f>IF(Associates_Call_List_PQ!I565="","",Associates_Call_List_PQ!I565)</f>
        <v>R-BASIC</v>
      </c>
      <c r="J565" s="57" t="str">
        <f>IF(Associates_Call_List_PQ!J565="","",Associates_Call_List_PQ!J565)</f>
        <v>No</v>
      </c>
      <c r="K565" s="57" t="str">
        <f>IF(Associates_Call_List_PQ!K565="","",Associates_Call_List_PQ!K565)</f>
        <v>No</v>
      </c>
      <c r="L565" s="57" t="str">
        <f>IF(Associates_Call_List_PQ!L565="","",Associates_Call_List_PQ!L565)</f>
        <v>No MEP R-XS($118.46)</v>
      </c>
      <c r="M565" s="57" t="str">
        <f>IF(Associates_Call_List_PQ!M565="","",Associates_Call_List_PQ!M565)</f>
        <v>No</v>
      </c>
      <c r="N565" s="57" t="str">
        <f>IF(Associates_Call_List_PQ!N565="","",Associates_Call_List_PQ!N565)</f>
        <v>No</v>
      </c>
      <c r="O565" s="57" t="str">
        <f>IF(Associates_Call_List_PQ!O565="","",Associates_Call_List_PQ!O565)</f>
        <v>Yes</v>
      </c>
      <c r="P565" s="57" t="str">
        <f>IF(Associates_Call_List_PQ!P565="","",Associates_Call_List_PQ!P565)</f>
        <v>N</v>
      </c>
      <c r="Q565" s="57">
        <f>IF(Associates_Call_List_PQ!Q565="","",Associates_Call_List_PQ!Q565)</f>
        <v>45966</v>
      </c>
      <c r="R565" s="57" t="str">
        <f>IF(Associates_Call_List_PQ!R565="","",Associates_Call_List_PQ!R565)</f>
        <v>Will be automatically reassigned soon</v>
      </c>
      <c r="S565" s="57" t="str">
        <f>IF(Associates_Call_List_PQ!S565="","",Associates_Call_List_PQ!S565)</f>
        <v/>
      </c>
      <c r="T565" s="57" t="str">
        <f>IF(Associates_Call_List_PQ!T565="","",Associates_Call_List_PQ!T565)</f>
        <v/>
      </c>
      <c r="U565" s="57" t="str">
        <f>IF(Associates_Call_List_PQ!U565="","",Associates_Call_List_PQ!U565)</f>
        <v/>
      </c>
      <c r="V565" s="68" t="s">
        <v>5433</v>
      </c>
      <c r="W565" s="68">
        <v>46046</v>
      </c>
      <c r="X565" s="68" t="s">
        <v>5434</v>
      </c>
      <c r="Y565" s="68"/>
      <c r="Z565" s="72"/>
    </row>
    <row r="566" spans="1:26">
      <c r="A566" s="71">
        <f>IFERROR(Associates_Call_List_PQ!A566,"")</f>
        <v>45905</v>
      </c>
      <c r="B566" s="57" t="str">
        <f>IF(Associates_Call_List_PQ!B566="","",Associates_Call_List_PQ!B566)</f>
        <v>Turner-Warren</v>
      </c>
      <c r="C566" s="57" t="str">
        <f>IF(Associates_Call_List_PQ!C566="","",Associates_Call_List_PQ!C566)</f>
        <v>Jessica</v>
      </c>
      <c r="D566" s="57" t="str">
        <f>IF(Associates_Call_List_PQ!D566="","",Associates_Call_List_PQ!D566)</f>
        <v>Flagstaff</v>
      </c>
      <c r="E566" s="58">
        <f>IF(Associates_Call_List_PQ!E566="","",Associates_Call_List_PQ!E566)</f>
        <v>86001</v>
      </c>
      <c r="F566" s="57" t="str">
        <f>IF(Associates_Call_List_PQ!F566="","",Associates_Call_List_PQ!F566)</f>
        <v>Irresponsible</v>
      </c>
      <c r="G566" s="57" t="str">
        <f>IF(Associates_Call_List_PQ!G566="","",Associates_Call_List_PQ!G566)</f>
        <v>https://docket.images.azcc.gov/E000046235.pdf</v>
      </c>
      <c r="H566" s="59" t="str">
        <f>IF(Associates_Call_List_PQ!H566="","",Associates_Call_List_PQ!H566)</f>
        <v xml:space="preserve">5983450000 </v>
      </c>
      <c r="I566" s="57" t="str">
        <f>IF(Associates_Call_List_PQ!I566="","",Associates_Call_List_PQ!I566)</f>
        <v>R-BASIC</v>
      </c>
      <c r="J566" s="57" t="str">
        <f>IF(Associates_Call_List_PQ!J566="","",Associates_Call_List_PQ!J566)</f>
        <v>No</v>
      </c>
      <c r="K566" s="57" t="str">
        <f>IF(Associates_Call_List_PQ!K566="","",Associates_Call_List_PQ!K566)</f>
        <v>No</v>
      </c>
      <c r="L566" s="57" t="str">
        <f>IF(Associates_Call_List_PQ!L566="","",Associates_Call_List_PQ!L566)</f>
        <v>No MEP R-XS(127.55)</v>
      </c>
      <c r="M566" s="57" t="str">
        <f>IF(Associates_Call_List_PQ!M566="","",Associates_Call_List_PQ!M566)</f>
        <v>No</v>
      </c>
      <c r="N566" s="57" t="str">
        <f>IF(Associates_Call_List_PQ!N566="","",Associates_Call_List_PQ!N566)</f>
        <v>No</v>
      </c>
      <c r="O566" s="57" t="str">
        <f>IF(Associates_Call_List_PQ!O566="","",Associates_Call_List_PQ!O566)</f>
        <v>Yes</v>
      </c>
      <c r="P566" s="57">
        <f>IF(Associates_Call_List_PQ!P566="","",Associates_Call_List_PQ!P566)</f>
        <v>45937</v>
      </c>
      <c r="Q566" s="57">
        <f>IF(Associates_Call_List_PQ!Q566="","",Associates_Call_List_PQ!Q566)</f>
        <v>45966</v>
      </c>
      <c r="R566" s="57" t="str">
        <f>IF(Associates_Call_List_PQ!R566="","",Associates_Call_List_PQ!R566)</f>
        <v>10/07/2025 left VM</v>
      </c>
      <c r="S566" s="57" t="str">
        <f>IF(Associates_Call_List_PQ!S566="","",Associates_Call_List_PQ!S566)</f>
        <v/>
      </c>
      <c r="T566" s="57" t="str">
        <f>IF(Associates_Call_List_PQ!T566="","",Associates_Call_List_PQ!T566)</f>
        <v/>
      </c>
      <c r="U566" s="57" t="str">
        <f>IF(Associates_Call_List_PQ!U566="","",Associates_Call_List_PQ!U566)</f>
        <v/>
      </c>
      <c r="V566" s="68" t="s">
        <v>5433</v>
      </c>
      <c r="W566" s="68">
        <v>46060</v>
      </c>
      <c r="X566" s="68" t="s">
        <v>5434</v>
      </c>
      <c r="Y566" s="68"/>
      <c r="Z566" s="72" t="s">
        <v>5621</v>
      </c>
    </row>
    <row r="567" spans="1:26">
      <c r="A567" s="71">
        <f>IFERROR(Associates_Call_List_PQ!A567,"")</f>
        <v>45905</v>
      </c>
      <c r="B567" s="57" t="str">
        <f>IF(Associates_Call_List_PQ!B567="","",Associates_Call_List_PQ!B567)</f>
        <v>Zamenick</v>
      </c>
      <c r="C567" s="57" t="str">
        <f>IF(Associates_Call_List_PQ!C567="","",Associates_Call_List_PQ!C567)</f>
        <v>Joseph</v>
      </c>
      <c r="D567" s="57" t="str">
        <f>IF(Associates_Call_List_PQ!D567="","",Associates_Call_List_PQ!D567)</f>
        <v>Litchfield Park</v>
      </c>
      <c r="E567" s="58">
        <f>IF(Associates_Call_List_PQ!E567="","",Associates_Call_List_PQ!E567)</f>
        <v>85340</v>
      </c>
      <c r="F567" s="57" t="str">
        <f>IF(Associates_Call_List_PQ!F567="","",Associates_Call_List_PQ!F567)</f>
        <v>Enough is enough</v>
      </c>
      <c r="G567" s="57" t="str">
        <f>IF(Associates_Call_List_PQ!G567="","",Associates_Call_List_PQ!G567)</f>
        <v>https://docket.images.azcc.gov/E000046235.pdf</v>
      </c>
      <c r="H567" s="59" t="str">
        <f>IF(Associates_Call_List_PQ!H567="","",Associates_Call_List_PQ!H567)</f>
        <v xml:space="preserve">6393740000 </v>
      </c>
      <c r="I567" s="57" t="str">
        <f>IF(Associates_Call_List_PQ!I567="","",Associates_Call_List_PQ!I567)</f>
        <v>R3-47</v>
      </c>
      <c r="J567" s="57" t="str">
        <f>IF(Associates_Call_List_PQ!J567="","",Associates_Call_List_PQ!J567)</f>
        <v>No</v>
      </c>
      <c r="K567" s="57" t="str">
        <f>IF(Associates_Call_List_PQ!K567="","",Associates_Call_List_PQ!K567)</f>
        <v>No</v>
      </c>
      <c r="L567" s="57" t="str">
        <f>IF(Associates_Call_List_PQ!L567="","",Associates_Call_List_PQ!L567)</f>
        <v>Yes</v>
      </c>
      <c r="M567" s="57" t="str">
        <f>IF(Associates_Call_List_PQ!M567="","",Associates_Call_List_PQ!M567)</f>
        <v>No</v>
      </c>
      <c r="N567" s="57" t="str">
        <f>IF(Associates_Call_List_PQ!N567="","",Associates_Call_List_PQ!N567)</f>
        <v>No</v>
      </c>
      <c r="O567" s="57" t="str">
        <f>IF(Associates_Call_List_PQ!O567="","",Associates_Call_List_PQ!O567)</f>
        <v>Yes</v>
      </c>
      <c r="P567" s="57" t="str">
        <f>IF(Associates_Call_List_PQ!P567="","",Associates_Call_List_PQ!P567)</f>
        <v>N</v>
      </c>
      <c r="Q567" s="57">
        <f>IF(Associates_Call_List_PQ!Q567="","",Associates_Call_List_PQ!Q567)</f>
        <v>45966</v>
      </c>
      <c r="R567" s="57" t="str">
        <f>IF(Associates_Call_List_PQ!R567="","",Associates_Call_List_PQ!R567)</f>
        <v/>
      </c>
      <c r="S567" s="57" t="str">
        <f>IF(Associates_Call_List_PQ!S567="","",Associates_Call_List_PQ!S567)</f>
        <v/>
      </c>
      <c r="T567" s="57" t="str">
        <f>IF(Associates_Call_List_PQ!T567="","",Associates_Call_List_PQ!T567)</f>
        <v/>
      </c>
      <c r="U567" s="57" t="str">
        <f>IF(Associates_Call_List_PQ!U567="","",Associates_Call_List_PQ!U567)</f>
        <v/>
      </c>
      <c r="V567" s="68"/>
      <c r="W567" s="68" t="s">
        <v>5432</v>
      </c>
      <c r="X567" s="68"/>
      <c r="Y567" s="68"/>
      <c r="Z567" s="72"/>
    </row>
    <row r="568" spans="1:26">
      <c r="A568" s="71">
        <f>IFERROR(Associates_Call_List_PQ!A568,"")</f>
        <v>45905</v>
      </c>
      <c r="B568" s="57" t="str">
        <f>IF(Associates_Call_List_PQ!B568="","",Associates_Call_List_PQ!B568)</f>
        <v>Sanchez</v>
      </c>
      <c r="C568" s="57" t="str">
        <f>IF(Associates_Call_List_PQ!C568="","",Associates_Call_List_PQ!C568)</f>
        <v>Isabella</v>
      </c>
      <c r="D568" s="57" t="str">
        <f>IF(Associates_Call_List_PQ!D568="","",Associates_Call_List_PQ!D568)</f>
        <v>Phoenix</v>
      </c>
      <c r="E568" s="58">
        <f>IF(Associates_Call_List_PQ!E568="","",Associates_Call_List_PQ!E568)</f>
        <v>85032</v>
      </c>
      <c r="F568" s="57" t="str">
        <f>IF(Associates_Call_List_PQ!F568="","",Associates_Call_List_PQ!F568)</f>
        <v>Opposed</v>
      </c>
      <c r="G568" s="57" t="str">
        <f>IF(Associates_Call_List_PQ!G568="","",Associates_Call_List_PQ!G568)</f>
        <v>https://docket.images.azcc.gov/E000046235.pdf</v>
      </c>
      <c r="H568" s="59" t="str">
        <f>IF(Associates_Call_List_PQ!H568="","",Associates_Call_List_PQ!H568)</f>
        <v xml:space="preserve">1164092226 </v>
      </c>
      <c r="I568" s="57" t="str">
        <f>IF(Associates_Call_List_PQ!I568="","",Associates_Call_List_PQ!I568)</f>
        <v>R-BASIC</v>
      </c>
      <c r="J568" s="57" t="str">
        <f>IF(Associates_Call_List_PQ!J568="","",Associates_Call_List_PQ!J568)</f>
        <v>No</v>
      </c>
      <c r="K568" s="57" t="str">
        <f>IF(Associates_Call_List_PQ!K568="","",Associates_Call_List_PQ!K568)</f>
        <v>No</v>
      </c>
      <c r="L568" s="57" t="str">
        <f>IF(Associates_Call_List_PQ!L568="","",Associates_Call_List_PQ!L568)</f>
        <v>Yes</v>
      </c>
      <c r="M568" s="57" t="str">
        <f>IF(Associates_Call_List_PQ!M568="","",Associates_Call_List_PQ!M568)</f>
        <v>No</v>
      </c>
      <c r="N568" s="57" t="str">
        <f>IF(Associates_Call_List_PQ!N568="","",Associates_Call_List_PQ!N568)</f>
        <v>No</v>
      </c>
      <c r="O568" s="57" t="str">
        <f>IF(Associates_Call_List_PQ!O568="","",Associates_Call_List_PQ!O568)</f>
        <v>Yes</v>
      </c>
      <c r="P568" s="57" t="str">
        <f>IF(Associates_Call_List_PQ!P568="","",Associates_Call_List_PQ!P568)</f>
        <v>N</v>
      </c>
      <c r="Q568" s="57">
        <f>IF(Associates_Call_List_PQ!Q568="","",Associates_Call_List_PQ!Q568)</f>
        <v>45966</v>
      </c>
      <c r="R568" s="57" t="str">
        <f>IF(Associates_Call_List_PQ!R568="","",Associates_Call_List_PQ!R568)</f>
        <v/>
      </c>
      <c r="S568" s="57" t="str">
        <f>IF(Associates_Call_List_PQ!S568="","",Associates_Call_List_PQ!S568)</f>
        <v/>
      </c>
      <c r="T568" s="57" t="str">
        <f>IF(Associates_Call_List_PQ!T568="","",Associates_Call_List_PQ!T568)</f>
        <v/>
      </c>
      <c r="U568" s="57" t="str">
        <f>IF(Associates_Call_List_PQ!U568="","",Associates_Call_List_PQ!U568)</f>
        <v>Filed 2x on this day</v>
      </c>
      <c r="V568" s="68"/>
      <c r="W568" s="68" t="s">
        <v>5432</v>
      </c>
      <c r="X568" s="68"/>
      <c r="Y568" s="68"/>
      <c r="Z568" s="72"/>
    </row>
    <row r="569" spans="1:26">
      <c r="A569" s="71">
        <f>IFERROR(Associates_Call_List_PQ!A569,"")</f>
        <v>45905</v>
      </c>
      <c r="B569" s="57" t="str">
        <f>IF(Associates_Call_List_PQ!B569="","",Associates_Call_List_PQ!B569)</f>
        <v>Good</v>
      </c>
      <c r="C569" s="57" t="str">
        <f>IF(Associates_Call_List_PQ!C569="","",Associates_Call_List_PQ!C569)</f>
        <v>Travis</v>
      </c>
      <c r="D569" s="57" t="str">
        <f>IF(Associates_Call_List_PQ!D569="","",Associates_Call_List_PQ!D569)</f>
        <v>Phoenix</v>
      </c>
      <c r="E569" s="58">
        <f>IF(Associates_Call_List_PQ!E569="","",Associates_Call_List_PQ!E569)</f>
        <v>85028</v>
      </c>
      <c r="F569" s="57" t="str">
        <f>IF(Associates_Call_List_PQ!F569="","",Associates_Call_List_PQ!F569)</f>
        <v>Form letter</v>
      </c>
      <c r="G569" s="57" t="str">
        <f>IF(Associates_Call_List_PQ!G569="","",Associates_Call_List_PQ!G569)</f>
        <v>https://docket.images.azcc.gov/E000046235.pdf</v>
      </c>
      <c r="H569" s="59" t="str">
        <f>IF(Associates_Call_List_PQ!H569="","",Associates_Call_List_PQ!H569)</f>
        <v>2356371197</v>
      </c>
      <c r="I569" s="57" t="str">
        <f>IF(Associates_Call_List_PQ!I569="","",Associates_Call_List_PQ!I569)</f>
        <v>R3-47</v>
      </c>
      <c r="J569" s="57" t="str">
        <f>IF(Associates_Call_List_PQ!J569="","",Associates_Call_List_PQ!J569)</f>
        <v>No</v>
      </c>
      <c r="K569" s="57" t="str">
        <f>IF(Associates_Call_List_PQ!K569="","",Associates_Call_List_PQ!K569)</f>
        <v>No</v>
      </c>
      <c r="L569" s="57" t="str">
        <f>IF(Associates_Call_List_PQ!L569="","",Associates_Call_List_PQ!L569)</f>
        <v>Yes</v>
      </c>
      <c r="M569" s="57" t="str">
        <f>IF(Associates_Call_List_PQ!M569="","",Associates_Call_List_PQ!M569)</f>
        <v>No</v>
      </c>
      <c r="N569" s="57" t="str">
        <f>IF(Associates_Call_List_PQ!N569="","",Associates_Call_List_PQ!N569)</f>
        <v>No</v>
      </c>
      <c r="O569" s="57" t="str">
        <f>IF(Associates_Call_List_PQ!O569="","",Associates_Call_List_PQ!O569)</f>
        <v>Yes</v>
      </c>
      <c r="P569" s="57" t="str">
        <f>IF(Associates_Call_List_PQ!P569="","",Associates_Call_List_PQ!P569)</f>
        <v>N</v>
      </c>
      <c r="Q569" s="57">
        <f>IF(Associates_Call_List_PQ!Q569="","",Associates_Call_List_PQ!Q569)</f>
        <v>45966</v>
      </c>
      <c r="R569" s="57" t="str">
        <f>IF(Associates_Call_List_PQ!R569="","",Associates_Call_List_PQ!R569)</f>
        <v/>
      </c>
      <c r="S569" s="57" t="str">
        <f>IF(Associates_Call_List_PQ!S569="","",Associates_Call_List_PQ!S569)</f>
        <v/>
      </c>
      <c r="T569" s="57" t="str">
        <f>IF(Associates_Call_List_PQ!T569="","",Associates_Call_List_PQ!T569)</f>
        <v/>
      </c>
      <c r="U569" s="57" t="str">
        <f>IF(Associates_Call_List_PQ!U569="","",Associates_Call_List_PQ!U569)</f>
        <v/>
      </c>
      <c r="V569" s="68"/>
      <c r="W569" s="68" t="s">
        <v>5432</v>
      </c>
      <c r="X569" s="68"/>
      <c r="Y569" s="68"/>
      <c r="Z569" s="72"/>
    </row>
    <row r="570" spans="1:26">
      <c r="A570" s="71">
        <f>IFERROR(Associates_Call_List_PQ!A570,"")</f>
        <v>45905</v>
      </c>
      <c r="B570" s="57" t="str">
        <f>IF(Associates_Call_List_PQ!B570="","",Associates_Call_List_PQ!B570)</f>
        <v>McKeever</v>
      </c>
      <c r="C570" s="57" t="str">
        <f>IF(Associates_Call_List_PQ!C570="","",Associates_Call_List_PQ!C570)</f>
        <v>Michael</v>
      </c>
      <c r="D570" s="57" t="str">
        <f>IF(Associates_Call_List_PQ!D570="","",Associates_Call_List_PQ!D570)</f>
        <v>Surprise</v>
      </c>
      <c r="E570" s="58">
        <f>IF(Associates_Call_List_PQ!E570="","",Associates_Call_List_PQ!E570)</f>
        <v>85374</v>
      </c>
      <c r="F570" s="57" t="str">
        <f>IF(Associates_Call_List_PQ!F570="","",Associates_Call_List_PQ!F570)</f>
        <v>This is insanity</v>
      </c>
      <c r="G570" s="57" t="str">
        <f>IF(Associates_Call_List_PQ!G570="","",Associates_Call_List_PQ!G570)</f>
        <v>https://docket.images.azcc.gov/E000046235.pdf</v>
      </c>
      <c r="H570" s="59" t="str">
        <f>IF(Associates_Call_List_PQ!H570="","",Associates_Call_List_PQ!H570)</f>
        <v xml:space="preserve">0510900360 </v>
      </c>
      <c r="I570" s="57" t="str">
        <f>IF(Associates_Call_List_PQ!I570="","",Associates_Call_List_PQ!I570)</f>
        <v>R3-47</v>
      </c>
      <c r="J570" s="57" t="str">
        <f>IF(Associates_Call_List_PQ!J570="","",Associates_Call_List_PQ!J570)</f>
        <v>No</v>
      </c>
      <c r="K570" s="57" t="str">
        <f>IF(Associates_Call_List_PQ!K570="","",Associates_Call_List_PQ!K570)</f>
        <v>No</v>
      </c>
      <c r="L570" s="57" t="str">
        <f>IF(Associates_Call_List_PQ!L570="","",Associates_Call_List_PQ!L570)</f>
        <v>Yes</v>
      </c>
      <c r="M570" s="57" t="str">
        <f>IF(Associates_Call_List_PQ!M570="","",Associates_Call_List_PQ!M570)</f>
        <v>No</v>
      </c>
      <c r="N570" s="57" t="str">
        <f>IF(Associates_Call_List_PQ!N570="","",Associates_Call_List_PQ!N570)</f>
        <v>No</v>
      </c>
      <c r="O570" s="57" t="str">
        <f>IF(Associates_Call_List_PQ!O570="","",Associates_Call_List_PQ!O570)</f>
        <v>Yes</v>
      </c>
      <c r="P570" s="57" t="str">
        <f>IF(Associates_Call_List_PQ!P570="","",Associates_Call_List_PQ!P570)</f>
        <v>N</v>
      </c>
      <c r="Q570" s="57">
        <f>IF(Associates_Call_List_PQ!Q570="","",Associates_Call_List_PQ!Q570)</f>
        <v>45966</v>
      </c>
      <c r="R570" s="57" t="str">
        <f>IF(Associates_Call_List_PQ!R570="","",Associates_Call_List_PQ!R570)</f>
        <v/>
      </c>
      <c r="S570" s="57" t="str">
        <f>IF(Associates_Call_List_PQ!S570="","",Associates_Call_List_PQ!S570)</f>
        <v/>
      </c>
      <c r="T570" s="57" t="str">
        <f>IF(Associates_Call_List_PQ!T570="","",Associates_Call_List_PQ!T570)</f>
        <v/>
      </c>
      <c r="U570" s="57" t="str">
        <f>IF(Associates_Call_List_PQ!U570="","",Associates_Call_List_PQ!U570)</f>
        <v/>
      </c>
      <c r="V570" s="68" t="s">
        <v>117</v>
      </c>
      <c r="W570" s="68">
        <v>45997</v>
      </c>
      <c r="X570" s="68" t="s">
        <v>5405</v>
      </c>
      <c r="Y570" s="68"/>
      <c r="Z570" s="72" t="s">
        <v>5472</v>
      </c>
    </row>
    <row r="571" spans="1:26">
      <c r="A571" s="71">
        <f>IFERROR(Associates_Call_List_PQ!A571,"")</f>
        <v>45905</v>
      </c>
      <c r="B571" s="57" t="str">
        <f>IF(Associates_Call_List_PQ!B571="","",Associates_Call_List_PQ!B571)</f>
        <v>Vega</v>
      </c>
      <c r="C571" s="57" t="str">
        <f>IF(Associates_Call_List_PQ!C571="","",Associates_Call_List_PQ!C571)</f>
        <v>Macario</v>
      </c>
      <c r="D571" s="57" t="str">
        <f>IF(Associates_Call_List_PQ!D571="","",Associates_Call_List_PQ!D571)</f>
        <v>Phoenix</v>
      </c>
      <c r="E571" s="58">
        <f>IF(Associates_Call_List_PQ!E571="","",Associates_Call_List_PQ!E571)</f>
        <v>85029</v>
      </c>
      <c r="F571" s="57" t="str">
        <f>IF(Associates_Call_List_PQ!F571="","",Associates_Call_List_PQ!F571)</f>
        <v>Form letter</v>
      </c>
      <c r="G571" s="57" t="str">
        <f>IF(Associates_Call_List_PQ!G571="","",Associates_Call_List_PQ!G571)</f>
        <v>https://docket.images.azcc.gov/E000046235.pdf</v>
      </c>
      <c r="H571" s="59" t="str">
        <f>IF(Associates_Call_List_PQ!H571="","",Associates_Call_List_PQ!H571)</f>
        <v xml:space="preserve">6346280696 </v>
      </c>
      <c r="I571" s="57" t="str">
        <f>IF(Associates_Call_List_PQ!I571="","",Associates_Call_List_PQ!I571)</f>
        <v>EPR-6w/ET-2</v>
      </c>
      <c r="J571" s="57" t="str">
        <f>IF(Associates_Call_List_PQ!J571="","",Associates_Call_List_PQ!J571)</f>
        <v>No</v>
      </c>
      <c r="K571" s="57" t="str">
        <f>IF(Associates_Call_List_PQ!K571="","",Associates_Call_List_PQ!K571)</f>
        <v>No</v>
      </c>
      <c r="L571" s="57" t="str">
        <f>IF(Associates_Call_List_PQ!L571="","",Associates_Call_List_PQ!L571)</f>
        <v>Frozen Rate</v>
      </c>
      <c r="M571" s="57" t="str">
        <f>IF(Associates_Call_List_PQ!M571="","",Associates_Call_List_PQ!M571)</f>
        <v>No</v>
      </c>
      <c r="N571" s="57" t="str">
        <f>IF(Associates_Call_List_PQ!N571="","",Associates_Call_List_PQ!N571)</f>
        <v>No</v>
      </c>
      <c r="O571" s="57" t="str">
        <f>IF(Associates_Call_List_PQ!O571="","",Associates_Call_List_PQ!O571)</f>
        <v>Yes</v>
      </c>
      <c r="P571" s="57" t="str">
        <f>IF(Associates_Call_List_PQ!P571="","",Associates_Call_List_PQ!P571)</f>
        <v>N</v>
      </c>
      <c r="Q571" s="57">
        <f>IF(Associates_Call_List_PQ!Q571="","",Associates_Call_List_PQ!Q571)</f>
        <v>45966</v>
      </c>
      <c r="R571" s="57" t="str">
        <f>IF(Associates_Call_List_PQ!R571="","",Associates_Call_List_PQ!R571)</f>
        <v/>
      </c>
      <c r="S571" s="57" t="str">
        <f>IF(Associates_Call_List_PQ!S571="","",Associates_Call_List_PQ!S571)</f>
        <v/>
      </c>
      <c r="T571" s="57" t="str">
        <f>IF(Associates_Call_List_PQ!T571="","",Associates_Call_List_PQ!T571)</f>
        <v/>
      </c>
      <c r="U571" s="57" t="str">
        <f>IF(Associates_Call_List_PQ!U571="","",Associates_Call_List_PQ!U571)</f>
        <v/>
      </c>
      <c r="V571" s="68"/>
      <c r="W571" s="68" t="s">
        <v>5432</v>
      </c>
      <c r="X571" s="68"/>
      <c r="Y571" s="68"/>
      <c r="Z571" s="72"/>
    </row>
    <row r="572" spans="1:26">
      <c r="A572" s="71">
        <f>IFERROR(Associates_Call_List_PQ!A572,"")</f>
        <v>45905</v>
      </c>
      <c r="B572" s="57" t="str">
        <f>IF(Associates_Call_List_PQ!B572="","",Associates_Call_List_PQ!B572)</f>
        <v>Talamantez</v>
      </c>
      <c r="C572" s="57" t="str">
        <f>IF(Associates_Call_List_PQ!C572="","",Associates_Call_List_PQ!C572)</f>
        <v>Jonathan</v>
      </c>
      <c r="D572" s="57" t="str">
        <f>IF(Associates_Call_List_PQ!D572="","",Associates_Call_List_PQ!D572)</f>
        <v>Phoenix</v>
      </c>
      <c r="E572" s="58">
        <f>IF(Associates_Call_List_PQ!E572="","",Associates_Call_List_PQ!E572)</f>
        <v>85013</v>
      </c>
      <c r="F572" s="57" t="str">
        <f>IF(Associates_Call_List_PQ!F572="","",Associates_Call_List_PQ!F572)</f>
        <v>Form letter</v>
      </c>
      <c r="G572" s="57" t="str">
        <f>IF(Associates_Call_List_PQ!G572="","",Associates_Call_List_PQ!G572)</f>
        <v>https://docket.images.azcc.gov/E000046235.pdf</v>
      </c>
      <c r="H572" s="59" t="str">
        <f>IF(Associates_Call_List_PQ!H572="","",Associates_Call_List_PQ!H572)</f>
        <v>6276745354</v>
      </c>
      <c r="I572" s="57" t="str">
        <f>IF(Associates_Call_List_PQ!I572="","",Associates_Call_List_PQ!I572)</f>
        <v>R3-47</v>
      </c>
      <c r="J572" s="57" t="str">
        <f>IF(Associates_Call_List_PQ!J572="","",Associates_Call_List_PQ!J572)</f>
        <v>No</v>
      </c>
      <c r="K572" s="57" t="str">
        <f>IF(Associates_Call_List_PQ!K572="","",Associates_Call_List_PQ!K572)</f>
        <v>No</v>
      </c>
      <c r="L572" s="57" t="str">
        <f>IF(Associates_Call_List_PQ!L572="","",Associates_Call_List_PQ!L572)</f>
        <v>Yes</v>
      </c>
      <c r="M572" s="57" t="str">
        <f>IF(Associates_Call_List_PQ!M572="","",Associates_Call_List_PQ!M572)</f>
        <v>No</v>
      </c>
      <c r="N572" s="57" t="str">
        <f>IF(Associates_Call_List_PQ!N572="","",Associates_Call_List_PQ!N572)</f>
        <v>No</v>
      </c>
      <c r="O572" s="57" t="str">
        <f>IF(Associates_Call_List_PQ!O572="","",Associates_Call_List_PQ!O572)</f>
        <v>Yes</v>
      </c>
      <c r="P572" s="57" t="str">
        <f>IF(Associates_Call_List_PQ!P572="","",Associates_Call_List_PQ!P572)</f>
        <v>N</v>
      </c>
      <c r="Q572" s="57">
        <f>IF(Associates_Call_List_PQ!Q572="","",Associates_Call_List_PQ!Q572)</f>
        <v>45965</v>
      </c>
      <c r="R572" s="57" t="str">
        <f>IF(Associates_Call_List_PQ!R572="","",Associates_Call_List_PQ!R572)</f>
        <v/>
      </c>
      <c r="S572" s="57" t="str">
        <f>IF(Associates_Call_List_PQ!S572="","",Associates_Call_List_PQ!S572)</f>
        <v/>
      </c>
      <c r="T572" s="57" t="str">
        <f>IF(Associates_Call_List_PQ!T572="","",Associates_Call_List_PQ!T572)</f>
        <v/>
      </c>
      <c r="U572" s="57" t="str">
        <f>IF(Associates_Call_List_PQ!U572="","",Associates_Call_List_PQ!U572)</f>
        <v/>
      </c>
      <c r="V572" s="68"/>
      <c r="W572" s="68" t="s">
        <v>5432</v>
      </c>
      <c r="X572" s="68"/>
      <c r="Y572" s="68"/>
      <c r="Z572" s="72"/>
    </row>
    <row r="573" spans="1:26">
      <c r="A573" s="71">
        <f>IFERROR(Associates_Call_List_PQ!A573,"")</f>
        <v>45905</v>
      </c>
      <c r="B573" s="57" t="str">
        <f>IF(Associates_Call_List_PQ!B573="","",Associates_Call_List_PQ!B573)</f>
        <v>Gayed</v>
      </c>
      <c r="C573" s="57" t="str">
        <f>IF(Associates_Call_List_PQ!C573="","",Associates_Call_List_PQ!C573)</f>
        <v>Manal</v>
      </c>
      <c r="D573" s="57" t="str">
        <f>IF(Associates_Call_List_PQ!D573="","",Associates_Call_List_PQ!D573)</f>
        <v>Chandler</v>
      </c>
      <c r="E573" s="58">
        <f>IF(Associates_Call_List_PQ!E573="","",Associates_Call_List_PQ!E573)</f>
        <v>85225</v>
      </c>
      <c r="F573" s="57" t="str">
        <f>IF(Associates_Call_List_PQ!F573="","",Associates_Call_List_PQ!F573)</f>
        <v>Unbearable financial burden</v>
      </c>
      <c r="G573" s="57" t="str">
        <f>IF(Associates_Call_List_PQ!G573="","",Associates_Call_List_PQ!G573)</f>
        <v>https://docket.images.azcc.gov/E000046235.pdf</v>
      </c>
      <c r="H573" s="59" t="str">
        <f>IF(Associates_Call_List_PQ!H573="","",Associates_Call_List_PQ!H573)</f>
        <v>5730448493 </v>
      </c>
      <c r="I573" s="57" t="str">
        <f>IF(Associates_Call_List_PQ!I573="","",Associates_Call_List_PQ!I573)</f>
        <v>R3-47</v>
      </c>
      <c r="J573" s="57" t="str">
        <f>IF(Associates_Call_List_PQ!J573="","",Associates_Call_List_PQ!J573)</f>
        <v>Yes</v>
      </c>
      <c r="K573" s="57" t="str">
        <f>IF(Associates_Call_List_PQ!K573="","",Associates_Call_List_PQ!K573)</f>
        <v>No</v>
      </c>
      <c r="L573" s="57" t="str">
        <f>IF(Associates_Call_List_PQ!L573="","",Associates_Call_List_PQ!L573)</f>
        <v>Yes</v>
      </c>
      <c r="M573" s="57" t="str">
        <f>IF(Associates_Call_List_PQ!M573="","",Associates_Call_List_PQ!M573)</f>
        <v>No</v>
      </c>
      <c r="N573" s="57" t="str">
        <f>IF(Associates_Call_List_PQ!N573="","",Associates_Call_List_PQ!N573)</f>
        <v>No</v>
      </c>
      <c r="O573" s="57" t="str">
        <f>IF(Associates_Call_List_PQ!O573="","",Associates_Call_List_PQ!O573)</f>
        <v>Yes</v>
      </c>
      <c r="P573" s="57" t="str">
        <f>IF(Associates_Call_List_PQ!P573="","",Associates_Call_List_PQ!P573)</f>
        <v>N</v>
      </c>
      <c r="Q573" s="57">
        <f>IF(Associates_Call_List_PQ!Q573="","",Associates_Call_List_PQ!Q573)</f>
        <v>45965</v>
      </c>
      <c r="R573" s="57" t="str">
        <f>IF(Associates_Call_List_PQ!R573="","",Associates_Call_List_PQ!R573)</f>
        <v/>
      </c>
      <c r="S573" s="57" t="str">
        <f>IF(Associates_Call_List_PQ!S573="","",Associates_Call_List_PQ!S573)</f>
        <v/>
      </c>
      <c r="T573" s="57" t="str">
        <f>IF(Associates_Call_List_PQ!T573="","",Associates_Call_List_PQ!T573)</f>
        <v/>
      </c>
      <c r="U573" s="57" t="str">
        <f>IF(Associates_Call_List_PQ!U573="","",Associates_Call_List_PQ!U573)</f>
        <v/>
      </c>
      <c r="V573" s="68"/>
      <c r="W573" s="68" t="s">
        <v>5432</v>
      </c>
      <c r="X573" s="68"/>
      <c r="Y573" s="68"/>
      <c r="Z573" s="72"/>
    </row>
    <row r="574" spans="1:26">
      <c r="A574" s="71">
        <f>IFERROR(Associates_Call_List_PQ!A574,"")</f>
        <v>45905</v>
      </c>
      <c r="B574" s="57" t="str">
        <f>IF(Associates_Call_List_PQ!B574="","",Associates_Call_List_PQ!B574)</f>
        <v>Rayepudi</v>
      </c>
      <c r="C574" s="57" t="str">
        <f>IF(Associates_Call_List_PQ!C574="","",Associates_Call_List_PQ!C574)</f>
        <v>Vamseekrishna</v>
      </c>
      <c r="D574" s="57" t="str">
        <f>IF(Associates_Call_List_PQ!D574="","",Associates_Call_List_PQ!D574)</f>
        <v>Peoria</v>
      </c>
      <c r="E574" s="58">
        <f>IF(Associates_Call_List_PQ!E574="","",Associates_Call_List_PQ!E574)</f>
        <v>85383</v>
      </c>
      <c r="F574" s="57" t="str">
        <f>IF(Associates_Call_List_PQ!F574="","",Associates_Call_List_PQ!F574)</f>
        <v>Form letter</v>
      </c>
      <c r="G574" s="57" t="str">
        <f>IF(Associates_Call_List_PQ!G574="","",Associates_Call_List_PQ!G574)</f>
        <v>https://docket.images.azcc.gov/E000046235.pdf</v>
      </c>
      <c r="H574" s="59" t="str">
        <f>IF(Associates_Call_List_PQ!H574="","",Associates_Call_List_PQ!H574)</f>
        <v>7866236989 </v>
      </c>
      <c r="I574" s="57" t="str">
        <f>IF(Associates_Call_List_PQ!I574="","",Associates_Call_List_PQ!I574)</f>
        <v>R3-47</v>
      </c>
      <c r="J574" s="57" t="str">
        <f>IF(Associates_Call_List_PQ!J574="","",Associates_Call_List_PQ!J574)</f>
        <v>No</v>
      </c>
      <c r="K574" s="57" t="str">
        <f>IF(Associates_Call_List_PQ!K574="","",Associates_Call_List_PQ!K574)</f>
        <v>No</v>
      </c>
      <c r="L574" s="57" t="str">
        <f>IF(Associates_Call_List_PQ!L574="","",Associates_Call_List_PQ!L574)</f>
        <v>Yes</v>
      </c>
      <c r="M574" s="57" t="str">
        <f>IF(Associates_Call_List_PQ!M574="","",Associates_Call_List_PQ!M574)</f>
        <v>No</v>
      </c>
      <c r="N574" s="57" t="str">
        <f>IF(Associates_Call_List_PQ!N574="","",Associates_Call_List_PQ!N574)</f>
        <v>No</v>
      </c>
      <c r="O574" s="57" t="str">
        <f>IF(Associates_Call_List_PQ!O574="","",Associates_Call_List_PQ!O574)</f>
        <v>Yes</v>
      </c>
      <c r="P574" s="57" t="str">
        <f>IF(Associates_Call_List_PQ!P574="","",Associates_Call_List_PQ!P574)</f>
        <v>N</v>
      </c>
      <c r="Q574" s="57">
        <f>IF(Associates_Call_List_PQ!Q574="","",Associates_Call_List_PQ!Q574)</f>
        <v>45965</v>
      </c>
      <c r="R574" s="57" t="str">
        <f>IF(Associates_Call_List_PQ!R574="","",Associates_Call_List_PQ!R574)</f>
        <v/>
      </c>
      <c r="S574" s="57" t="str">
        <f>IF(Associates_Call_List_PQ!S574="","",Associates_Call_List_PQ!S574)</f>
        <v/>
      </c>
      <c r="T574" s="57" t="str">
        <f>IF(Associates_Call_List_PQ!T574="","",Associates_Call_List_PQ!T574)</f>
        <v/>
      </c>
      <c r="U574" s="57" t="str">
        <f>IF(Associates_Call_List_PQ!U574="","",Associates_Call_List_PQ!U574)</f>
        <v/>
      </c>
      <c r="V574" s="68"/>
      <c r="W574" s="68" t="s">
        <v>5432</v>
      </c>
      <c r="X574" s="68"/>
      <c r="Y574" s="68"/>
      <c r="Z574" s="72"/>
    </row>
    <row r="575" spans="1:26">
      <c r="A575" s="71">
        <f>IFERROR(Associates_Call_List_PQ!A575,"")</f>
        <v>45905</v>
      </c>
      <c r="B575" s="57" t="str">
        <f>IF(Associates_Call_List_PQ!B575="","",Associates_Call_List_PQ!B575)</f>
        <v>Dinnerstein</v>
      </c>
      <c r="C575" s="57" t="str">
        <f>IF(Associates_Call_List_PQ!C575="","",Associates_Call_List_PQ!C575)</f>
        <v>Marc</v>
      </c>
      <c r="D575" s="57" t="str">
        <f>IF(Associates_Call_List_PQ!D575="","",Associates_Call_List_PQ!D575)</f>
        <v>Carefree</v>
      </c>
      <c r="E575" s="58">
        <f>IF(Associates_Call_List_PQ!E575="","",Associates_Call_List_PQ!E575)</f>
        <v>85377</v>
      </c>
      <c r="F575" s="57" t="str">
        <f>IF(Associates_Call_List_PQ!F575="","",Associates_Call_List_PQ!F575)</f>
        <v>Already astronomical</v>
      </c>
      <c r="G575" s="57" t="str">
        <f>IF(Associates_Call_List_PQ!G575="","",Associates_Call_List_PQ!G575)</f>
        <v>https://docket.images.azcc.gov/E000046235.pdf</v>
      </c>
      <c r="H575" s="59" t="str">
        <f>IF(Associates_Call_List_PQ!H575="","",Associates_Call_List_PQ!H575)</f>
        <v xml:space="preserve">3128248912 </v>
      </c>
      <c r="I575" s="57" t="str">
        <f>IF(Associates_Call_List_PQ!I575="","",Associates_Call_List_PQ!I575)</f>
        <v>RTOUE47</v>
      </c>
      <c r="J575" s="57" t="str">
        <f>IF(Associates_Call_List_PQ!J575="","",Associates_Call_List_PQ!J575)</f>
        <v>No</v>
      </c>
      <c r="K575" s="57" t="str">
        <f>IF(Associates_Call_List_PQ!K575="","",Associates_Call_List_PQ!K575)</f>
        <v>No</v>
      </c>
      <c r="L575" s="57" t="str">
        <f>IF(Associates_Call_List_PQ!L575="","",Associates_Call_List_PQ!L575)</f>
        <v>No MEP R3-47(675.81)</v>
      </c>
      <c r="M575" s="57" t="str">
        <f>IF(Associates_Call_List_PQ!M575="","",Associates_Call_List_PQ!M575)</f>
        <v>No</v>
      </c>
      <c r="N575" s="57" t="str">
        <f>IF(Associates_Call_List_PQ!N575="","",Associates_Call_List_PQ!N575)</f>
        <v>No</v>
      </c>
      <c r="O575" s="57" t="str">
        <f>IF(Associates_Call_List_PQ!O575="","",Associates_Call_List_PQ!O575)</f>
        <v>Yes</v>
      </c>
      <c r="P575" s="57">
        <f>IF(Associates_Call_List_PQ!P575="","",Associates_Call_List_PQ!P575)</f>
        <v>45937</v>
      </c>
      <c r="Q575" s="57">
        <f>IF(Associates_Call_List_PQ!Q575="","",Associates_Call_List_PQ!Q575)</f>
        <v>45965</v>
      </c>
      <c r="R575" s="57" t="str">
        <f>IF(Associates_Call_List_PQ!R575="","",Associates_Call_List_PQ!R575)</f>
        <v>COR will remain on current serv plan</v>
      </c>
      <c r="S575" s="57" t="str">
        <f>IF(Associates_Call_List_PQ!S575="","",Associates_Call_List_PQ!S575)</f>
        <v/>
      </c>
      <c r="T575" s="57" t="str">
        <f>IF(Associates_Call_List_PQ!T575="","",Associates_Call_List_PQ!T575)</f>
        <v/>
      </c>
      <c r="U575" s="57" t="str">
        <f>IF(Associates_Call_List_PQ!U575="","",Associates_Call_List_PQ!U575)</f>
        <v/>
      </c>
      <c r="V575" s="68" t="s">
        <v>5433</v>
      </c>
      <c r="W575" s="68">
        <v>46060</v>
      </c>
      <c r="X575" s="68" t="s">
        <v>5434</v>
      </c>
      <c r="Y575" s="68"/>
      <c r="Z575" s="72" t="s">
        <v>5621</v>
      </c>
    </row>
    <row r="576" spans="1:26">
      <c r="A576" s="71">
        <f>IFERROR(Associates_Call_List_PQ!A576,"")</f>
        <v>45905</v>
      </c>
      <c r="B576" s="57" t="str">
        <f>IF(Associates_Call_List_PQ!B576="","",Associates_Call_List_PQ!B576)</f>
        <v>Feehery</v>
      </c>
      <c r="C576" s="57" t="str">
        <f>IF(Associates_Call_List_PQ!C576="","",Associates_Call_List_PQ!C576)</f>
        <v>Lorraine</v>
      </c>
      <c r="D576" s="57" t="str">
        <f>IF(Associates_Call_List_PQ!D576="","",Associates_Call_List_PQ!D576)</f>
        <v>Phoenix</v>
      </c>
      <c r="E576" s="58">
        <f>IF(Associates_Call_List_PQ!E576="","",Associates_Call_List_PQ!E576)</f>
        <v>85006</v>
      </c>
      <c r="F576" s="57" t="str">
        <f>IF(Associates_Call_List_PQ!F576="","",Associates_Call_List_PQ!F576)</f>
        <v>Unjust and greedy money grab</v>
      </c>
      <c r="G576" s="57" t="str">
        <f>IF(Associates_Call_List_PQ!G576="","",Associates_Call_List_PQ!G576)</f>
        <v>https://docket.images.azcc.gov/E000046235.pdf</v>
      </c>
      <c r="H576" s="59" t="str">
        <f>IF(Associates_Call_List_PQ!H576="","",Associates_Call_List_PQ!H576)</f>
        <v xml:space="preserve">9775140000 </v>
      </c>
      <c r="I576" s="57" t="str">
        <f>IF(Associates_Call_List_PQ!I576="","",Associates_Call_List_PQ!I576)</f>
        <v>R-XS</v>
      </c>
      <c r="J576" s="57" t="str">
        <f>IF(Associates_Call_List_PQ!J576="","",Associates_Call_List_PQ!J576)</f>
        <v>No</v>
      </c>
      <c r="K576" s="57" t="str">
        <f>IF(Associates_Call_List_PQ!K576="","",Associates_Call_List_PQ!K576)</f>
        <v>No</v>
      </c>
      <c r="L576" s="57" t="str">
        <f>IF(Associates_Call_List_PQ!L576="","",Associates_Call_List_PQ!L576)</f>
        <v>Yes</v>
      </c>
      <c r="M576" s="57" t="str">
        <f>IF(Associates_Call_List_PQ!M576="","",Associates_Call_List_PQ!M576)</f>
        <v>No</v>
      </c>
      <c r="N576" s="57" t="str">
        <f>IF(Associates_Call_List_PQ!N576="","",Associates_Call_List_PQ!N576)</f>
        <v>No</v>
      </c>
      <c r="O576" s="57" t="str">
        <f>IF(Associates_Call_List_PQ!O576="","",Associates_Call_List_PQ!O576)</f>
        <v>Yes</v>
      </c>
      <c r="P576" s="57" t="str">
        <f>IF(Associates_Call_List_PQ!P576="","",Associates_Call_List_PQ!P576)</f>
        <v>N</v>
      </c>
      <c r="Q576" s="57">
        <f>IF(Associates_Call_List_PQ!Q576="","",Associates_Call_List_PQ!Q576)</f>
        <v>45965</v>
      </c>
      <c r="R576" s="57" t="str">
        <f>IF(Associates_Call_List_PQ!R576="","",Associates_Call_List_PQ!R576)</f>
        <v/>
      </c>
      <c r="S576" s="57" t="str">
        <f>IF(Associates_Call_List_PQ!S576="","",Associates_Call_List_PQ!S576)</f>
        <v/>
      </c>
      <c r="T576" s="57" t="str">
        <f>IF(Associates_Call_List_PQ!T576="","",Associates_Call_List_PQ!T576)</f>
        <v/>
      </c>
      <c r="U576" s="57" t="str">
        <f>IF(Associates_Call_List_PQ!U576="","",Associates_Call_List_PQ!U576)</f>
        <v/>
      </c>
      <c r="V576" s="68"/>
      <c r="W576" s="68" t="s">
        <v>5432</v>
      </c>
      <c r="X576" s="68"/>
      <c r="Y576" s="68"/>
      <c r="Z576" s="72"/>
    </row>
    <row r="577" spans="1:26">
      <c r="A577" s="71">
        <f>IFERROR(Associates_Call_List_PQ!A577,"")</f>
        <v>45905</v>
      </c>
      <c r="B577" s="57" t="str">
        <f>IF(Associates_Call_List_PQ!B577="","",Associates_Call_List_PQ!B577)</f>
        <v>Vidal</v>
      </c>
      <c r="C577" s="57" t="str">
        <f>IF(Associates_Call_List_PQ!C577="","",Associates_Call_List_PQ!C577)</f>
        <v>Chanel</v>
      </c>
      <c r="D577" s="57" t="str">
        <f>IF(Associates_Call_List_PQ!D577="","",Associates_Call_List_PQ!D577)</f>
        <v>Tempe</v>
      </c>
      <c r="E577" s="58">
        <f>IF(Associates_Call_List_PQ!E577="","",Associates_Call_List_PQ!E577)</f>
        <v>85281</v>
      </c>
      <c r="F577" s="57" t="str">
        <f>IF(Associates_Call_List_PQ!F577="","",Associates_Call_List_PQ!F577)</f>
        <v>Form letter</v>
      </c>
      <c r="G577" s="57" t="str">
        <f>IF(Associates_Call_List_PQ!G577="","",Associates_Call_List_PQ!G577)</f>
        <v>https://docket.images.azcc.gov/E000046235.pdf</v>
      </c>
      <c r="H577" s="59" t="str">
        <f>IF(Associates_Call_List_PQ!H577="","",Associates_Call_List_PQ!H577)</f>
        <v xml:space="preserve">2655378250 </v>
      </c>
      <c r="I577" s="57" t="str">
        <f>IF(Associates_Call_List_PQ!I577="","",Associates_Call_List_PQ!I577)</f>
        <v>R-BASIC</v>
      </c>
      <c r="J577" s="57" t="str">
        <f>IF(Associates_Call_List_PQ!J577="","",Associates_Call_List_PQ!J577)</f>
        <v>No</v>
      </c>
      <c r="K577" s="57" t="str">
        <f>IF(Associates_Call_List_PQ!K577="","",Associates_Call_List_PQ!K577)</f>
        <v>No</v>
      </c>
      <c r="L577" s="57" t="str">
        <f>IF(Associates_Call_List_PQ!L577="","",Associates_Call_List_PQ!L577)</f>
        <v>No MEP R3-47($70.31)</v>
      </c>
      <c r="M577" s="57" t="str">
        <f>IF(Associates_Call_List_PQ!M577="","",Associates_Call_List_PQ!M577)</f>
        <v>No</v>
      </c>
      <c r="N577" s="57" t="str">
        <f>IF(Associates_Call_List_PQ!N577="","",Associates_Call_List_PQ!N577)</f>
        <v>No</v>
      </c>
      <c r="O577" s="57" t="str">
        <f>IF(Associates_Call_List_PQ!O577="","",Associates_Call_List_PQ!O577)</f>
        <v>Yes</v>
      </c>
      <c r="P577" s="57" t="str">
        <f>IF(Associates_Call_List_PQ!P577="","",Associates_Call_List_PQ!P577)</f>
        <v>N</v>
      </c>
      <c r="Q577" s="57">
        <f>IF(Associates_Call_List_PQ!Q577="","",Associates_Call_List_PQ!Q577)</f>
        <v>45965</v>
      </c>
      <c r="R577" s="57" t="str">
        <f>IF(Associates_Call_List_PQ!R577="","",Associates_Call_List_PQ!R577)</f>
        <v/>
      </c>
      <c r="S577" s="57" t="str">
        <f>IF(Associates_Call_List_PQ!S577="","",Associates_Call_List_PQ!S577)</f>
        <v/>
      </c>
      <c r="T577" s="57" t="str">
        <f>IF(Associates_Call_List_PQ!T577="","",Associates_Call_List_PQ!T577)</f>
        <v/>
      </c>
      <c r="U577" s="57" t="str">
        <f>IF(Associates_Call_List_PQ!U577="","",Associates_Call_List_PQ!U577)</f>
        <v/>
      </c>
      <c r="V577" s="68" t="s">
        <v>5433</v>
      </c>
      <c r="W577" s="68">
        <v>46046</v>
      </c>
      <c r="X577" s="68" t="s">
        <v>5434</v>
      </c>
      <c r="Y577" s="68"/>
      <c r="Z577" s="72"/>
    </row>
    <row r="578" spans="1:26">
      <c r="A578" s="71">
        <f>IFERROR(Associates_Call_List_PQ!A578,"")</f>
        <v>45905</v>
      </c>
      <c r="B578" s="57" t="str">
        <f>IF(Associates_Call_List_PQ!B578="","",Associates_Call_List_PQ!B578)</f>
        <v>Penaloza</v>
      </c>
      <c r="C578" s="57" t="str">
        <f>IF(Associates_Call_List_PQ!C578="","",Associates_Call_List_PQ!C578)</f>
        <v>Reyna</v>
      </c>
      <c r="D578" s="57" t="str">
        <f>IF(Associates_Call_List_PQ!D578="","",Associates_Call_List_PQ!D578)</f>
        <v>Buckeye</v>
      </c>
      <c r="E578" s="58">
        <f>IF(Associates_Call_List_PQ!E578="","",Associates_Call_List_PQ!E578)</f>
        <v>85326</v>
      </c>
      <c r="F578" s="57" t="str">
        <f>IF(Associates_Call_List_PQ!F578="","",Associates_Call_List_PQ!F578)</f>
        <v>Form letter</v>
      </c>
      <c r="G578" s="57" t="str">
        <f>IF(Associates_Call_List_PQ!G578="","",Associates_Call_List_PQ!G578)</f>
        <v>https://docket.images.azcc.gov/E000046235.pdf</v>
      </c>
      <c r="H578" s="59" t="str">
        <f>IF(Associates_Call_List_PQ!H578="","",Associates_Call_List_PQ!H578)</f>
        <v xml:space="preserve">1908399537 </v>
      </c>
      <c r="I578" s="57" t="str">
        <f>IF(Associates_Call_List_PQ!I578="","",Associates_Call_List_PQ!I578)</f>
        <v>R-2</v>
      </c>
      <c r="J578" s="57" t="str">
        <f>IF(Associates_Call_List_PQ!J578="","",Associates_Call_List_PQ!J578)</f>
        <v>Yes</v>
      </c>
      <c r="K578" s="57" t="str">
        <f>IF(Associates_Call_List_PQ!K578="","",Associates_Call_List_PQ!K578)</f>
        <v>No</v>
      </c>
      <c r="L578" s="57" t="str">
        <f>IF(Associates_Call_List_PQ!L578="","",Associates_Call_List_PQ!L578)</f>
        <v>Frozen Rate</v>
      </c>
      <c r="M578" s="57" t="str">
        <f>IF(Associates_Call_List_PQ!M578="","",Associates_Call_List_PQ!M578)</f>
        <v>No</v>
      </c>
      <c r="N578" s="57" t="str">
        <f>IF(Associates_Call_List_PQ!N578="","",Associates_Call_List_PQ!N578)</f>
        <v>No</v>
      </c>
      <c r="O578" s="57" t="str">
        <f>IF(Associates_Call_List_PQ!O578="","",Associates_Call_List_PQ!O578)</f>
        <v>Yes</v>
      </c>
      <c r="P578" s="57" t="str">
        <f>IF(Associates_Call_List_PQ!P578="","",Associates_Call_List_PQ!P578)</f>
        <v>N</v>
      </c>
      <c r="Q578" s="57">
        <f>IF(Associates_Call_List_PQ!Q578="","",Associates_Call_List_PQ!Q578)</f>
        <v>45965</v>
      </c>
      <c r="R578" s="57" t="str">
        <f>IF(Associates_Call_List_PQ!R578="","",Associates_Call_List_PQ!R578)</f>
        <v/>
      </c>
      <c r="S578" s="57" t="str">
        <f>IF(Associates_Call_List_PQ!S578="","",Associates_Call_List_PQ!S578)</f>
        <v/>
      </c>
      <c r="T578" s="57" t="str">
        <f>IF(Associates_Call_List_PQ!T578="","",Associates_Call_List_PQ!T578)</f>
        <v/>
      </c>
      <c r="U578" s="57" t="str">
        <f>IF(Associates_Call_List_PQ!U578="","",Associates_Call_List_PQ!U578)</f>
        <v/>
      </c>
      <c r="V578" s="68"/>
      <c r="W578" s="68" t="s">
        <v>5432</v>
      </c>
      <c r="X578" s="68"/>
      <c r="Y578" s="68"/>
      <c r="Z578" s="72"/>
    </row>
    <row r="579" spans="1:26">
      <c r="A579" s="71">
        <f>IFERROR(Associates_Call_List_PQ!A579,"")</f>
        <v>45905</v>
      </c>
      <c r="B579" s="57" t="str">
        <f>IF(Associates_Call_List_PQ!B579="","",Associates_Call_List_PQ!B579)</f>
        <v>Parrish</v>
      </c>
      <c r="C579" s="57" t="str">
        <f>IF(Associates_Call_List_PQ!C579="","",Associates_Call_List_PQ!C579)</f>
        <v>Rose</v>
      </c>
      <c r="D579" s="57" t="str">
        <f>IF(Associates_Call_List_PQ!D579="","",Associates_Call_List_PQ!D579)</f>
        <v>Phoenix</v>
      </c>
      <c r="E579" s="58">
        <f>IF(Associates_Call_List_PQ!E579="","",Associates_Call_List_PQ!E579)</f>
        <v>85024</v>
      </c>
      <c r="F579" s="57" t="str">
        <f>IF(Associates_Call_List_PQ!F579="","",Associates_Call_List_PQ!F579)</f>
        <v>Opposed</v>
      </c>
      <c r="G579" s="57" t="str">
        <f>IF(Associates_Call_List_PQ!G579="","",Associates_Call_List_PQ!G579)</f>
        <v>https://docket.images.azcc.gov/E000046235.pdf</v>
      </c>
      <c r="H579" s="59" t="str">
        <f>IF(Associates_Call_List_PQ!H579="","",Associates_Call_List_PQ!H579)</f>
        <v xml:space="preserve">7791021977 </v>
      </c>
      <c r="I579" s="57" t="str">
        <f>IF(Associates_Call_List_PQ!I579="","",Associates_Call_List_PQ!I579)</f>
        <v>R3-47</v>
      </c>
      <c r="J579" s="57" t="str">
        <f>IF(Associates_Call_List_PQ!J579="","",Associates_Call_List_PQ!J579)</f>
        <v>No</v>
      </c>
      <c r="K579" s="57" t="str">
        <f>IF(Associates_Call_List_PQ!K579="","",Associates_Call_List_PQ!K579)</f>
        <v>No</v>
      </c>
      <c r="L579" s="57" t="str">
        <f>IF(Associates_Call_List_PQ!L579="","",Associates_Call_List_PQ!L579)</f>
        <v>Yes</v>
      </c>
      <c r="M579" s="57" t="str">
        <f>IF(Associates_Call_List_PQ!M579="","",Associates_Call_List_PQ!M579)</f>
        <v>No</v>
      </c>
      <c r="N579" s="57" t="str">
        <f>IF(Associates_Call_List_PQ!N579="","",Associates_Call_List_PQ!N579)</f>
        <v>No</v>
      </c>
      <c r="O579" s="57" t="str">
        <f>IF(Associates_Call_List_PQ!O579="","",Associates_Call_List_PQ!O579)</f>
        <v>Yes</v>
      </c>
      <c r="P579" s="57" t="str">
        <f>IF(Associates_Call_List_PQ!P579="","",Associates_Call_List_PQ!P579)</f>
        <v>N</v>
      </c>
      <c r="Q579" s="57">
        <f>IF(Associates_Call_List_PQ!Q579="","",Associates_Call_List_PQ!Q579)</f>
        <v>45965</v>
      </c>
      <c r="R579" s="57" t="str">
        <f>IF(Associates_Call_List_PQ!R579="","",Associates_Call_List_PQ!R579)</f>
        <v/>
      </c>
      <c r="S579" s="57" t="str">
        <f>IF(Associates_Call_List_PQ!S579="","",Associates_Call_List_PQ!S579)</f>
        <v/>
      </c>
      <c r="T579" s="57" t="str">
        <f>IF(Associates_Call_List_PQ!T579="","",Associates_Call_List_PQ!T579)</f>
        <v/>
      </c>
      <c r="U579" s="57" t="str">
        <f>IF(Associates_Call_List_PQ!U579="","",Associates_Call_List_PQ!U579)</f>
        <v/>
      </c>
      <c r="V579" s="68"/>
      <c r="W579" s="68" t="s">
        <v>5432</v>
      </c>
      <c r="X579" s="68"/>
      <c r="Y579" s="68"/>
      <c r="Z579" s="72"/>
    </row>
    <row r="580" spans="1:26">
      <c r="A580" s="71">
        <f>IFERROR(Associates_Call_List_PQ!A580,"")</f>
        <v>45905</v>
      </c>
      <c r="B580" s="57" t="str">
        <f>IF(Associates_Call_List_PQ!B580="","",Associates_Call_List_PQ!B580)</f>
        <v>Wright</v>
      </c>
      <c r="C580" s="57" t="str">
        <f>IF(Associates_Call_List_PQ!C580="","",Associates_Call_List_PQ!C580)</f>
        <v>William</v>
      </c>
      <c r="D580" s="57" t="str">
        <f>IF(Associates_Call_List_PQ!D580="","",Associates_Call_List_PQ!D580)</f>
        <v>Phoenix</v>
      </c>
      <c r="E580" s="58">
        <f>IF(Associates_Call_List_PQ!E580="","",Associates_Call_List_PQ!E580)</f>
        <v>85012</v>
      </c>
      <c r="F580" s="57" t="str">
        <f>IF(Associates_Call_List_PQ!F580="","",Associates_Call_List_PQ!F580)</f>
        <v>Form letter</v>
      </c>
      <c r="G580" s="57" t="str">
        <f>IF(Associates_Call_List_PQ!G580="","",Associates_Call_List_PQ!G580)</f>
        <v>https://docket.images.azcc.gov/E000046235.pdf</v>
      </c>
      <c r="H580" s="59" t="str">
        <f>IF(Associates_Call_List_PQ!H580="","",Associates_Call_List_PQ!H580)</f>
        <v>9065406549 </v>
      </c>
      <c r="I580" s="57" t="str">
        <f>IF(Associates_Call_List_PQ!I580="","",Associates_Call_List_PQ!I580)</f>
        <v>R-XS</v>
      </c>
      <c r="J580" s="57" t="str">
        <f>IF(Associates_Call_List_PQ!J580="","",Associates_Call_List_PQ!J580)</f>
        <v>No</v>
      </c>
      <c r="K580" s="57" t="str">
        <f>IF(Associates_Call_List_PQ!K580="","",Associates_Call_List_PQ!K580)</f>
        <v>No</v>
      </c>
      <c r="L580" s="57" t="str">
        <f>IF(Associates_Call_List_PQ!L580="","",Associates_Call_List_PQ!L580)</f>
        <v>Not eligible yet (needs 3 months)</v>
      </c>
      <c r="M580" s="57" t="str">
        <f>IF(Associates_Call_List_PQ!M580="","",Associates_Call_List_PQ!M580)</f>
        <v>No</v>
      </c>
      <c r="N580" s="57" t="str">
        <f>IF(Associates_Call_List_PQ!N580="","",Associates_Call_List_PQ!N580)</f>
        <v>No</v>
      </c>
      <c r="O580" s="57" t="str">
        <f>IF(Associates_Call_List_PQ!O580="","",Associates_Call_List_PQ!O580)</f>
        <v>Yes</v>
      </c>
      <c r="P580" s="57" t="str">
        <f>IF(Associates_Call_List_PQ!P580="","",Associates_Call_List_PQ!P580)</f>
        <v>N</v>
      </c>
      <c r="Q580" s="57">
        <f>IF(Associates_Call_List_PQ!Q580="","",Associates_Call_List_PQ!Q580)</f>
        <v>38660</v>
      </c>
      <c r="R580" s="57" t="str">
        <f>IF(Associates_Call_List_PQ!R580="","",Associates_Call_List_PQ!R580)</f>
        <v>-</v>
      </c>
      <c r="S580" s="57" t="str">
        <f>IF(Associates_Call_List_PQ!S580="","",Associates_Call_List_PQ!S580)</f>
        <v/>
      </c>
      <c r="T580" s="57" t="str">
        <f>IF(Associates_Call_List_PQ!T580="","",Associates_Call_List_PQ!T580)</f>
        <v/>
      </c>
      <c r="U580" s="57" t="str">
        <f>IF(Associates_Call_List_PQ!U580="","",Associates_Call_List_PQ!U580)</f>
        <v/>
      </c>
      <c r="V580" s="68" t="s">
        <v>5433</v>
      </c>
      <c r="W580" s="68">
        <v>46060</v>
      </c>
      <c r="X580" s="68" t="s">
        <v>5405</v>
      </c>
      <c r="Y580" s="68" t="s">
        <v>5461</v>
      </c>
      <c r="Z580" s="72" t="s">
        <v>5622</v>
      </c>
    </row>
    <row r="581" spans="1:26">
      <c r="A581" s="71">
        <f>IFERROR(Associates_Call_List_PQ!A581,"")</f>
        <v>45905</v>
      </c>
      <c r="B581" s="57" t="str">
        <f>IF(Associates_Call_List_PQ!B581="","",Associates_Call_List_PQ!B581)</f>
        <v>Armenta</v>
      </c>
      <c r="C581" s="57" t="str">
        <f>IF(Associates_Call_List_PQ!C581="","",Associates_Call_List_PQ!C581)</f>
        <v>Xavier</v>
      </c>
      <c r="D581" s="57" t="str">
        <f>IF(Associates_Call_List_PQ!D581="","",Associates_Call_List_PQ!D581)</f>
        <v>Phoenix</v>
      </c>
      <c r="E581" s="58">
        <f>IF(Associates_Call_List_PQ!E581="","",Associates_Call_List_PQ!E581)</f>
        <v>85008</v>
      </c>
      <c r="F581" s="57" t="str">
        <f>IF(Associates_Call_List_PQ!F581="","",Associates_Call_List_PQ!F581)</f>
        <v>Opposed</v>
      </c>
      <c r="G581" s="57" t="str">
        <f>IF(Associates_Call_List_PQ!G581="","",Associates_Call_List_PQ!G581)</f>
        <v>https://docket.images.azcc.gov/E000046235.pdf</v>
      </c>
      <c r="H581" s="59" t="str">
        <f>IF(Associates_Call_List_PQ!H581="","",Associates_Call_List_PQ!H581)</f>
        <v xml:space="preserve">2649331000 </v>
      </c>
      <c r="I581" s="57" t="str">
        <f>IF(Associates_Call_List_PQ!I581="","",Associates_Call_List_PQ!I581)</f>
        <v>RTOUE47</v>
      </c>
      <c r="J581" s="57" t="str">
        <f>IF(Associates_Call_List_PQ!J581="","",Associates_Call_List_PQ!J581)</f>
        <v>No</v>
      </c>
      <c r="K581" s="57" t="str">
        <f>IF(Associates_Call_List_PQ!K581="","",Associates_Call_List_PQ!K581)</f>
        <v>No</v>
      </c>
      <c r="L581" s="57" t="str">
        <f>IF(Associates_Call_List_PQ!L581="","",Associates_Call_List_PQ!L581)</f>
        <v>No MEP R3-47(860.51)</v>
      </c>
      <c r="M581" s="57" t="str">
        <f>IF(Associates_Call_List_PQ!M581="","",Associates_Call_List_PQ!M581)</f>
        <v>No</v>
      </c>
      <c r="N581" s="57" t="str">
        <f>IF(Associates_Call_List_PQ!N581="","",Associates_Call_List_PQ!N581)</f>
        <v>No</v>
      </c>
      <c r="O581" s="57" t="str">
        <f>IF(Associates_Call_List_PQ!O581="","",Associates_Call_List_PQ!O581)</f>
        <v>Yes</v>
      </c>
      <c r="P581" s="57">
        <f>IF(Associates_Call_List_PQ!P581="","",Associates_Call_List_PQ!P581)</f>
        <v>45937</v>
      </c>
      <c r="Q581" s="57">
        <f>IF(Associates_Call_List_PQ!Q581="","",Associates_Call_List_PQ!Q581)</f>
        <v>45965</v>
      </c>
      <c r="R581" s="57" t="str">
        <f>IF(Associates_Call_List_PQ!R581="","",Associates_Call_List_PQ!R581)</f>
        <v xml:space="preserve">CPR changed to MEP </v>
      </c>
      <c r="S581" s="57" t="str">
        <f>IF(Associates_Call_List_PQ!S581="","",Associates_Call_List_PQ!S581)</f>
        <v/>
      </c>
      <c r="T581" s="57" t="str">
        <f>IF(Associates_Call_List_PQ!T581="","",Associates_Call_List_PQ!T581)</f>
        <v/>
      </c>
      <c r="U581" s="57" t="str">
        <f>IF(Associates_Call_List_PQ!U581="","",Associates_Call_List_PQ!U581)</f>
        <v/>
      </c>
      <c r="V581" s="68" t="s">
        <v>5433</v>
      </c>
      <c r="W581" s="68">
        <v>46060</v>
      </c>
      <c r="X581" s="68" t="s">
        <v>5405</v>
      </c>
      <c r="Y581" s="68" t="s">
        <v>5461</v>
      </c>
      <c r="Z581" s="72" t="s">
        <v>5623</v>
      </c>
    </row>
    <row r="582" spans="1:26">
      <c r="A582" s="71">
        <f>IFERROR(Associates_Call_List_PQ!A582,"")</f>
        <v>45905</v>
      </c>
      <c r="B582" s="57" t="str">
        <f>IF(Associates_Call_List_PQ!B582="","",Associates_Call_List_PQ!B582)</f>
        <v>Agostini-Walesch</v>
      </c>
      <c r="C582" s="57" t="str">
        <f>IF(Associates_Call_List_PQ!C582="","",Associates_Call_List_PQ!C582)</f>
        <v>Erika</v>
      </c>
      <c r="D582" s="57" t="str">
        <f>IF(Associates_Call_List_PQ!D582="","",Associates_Call_List_PQ!D582)</f>
        <v>Phoenix</v>
      </c>
      <c r="E582" s="58">
        <f>IF(Associates_Call_List_PQ!E582="","",Associates_Call_List_PQ!E582)</f>
        <v>85027</v>
      </c>
      <c r="F582" s="57" t="str">
        <f>IF(Associates_Call_List_PQ!F582="","",Associates_Call_List_PQ!F582)</f>
        <v>Form letter</v>
      </c>
      <c r="G582" s="57" t="str">
        <f>IF(Associates_Call_List_PQ!G582="","",Associates_Call_List_PQ!G582)</f>
        <v>https://docket.images.azcc.gov/E000046235.pdf</v>
      </c>
      <c r="H582" s="59" t="str">
        <f>IF(Associates_Call_List_PQ!H582="","",Associates_Call_List_PQ!H582)</f>
        <v>6128271693 </v>
      </c>
      <c r="I582" s="57" t="str">
        <f>IF(Associates_Call_List_PQ!I582="","",Associates_Call_List_PQ!I582)</f>
        <v>R-2</v>
      </c>
      <c r="J582" s="57" t="str">
        <f>IF(Associates_Call_List_PQ!J582="","",Associates_Call_List_PQ!J582)</f>
        <v>No</v>
      </c>
      <c r="K582" s="57" t="str">
        <f>IF(Associates_Call_List_PQ!K582="","",Associates_Call_List_PQ!K582)</f>
        <v>No</v>
      </c>
      <c r="L582" s="57" t="str">
        <f>IF(Associates_Call_List_PQ!L582="","",Associates_Call_List_PQ!L582)</f>
        <v>Frozen Rate</v>
      </c>
      <c r="M582" s="57" t="str">
        <f>IF(Associates_Call_List_PQ!M582="","",Associates_Call_List_PQ!M582)</f>
        <v>No</v>
      </c>
      <c r="N582" s="57" t="str">
        <f>IF(Associates_Call_List_PQ!N582="","",Associates_Call_List_PQ!N582)</f>
        <v>No</v>
      </c>
      <c r="O582" s="57" t="str">
        <f>IF(Associates_Call_List_PQ!O582="","",Associates_Call_List_PQ!O582)</f>
        <v>Yes</v>
      </c>
      <c r="P582" s="57" t="str">
        <f>IF(Associates_Call_List_PQ!P582="","",Associates_Call_List_PQ!P582)</f>
        <v>N</v>
      </c>
      <c r="Q582" s="57">
        <f>IF(Associates_Call_List_PQ!Q582="","",Associates_Call_List_PQ!Q582)</f>
        <v>45965</v>
      </c>
      <c r="R582" s="57" t="str">
        <f>IF(Associates_Call_List_PQ!R582="","",Associates_Call_List_PQ!R582)</f>
        <v/>
      </c>
      <c r="S582" s="57" t="str">
        <f>IF(Associates_Call_List_PQ!S582="","",Associates_Call_List_PQ!S582)</f>
        <v/>
      </c>
      <c r="T582" s="57" t="str">
        <f>IF(Associates_Call_List_PQ!T582="","",Associates_Call_List_PQ!T582)</f>
        <v/>
      </c>
      <c r="U582" s="57" t="str">
        <f>IF(Associates_Call_List_PQ!U582="","",Associates_Call_List_PQ!U582)</f>
        <v/>
      </c>
      <c r="V582" s="68"/>
      <c r="W582" s="68" t="s">
        <v>5432</v>
      </c>
      <c r="X582" s="68"/>
      <c r="Y582" s="68"/>
      <c r="Z582" s="72"/>
    </row>
    <row r="583" spans="1:26">
      <c r="A583" s="71">
        <f>IFERROR(Associates_Call_List_PQ!A583,"")</f>
        <v>45905</v>
      </c>
      <c r="B583" s="57" t="str">
        <f>IF(Associates_Call_List_PQ!B583="","",Associates_Call_List_PQ!B583)</f>
        <v xml:space="preserve">Kovacs </v>
      </c>
      <c r="C583" s="57" t="str">
        <f>IF(Associates_Call_List_PQ!C583="","",Associates_Call_List_PQ!C583)</f>
        <v>Ronald</v>
      </c>
      <c r="D583" s="57" t="str">
        <f>IF(Associates_Call_List_PQ!D583="","",Associates_Call_List_PQ!D583)</f>
        <v>Unknown</v>
      </c>
      <c r="E583" s="58" t="str">
        <f>IF(Associates_Call_List_PQ!E583="","",Associates_Call_List_PQ!E583)</f>
        <v>Unknown</v>
      </c>
      <c r="F583" s="57" t="str">
        <f>IF(Associates_Call_List_PQ!F583="","",Associates_Call_List_PQ!F583)</f>
        <v>Beyond reason, outrageous request</v>
      </c>
      <c r="G583" s="57" t="str">
        <f>IF(Associates_Call_List_PQ!G583="","",Associates_Call_List_PQ!G583)</f>
        <v>https://docket.images.azcc.gov/E000046235.pdf</v>
      </c>
      <c r="H583" s="59" t="str">
        <f>IF(Associates_Call_List_PQ!H583="","",Associates_Call_List_PQ!H583)</f>
        <v xml:space="preserve">4218400000 </v>
      </c>
      <c r="I583" s="57" t="str">
        <f>IF(Associates_Call_List_PQ!I583="","",Associates_Call_List_PQ!I583)</f>
        <v>R-BASIC</v>
      </c>
      <c r="J583" s="57" t="str">
        <f>IF(Associates_Call_List_PQ!J583="","",Associates_Call_List_PQ!J583)</f>
        <v>No</v>
      </c>
      <c r="K583" s="57" t="str">
        <f>IF(Associates_Call_List_PQ!K583="","",Associates_Call_List_PQ!K583)</f>
        <v>No</v>
      </c>
      <c r="L583" s="57" t="str">
        <f>IF(Associates_Call_List_PQ!L583="","",Associates_Call_List_PQ!L583)</f>
        <v>Yes</v>
      </c>
      <c r="M583" s="57" t="str">
        <f>IF(Associates_Call_List_PQ!M583="","",Associates_Call_List_PQ!M583)</f>
        <v>No</v>
      </c>
      <c r="N583" s="57" t="str">
        <f>IF(Associates_Call_List_PQ!N583="","",Associates_Call_List_PQ!N583)</f>
        <v>No</v>
      </c>
      <c r="O583" s="57" t="str">
        <f>IF(Associates_Call_List_PQ!O583="","",Associates_Call_List_PQ!O583)</f>
        <v>Yes</v>
      </c>
      <c r="P583" s="57" t="str">
        <f>IF(Associates_Call_List_PQ!P583="","",Associates_Call_List_PQ!P583)</f>
        <v>N</v>
      </c>
      <c r="Q583" s="57">
        <f>IF(Associates_Call_List_PQ!Q583="","",Associates_Call_List_PQ!Q583)</f>
        <v>45965</v>
      </c>
      <c r="R583" s="57" t="str">
        <f>IF(Associates_Call_List_PQ!R583="","",Associates_Call_List_PQ!R583)</f>
        <v/>
      </c>
      <c r="S583" s="57" t="str">
        <f>IF(Associates_Call_List_PQ!S583="","",Associates_Call_List_PQ!S583)</f>
        <v/>
      </c>
      <c r="T583" s="57" t="str">
        <f>IF(Associates_Call_List_PQ!T583="","",Associates_Call_List_PQ!T583)</f>
        <v/>
      </c>
      <c r="U583" s="57" t="str">
        <f>IF(Associates_Call_List_PQ!U583="","",Associates_Call_List_PQ!U583)</f>
        <v/>
      </c>
      <c r="V583" s="68"/>
      <c r="W583" s="68" t="s">
        <v>5432</v>
      </c>
      <c r="X583" s="68"/>
      <c r="Y583" s="68"/>
      <c r="Z583" s="72"/>
    </row>
    <row r="584" spans="1:26">
      <c r="A584" s="71">
        <f>IFERROR(Associates_Call_List_PQ!A584,"")</f>
        <v>45906</v>
      </c>
      <c r="B584" s="57" t="str">
        <f>IF(Associates_Call_List_PQ!B584="","",Associates_Call_List_PQ!B584)</f>
        <v>Borror</v>
      </c>
      <c r="C584" s="57" t="str">
        <f>IF(Associates_Call_List_PQ!C584="","",Associates_Call_List_PQ!C584)</f>
        <v>Nicholas</v>
      </c>
      <c r="D584" s="57" t="str">
        <f>IF(Associates_Call_List_PQ!D584="","",Associates_Call_List_PQ!D584)</f>
        <v>Phoenix</v>
      </c>
      <c r="E584" s="58">
        <f>IF(Associates_Call_List_PQ!E584="","",Associates_Call_List_PQ!E584)</f>
        <v>85004</v>
      </c>
      <c r="F584" s="57" t="str">
        <f>IF(Associates_Call_List_PQ!F584="","",Associates_Call_List_PQ!F584)</f>
        <v>Keep it affordable</v>
      </c>
      <c r="G584" s="57" t="str">
        <f>IF(Associates_Call_List_PQ!G584="","",Associates_Call_List_PQ!G584)</f>
        <v>https://docket.images.azcc.gov/E000046266.pdf</v>
      </c>
      <c r="H584" s="59" t="str">
        <f>IF(Associates_Call_List_PQ!H584="","",Associates_Call_List_PQ!H584)</f>
        <v xml:space="preserve">0460101000 </v>
      </c>
      <c r="I584" s="57" t="str">
        <f>IF(Associates_Call_List_PQ!I584="","",Associates_Call_List_PQ!I584)</f>
        <v>R3-47</v>
      </c>
      <c r="J584" s="57" t="str">
        <f>IF(Associates_Call_List_PQ!J584="","",Associates_Call_List_PQ!J584)</f>
        <v>No</v>
      </c>
      <c r="K584" s="57" t="str">
        <f>IF(Associates_Call_List_PQ!K584="","",Associates_Call_List_PQ!K584)</f>
        <v>No</v>
      </c>
      <c r="L584" s="57" t="str">
        <f>IF(Associates_Call_List_PQ!L584="","",Associates_Call_List_PQ!L584)</f>
        <v>Yes</v>
      </c>
      <c r="M584" s="57" t="str">
        <f>IF(Associates_Call_List_PQ!M584="","",Associates_Call_List_PQ!M584)</f>
        <v>No</v>
      </c>
      <c r="N584" s="57" t="str">
        <f>IF(Associates_Call_List_PQ!N584="","",Associates_Call_List_PQ!N584)</f>
        <v>No</v>
      </c>
      <c r="O584" s="57" t="str">
        <f>IF(Associates_Call_List_PQ!O584="","",Associates_Call_List_PQ!O584)</f>
        <v>Yes</v>
      </c>
      <c r="P584" s="57" t="str">
        <f>IF(Associates_Call_List_PQ!P584="","",Associates_Call_List_PQ!P584)</f>
        <v>N</v>
      </c>
      <c r="Q584" s="57">
        <f>IF(Associates_Call_List_PQ!Q584="","",Associates_Call_List_PQ!Q584)</f>
        <v>45965</v>
      </c>
      <c r="R584" s="57" t="str">
        <f>IF(Associates_Call_List_PQ!R584="","",Associates_Call_List_PQ!R584)</f>
        <v/>
      </c>
      <c r="S584" s="57" t="str">
        <f>IF(Associates_Call_List_PQ!S584="","",Associates_Call_List_PQ!S584)</f>
        <v/>
      </c>
      <c r="T584" s="57" t="str">
        <f>IF(Associates_Call_List_PQ!T584="","",Associates_Call_List_PQ!T584)</f>
        <v/>
      </c>
      <c r="U584" s="57" t="str">
        <f>IF(Associates_Call_List_PQ!U584="","",Associates_Call_List_PQ!U584)</f>
        <v/>
      </c>
      <c r="V584" s="68"/>
      <c r="W584" s="68" t="s">
        <v>5432</v>
      </c>
      <c r="X584" s="68"/>
      <c r="Y584" s="68"/>
      <c r="Z584" s="72"/>
    </row>
    <row r="585" spans="1:26">
      <c r="A585" s="71">
        <f>IFERROR(Associates_Call_List_PQ!A585,"")</f>
        <v>45906</v>
      </c>
      <c r="B585" s="57" t="str">
        <f>IF(Associates_Call_List_PQ!B585="","",Associates_Call_List_PQ!B585)</f>
        <v>Horne</v>
      </c>
      <c r="C585" s="57" t="str">
        <f>IF(Associates_Call_List_PQ!C585="","",Associates_Call_List_PQ!C585)</f>
        <v>Matt</v>
      </c>
      <c r="D585" s="57" t="str">
        <f>IF(Associates_Call_List_PQ!D585="","",Associates_Call_List_PQ!D585)</f>
        <v>Phoenix</v>
      </c>
      <c r="E585" s="58">
        <f>IF(Associates_Call_List_PQ!E585="","",Associates_Call_List_PQ!E585)</f>
        <v>85022</v>
      </c>
      <c r="F585" s="57" t="str">
        <f>IF(Associates_Call_List_PQ!F585="","",Associates_Call_List_PQ!F585)</f>
        <v>Form letter</v>
      </c>
      <c r="G585" s="57" t="str">
        <f>IF(Associates_Call_List_PQ!G585="","",Associates_Call_List_PQ!G585)</f>
        <v>https://docket.images.azcc.gov/E000046266.pdf</v>
      </c>
      <c r="H585" s="59" t="str">
        <f>IF(Associates_Call_List_PQ!H585="","",Associates_Call_List_PQ!H585)</f>
        <v xml:space="preserve">8598239302 </v>
      </c>
      <c r="I585" s="57" t="str">
        <f>IF(Associates_Call_List_PQ!I585="","",Associates_Call_List_PQ!I585)</f>
        <v>RTOUE47</v>
      </c>
      <c r="J585" s="57" t="str">
        <f>IF(Associates_Call_List_PQ!J585="","",Associates_Call_List_PQ!J585)</f>
        <v>No</v>
      </c>
      <c r="K585" s="57" t="str">
        <f>IF(Associates_Call_List_PQ!K585="","",Associates_Call_List_PQ!K585)</f>
        <v>No</v>
      </c>
      <c r="L585" s="57" t="str">
        <f>IF(Associates_Call_List_PQ!L585="","",Associates_Call_List_PQ!L585)</f>
        <v>No MEP R3-47($84.78)</v>
      </c>
      <c r="M585" s="57" t="str">
        <f>IF(Associates_Call_List_PQ!M585="","",Associates_Call_List_PQ!M585)</f>
        <v>No</v>
      </c>
      <c r="N585" s="57" t="str">
        <f>IF(Associates_Call_List_PQ!N585="","",Associates_Call_List_PQ!N585)</f>
        <v>No</v>
      </c>
      <c r="O585" s="57" t="str">
        <f>IF(Associates_Call_List_PQ!O585="","",Associates_Call_List_PQ!O585)</f>
        <v>Yes</v>
      </c>
      <c r="P585" s="57" t="str">
        <f>IF(Associates_Call_List_PQ!P585="","",Associates_Call_List_PQ!P585)</f>
        <v>N</v>
      </c>
      <c r="Q585" s="57">
        <f>IF(Associates_Call_List_PQ!Q585="","",Associates_Call_List_PQ!Q585)</f>
        <v>45965</v>
      </c>
      <c r="R585" s="57" t="str">
        <f>IF(Associates_Call_List_PQ!R585="","",Associates_Call_List_PQ!R585)</f>
        <v/>
      </c>
      <c r="S585" s="57" t="str">
        <f>IF(Associates_Call_List_PQ!S585="","",Associates_Call_List_PQ!S585)</f>
        <v/>
      </c>
      <c r="T585" s="57" t="str">
        <f>IF(Associates_Call_List_PQ!T585="","",Associates_Call_List_PQ!T585)</f>
        <v/>
      </c>
      <c r="U585" s="57" t="str">
        <f>IF(Associates_Call_List_PQ!U585="","",Associates_Call_List_PQ!U585)</f>
        <v/>
      </c>
      <c r="V585" s="68" t="s">
        <v>5433</v>
      </c>
      <c r="W585" s="68">
        <v>46046</v>
      </c>
      <c r="X585" s="68" t="s">
        <v>5405</v>
      </c>
      <c r="Y585" s="68" t="s">
        <v>5461</v>
      </c>
      <c r="Z585" s="72" t="s">
        <v>5619</v>
      </c>
    </row>
    <row r="586" spans="1:26">
      <c r="A586" s="71">
        <f>IFERROR(Associates_Call_List_PQ!A586,"")</f>
        <v>45906</v>
      </c>
      <c r="B586" s="57" t="str">
        <f>IF(Associates_Call_List_PQ!B586="","",Associates_Call_List_PQ!B586)</f>
        <v>Ferguson</v>
      </c>
      <c r="C586" s="57" t="str">
        <f>IF(Associates_Call_List_PQ!C586="","",Associates_Call_List_PQ!C586)</f>
        <v>Ken</v>
      </c>
      <c r="D586" s="57" t="str">
        <f>IF(Associates_Call_List_PQ!D586="","",Associates_Call_List_PQ!D586)</f>
        <v>Scottsdale</v>
      </c>
      <c r="E586" s="58">
        <f>IF(Associates_Call_List_PQ!E586="","",Associates_Call_List_PQ!E586)</f>
        <v>85260</v>
      </c>
      <c r="F586" s="57" t="str">
        <f>IF(Associates_Call_List_PQ!F586="","",Associates_Call_List_PQ!F586)</f>
        <v>Form letter</v>
      </c>
      <c r="G586" s="57" t="str">
        <f>IF(Associates_Call_List_PQ!G586="","",Associates_Call_List_PQ!G586)</f>
        <v>https://docket.images.azcc.gov/E000046266.pdf</v>
      </c>
      <c r="H586" s="59" t="str">
        <f>IF(Associates_Call_List_PQ!H586="","",Associates_Call_List_PQ!H586)</f>
        <v xml:space="preserve">5554267371 </v>
      </c>
      <c r="I586" s="57" t="str">
        <f>IF(Associates_Call_List_PQ!I586="","",Associates_Call_List_PQ!I586)</f>
        <v>R3-47</v>
      </c>
      <c r="J586" s="57" t="str">
        <f>IF(Associates_Call_List_PQ!J586="","",Associates_Call_List_PQ!J586)</f>
        <v>No</v>
      </c>
      <c r="K586" s="57" t="str">
        <f>IF(Associates_Call_List_PQ!K586="","",Associates_Call_List_PQ!K586)</f>
        <v>No</v>
      </c>
      <c r="L586" s="57" t="str">
        <f>IF(Associates_Call_List_PQ!L586="","",Associates_Call_List_PQ!L586)</f>
        <v>Yes</v>
      </c>
      <c r="M586" s="57" t="str">
        <f>IF(Associates_Call_List_PQ!M586="","",Associates_Call_List_PQ!M586)</f>
        <v>No</v>
      </c>
      <c r="N586" s="57" t="str">
        <f>IF(Associates_Call_List_PQ!N586="","",Associates_Call_List_PQ!N586)</f>
        <v>No</v>
      </c>
      <c r="O586" s="57" t="str">
        <f>IF(Associates_Call_List_PQ!O586="","",Associates_Call_List_PQ!O586)</f>
        <v>Yes</v>
      </c>
      <c r="P586" s="57" t="str">
        <f>IF(Associates_Call_List_PQ!P586="","",Associates_Call_List_PQ!P586)</f>
        <v>N</v>
      </c>
      <c r="Q586" s="57">
        <f>IF(Associates_Call_List_PQ!Q586="","",Associates_Call_List_PQ!Q586)</f>
        <v>45965</v>
      </c>
      <c r="R586" s="57" t="str">
        <f>IF(Associates_Call_List_PQ!R586="","",Associates_Call_List_PQ!R586)</f>
        <v/>
      </c>
      <c r="S586" s="57" t="str">
        <f>IF(Associates_Call_List_PQ!S586="","",Associates_Call_List_PQ!S586)</f>
        <v/>
      </c>
      <c r="T586" s="57" t="str">
        <f>IF(Associates_Call_List_PQ!T586="","",Associates_Call_List_PQ!T586)</f>
        <v/>
      </c>
      <c r="U586" s="57" t="str">
        <f>IF(Associates_Call_List_PQ!U586="","",Associates_Call_List_PQ!U586)</f>
        <v/>
      </c>
      <c r="V586" s="68"/>
      <c r="W586" s="68" t="s">
        <v>5432</v>
      </c>
      <c r="X586" s="68"/>
      <c r="Y586" s="68"/>
      <c r="Z586" s="72"/>
    </row>
    <row r="587" spans="1:26">
      <c r="A587" s="71">
        <f>IFERROR(Associates_Call_List_PQ!A587,"")</f>
        <v>45906</v>
      </c>
      <c r="B587" s="57" t="str">
        <f>IF(Associates_Call_List_PQ!B587="","",Associates_Call_List_PQ!B587)</f>
        <v>Cobb</v>
      </c>
      <c r="C587" s="57" t="str">
        <f>IF(Associates_Call_List_PQ!C587="","",Associates_Call_List_PQ!C587)</f>
        <v>Ian</v>
      </c>
      <c r="D587" s="57" t="str">
        <f>IF(Associates_Call_List_PQ!D587="","",Associates_Call_List_PQ!D587)</f>
        <v>Phoenix</v>
      </c>
      <c r="E587" s="58">
        <f>IF(Associates_Call_List_PQ!E587="","",Associates_Call_List_PQ!E587)</f>
        <v>85016</v>
      </c>
      <c r="F587" s="57" t="str">
        <f>IF(Associates_Call_List_PQ!F587="","",Associates_Call_List_PQ!F587)</f>
        <v>People are already hurting</v>
      </c>
      <c r="G587" s="57" t="str">
        <f>IF(Associates_Call_List_PQ!G587="","",Associates_Call_List_PQ!G587)</f>
        <v>https://docket.images.azcc.gov/E000046266.pdf</v>
      </c>
      <c r="H587" s="59" t="str">
        <f>IF(Associates_Call_List_PQ!H587="","",Associates_Call_List_PQ!H587)</f>
        <v xml:space="preserve">4656135575 </v>
      </c>
      <c r="I587" s="57" t="str">
        <f>IF(Associates_Call_List_PQ!I587="","",Associates_Call_List_PQ!I587)</f>
        <v>R-BASIC</v>
      </c>
      <c r="J587" s="57" t="str">
        <f>IF(Associates_Call_List_PQ!J587="","",Associates_Call_List_PQ!J587)</f>
        <v>No</v>
      </c>
      <c r="K587" s="57" t="str">
        <f>IF(Associates_Call_List_PQ!K587="","",Associates_Call_List_PQ!K587)</f>
        <v>No</v>
      </c>
      <c r="L587" s="57" t="str">
        <f>IF(Associates_Call_List_PQ!L587="","",Associates_Call_List_PQ!L587)</f>
        <v>Yes</v>
      </c>
      <c r="M587" s="57" t="str">
        <f>IF(Associates_Call_List_PQ!M587="","",Associates_Call_List_PQ!M587)</f>
        <v>No</v>
      </c>
      <c r="N587" s="57" t="str">
        <f>IF(Associates_Call_List_PQ!N587="","",Associates_Call_List_PQ!N587)</f>
        <v>No</v>
      </c>
      <c r="O587" s="57" t="str">
        <f>IF(Associates_Call_List_PQ!O587="","",Associates_Call_List_PQ!O587)</f>
        <v>Yes</v>
      </c>
      <c r="P587" s="57" t="str">
        <f>IF(Associates_Call_List_PQ!P587="","",Associates_Call_List_PQ!P587)</f>
        <v>N</v>
      </c>
      <c r="Q587" s="57">
        <f>IF(Associates_Call_List_PQ!Q587="","",Associates_Call_List_PQ!Q587)</f>
        <v>45965</v>
      </c>
      <c r="R587" s="57" t="str">
        <f>IF(Associates_Call_List_PQ!R587="","",Associates_Call_List_PQ!R587)</f>
        <v/>
      </c>
      <c r="S587" s="57" t="str">
        <f>IF(Associates_Call_List_PQ!S587="","",Associates_Call_List_PQ!S587)</f>
        <v/>
      </c>
      <c r="T587" s="57" t="str">
        <f>IF(Associates_Call_List_PQ!T587="","",Associates_Call_List_PQ!T587)</f>
        <v/>
      </c>
      <c r="U587" s="57" t="str">
        <f>IF(Associates_Call_List_PQ!U587="","",Associates_Call_List_PQ!U587)</f>
        <v/>
      </c>
      <c r="V587" s="68"/>
      <c r="W587" s="68" t="s">
        <v>5432</v>
      </c>
      <c r="X587" s="68"/>
      <c r="Y587" s="68"/>
      <c r="Z587" s="72"/>
    </row>
    <row r="588" spans="1:26">
      <c r="A588" s="71">
        <f>IFERROR(Associates_Call_List_PQ!A588,"")</f>
        <v>45906</v>
      </c>
      <c r="B588" s="57" t="str">
        <f>IF(Associates_Call_List_PQ!B588="","",Associates_Call_List_PQ!B588)</f>
        <v>Pray</v>
      </c>
      <c r="C588" s="57" t="str">
        <f>IF(Associates_Call_List_PQ!C588="","",Associates_Call_List_PQ!C588)</f>
        <v>Lisa</v>
      </c>
      <c r="D588" s="57" t="str">
        <f>IF(Associates_Call_List_PQ!D588="","",Associates_Call_List_PQ!D588)</f>
        <v>Phoenix</v>
      </c>
      <c r="E588" s="58">
        <f>IF(Associates_Call_List_PQ!E588="","",Associates_Call_List_PQ!E588)</f>
        <v>37204</v>
      </c>
      <c r="F588" s="57" t="str">
        <f>IF(Associates_Call_List_PQ!F588="","",Associates_Call_List_PQ!F588)</f>
        <v>Object to charging residential customer for the power needs of AI &amp; IT</v>
      </c>
      <c r="G588" s="57" t="str">
        <f>IF(Associates_Call_List_PQ!G588="","",Associates_Call_List_PQ!G588)</f>
        <v>https://docket.images.azcc.gov/E000046266.pdf</v>
      </c>
      <c r="H588" s="59" t="str">
        <f>IF(Associates_Call_List_PQ!H588="","",Associates_Call_List_PQ!H588)</f>
        <v xml:space="preserve">7871459753 </v>
      </c>
      <c r="I588" s="57" t="str">
        <f>IF(Associates_Call_List_PQ!I588="","",Associates_Call_List_PQ!I588)</f>
        <v>R-2</v>
      </c>
      <c r="J588" s="57" t="str">
        <f>IF(Associates_Call_List_PQ!J588="","",Associates_Call_List_PQ!J588)</f>
        <v>No</v>
      </c>
      <c r="K588" s="57" t="str">
        <f>IF(Associates_Call_List_PQ!K588="","",Associates_Call_List_PQ!K588)</f>
        <v>No</v>
      </c>
      <c r="L588" s="57" t="str">
        <f>IF(Associates_Call_List_PQ!L588="","",Associates_Call_List_PQ!L588)</f>
        <v>Frozen Rate</v>
      </c>
      <c r="M588" s="57" t="str">
        <f>IF(Associates_Call_List_PQ!M588="","",Associates_Call_List_PQ!M588)</f>
        <v>No</v>
      </c>
      <c r="N588" s="57" t="str">
        <f>IF(Associates_Call_List_PQ!N588="","",Associates_Call_List_PQ!N588)</f>
        <v>No</v>
      </c>
      <c r="O588" s="57" t="str">
        <f>IF(Associates_Call_List_PQ!O588="","",Associates_Call_List_PQ!O588)</f>
        <v>Yes</v>
      </c>
      <c r="P588" s="57" t="str">
        <f>IF(Associates_Call_List_PQ!P588="","",Associates_Call_List_PQ!P588)</f>
        <v>N</v>
      </c>
      <c r="Q588" s="57">
        <f>IF(Associates_Call_List_PQ!Q588="","",Associates_Call_List_PQ!Q588)</f>
        <v>45965</v>
      </c>
      <c r="R588" s="57" t="str">
        <f>IF(Associates_Call_List_PQ!R588="","",Associates_Call_List_PQ!R588)</f>
        <v/>
      </c>
      <c r="S588" s="57" t="str">
        <f>IF(Associates_Call_List_PQ!S588="","",Associates_Call_List_PQ!S588)</f>
        <v/>
      </c>
      <c r="T588" s="57" t="str">
        <f>IF(Associates_Call_List_PQ!T588="","",Associates_Call_List_PQ!T588)</f>
        <v/>
      </c>
      <c r="U588" s="57" t="str">
        <f>IF(Associates_Call_List_PQ!U588="","",Associates_Call_List_PQ!U588)</f>
        <v>filed 2x on this day</v>
      </c>
      <c r="V588" s="68"/>
      <c r="W588" s="68" t="s">
        <v>5432</v>
      </c>
      <c r="X588" s="68"/>
      <c r="Y588" s="68"/>
      <c r="Z588" s="72"/>
    </row>
    <row r="589" spans="1:26">
      <c r="A589" s="71">
        <f>IFERROR(Associates_Call_List_PQ!A589,"")</f>
        <v>45906</v>
      </c>
      <c r="B589" s="57" t="str">
        <f>IF(Associates_Call_List_PQ!B589="","",Associates_Call_List_PQ!B589)</f>
        <v xml:space="preserve">Scheid </v>
      </c>
      <c r="C589" s="57" t="str">
        <f>IF(Associates_Call_List_PQ!C589="","",Associates_Call_List_PQ!C589)</f>
        <v>Dennis</v>
      </c>
      <c r="D589" s="57" t="str">
        <f>IF(Associates_Call_List_PQ!D589="","",Associates_Call_List_PQ!D589)</f>
        <v>Payson</v>
      </c>
      <c r="E589" s="58">
        <f>IF(Associates_Call_List_PQ!E589="","",Associates_Call_List_PQ!E589)</f>
        <v>85541</v>
      </c>
      <c r="F589" s="57" t="str">
        <f>IF(Associates_Call_List_PQ!F589="","",Associates_Call_List_PQ!F589)</f>
        <v>Opposed, need oversight on their contractors</v>
      </c>
      <c r="G589" s="57" t="str">
        <f>IF(Associates_Call_List_PQ!G589="","",Associates_Call_List_PQ!G589)</f>
        <v>https://docket.images.azcc.gov/E000046266.pdf</v>
      </c>
      <c r="H589" s="59" t="str">
        <f>IF(Associates_Call_List_PQ!H589="","",Associates_Call_List_PQ!H589)</f>
        <v xml:space="preserve">8270011000 </v>
      </c>
      <c r="I589" s="57" t="str">
        <f>IF(Associates_Call_List_PQ!I589="","",Associates_Call_List_PQ!I589)</f>
        <v>R3-47</v>
      </c>
      <c r="J589" s="57" t="str">
        <f>IF(Associates_Call_List_PQ!J589="","",Associates_Call_List_PQ!J589)</f>
        <v>No</v>
      </c>
      <c r="K589" s="57" t="str">
        <f>IF(Associates_Call_List_PQ!K589="","",Associates_Call_List_PQ!K589)</f>
        <v>No</v>
      </c>
      <c r="L589" s="57" t="str">
        <f>IF(Associates_Call_List_PQ!L589="","",Associates_Call_List_PQ!L589)</f>
        <v>Yes</v>
      </c>
      <c r="M589" s="57" t="str">
        <f>IF(Associates_Call_List_PQ!M589="","",Associates_Call_List_PQ!M589)</f>
        <v>No</v>
      </c>
      <c r="N589" s="57" t="str">
        <f>IF(Associates_Call_List_PQ!N589="","",Associates_Call_List_PQ!N589)</f>
        <v>No</v>
      </c>
      <c r="O589" s="57" t="str">
        <f>IF(Associates_Call_List_PQ!O589="","",Associates_Call_List_PQ!O589)</f>
        <v>Yes</v>
      </c>
      <c r="P589" s="57" t="str">
        <f>IF(Associates_Call_List_PQ!P589="","",Associates_Call_List_PQ!P589)</f>
        <v>N</v>
      </c>
      <c r="Q589" s="57">
        <f>IF(Associates_Call_List_PQ!Q589="","",Associates_Call_List_PQ!Q589)</f>
        <v>45965</v>
      </c>
      <c r="R589" s="57" t="str">
        <f>IF(Associates_Call_List_PQ!R589="","",Associates_Call_List_PQ!R589)</f>
        <v/>
      </c>
      <c r="S589" s="57" t="str">
        <f>IF(Associates_Call_List_PQ!S589="","",Associates_Call_List_PQ!S589)</f>
        <v/>
      </c>
      <c r="T589" s="57" t="str">
        <f>IF(Associates_Call_List_PQ!T589="","",Associates_Call_List_PQ!T589)</f>
        <v/>
      </c>
      <c r="U589" s="57" t="str">
        <f>IF(Associates_Call_List_PQ!U589="","",Associates_Call_List_PQ!U589)</f>
        <v/>
      </c>
      <c r="V589" s="68"/>
      <c r="W589" s="68" t="s">
        <v>5432</v>
      </c>
      <c r="X589" s="68"/>
      <c r="Y589" s="68"/>
      <c r="Z589" s="72"/>
    </row>
    <row r="590" spans="1:26">
      <c r="A590" s="71">
        <f>IFERROR(Associates_Call_List_PQ!A590,"")</f>
        <v>45906</v>
      </c>
      <c r="B590" s="57" t="str">
        <f>IF(Associates_Call_List_PQ!B590="","",Associates_Call_List_PQ!B590)</f>
        <v>Burt</v>
      </c>
      <c r="C590" s="57" t="str">
        <f>IF(Associates_Call_List_PQ!C590="","",Associates_Call_List_PQ!C590)</f>
        <v>Gary</v>
      </c>
      <c r="D590" s="57" t="str">
        <f>IF(Associates_Call_List_PQ!D590="","",Associates_Call_List_PQ!D590)</f>
        <v xml:space="preserve">Sun City </v>
      </c>
      <c r="E590" s="58">
        <f>IF(Associates_Call_List_PQ!E590="","",Associates_Call_List_PQ!E590)</f>
        <v>85373</v>
      </c>
      <c r="F590" s="57" t="str">
        <f>IF(Associates_Call_List_PQ!F590="","",Associates_Call_List_PQ!F590)</f>
        <v>On the backs of struggling seniors statewide</v>
      </c>
      <c r="G590" s="57" t="str">
        <f>IF(Associates_Call_List_PQ!G590="","",Associates_Call_List_PQ!G590)</f>
        <v>https://docket.images.azcc.gov/E000046266.pdf</v>
      </c>
      <c r="H590" s="59" t="str">
        <f>IF(Associates_Call_List_PQ!H590="","",Associates_Call_List_PQ!H590)</f>
        <v xml:space="preserve">0949968967 </v>
      </c>
      <c r="I590" s="57" t="str">
        <f>IF(Associates_Call_List_PQ!I590="","",Associates_Call_List_PQ!I590)</f>
        <v>RCPw/RTOUE47</v>
      </c>
      <c r="J590" s="57" t="str">
        <f>IF(Associates_Call_List_PQ!J590="","",Associates_Call_List_PQ!J590)</f>
        <v>No</v>
      </c>
      <c r="K590" s="57" t="str">
        <f>IF(Associates_Call_List_PQ!K590="","",Associates_Call_List_PQ!K590)</f>
        <v>No</v>
      </c>
      <c r="L590" s="57" t="str">
        <f>IF(Associates_Call_List_PQ!L590="","",Associates_Call_List_PQ!L590)</f>
        <v>Yes</v>
      </c>
      <c r="M590" s="57" t="str">
        <f>IF(Associates_Call_List_PQ!M590="","",Associates_Call_List_PQ!M590)</f>
        <v>No</v>
      </c>
      <c r="N590" s="57" t="str">
        <f>IF(Associates_Call_List_PQ!N590="","",Associates_Call_List_PQ!N590)</f>
        <v>No</v>
      </c>
      <c r="O590" s="57" t="str">
        <f>IF(Associates_Call_List_PQ!O590="","",Associates_Call_List_PQ!O590)</f>
        <v>Yes</v>
      </c>
      <c r="P590" s="57" t="str">
        <f>IF(Associates_Call_List_PQ!P590="","",Associates_Call_List_PQ!P590)</f>
        <v>N</v>
      </c>
      <c r="Q590" s="57">
        <f>IF(Associates_Call_List_PQ!Q590="","",Associates_Call_List_PQ!Q590)</f>
        <v>45965</v>
      </c>
      <c r="R590" s="57" t="str">
        <f>IF(Associates_Call_List_PQ!R590="","",Associates_Call_List_PQ!R590)</f>
        <v/>
      </c>
      <c r="S590" s="57" t="str">
        <f>IF(Associates_Call_List_PQ!S590="","",Associates_Call_List_PQ!S590)</f>
        <v/>
      </c>
      <c r="T590" s="57" t="str">
        <f>IF(Associates_Call_List_PQ!T590="","",Associates_Call_List_PQ!T590)</f>
        <v/>
      </c>
      <c r="U590" s="57" t="str">
        <f>IF(Associates_Call_List_PQ!U590="","",Associates_Call_List_PQ!U590)</f>
        <v/>
      </c>
      <c r="V590" s="68"/>
      <c r="W590" s="68" t="s">
        <v>5432</v>
      </c>
      <c r="X590" s="68"/>
      <c r="Y590" s="68"/>
      <c r="Z590" s="72"/>
    </row>
    <row r="591" spans="1:26">
      <c r="A591" s="71">
        <f>IFERROR(Associates_Call_List_PQ!A591,"")</f>
        <v>45906</v>
      </c>
      <c r="B591" s="57" t="str">
        <f>IF(Associates_Call_List_PQ!B591="","",Associates_Call_List_PQ!B591)</f>
        <v>Toma</v>
      </c>
      <c r="C591" s="57" t="str">
        <f>IF(Associates_Call_List_PQ!C591="","",Associates_Call_List_PQ!C591)</f>
        <v>Ramiz</v>
      </c>
      <c r="D591" s="57" t="str">
        <f>IF(Associates_Call_List_PQ!D591="","",Associates_Call_List_PQ!D591)</f>
        <v>Phoenix</v>
      </c>
      <c r="E591" s="58">
        <f>IF(Associates_Call_List_PQ!E591="","",Associates_Call_List_PQ!E591)</f>
        <v>85029</v>
      </c>
      <c r="F591" s="57" t="str">
        <f>IF(Associates_Call_List_PQ!F591="","",Associates_Call_List_PQ!F591)</f>
        <v>opposed</v>
      </c>
      <c r="G591" s="57" t="str">
        <f>IF(Associates_Call_List_PQ!G591="","",Associates_Call_List_PQ!G591)</f>
        <v>https://docket.images.azcc.gov/E000046266.pdf</v>
      </c>
      <c r="H591" s="59" t="str">
        <f>IF(Associates_Call_List_PQ!H591="","",Associates_Call_List_PQ!H591)</f>
        <v xml:space="preserve">5463797477 </v>
      </c>
      <c r="I591" s="57" t="str">
        <f>IF(Associates_Call_List_PQ!I591="","",Associates_Call_List_PQ!I591)</f>
        <v>R-BASIC</v>
      </c>
      <c r="J591" s="57" t="str">
        <f>IF(Associates_Call_List_PQ!J591="","",Associates_Call_List_PQ!J591)</f>
        <v>No</v>
      </c>
      <c r="K591" s="57" t="str">
        <f>IF(Associates_Call_List_PQ!K591="","",Associates_Call_List_PQ!K591)</f>
        <v>No</v>
      </c>
      <c r="L591" s="57" t="str">
        <f>IF(Associates_Call_List_PQ!L591="","",Associates_Call_List_PQ!L591)</f>
        <v>Yes</v>
      </c>
      <c r="M591" s="57" t="str">
        <f>IF(Associates_Call_List_PQ!M591="","",Associates_Call_List_PQ!M591)</f>
        <v>No</v>
      </c>
      <c r="N591" s="57" t="str">
        <f>IF(Associates_Call_List_PQ!N591="","",Associates_Call_List_PQ!N591)</f>
        <v>No</v>
      </c>
      <c r="O591" s="57" t="str">
        <f>IF(Associates_Call_List_PQ!O591="","",Associates_Call_List_PQ!O591)</f>
        <v>Yes</v>
      </c>
      <c r="P591" s="57" t="str">
        <f>IF(Associates_Call_List_PQ!P591="","",Associates_Call_List_PQ!P591)</f>
        <v>N</v>
      </c>
      <c r="Q591" s="57">
        <f>IF(Associates_Call_List_PQ!Q591="","",Associates_Call_List_PQ!Q591)</f>
        <v>45965</v>
      </c>
      <c r="R591" s="57" t="str">
        <f>IF(Associates_Call_List_PQ!R591="","",Associates_Call_List_PQ!R591)</f>
        <v/>
      </c>
      <c r="S591" s="57" t="str">
        <f>IF(Associates_Call_List_PQ!S591="","",Associates_Call_List_PQ!S591)</f>
        <v/>
      </c>
      <c r="T591" s="57" t="str">
        <f>IF(Associates_Call_List_PQ!T591="","",Associates_Call_List_PQ!T591)</f>
        <v/>
      </c>
      <c r="U591" s="57" t="str">
        <f>IF(Associates_Call_List_PQ!U591="","",Associates_Call_List_PQ!U591)</f>
        <v/>
      </c>
      <c r="V591" s="68"/>
      <c r="W591" s="68" t="s">
        <v>5432</v>
      </c>
      <c r="X591" s="68"/>
      <c r="Y591" s="68"/>
      <c r="Z591" s="72"/>
    </row>
    <row r="592" spans="1:26">
      <c r="A592" s="71">
        <f>IFERROR(Associates_Call_List_PQ!A592,"")</f>
        <v>45906</v>
      </c>
      <c r="B592" s="57" t="str">
        <f>IF(Associates_Call_List_PQ!B592="","",Associates_Call_List_PQ!B592)</f>
        <v>Hochgraver</v>
      </c>
      <c r="C592" s="57" t="str">
        <f>IF(Associates_Call_List_PQ!C592="","",Associates_Call_List_PQ!C592)</f>
        <v>Jeremy</v>
      </c>
      <c r="D592" s="57" t="str">
        <f>IF(Associates_Call_List_PQ!D592="","",Associates_Call_List_PQ!D592)</f>
        <v>Scottsdale</v>
      </c>
      <c r="E592" s="58">
        <f>IF(Associates_Call_List_PQ!E592="","",Associates_Call_List_PQ!E592)</f>
        <v>85260</v>
      </c>
      <c r="F592" s="57" t="str">
        <f>IF(Associates_Call_List_PQ!F592="","",Associates_Call_List_PQ!F592)</f>
        <v>Opposed</v>
      </c>
      <c r="G592" s="57" t="str">
        <f>IF(Associates_Call_List_PQ!G592="","",Associates_Call_List_PQ!G592)</f>
        <v>https://docket.images.azcc.gov/E000046266.pdf</v>
      </c>
      <c r="H592" s="59" t="str">
        <f>IF(Associates_Call_List_PQ!H592="","",Associates_Call_List_PQ!H592)</f>
        <v xml:space="preserve">5485214420 </v>
      </c>
      <c r="I592" s="57" t="str">
        <f>IF(Associates_Call_List_PQ!I592="","",Associates_Call_List_PQ!I592)</f>
        <v>RTOUE47</v>
      </c>
      <c r="J592" s="57" t="str">
        <f>IF(Associates_Call_List_PQ!J592="","",Associates_Call_List_PQ!J592)</f>
        <v>No</v>
      </c>
      <c r="K592" s="57" t="str">
        <f>IF(Associates_Call_List_PQ!K592="","",Associates_Call_List_PQ!K592)</f>
        <v>No</v>
      </c>
      <c r="L592" s="57" t="str">
        <f>IF(Associates_Call_List_PQ!L592="","",Associates_Call_List_PQ!L592)</f>
        <v>No MEP R3-47($285.34)</v>
      </c>
      <c r="M592" s="57" t="str">
        <f>IF(Associates_Call_List_PQ!M592="","",Associates_Call_List_PQ!M592)</f>
        <v>No</v>
      </c>
      <c r="N592" s="57" t="str">
        <f>IF(Associates_Call_List_PQ!N592="","",Associates_Call_List_PQ!N592)</f>
        <v>No</v>
      </c>
      <c r="O592" s="57" t="str">
        <f>IF(Associates_Call_List_PQ!O592="","",Associates_Call_List_PQ!O592)</f>
        <v>Yes</v>
      </c>
      <c r="P592" s="57">
        <f>IF(Associates_Call_List_PQ!P592="","",Associates_Call_List_PQ!P592)</f>
        <v>45964</v>
      </c>
      <c r="Q592" s="57">
        <f>IF(Associates_Call_List_PQ!Q592="","",Associates_Call_List_PQ!Q592)</f>
        <v>45965</v>
      </c>
      <c r="R592" s="57" t="str">
        <f>IF(Associates_Call_List_PQ!R592="","",Associates_Call_List_PQ!R592)</f>
        <v>11/03 - LM</v>
      </c>
      <c r="S592" s="57" t="str">
        <f>IF(Associates_Call_List_PQ!S592="","",Associates_Call_List_PQ!S592)</f>
        <v/>
      </c>
      <c r="T592" s="57" t="str">
        <f>IF(Associates_Call_List_PQ!T592="","",Associates_Call_List_PQ!T592)</f>
        <v/>
      </c>
      <c r="U592" s="57" t="str">
        <f>IF(Associates_Call_List_PQ!U592="","",Associates_Call_List_PQ!U592)</f>
        <v/>
      </c>
      <c r="V592" s="68" t="s">
        <v>5433</v>
      </c>
      <c r="W592" s="68">
        <v>46046</v>
      </c>
      <c r="X592" s="68" t="s">
        <v>5434</v>
      </c>
      <c r="Y592" s="68"/>
      <c r="Z592" s="72"/>
    </row>
    <row r="593" spans="1:26">
      <c r="A593" s="71">
        <f>IFERROR(Associates_Call_List_PQ!A593,"")</f>
        <v>45906</v>
      </c>
      <c r="B593" s="57" t="str">
        <f>IF(Associates_Call_List_PQ!B593="","",Associates_Call_List_PQ!B593)</f>
        <v>Misner</v>
      </c>
      <c r="C593" s="57" t="str">
        <f>IF(Associates_Call_List_PQ!C593="","",Associates_Call_List_PQ!C593)</f>
        <v>Alexander</v>
      </c>
      <c r="D593" s="57" t="str">
        <f>IF(Associates_Call_List_PQ!D593="","",Associates_Call_List_PQ!D593)</f>
        <v>Phoenix</v>
      </c>
      <c r="E593" s="58">
        <f>IF(Associates_Call_List_PQ!E593="","",Associates_Call_List_PQ!E593)</f>
        <v>85012</v>
      </c>
      <c r="F593" s="57" t="str">
        <f>IF(Associates_Call_List_PQ!F593="","",Associates_Call_List_PQ!F593)</f>
        <v>Form letter</v>
      </c>
      <c r="G593" s="57" t="str">
        <f>IF(Associates_Call_List_PQ!G593="","",Associates_Call_List_PQ!G593)</f>
        <v>https://docket.images.azcc.gov/E000046266.pdf</v>
      </c>
      <c r="H593" s="59" t="str">
        <f>IF(Associates_Call_List_PQ!H593="","",Associates_Call_List_PQ!H593)</f>
        <v xml:space="preserve">8372996858 </v>
      </c>
      <c r="I593" s="57" t="str">
        <f>IF(Associates_Call_List_PQ!I593="","",Associates_Call_List_PQ!I593)</f>
        <v>R-XS</v>
      </c>
      <c r="J593" s="57" t="str">
        <f>IF(Associates_Call_List_PQ!J593="","",Associates_Call_List_PQ!J593)</f>
        <v>No</v>
      </c>
      <c r="K593" s="57" t="str">
        <f>IF(Associates_Call_List_PQ!K593="","",Associates_Call_List_PQ!K593)</f>
        <v>No</v>
      </c>
      <c r="L593" s="57" t="str">
        <f>IF(Associates_Call_List_PQ!L593="","",Associates_Call_List_PQ!L593)</f>
        <v>Yes</v>
      </c>
      <c r="M593" s="57" t="str">
        <f>IF(Associates_Call_List_PQ!M593="","",Associates_Call_List_PQ!M593)</f>
        <v>No</v>
      </c>
      <c r="N593" s="57" t="str">
        <f>IF(Associates_Call_List_PQ!N593="","",Associates_Call_List_PQ!N593)</f>
        <v>No</v>
      </c>
      <c r="O593" s="57" t="str">
        <f>IF(Associates_Call_List_PQ!O593="","",Associates_Call_List_PQ!O593)</f>
        <v>Yes</v>
      </c>
      <c r="P593" s="57" t="str">
        <f>IF(Associates_Call_List_PQ!P593="","",Associates_Call_List_PQ!P593)</f>
        <v>N</v>
      </c>
      <c r="Q593" s="57">
        <f>IF(Associates_Call_List_PQ!Q593="","",Associates_Call_List_PQ!Q593)</f>
        <v>45965</v>
      </c>
      <c r="R593" s="57" t="str">
        <f>IF(Associates_Call_List_PQ!R593="","",Associates_Call_List_PQ!R593)</f>
        <v/>
      </c>
      <c r="S593" s="57" t="str">
        <f>IF(Associates_Call_List_PQ!S593="","",Associates_Call_List_PQ!S593)</f>
        <v/>
      </c>
      <c r="T593" s="57" t="str">
        <f>IF(Associates_Call_List_PQ!T593="","",Associates_Call_List_PQ!T593)</f>
        <v/>
      </c>
      <c r="U593" s="57" t="str">
        <f>IF(Associates_Call_List_PQ!U593="","",Associates_Call_List_PQ!U593)</f>
        <v/>
      </c>
      <c r="V593" s="68"/>
      <c r="W593" s="68" t="s">
        <v>5432</v>
      </c>
      <c r="X593" s="68"/>
      <c r="Y593" s="68"/>
      <c r="Z593" s="72"/>
    </row>
    <row r="594" spans="1:26">
      <c r="A594" s="71">
        <f>IFERROR(Associates_Call_List_PQ!A594,"")</f>
        <v>45906</v>
      </c>
      <c r="B594" s="57" t="str">
        <f>IF(Associates_Call_List_PQ!B594="","",Associates_Call_List_PQ!B594)</f>
        <v>Gilliland</v>
      </c>
      <c r="C594" s="57" t="str">
        <f>IF(Associates_Call_List_PQ!C594="","",Associates_Call_List_PQ!C594)</f>
        <v>Clark</v>
      </c>
      <c r="D594" s="57" t="str">
        <f>IF(Associates_Call_List_PQ!D594="","",Associates_Call_List_PQ!D594)</f>
        <v>Scottsdale</v>
      </c>
      <c r="E594" s="58">
        <f>IF(Associates_Call_List_PQ!E594="","",Associates_Call_List_PQ!E594)</f>
        <v>85251</v>
      </c>
      <c r="F594" s="57" t="str">
        <f>IF(Associates_Call_List_PQ!F594="","",Associates_Call_List_PQ!F594)</f>
        <v>They are in a class action suit, we do not want to foot this bill</v>
      </c>
      <c r="G594" s="57" t="str">
        <f>IF(Associates_Call_List_PQ!G594="","",Associates_Call_List_PQ!G594)</f>
        <v>https://docket.images.azcc.gov/E000046266.pdf</v>
      </c>
      <c r="H594" s="59" t="str">
        <f>IF(Associates_Call_List_PQ!H594="","",Associates_Call_List_PQ!H594)</f>
        <v xml:space="preserve">0915272757 </v>
      </c>
      <c r="I594" s="57" t="str">
        <f>IF(Associates_Call_List_PQ!I594="","",Associates_Call_List_PQ!I594)</f>
        <v>R3-47</v>
      </c>
      <c r="J594" s="57" t="str">
        <f>IF(Associates_Call_List_PQ!J594="","",Associates_Call_List_PQ!J594)</f>
        <v>No</v>
      </c>
      <c r="K594" s="57" t="str">
        <f>IF(Associates_Call_List_PQ!K594="","",Associates_Call_List_PQ!K594)</f>
        <v>No</v>
      </c>
      <c r="L594" s="57" t="str">
        <f>IF(Associates_Call_List_PQ!L594="","",Associates_Call_List_PQ!L594)</f>
        <v>Yes</v>
      </c>
      <c r="M594" s="57" t="str">
        <f>IF(Associates_Call_List_PQ!M594="","",Associates_Call_List_PQ!M594)</f>
        <v>No</v>
      </c>
      <c r="N594" s="57" t="str">
        <f>IF(Associates_Call_List_PQ!N594="","",Associates_Call_List_PQ!N594)</f>
        <v>No</v>
      </c>
      <c r="O594" s="57" t="str">
        <f>IF(Associates_Call_List_PQ!O594="","",Associates_Call_List_PQ!O594)</f>
        <v>Yes</v>
      </c>
      <c r="P594" s="57" t="str">
        <f>IF(Associates_Call_List_PQ!P594="","",Associates_Call_List_PQ!P594)</f>
        <v>N</v>
      </c>
      <c r="Q594" s="57">
        <f>IF(Associates_Call_List_PQ!Q594="","",Associates_Call_List_PQ!Q594)</f>
        <v>45965</v>
      </c>
      <c r="R594" s="57" t="str">
        <f>IF(Associates_Call_List_PQ!R594="","",Associates_Call_List_PQ!R594)</f>
        <v/>
      </c>
      <c r="S594" s="57" t="str">
        <f>IF(Associates_Call_List_PQ!S594="","",Associates_Call_List_PQ!S594)</f>
        <v/>
      </c>
      <c r="T594" s="57" t="str">
        <f>IF(Associates_Call_List_PQ!T594="","",Associates_Call_List_PQ!T594)</f>
        <v/>
      </c>
      <c r="U594" s="57" t="str">
        <f>IF(Associates_Call_List_PQ!U594="","",Associates_Call_List_PQ!U594)</f>
        <v/>
      </c>
      <c r="V594" s="68"/>
      <c r="W594" s="68" t="s">
        <v>5432</v>
      </c>
      <c r="X594" s="68"/>
      <c r="Y594" s="68"/>
      <c r="Z594" s="72"/>
    </row>
    <row r="595" spans="1:26">
      <c r="A595" s="71">
        <f>IFERROR(Associates_Call_List_PQ!A595,"")</f>
        <v>45906</v>
      </c>
      <c r="B595" s="57" t="str">
        <f>IF(Associates_Call_List_PQ!B595="","",Associates_Call_List_PQ!B595)</f>
        <v>Franovich</v>
      </c>
      <c r="C595" s="57" t="str">
        <f>IF(Associates_Call_List_PQ!C595="","",Associates_Call_List_PQ!C595)</f>
        <v>Chris</v>
      </c>
      <c r="D595" s="57" t="str">
        <f>IF(Associates_Call_List_PQ!D595="","",Associates_Call_List_PQ!D595)</f>
        <v>Glendale</v>
      </c>
      <c r="E595" s="58">
        <f>IF(Associates_Call_List_PQ!E595="","",Associates_Call_List_PQ!E595)</f>
        <v>85310</v>
      </c>
      <c r="F595" s="57" t="str">
        <f>IF(Associates_Call_List_PQ!F595="","",Associates_Call_List_PQ!F595)</f>
        <v xml:space="preserve">Ridiculous </v>
      </c>
      <c r="G595" s="57" t="str">
        <f>IF(Associates_Call_List_PQ!G595="","",Associates_Call_List_PQ!G595)</f>
        <v>https://docket.images.azcc.gov/E000046266.pdf</v>
      </c>
      <c r="H595" s="59" t="str">
        <f>IF(Associates_Call_List_PQ!H595="","",Associates_Call_List_PQ!H595)</f>
        <v xml:space="preserve">1939300000 </v>
      </c>
      <c r="I595" s="57" t="str">
        <f>IF(Associates_Call_List_PQ!I595="","",Associates_Call_List_PQ!I595)</f>
        <v>R-BASIC</v>
      </c>
      <c r="J595" s="57" t="str">
        <f>IF(Associates_Call_List_PQ!J595="","",Associates_Call_List_PQ!J595)</f>
        <v>No</v>
      </c>
      <c r="K595" s="57" t="str">
        <f>IF(Associates_Call_List_PQ!K595="","",Associates_Call_List_PQ!K595)</f>
        <v>No</v>
      </c>
      <c r="L595" s="57" t="str">
        <f>IF(Associates_Call_List_PQ!L595="","",Associates_Call_List_PQ!L595)</f>
        <v>Yes</v>
      </c>
      <c r="M595" s="57" t="str">
        <f>IF(Associates_Call_List_PQ!M595="","",Associates_Call_List_PQ!M595)</f>
        <v>No</v>
      </c>
      <c r="N595" s="57" t="str">
        <f>IF(Associates_Call_List_PQ!N595="","",Associates_Call_List_PQ!N595)</f>
        <v>No</v>
      </c>
      <c r="O595" s="57" t="str">
        <f>IF(Associates_Call_List_PQ!O595="","",Associates_Call_List_PQ!O595)</f>
        <v>Yes</v>
      </c>
      <c r="P595" s="57" t="str">
        <f>IF(Associates_Call_List_PQ!P595="","",Associates_Call_List_PQ!P595)</f>
        <v>N</v>
      </c>
      <c r="Q595" s="57">
        <f>IF(Associates_Call_List_PQ!Q595="","",Associates_Call_List_PQ!Q595)</f>
        <v>45965</v>
      </c>
      <c r="R595" s="57" t="str">
        <f>IF(Associates_Call_List_PQ!R595="","",Associates_Call_List_PQ!R595)</f>
        <v/>
      </c>
      <c r="S595" s="57" t="str">
        <f>IF(Associates_Call_List_PQ!S595="","",Associates_Call_List_PQ!S595)</f>
        <v/>
      </c>
      <c r="T595" s="57" t="str">
        <f>IF(Associates_Call_List_PQ!T595="","",Associates_Call_List_PQ!T595)</f>
        <v/>
      </c>
      <c r="U595" s="57" t="str">
        <f>IF(Associates_Call_List_PQ!U595="","",Associates_Call_List_PQ!U595)</f>
        <v/>
      </c>
      <c r="V595" s="68"/>
      <c r="W595" s="68" t="s">
        <v>5432</v>
      </c>
      <c r="X595" s="68"/>
      <c r="Y595" s="68"/>
      <c r="Z595" s="72"/>
    </row>
    <row r="596" spans="1:26">
      <c r="A596" s="71">
        <f>IFERROR(Associates_Call_List_PQ!A596,"")</f>
        <v>45906</v>
      </c>
      <c r="B596" s="57" t="str">
        <f>IF(Associates_Call_List_PQ!B596="","",Associates_Call_List_PQ!B596)</f>
        <v>Rosenberger</v>
      </c>
      <c r="C596" s="57" t="str">
        <f>IF(Associates_Call_List_PQ!C596="","",Associates_Call_List_PQ!C596)</f>
        <v>Melissa</v>
      </c>
      <c r="D596" s="57" t="str">
        <f>IF(Associates_Call_List_PQ!D596="","",Associates_Call_List_PQ!D596)</f>
        <v>Glendale</v>
      </c>
      <c r="E596" s="58">
        <f>IF(Associates_Call_List_PQ!E596="","",Associates_Call_List_PQ!E596)</f>
        <v>85308</v>
      </c>
      <c r="F596" s="57" t="str">
        <f>IF(Associates_Call_List_PQ!F596="","",Associates_Call_List_PQ!F596)</f>
        <v>Absolutely insane</v>
      </c>
      <c r="G596" s="57" t="str">
        <f>IF(Associates_Call_List_PQ!G596="","",Associates_Call_List_PQ!G596)</f>
        <v>https://docket.images.azcc.gov/E000046266.pdf</v>
      </c>
      <c r="H596" s="59" t="str">
        <f>IF(Associates_Call_List_PQ!H596="","",Associates_Call_List_PQ!H596)</f>
        <v xml:space="preserve">3664029144 </v>
      </c>
      <c r="I596" s="57" t="str">
        <f>IF(Associates_Call_List_PQ!I596="","",Associates_Call_List_PQ!I596)</f>
        <v>R3-47</v>
      </c>
      <c r="J596" s="57" t="str">
        <f>IF(Associates_Call_List_PQ!J596="","",Associates_Call_List_PQ!J596)</f>
        <v>No</v>
      </c>
      <c r="K596" s="57" t="str">
        <f>IF(Associates_Call_List_PQ!K596="","",Associates_Call_List_PQ!K596)</f>
        <v>No</v>
      </c>
      <c r="L596" s="57" t="str">
        <f>IF(Associates_Call_List_PQ!L596="","",Associates_Call_List_PQ!L596)</f>
        <v>Yes</v>
      </c>
      <c r="M596" s="57" t="str">
        <f>IF(Associates_Call_List_PQ!M596="","",Associates_Call_List_PQ!M596)</f>
        <v>No</v>
      </c>
      <c r="N596" s="57" t="str">
        <f>IF(Associates_Call_List_PQ!N596="","",Associates_Call_List_PQ!N596)</f>
        <v>No</v>
      </c>
      <c r="O596" s="57" t="str">
        <f>IF(Associates_Call_List_PQ!O596="","",Associates_Call_List_PQ!O596)</f>
        <v>Yes</v>
      </c>
      <c r="P596" s="57" t="str">
        <f>IF(Associates_Call_List_PQ!P596="","",Associates_Call_List_PQ!P596)</f>
        <v>N</v>
      </c>
      <c r="Q596" s="57">
        <f>IF(Associates_Call_List_PQ!Q596="","",Associates_Call_List_PQ!Q596)</f>
        <v>45965</v>
      </c>
      <c r="R596" s="57" t="str">
        <f>IF(Associates_Call_List_PQ!R596="","",Associates_Call_List_PQ!R596)</f>
        <v/>
      </c>
      <c r="S596" s="57" t="str">
        <f>IF(Associates_Call_List_PQ!S596="","",Associates_Call_List_PQ!S596)</f>
        <v/>
      </c>
      <c r="T596" s="57" t="str">
        <f>IF(Associates_Call_List_PQ!T596="","",Associates_Call_List_PQ!T596)</f>
        <v/>
      </c>
      <c r="U596" s="57" t="str">
        <f>IF(Associates_Call_List_PQ!U596="","",Associates_Call_List_PQ!U596)</f>
        <v/>
      </c>
      <c r="V596" s="68"/>
      <c r="W596" s="68" t="s">
        <v>5432</v>
      </c>
      <c r="X596" s="68"/>
      <c r="Y596" s="68"/>
      <c r="Z596" s="72"/>
    </row>
    <row r="597" spans="1:26">
      <c r="A597" s="71">
        <f>IFERROR(Associates_Call_List_PQ!A597,"")</f>
        <v>45906</v>
      </c>
      <c r="B597" s="57" t="str">
        <f>IF(Associates_Call_List_PQ!B597="","",Associates_Call_List_PQ!B597)</f>
        <v>Simone</v>
      </c>
      <c r="C597" s="57" t="str">
        <f>IF(Associates_Call_List_PQ!C597="","",Associates_Call_List_PQ!C597)</f>
        <v>Vicki</v>
      </c>
      <c r="D597" s="57" t="str">
        <f>IF(Associates_Call_List_PQ!D597="","",Associates_Call_List_PQ!D597)</f>
        <v>Unknown</v>
      </c>
      <c r="E597" s="58" t="str">
        <f>IF(Associates_Call_List_PQ!E597="","",Associates_Call_List_PQ!E597)</f>
        <v>Unknown</v>
      </c>
      <c r="F597" s="57" t="str">
        <f>IF(Associates_Call_List_PQ!F597="","",Associates_Call_List_PQ!F597)</f>
        <v>Do the right thing, deny the rate increase</v>
      </c>
      <c r="G597" s="57" t="str">
        <f>IF(Associates_Call_List_PQ!G597="","",Associates_Call_List_PQ!G597)</f>
        <v>https://docket.images.azcc.gov/E000046266.pdf</v>
      </c>
      <c r="H597" s="59" t="str">
        <f>IF(Associates_Call_List_PQ!H597="","",Associates_Call_List_PQ!H597)</f>
        <v xml:space="preserve">9414462931 </v>
      </c>
      <c r="I597" s="57" t="str">
        <f>IF(Associates_Call_List_PQ!I597="","",Associates_Call_List_PQ!I597)</f>
        <v>R-BASIC</v>
      </c>
      <c r="J597" s="57" t="str">
        <f>IF(Associates_Call_List_PQ!J597="","",Associates_Call_List_PQ!J597)</f>
        <v>No</v>
      </c>
      <c r="K597" s="57" t="str">
        <f>IF(Associates_Call_List_PQ!K597="","",Associates_Call_List_PQ!K597)</f>
        <v>No</v>
      </c>
      <c r="L597" s="57" t="str">
        <f>IF(Associates_Call_List_PQ!L597="","",Associates_Call_List_PQ!L597)</f>
        <v>No MEP R3-47(35.30)</v>
      </c>
      <c r="M597" s="57" t="str">
        <f>IF(Associates_Call_List_PQ!M597="","",Associates_Call_List_PQ!M597)</f>
        <v>No</v>
      </c>
      <c r="N597" s="57" t="str">
        <f>IF(Associates_Call_List_PQ!N597="","",Associates_Call_List_PQ!N597)</f>
        <v>No</v>
      </c>
      <c r="O597" s="57" t="str">
        <f>IF(Associates_Call_List_PQ!O597="","",Associates_Call_List_PQ!O597)</f>
        <v>Yes</v>
      </c>
      <c r="P597" s="57" t="str">
        <f>IF(Associates_Call_List_PQ!P597="","",Associates_Call_List_PQ!P597)</f>
        <v>N</v>
      </c>
      <c r="Q597" s="57">
        <f>IF(Associates_Call_List_PQ!Q597="","",Associates_Call_List_PQ!Q597)</f>
        <v>45965</v>
      </c>
      <c r="R597" s="57" t="str">
        <f>IF(Associates_Call_List_PQ!R597="","",Associates_Call_List_PQ!R597)</f>
        <v/>
      </c>
      <c r="S597" s="57" t="str">
        <f>IF(Associates_Call_List_PQ!S597="","",Associates_Call_List_PQ!S597)</f>
        <v/>
      </c>
      <c r="T597" s="57" t="str">
        <f>IF(Associates_Call_List_PQ!T597="","",Associates_Call_List_PQ!T597)</f>
        <v/>
      </c>
      <c r="U597" s="57" t="str">
        <f>IF(Associates_Call_List_PQ!U597="","",Associates_Call_List_PQ!U597)</f>
        <v/>
      </c>
      <c r="V597" s="68" t="s">
        <v>5433</v>
      </c>
      <c r="W597" s="68">
        <v>46060</v>
      </c>
      <c r="X597" s="68" t="s">
        <v>5434</v>
      </c>
      <c r="Y597" s="68"/>
      <c r="Z597" s="72" t="s">
        <v>5621</v>
      </c>
    </row>
    <row r="598" spans="1:26">
      <c r="A598" s="71">
        <f>IFERROR(Associates_Call_List_PQ!A598,"")</f>
        <v>45906</v>
      </c>
      <c r="B598" s="57" t="str">
        <f>IF(Associates_Call_List_PQ!B598="","",Associates_Call_List_PQ!B598)</f>
        <v>Mora</v>
      </c>
      <c r="C598" s="57" t="str">
        <f>IF(Associates_Call_List_PQ!C598="","",Associates_Call_List_PQ!C598)</f>
        <v>Richard</v>
      </c>
      <c r="D598" s="57" t="str">
        <f>IF(Associates_Call_List_PQ!D598="","",Associates_Call_List_PQ!D598)</f>
        <v>Gilbert</v>
      </c>
      <c r="E598" s="58">
        <f>IF(Associates_Call_List_PQ!E598="","",Associates_Call_List_PQ!E598)</f>
        <v>85233</v>
      </c>
      <c r="F598" s="57" t="str">
        <f>IF(Associates_Call_List_PQ!F598="","",Associates_Call_List_PQ!F598)</f>
        <v>Form letter</v>
      </c>
      <c r="G598" s="57" t="str">
        <f>IF(Associates_Call_List_PQ!G598="","",Associates_Call_List_PQ!G598)</f>
        <v>https://docket.images.azcc.gov/E000046266.pdf</v>
      </c>
      <c r="H598" s="59" t="str">
        <f>IF(Associates_Call_List_PQ!H598="","",Associates_Call_List_PQ!H598)</f>
        <v xml:space="preserve">2321911932 </v>
      </c>
      <c r="I598" s="57" t="str">
        <f>IF(Associates_Call_List_PQ!I598="","",Associates_Call_List_PQ!I598)</f>
        <v>EPR-6w/E-12</v>
      </c>
      <c r="J598" s="57" t="str">
        <f>IF(Associates_Call_List_PQ!J598="","",Associates_Call_List_PQ!J598)</f>
        <v>No</v>
      </c>
      <c r="K598" s="57" t="str">
        <f>IF(Associates_Call_List_PQ!K598="","",Associates_Call_List_PQ!K598)</f>
        <v>No</v>
      </c>
      <c r="L598" s="57" t="str">
        <f>IF(Associates_Call_List_PQ!L598="","",Associates_Call_List_PQ!L598)</f>
        <v>Frozen Rate</v>
      </c>
      <c r="M598" s="57" t="str">
        <f>IF(Associates_Call_List_PQ!M598="","",Associates_Call_List_PQ!M598)</f>
        <v>No</v>
      </c>
      <c r="N598" s="57" t="str">
        <f>IF(Associates_Call_List_PQ!N598="","",Associates_Call_List_PQ!N598)</f>
        <v>No</v>
      </c>
      <c r="O598" s="57" t="str">
        <f>IF(Associates_Call_List_PQ!O598="","",Associates_Call_List_PQ!O598)</f>
        <v>Yes</v>
      </c>
      <c r="P598" s="57" t="str">
        <f>IF(Associates_Call_List_PQ!P598="","",Associates_Call_List_PQ!P598)</f>
        <v>N</v>
      </c>
      <c r="Q598" s="57">
        <f>IF(Associates_Call_List_PQ!Q598="","",Associates_Call_List_PQ!Q598)</f>
        <v>45965</v>
      </c>
      <c r="R598" s="57" t="str">
        <f>IF(Associates_Call_List_PQ!R598="","",Associates_Call_List_PQ!R598)</f>
        <v/>
      </c>
      <c r="S598" s="57" t="str">
        <f>IF(Associates_Call_List_PQ!S598="","",Associates_Call_List_PQ!S598)</f>
        <v/>
      </c>
      <c r="T598" s="57" t="str">
        <f>IF(Associates_Call_List_PQ!T598="","",Associates_Call_List_PQ!T598)</f>
        <v/>
      </c>
      <c r="U598" s="57" t="str">
        <f>IF(Associates_Call_List_PQ!U598="","",Associates_Call_List_PQ!U598)</f>
        <v/>
      </c>
      <c r="V598" s="68"/>
      <c r="W598" s="68" t="s">
        <v>5432</v>
      </c>
      <c r="X598" s="68"/>
      <c r="Y598" s="68"/>
      <c r="Z598" s="72"/>
    </row>
    <row r="599" spans="1:26">
      <c r="A599" s="71">
        <f>IFERROR(Associates_Call_List_PQ!A599,"")</f>
        <v>45906</v>
      </c>
      <c r="B599" s="57" t="str">
        <f>IF(Associates_Call_List_PQ!B599="","",Associates_Call_List_PQ!B599)</f>
        <v>Phillips</v>
      </c>
      <c r="C599" s="57" t="str">
        <f>IF(Associates_Call_List_PQ!C599="","",Associates_Call_List_PQ!C599)</f>
        <v>Nathanael</v>
      </c>
      <c r="D599" s="57" t="str">
        <f>IF(Associates_Call_List_PQ!D599="","",Associates_Call_List_PQ!D599)</f>
        <v>Glendale</v>
      </c>
      <c r="E599" s="58">
        <f>IF(Associates_Call_List_PQ!E599="","",Associates_Call_List_PQ!E599)</f>
        <v>85306</v>
      </c>
      <c r="F599" s="57" t="str">
        <f>IF(Associates_Call_List_PQ!F599="","",Associates_Call_List_PQ!F599)</f>
        <v>Form letter</v>
      </c>
      <c r="G599" s="57" t="str">
        <f>IF(Associates_Call_List_PQ!G599="","",Associates_Call_List_PQ!G599)</f>
        <v>https://docket.images.azcc.gov/E000046266.pdf</v>
      </c>
      <c r="H599" s="59" t="str">
        <f>IF(Associates_Call_List_PQ!H599="","",Associates_Call_List_PQ!H599)</f>
        <v>9282570000 </v>
      </c>
      <c r="I599" s="57" t="str">
        <f>IF(Associates_Call_List_PQ!I599="","",Associates_Call_List_PQ!I599)</f>
        <v>R3-47</v>
      </c>
      <c r="J599" s="57" t="str">
        <f>IF(Associates_Call_List_PQ!J599="","",Associates_Call_List_PQ!J599)</f>
        <v>No</v>
      </c>
      <c r="K599" s="57" t="str">
        <f>IF(Associates_Call_List_PQ!K599="","",Associates_Call_List_PQ!K599)</f>
        <v>No</v>
      </c>
      <c r="L599" s="57" t="str">
        <f>IF(Associates_Call_List_PQ!L599="","",Associates_Call_List_PQ!L599)</f>
        <v>Yes</v>
      </c>
      <c r="M599" s="57" t="str">
        <f>IF(Associates_Call_List_PQ!M599="","",Associates_Call_List_PQ!M599)</f>
        <v>No</v>
      </c>
      <c r="N599" s="57" t="str">
        <f>IF(Associates_Call_List_PQ!N599="","",Associates_Call_List_PQ!N599)</f>
        <v>No</v>
      </c>
      <c r="O599" s="57" t="str">
        <f>IF(Associates_Call_List_PQ!O599="","",Associates_Call_List_PQ!O599)</f>
        <v>Yes</v>
      </c>
      <c r="P599" s="57" t="str">
        <f>IF(Associates_Call_List_PQ!P599="","",Associates_Call_List_PQ!P599)</f>
        <v>N</v>
      </c>
      <c r="Q599" s="57">
        <f>IF(Associates_Call_List_PQ!Q599="","",Associates_Call_List_PQ!Q599)</f>
        <v>45965</v>
      </c>
      <c r="R599" s="57" t="str">
        <f>IF(Associates_Call_List_PQ!R599="","",Associates_Call_List_PQ!R599)</f>
        <v/>
      </c>
      <c r="S599" s="57" t="str">
        <f>IF(Associates_Call_List_PQ!S599="","",Associates_Call_List_PQ!S599)</f>
        <v/>
      </c>
      <c r="T599" s="57" t="str">
        <f>IF(Associates_Call_List_PQ!T599="","",Associates_Call_List_PQ!T599)</f>
        <v/>
      </c>
      <c r="U599" s="57" t="str">
        <f>IF(Associates_Call_List_PQ!U599="","",Associates_Call_List_PQ!U599)</f>
        <v/>
      </c>
      <c r="V599" s="68"/>
      <c r="W599" s="68" t="s">
        <v>5432</v>
      </c>
      <c r="X599" s="68"/>
      <c r="Y599" s="68"/>
      <c r="Z599" s="72"/>
    </row>
    <row r="600" spans="1:26">
      <c r="A600" s="71">
        <f>IFERROR(Associates_Call_List_PQ!A600,"")</f>
        <v>45906</v>
      </c>
      <c r="B600" s="57" t="str">
        <f>IF(Associates_Call_List_PQ!B600="","",Associates_Call_List_PQ!B600)</f>
        <v>Bowen</v>
      </c>
      <c r="C600" s="57" t="str">
        <f>IF(Associates_Call_List_PQ!C600="","",Associates_Call_List_PQ!C600)</f>
        <v>Bryce</v>
      </c>
      <c r="D600" s="57" t="str">
        <f>IF(Associates_Call_List_PQ!D600="","",Associates_Call_List_PQ!D600)</f>
        <v>Phoenix</v>
      </c>
      <c r="E600" s="58">
        <f>IF(Associates_Call_List_PQ!E600="","",Associates_Call_List_PQ!E600)</f>
        <v>85028</v>
      </c>
      <c r="F600" s="57" t="str">
        <f>IF(Associates_Call_List_PQ!F600="","",Associates_Call_List_PQ!F600)</f>
        <v>Form letter</v>
      </c>
      <c r="G600" s="57" t="str">
        <f>IF(Associates_Call_List_PQ!G600="","",Associates_Call_List_PQ!G600)</f>
        <v>https://docket.images.azcc.gov/E000046266.pdf</v>
      </c>
      <c r="H600" s="59" t="str">
        <f>IF(Associates_Call_List_PQ!H600="","",Associates_Call_List_PQ!H600)</f>
        <v>7961900940 </v>
      </c>
      <c r="I600" s="57" t="str">
        <f>IF(Associates_Call_List_PQ!I600="","",Associates_Call_List_PQ!I600)</f>
        <v>R-2</v>
      </c>
      <c r="J600" s="57" t="str">
        <f>IF(Associates_Call_List_PQ!J600="","",Associates_Call_List_PQ!J600)</f>
        <v>No</v>
      </c>
      <c r="K600" s="57" t="str">
        <f>IF(Associates_Call_List_PQ!K600="","",Associates_Call_List_PQ!K600)</f>
        <v>No</v>
      </c>
      <c r="L600" s="57" t="str">
        <f>IF(Associates_Call_List_PQ!L600="","",Associates_Call_List_PQ!L600)</f>
        <v>Frozen Rate</v>
      </c>
      <c r="M600" s="57" t="str">
        <f>IF(Associates_Call_List_PQ!M600="","",Associates_Call_List_PQ!M600)</f>
        <v>No</v>
      </c>
      <c r="N600" s="57" t="str">
        <f>IF(Associates_Call_List_PQ!N600="","",Associates_Call_List_PQ!N600)</f>
        <v>No</v>
      </c>
      <c r="O600" s="57" t="str">
        <f>IF(Associates_Call_List_PQ!O600="","",Associates_Call_List_PQ!O600)</f>
        <v>Yes</v>
      </c>
      <c r="P600" s="57" t="str">
        <f>IF(Associates_Call_List_PQ!P600="","",Associates_Call_List_PQ!P600)</f>
        <v>N</v>
      </c>
      <c r="Q600" s="57">
        <f>IF(Associates_Call_List_PQ!Q600="","",Associates_Call_List_PQ!Q600)</f>
        <v>45965</v>
      </c>
      <c r="R600" s="57" t="str">
        <f>IF(Associates_Call_List_PQ!R600="","",Associates_Call_List_PQ!R600)</f>
        <v/>
      </c>
      <c r="S600" s="57" t="str">
        <f>IF(Associates_Call_List_PQ!S600="","",Associates_Call_List_PQ!S600)</f>
        <v/>
      </c>
      <c r="T600" s="57" t="str">
        <f>IF(Associates_Call_List_PQ!T600="","",Associates_Call_List_PQ!T600)</f>
        <v/>
      </c>
      <c r="U600" s="57" t="str">
        <f>IF(Associates_Call_List_PQ!U600="","",Associates_Call_List_PQ!U600)</f>
        <v/>
      </c>
      <c r="V600" s="68"/>
      <c r="W600" s="68" t="s">
        <v>5432</v>
      </c>
      <c r="X600" s="68"/>
      <c r="Y600" s="68"/>
      <c r="Z600" s="72"/>
    </row>
    <row r="601" spans="1:26">
      <c r="A601" s="71">
        <f>IFERROR(Associates_Call_List_PQ!A601,"")</f>
        <v>45906</v>
      </c>
      <c r="B601" s="57" t="str">
        <f>IF(Associates_Call_List_PQ!B601="","",Associates_Call_List_PQ!B601)</f>
        <v>Altiveros</v>
      </c>
      <c r="C601" s="57" t="str">
        <f>IF(Associates_Call_List_PQ!C601="","",Associates_Call_List_PQ!C601)</f>
        <v>Armand</v>
      </c>
      <c r="D601" s="57" t="str">
        <f>IF(Associates_Call_List_PQ!D601="","",Associates_Call_List_PQ!D601)</f>
        <v>Phoenix</v>
      </c>
      <c r="E601" s="58">
        <f>IF(Associates_Call_List_PQ!E601="","",Associates_Call_List_PQ!E601)</f>
        <v>85085</v>
      </c>
      <c r="F601" s="57" t="str">
        <f>IF(Associates_Call_List_PQ!F601="","",Associates_Call_List_PQ!F601)</f>
        <v>Form letter</v>
      </c>
      <c r="G601" s="57" t="str">
        <f>IF(Associates_Call_List_PQ!G601="","",Associates_Call_List_PQ!G601)</f>
        <v>https://docket.images.azcc.gov/E000046266.pdf</v>
      </c>
      <c r="H601" s="59" t="str">
        <f>IF(Associates_Call_List_PQ!H601="","",Associates_Call_List_PQ!H601)</f>
        <v xml:space="preserve">2205290521 </v>
      </c>
      <c r="I601" s="57" t="str">
        <f>IF(Associates_Call_List_PQ!I601="","",Associates_Call_List_PQ!I601)</f>
        <v>R-XS</v>
      </c>
      <c r="J601" s="57" t="str">
        <f>IF(Associates_Call_List_PQ!J601="","",Associates_Call_List_PQ!J601)</f>
        <v>No</v>
      </c>
      <c r="K601" s="57" t="str">
        <f>IF(Associates_Call_List_PQ!K601="","",Associates_Call_List_PQ!K601)</f>
        <v>No</v>
      </c>
      <c r="L601" s="57" t="str">
        <f>IF(Associates_Call_List_PQ!L601="","",Associates_Call_List_PQ!L601)</f>
        <v>Yes</v>
      </c>
      <c r="M601" s="57" t="str">
        <f>IF(Associates_Call_List_PQ!M601="","",Associates_Call_List_PQ!M601)</f>
        <v>No</v>
      </c>
      <c r="N601" s="57" t="str">
        <f>IF(Associates_Call_List_PQ!N601="","",Associates_Call_List_PQ!N601)</f>
        <v>No</v>
      </c>
      <c r="O601" s="57" t="str">
        <f>IF(Associates_Call_List_PQ!O601="","",Associates_Call_List_PQ!O601)</f>
        <v>Yes</v>
      </c>
      <c r="P601" s="57" t="str">
        <f>IF(Associates_Call_List_PQ!P601="","",Associates_Call_List_PQ!P601)</f>
        <v>N</v>
      </c>
      <c r="Q601" s="57">
        <f>IF(Associates_Call_List_PQ!Q601="","",Associates_Call_List_PQ!Q601)</f>
        <v>45965</v>
      </c>
      <c r="R601" s="57" t="str">
        <f>IF(Associates_Call_List_PQ!R601="","",Associates_Call_List_PQ!R601)</f>
        <v/>
      </c>
      <c r="S601" s="57" t="str">
        <f>IF(Associates_Call_List_PQ!S601="","",Associates_Call_List_PQ!S601)</f>
        <v/>
      </c>
      <c r="T601" s="57" t="str">
        <f>IF(Associates_Call_List_PQ!T601="","",Associates_Call_List_PQ!T601)</f>
        <v/>
      </c>
      <c r="U601" s="57" t="str">
        <f>IF(Associates_Call_List_PQ!U601="","",Associates_Call_List_PQ!U601)</f>
        <v/>
      </c>
      <c r="V601" s="68"/>
      <c r="W601" s="68" t="s">
        <v>5432</v>
      </c>
      <c r="X601" s="68"/>
      <c r="Y601" s="68"/>
      <c r="Z601" s="72"/>
    </row>
    <row r="602" spans="1:26">
      <c r="A602" s="71">
        <f>IFERROR(Associates_Call_List_PQ!A602,"")</f>
        <v>45906</v>
      </c>
      <c r="B602" s="57" t="str">
        <f>IF(Associates_Call_List_PQ!B602="","",Associates_Call_List_PQ!B602)</f>
        <v>Roman</v>
      </c>
      <c r="C602" s="57" t="str">
        <f>IF(Associates_Call_List_PQ!C602="","",Associates_Call_List_PQ!C602)</f>
        <v>Kim</v>
      </c>
      <c r="D602" s="57" t="str">
        <f>IF(Associates_Call_List_PQ!D602="","",Associates_Call_List_PQ!D602)</f>
        <v>Florence</v>
      </c>
      <c r="E602" s="58">
        <f>IF(Associates_Call_List_PQ!E602="","",Associates_Call_List_PQ!E602)</f>
        <v>85132</v>
      </c>
      <c r="F602" s="57" t="str">
        <f>IF(Associates_Call_List_PQ!F602="","",Associates_Call_List_PQ!F602)</f>
        <v>Retired, cannot afford this</v>
      </c>
      <c r="G602" s="57" t="str">
        <f>IF(Associates_Call_List_PQ!G602="","",Associates_Call_List_PQ!G602)</f>
        <v>https://docket.images.azcc.gov/E000046266.pdf</v>
      </c>
      <c r="H602" s="59" t="str">
        <f>IF(Associates_Call_List_PQ!H602="","",Associates_Call_List_PQ!H602)</f>
        <v xml:space="preserve">8573211000 </v>
      </c>
      <c r="I602" s="57" t="str">
        <f>IF(Associates_Call_List_PQ!I602="","",Associates_Call_List_PQ!I602)</f>
        <v>RCPw/RTOUE47</v>
      </c>
      <c r="J602" s="57" t="str">
        <f>IF(Associates_Call_List_PQ!J602="","",Associates_Call_List_PQ!J602)</f>
        <v>No</v>
      </c>
      <c r="K602" s="57" t="str">
        <f>IF(Associates_Call_List_PQ!K602="","",Associates_Call_List_PQ!K602)</f>
        <v>No</v>
      </c>
      <c r="L602" s="57" t="str">
        <f>IF(Associates_Call_List_PQ!L602="","",Associates_Call_List_PQ!L602)</f>
        <v>Yes</v>
      </c>
      <c r="M602" s="57" t="str">
        <f>IF(Associates_Call_List_PQ!M602="","",Associates_Call_List_PQ!M602)</f>
        <v>No</v>
      </c>
      <c r="N602" s="57" t="str">
        <f>IF(Associates_Call_List_PQ!N602="","",Associates_Call_List_PQ!N602)</f>
        <v>No</v>
      </c>
      <c r="O602" s="57" t="str">
        <f>IF(Associates_Call_List_PQ!O602="","",Associates_Call_List_PQ!O602)</f>
        <v>Yes</v>
      </c>
      <c r="P602" s="57" t="str">
        <f>IF(Associates_Call_List_PQ!P602="","",Associates_Call_List_PQ!P602)</f>
        <v>N</v>
      </c>
      <c r="Q602" s="57">
        <f>IF(Associates_Call_List_PQ!Q602="","",Associates_Call_List_PQ!Q602)</f>
        <v>45965</v>
      </c>
      <c r="R602" s="57" t="str">
        <f>IF(Associates_Call_List_PQ!R602="","",Associates_Call_List_PQ!R602)</f>
        <v/>
      </c>
      <c r="S602" s="57" t="str">
        <f>IF(Associates_Call_List_PQ!S602="","",Associates_Call_List_PQ!S602)</f>
        <v/>
      </c>
      <c r="T602" s="57" t="str">
        <f>IF(Associates_Call_List_PQ!T602="","",Associates_Call_List_PQ!T602)</f>
        <v/>
      </c>
      <c r="U602" s="57" t="str">
        <f>IF(Associates_Call_List_PQ!U602="","",Associates_Call_List_PQ!U602)</f>
        <v/>
      </c>
      <c r="V602" s="68"/>
      <c r="W602" s="68" t="s">
        <v>5432</v>
      </c>
      <c r="X602" s="68"/>
      <c r="Y602" s="68"/>
      <c r="Z602" s="72"/>
    </row>
    <row r="603" spans="1:26">
      <c r="A603" s="71">
        <f>IFERROR(Associates_Call_List_PQ!A603,"")</f>
        <v>45906</v>
      </c>
      <c r="B603" s="57" t="str">
        <f>IF(Associates_Call_List_PQ!B603="","",Associates_Call_List_PQ!B603)</f>
        <v>Hooker</v>
      </c>
      <c r="C603" s="57" t="str">
        <f>IF(Associates_Call_List_PQ!C603="","",Associates_Call_List_PQ!C603)</f>
        <v>Michael</v>
      </c>
      <c r="D603" s="57" t="str">
        <f>IF(Associates_Call_List_PQ!D603="","",Associates_Call_List_PQ!D603)</f>
        <v>Glendale</v>
      </c>
      <c r="E603" s="58">
        <f>IF(Associates_Call_List_PQ!E603="","",Associates_Call_List_PQ!E603)</f>
        <v>85308</v>
      </c>
      <c r="F603" s="57" t="str">
        <f>IF(Associates_Call_List_PQ!F603="","",Associates_Call_List_PQ!F603)</f>
        <v>Opposed</v>
      </c>
      <c r="G603" s="57" t="str">
        <f>IF(Associates_Call_List_PQ!G603="","",Associates_Call_List_PQ!G603)</f>
        <v>https://docket.images.azcc.gov/E000046266.pdf</v>
      </c>
      <c r="H603" s="59" t="str">
        <f>IF(Associates_Call_List_PQ!H603="","",Associates_Call_List_PQ!H603)</f>
        <v xml:space="preserve">6799540000 </v>
      </c>
      <c r="I603" s="57" t="str">
        <f>IF(Associates_Call_List_PQ!I603="","",Associates_Call_List_PQ!I603)</f>
        <v>R3-47</v>
      </c>
      <c r="J603" s="57" t="str">
        <f>IF(Associates_Call_List_PQ!J603="","",Associates_Call_List_PQ!J603)</f>
        <v>No</v>
      </c>
      <c r="K603" s="57" t="str">
        <f>IF(Associates_Call_List_PQ!K603="","",Associates_Call_List_PQ!K603)</f>
        <v>No</v>
      </c>
      <c r="L603" s="57" t="str">
        <f>IF(Associates_Call_List_PQ!L603="","",Associates_Call_List_PQ!L603)</f>
        <v>Yes</v>
      </c>
      <c r="M603" s="57" t="str">
        <f>IF(Associates_Call_List_PQ!M603="","",Associates_Call_List_PQ!M603)</f>
        <v>No</v>
      </c>
      <c r="N603" s="57" t="str">
        <f>IF(Associates_Call_List_PQ!N603="","",Associates_Call_List_PQ!N603)</f>
        <v>No</v>
      </c>
      <c r="O603" s="57" t="str">
        <f>IF(Associates_Call_List_PQ!O603="","",Associates_Call_List_PQ!O603)</f>
        <v>Yes</v>
      </c>
      <c r="P603" s="57" t="str">
        <f>IF(Associates_Call_List_PQ!P603="","",Associates_Call_List_PQ!P603)</f>
        <v>N</v>
      </c>
      <c r="Q603" s="57">
        <f>IF(Associates_Call_List_PQ!Q603="","",Associates_Call_List_PQ!Q603)</f>
        <v>45965</v>
      </c>
      <c r="R603" s="57" t="str">
        <f>IF(Associates_Call_List_PQ!R603="","",Associates_Call_List_PQ!R603)</f>
        <v/>
      </c>
      <c r="S603" s="57" t="str">
        <f>IF(Associates_Call_List_PQ!S603="","",Associates_Call_List_PQ!S603)</f>
        <v/>
      </c>
      <c r="T603" s="57" t="str">
        <f>IF(Associates_Call_List_PQ!T603="","",Associates_Call_List_PQ!T603)</f>
        <v/>
      </c>
      <c r="U603" s="57" t="str">
        <f>IF(Associates_Call_List_PQ!U603="","",Associates_Call_List_PQ!U603)</f>
        <v/>
      </c>
      <c r="V603" s="68"/>
      <c r="W603" s="68" t="s">
        <v>5432</v>
      </c>
      <c r="X603" s="68"/>
      <c r="Y603" s="68"/>
      <c r="Z603" s="72"/>
    </row>
    <row r="604" spans="1:26">
      <c r="A604" s="71">
        <f>IFERROR(Associates_Call_List_PQ!A604,"")</f>
        <v>45906</v>
      </c>
      <c r="B604" s="57" t="str">
        <f>IF(Associates_Call_List_PQ!B604="","",Associates_Call_List_PQ!B604)</f>
        <v>Bihms</v>
      </c>
      <c r="C604" s="57" t="str">
        <f>IF(Associates_Call_List_PQ!C604="","",Associates_Call_List_PQ!C604)</f>
        <v>Sarah</v>
      </c>
      <c r="D604" s="57" t="str">
        <f>IF(Associates_Call_List_PQ!D604="","",Associates_Call_List_PQ!D604)</f>
        <v>Surprise</v>
      </c>
      <c r="E604" s="58">
        <f>IF(Associates_Call_List_PQ!E604="","",Associates_Call_List_PQ!E604)</f>
        <v>85379</v>
      </c>
      <c r="F604" s="57" t="str">
        <f>IF(Associates_Call_List_PQ!F604="","",Associates_Call_List_PQ!F604)</f>
        <v>Opposed</v>
      </c>
      <c r="G604" s="57" t="str">
        <f>IF(Associates_Call_List_PQ!G604="","",Associates_Call_List_PQ!G604)</f>
        <v>https://docket.images.azcc.gov/E000046266.pdf</v>
      </c>
      <c r="H604" s="59" t="str">
        <f>IF(Associates_Call_List_PQ!H604="","",Associates_Call_List_PQ!H604)</f>
        <v xml:space="preserve">2372410000 </v>
      </c>
      <c r="I604" s="57" t="str">
        <f>IF(Associates_Call_List_PQ!I604="","",Associates_Call_List_PQ!I604)</f>
        <v>RCPw/RTOUE47</v>
      </c>
      <c r="J604" s="57" t="str">
        <f>IF(Associates_Call_List_PQ!J604="","",Associates_Call_List_PQ!J604)</f>
        <v>No</v>
      </c>
      <c r="K604" s="57" t="str">
        <f>IF(Associates_Call_List_PQ!K604="","",Associates_Call_List_PQ!K604)</f>
        <v>No</v>
      </c>
      <c r="L604" s="57" t="str">
        <f>IF(Associates_Call_List_PQ!L604="","",Associates_Call_List_PQ!L604)</f>
        <v>Yes</v>
      </c>
      <c r="M604" s="57" t="str">
        <f>IF(Associates_Call_List_PQ!M604="","",Associates_Call_List_PQ!M604)</f>
        <v>No</v>
      </c>
      <c r="N604" s="57" t="str">
        <f>IF(Associates_Call_List_PQ!N604="","",Associates_Call_List_PQ!N604)</f>
        <v>No</v>
      </c>
      <c r="O604" s="57" t="str">
        <f>IF(Associates_Call_List_PQ!O604="","",Associates_Call_List_PQ!O604)</f>
        <v>Yes</v>
      </c>
      <c r="P604" s="57" t="str">
        <f>IF(Associates_Call_List_PQ!P604="","",Associates_Call_List_PQ!P604)</f>
        <v>N</v>
      </c>
      <c r="Q604" s="57">
        <f>IF(Associates_Call_List_PQ!Q604="","",Associates_Call_List_PQ!Q604)</f>
        <v>45965</v>
      </c>
      <c r="R604" s="57" t="str">
        <f>IF(Associates_Call_List_PQ!R604="","",Associates_Call_List_PQ!R604)</f>
        <v/>
      </c>
      <c r="S604" s="57" t="str">
        <f>IF(Associates_Call_List_PQ!S604="","",Associates_Call_List_PQ!S604)</f>
        <v/>
      </c>
      <c r="T604" s="57" t="str">
        <f>IF(Associates_Call_List_PQ!T604="","",Associates_Call_List_PQ!T604)</f>
        <v/>
      </c>
      <c r="U604" s="57" t="str">
        <f>IF(Associates_Call_List_PQ!U604="","",Associates_Call_List_PQ!U604)</f>
        <v/>
      </c>
      <c r="V604" s="68"/>
      <c r="W604" s="68" t="s">
        <v>5432</v>
      </c>
      <c r="X604" s="68"/>
      <c r="Y604" s="68"/>
      <c r="Z604" s="72"/>
    </row>
    <row r="605" spans="1:26">
      <c r="A605" s="71">
        <f>IFERROR(Associates_Call_List_PQ!A605,"")</f>
        <v>45906</v>
      </c>
      <c r="B605" s="57" t="str">
        <f>IF(Associates_Call_List_PQ!B605="","",Associates_Call_List_PQ!B605)</f>
        <v>Cotton</v>
      </c>
      <c r="C605" s="57" t="str">
        <f>IF(Associates_Call_List_PQ!C605="","",Associates_Call_List_PQ!C605)</f>
        <v>James</v>
      </c>
      <c r="D605" s="57" t="str">
        <f>IF(Associates_Call_List_PQ!D605="","",Associates_Call_List_PQ!D605)</f>
        <v>Scottsdale</v>
      </c>
      <c r="E605" s="58">
        <f>IF(Associates_Call_List_PQ!E605="","",Associates_Call_List_PQ!E605)</f>
        <v>85260</v>
      </c>
      <c r="F605" s="57" t="str">
        <f>IF(Associates_Call_List_PQ!F605="","",Associates_Call_List_PQ!F605)</f>
        <v>Opposed to outrageous request</v>
      </c>
      <c r="G605" s="57" t="str">
        <f>IF(Associates_Call_List_PQ!G605="","",Associates_Call_List_PQ!G605)</f>
        <v>https://docket.images.azcc.gov/E000046266.pdf</v>
      </c>
      <c r="H605" s="59" t="str">
        <f>IF(Associates_Call_List_PQ!H605="","",Associates_Call_List_PQ!H605)</f>
        <v xml:space="preserve">3850123644 </v>
      </c>
      <c r="I605" s="57" t="str">
        <f>IF(Associates_Call_List_PQ!I605="","",Associates_Call_List_PQ!I605)</f>
        <v>R3-47</v>
      </c>
      <c r="J605" s="57" t="str">
        <f>IF(Associates_Call_List_PQ!J605="","",Associates_Call_List_PQ!J605)</f>
        <v>No</v>
      </c>
      <c r="K605" s="57" t="str">
        <f>IF(Associates_Call_List_PQ!K605="","",Associates_Call_List_PQ!K605)</f>
        <v>No</v>
      </c>
      <c r="L605" s="57" t="str">
        <f>IF(Associates_Call_List_PQ!L605="","",Associates_Call_List_PQ!L605)</f>
        <v>No MEP TOUE($139.14)</v>
      </c>
      <c r="M605" s="57" t="str">
        <f>IF(Associates_Call_List_PQ!M605="","",Associates_Call_List_PQ!M605)</f>
        <v>No</v>
      </c>
      <c r="N605" s="57" t="str">
        <f>IF(Associates_Call_List_PQ!N605="","",Associates_Call_List_PQ!N605)</f>
        <v>No</v>
      </c>
      <c r="O605" s="57" t="str">
        <f>IF(Associates_Call_List_PQ!O605="","",Associates_Call_List_PQ!O605)</f>
        <v>Yes</v>
      </c>
      <c r="P605" s="57">
        <f>IF(Associates_Call_List_PQ!P605="","",Associates_Call_List_PQ!P605)</f>
        <v>45945</v>
      </c>
      <c r="Q605" s="57">
        <f>IF(Associates_Call_List_PQ!Q605="","",Associates_Call_List_PQ!Q605)</f>
        <v>45965</v>
      </c>
      <c r="R605" s="57" t="str">
        <f>IF(Associates_Call_List_PQ!R605="","",Associates_Call_List_PQ!R605)</f>
        <v>10/15 Left VM</v>
      </c>
      <c r="S605" s="57" t="str">
        <f>IF(Associates_Call_List_PQ!S605="","",Associates_Call_List_PQ!S605)</f>
        <v/>
      </c>
      <c r="T605" s="57" t="str">
        <f>IF(Associates_Call_List_PQ!T605="","",Associates_Call_List_PQ!T605)</f>
        <v/>
      </c>
      <c r="U605" s="57" t="str">
        <f>IF(Associates_Call_List_PQ!U605="","",Associates_Call_List_PQ!U605)</f>
        <v/>
      </c>
      <c r="V605" s="68" t="s">
        <v>5433</v>
      </c>
      <c r="W605" s="68">
        <v>46046</v>
      </c>
      <c r="X605" s="68" t="s">
        <v>5405</v>
      </c>
      <c r="Y605" s="68" t="s">
        <v>5461</v>
      </c>
      <c r="Z605" s="72" t="s">
        <v>5624</v>
      </c>
    </row>
    <row r="606" spans="1:26">
      <c r="A606" s="71">
        <f>IFERROR(Associates_Call_List_PQ!A606,"")</f>
        <v>45906</v>
      </c>
      <c r="B606" s="57" t="str">
        <f>IF(Associates_Call_List_PQ!B606="","",Associates_Call_List_PQ!B606)</f>
        <v>Hayter</v>
      </c>
      <c r="C606" s="57" t="str">
        <f>IF(Associates_Call_List_PQ!C606="","",Associates_Call_List_PQ!C606)</f>
        <v>Dean</v>
      </c>
      <c r="D606" s="57" t="str">
        <f>IF(Associates_Call_List_PQ!D606="","",Associates_Call_List_PQ!D606)</f>
        <v>Phoenix</v>
      </c>
      <c r="E606" s="58">
        <f>IF(Associates_Call_List_PQ!E606="","",Associates_Call_List_PQ!E606)</f>
        <v>85006</v>
      </c>
      <c r="F606" s="57" t="str">
        <f>IF(Associates_Call_List_PQ!F606="","",Associates_Call_List_PQ!F606)</f>
        <v>Form letter</v>
      </c>
      <c r="G606" s="57" t="str">
        <f>IF(Associates_Call_List_PQ!G606="","",Associates_Call_List_PQ!G606)</f>
        <v>https://docket.images.azcc.gov/E000046266.pdf</v>
      </c>
      <c r="H606" s="59" t="str">
        <f>IF(Associates_Call_List_PQ!H606="","",Associates_Call_List_PQ!H606)</f>
        <v xml:space="preserve">2801777569 </v>
      </c>
      <c r="I606" s="57" t="str">
        <f>IF(Associates_Call_List_PQ!I606="","",Associates_Call_List_PQ!I606)</f>
        <v>R-XS</v>
      </c>
      <c r="J606" s="57" t="str">
        <f>IF(Associates_Call_List_PQ!J606="","",Associates_Call_List_PQ!J606)</f>
        <v>No</v>
      </c>
      <c r="K606" s="57" t="str">
        <f>IF(Associates_Call_List_PQ!K606="","",Associates_Call_List_PQ!K606)</f>
        <v>No</v>
      </c>
      <c r="L606" s="57" t="str">
        <f>IF(Associates_Call_List_PQ!L606="","",Associates_Call_List_PQ!L606)</f>
        <v>Yes</v>
      </c>
      <c r="M606" s="57" t="str">
        <f>IF(Associates_Call_List_PQ!M606="","",Associates_Call_List_PQ!M606)</f>
        <v>No</v>
      </c>
      <c r="N606" s="57" t="str">
        <f>IF(Associates_Call_List_PQ!N606="","",Associates_Call_List_PQ!N606)</f>
        <v>No</v>
      </c>
      <c r="O606" s="57" t="str">
        <f>IF(Associates_Call_List_PQ!O606="","",Associates_Call_List_PQ!O606)</f>
        <v>Yes</v>
      </c>
      <c r="P606" s="57" t="str">
        <f>IF(Associates_Call_List_PQ!P606="","",Associates_Call_List_PQ!P606)</f>
        <v>N</v>
      </c>
      <c r="Q606" s="57">
        <f>IF(Associates_Call_List_PQ!Q606="","",Associates_Call_List_PQ!Q606)</f>
        <v>45965</v>
      </c>
      <c r="R606" s="57" t="str">
        <f>IF(Associates_Call_List_PQ!R606="","",Associates_Call_List_PQ!R606)</f>
        <v/>
      </c>
      <c r="S606" s="57" t="str">
        <f>IF(Associates_Call_List_PQ!S606="","",Associates_Call_List_PQ!S606)</f>
        <v/>
      </c>
      <c r="T606" s="57" t="str">
        <f>IF(Associates_Call_List_PQ!T606="","",Associates_Call_List_PQ!T606)</f>
        <v/>
      </c>
      <c r="U606" s="57" t="str">
        <f>IF(Associates_Call_List_PQ!U606="","",Associates_Call_List_PQ!U606)</f>
        <v/>
      </c>
      <c r="V606" s="68" t="s">
        <v>117</v>
      </c>
      <c r="W606" s="68">
        <v>45997</v>
      </c>
      <c r="X606" s="68" t="s">
        <v>5434</v>
      </c>
      <c r="Y606" s="68"/>
      <c r="Z606" s="72" t="s">
        <v>5473</v>
      </c>
    </row>
    <row r="607" spans="1:26">
      <c r="A607" s="71">
        <f>IFERROR(Associates_Call_List_PQ!A607,"")</f>
        <v>45906</v>
      </c>
      <c r="B607" s="57" t="str">
        <f>IF(Associates_Call_List_PQ!B607="","",Associates_Call_List_PQ!B607)</f>
        <v>Pydimarry</v>
      </c>
      <c r="C607" s="57" t="str">
        <f>IF(Associates_Call_List_PQ!C607="","",Associates_Call_List_PQ!C607)</f>
        <v>Srinivascharandeepak</v>
      </c>
      <c r="D607" s="57" t="str">
        <f>IF(Associates_Call_List_PQ!D607="","",Associates_Call_List_PQ!D607)</f>
        <v>Peoria</v>
      </c>
      <c r="E607" s="58">
        <f>IF(Associates_Call_List_PQ!E607="","",Associates_Call_List_PQ!E607)</f>
        <v>85383</v>
      </c>
      <c r="F607" s="57" t="str">
        <f>IF(Associates_Call_List_PQ!F607="","",Associates_Call_List_PQ!F607)</f>
        <v>Form letter</v>
      </c>
      <c r="G607" s="57" t="str">
        <f>IF(Associates_Call_List_PQ!G607="","",Associates_Call_List_PQ!G607)</f>
        <v>https://docket.images.azcc.gov/E000046266.pdf</v>
      </c>
      <c r="H607" s="59" t="str">
        <f>IF(Associates_Call_List_PQ!H607="","",Associates_Call_List_PQ!H607)</f>
        <v xml:space="preserve">8157321000 </v>
      </c>
      <c r="I607" s="57" t="str">
        <f>IF(Associates_Call_List_PQ!I607="","",Associates_Call_List_PQ!I607)</f>
        <v>RCPw/RTOUE47</v>
      </c>
      <c r="J607" s="57" t="str">
        <f>IF(Associates_Call_List_PQ!J607="","",Associates_Call_List_PQ!J607)</f>
        <v>No</v>
      </c>
      <c r="K607" s="57" t="str">
        <f>IF(Associates_Call_List_PQ!K607="","",Associates_Call_List_PQ!K607)</f>
        <v>No</v>
      </c>
      <c r="L607" s="57" t="str">
        <f>IF(Associates_Call_List_PQ!L607="","",Associates_Call_List_PQ!L607)</f>
        <v>N MEP R3-47($240.90)</v>
      </c>
      <c r="M607" s="57" t="str">
        <f>IF(Associates_Call_List_PQ!M607="","",Associates_Call_List_PQ!M607)</f>
        <v>No</v>
      </c>
      <c r="N607" s="57" t="str">
        <f>IF(Associates_Call_List_PQ!N607="","",Associates_Call_List_PQ!N607)</f>
        <v>No</v>
      </c>
      <c r="O607" s="57" t="str">
        <f>IF(Associates_Call_List_PQ!O607="","",Associates_Call_List_PQ!O607)</f>
        <v>Yes</v>
      </c>
      <c r="P607" s="57">
        <f>IF(Associates_Call_List_PQ!P607="","",Associates_Call_List_PQ!P607)</f>
        <v>45939</v>
      </c>
      <c r="Q607" s="57">
        <f>IF(Associates_Call_List_PQ!Q607="","",Associates_Call_List_PQ!Q607)</f>
        <v>45965</v>
      </c>
      <c r="R607" s="57" t="str">
        <f>IF(Associates_Call_List_PQ!R607="","",Associates_Call_List_PQ!R607)</f>
        <v>10/9 - Left VM</v>
      </c>
      <c r="S607" s="57" t="str">
        <f>IF(Associates_Call_List_PQ!S607="","",Associates_Call_List_PQ!S607)</f>
        <v/>
      </c>
      <c r="T607" s="57" t="str">
        <f>IF(Associates_Call_List_PQ!T607="","",Associates_Call_List_PQ!T607)</f>
        <v/>
      </c>
      <c r="U607" s="57" t="str">
        <f>IF(Associates_Call_List_PQ!U607="","",Associates_Call_List_PQ!U607)</f>
        <v/>
      </c>
      <c r="V607" s="68" t="s">
        <v>5433</v>
      </c>
      <c r="W607" s="68">
        <v>46046</v>
      </c>
      <c r="X607" s="68" t="s">
        <v>5405</v>
      </c>
      <c r="Y607" s="68" t="s">
        <v>5447</v>
      </c>
      <c r="Z607" s="72" t="s">
        <v>5625</v>
      </c>
    </row>
    <row r="608" spans="1:26">
      <c r="A608" s="71">
        <f>IFERROR(Associates_Call_List_PQ!A608,"")</f>
        <v>45906</v>
      </c>
      <c r="B608" s="57" t="str">
        <f>IF(Associates_Call_List_PQ!B608="","",Associates_Call_List_PQ!B608)</f>
        <v>Rhodes</v>
      </c>
      <c r="C608" s="57" t="str">
        <f>IF(Associates_Call_List_PQ!C608="","",Associates_Call_List_PQ!C608)</f>
        <v>Jacob</v>
      </c>
      <c r="D608" s="57" t="str">
        <f>IF(Associates_Call_List_PQ!D608="","",Associates_Call_List_PQ!D608)</f>
        <v>Phoenix</v>
      </c>
      <c r="E608" s="58">
        <f>IF(Associates_Call_List_PQ!E608="","",Associates_Call_List_PQ!E608)</f>
        <v>85027</v>
      </c>
      <c r="F608" s="57" t="str">
        <f>IF(Associates_Call_List_PQ!F608="","",Associates_Call_List_PQ!F608)</f>
        <v>Form letter</v>
      </c>
      <c r="G608" s="57" t="str">
        <f>IF(Associates_Call_List_PQ!G608="","",Associates_Call_List_PQ!G608)</f>
        <v>https://docket.images.azcc.gov/E000046266.pdf</v>
      </c>
      <c r="H608" s="59" t="str">
        <f>IF(Associates_Call_List_PQ!H608="","",Associates_Call_List_PQ!H608)</f>
        <v xml:space="preserve">6916550547 </v>
      </c>
      <c r="I608" s="57" t="str">
        <f>IF(Associates_Call_List_PQ!I608="","",Associates_Call_List_PQ!I608)</f>
        <v>RCPw/R3-47</v>
      </c>
      <c r="J608" s="57" t="str">
        <f>IF(Associates_Call_List_PQ!J608="","",Associates_Call_List_PQ!J608)</f>
        <v>No</v>
      </c>
      <c r="K608" s="57" t="str">
        <f>IF(Associates_Call_List_PQ!K608="","",Associates_Call_List_PQ!K608)</f>
        <v>No</v>
      </c>
      <c r="L608" s="57" t="str">
        <f>IF(Associates_Call_List_PQ!L608="","",Associates_Call_List_PQ!L608)</f>
        <v>Yes</v>
      </c>
      <c r="M608" s="57" t="str">
        <f>IF(Associates_Call_List_PQ!M608="","",Associates_Call_List_PQ!M608)</f>
        <v>No</v>
      </c>
      <c r="N608" s="57" t="str">
        <f>IF(Associates_Call_List_PQ!N608="","",Associates_Call_List_PQ!N608)</f>
        <v>No</v>
      </c>
      <c r="O608" s="57" t="str">
        <f>IF(Associates_Call_List_PQ!O608="","",Associates_Call_List_PQ!O608)</f>
        <v>Yes</v>
      </c>
      <c r="P608" s="57" t="str">
        <f>IF(Associates_Call_List_PQ!P608="","",Associates_Call_List_PQ!P608)</f>
        <v>N</v>
      </c>
      <c r="Q608" s="57">
        <f>IF(Associates_Call_List_PQ!Q608="","",Associates_Call_List_PQ!Q608)</f>
        <v>45965</v>
      </c>
      <c r="R608" s="57" t="str">
        <f>IF(Associates_Call_List_PQ!R608="","",Associates_Call_List_PQ!R608)</f>
        <v/>
      </c>
      <c r="S608" s="57" t="str">
        <f>IF(Associates_Call_List_PQ!S608="","",Associates_Call_List_PQ!S608)</f>
        <v/>
      </c>
      <c r="T608" s="57" t="str">
        <f>IF(Associates_Call_List_PQ!T608="","",Associates_Call_List_PQ!T608)</f>
        <v/>
      </c>
      <c r="U608" s="57" t="str">
        <f>IF(Associates_Call_List_PQ!U608="","",Associates_Call_List_PQ!U608)</f>
        <v/>
      </c>
      <c r="V608" s="68"/>
      <c r="W608" s="68" t="s">
        <v>5432</v>
      </c>
      <c r="X608" s="68"/>
      <c r="Y608" s="68"/>
      <c r="Z608" s="72"/>
    </row>
    <row r="609" spans="1:26">
      <c r="A609" s="71">
        <f>IFERROR(Associates_Call_List_PQ!A609,"")</f>
        <v>45906</v>
      </c>
      <c r="B609" s="57" t="str">
        <f>IF(Associates_Call_List_PQ!B609="","",Associates_Call_List_PQ!B609)</f>
        <v>Coltom</v>
      </c>
      <c r="C609" s="57" t="str">
        <f>IF(Associates_Call_List_PQ!C609="","",Associates_Call_List_PQ!C609)</f>
        <v>Janene</v>
      </c>
      <c r="D609" s="57" t="str">
        <f>IF(Associates_Call_List_PQ!D609="","",Associates_Call_List_PQ!D609)</f>
        <v>Surprise</v>
      </c>
      <c r="E609" s="58">
        <f>IF(Associates_Call_List_PQ!E609="","",Associates_Call_List_PQ!E609)</f>
        <v>85338</v>
      </c>
      <c r="F609" s="57" t="str">
        <f>IF(Associates_Call_List_PQ!F609="","",Associates_Call_List_PQ!F609)</f>
        <v>Form letter</v>
      </c>
      <c r="G609" s="57" t="str">
        <f>IF(Associates_Call_List_PQ!G609="","",Associates_Call_List_PQ!G609)</f>
        <v>https://docket.images.azcc.gov/E000046266.pdf</v>
      </c>
      <c r="H609" s="59" t="str">
        <f>IF(Associates_Call_List_PQ!H609="","",Associates_Call_List_PQ!H609)</f>
        <v xml:space="preserve">7488840436 </v>
      </c>
      <c r="I609" s="57" t="str">
        <f>IF(Associates_Call_List_PQ!I609="","",Associates_Call_List_PQ!I609)</f>
        <v>R3-47</v>
      </c>
      <c r="J609" s="57" t="str">
        <f>IF(Associates_Call_List_PQ!J609="","",Associates_Call_List_PQ!J609)</f>
        <v>No</v>
      </c>
      <c r="K609" s="57" t="str">
        <f>IF(Associates_Call_List_PQ!K609="","",Associates_Call_List_PQ!K609)</f>
        <v>No</v>
      </c>
      <c r="L609" s="57" t="str">
        <f>IF(Associates_Call_List_PQ!L609="","",Associates_Call_List_PQ!L609)</f>
        <v>Yes</v>
      </c>
      <c r="M609" s="57" t="str">
        <f>IF(Associates_Call_List_PQ!M609="","",Associates_Call_List_PQ!M609)</f>
        <v>No</v>
      </c>
      <c r="N609" s="57" t="str">
        <f>IF(Associates_Call_List_PQ!N609="","",Associates_Call_List_PQ!N609)</f>
        <v>No</v>
      </c>
      <c r="O609" s="57" t="str">
        <f>IF(Associates_Call_List_PQ!O609="","",Associates_Call_List_PQ!O609)</f>
        <v>Yes</v>
      </c>
      <c r="P609" s="57" t="str">
        <f>IF(Associates_Call_List_PQ!P609="","",Associates_Call_List_PQ!P609)</f>
        <v>N</v>
      </c>
      <c r="Q609" s="57">
        <f>IF(Associates_Call_List_PQ!Q609="","",Associates_Call_List_PQ!Q609)</f>
        <v>45964</v>
      </c>
      <c r="R609" s="57" t="str">
        <f>IF(Associates_Call_List_PQ!R609="","",Associates_Call_List_PQ!R609)</f>
        <v/>
      </c>
      <c r="S609" s="57" t="str">
        <f>IF(Associates_Call_List_PQ!S609="","",Associates_Call_List_PQ!S609)</f>
        <v/>
      </c>
      <c r="T609" s="57" t="str">
        <f>IF(Associates_Call_List_PQ!T609="","",Associates_Call_List_PQ!T609)</f>
        <v/>
      </c>
      <c r="U609" s="57" t="str">
        <f>IF(Associates_Call_List_PQ!U609="","",Associates_Call_List_PQ!U609)</f>
        <v/>
      </c>
      <c r="V609" s="68"/>
      <c r="W609" s="68" t="s">
        <v>5432</v>
      </c>
      <c r="X609" s="68"/>
      <c r="Y609" s="68"/>
      <c r="Z609" s="72"/>
    </row>
    <row r="610" spans="1:26">
      <c r="A610" s="71">
        <f>IFERROR(Associates_Call_List_PQ!A610,"")</f>
        <v>45906</v>
      </c>
      <c r="B610" s="57" t="str">
        <f>IF(Associates_Call_List_PQ!B610="","",Associates_Call_List_PQ!B610)</f>
        <v>Newton</v>
      </c>
      <c r="C610" s="57" t="str">
        <f>IF(Associates_Call_List_PQ!C610="","",Associates_Call_List_PQ!C610)</f>
        <v>Laura</v>
      </c>
      <c r="D610" s="57" t="str">
        <f>IF(Associates_Call_List_PQ!D610="","",Associates_Call_List_PQ!D610)</f>
        <v>Phoenix</v>
      </c>
      <c r="E610" s="58">
        <f>IF(Associates_Call_List_PQ!E610="","",Associates_Call_List_PQ!E610)</f>
        <v>85024</v>
      </c>
      <c r="F610" s="57" t="str">
        <f>IF(Associates_Call_List_PQ!F610="","",Associates_Call_List_PQ!F610)</f>
        <v>Form letter</v>
      </c>
      <c r="G610" s="57" t="str">
        <f>IF(Associates_Call_List_PQ!G610="","",Associates_Call_List_PQ!G610)</f>
        <v>https://docket.images.azcc.gov/E000046266.pdf</v>
      </c>
      <c r="H610" s="59" t="str">
        <f>IF(Associates_Call_List_PQ!H610="","",Associates_Call_List_PQ!H610)</f>
        <v xml:space="preserve">1636279128 </v>
      </c>
      <c r="I610" s="57" t="str">
        <f>IF(Associates_Call_List_PQ!I610="","",Associates_Call_List_PQ!I610)</f>
        <v>R-BASICL</v>
      </c>
      <c r="J610" s="57" t="str">
        <f>IF(Associates_Call_List_PQ!J610="","",Associates_Call_List_PQ!J610)</f>
        <v>No</v>
      </c>
      <c r="K610" s="57" t="str">
        <f>IF(Associates_Call_List_PQ!K610="","",Associates_Call_List_PQ!K610)</f>
        <v>No</v>
      </c>
      <c r="L610" s="57" t="str">
        <f>IF(Associates_Call_List_PQ!L610="","",Associates_Call_List_PQ!L610)</f>
        <v>No MEP R3-47($65.26)</v>
      </c>
      <c r="M610" s="57" t="str">
        <f>IF(Associates_Call_List_PQ!M610="","",Associates_Call_List_PQ!M610)</f>
        <v>No</v>
      </c>
      <c r="N610" s="57" t="str">
        <f>IF(Associates_Call_List_PQ!N610="","",Associates_Call_List_PQ!N610)</f>
        <v>No</v>
      </c>
      <c r="O610" s="57" t="str">
        <f>IF(Associates_Call_List_PQ!O610="","",Associates_Call_List_PQ!O610)</f>
        <v>Yes</v>
      </c>
      <c r="P610" s="57" t="str">
        <f>IF(Associates_Call_List_PQ!P610="","",Associates_Call_List_PQ!P610)</f>
        <v>N</v>
      </c>
      <c r="Q610" s="57">
        <f>IF(Associates_Call_List_PQ!Q610="","",Associates_Call_List_PQ!Q610)</f>
        <v>45964</v>
      </c>
      <c r="R610" s="57" t="str">
        <f>IF(Associates_Call_List_PQ!R610="","",Associates_Call_List_PQ!R610)</f>
        <v/>
      </c>
      <c r="S610" s="57" t="str">
        <f>IF(Associates_Call_List_PQ!S610="","",Associates_Call_List_PQ!S610)</f>
        <v/>
      </c>
      <c r="T610" s="57" t="str">
        <f>IF(Associates_Call_List_PQ!T610="","",Associates_Call_List_PQ!T610)</f>
        <v/>
      </c>
      <c r="U610" s="57" t="str">
        <f>IF(Associates_Call_List_PQ!U610="","",Associates_Call_List_PQ!U610)</f>
        <v/>
      </c>
      <c r="V610" s="68" t="s">
        <v>5433</v>
      </c>
      <c r="W610" s="68">
        <v>46046</v>
      </c>
      <c r="X610" s="68" t="s">
        <v>5434</v>
      </c>
      <c r="Y610" s="68" t="s">
        <v>5461</v>
      </c>
      <c r="Z610" s="72"/>
    </row>
    <row r="611" spans="1:26">
      <c r="A611" s="71">
        <f>IFERROR(Associates_Call_List_PQ!A611,"")</f>
        <v>45906</v>
      </c>
      <c r="B611" s="57" t="str">
        <f>IF(Associates_Call_List_PQ!B611="","",Associates_Call_List_PQ!B611)</f>
        <v>Meiergerd</v>
      </c>
      <c r="C611" s="57" t="str">
        <f>IF(Associates_Call_List_PQ!C611="","",Associates_Call_List_PQ!C611)</f>
        <v>Celeste</v>
      </c>
      <c r="D611" s="57" t="str">
        <f>IF(Associates_Call_List_PQ!D611="","",Associates_Call_List_PQ!D611)</f>
        <v>Tempe</v>
      </c>
      <c r="E611" s="58">
        <f>IF(Associates_Call_List_PQ!E611="","",Associates_Call_List_PQ!E611)</f>
        <v>85281</v>
      </c>
      <c r="F611" s="57" t="str">
        <f>IF(Associates_Call_List_PQ!F611="","",Associates_Call_List_PQ!F611)</f>
        <v>Opposed</v>
      </c>
      <c r="G611" s="57" t="str">
        <f>IF(Associates_Call_List_PQ!G611="","",Associates_Call_List_PQ!G611)</f>
        <v>https://docket.images.azcc.gov/E000046266.pdf</v>
      </c>
      <c r="H611" s="59" t="str">
        <f>IF(Associates_Call_List_PQ!H611="","",Associates_Call_List_PQ!H611)</f>
        <v xml:space="preserve">2874030000 </v>
      </c>
      <c r="I611" s="57" t="str">
        <f>IF(Associates_Call_List_PQ!I611="","",Associates_Call_List_PQ!I611)</f>
        <v>RTOUE47</v>
      </c>
      <c r="J611" s="57" t="str">
        <f>IF(Associates_Call_List_PQ!J611="","",Associates_Call_List_PQ!J611)</f>
        <v>No</v>
      </c>
      <c r="K611" s="57" t="str">
        <f>IF(Associates_Call_List_PQ!K611="","",Associates_Call_List_PQ!K611)</f>
        <v>No</v>
      </c>
      <c r="L611" s="57" t="str">
        <f>IF(Associates_Call_List_PQ!L611="","",Associates_Call_List_PQ!L611)</f>
        <v>No MEP R3-47($92.94)</v>
      </c>
      <c r="M611" s="57" t="str">
        <f>IF(Associates_Call_List_PQ!M611="","",Associates_Call_List_PQ!M611)</f>
        <v>No</v>
      </c>
      <c r="N611" s="57" t="str">
        <f>IF(Associates_Call_List_PQ!N611="","",Associates_Call_List_PQ!N611)</f>
        <v>No</v>
      </c>
      <c r="O611" s="57" t="str">
        <f>IF(Associates_Call_List_PQ!O611="","",Associates_Call_List_PQ!O611)</f>
        <v>Yes</v>
      </c>
      <c r="P611" s="57" t="str">
        <f>IF(Associates_Call_List_PQ!P611="","",Associates_Call_List_PQ!P611)</f>
        <v>N</v>
      </c>
      <c r="Q611" s="57">
        <f>IF(Associates_Call_List_PQ!Q611="","",Associates_Call_List_PQ!Q611)</f>
        <v>45964</v>
      </c>
      <c r="R611" s="57" t="str">
        <f>IF(Associates_Call_List_PQ!R611="","",Associates_Call_List_PQ!R611)</f>
        <v/>
      </c>
      <c r="S611" s="57" t="str">
        <f>IF(Associates_Call_List_PQ!S611="","",Associates_Call_List_PQ!S611)</f>
        <v/>
      </c>
      <c r="T611" s="57" t="str">
        <f>IF(Associates_Call_List_PQ!T611="","",Associates_Call_List_PQ!T611)</f>
        <v/>
      </c>
      <c r="U611" s="57" t="str">
        <f>IF(Associates_Call_List_PQ!U611="","",Associates_Call_List_PQ!U611)</f>
        <v/>
      </c>
      <c r="V611" s="68" t="s">
        <v>5433</v>
      </c>
      <c r="W611" s="68">
        <v>46046</v>
      </c>
      <c r="X611" s="68" t="s">
        <v>5434</v>
      </c>
      <c r="Y611" s="68" t="s">
        <v>5461</v>
      </c>
      <c r="Z611" s="72"/>
    </row>
    <row r="612" spans="1:26">
      <c r="A612" s="71">
        <f>IFERROR(Associates_Call_List_PQ!A612,"")</f>
        <v>45906</v>
      </c>
      <c r="B612" s="57" t="str">
        <f>IF(Associates_Call_List_PQ!B612="","",Associates_Call_List_PQ!B612)</f>
        <v>Chandler</v>
      </c>
      <c r="C612" s="57" t="str">
        <f>IF(Associates_Call_List_PQ!C612="","",Associates_Call_List_PQ!C612)</f>
        <v>Emily</v>
      </c>
      <c r="D612" s="57" t="str">
        <f>IF(Associates_Call_List_PQ!D612="","",Associates_Call_List_PQ!D612)</f>
        <v>Phoenix</v>
      </c>
      <c r="E612" s="58">
        <f>IF(Associates_Call_List_PQ!E612="","",Associates_Call_List_PQ!E612)</f>
        <v>85024</v>
      </c>
      <c r="F612" s="57" t="str">
        <f>IF(Associates_Call_List_PQ!F612="","",Associates_Call_List_PQ!F612)</f>
        <v>Families have to make difficult choices</v>
      </c>
      <c r="G612" s="57" t="str">
        <f>IF(Associates_Call_List_PQ!G612="","",Associates_Call_List_PQ!G612)</f>
        <v>https://docket.images.azcc.gov/E000046266.pdf</v>
      </c>
      <c r="H612" s="59" t="str">
        <f>IF(Associates_Call_List_PQ!H612="","",Associates_Call_List_PQ!H612)</f>
        <v xml:space="preserve">6154479450 </v>
      </c>
      <c r="I612" s="57" t="str">
        <f>IF(Associates_Call_List_PQ!I612="","",Associates_Call_List_PQ!I612)</f>
        <v>R-BASICL</v>
      </c>
      <c r="J612" s="57" t="str">
        <f>IF(Associates_Call_List_PQ!J612="","",Associates_Call_List_PQ!J612)</f>
        <v>No</v>
      </c>
      <c r="K612" s="57" t="str">
        <f>IF(Associates_Call_List_PQ!K612="","",Associates_Call_List_PQ!K612)</f>
        <v>No</v>
      </c>
      <c r="L612" s="57" t="str">
        <f>IF(Associates_Call_List_PQ!L612="","",Associates_Call_List_PQ!L612)</f>
        <v>No MEP R-BASIC($175.71)</v>
      </c>
      <c r="M612" s="57" t="str">
        <f>IF(Associates_Call_List_PQ!M612="","",Associates_Call_List_PQ!M612)</f>
        <v>No</v>
      </c>
      <c r="N612" s="57" t="str">
        <f>IF(Associates_Call_List_PQ!N612="","",Associates_Call_List_PQ!N612)</f>
        <v>No</v>
      </c>
      <c r="O612" s="57" t="str">
        <f>IF(Associates_Call_List_PQ!O612="","",Associates_Call_List_PQ!O612)</f>
        <v>Yes</v>
      </c>
      <c r="P612" s="57" t="str">
        <f>IF(Associates_Call_List_PQ!P612="","",Associates_Call_List_PQ!P612)</f>
        <v>N</v>
      </c>
      <c r="Q612" s="57">
        <f>IF(Associates_Call_List_PQ!Q612="","",Associates_Call_List_PQ!Q612)</f>
        <v>45964</v>
      </c>
      <c r="R612" s="57" t="str">
        <f>IF(Associates_Call_List_PQ!R612="","",Associates_Call_List_PQ!R612)</f>
        <v>Based on average monthly energy usage, COR will likely remain on Tier 3 next month during rate reassignment. No call made. As of 11/3 COR is just under average monthly usage limit and should be automatically reassigned to Tier 2</v>
      </c>
      <c r="S612" s="57" t="str">
        <f>IF(Associates_Call_List_PQ!S612="","",Associates_Call_List_PQ!S612)</f>
        <v/>
      </c>
      <c r="T612" s="57" t="str">
        <f>IF(Associates_Call_List_PQ!T612="","",Associates_Call_List_PQ!T612)</f>
        <v/>
      </c>
      <c r="U612" s="57" t="str">
        <f>IF(Associates_Call_List_PQ!U612="","",Associates_Call_List_PQ!U612)</f>
        <v/>
      </c>
      <c r="V612" s="68" t="s">
        <v>5433</v>
      </c>
      <c r="W612" s="68">
        <v>46046</v>
      </c>
      <c r="X612" s="68" t="s">
        <v>5405</v>
      </c>
      <c r="Y612" s="68" t="s">
        <v>5461</v>
      </c>
      <c r="Z612" s="72" t="s">
        <v>5626</v>
      </c>
    </row>
    <row r="613" spans="1:26">
      <c r="A613" s="71">
        <f>IFERROR(Associates_Call_List_PQ!A613,"")</f>
        <v>45906</v>
      </c>
      <c r="B613" s="57" t="str">
        <f>IF(Associates_Call_List_PQ!B613="","",Associates_Call_List_PQ!B613)</f>
        <v>Hardee</v>
      </c>
      <c r="C613" s="57" t="str">
        <f>IF(Associates_Call_List_PQ!C613="","",Associates_Call_List_PQ!C613)</f>
        <v>Michael</v>
      </c>
      <c r="D613" s="57" t="str">
        <f>IF(Associates_Call_List_PQ!D613="","",Associates_Call_List_PQ!D613)</f>
        <v>Flagstaff</v>
      </c>
      <c r="E613" s="58">
        <f>IF(Associates_Call_List_PQ!E613="","",Associates_Call_List_PQ!E613)</f>
        <v>86005</v>
      </c>
      <c r="F613" s="57" t="str">
        <f>IF(Associates_Call_List_PQ!F613="","",Associates_Call_List_PQ!F613)</f>
        <v>Form letter</v>
      </c>
      <c r="G613" s="57" t="str">
        <f>IF(Associates_Call_List_PQ!G613="","",Associates_Call_List_PQ!G613)</f>
        <v>https://docket.images.azcc.gov/E000046266.pdf</v>
      </c>
      <c r="H613" s="59" t="str">
        <f>IF(Associates_Call_List_PQ!H613="","",Associates_Call_List_PQ!H613)</f>
        <v xml:space="preserve">4789087884 </v>
      </c>
      <c r="I613" s="57" t="str">
        <f>IF(Associates_Call_List_PQ!I613="","",Associates_Call_List_PQ!I613)</f>
        <v>R-XS</v>
      </c>
      <c r="J613" s="57" t="str">
        <f>IF(Associates_Call_List_PQ!J613="","",Associates_Call_List_PQ!J613)</f>
        <v>No</v>
      </c>
      <c r="K613" s="57" t="str">
        <f>IF(Associates_Call_List_PQ!K613="","",Associates_Call_List_PQ!K613)</f>
        <v>No</v>
      </c>
      <c r="L613" s="57" t="str">
        <f>IF(Associates_Call_List_PQ!L613="","",Associates_Call_List_PQ!L613)</f>
        <v>Yes</v>
      </c>
      <c r="M613" s="57" t="str">
        <f>IF(Associates_Call_List_PQ!M613="","",Associates_Call_List_PQ!M613)</f>
        <v>No</v>
      </c>
      <c r="N613" s="57" t="str">
        <f>IF(Associates_Call_List_PQ!N613="","",Associates_Call_List_PQ!N613)</f>
        <v>No</v>
      </c>
      <c r="O613" s="57" t="str">
        <f>IF(Associates_Call_List_PQ!O613="","",Associates_Call_List_PQ!O613)</f>
        <v>Yes</v>
      </c>
      <c r="P613" s="57" t="str">
        <f>IF(Associates_Call_List_PQ!P613="","",Associates_Call_List_PQ!P613)</f>
        <v>N</v>
      </c>
      <c r="Q613" s="57">
        <f>IF(Associates_Call_List_PQ!Q613="","",Associates_Call_List_PQ!Q613)</f>
        <v>45964</v>
      </c>
      <c r="R613" s="57" t="str">
        <f>IF(Associates_Call_List_PQ!R613="","",Associates_Call_List_PQ!R613)</f>
        <v/>
      </c>
      <c r="S613" s="57" t="str">
        <f>IF(Associates_Call_List_PQ!S613="","",Associates_Call_List_PQ!S613)</f>
        <v/>
      </c>
      <c r="T613" s="57" t="str">
        <f>IF(Associates_Call_List_PQ!T613="","",Associates_Call_List_PQ!T613)</f>
        <v/>
      </c>
      <c r="U613" s="57" t="str">
        <f>IF(Associates_Call_List_PQ!U613="","",Associates_Call_List_PQ!U613)</f>
        <v/>
      </c>
      <c r="V613" s="68"/>
      <c r="W613" s="68" t="s">
        <v>5432</v>
      </c>
      <c r="X613" s="68"/>
      <c r="Y613" s="68"/>
      <c r="Z613" s="72"/>
    </row>
    <row r="614" spans="1:26">
      <c r="A614" s="71">
        <f>IFERROR(Associates_Call_List_PQ!A614,"")</f>
        <v>45906</v>
      </c>
      <c r="B614" s="57" t="str">
        <f>IF(Associates_Call_List_PQ!B614="","",Associates_Call_List_PQ!B614)</f>
        <v>Starr</v>
      </c>
      <c r="C614" s="57" t="str">
        <f>IF(Associates_Call_List_PQ!C614="","",Associates_Call_List_PQ!C614)</f>
        <v>Brian</v>
      </c>
      <c r="D614" s="57" t="str">
        <f>IF(Associates_Call_List_PQ!D614="","",Associates_Call_List_PQ!D614)</f>
        <v>Phoenix</v>
      </c>
      <c r="E614" s="58">
        <f>IF(Associates_Call_List_PQ!E614="","",Associates_Call_List_PQ!E614)</f>
        <v>85028</v>
      </c>
      <c r="F614" s="57" t="str">
        <f>IF(Associates_Call_List_PQ!F614="","",Associates_Call_List_PQ!F614)</f>
        <v>Form letter</v>
      </c>
      <c r="G614" s="57" t="str">
        <f>IF(Associates_Call_List_PQ!G614="","",Associates_Call_List_PQ!G614)</f>
        <v>https://docket.images.azcc.gov/E000046266.pdf</v>
      </c>
      <c r="H614" s="59" t="str">
        <f>IF(Associates_Call_List_PQ!H614="","",Associates_Call_List_PQ!H614)</f>
        <v xml:space="preserve">9045311000 </v>
      </c>
      <c r="I614" s="57" t="str">
        <f>IF(Associates_Call_List_PQ!I614="","",Associates_Call_List_PQ!I614)</f>
        <v>RCPw/RTOUE47</v>
      </c>
      <c r="J614" s="57" t="str">
        <f>IF(Associates_Call_List_PQ!J614="","",Associates_Call_List_PQ!J614)</f>
        <v>No</v>
      </c>
      <c r="K614" s="57" t="str">
        <f>IF(Associates_Call_List_PQ!K614="","",Associates_Call_List_PQ!K614)</f>
        <v>No</v>
      </c>
      <c r="L614" s="57" t="str">
        <f>IF(Associates_Call_List_PQ!L614="","",Associates_Call_List_PQ!L614)</f>
        <v>Yes</v>
      </c>
      <c r="M614" s="57" t="str">
        <f>IF(Associates_Call_List_PQ!M614="","",Associates_Call_List_PQ!M614)</f>
        <v>No</v>
      </c>
      <c r="N614" s="57" t="str">
        <f>IF(Associates_Call_List_PQ!N614="","",Associates_Call_List_PQ!N614)</f>
        <v>No</v>
      </c>
      <c r="O614" s="57" t="str">
        <f>IF(Associates_Call_List_PQ!O614="","",Associates_Call_List_PQ!O614)</f>
        <v>Yes</v>
      </c>
      <c r="P614" s="57" t="str">
        <f>IF(Associates_Call_List_PQ!P614="","",Associates_Call_List_PQ!P614)</f>
        <v>N</v>
      </c>
      <c r="Q614" s="57">
        <f>IF(Associates_Call_List_PQ!Q614="","",Associates_Call_List_PQ!Q614)</f>
        <v>45964</v>
      </c>
      <c r="R614" s="57" t="str">
        <f>IF(Associates_Call_List_PQ!R614="","",Associates_Call_List_PQ!R614)</f>
        <v/>
      </c>
      <c r="S614" s="57" t="str">
        <f>IF(Associates_Call_List_PQ!S614="","",Associates_Call_List_PQ!S614)</f>
        <v/>
      </c>
      <c r="T614" s="57" t="str">
        <f>IF(Associates_Call_List_PQ!T614="","",Associates_Call_List_PQ!T614)</f>
        <v/>
      </c>
      <c r="U614" s="57" t="str">
        <f>IF(Associates_Call_List_PQ!U614="","",Associates_Call_List_PQ!U614)</f>
        <v/>
      </c>
      <c r="V614" s="68"/>
      <c r="W614" s="68" t="s">
        <v>5432</v>
      </c>
      <c r="X614" s="68"/>
      <c r="Y614" s="68"/>
      <c r="Z614" s="72"/>
    </row>
    <row r="615" spans="1:26">
      <c r="A615" s="71">
        <f>IFERROR(Associates_Call_List_PQ!A615,"")</f>
        <v>45906</v>
      </c>
      <c r="B615" s="57" t="str">
        <f>IF(Associates_Call_List_PQ!B615="","",Associates_Call_List_PQ!B615)</f>
        <v>Deltoro</v>
      </c>
      <c r="C615" s="57" t="str">
        <f>IF(Associates_Call_List_PQ!C615="","",Associates_Call_List_PQ!C615)</f>
        <v>Jose</v>
      </c>
      <c r="D615" s="57" t="str">
        <f>IF(Associates_Call_List_PQ!D615="","",Associates_Call_List_PQ!D615)</f>
        <v>Cave Creek</v>
      </c>
      <c r="E615" s="58">
        <f>IF(Associates_Call_List_PQ!E615="","",Associates_Call_List_PQ!E615)</f>
        <v>85331</v>
      </c>
      <c r="F615" s="57" t="str">
        <f>IF(Associates_Call_List_PQ!F615="","",Associates_Call_List_PQ!F615)</f>
        <v>Form letter</v>
      </c>
      <c r="G615" s="57" t="str">
        <f>IF(Associates_Call_List_PQ!G615="","",Associates_Call_List_PQ!G615)</f>
        <v>https://docket.images.azcc.gov/E000046266.pdf</v>
      </c>
      <c r="H615" s="59" t="str">
        <f>IF(Associates_Call_List_PQ!H615="","",Associates_Call_List_PQ!H615)</f>
        <v xml:space="preserve">9336980000 </v>
      </c>
      <c r="I615" s="57" t="str">
        <f>IF(Associates_Call_List_PQ!I615="","",Associates_Call_List_PQ!I615)</f>
        <v>RTOUE47</v>
      </c>
      <c r="J615" s="57" t="str">
        <f>IF(Associates_Call_List_PQ!J615="","",Associates_Call_List_PQ!J615)</f>
        <v>No</v>
      </c>
      <c r="K615" s="57" t="str">
        <f>IF(Associates_Call_List_PQ!K615="","",Associates_Call_List_PQ!K615)</f>
        <v>No</v>
      </c>
      <c r="L615" s="57" t="str">
        <f>IF(Associates_Call_List_PQ!L615="","",Associates_Call_List_PQ!L615)</f>
        <v>No MEP R3-47($253.38)</v>
      </c>
      <c r="M615" s="57" t="str">
        <f>IF(Associates_Call_List_PQ!M615="","",Associates_Call_List_PQ!M615)</f>
        <v>No</v>
      </c>
      <c r="N615" s="57" t="str">
        <f>IF(Associates_Call_List_PQ!N615="","",Associates_Call_List_PQ!N615)</f>
        <v>No</v>
      </c>
      <c r="O615" s="57" t="str">
        <f>IF(Associates_Call_List_PQ!O615="","",Associates_Call_List_PQ!O615)</f>
        <v>Yes</v>
      </c>
      <c r="P615" s="57">
        <f>IF(Associates_Call_List_PQ!P615="","",Associates_Call_List_PQ!P615)</f>
        <v>45939</v>
      </c>
      <c r="Q615" s="57">
        <f>IF(Associates_Call_List_PQ!Q615="","",Associates_Call_List_PQ!Q615)</f>
        <v>45964</v>
      </c>
      <c r="R615" s="57" t="str">
        <f>IF(Associates_Call_List_PQ!R615="","",Associates_Call_List_PQ!R615)</f>
        <v>10/9 Left VM</v>
      </c>
      <c r="S615" s="57" t="str">
        <f>IF(Associates_Call_List_PQ!S615="","",Associates_Call_List_PQ!S615)</f>
        <v/>
      </c>
      <c r="T615" s="57" t="str">
        <f>IF(Associates_Call_List_PQ!T615="","",Associates_Call_List_PQ!T615)</f>
        <v/>
      </c>
      <c r="U615" s="57" t="str">
        <f>IF(Associates_Call_List_PQ!U615="","",Associates_Call_List_PQ!U615)</f>
        <v/>
      </c>
      <c r="V615" s="68" t="s">
        <v>5433</v>
      </c>
      <c r="W615" s="68">
        <v>46046</v>
      </c>
      <c r="X615" s="68" t="s">
        <v>5405</v>
      </c>
      <c r="Y615" s="68"/>
      <c r="Z615" s="72" t="s">
        <v>5613</v>
      </c>
    </row>
    <row r="616" spans="1:26">
      <c r="A616" s="71">
        <f>IFERROR(Associates_Call_List_PQ!A616,"")</f>
        <v>45906</v>
      </c>
      <c r="B616" s="57" t="str">
        <f>IF(Associates_Call_List_PQ!B616="","",Associates_Call_List_PQ!B616)</f>
        <v>Lanchbury</v>
      </c>
      <c r="C616" s="57" t="str">
        <f>IF(Associates_Call_List_PQ!C616="","",Associates_Call_List_PQ!C616)</f>
        <v>Hunter</v>
      </c>
      <c r="D616" s="57" t="str">
        <f>IF(Associates_Call_List_PQ!D616="","",Associates_Call_List_PQ!D616)</f>
        <v>Phoenix</v>
      </c>
      <c r="E616" s="58">
        <f>IF(Associates_Call_List_PQ!E616="","",Associates_Call_List_PQ!E616)</f>
        <v>85032</v>
      </c>
      <c r="F616" s="57" t="str">
        <f>IF(Associates_Call_List_PQ!F616="","",Associates_Call_List_PQ!F616)</f>
        <v>Form letter</v>
      </c>
      <c r="G616" s="57" t="str">
        <f>IF(Associates_Call_List_PQ!G616="","",Associates_Call_List_PQ!G616)</f>
        <v>https://docket.images.azcc.gov/E000046266.pdf</v>
      </c>
      <c r="H616" s="59" t="str">
        <f>IF(Associates_Call_List_PQ!H616="","",Associates_Call_List_PQ!H616)</f>
        <v xml:space="preserve">4051995898 </v>
      </c>
      <c r="I616" s="57" t="str">
        <f>IF(Associates_Call_List_PQ!I616="","",Associates_Call_List_PQ!I616)</f>
        <v>EPR-6w/ET-2</v>
      </c>
      <c r="J616" s="57" t="str">
        <f>IF(Associates_Call_List_PQ!J616="","",Associates_Call_List_PQ!J616)</f>
        <v>No</v>
      </c>
      <c r="K616" s="57" t="str">
        <f>IF(Associates_Call_List_PQ!K616="","",Associates_Call_List_PQ!K616)</f>
        <v>No</v>
      </c>
      <c r="L616" s="57" t="str">
        <f>IF(Associates_Call_List_PQ!L616="","",Associates_Call_List_PQ!L616)</f>
        <v>Frozen Rate</v>
      </c>
      <c r="M616" s="57" t="str">
        <f>IF(Associates_Call_List_PQ!M616="","",Associates_Call_List_PQ!M616)</f>
        <v>No</v>
      </c>
      <c r="N616" s="57" t="str">
        <f>IF(Associates_Call_List_PQ!N616="","",Associates_Call_List_PQ!N616)</f>
        <v>No</v>
      </c>
      <c r="O616" s="57" t="str">
        <f>IF(Associates_Call_List_PQ!O616="","",Associates_Call_List_PQ!O616)</f>
        <v>Yes</v>
      </c>
      <c r="P616" s="57" t="str">
        <f>IF(Associates_Call_List_PQ!P616="","",Associates_Call_List_PQ!P616)</f>
        <v>N</v>
      </c>
      <c r="Q616" s="57">
        <f>IF(Associates_Call_List_PQ!Q616="","",Associates_Call_List_PQ!Q616)</f>
        <v>45964</v>
      </c>
      <c r="R616" s="57" t="str">
        <f>IF(Associates_Call_List_PQ!R616="","",Associates_Call_List_PQ!R616)</f>
        <v/>
      </c>
      <c r="S616" s="57" t="str">
        <f>IF(Associates_Call_List_PQ!S616="","",Associates_Call_List_PQ!S616)</f>
        <v/>
      </c>
      <c r="T616" s="57" t="str">
        <f>IF(Associates_Call_List_PQ!T616="","",Associates_Call_List_PQ!T616)</f>
        <v/>
      </c>
      <c r="U616" s="57" t="str">
        <f>IF(Associates_Call_List_PQ!U616="","",Associates_Call_List_PQ!U616)</f>
        <v/>
      </c>
      <c r="V616" s="68"/>
      <c r="W616" s="68" t="s">
        <v>5432</v>
      </c>
      <c r="X616" s="68"/>
      <c r="Y616" s="68"/>
      <c r="Z616" s="72"/>
    </row>
    <row r="617" spans="1:26">
      <c r="A617" s="71">
        <f>IFERROR(Associates_Call_List_PQ!A617,"")</f>
        <v>45906</v>
      </c>
      <c r="B617" s="57" t="str">
        <f>IF(Associates_Call_List_PQ!B617="","",Associates_Call_List_PQ!B617)</f>
        <v>Lopez</v>
      </c>
      <c r="C617" s="57" t="str">
        <f>IF(Associates_Call_List_PQ!C617="","",Associates_Call_List_PQ!C617)</f>
        <v>Ivan</v>
      </c>
      <c r="D617" s="57" t="str">
        <f>IF(Associates_Call_List_PQ!D617="","",Associates_Call_List_PQ!D617)</f>
        <v>Gilbert</v>
      </c>
      <c r="E617" s="58">
        <f>IF(Associates_Call_List_PQ!E617="","",Associates_Call_List_PQ!E617)</f>
        <v>85234</v>
      </c>
      <c r="F617" s="57" t="str">
        <f>IF(Associates_Call_List_PQ!F617="","",Associates_Call_List_PQ!F617)</f>
        <v>Opposed</v>
      </c>
      <c r="G617" s="57" t="str">
        <f>IF(Associates_Call_List_PQ!G617="","",Associates_Call_List_PQ!G617)</f>
        <v>https://docket.images.azcc.gov/E000046266.pdf</v>
      </c>
      <c r="H617" s="59" t="str">
        <f>IF(Associates_Call_List_PQ!H617="","",Associates_Call_List_PQ!H617)</f>
        <v xml:space="preserve">1333897739 </v>
      </c>
      <c r="I617" s="57" t="str">
        <f>IF(Associates_Call_List_PQ!I617="","",Associates_Call_List_PQ!I617)</f>
        <v>R-BASIC</v>
      </c>
      <c r="J617" s="57" t="str">
        <f>IF(Associates_Call_List_PQ!J617="","",Associates_Call_List_PQ!J617)</f>
        <v>No</v>
      </c>
      <c r="K617" s="57" t="str">
        <f>IF(Associates_Call_List_PQ!K617="","",Associates_Call_List_PQ!K617)</f>
        <v>No</v>
      </c>
      <c r="L617" s="57" t="str">
        <f>IF(Associates_Call_List_PQ!L617="","",Associates_Call_List_PQ!L617)</f>
        <v>Yes</v>
      </c>
      <c r="M617" s="57" t="str">
        <f>IF(Associates_Call_List_PQ!M617="","",Associates_Call_List_PQ!M617)</f>
        <v>No</v>
      </c>
      <c r="N617" s="57" t="str">
        <f>IF(Associates_Call_List_PQ!N617="","",Associates_Call_List_PQ!N617)</f>
        <v>No</v>
      </c>
      <c r="O617" s="57" t="str">
        <f>IF(Associates_Call_List_PQ!O617="","",Associates_Call_List_PQ!O617)</f>
        <v>Yes</v>
      </c>
      <c r="P617" s="57" t="str">
        <f>IF(Associates_Call_List_PQ!P617="","",Associates_Call_List_PQ!P617)</f>
        <v>N</v>
      </c>
      <c r="Q617" s="57">
        <f>IF(Associates_Call_List_PQ!Q617="","",Associates_Call_List_PQ!Q617)</f>
        <v>45964</v>
      </c>
      <c r="R617" s="57" t="str">
        <f>IF(Associates_Call_List_PQ!R617="","",Associates_Call_List_PQ!R617)</f>
        <v/>
      </c>
      <c r="S617" s="57" t="str">
        <f>IF(Associates_Call_List_PQ!S617="","",Associates_Call_List_PQ!S617)</f>
        <v/>
      </c>
      <c r="T617" s="57" t="str">
        <f>IF(Associates_Call_List_PQ!T617="","",Associates_Call_List_PQ!T617)</f>
        <v/>
      </c>
      <c r="U617" s="57" t="str">
        <f>IF(Associates_Call_List_PQ!U617="","",Associates_Call_List_PQ!U617)</f>
        <v/>
      </c>
      <c r="V617" s="68"/>
      <c r="W617" s="68" t="s">
        <v>5432</v>
      </c>
      <c r="X617" s="68"/>
      <c r="Y617" s="68"/>
      <c r="Z617" s="72"/>
    </row>
    <row r="618" spans="1:26">
      <c r="A618" s="71">
        <f>IFERROR(Associates_Call_List_PQ!A618,"")</f>
        <v>45906</v>
      </c>
      <c r="B618" s="57" t="str">
        <f>IF(Associates_Call_List_PQ!B618="","",Associates_Call_List_PQ!B618)</f>
        <v>Jaeger</v>
      </c>
      <c r="C618" s="57" t="str">
        <f>IF(Associates_Call_List_PQ!C618="","",Associates_Call_List_PQ!C618)</f>
        <v>Paul</v>
      </c>
      <c r="D618" s="57" t="str">
        <f>IF(Associates_Call_List_PQ!D618="","",Associates_Call_List_PQ!D618)</f>
        <v>Yuma</v>
      </c>
      <c r="E618" s="58">
        <f>IF(Associates_Call_List_PQ!E618="","",Associates_Call_List_PQ!E618)</f>
        <v>85367</v>
      </c>
      <c r="F618" s="57" t="str">
        <f>IF(Associates_Call_List_PQ!F618="","",Associates_Call_List_PQ!F618)</f>
        <v>Opposed</v>
      </c>
      <c r="G618" s="57" t="str">
        <f>IF(Associates_Call_List_PQ!G618="","",Associates_Call_List_PQ!G618)</f>
        <v>https://docket.images.azcc.gov/E000046266.pdf</v>
      </c>
      <c r="H618" s="59" t="str">
        <f>IF(Associates_Call_List_PQ!H618="","",Associates_Call_List_PQ!H618)</f>
        <v xml:space="preserve">3727344076 </v>
      </c>
      <c r="I618" s="57" t="str">
        <f>IF(Associates_Call_List_PQ!I618="","",Associates_Call_List_PQ!I618)</f>
        <v>RCPw/RTOUE47</v>
      </c>
      <c r="J618" s="57" t="str">
        <f>IF(Associates_Call_List_PQ!J618="","",Associates_Call_List_PQ!J618)</f>
        <v>No</v>
      </c>
      <c r="K618" s="57" t="str">
        <f>IF(Associates_Call_List_PQ!K618="","",Associates_Call_List_PQ!K618)</f>
        <v>No</v>
      </c>
      <c r="L618" s="57" t="str">
        <f>IF(Associates_Call_List_PQ!L618="","",Associates_Call_List_PQ!L618)</f>
        <v>Yes</v>
      </c>
      <c r="M618" s="57" t="str">
        <f>IF(Associates_Call_List_PQ!M618="","",Associates_Call_List_PQ!M618)</f>
        <v>Yes</v>
      </c>
      <c r="N618" s="57">
        <f>IF(Associates_Call_List_PQ!N618="","",Associates_Call_List_PQ!N618)</f>
        <v>122.88</v>
      </c>
      <c r="O618" s="57" t="str">
        <f>IF(Associates_Call_List_PQ!O618="","",Associates_Call_List_PQ!O618)</f>
        <v>Yes</v>
      </c>
      <c r="P618" s="57" t="str">
        <f>IF(Associates_Call_List_PQ!P618="","",Associates_Call_List_PQ!P618)</f>
        <v>N</v>
      </c>
      <c r="Q618" s="57">
        <f>IF(Associates_Call_List_PQ!Q618="","",Associates_Call_List_PQ!Q618)</f>
        <v>45964</v>
      </c>
      <c r="R618" s="57" t="str">
        <f>IF(Associates_Call_List_PQ!R618="","",Associates_Call_List_PQ!R618)</f>
        <v/>
      </c>
      <c r="S618" s="57" t="str">
        <f>IF(Associates_Call_List_PQ!S618="","",Associates_Call_List_PQ!S618)</f>
        <v/>
      </c>
      <c r="T618" s="57" t="str">
        <f>IF(Associates_Call_List_PQ!T618="","",Associates_Call_List_PQ!T618)</f>
        <v/>
      </c>
      <c r="U618" s="57" t="str">
        <f>IF(Associates_Call_List_PQ!U618="","",Associates_Call_List_PQ!U618)</f>
        <v/>
      </c>
      <c r="V618" s="68" t="s">
        <v>5433</v>
      </c>
      <c r="W618" s="68">
        <v>46046</v>
      </c>
      <c r="X618" s="68" t="s">
        <v>5405</v>
      </c>
      <c r="Y618" s="68" t="s">
        <v>5461</v>
      </c>
      <c r="Z618" s="72"/>
    </row>
    <row r="619" spans="1:26">
      <c r="A619" s="71">
        <f>IFERROR(Associates_Call_List_PQ!A619,"")</f>
        <v>45906</v>
      </c>
      <c r="B619" s="57" t="str">
        <f>IF(Associates_Call_List_PQ!B619="","",Associates_Call_List_PQ!B619)</f>
        <v>Young</v>
      </c>
      <c r="C619" s="57" t="str">
        <f>IF(Associates_Call_List_PQ!C619="","",Associates_Call_List_PQ!C619)</f>
        <v>Troy</v>
      </c>
      <c r="D619" s="57" t="str">
        <f>IF(Associates_Call_List_PQ!D619="","",Associates_Call_List_PQ!D619)</f>
        <v>Phoenix</v>
      </c>
      <c r="E619" s="58">
        <f>IF(Associates_Call_List_PQ!E619="","",Associates_Call_List_PQ!E619)</f>
        <v>85024</v>
      </c>
      <c r="F619" s="57" t="str">
        <f>IF(Associates_Call_List_PQ!F619="","",Associates_Call_List_PQ!F619)</f>
        <v>Keep it affordable</v>
      </c>
      <c r="G619" s="57" t="str">
        <f>IF(Associates_Call_List_PQ!G619="","",Associates_Call_List_PQ!G619)</f>
        <v>https://docket.images.azcc.gov/E000046266.pdf</v>
      </c>
      <c r="H619" s="59" t="str">
        <f>IF(Associates_Call_List_PQ!H619="","",Associates_Call_List_PQ!H619)</f>
        <v xml:space="preserve">8964410000 </v>
      </c>
      <c r="I619" s="57" t="str">
        <f>IF(Associates_Call_List_PQ!I619="","",Associates_Call_List_PQ!I619)</f>
        <v>R3-47</v>
      </c>
      <c r="J619" s="57" t="str">
        <f>IF(Associates_Call_List_PQ!J619="","",Associates_Call_List_PQ!J619)</f>
        <v>No</v>
      </c>
      <c r="K619" s="57" t="str">
        <f>IF(Associates_Call_List_PQ!K619="","",Associates_Call_List_PQ!K619)</f>
        <v>No</v>
      </c>
      <c r="L619" s="57" t="str">
        <f>IF(Associates_Call_List_PQ!L619="","",Associates_Call_List_PQ!L619)</f>
        <v>Yes</v>
      </c>
      <c r="M619" s="57" t="str">
        <f>IF(Associates_Call_List_PQ!M619="","",Associates_Call_List_PQ!M619)</f>
        <v>No</v>
      </c>
      <c r="N619" s="57" t="str">
        <f>IF(Associates_Call_List_PQ!N619="","",Associates_Call_List_PQ!N619)</f>
        <v>No</v>
      </c>
      <c r="O619" s="57" t="str">
        <f>IF(Associates_Call_List_PQ!O619="","",Associates_Call_List_PQ!O619)</f>
        <v>Yes</v>
      </c>
      <c r="P619" s="57" t="str">
        <f>IF(Associates_Call_List_PQ!P619="","",Associates_Call_List_PQ!P619)</f>
        <v>N</v>
      </c>
      <c r="Q619" s="57">
        <f>IF(Associates_Call_List_PQ!Q619="","",Associates_Call_List_PQ!Q619)</f>
        <v>45964</v>
      </c>
      <c r="R619" s="57" t="str">
        <f>IF(Associates_Call_List_PQ!R619="","",Associates_Call_List_PQ!R619)</f>
        <v/>
      </c>
      <c r="S619" s="57" t="str">
        <f>IF(Associates_Call_List_PQ!S619="","",Associates_Call_List_PQ!S619)</f>
        <v/>
      </c>
      <c r="T619" s="57" t="str">
        <f>IF(Associates_Call_List_PQ!T619="","",Associates_Call_List_PQ!T619)</f>
        <v/>
      </c>
      <c r="U619" s="57" t="str">
        <f>IF(Associates_Call_List_PQ!U619="","",Associates_Call_List_PQ!U619)</f>
        <v/>
      </c>
      <c r="V619" s="68"/>
      <c r="W619" s="68" t="s">
        <v>5432</v>
      </c>
      <c r="X619" s="68"/>
      <c r="Y619" s="68"/>
      <c r="Z619" s="72"/>
    </row>
    <row r="620" spans="1:26">
      <c r="A620" s="71">
        <f>IFERROR(Associates_Call_List_PQ!A620,"")</f>
        <v>45906</v>
      </c>
      <c r="B620" s="57" t="str">
        <f>IF(Associates_Call_List_PQ!B620="","",Associates_Call_List_PQ!B620)</f>
        <v>Clements</v>
      </c>
      <c r="C620" s="57" t="str">
        <f>IF(Associates_Call_List_PQ!C620="","",Associates_Call_List_PQ!C620)</f>
        <v>Matthew</v>
      </c>
      <c r="D620" s="57" t="str">
        <f>IF(Associates_Call_List_PQ!D620="","",Associates_Call_List_PQ!D620)</f>
        <v>Tempe</v>
      </c>
      <c r="E620" s="58">
        <f>IF(Associates_Call_List_PQ!E620="","",Associates_Call_List_PQ!E620)</f>
        <v>85281</v>
      </c>
      <c r="F620" s="57" t="str">
        <f>IF(Associates_Call_List_PQ!F620="","",Associates_Call_List_PQ!F620)</f>
        <v>Form letter</v>
      </c>
      <c r="G620" s="57" t="str">
        <f>IF(Associates_Call_List_PQ!G620="","",Associates_Call_List_PQ!G620)</f>
        <v>https://docket.images.azcc.gov/E000046266.pdf</v>
      </c>
      <c r="H620" s="59" t="str">
        <f>IF(Associates_Call_List_PQ!H620="","",Associates_Call_List_PQ!H620)</f>
        <v xml:space="preserve">7013259359 </v>
      </c>
      <c r="I620" s="57" t="str">
        <f>IF(Associates_Call_List_PQ!I620="","",Associates_Call_List_PQ!I620)</f>
        <v>R3-47</v>
      </c>
      <c r="J620" s="57" t="str">
        <f>IF(Associates_Call_List_PQ!J620="","",Associates_Call_List_PQ!J620)</f>
        <v>No</v>
      </c>
      <c r="K620" s="57" t="str">
        <f>IF(Associates_Call_List_PQ!K620="","",Associates_Call_List_PQ!K620)</f>
        <v>No</v>
      </c>
      <c r="L620" s="57" t="str">
        <f>IF(Associates_Call_List_PQ!L620="","",Associates_Call_List_PQ!L620)</f>
        <v>Yes</v>
      </c>
      <c r="M620" s="57" t="str">
        <f>IF(Associates_Call_List_PQ!M620="","",Associates_Call_List_PQ!M620)</f>
        <v>No</v>
      </c>
      <c r="N620" s="57" t="str">
        <f>IF(Associates_Call_List_PQ!N620="","",Associates_Call_List_PQ!N620)</f>
        <v>No</v>
      </c>
      <c r="O620" s="57" t="str">
        <f>IF(Associates_Call_List_PQ!O620="","",Associates_Call_List_PQ!O620)</f>
        <v>Yes</v>
      </c>
      <c r="P620" s="57" t="str">
        <f>IF(Associates_Call_List_PQ!P620="","",Associates_Call_List_PQ!P620)</f>
        <v>N</v>
      </c>
      <c r="Q620" s="57">
        <f>IF(Associates_Call_List_PQ!Q620="","",Associates_Call_List_PQ!Q620)</f>
        <v>45964</v>
      </c>
      <c r="R620" s="57" t="str">
        <f>IF(Associates_Call_List_PQ!R620="","",Associates_Call_List_PQ!R620)</f>
        <v/>
      </c>
      <c r="S620" s="57" t="str">
        <f>IF(Associates_Call_List_PQ!S620="","",Associates_Call_List_PQ!S620)</f>
        <v/>
      </c>
      <c r="T620" s="57" t="str">
        <f>IF(Associates_Call_List_PQ!T620="","",Associates_Call_List_PQ!T620)</f>
        <v/>
      </c>
      <c r="U620" s="57" t="str">
        <f>IF(Associates_Call_List_PQ!U620="","",Associates_Call_List_PQ!U620)</f>
        <v/>
      </c>
      <c r="V620" s="68"/>
      <c r="W620" s="68" t="s">
        <v>5432</v>
      </c>
      <c r="X620" s="68"/>
      <c r="Y620" s="68"/>
      <c r="Z620" s="72"/>
    </row>
    <row r="621" spans="1:26">
      <c r="A621" s="71">
        <f>IFERROR(Associates_Call_List_PQ!A621,"")</f>
        <v>45906</v>
      </c>
      <c r="B621" s="57" t="str">
        <f>IF(Associates_Call_List_PQ!B621="","",Associates_Call_List_PQ!B621)</f>
        <v>Jender</v>
      </c>
      <c r="C621" s="57" t="str">
        <f>IF(Associates_Call_List_PQ!C621="","",Associates_Call_List_PQ!C621)</f>
        <v>Michael</v>
      </c>
      <c r="D621" s="57" t="str">
        <f>IF(Associates_Call_List_PQ!D621="","",Associates_Call_List_PQ!D621)</f>
        <v>Phoenix</v>
      </c>
      <c r="E621" s="58">
        <f>IF(Associates_Call_List_PQ!E621="","",Associates_Call_List_PQ!E621)</f>
        <v>85004</v>
      </c>
      <c r="F621" s="57" t="str">
        <f>IF(Associates_Call_List_PQ!F621="","",Associates_Call_List_PQ!F621)</f>
        <v>Form letter</v>
      </c>
      <c r="G621" s="57" t="str">
        <f>IF(Associates_Call_List_PQ!G621="","",Associates_Call_List_PQ!G621)</f>
        <v>https://docket.images.azcc.gov/E000046266.pdf</v>
      </c>
      <c r="H621" s="59" t="str">
        <f>IF(Associates_Call_List_PQ!H621="","",Associates_Call_List_PQ!H621)</f>
        <v xml:space="preserve">7972989951 </v>
      </c>
      <c r="I621" s="57" t="str">
        <f>IF(Associates_Call_List_PQ!I621="","",Associates_Call_List_PQ!I621)</f>
        <v>R-BASIC</v>
      </c>
      <c r="J621" s="57" t="str">
        <f>IF(Associates_Call_List_PQ!J621="","",Associates_Call_List_PQ!J621)</f>
        <v>No</v>
      </c>
      <c r="K621" s="57" t="str">
        <f>IF(Associates_Call_List_PQ!K621="","",Associates_Call_List_PQ!K621)</f>
        <v>No</v>
      </c>
      <c r="L621" s="57" t="str">
        <f>IF(Associates_Call_List_PQ!L621="","",Associates_Call_List_PQ!L621)</f>
        <v>No MEP R-XS ($47.79)</v>
      </c>
      <c r="M621" s="57" t="str">
        <f>IF(Associates_Call_List_PQ!M621="","",Associates_Call_List_PQ!M621)</f>
        <v>No</v>
      </c>
      <c r="N621" s="57" t="str">
        <f>IF(Associates_Call_List_PQ!N621="","",Associates_Call_List_PQ!N621)</f>
        <v>No</v>
      </c>
      <c r="O621" s="57" t="str">
        <f>IF(Associates_Call_List_PQ!O621="","",Associates_Call_List_PQ!O621)</f>
        <v>Yes</v>
      </c>
      <c r="P621" s="57" t="str">
        <f>IF(Associates_Call_List_PQ!P621="","",Associates_Call_List_PQ!P621)</f>
        <v>N</v>
      </c>
      <c r="Q621" s="57">
        <f>IF(Associates_Call_List_PQ!Q621="","",Associates_Call_List_PQ!Q621)</f>
        <v>45964</v>
      </c>
      <c r="R621" s="57" t="str">
        <f>IF(Associates_Call_List_PQ!R621="","",Associates_Call_List_PQ!R621)</f>
        <v/>
      </c>
      <c r="S621" s="57" t="str">
        <f>IF(Associates_Call_List_PQ!S621="","",Associates_Call_List_PQ!S621)</f>
        <v/>
      </c>
      <c r="T621" s="57" t="str">
        <f>IF(Associates_Call_List_PQ!T621="","",Associates_Call_List_PQ!T621)</f>
        <v/>
      </c>
      <c r="U621" s="57" t="str">
        <f>IF(Associates_Call_List_PQ!U621="","",Associates_Call_List_PQ!U621)</f>
        <v/>
      </c>
      <c r="V621" s="68" t="s">
        <v>5433</v>
      </c>
      <c r="W621" s="68">
        <v>46046</v>
      </c>
      <c r="X621" s="68" t="s">
        <v>5405</v>
      </c>
      <c r="Y621" s="68" t="s">
        <v>5461</v>
      </c>
      <c r="Z621" s="72"/>
    </row>
    <row r="622" spans="1:26">
      <c r="A622" s="71">
        <f>IFERROR(Associates_Call_List_PQ!A622,"")</f>
        <v>45906</v>
      </c>
      <c r="B622" s="57" t="str">
        <f>IF(Associates_Call_List_PQ!B622="","",Associates_Call_List_PQ!B622)</f>
        <v>Paynter</v>
      </c>
      <c r="C622" s="57" t="str">
        <f>IF(Associates_Call_List_PQ!C622="","",Associates_Call_List_PQ!C622)</f>
        <v>DJ</v>
      </c>
      <c r="D622" s="57" t="str">
        <f>IF(Associates_Call_List_PQ!D622="","",Associates_Call_List_PQ!D622)</f>
        <v>Peoria</v>
      </c>
      <c r="E622" s="58">
        <f>IF(Associates_Call_List_PQ!E622="","",Associates_Call_List_PQ!E622)</f>
        <v>85382</v>
      </c>
      <c r="F622" s="57" t="str">
        <f>IF(Associates_Call_List_PQ!F622="","",Associates_Call_List_PQ!F622)</f>
        <v>Form letter</v>
      </c>
      <c r="G622" s="57" t="str">
        <f>IF(Associates_Call_List_PQ!G622="","",Associates_Call_List_PQ!G622)</f>
        <v>https://docket.images.azcc.gov/E000046266.pdf</v>
      </c>
      <c r="H622" s="59" t="str">
        <f>IF(Associates_Call_List_PQ!H622="","",Associates_Call_List_PQ!H622)</f>
        <v xml:space="preserve">6898240000 </v>
      </c>
      <c r="I622" s="57" t="str">
        <f>IF(Associates_Call_List_PQ!I622="","",Associates_Call_List_PQ!I622)</f>
        <v>R3-47</v>
      </c>
      <c r="J622" s="57" t="str">
        <f>IF(Associates_Call_List_PQ!J622="","",Associates_Call_List_PQ!J622)</f>
        <v>No</v>
      </c>
      <c r="K622" s="57" t="str">
        <f>IF(Associates_Call_List_PQ!K622="","",Associates_Call_List_PQ!K622)</f>
        <v>No</v>
      </c>
      <c r="L622" s="57" t="str">
        <f>IF(Associates_Call_List_PQ!L622="","",Associates_Call_List_PQ!L622)</f>
        <v>Yes</v>
      </c>
      <c r="M622" s="57" t="str">
        <f>IF(Associates_Call_List_PQ!M622="","",Associates_Call_List_PQ!M622)</f>
        <v>No</v>
      </c>
      <c r="N622" s="57" t="str">
        <f>IF(Associates_Call_List_PQ!N622="","",Associates_Call_List_PQ!N622)</f>
        <v>No</v>
      </c>
      <c r="O622" s="57" t="str">
        <f>IF(Associates_Call_List_PQ!O622="","",Associates_Call_List_PQ!O622)</f>
        <v>Yes</v>
      </c>
      <c r="P622" s="57" t="str">
        <f>IF(Associates_Call_List_PQ!P622="","",Associates_Call_List_PQ!P622)</f>
        <v>N</v>
      </c>
      <c r="Q622" s="57">
        <f>IF(Associates_Call_List_PQ!Q622="","",Associates_Call_List_PQ!Q622)</f>
        <v>45964</v>
      </c>
      <c r="R622" s="57" t="str">
        <f>IF(Associates_Call_List_PQ!R622="","",Associates_Call_List_PQ!R622)</f>
        <v/>
      </c>
      <c r="S622" s="57" t="str">
        <f>IF(Associates_Call_List_PQ!S622="","",Associates_Call_List_PQ!S622)</f>
        <v/>
      </c>
      <c r="T622" s="57" t="str">
        <f>IF(Associates_Call_List_PQ!T622="","",Associates_Call_List_PQ!T622)</f>
        <v/>
      </c>
      <c r="U622" s="57" t="str">
        <f>IF(Associates_Call_List_PQ!U622="","",Associates_Call_List_PQ!U622)</f>
        <v/>
      </c>
      <c r="V622" s="68"/>
      <c r="W622" s="68" t="s">
        <v>5432</v>
      </c>
      <c r="X622" s="68"/>
      <c r="Y622" s="68"/>
      <c r="Z622" s="72"/>
    </row>
    <row r="623" spans="1:26">
      <c r="A623" s="71">
        <f>IFERROR(Associates_Call_List_PQ!A623,"")</f>
        <v>45906</v>
      </c>
      <c r="B623" s="57" t="str">
        <f>IF(Associates_Call_List_PQ!B623="","",Associates_Call_List_PQ!B623)</f>
        <v>Ferrales</v>
      </c>
      <c r="C623" s="57" t="str">
        <f>IF(Associates_Call_List_PQ!C623="","",Associates_Call_List_PQ!C623)</f>
        <v>Marlenne</v>
      </c>
      <c r="D623" s="57" t="str">
        <f>IF(Associates_Call_List_PQ!D623="","",Associates_Call_List_PQ!D623)</f>
        <v>Phoenix</v>
      </c>
      <c r="E623" s="58">
        <f>IF(Associates_Call_List_PQ!E623="","",Associates_Call_List_PQ!E623)</f>
        <v>85014</v>
      </c>
      <c r="F623" s="57" t="str">
        <f>IF(Associates_Call_List_PQ!F623="","",Associates_Call_List_PQ!F623)</f>
        <v>Form letter</v>
      </c>
      <c r="G623" s="57" t="str">
        <f>IF(Associates_Call_List_PQ!G623="","",Associates_Call_List_PQ!G623)</f>
        <v>https://docket.images.azcc.gov/E000046266.pdf</v>
      </c>
      <c r="H623" s="59" t="str">
        <f>IF(Associates_Call_List_PQ!H623="","",Associates_Call_List_PQ!H623)</f>
        <v xml:space="preserve">6154174693 </v>
      </c>
      <c r="I623" s="57" t="str">
        <f>IF(Associates_Call_List_PQ!I623="","",Associates_Call_List_PQ!I623)</f>
        <v>RTOUE47</v>
      </c>
      <c r="J623" s="57" t="str">
        <f>IF(Associates_Call_List_PQ!J623="","",Associates_Call_List_PQ!J623)</f>
        <v>No</v>
      </c>
      <c r="K623" s="57" t="str">
        <f>IF(Associates_Call_List_PQ!K623="","",Associates_Call_List_PQ!K623)</f>
        <v>No</v>
      </c>
      <c r="L623" s="57" t="str">
        <f>IF(Associates_Call_List_PQ!L623="","",Associates_Call_List_PQ!L623)</f>
        <v>No MEP R-BASIC ($18.51)</v>
      </c>
      <c r="M623" s="57" t="str">
        <f>IF(Associates_Call_List_PQ!M623="","",Associates_Call_List_PQ!M623)</f>
        <v>No</v>
      </c>
      <c r="N623" s="57" t="str">
        <f>IF(Associates_Call_List_PQ!N623="","",Associates_Call_List_PQ!N623)</f>
        <v>No</v>
      </c>
      <c r="O623" s="57" t="str">
        <f>IF(Associates_Call_List_PQ!O623="","",Associates_Call_List_PQ!O623)</f>
        <v>Yes</v>
      </c>
      <c r="P623" s="57" t="str">
        <f>IF(Associates_Call_List_PQ!P623="","",Associates_Call_List_PQ!P623)</f>
        <v>N</v>
      </c>
      <c r="Q623" s="57">
        <f>IF(Associates_Call_List_PQ!Q623="","",Associates_Call_List_PQ!Q623)</f>
        <v>45964</v>
      </c>
      <c r="R623" s="57" t="str">
        <f>IF(Associates_Call_List_PQ!R623="","",Associates_Call_List_PQ!R623)</f>
        <v/>
      </c>
      <c r="S623" s="57" t="str">
        <f>IF(Associates_Call_List_PQ!S623="","",Associates_Call_List_PQ!S623)</f>
        <v/>
      </c>
      <c r="T623" s="57" t="str">
        <f>IF(Associates_Call_List_PQ!T623="","",Associates_Call_List_PQ!T623)</f>
        <v/>
      </c>
      <c r="U623" s="57" t="str">
        <f>IF(Associates_Call_List_PQ!U623="","",Associates_Call_List_PQ!U623)</f>
        <v/>
      </c>
      <c r="V623" s="68" t="s">
        <v>5433</v>
      </c>
      <c r="W623" s="68">
        <v>46046</v>
      </c>
      <c r="X623" s="68" t="s">
        <v>5434</v>
      </c>
      <c r="Y623" s="68" t="s">
        <v>5461</v>
      </c>
      <c r="Z623" s="72"/>
    </row>
    <row r="624" spans="1:26">
      <c r="A624" s="71">
        <f>IFERROR(Associates_Call_List_PQ!A624,"")</f>
        <v>45906</v>
      </c>
      <c r="B624" s="57" t="str">
        <f>IF(Associates_Call_List_PQ!B624="","",Associates_Call_List_PQ!B624)</f>
        <v>Pesala</v>
      </c>
      <c r="C624" s="57" t="str">
        <f>IF(Associates_Call_List_PQ!C624="","",Associates_Call_List_PQ!C624)</f>
        <v>Harikrishna</v>
      </c>
      <c r="D624" s="57" t="str">
        <f>IF(Associates_Call_List_PQ!D624="","",Associates_Call_List_PQ!D624)</f>
        <v>Peoria</v>
      </c>
      <c r="E624" s="58">
        <f>IF(Associates_Call_List_PQ!E624="","",Associates_Call_List_PQ!E624)</f>
        <v>85383</v>
      </c>
      <c r="F624" s="57" t="str">
        <f>IF(Associates_Call_List_PQ!F624="","",Associates_Call_List_PQ!F624)</f>
        <v>rake hike is not good</v>
      </c>
      <c r="G624" s="57" t="str">
        <f>IF(Associates_Call_List_PQ!G624="","",Associates_Call_List_PQ!G624)</f>
        <v>https://docket.images.azcc.gov/E000046266.pdf</v>
      </c>
      <c r="H624" s="59" t="str">
        <f>IF(Associates_Call_List_PQ!H624="","",Associates_Call_List_PQ!H624)</f>
        <v xml:space="preserve">6531421867 </v>
      </c>
      <c r="I624" s="57" t="str">
        <f>IF(Associates_Call_List_PQ!I624="","",Associates_Call_List_PQ!I624)</f>
        <v>RCPw/RTOUE47</v>
      </c>
      <c r="J624" s="57" t="str">
        <f>IF(Associates_Call_List_PQ!J624="","",Associates_Call_List_PQ!J624)</f>
        <v>No</v>
      </c>
      <c r="K624" s="57" t="str">
        <f>IF(Associates_Call_List_PQ!K624="","",Associates_Call_List_PQ!K624)</f>
        <v>No</v>
      </c>
      <c r="L624" s="57" t="str">
        <f>IF(Associates_Call_List_PQ!L624="","",Associates_Call_List_PQ!L624)</f>
        <v>No MEP R3-47($83.41)</v>
      </c>
      <c r="M624" s="57" t="str">
        <f>IF(Associates_Call_List_PQ!M624="","",Associates_Call_List_PQ!M624)</f>
        <v>No</v>
      </c>
      <c r="N624" s="57" t="str">
        <f>IF(Associates_Call_List_PQ!N624="","",Associates_Call_List_PQ!N624)</f>
        <v>No</v>
      </c>
      <c r="O624" s="57" t="str">
        <f>IF(Associates_Call_List_PQ!O624="","",Associates_Call_List_PQ!O624)</f>
        <v>Yes</v>
      </c>
      <c r="P624" s="57">
        <f>IF(Associates_Call_List_PQ!P624="","",Associates_Call_List_PQ!P624)</f>
        <v>45939</v>
      </c>
      <c r="Q624" s="57">
        <f>IF(Associates_Call_List_PQ!Q624="","",Associates_Call_List_PQ!Q624)</f>
        <v>45964</v>
      </c>
      <c r="R624" s="57" t="str">
        <f>IF(Associates_Call_List_PQ!R624="","",Associates_Call_List_PQ!R624)</f>
        <v xml:space="preserve">10/9 - Spoke to COR and discussed plan options and how the R3-47 plan works. He would like to review the details online and call back if he decides to switch. </v>
      </c>
      <c r="S624" s="57" t="str">
        <f>IF(Associates_Call_List_PQ!S624="","",Associates_Call_List_PQ!S624)</f>
        <v/>
      </c>
      <c r="T624" s="57" t="str">
        <f>IF(Associates_Call_List_PQ!T624="","",Associates_Call_List_PQ!T624)</f>
        <v/>
      </c>
      <c r="U624" s="57" t="str">
        <f>IF(Associates_Call_List_PQ!U624="","",Associates_Call_List_PQ!U624)</f>
        <v/>
      </c>
      <c r="V624" s="68" t="s">
        <v>5433</v>
      </c>
      <c r="W624" s="68">
        <v>46046</v>
      </c>
      <c r="X624" s="68" t="s">
        <v>5434</v>
      </c>
      <c r="Y624" s="68" t="s">
        <v>5602</v>
      </c>
      <c r="Z624" s="72"/>
    </row>
    <row r="625" spans="1:26">
      <c r="A625" s="71">
        <f>IFERROR(Associates_Call_List_PQ!A625,"")</f>
        <v>45906</v>
      </c>
      <c r="B625" s="57" t="str">
        <f>IF(Associates_Call_List_PQ!B625="","",Associates_Call_List_PQ!B625)</f>
        <v>Kachur</v>
      </c>
      <c r="C625" s="57" t="str">
        <f>IF(Associates_Call_List_PQ!C625="","",Associates_Call_List_PQ!C625)</f>
        <v>Marina</v>
      </c>
      <c r="D625" s="57" t="str">
        <f>IF(Associates_Call_List_PQ!D625="","",Associates_Call_List_PQ!D625)</f>
        <v>Cave Creek</v>
      </c>
      <c r="E625" s="58">
        <f>IF(Associates_Call_List_PQ!E625="","",Associates_Call_List_PQ!E625)</f>
        <v>85331</v>
      </c>
      <c r="F625" s="57" t="str">
        <f>IF(Associates_Call_List_PQ!F625="","",Associates_Call_List_PQ!F625)</f>
        <v>Form letter</v>
      </c>
      <c r="G625" s="57" t="str">
        <f>IF(Associates_Call_List_PQ!G625="","",Associates_Call_List_PQ!G625)</f>
        <v>https://docket.images.azcc.gov/E000046266.pdf</v>
      </c>
      <c r="H625" s="59" t="str">
        <f>IF(Associates_Call_List_PQ!H625="","",Associates_Call_List_PQ!H625)</f>
        <v xml:space="preserve">1682180000 </v>
      </c>
      <c r="I625" s="57" t="str">
        <f>IF(Associates_Call_List_PQ!I625="","",Associates_Call_List_PQ!I625)</f>
        <v>RTOUE47</v>
      </c>
      <c r="J625" s="57" t="str">
        <f>IF(Associates_Call_List_PQ!J625="","",Associates_Call_List_PQ!J625)</f>
        <v>No</v>
      </c>
      <c r="K625" s="57" t="str">
        <f>IF(Associates_Call_List_PQ!K625="","",Associates_Call_List_PQ!K625)</f>
        <v>No</v>
      </c>
      <c r="L625" s="57" t="str">
        <f>IF(Associates_Call_List_PQ!L625="","",Associates_Call_List_PQ!L625)</f>
        <v>Yes</v>
      </c>
      <c r="M625" s="57" t="str">
        <f>IF(Associates_Call_List_PQ!M625="","",Associates_Call_List_PQ!M625)</f>
        <v>No</v>
      </c>
      <c r="N625" s="57" t="str">
        <f>IF(Associates_Call_List_PQ!N625="","",Associates_Call_List_PQ!N625)</f>
        <v>No</v>
      </c>
      <c r="O625" s="57" t="str">
        <f>IF(Associates_Call_List_PQ!O625="","",Associates_Call_List_PQ!O625)</f>
        <v>Yes</v>
      </c>
      <c r="P625" s="57" t="str">
        <f>IF(Associates_Call_List_PQ!P625="","",Associates_Call_List_PQ!P625)</f>
        <v>N</v>
      </c>
      <c r="Q625" s="57">
        <f>IF(Associates_Call_List_PQ!Q625="","",Associates_Call_List_PQ!Q625)</f>
        <v>45964</v>
      </c>
      <c r="R625" s="57" t="str">
        <f>IF(Associates_Call_List_PQ!R625="","",Associates_Call_List_PQ!R625)</f>
        <v/>
      </c>
      <c r="S625" s="57" t="str">
        <f>IF(Associates_Call_List_PQ!S625="","",Associates_Call_List_PQ!S625)</f>
        <v/>
      </c>
      <c r="T625" s="57" t="str">
        <f>IF(Associates_Call_List_PQ!T625="","",Associates_Call_List_PQ!T625)</f>
        <v/>
      </c>
      <c r="U625" s="57" t="str">
        <f>IF(Associates_Call_List_PQ!U625="","",Associates_Call_List_PQ!U625)</f>
        <v/>
      </c>
      <c r="V625" s="68"/>
      <c r="W625" s="68" t="s">
        <v>5432</v>
      </c>
      <c r="X625" s="68"/>
      <c r="Y625" s="68"/>
      <c r="Z625" s="72"/>
    </row>
    <row r="626" spans="1:26">
      <c r="A626" s="71">
        <f>IFERROR(Associates_Call_List_PQ!A626,"")</f>
        <v>45906</v>
      </c>
      <c r="B626" s="57" t="str">
        <f>IF(Associates_Call_List_PQ!B626="","",Associates_Call_List_PQ!B626)</f>
        <v>Gallagher</v>
      </c>
      <c r="C626" s="57" t="str">
        <f>IF(Associates_Call_List_PQ!C626="","",Associates_Call_List_PQ!C626)</f>
        <v>Tina</v>
      </c>
      <c r="D626" s="57" t="str">
        <f>IF(Associates_Call_List_PQ!D626="","",Associates_Call_List_PQ!D626)</f>
        <v>Surprise</v>
      </c>
      <c r="E626" s="58">
        <f>IF(Associates_Call_List_PQ!E626="","",Associates_Call_List_PQ!E626)</f>
        <v>85378</v>
      </c>
      <c r="F626" s="57" t="str">
        <f>IF(Associates_Call_List_PQ!F626="","",Associates_Call_List_PQ!F626)</f>
        <v xml:space="preserve">Fixed income </v>
      </c>
      <c r="G626" s="57" t="str">
        <f>IF(Associates_Call_List_PQ!G626="","",Associates_Call_List_PQ!G626)</f>
        <v>https://docket.images.azcc.gov/E000046266.pdf</v>
      </c>
      <c r="H626" s="59" t="str">
        <f>IF(Associates_Call_List_PQ!H626="","",Associates_Call_List_PQ!H626)</f>
        <v xml:space="preserve">3126570303 </v>
      </c>
      <c r="I626" s="57" t="str">
        <f>IF(Associates_Call_List_PQ!I626="","",Associates_Call_List_PQ!I626)</f>
        <v>R3-47</v>
      </c>
      <c r="J626" s="57" t="str">
        <f>IF(Associates_Call_List_PQ!J626="","",Associates_Call_List_PQ!J626)</f>
        <v>No</v>
      </c>
      <c r="K626" s="57" t="str">
        <f>IF(Associates_Call_List_PQ!K626="","",Associates_Call_List_PQ!K626)</f>
        <v>No</v>
      </c>
      <c r="L626" s="57" t="str">
        <f>IF(Associates_Call_List_PQ!L626="","",Associates_Call_List_PQ!L626)</f>
        <v>Yes</v>
      </c>
      <c r="M626" s="57" t="str">
        <f>IF(Associates_Call_List_PQ!M626="","",Associates_Call_List_PQ!M626)</f>
        <v>No</v>
      </c>
      <c r="N626" s="57" t="str">
        <f>IF(Associates_Call_List_PQ!N626="","",Associates_Call_List_PQ!N626)</f>
        <v>No</v>
      </c>
      <c r="O626" s="57" t="str">
        <f>IF(Associates_Call_List_PQ!O626="","",Associates_Call_List_PQ!O626)</f>
        <v>Yes</v>
      </c>
      <c r="P626" s="57" t="str">
        <f>IF(Associates_Call_List_PQ!P626="","",Associates_Call_List_PQ!P626)</f>
        <v>N</v>
      </c>
      <c r="Q626" s="57">
        <f>IF(Associates_Call_List_PQ!Q626="","",Associates_Call_List_PQ!Q626)</f>
        <v>45964</v>
      </c>
      <c r="R626" s="57" t="str">
        <f>IF(Associates_Call_List_PQ!R626="","",Associates_Call_List_PQ!R626)</f>
        <v>MEP not showing on the bill "flagged irregular usage" - Ashley is checking in to it</v>
      </c>
      <c r="S626" s="57" t="str">
        <f>IF(Associates_Call_List_PQ!S626="","",Associates_Call_List_PQ!S626)</f>
        <v/>
      </c>
      <c r="T626" s="57" t="str">
        <f>IF(Associates_Call_List_PQ!T626="","",Associates_Call_List_PQ!T626)</f>
        <v/>
      </c>
      <c r="U626" s="57" t="str">
        <f>IF(Associates_Call_List_PQ!U626="","",Associates_Call_List_PQ!U626)</f>
        <v/>
      </c>
      <c r="V626" s="68"/>
      <c r="W626" s="68" t="s">
        <v>5432</v>
      </c>
      <c r="X626" s="68"/>
      <c r="Y626" s="68"/>
      <c r="Z626" s="72"/>
    </row>
    <row r="627" spans="1:26">
      <c r="A627" s="71">
        <f>IFERROR(Associates_Call_List_PQ!A627,"")</f>
        <v>45906</v>
      </c>
      <c r="B627" s="57" t="str">
        <f>IF(Associates_Call_List_PQ!B627="","",Associates_Call_List_PQ!B627)</f>
        <v>Juneau</v>
      </c>
      <c r="C627" s="57" t="str">
        <f>IF(Associates_Call_List_PQ!C627="","",Associates_Call_List_PQ!C627)</f>
        <v>Paul</v>
      </c>
      <c r="D627" s="57" t="str">
        <f>IF(Associates_Call_List_PQ!D627="","",Associates_Call_List_PQ!D627)</f>
        <v>Phoenix</v>
      </c>
      <c r="E627" s="58">
        <f>IF(Associates_Call_List_PQ!E627="","",Associates_Call_List_PQ!E627)</f>
        <v>85083</v>
      </c>
      <c r="F627" s="57" t="str">
        <f>IF(Associates_Call_List_PQ!F627="","",Associates_Call_List_PQ!F627)</f>
        <v>Opposed</v>
      </c>
      <c r="G627" s="57" t="str">
        <f>IF(Associates_Call_List_PQ!G627="","",Associates_Call_List_PQ!G627)</f>
        <v>https://docket.images.azcc.gov/E000046266.pdf</v>
      </c>
      <c r="H627" s="59" t="str">
        <f>IF(Associates_Call_List_PQ!H627="","",Associates_Call_List_PQ!H627)</f>
        <v xml:space="preserve">5236586269 </v>
      </c>
      <c r="I627" s="57" t="str">
        <f>IF(Associates_Call_List_PQ!I627="","",Associates_Call_List_PQ!I627)</f>
        <v>R3-47</v>
      </c>
      <c r="J627" s="57" t="str">
        <f>IF(Associates_Call_List_PQ!J627="","",Associates_Call_List_PQ!J627)</f>
        <v>No</v>
      </c>
      <c r="K627" s="57" t="str">
        <f>IF(Associates_Call_List_PQ!K627="","",Associates_Call_List_PQ!K627)</f>
        <v>No</v>
      </c>
      <c r="L627" s="57" t="str">
        <f>IF(Associates_Call_List_PQ!L627="","",Associates_Call_List_PQ!L627)</f>
        <v>Yes</v>
      </c>
      <c r="M627" s="57" t="str">
        <f>IF(Associates_Call_List_PQ!M627="","",Associates_Call_List_PQ!M627)</f>
        <v>No</v>
      </c>
      <c r="N627" s="57" t="str">
        <f>IF(Associates_Call_List_PQ!N627="","",Associates_Call_List_PQ!N627)</f>
        <v>No</v>
      </c>
      <c r="O627" s="57" t="str">
        <f>IF(Associates_Call_List_PQ!O627="","",Associates_Call_List_PQ!O627)</f>
        <v>Yes</v>
      </c>
      <c r="P627" s="57" t="str">
        <f>IF(Associates_Call_List_PQ!P627="","",Associates_Call_List_PQ!P627)</f>
        <v>N</v>
      </c>
      <c r="Q627" s="57">
        <f>IF(Associates_Call_List_PQ!Q627="","",Associates_Call_List_PQ!Q627)</f>
        <v>45964</v>
      </c>
      <c r="R627" s="57" t="str">
        <f>IF(Associates_Call_List_PQ!R627="","",Associates_Call_List_PQ!R627)</f>
        <v/>
      </c>
      <c r="S627" s="57" t="str">
        <f>IF(Associates_Call_List_PQ!S627="","",Associates_Call_List_PQ!S627)</f>
        <v/>
      </c>
      <c r="T627" s="57" t="str">
        <f>IF(Associates_Call_List_PQ!T627="","",Associates_Call_List_PQ!T627)</f>
        <v/>
      </c>
      <c r="U627" s="57" t="str">
        <f>IF(Associates_Call_List_PQ!U627="","",Associates_Call_List_PQ!U627)</f>
        <v/>
      </c>
      <c r="V627" s="68"/>
      <c r="W627" s="68" t="s">
        <v>5432</v>
      </c>
      <c r="X627" s="68"/>
      <c r="Y627" s="68"/>
      <c r="Z627" s="72"/>
    </row>
    <row r="628" spans="1:26">
      <c r="A628" s="71">
        <f>IFERROR(Associates_Call_List_PQ!A628,"")</f>
        <v>45906</v>
      </c>
      <c r="B628" s="57" t="str">
        <f>IF(Associates_Call_List_PQ!B628="","",Associates_Call_List_PQ!B628)</f>
        <v>Lee</v>
      </c>
      <c r="C628" s="57" t="str">
        <f>IF(Associates_Call_List_PQ!C628="","",Associates_Call_List_PQ!C628)</f>
        <v>Daniel</v>
      </c>
      <c r="D628" s="57" t="str">
        <f>IF(Associates_Call_List_PQ!D628="","",Associates_Call_List_PQ!D628)</f>
        <v>Scottsdale</v>
      </c>
      <c r="E628" s="58">
        <f>IF(Associates_Call_List_PQ!E628="","",Associates_Call_List_PQ!E628)</f>
        <v>85260</v>
      </c>
      <c r="F628" s="57" t="str">
        <f>IF(Associates_Call_List_PQ!F628="","",Associates_Call_List_PQ!F628)</f>
        <v>Form letter</v>
      </c>
      <c r="G628" s="57" t="str">
        <f>IF(Associates_Call_List_PQ!G628="","",Associates_Call_List_PQ!G628)</f>
        <v>https://docket.images.azcc.gov/E000046266.pdf</v>
      </c>
      <c r="H628" s="59" t="str">
        <f>IF(Associates_Call_List_PQ!H628="","",Associates_Call_List_PQ!H628)</f>
        <v xml:space="preserve">6327806553 </v>
      </c>
      <c r="I628" s="57" t="str">
        <f>IF(Associates_Call_List_PQ!I628="","",Associates_Call_List_PQ!I628)</f>
        <v>R-XS</v>
      </c>
      <c r="J628" s="57" t="str">
        <f>IF(Associates_Call_List_PQ!J628="","",Associates_Call_List_PQ!J628)</f>
        <v>No</v>
      </c>
      <c r="K628" s="57" t="str">
        <f>IF(Associates_Call_List_PQ!K628="","",Associates_Call_List_PQ!K628)</f>
        <v>No</v>
      </c>
      <c r="L628" s="57" t="str">
        <f>IF(Associates_Call_List_PQ!L628="","",Associates_Call_List_PQ!L628)</f>
        <v>Not eligible yet (needs 3 months)</v>
      </c>
      <c r="M628" s="57" t="str">
        <f>IF(Associates_Call_List_PQ!M628="","",Associates_Call_List_PQ!M628)</f>
        <v>No</v>
      </c>
      <c r="N628" s="57" t="str">
        <f>IF(Associates_Call_List_PQ!N628="","",Associates_Call_List_PQ!N628)</f>
        <v>No</v>
      </c>
      <c r="O628" s="57" t="str">
        <f>IF(Associates_Call_List_PQ!O628="","",Associates_Call_List_PQ!O628)</f>
        <v>Yes</v>
      </c>
      <c r="P628" s="57" t="str">
        <f>IF(Associates_Call_List_PQ!P628="","",Associates_Call_List_PQ!P628)</f>
        <v>N</v>
      </c>
      <c r="Q628" s="57">
        <f>IF(Associates_Call_List_PQ!Q628="","",Associates_Call_List_PQ!Q628)</f>
        <v>45964</v>
      </c>
      <c r="R628" s="57" t="str">
        <f>IF(Associates_Call_List_PQ!R628="","",Associates_Call_List_PQ!R628)</f>
        <v/>
      </c>
      <c r="S628" s="57" t="str">
        <f>IF(Associates_Call_List_PQ!S628="","",Associates_Call_List_PQ!S628)</f>
        <v/>
      </c>
      <c r="T628" s="57" t="str">
        <f>IF(Associates_Call_List_PQ!T628="","",Associates_Call_List_PQ!T628)</f>
        <v/>
      </c>
      <c r="U628" s="57" t="str">
        <f>IF(Associates_Call_List_PQ!U628="","",Associates_Call_List_PQ!U628)</f>
        <v/>
      </c>
      <c r="V628" s="68" t="s">
        <v>5433</v>
      </c>
      <c r="W628" s="68">
        <v>46060</v>
      </c>
      <c r="X628" s="68" t="s">
        <v>5405</v>
      </c>
      <c r="Y628" s="68" t="s">
        <v>5461</v>
      </c>
      <c r="Z628" s="72"/>
    </row>
    <row r="629" spans="1:26">
      <c r="A629" s="71">
        <f>IFERROR(Associates_Call_List_PQ!A629,"")</f>
        <v>45906</v>
      </c>
      <c r="B629" s="57" t="str">
        <f>IF(Associates_Call_List_PQ!B629="","",Associates_Call_List_PQ!B629)</f>
        <v>Landau</v>
      </c>
      <c r="C629" s="57" t="str">
        <f>IF(Associates_Call_List_PQ!C629="","",Associates_Call_List_PQ!C629)</f>
        <v>Leslie</v>
      </c>
      <c r="D629" s="57" t="str">
        <f>IF(Associates_Call_List_PQ!D629="","",Associates_Call_List_PQ!D629)</f>
        <v>Scottsdale</v>
      </c>
      <c r="E629" s="58">
        <f>IF(Associates_Call_List_PQ!E629="","",Associates_Call_List_PQ!E629)</f>
        <v>85260</v>
      </c>
      <c r="F629" s="57" t="str">
        <f>IF(Associates_Call_List_PQ!F629="","",Associates_Call_List_PQ!F629)</f>
        <v>Opposed</v>
      </c>
      <c r="G629" s="57" t="str">
        <f>IF(Associates_Call_List_PQ!G629="","",Associates_Call_List_PQ!G629)</f>
        <v>https://docket.images.azcc.gov/E000046266.pdf</v>
      </c>
      <c r="H629" s="59" t="str">
        <f>IF(Associates_Call_List_PQ!H629="","",Associates_Call_List_PQ!H629)</f>
        <v xml:space="preserve">0394780000 </v>
      </c>
      <c r="I629" s="57" t="str">
        <f>IF(Associates_Call_List_PQ!I629="","",Associates_Call_List_PQ!I629)</f>
        <v>R3-47</v>
      </c>
      <c r="J629" s="57" t="str">
        <f>IF(Associates_Call_List_PQ!J629="","",Associates_Call_List_PQ!J629)</f>
        <v>No</v>
      </c>
      <c r="K629" s="57" t="str">
        <f>IF(Associates_Call_List_PQ!K629="","",Associates_Call_List_PQ!K629)</f>
        <v>No</v>
      </c>
      <c r="L629" s="57" t="str">
        <f>IF(Associates_Call_List_PQ!L629="","",Associates_Call_List_PQ!L629)</f>
        <v>Yes</v>
      </c>
      <c r="M629" s="57" t="str">
        <f>IF(Associates_Call_List_PQ!M629="","",Associates_Call_List_PQ!M629)</f>
        <v>No</v>
      </c>
      <c r="N629" s="57" t="str">
        <f>IF(Associates_Call_List_PQ!N629="","",Associates_Call_List_PQ!N629)</f>
        <v>No</v>
      </c>
      <c r="O629" s="57" t="str">
        <f>IF(Associates_Call_List_PQ!O629="","",Associates_Call_List_PQ!O629)</f>
        <v>Yes</v>
      </c>
      <c r="P629" s="57" t="str">
        <f>IF(Associates_Call_List_PQ!P629="","",Associates_Call_List_PQ!P629)</f>
        <v>N</v>
      </c>
      <c r="Q629" s="57">
        <f>IF(Associates_Call_List_PQ!Q629="","",Associates_Call_List_PQ!Q629)</f>
        <v>45964</v>
      </c>
      <c r="R629" s="57" t="str">
        <f>IF(Associates_Call_List_PQ!R629="","",Associates_Call_List_PQ!R629)</f>
        <v/>
      </c>
      <c r="S629" s="57" t="str">
        <f>IF(Associates_Call_List_PQ!S629="","",Associates_Call_List_PQ!S629)</f>
        <v/>
      </c>
      <c r="T629" s="57" t="str">
        <f>IF(Associates_Call_List_PQ!T629="","",Associates_Call_List_PQ!T629)</f>
        <v/>
      </c>
      <c r="U629" s="57" t="str">
        <f>IF(Associates_Call_List_PQ!U629="","",Associates_Call_List_PQ!U629)</f>
        <v/>
      </c>
      <c r="V629" s="68"/>
      <c r="W629" s="68" t="s">
        <v>5432</v>
      </c>
      <c r="X629" s="68"/>
      <c r="Y629" s="68"/>
      <c r="Z629" s="72"/>
    </row>
    <row r="630" spans="1:26">
      <c r="A630" s="71">
        <f>IFERROR(Associates_Call_List_PQ!A630,"")</f>
        <v>45906</v>
      </c>
      <c r="B630" s="57" t="str">
        <f>IF(Associates_Call_List_PQ!B630="","",Associates_Call_List_PQ!B630)</f>
        <v>Mandala</v>
      </c>
      <c r="C630" s="57" t="str">
        <f>IF(Associates_Call_List_PQ!C630="","",Associates_Call_List_PQ!C630)</f>
        <v>Stephanie</v>
      </c>
      <c r="D630" s="57" t="str">
        <f>IF(Associates_Call_List_PQ!D630="","",Associates_Call_List_PQ!D630)</f>
        <v>Scottsdale</v>
      </c>
      <c r="E630" s="58">
        <f>IF(Associates_Call_List_PQ!E630="","",Associates_Call_List_PQ!E630)</f>
        <v>85260</v>
      </c>
      <c r="F630" s="57" t="str">
        <f>IF(Associates_Call_List_PQ!F630="","",Associates_Call_List_PQ!F630)</f>
        <v>Form letter</v>
      </c>
      <c r="G630" s="57" t="str">
        <f>IF(Associates_Call_List_PQ!G630="","",Associates_Call_List_PQ!G630)</f>
        <v>https://docket.images.azcc.gov/E000046266.pdf</v>
      </c>
      <c r="H630" s="59" t="str">
        <f>IF(Associates_Call_List_PQ!H630="","",Associates_Call_List_PQ!H630)</f>
        <v xml:space="preserve">5644842190 </v>
      </c>
      <c r="I630" s="57" t="str">
        <f>IF(Associates_Call_List_PQ!I630="","",Associates_Call_List_PQ!I630)</f>
        <v>R-BASIC</v>
      </c>
      <c r="J630" s="57" t="str">
        <f>IF(Associates_Call_List_PQ!J630="","",Associates_Call_List_PQ!J630)</f>
        <v>No</v>
      </c>
      <c r="K630" s="57" t="str">
        <f>IF(Associates_Call_List_PQ!K630="","",Associates_Call_List_PQ!K630)</f>
        <v>No</v>
      </c>
      <c r="L630" s="57" t="str">
        <f>IF(Associates_Call_List_PQ!L630="","",Associates_Call_List_PQ!L630)</f>
        <v>Yes</v>
      </c>
      <c r="M630" s="57" t="str">
        <f>IF(Associates_Call_List_PQ!M630="","",Associates_Call_List_PQ!M630)</f>
        <v>No</v>
      </c>
      <c r="N630" s="57" t="str">
        <f>IF(Associates_Call_List_PQ!N630="","",Associates_Call_List_PQ!N630)</f>
        <v>No</v>
      </c>
      <c r="O630" s="57" t="str">
        <f>IF(Associates_Call_List_PQ!O630="","",Associates_Call_List_PQ!O630)</f>
        <v>Yes</v>
      </c>
      <c r="P630" s="57" t="str">
        <f>IF(Associates_Call_List_PQ!P630="","",Associates_Call_List_PQ!P630)</f>
        <v>N</v>
      </c>
      <c r="Q630" s="57">
        <f>IF(Associates_Call_List_PQ!Q630="","",Associates_Call_List_PQ!Q630)</f>
        <v>45964</v>
      </c>
      <c r="R630" s="57" t="str">
        <f>IF(Associates_Call_List_PQ!R630="","",Associates_Call_List_PQ!R630)</f>
        <v/>
      </c>
      <c r="S630" s="57" t="str">
        <f>IF(Associates_Call_List_PQ!S630="","",Associates_Call_List_PQ!S630)</f>
        <v/>
      </c>
      <c r="T630" s="57" t="str">
        <f>IF(Associates_Call_List_PQ!T630="","",Associates_Call_List_PQ!T630)</f>
        <v/>
      </c>
      <c r="U630" s="57" t="str">
        <f>IF(Associates_Call_List_PQ!U630="","",Associates_Call_List_PQ!U630)</f>
        <v/>
      </c>
      <c r="V630" s="68"/>
      <c r="W630" s="68" t="s">
        <v>5432</v>
      </c>
      <c r="X630" s="68"/>
      <c r="Y630" s="68"/>
      <c r="Z630" s="72"/>
    </row>
    <row r="631" spans="1:26">
      <c r="A631" s="71">
        <f>IFERROR(Associates_Call_List_PQ!A631,"")</f>
        <v>45906</v>
      </c>
      <c r="B631" s="57" t="str">
        <f>IF(Associates_Call_List_PQ!B631="","",Associates_Call_List_PQ!B631)</f>
        <v>Alexander</v>
      </c>
      <c r="C631" s="57" t="str">
        <f>IF(Associates_Call_List_PQ!C631="","",Associates_Call_List_PQ!C631)</f>
        <v>Steven</v>
      </c>
      <c r="D631" s="57" t="str">
        <f>IF(Associates_Call_List_PQ!D631="","",Associates_Call_List_PQ!D631)</f>
        <v>Phoenix</v>
      </c>
      <c r="E631" s="58">
        <f>IF(Associates_Call_List_PQ!E631="","",Associates_Call_List_PQ!E631)</f>
        <v>85085</v>
      </c>
      <c r="F631" s="57" t="str">
        <f>IF(Associates_Call_List_PQ!F631="","",Associates_Call_List_PQ!F631)</f>
        <v>Money grab</v>
      </c>
      <c r="G631" s="57" t="str">
        <f>IF(Associates_Call_List_PQ!G631="","",Associates_Call_List_PQ!G631)</f>
        <v>https://docket.images.azcc.gov/E000046266.pdf</v>
      </c>
      <c r="H631" s="59" t="str">
        <f>IF(Associates_Call_List_PQ!H631="","",Associates_Call_List_PQ!H631)</f>
        <v>3998480631</v>
      </c>
      <c r="I631" s="57" t="str">
        <f>IF(Associates_Call_List_PQ!I631="","",Associates_Call_List_PQ!I631)</f>
        <v>R3-47</v>
      </c>
      <c r="J631" s="57" t="str">
        <f>IF(Associates_Call_List_PQ!J631="","",Associates_Call_List_PQ!J631)</f>
        <v>No</v>
      </c>
      <c r="K631" s="57" t="str">
        <f>IF(Associates_Call_List_PQ!K631="","",Associates_Call_List_PQ!K631)</f>
        <v>No</v>
      </c>
      <c r="L631" s="57" t="str">
        <f>IF(Associates_Call_List_PQ!L631="","",Associates_Call_List_PQ!L631)</f>
        <v>Yes</v>
      </c>
      <c r="M631" s="57" t="str">
        <f>IF(Associates_Call_List_PQ!M631="","",Associates_Call_List_PQ!M631)</f>
        <v>No</v>
      </c>
      <c r="N631" s="57" t="str">
        <f>IF(Associates_Call_List_PQ!N631="","",Associates_Call_List_PQ!N631)</f>
        <v>No</v>
      </c>
      <c r="O631" s="57" t="str">
        <f>IF(Associates_Call_List_PQ!O631="","",Associates_Call_List_PQ!O631)</f>
        <v>Yes</v>
      </c>
      <c r="P631" s="57" t="str">
        <f>IF(Associates_Call_List_PQ!P631="","",Associates_Call_List_PQ!P631)</f>
        <v>N</v>
      </c>
      <c r="Q631" s="57">
        <f>IF(Associates_Call_List_PQ!Q631="","",Associates_Call_List_PQ!Q631)</f>
        <v>45964</v>
      </c>
      <c r="R631" s="57" t="str">
        <f>IF(Associates_Call_List_PQ!R631="","",Associates_Call_List_PQ!R631)</f>
        <v/>
      </c>
      <c r="S631" s="57" t="str">
        <f>IF(Associates_Call_List_PQ!S631="","",Associates_Call_List_PQ!S631)</f>
        <v/>
      </c>
      <c r="T631" s="57" t="str">
        <f>IF(Associates_Call_List_PQ!T631="","",Associates_Call_List_PQ!T631)</f>
        <v/>
      </c>
      <c r="U631" s="57" t="str">
        <f>IF(Associates_Call_List_PQ!U631="","",Associates_Call_List_PQ!U631)</f>
        <v/>
      </c>
      <c r="V631" s="68"/>
      <c r="W631" s="68" t="s">
        <v>5432</v>
      </c>
      <c r="X631" s="68"/>
      <c r="Y631" s="68"/>
      <c r="Z631" s="72"/>
    </row>
    <row r="632" spans="1:26">
      <c r="A632" s="71">
        <f>IFERROR(Associates_Call_List_PQ!A632,"")</f>
        <v>45906</v>
      </c>
      <c r="B632" s="57" t="str">
        <f>IF(Associates_Call_List_PQ!B632="","",Associates_Call_List_PQ!B632)</f>
        <v>Orillie</v>
      </c>
      <c r="C632" s="57" t="str">
        <f>IF(Associates_Call_List_PQ!C632="","",Associates_Call_List_PQ!C632)</f>
        <v>Megan</v>
      </c>
      <c r="D632" s="57" t="str">
        <f>IF(Associates_Call_List_PQ!D632="","",Associates_Call_List_PQ!D632)</f>
        <v>Case Grande</v>
      </c>
      <c r="E632" s="58">
        <f>IF(Associates_Call_List_PQ!E632="","",Associates_Call_List_PQ!E632)</f>
        <v>85122</v>
      </c>
      <c r="F632" s="57" t="str">
        <f>IF(Associates_Call_List_PQ!F632="","",Associates_Call_List_PQ!F632)</f>
        <v>Cost are already obscene</v>
      </c>
      <c r="G632" s="57" t="str">
        <f>IF(Associates_Call_List_PQ!G632="","",Associates_Call_List_PQ!G632)</f>
        <v>https://docket.images.azcc.gov/E000046266.pdf</v>
      </c>
      <c r="H632" s="59" t="str">
        <f>IF(Associates_Call_List_PQ!H632="","",Associates_Call_List_PQ!H632)</f>
        <v xml:space="preserve">0947452464 </v>
      </c>
      <c r="I632" s="57" t="str">
        <f>IF(Associates_Call_List_PQ!I632="","",Associates_Call_List_PQ!I632)</f>
        <v>R3-47</v>
      </c>
      <c r="J632" s="57" t="str">
        <f>IF(Associates_Call_List_PQ!J632="","",Associates_Call_List_PQ!J632)</f>
        <v>No</v>
      </c>
      <c r="K632" s="57" t="str">
        <f>IF(Associates_Call_List_PQ!K632="","",Associates_Call_List_PQ!K632)</f>
        <v>No</v>
      </c>
      <c r="L632" s="57" t="str">
        <f>IF(Associates_Call_List_PQ!L632="","",Associates_Call_List_PQ!L632)</f>
        <v>Yes</v>
      </c>
      <c r="M632" s="57" t="str">
        <f>IF(Associates_Call_List_PQ!M632="","",Associates_Call_List_PQ!M632)</f>
        <v>No</v>
      </c>
      <c r="N632" s="57" t="str">
        <f>IF(Associates_Call_List_PQ!N632="","",Associates_Call_List_PQ!N632)</f>
        <v>No</v>
      </c>
      <c r="O632" s="57" t="str">
        <f>IF(Associates_Call_List_PQ!O632="","",Associates_Call_List_PQ!O632)</f>
        <v>Yes</v>
      </c>
      <c r="P632" s="57" t="str">
        <f>IF(Associates_Call_List_PQ!P632="","",Associates_Call_List_PQ!P632)</f>
        <v>N</v>
      </c>
      <c r="Q632" s="57">
        <f>IF(Associates_Call_List_PQ!Q632="","",Associates_Call_List_PQ!Q632)</f>
        <v>45964</v>
      </c>
      <c r="R632" s="57" t="str">
        <f>IF(Associates_Call_List_PQ!R632="","",Associates_Call_List_PQ!R632)</f>
        <v/>
      </c>
      <c r="S632" s="57" t="str">
        <f>IF(Associates_Call_List_PQ!S632="","",Associates_Call_List_PQ!S632)</f>
        <v/>
      </c>
      <c r="T632" s="57" t="str">
        <f>IF(Associates_Call_List_PQ!T632="","",Associates_Call_List_PQ!T632)</f>
        <v/>
      </c>
      <c r="U632" s="57" t="str">
        <f>IF(Associates_Call_List_PQ!U632="","",Associates_Call_List_PQ!U632)</f>
        <v/>
      </c>
      <c r="V632" s="68"/>
      <c r="W632" s="68" t="s">
        <v>5432</v>
      </c>
      <c r="X632" s="68"/>
      <c r="Y632" s="68"/>
      <c r="Z632" s="72"/>
    </row>
    <row r="633" spans="1:26">
      <c r="A633" s="71">
        <f>IFERROR(Associates_Call_List_PQ!A633,"")</f>
        <v>45906</v>
      </c>
      <c r="B633" s="57" t="str">
        <f>IF(Associates_Call_List_PQ!B633="","",Associates_Call_List_PQ!B633)</f>
        <v>Kulandaivadivelu</v>
      </c>
      <c r="C633" s="57" t="str">
        <f>IF(Associates_Call_List_PQ!C633="","",Associates_Call_List_PQ!C633)</f>
        <v>Rajesh</v>
      </c>
      <c r="D633" s="57" t="str">
        <f>IF(Associates_Call_List_PQ!D633="","",Associates_Call_List_PQ!D633)</f>
        <v>Peoria</v>
      </c>
      <c r="E633" s="58">
        <f>IF(Associates_Call_List_PQ!E633="","",Associates_Call_List_PQ!E633)</f>
        <v>85383</v>
      </c>
      <c r="F633" s="57" t="str">
        <f>IF(Associates_Call_List_PQ!F633="","",Associates_Call_List_PQ!F633)</f>
        <v>Form letter</v>
      </c>
      <c r="G633" s="57" t="str">
        <f>IF(Associates_Call_List_PQ!G633="","",Associates_Call_List_PQ!G633)</f>
        <v>https://docket.images.azcc.gov/E000046266.pdf</v>
      </c>
      <c r="H633" s="59" t="str">
        <f>IF(Associates_Call_List_PQ!H633="","",Associates_Call_List_PQ!H633)</f>
        <v xml:space="preserve">7400931000 </v>
      </c>
      <c r="I633" s="57" t="str">
        <f>IF(Associates_Call_List_PQ!I633="","",Associates_Call_List_PQ!I633)</f>
        <v>R-BASICL</v>
      </c>
      <c r="J633" s="57" t="str">
        <f>IF(Associates_Call_List_PQ!J633="","",Associates_Call_List_PQ!J633)</f>
        <v>No</v>
      </c>
      <c r="K633" s="57" t="str">
        <f>IF(Associates_Call_List_PQ!K633="","",Associates_Call_List_PQ!K633)</f>
        <v>No</v>
      </c>
      <c r="L633" s="57" t="str">
        <f>IF(Associates_Call_List_PQ!L633="","",Associates_Call_List_PQ!L633)</f>
        <v>No MEP RTOUE47($181.10)</v>
      </c>
      <c r="M633" s="57" t="str">
        <f>IF(Associates_Call_List_PQ!M633="","",Associates_Call_List_PQ!M633)</f>
        <v>No</v>
      </c>
      <c r="N633" s="57" t="str">
        <f>IF(Associates_Call_List_PQ!N633="","",Associates_Call_List_PQ!N633)</f>
        <v>No</v>
      </c>
      <c r="O633" s="57" t="str">
        <f>IF(Associates_Call_List_PQ!O633="","",Associates_Call_List_PQ!O633)</f>
        <v>Yes</v>
      </c>
      <c r="P633" s="57">
        <f>IF(Associates_Call_List_PQ!P633="","",Associates_Call_List_PQ!P633)</f>
        <v>45939</v>
      </c>
      <c r="Q633" s="57">
        <f>IF(Associates_Call_List_PQ!Q633="","",Associates_Call_List_PQ!Q633)</f>
        <v>45964</v>
      </c>
      <c r="R633" s="57" t="str">
        <f>IF(Associates_Call_List_PQ!R633="","",Associates_Call_List_PQ!R633)</f>
        <v>10/9 Left VM</v>
      </c>
      <c r="S633" s="57" t="str">
        <f>IF(Associates_Call_List_PQ!S633="","",Associates_Call_List_PQ!S633)</f>
        <v/>
      </c>
      <c r="T633" s="57" t="str">
        <f>IF(Associates_Call_List_PQ!T633="","",Associates_Call_List_PQ!T633)</f>
        <v/>
      </c>
      <c r="U633" s="57" t="str">
        <f>IF(Associates_Call_List_PQ!U633="","",Associates_Call_List_PQ!U633)</f>
        <v/>
      </c>
      <c r="V633" s="68" t="s">
        <v>5433</v>
      </c>
      <c r="W633" s="68">
        <v>46039</v>
      </c>
      <c r="X633" s="68" t="s">
        <v>5434</v>
      </c>
      <c r="Y633" s="68"/>
      <c r="Z633" s="72"/>
    </row>
    <row r="634" spans="1:26">
      <c r="A634" s="71">
        <f>IFERROR(Associates_Call_List_PQ!A634,"")</f>
        <v>45906</v>
      </c>
      <c r="B634" s="57" t="str">
        <f>IF(Associates_Call_List_PQ!B634="","",Associates_Call_List_PQ!B634)</f>
        <v>Gunderson</v>
      </c>
      <c r="C634" s="57" t="str">
        <f>IF(Associates_Call_List_PQ!C634="","",Associates_Call_List_PQ!C634)</f>
        <v>Adam</v>
      </c>
      <c r="D634" s="57" t="str">
        <f>IF(Associates_Call_List_PQ!D634="","",Associates_Call_List_PQ!D634)</f>
        <v>Glendale</v>
      </c>
      <c r="E634" s="58">
        <f>IF(Associates_Call_List_PQ!E634="","",Associates_Call_List_PQ!E634)</f>
        <v>85307</v>
      </c>
      <c r="F634" s="57" t="str">
        <f>IF(Associates_Call_List_PQ!F634="","",Associates_Call_List_PQ!F634)</f>
        <v>Massive financial burden on my family</v>
      </c>
      <c r="G634" s="57" t="str">
        <f>IF(Associates_Call_List_PQ!G634="","",Associates_Call_List_PQ!G634)</f>
        <v>https://docket.images.azcc.gov/E000046266.pdf</v>
      </c>
      <c r="H634" s="59" t="str">
        <f>IF(Associates_Call_List_PQ!H634="","",Associates_Call_List_PQ!H634)</f>
        <v xml:space="preserve">5160556053 </v>
      </c>
      <c r="I634" s="57" t="str">
        <f>IF(Associates_Call_List_PQ!I634="","",Associates_Call_List_PQ!I634)</f>
        <v>RCPw/RTOUE47</v>
      </c>
      <c r="J634" s="57" t="str">
        <f>IF(Associates_Call_List_PQ!J634="","",Associates_Call_List_PQ!J634)</f>
        <v>No</v>
      </c>
      <c r="K634" s="57" t="str">
        <f>IF(Associates_Call_List_PQ!K634="","",Associates_Call_List_PQ!K634)</f>
        <v>No</v>
      </c>
      <c r="L634" s="57" t="str">
        <f>IF(Associates_Call_List_PQ!L634="","",Associates_Call_List_PQ!L634)</f>
        <v>Yes</v>
      </c>
      <c r="M634" s="57" t="str">
        <f>IF(Associates_Call_List_PQ!M634="","",Associates_Call_List_PQ!M634)</f>
        <v>No</v>
      </c>
      <c r="N634" s="57" t="str">
        <f>IF(Associates_Call_List_PQ!N634="","",Associates_Call_List_PQ!N634)</f>
        <v>No</v>
      </c>
      <c r="O634" s="57" t="str">
        <f>IF(Associates_Call_List_PQ!O634="","",Associates_Call_List_PQ!O634)</f>
        <v>Yes</v>
      </c>
      <c r="P634" s="57" t="str">
        <f>IF(Associates_Call_List_PQ!P634="","",Associates_Call_List_PQ!P634)</f>
        <v>N</v>
      </c>
      <c r="Q634" s="57">
        <f>IF(Associates_Call_List_PQ!Q634="","",Associates_Call_List_PQ!Q634)</f>
        <v>45964</v>
      </c>
      <c r="R634" s="57" t="str">
        <f>IF(Associates_Call_List_PQ!R634="","",Associates_Call_List_PQ!R634)</f>
        <v/>
      </c>
      <c r="S634" s="57" t="str">
        <f>IF(Associates_Call_List_PQ!S634="","",Associates_Call_List_PQ!S634)</f>
        <v/>
      </c>
      <c r="T634" s="57" t="str">
        <f>IF(Associates_Call_List_PQ!T634="","",Associates_Call_List_PQ!T634)</f>
        <v/>
      </c>
      <c r="U634" s="57" t="str">
        <f>IF(Associates_Call_List_PQ!U634="","",Associates_Call_List_PQ!U634)</f>
        <v/>
      </c>
      <c r="V634" s="68"/>
      <c r="W634" s="68" t="s">
        <v>5432</v>
      </c>
      <c r="X634" s="68"/>
      <c r="Y634" s="68"/>
      <c r="Z634" s="72"/>
    </row>
    <row r="635" spans="1:26">
      <c r="A635" s="71">
        <f>IFERROR(Associates_Call_List_PQ!A635,"")</f>
        <v>45906</v>
      </c>
      <c r="B635" s="57" t="str">
        <f>IF(Associates_Call_List_PQ!B635="","",Associates_Call_List_PQ!B635)</f>
        <v>McPherson</v>
      </c>
      <c r="C635" s="57" t="str">
        <f>IF(Associates_Call_List_PQ!C635="","",Associates_Call_List_PQ!C635)</f>
        <v>Amy</v>
      </c>
      <c r="D635" s="57" t="str">
        <f>IF(Associates_Call_List_PQ!D635="","",Associates_Call_List_PQ!D635)</f>
        <v>Phoenix</v>
      </c>
      <c r="E635" s="58">
        <f>IF(Associates_Call_List_PQ!E635="","",Associates_Call_List_PQ!E635)</f>
        <v>85053</v>
      </c>
      <c r="F635" s="57" t="str">
        <f>IF(Associates_Call_List_PQ!F635="","",Associates_Call_List_PQ!F635)</f>
        <v>Form letter</v>
      </c>
      <c r="G635" s="57" t="str">
        <f>IF(Associates_Call_List_PQ!G635="","",Associates_Call_List_PQ!G635)</f>
        <v>https://docket.images.azcc.gov/E000046266.pdf</v>
      </c>
      <c r="H635" s="59" t="str">
        <f>IF(Associates_Call_List_PQ!H635="","",Associates_Call_List_PQ!H635)</f>
        <v xml:space="preserve">3520685256 </v>
      </c>
      <c r="I635" s="57" t="str">
        <f>IF(Associates_Call_List_PQ!I635="","",Associates_Call_List_PQ!I635)</f>
        <v>R3-47</v>
      </c>
      <c r="J635" s="57" t="str">
        <f>IF(Associates_Call_List_PQ!J635="","",Associates_Call_List_PQ!J635)</f>
        <v>No</v>
      </c>
      <c r="K635" s="57" t="str">
        <f>IF(Associates_Call_List_PQ!K635="","",Associates_Call_List_PQ!K635)</f>
        <v>No</v>
      </c>
      <c r="L635" s="57" t="str">
        <f>IF(Associates_Call_List_PQ!L635="","",Associates_Call_List_PQ!L635)</f>
        <v>Yes</v>
      </c>
      <c r="M635" s="57" t="str">
        <f>IF(Associates_Call_List_PQ!M635="","",Associates_Call_List_PQ!M635)</f>
        <v>No</v>
      </c>
      <c r="N635" s="57" t="str">
        <f>IF(Associates_Call_List_PQ!N635="","",Associates_Call_List_PQ!N635)</f>
        <v>No</v>
      </c>
      <c r="O635" s="57" t="str">
        <f>IF(Associates_Call_List_PQ!O635="","",Associates_Call_List_PQ!O635)</f>
        <v>Yes</v>
      </c>
      <c r="P635" s="57" t="str">
        <f>IF(Associates_Call_List_PQ!P635="","",Associates_Call_List_PQ!P635)</f>
        <v>N</v>
      </c>
      <c r="Q635" s="57">
        <f>IF(Associates_Call_List_PQ!Q635="","",Associates_Call_List_PQ!Q635)</f>
        <v>45964</v>
      </c>
      <c r="R635" s="57" t="str">
        <f>IF(Associates_Call_List_PQ!R635="","",Associates_Call_List_PQ!R635)</f>
        <v/>
      </c>
      <c r="S635" s="57" t="str">
        <f>IF(Associates_Call_List_PQ!S635="","",Associates_Call_List_PQ!S635)</f>
        <v/>
      </c>
      <c r="T635" s="57" t="str">
        <f>IF(Associates_Call_List_PQ!T635="","",Associates_Call_List_PQ!T635)</f>
        <v/>
      </c>
      <c r="U635" s="57" t="str">
        <f>IF(Associates_Call_List_PQ!U635="","",Associates_Call_List_PQ!U635)</f>
        <v/>
      </c>
      <c r="V635" s="68"/>
      <c r="W635" s="68" t="s">
        <v>5432</v>
      </c>
      <c r="X635" s="68"/>
      <c r="Y635" s="68"/>
      <c r="Z635" s="72"/>
    </row>
    <row r="636" spans="1:26">
      <c r="A636" s="71">
        <f>IFERROR(Associates_Call_List_PQ!A636,"")</f>
        <v>45906</v>
      </c>
      <c r="B636" s="57" t="str">
        <f>IF(Associates_Call_List_PQ!B636="","",Associates_Call_List_PQ!B636)</f>
        <v>Neville</v>
      </c>
      <c r="C636" s="57" t="str">
        <f>IF(Associates_Call_List_PQ!C636="","",Associates_Call_List_PQ!C636)</f>
        <v>John</v>
      </c>
      <c r="D636" s="57" t="str">
        <f>IF(Associates_Call_List_PQ!D636="","",Associates_Call_List_PQ!D636)</f>
        <v>Sedona</v>
      </c>
      <c r="E636" s="58">
        <f>IF(Associates_Call_List_PQ!E636="","",Associates_Call_List_PQ!E636)</f>
        <v>86336</v>
      </c>
      <c r="F636" s="57" t="str">
        <f>IF(Associates_Call_List_PQ!F636="","",Associates_Call_List_PQ!F636)</f>
        <v>Unnecessary</v>
      </c>
      <c r="G636" s="57" t="str">
        <f>IF(Associates_Call_List_PQ!G636="","",Associates_Call_List_PQ!G636)</f>
        <v>https://docket.images.azcc.gov/E000046266.pdf</v>
      </c>
      <c r="H636" s="59" t="str">
        <f>IF(Associates_Call_List_PQ!H636="","",Associates_Call_List_PQ!H636)</f>
        <v xml:space="preserve">3812550000 </v>
      </c>
      <c r="I636" s="57" t="str">
        <f>IF(Associates_Call_List_PQ!I636="","",Associates_Call_List_PQ!I636)</f>
        <v>EPR-6w/E-12</v>
      </c>
      <c r="J636" s="57" t="str">
        <f>IF(Associates_Call_List_PQ!J636="","",Associates_Call_List_PQ!J636)</f>
        <v>No</v>
      </c>
      <c r="K636" s="57" t="str">
        <f>IF(Associates_Call_List_PQ!K636="","",Associates_Call_List_PQ!K636)</f>
        <v>No</v>
      </c>
      <c r="L636" s="57" t="str">
        <f>IF(Associates_Call_List_PQ!L636="","",Associates_Call_List_PQ!L636)</f>
        <v>Frozen Rate</v>
      </c>
      <c r="M636" s="57" t="str">
        <f>IF(Associates_Call_List_PQ!M636="","",Associates_Call_List_PQ!M636)</f>
        <v>No</v>
      </c>
      <c r="N636" s="57" t="str">
        <f>IF(Associates_Call_List_PQ!N636="","",Associates_Call_List_PQ!N636)</f>
        <v>No</v>
      </c>
      <c r="O636" s="57" t="str">
        <f>IF(Associates_Call_List_PQ!O636="","",Associates_Call_List_PQ!O636)</f>
        <v>Yes</v>
      </c>
      <c r="P636" s="57" t="str">
        <f>IF(Associates_Call_List_PQ!P636="","",Associates_Call_List_PQ!P636)</f>
        <v>N</v>
      </c>
      <c r="Q636" s="57">
        <f>IF(Associates_Call_List_PQ!Q636="","",Associates_Call_List_PQ!Q636)</f>
        <v>45964</v>
      </c>
      <c r="R636" s="57" t="str">
        <f>IF(Associates_Call_List_PQ!R636="","",Associates_Call_List_PQ!R636)</f>
        <v/>
      </c>
      <c r="S636" s="57" t="str">
        <f>IF(Associates_Call_List_PQ!S636="","",Associates_Call_List_PQ!S636)</f>
        <v/>
      </c>
      <c r="T636" s="57" t="str">
        <f>IF(Associates_Call_List_PQ!T636="","",Associates_Call_List_PQ!T636)</f>
        <v/>
      </c>
      <c r="U636" s="57" t="str">
        <f>IF(Associates_Call_List_PQ!U636="","",Associates_Call_List_PQ!U636)</f>
        <v/>
      </c>
      <c r="V636" s="68"/>
      <c r="W636" s="68" t="s">
        <v>5432</v>
      </c>
      <c r="X636" s="68"/>
      <c r="Y636" s="68"/>
      <c r="Z636" s="72"/>
    </row>
    <row r="637" spans="1:26">
      <c r="A637" s="71">
        <f>IFERROR(Associates_Call_List_PQ!A637,"")</f>
        <v>45906</v>
      </c>
      <c r="B637" s="57" t="str">
        <f>IF(Associates_Call_List_PQ!B637="","",Associates_Call_List_PQ!B637)</f>
        <v>Ezrre</v>
      </c>
      <c r="C637" s="57" t="str">
        <f>IF(Associates_Call_List_PQ!C637="","",Associates_Call_List_PQ!C637)</f>
        <v>Diego</v>
      </c>
      <c r="D637" s="57" t="str">
        <f>IF(Associates_Call_List_PQ!D637="","",Associates_Call_List_PQ!D637)</f>
        <v>Phoenix</v>
      </c>
      <c r="E637" s="58">
        <f>IF(Associates_Call_List_PQ!E637="","",Associates_Call_List_PQ!E637)</f>
        <v>85012</v>
      </c>
      <c r="F637" s="57" t="str">
        <f>IF(Associates_Call_List_PQ!F637="","",Associates_Call_List_PQ!F637)</f>
        <v>Form letter</v>
      </c>
      <c r="G637" s="57" t="str">
        <f>IF(Associates_Call_List_PQ!G637="","",Associates_Call_List_PQ!G637)</f>
        <v>https://docket.images.azcc.gov/E000046266.pdf</v>
      </c>
      <c r="H637" s="59" t="str">
        <f>IF(Associates_Call_List_PQ!H637="","",Associates_Call_List_PQ!H637)</f>
        <v>2822550977</v>
      </c>
      <c r="I637" s="57" t="str">
        <f>IF(Associates_Call_List_PQ!I637="","",Associates_Call_List_PQ!I637)</f>
        <v>R3-47</v>
      </c>
      <c r="J637" s="57" t="str">
        <f>IF(Associates_Call_List_PQ!J637="","",Associates_Call_List_PQ!J637)</f>
        <v>No</v>
      </c>
      <c r="K637" s="57" t="str">
        <f>IF(Associates_Call_List_PQ!K637="","",Associates_Call_List_PQ!K637)</f>
        <v>No</v>
      </c>
      <c r="L637" s="57" t="str">
        <f>IF(Associates_Call_List_PQ!L637="","",Associates_Call_List_PQ!L637)</f>
        <v>Not eligible yet (needs 3 months)</v>
      </c>
      <c r="M637" s="57" t="str">
        <f>IF(Associates_Call_List_PQ!M637="","",Associates_Call_List_PQ!M637)</f>
        <v>No</v>
      </c>
      <c r="N637" s="57" t="str">
        <f>IF(Associates_Call_List_PQ!N637="","",Associates_Call_List_PQ!N637)</f>
        <v>No</v>
      </c>
      <c r="O637" s="57" t="str">
        <f>IF(Associates_Call_List_PQ!O637="","",Associates_Call_List_PQ!O637)</f>
        <v>Yes</v>
      </c>
      <c r="P637" s="57" t="str">
        <f>IF(Associates_Call_List_PQ!P637="","",Associates_Call_List_PQ!P637)</f>
        <v>N</v>
      </c>
      <c r="Q637" s="57">
        <f>IF(Associates_Call_List_PQ!Q637="","",Associates_Call_List_PQ!Q637)</f>
        <v>45964</v>
      </c>
      <c r="R637" s="57" t="str">
        <f>IF(Associates_Call_List_PQ!R637="","",Associates_Call_List_PQ!R637)</f>
        <v/>
      </c>
      <c r="S637" s="57" t="str">
        <f>IF(Associates_Call_List_PQ!S637="","",Associates_Call_List_PQ!S637)</f>
        <v/>
      </c>
      <c r="T637" s="57" t="str">
        <f>IF(Associates_Call_List_PQ!T637="","",Associates_Call_List_PQ!T637)</f>
        <v/>
      </c>
      <c r="U637" s="57" t="str">
        <f>IF(Associates_Call_List_PQ!U637="","",Associates_Call_List_PQ!U637)</f>
        <v/>
      </c>
      <c r="V637" s="68" t="s">
        <v>5433</v>
      </c>
      <c r="W637" s="68">
        <v>46060</v>
      </c>
      <c r="X637" s="68" t="s">
        <v>5434</v>
      </c>
      <c r="Y637" s="68"/>
      <c r="Z637" s="72" t="s">
        <v>5627</v>
      </c>
    </row>
    <row r="638" spans="1:26">
      <c r="A638" s="71">
        <f>IFERROR(Associates_Call_List_PQ!A638,"")</f>
        <v>45906</v>
      </c>
      <c r="B638" s="57" t="str">
        <f>IF(Associates_Call_List_PQ!B638="","",Associates_Call_List_PQ!B638)</f>
        <v>Cafagna</v>
      </c>
      <c r="C638" s="57" t="str">
        <f>IF(Associates_Call_List_PQ!C638="","",Associates_Call_List_PQ!C638)</f>
        <v>Caryn</v>
      </c>
      <c r="D638" s="57" t="str">
        <f>IF(Associates_Call_List_PQ!D638="","",Associates_Call_List_PQ!D638)</f>
        <v>Cornville</v>
      </c>
      <c r="E638" s="58">
        <f>IF(Associates_Call_List_PQ!E638="","",Associates_Call_List_PQ!E638)</f>
        <v>86325</v>
      </c>
      <c r="F638" s="57" t="str">
        <f>IF(Associates_Call_List_PQ!F638="","",Associates_Call_List_PQ!F638)</f>
        <v>Will be burdensome on a fixed income</v>
      </c>
      <c r="G638" s="57" t="str">
        <f>IF(Associates_Call_List_PQ!G638="","",Associates_Call_List_PQ!G638)</f>
        <v>https://docket.images.azcc.gov/E000046266.pdf</v>
      </c>
      <c r="H638" s="59" t="str">
        <f>IF(Associates_Call_List_PQ!H638="","",Associates_Call_List_PQ!H638)</f>
        <v xml:space="preserve">6238293189 </v>
      </c>
      <c r="I638" s="57" t="str">
        <f>IF(Associates_Call_List_PQ!I638="","",Associates_Call_List_PQ!I638)</f>
        <v>R-XS</v>
      </c>
      <c r="J638" s="57" t="str">
        <f>IF(Associates_Call_List_PQ!J638="","",Associates_Call_List_PQ!J638)</f>
        <v>No</v>
      </c>
      <c r="K638" s="57" t="str">
        <f>IF(Associates_Call_List_PQ!K638="","",Associates_Call_List_PQ!K638)</f>
        <v>No</v>
      </c>
      <c r="L638" s="57" t="str">
        <f>IF(Associates_Call_List_PQ!L638="","",Associates_Call_List_PQ!L638)</f>
        <v>Yes</v>
      </c>
      <c r="M638" s="57" t="str">
        <f>IF(Associates_Call_List_PQ!M638="","",Associates_Call_List_PQ!M638)</f>
        <v>No</v>
      </c>
      <c r="N638" s="57" t="str">
        <f>IF(Associates_Call_List_PQ!N638="","",Associates_Call_List_PQ!N638)</f>
        <v>No</v>
      </c>
      <c r="O638" s="57" t="str">
        <f>IF(Associates_Call_List_PQ!O638="","",Associates_Call_List_PQ!O638)</f>
        <v>Yes</v>
      </c>
      <c r="P638" s="57" t="str">
        <f>IF(Associates_Call_List_PQ!P638="","",Associates_Call_List_PQ!P638)</f>
        <v>N</v>
      </c>
      <c r="Q638" s="57">
        <f>IF(Associates_Call_List_PQ!Q638="","",Associates_Call_List_PQ!Q638)</f>
        <v>45964</v>
      </c>
      <c r="R638" s="57" t="str">
        <f>IF(Associates_Call_List_PQ!R638="","",Associates_Call_List_PQ!R638)</f>
        <v/>
      </c>
      <c r="S638" s="57" t="str">
        <f>IF(Associates_Call_List_PQ!S638="","",Associates_Call_List_PQ!S638)</f>
        <v/>
      </c>
      <c r="T638" s="57" t="str">
        <f>IF(Associates_Call_List_PQ!T638="","",Associates_Call_List_PQ!T638)</f>
        <v/>
      </c>
      <c r="U638" s="57" t="str">
        <f>IF(Associates_Call_List_PQ!U638="","",Associates_Call_List_PQ!U638)</f>
        <v/>
      </c>
      <c r="V638" s="68"/>
      <c r="W638" s="68" t="s">
        <v>5432</v>
      </c>
      <c r="X638" s="68"/>
      <c r="Y638" s="68"/>
      <c r="Z638" s="72"/>
    </row>
    <row r="639" spans="1:26">
      <c r="A639" s="71">
        <f>IFERROR(Associates_Call_List_PQ!A639,"")</f>
        <v>45906</v>
      </c>
      <c r="B639" s="57" t="str">
        <f>IF(Associates_Call_List_PQ!B639="","",Associates_Call_List_PQ!B639)</f>
        <v>Weiner</v>
      </c>
      <c r="C639" s="57" t="str">
        <f>IF(Associates_Call_List_PQ!C639="","",Associates_Call_List_PQ!C639)</f>
        <v>Christian</v>
      </c>
      <c r="D639" s="57" t="str">
        <f>IF(Associates_Call_List_PQ!D639="","",Associates_Call_List_PQ!D639)</f>
        <v>Phoenix</v>
      </c>
      <c r="E639" s="58">
        <f>IF(Associates_Call_List_PQ!E639="","",Associates_Call_List_PQ!E639)</f>
        <v>85003</v>
      </c>
      <c r="F639" s="57" t="str">
        <f>IF(Associates_Call_List_PQ!F639="","",Associates_Call_List_PQ!F639)</f>
        <v>Form letter</v>
      </c>
      <c r="G639" s="57" t="str">
        <f>IF(Associates_Call_List_PQ!G639="","",Associates_Call_List_PQ!G639)</f>
        <v>https://docket.images.azcc.gov/E000046266.pdf</v>
      </c>
      <c r="H639" s="59" t="str">
        <f>IF(Associates_Call_List_PQ!H639="","",Associates_Call_List_PQ!H639)</f>
        <v xml:space="preserve">2037614704 </v>
      </c>
      <c r="I639" s="57" t="str">
        <f>IF(Associates_Call_List_PQ!I639="","",Associates_Call_List_PQ!I639)</f>
        <v>R-XS</v>
      </c>
      <c r="J639" s="57" t="str">
        <f>IF(Associates_Call_List_PQ!J639="","",Associates_Call_List_PQ!J639)</f>
        <v>No</v>
      </c>
      <c r="K639" s="57" t="str">
        <f>IF(Associates_Call_List_PQ!K639="","",Associates_Call_List_PQ!K639)</f>
        <v>No</v>
      </c>
      <c r="L639" s="57" t="str">
        <f>IF(Associates_Call_List_PQ!L639="","",Associates_Call_List_PQ!L639)</f>
        <v>Yes</v>
      </c>
      <c r="M639" s="57" t="str">
        <f>IF(Associates_Call_List_PQ!M639="","",Associates_Call_List_PQ!M639)</f>
        <v>No</v>
      </c>
      <c r="N639" s="57" t="str">
        <f>IF(Associates_Call_List_PQ!N639="","",Associates_Call_List_PQ!N639)</f>
        <v>No</v>
      </c>
      <c r="O639" s="57" t="str">
        <f>IF(Associates_Call_List_PQ!O639="","",Associates_Call_List_PQ!O639)</f>
        <v>Yes</v>
      </c>
      <c r="P639" s="57" t="str">
        <f>IF(Associates_Call_List_PQ!P639="","",Associates_Call_List_PQ!P639)</f>
        <v>N</v>
      </c>
      <c r="Q639" s="57">
        <f>IF(Associates_Call_List_PQ!Q639="","",Associates_Call_List_PQ!Q639)</f>
        <v>45964</v>
      </c>
      <c r="R639" s="57" t="str">
        <f>IF(Associates_Call_List_PQ!R639="","",Associates_Call_List_PQ!R639)</f>
        <v/>
      </c>
      <c r="S639" s="57" t="str">
        <f>IF(Associates_Call_List_PQ!S639="","",Associates_Call_List_PQ!S639)</f>
        <v/>
      </c>
      <c r="T639" s="57" t="str">
        <f>IF(Associates_Call_List_PQ!T639="","",Associates_Call_List_PQ!T639)</f>
        <v/>
      </c>
      <c r="U639" s="57" t="str">
        <f>IF(Associates_Call_List_PQ!U639="","",Associates_Call_List_PQ!U639)</f>
        <v/>
      </c>
      <c r="V639" s="68"/>
      <c r="W639" s="68" t="s">
        <v>5432</v>
      </c>
      <c r="X639" s="68"/>
      <c r="Y639" s="68"/>
      <c r="Z639" s="72"/>
    </row>
    <row r="640" spans="1:26">
      <c r="A640" s="71">
        <f>IFERROR(Associates_Call_List_PQ!A640,"")</f>
        <v>45906</v>
      </c>
      <c r="B640" s="57" t="str">
        <f>IF(Associates_Call_List_PQ!B640="","",Associates_Call_List_PQ!B640)</f>
        <v>Verdi</v>
      </c>
      <c r="C640" s="57" t="str">
        <f>IF(Associates_Call_List_PQ!C640="","",Associates_Call_List_PQ!C640)</f>
        <v>Richard</v>
      </c>
      <c r="D640" s="57" t="str">
        <f>IF(Associates_Call_List_PQ!D640="","",Associates_Call_List_PQ!D640)</f>
        <v>Peoria</v>
      </c>
      <c r="E640" s="58">
        <f>IF(Associates_Call_List_PQ!E640="","",Associates_Call_List_PQ!E640)</f>
        <v>85383</v>
      </c>
      <c r="F640" s="57" t="str">
        <f>IF(Associates_Call_List_PQ!F640="","",Associates_Call_List_PQ!F640)</f>
        <v>Enough already</v>
      </c>
      <c r="G640" s="57" t="str">
        <f>IF(Associates_Call_List_PQ!G640="","",Associates_Call_List_PQ!G640)</f>
        <v>https://docket.images.azcc.gov/E000046266.pdf</v>
      </c>
      <c r="H640" s="59" t="str">
        <f>IF(Associates_Call_List_PQ!H640="","",Associates_Call_List_PQ!H640)</f>
        <v xml:space="preserve">5486441000 </v>
      </c>
      <c r="I640" s="57" t="str">
        <f>IF(Associates_Call_List_PQ!I640="","",Associates_Call_List_PQ!I640)</f>
        <v>EPR-6w/ET-2</v>
      </c>
      <c r="J640" s="57" t="str">
        <f>IF(Associates_Call_List_PQ!J640="","",Associates_Call_List_PQ!J640)</f>
        <v>Yes</v>
      </c>
      <c r="K640" s="57" t="str">
        <f>IF(Associates_Call_List_PQ!K640="","",Associates_Call_List_PQ!K640)</f>
        <v>No</v>
      </c>
      <c r="L640" s="57" t="str">
        <f>IF(Associates_Call_List_PQ!L640="","",Associates_Call_List_PQ!L640)</f>
        <v>Frozen Rate</v>
      </c>
      <c r="M640" s="57" t="str">
        <f>IF(Associates_Call_List_PQ!M640="","",Associates_Call_List_PQ!M640)</f>
        <v>No</v>
      </c>
      <c r="N640" s="57" t="str">
        <f>IF(Associates_Call_List_PQ!N640="","",Associates_Call_List_PQ!N640)</f>
        <v>No</v>
      </c>
      <c r="O640" s="57" t="str">
        <f>IF(Associates_Call_List_PQ!O640="","",Associates_Call_List_PQ!O640)</f>
        <v>Yes</v>
      </c>
      <c r="P640" s="57" t="str">
        <f>IF(Associates_Call_List_PQ!P640="","",Associates_Call_List_PQ!P640)</f>
        <v>N</v>
      </c>
      <c r="Q640" s="57">
        <f>IF(Associates_Call_List_PQ!Q640="","",Associates_Call_List_PQ!Q640)</f>
        <v>45964</v>
      </c>
      <c r="R640" s="57" t="str">
        <f>IF(Associates_Call_List_PQ!R640="","",Associates_Call_List_PQ!R640)</f>
        <v/>
      </c>
      <c r="S640" s="57" t="str">
        <f>IF(Associates_Call_List_PQ!S640="","",Associates_Call_List_PQ!S640)</f>
        <v/>
      </c>
      <c r="T640" s="57" t="str">
        <f>IF(Associates_Call_List_PQ!T640="","",Associates_Call_List_PQ!T640)</f>
        <v/>
      </c>
      <c r="U640" s="57" t="str">
        <f>IF(Associates_Call_List_PQ!U640="","",Associates_Call_List_PQ!U640)</f>
        <v/>
      </c>
      <c r="V640" s="68"/>
      <c r="W640" s="68" t="s">
        <v>5432</v>
      </c>
      <c r="X640" s="68"/>
      <c r="Y640" s="68"/>
      <c r="Z640" s="72"/>
    </row>
    <row r="641" spans="1:26">
      <c r="A641" s="71">
        <f>IFERROR(Associates_Call_List_PQ!A641,"")</f>
        <v>45906</v>
      </c>
      <c r="B641" s="57" t="str">
        <f>IF(Associates_Call_List_PQ!B641="","",Associates_Call_List_PQ!B641)</f>
        <v>Duckworth</v>
      </c>
      <c r="C641" s="57" t="str">
        <f>IF(Associates_Call_List_PQ!C641="","",Associates_Call_List_PQ!C641)</f>
        <v>Loyiel</v>
      </c>
      <c r="D641" s="57" t="str">
        <f>IF(Associates_Call_List_PQ!D641="","",Associates_Call_List_PQ!D641)</f>
        <v>Goodyear</v>
      </c>
      <c r="E641" s="58">
        <f>IF(Associates_Call_List_PQ!E641="","",Associates_Call_List_PQ!E641)</f>
        <v>85338</v>
      </c>
      <c r="F641" s="57" t="str">
        <f>IF(Associates_Call_List_PQ!F641="","",Associates_Call_List_PQ!F641)</f>
        <v>Opposed</v>
      </c>
      <c r="G641" s="57" t="str">
        <f>IF(Associates_Call_List_PQ!G641="","",Associates_Call_List_PQ!G641)</f>
        <v>https://docket.images.azcc.gov/E000046266.pdf</v>
      </c>
      <c r="H641" s="59" t="str">
        <f>IF(Associates_Call_List_PQ!H641="","",Associates_Call_List_PQ!H641)</f>
        <v xml:space="preserve">3615886354  </v>
      </c>
      <c r="I641" s="57" t="str">
        <f>IF(Associates_Call_List_PQ!I641="","",Associates_Call_List_PQ!I641)</f>
        <v>R3-47</v>
      </c>
      <c r="J641" s="57" t="str">
        <f>IF(Associates_Call_List_PQ!J641="","",Associates_Call_List_PQ!J641)</f>
        <v>No</v>
      </c>
      <c r="K641" s="57" t="str">
        <f>IF(Associates_Call_List_PQ!K641="","",Associates_Call_List_PQ!K641)</f>
        <v>No</v>
      </c>
      <c r="L641" s="57" t="str">
        <f>IF(Associates_Call_List_PQ!L641="","",Associates_Call_List_PQ!L641)</f>
        <v>Yes</v>
      </c>
      <c r="M641" s="57" t="str">
        <f>IF(Associates_Call_List_PQ!M641="","",Associates_Call_List_PQ!M641)</f>
        <v>No</v>
      </c>
      <c r="N641" s="57" t="str">
        <f>IF(Associates_Call_List_PQ!N641="","",Associates_Call_List_PQ!N641)</f>
        <v>No</v>
      </c>
      <c r="O641" s="57" t="str">
        <f>IF(Associates_Call_List_PQ!O641="","",Associates_Call_List_PQ!O641)</f>
        <v>Yes</v>
      </c>
      <c r="P641" s="57" t="str">
        <f>IF(Associates_Call_List_PQ!P641="","",Associates_Call_List_PQ!P641)</f>
        <v>N</v>
      </c>
      <c r="Q641" s="57">
        <f>IF(Associates_Call_List_PQ!Q641="","",Associates_Call_List_PQ!Q641)</f>
        <v>45964</v>
      </c>
      <c r="R641" s="57" t="str">
        <f>IF(Associates_Call_List_PQ!R641="","",Associates_Call_List_PQ!R641)</f>
        <v/>
      </c>
      <c r="S641" s="57" t="str">
        <f>IF(Associates_Call_List_PQ!S641="","",Associates_Call_List_PQ!S641)</f>
        <v/>
      </c>
      <c r="T641" s="57" t="str">
        <f>IF(Associates_Call_List_PQ!T641="","",Associates_Call_List_PQ!T641)</f>
        <v/>
      </c>
      <c r="U641" s="57" t="str">
        <f>IF(Associates_Call_List_PQ!U641="","",Associates_Call_List_PQ!U641)</f>
        <v/>
      </c>
      <c r="V641" s="68"/>
      <c r="W641" s="68" t="s">
        <v>5432</v>
      </c>
      <c r="X641" s="68"/>
      <c r="Y641" s="68"/>
      <c r="Z641" s="72"/>
    </row>
    <row r="642" spans="1:26">
      <c r="A642" s="71">
        <f>IFERROR(Associates_Call_List_PQ!A642,"")</f>
        <v>45906</v>
      </c>
      <c r="B642" s="57" t="str">
        <f>IF(Associates_Call_List_PQ!B642="","",Associates_Call_List_PQ!B642)</f>
        <v>Holt</v>
      </c>
      <c r="C642" s="57" t="str">
        <f>IF(Associates_Call_List_PQ!C642="","",Associates_Call_List_PQ!C642)</f>
        <v>Brianna</v>
      </c>
      <c r="D642" s="57" t="str">
        <f>IF(Associates_Call_List_PQ!D642="","",Associates_Call_List_PQ!D642)</f>
        <v>Phoenix</v>
      </c>
      <c r="E642" s="58">
        <f>IF(Associates_Call_List_PQ!E642="","",Associates_Call_List_PQ!E642)</f>
        <v>85032</v>
      </c>
      <c r="F642" s="57" t="str">
        <f>IF(Associates_Call_List_PQ!F642="","",Associates_Call_List_PQ!F642)</f>
        <v>Form letter</v>
      </c>
      <c r="G642" s="57" t="str">
        <f>IF(Associates_Call_List_PQ!G642="","",Associates_Call_List_PQ!G642)</f>
        <v>https://docket.images.azcc.gov/E000046266.pdf</v>
      </c>
      <c r="H642" s="59" t="str">
        <f>IF(Associates_Call_List_PQ!H642="","",Associates_Call_List_PQ!H642)</f>
        <v>6597211402 </v>
      </c>
      <c r="I642" s="57" t="str">
        <f>IF(Associates_Call_List_PQ!I642="","",Associates_Call_List_PQ!I642)</f>
        <v>R-BASICL</v>
      </c>
      <c r="J642" s="57" t="str">
        <f>IF(Associates_Call_List_PQ!J642="","",Associates_Call_List_PQ!J642)</f>
        <v>No</v>
      </c>
      <c r="K642" s="57" t="str">
        <f>IF(Associates_Call_List_PQ!K642="","",Associates_Call_List_PQ!K642)</f>
        <v>No</v>
      </c>
      <c r="L642" s="57" t="str">
        <f>IF(Associates_Call_List_PQ!L642="","",Associates_Call_List_PQ!L642)</f>
        <v>No MEP RTOUE47($42.59)</v>
      </c>
      <c r="M642" s="57" t="str">
        <f>IF(Associates_Call_List_PQ!M642="","",Associates_Call_List_PQ!M642)</f>
        <v>No</v>
      </c>
      <c r="N642" s="57" t="str">
        <f>IF(Associates_Call_List_PQ!N642="","",Associates_Call_List_PQ!N642)</f>
        <v>No</v>
      </c>
      <c r="O642" s="57" t="str">
        <f>IF(Associates_Call_List_PQ!O642="","",Associates_Call_List_PQ!O642)</f>
        <v>Yes</v>
      </c>
      <c r="P642" s="57" t="str">
        <f>IF(Associates_Call_List_PQ!P642="","",Associates_Call_List_PQ!P642)</f>
        <v>N</v>
      </c>
      <c r="Q642" s="57">
        <f>IF(Associates_Call_List_PQ!Q642="","",Associates_Call_List_PQ!Q642)</f>
        <v>45964</v>
      </c>
      <c r="R642" s="57" t="str">
        <f>IF(Associates_Call_List_PQ!R642="","",Associates_Call_List_PQ!R642)</f>
        <v/>
      </c>
      <c r="S642" s="57" t="str">
        <f>IF(Associates_Call_List_PQ!S642="","",Associates_Call_List_PQ!S642)</f>
        <v/>
      </c>
      <c r="T642" s="57" t="str">
        <f>IF(Associates_Call_List_PQ!T642="","",Associates_Call_List_PQ!T642)</f>
        <v/>
      </c>
      <c r="U642" s="57" t="str">
        <f>IF(Associates_Call_List_PQ!U642="","",Associates_Call_List_PQ!U642)</f>
        <v/>
      </c>
      <c r="V642" s="68" t="s">
        <v>5433</v>
      </c>
      <c r="W642" s="68">
        <v>46039</v>
      </c>
      <c r="X642" s="68" t="s">
        <v>5434</v>
      </c>
      <c r="Y642" s="68"/>
      <c r="Z642" s="72"/>
    </row>
    <row r="643" spans="1:26">
      <c r="A643" s="71">
        <f>IFERROR(Associates_Call_List_PQ!A643,"")</f>
        <v>45906</v>
      </c>
      <c r="B643" s="57" t="str">
        <f>IF(Associates_Call_List_PQ!B643="","",Associates_Call_List_PQ!B643)</f>
        <v>Prakriya</v>
      </c>
      <c r="C643" s="57" t="str">
        <f>IF(Associates_Call_List_PQ!C643="","",Associates_Call_List_PQ!C643)</f>
        <v>Veena</v>
      </c>
      <c r="D643" s="57" t="str">
        <f>IF(Associates_Call_List_PQ!D643="","",Associates_Call_List_PQ!D643)</f>
        <v>Phoenix</v>
      </c>
      <c r="E643" s="58">
        <f>IF(Associates_Call_List_PQ!E643="","",Associates_Call_List_PQ!E643)</f>
        <v>85014</v>
      </c>
      <c r="F643" s="57" t="str">
        <f>IF(Associates_Call_List_PQ!F643="","",Associates_Call_List_PQ!F643)</f>
        <v>Unaffordable</v>
      </c>
      <c r="G643" s="57" t="str">
        <f>IF(Associates_Call_List_PQ!G643="","",Associates_Call_List_PQ!G643)</f>
        <v>https://docket.images.azcc.gov/E000046266.pdf</v>
      </c>
      <c r="H643" s="59" t="str">
        <f>IF(Associates_Call_List_PQ!H643="","",Associates_Call_List_PQ!H643)</f>
        <v xml:space="preserve">0574011608 </v>
      </c>
      <c r="I643" s="57" t="str">
        <f>IF(Associates_Call_List_PQ!I643="","",Associates_Call_List_PQ!I643)</f>
        <v>R-XS</v>
      </c>
      <c r="J643" s="57" t="str">
        <f>IF(Associates_Call_List_PQ!J643="","",Associates_Call_List_PQ!J643)</f>
        <v>No</v>
      </c>
      <c r="K643" s="57" t="str">
        <f>IF(Associates_Call_List_PQ!K643="","",Associates_Call_List_PQ!K643)</f>
        <v>No</v>
      </c>
      <c r="L643" s="57" t="str">
        <f>IF(Associates_Call_List_PQ!L643="","",Associates_Call_List_PQ!L643)</f>
        <v>Yes</v>
      </c>
      <c r="M643" s="57" t="str">
        <f>IF(Associates_Call_List_PQ!M643="","",Associates_Call_List_PQ!M643)</f>
        <v>No</v>
      </c>
      <c r="N643" s="57" t="str">
        <f>IF(Associates_Call_List_PQ!N643="","",Associates_Call_List_PQ!N643)</f>
        <v>No</v>
      </c>
      <c r="O643" s="57" t="str">
        <f>IF(Associates_Call_List_PQ!O643="","",Associates_Call_List_PQ!O643)</f>
        <v>Yes</v>
      </c>
      <c r="P643" s="57" t="str">
        <f>IF(Associates_Call_List_PQ!P643="","",Associates_Call_List_PQ!P643)</f>
        <v>N</v>
      </c>
      <c r="Q643" s="57">
        <f>IF(Associates_Call_List_PQ!Q643="","",Associates_Call_List_PQ!Q643)</f>
        <v>45964</v>
      </c>
      <c r="R643" s="57" t="str">
        <f>IF(Associates_Call_List_PQ!R643="","",Associates_Call_List_PQ!R643)</f>
        <v/>
      </c>
      <c r="S643" s="57" t="str">
        <f>IF(Associates_Call_List_PQ!S643="","",Associates_Call_List_PQ!S643)</f>
        <v/>
      </c>
      <c r="T643" s="57" t="str">
        <f>IF(Associates_Call_List_PQ!T643="","",Associates_Call_List_PQ!T643)</f>
        <v/>
      </c>
      <c r="U643" s="57" t="str">
        <f>IF(Associates_Call_List_PQ!U643="","",Associates_Call_List_PQ!U643)</f>
        <v/>
      </c>
      <c r="V643" s="68"/>
      <c r="W643" s="68" t="s">
        <v>5432</v>
      </c>
      <c r="X643" s="68"/>
      <c r="Y643" s="68"/>
      <c r="Z643" s="72"/>
    </row>
    <row r="644" spans="1:26">
      <c r="A644" s="71">
        <f>IFERROR(Associates_Call_List_PQ!A644,"")</f>
        <v>45906</v>
      </c>
      <c r="B644" s="57" t="str">
        <f>IF(Associates_Call_List_PQ!B644="","",Associates_Call_List_PQ!B644)</f>
        <v>Funk</v>
      </c>
      <c r="C644" s="57" t="str">
        <f>IF(Associates_Call_List_PQ!C644="","",Associates_Call_List_PQ!C644)</f>
        <v>Cecilia</v>
      </c>
      <c r="D644" s="57" t="str">
        <f>IF(Associates_Call_List_PQ!D644="","",Associates_Call_List_PQ!D644)</f>
        <v>Surprise</v>
      </c>
      <c r="E644" s="58">
        <f>IF(Associates_Call_List_PQ!E644="","",Associates_Call_List_PQ!E644)</f>
        <v>85388</v>
      </c>
      <c r="F644" s="57" t="str">
        <f>IF(Associates_Call_List_PQ!F644="","",Associates_Call_List_PQ!F644)</f>
        <v>Form letter</v>
      </c>
      <c r="G644" s="57" t="str">
        <f>IF(Associates_Call_List_PQ!G644="","",Associates_Call_List_PQ!G644)</f>
        <v>https://docket.images.azcc.gov/E000046554.pdf</v>
      </c>
      <c r="H644" s="59" t="str">
        <f>IF(Associates_Call_List_PQ!H644="","",Associates_Call_List_PQ!H644)</f>
        <v>2291912909</v>
      </c>
      <c r="I644" s="57" t="str">
        <f>IF(Associates_Call_List_PQ!I644="","",Associates_Call_List_PQ!I644)</f>
        <v>RCPw/RTOUE47</v>
      </c>
      <c r="J644" s="57" t="str">
        <f>IF(Associates_Call_List_PQ!J644="","",Associates_Call_List_PQ!J644)</f>
        <v>No</v>
      </c>
      <c r="K644" s="57" t="str">
        <f>IF(Associates_Call_List_PQ!K644="","",Associates_Call_List_PQ!K644)</f>
        <v>No</v>
      </c>
      <c r="L644" s="57" t="str">
        <f>IF(Associates_Call_List_PQ!L644="","",Associates_Call_List_PQ!L644)</f>
        <v>Y</v>
      </c>
      <c r="M644" s="57" t="str">
        <f>IF(Associates_Call_List_PQ!M644="","",Associates_Call_List_PQ!M644)</f>
        <v>No</v>
      </c>
      <c r="N644" s="57" t="str">
        <f>IF(Associates_Call_List_PQ!N644="","",Associates_Call_List_PQ!N644)</f>
        <v>No</v>
      </c>
      <c r="O644" s="57" t="str">
        <f>IF(Associates_Call_List_PQ!O644="","",Associates_Call_List_PQ!O644)</f>
        <v>Yes</v>
      </c>
      <c r="P644" s="57" t="str">
        <f>IF(Associates_Call_List_PQ!P644="","",Associates_Call_List_PQ!P644)</f>
        <v>N</v>
      </c>
      <c r="Q644" s="57">
        <f>IF(Associates_Call_List_PQ!Q644="","",Associates_Call_List_PQ!Q644)</f>
        <v>45960</v>
      </c>
      <c r="R644" s="57" t="str">
        <f>IF(Associates_Call_List_PQ!R644="","",Associates_Call_List_PQ!R644)</f>
        <v>Filed Twice</v>
      </c>
      <c r="S644" s="57" t="str">
        <f>IF(Associates_Call_List_PQ!S644="","",Associates_Call_List_PQ!S644)</f>
        <v/>
      </c>
      <c r="T644" s="57" t="str">
        <f>IF(Associates_Call_List_PQ!T644="","",Associates_Call_List_PQ!T644)</f>
        <v/>
      </c>
      <c r="U644" s="57" t="str">
        <f>IF(Associates_Call_List_PQ!U644="","",Associates_Call_List_PQ!U644)</f>
        <v/>
      </c>
      <c r="V644" s="68"/>
      <c r="W644" s="68" t="s">
        <v>5432</v>
      </c>
      <c r="X644" s="68"/>
      <c r="Y644" s="68"/>
      <c r="Z644" s="72"/>
    </row>
    <row r="645" spans="1:26">
      <c r="A645" s="71">
        <f>IFERROR(Associates_Call_List_PQ!A645,"")</f>
        <v>45906</v>
      </c>
      <c r="B645" s="57" t="str">
        <f>IF(Associates_Call_List_PQ!B645="","",Associates_Call_List_PQ!B645)</f>
        <v>Sesha</v>
      </c>
      <c r="C645" s="57" t="str">
        <f>IF(Associates_Call_List_PQ!C645="","",Associates_Call_List_PQ!C645)</f>
        <v>Arun Kumar</v>
      </c>
      <c r="D645" s="57" t="str">
        <f>IF(Associates_Call_List_PQ!D645="","",Associates_Call_List_PQ!D645)</f>
        <v>Peoria</v>
      </c>
      <c r="E645" s="58">
        <f>IF(Associates_Call_List_PQ!E645="","",Associates_Call_List_PQ!E645)</f>
        <v>85383</v>
      </c>
      <c r="F645" s="57" t="str">
        <f>IF(Associates_Call_List_PQ!F645="","",Associates_Call_List_PQ!F645)</f>
        <v xml:space="preserve">Opposed </v>
      </c>
      <c r="G645" s="57" t="str">
        <f>IF(Associates_Call_List_PQ!G645="","",Associates_Call_List_PQ!G645)</f>
        <v>https://docket.images.azcc.gov/E000046266.pdf</v>
      </c>
      <c r="H645" s="59" t="str">
        <f>IF(Associates_Call_List_PQ!H645="","",Associates_Call_List_PQ!H645)</f>
        <v>9287216468 </v>
      </c>
      <c r="I645" s="57" t="str">
        <f>IF(Associates_Call_List_PQ!I645="","",Associates_Call_List_PQ!I645)</f>
        <v>R3-47</v>
      </c>
      <c r="J645" s="57" t="str">
        <f>IF(Associates_Call_List_PQ!J645="","",Associates_Call_List_PQ!J645)</f>
        <v>No</v>
      </c>
      <c r="K645" s="57" t="str">
        <f>IF(Associates_Call_List_PQ!K645="","",Associates_Call_List_PQ!K645)</f>
        <v>No</v>
      </c>
      <c r="L645" s="57" t="str">
        <f>IF(Associates_Call_List_PQ!L645="","",Associates_Call_List_PQ!L645)</f>
        <v>Yes</v>
      </c>
      <c r="M645" s="57" t="str">
        <f>IF(Associates_Call_List_PQ!M645="","",Associates_Call_List_PQ!M645)</f>
        <v>No</v>
      </c>
      <c r="N645" s="57" t="str">
        <f>IF(Associates_Call_List_PQ!N645="","",Associates_Call_List_PQ!N645)</f>
        <v>No</v>
      </c>
      <c r="O645" s="57" t="str">
        <f>IF(Associates_Call_List_PQ!O645="","",Associates_Call_List_PQ!O645)</f>
        <v>Yes</v>
      </c>
      <c r="P645" s="57" t="str">
        <f>IF(Associates_Call_List_PQ!P645="","",Associates_Call_List_PQ!P645)</f>
        <v>N</v>
      </c>
      <c r="Q645" s="57">
        <f>IF(Associates_Call_List_PQ!Q645="","",Associates_Call_List_PQ!Q645)</f>
        <v>45964</v>
      </c>
      <c r="R645" s="57" t="str">
        <f>IF(Associates_Call_List_PQ!R645="","",Associates_Call_List_PQ!R645)</f>
        <v/>
      </c>
      <c r="S645" s="57" t="str">
        <f>IF(Associates_Call_List_PQ!S645="","",Associates_Call_List_PQ!S645)</f>
        <v/>
      </c>
      <c r="T645" s="57" t="str">
        <f>IF(Associates_Call_List_PQ!T645="","",Associates_Call_List_PQ!T645)</f>
        <v/>
      </c>
      <c r="U645" s="57" t="str">
        <f>IF(Associates_Call_List_PQ!U645="","",Associates_Call_List_PQ!U645)</f>
        <v/>
      </c>
      <c r="V645" s="68"/>
      <c r="W645" s="68" t="s">
        <v>5432</v>
      </c>
      <c r="X645" s="68"/>
      <c r="Y645" s="68"/>
      <c r="Z645" s="72"/>
    </row>
    <row r="646" spans="1:26">
      <c r="A646" s="71">
        <f>IFERROR(Associates_Call_List_PQ!A646,"")</f>
        <v>45907</v>
      </c>
      <c r="B646" s="57" t="str">
        <f>IF(Associates_Call_List_PQ!B646="","",Associates_Call_List_PQ!B646)</f>
        <v>Fehr</v>
      </c>
      <c r="C646" s="57" t="str">
        <f>IF(Associates_Call_List_PQ!C646="","",Associates_Call_List_PQ!C646)</f>
        <v>David</v>
      </c>
      <c r="D646" s="57" t="str">
        <f>IF(Associates_Call_List_PQ!D646="","",Associates_Call_List_PQ!D646)</f>
        <v>Scottsdale</v>
      </c>
      <c r="E646" s="58">
        <f>IF(Associates_Call_List_PQ!E646="","",Associates_Call_List_PQ!E646)</f>
        <v>85254</v>
      </c>
      <c r="F646" s="57" t="str">
        <f>IF(Associates_Call_List_PQ!F646="","",Associates_Call_List_PQ!F646)</f>
        <v>Unreasonably high</v>
      </c>
      <c r="G646" s="57" t="str">
        <f>IF(Associates_Call_List_PQ!G646="","",Associates_Call_List_PQ!G646)</f>
        <v>https://docket.images.azcc.gov/E000046266.pdf</v>
      </c>
      <c r="H646" s="59" t="str">
        <f>IF(Associates_Call_List_PQ!H646="","",Associates_Call_List_PQ!H646)</f>
        <v>1637250000</v>
      </c>
      <c r="I646" s="57" t="str">
        <f>IF(Associates_Call_List_PQ!I646="","",Associates_Call_List_PQ!I646)</f>
        <v>R3-47</v>
      </c>
      <c r="J646" s="57" t="str">
        <f>IF(Associates_Call_List_PQ!J646="","",Associates_Call_List_PQ!J646)</f>
        <v>No</v>
      </c>
      <c r="K646" s="57" t="str">
        <f>IF(Associates_Call_List_PQ!K646="","",Associates_Call_List_PQ!K646)</f>
        <v>No</v>
      </c>
      <c r="L646" s="57" t="str">
        <f>IF(Associates_Call_List_PQ!L646="","",Associates_Call_List_PQ!L646)</f>
        <v>Yes</v>
      </c>
      <c r="M646" s="57" t="str">
        <f>IF(Associates_Call_List_PQ!M646="","",Associates_Call_List_PQ!M646)</f>
        <v>No</v>
      </c>
      <c r="N646" s="57" t="str">
        <f>IF(Associates_Call_List_PQ!N646="","",Associates_Call_List_PQ!N646)</f>
        <v>No</v>
      </c>
      <c r="O646" s="57" t="str">
        <f>IF(Associates_Call_List_PQ!O646="","",Associates_Call_List_PQ!O646)</f>
        <v>Yes</v>
      </c>
      <c r="P646" s="57" t="str">
        <f>IF(Associates_Call_List_PQ!P646="","",Associates_Call_List_PQ!P646)</f>
        <v>N</v>
      </c>
      <c r="Q646" s="57">
        <f>IF(Associates_Call_List_PQ!Q646="","",Associates_Call_List_PQ!Q646)</f>
        <v>45964</v>
      </c>
      <c r="R646" s="57" t="str">
        <f>IF(Associates_Call_List_PQ!R646="","",Associates_Call_List_PQ!R646)</f>
        <v/>
      </c>
      <c r="S646" s="57" t="str">
        <f>IF(Associates_Call_List_PQ!S646="","",Associates_Call_List_PQ!S646)</f>
        <v/>
      </c>
      <c r="T646" s="57" t="str">
        <f>IF(Associates_Call_List_PQ!T646="","",Associates_Call_List_PQ!T646)</f>
        <v/>
      </c>
      <c r="U646" s="57" t="str">
        <f>IF(Associates_Call_List_PQ!U646="","",Associates_Call_List_PQ!U646)</f>
        <v/>
      </c>
      <c r="V646" s="68"/>
      <c r="W646" s="68" t="s">
        <v>5432</v>
      </c>
      <c r="X646" s="68"/>
      <c r="Y646" s="68"/>
      <c r="Z646" s="72"/>
    </row>
    <row r="647" spans="1:26">
      <c r="A647" s="71">
        <f>IFERROR(Associates_Call_List_PQ!A647,"")</f>
        <v>45907</v>
      </c>
      <c r="B647" s="57" t="str">
        <f>IF(Associates_Call_List_PQ!B647="","",Associates_Call_List_PQ!B647)</f>
        <v>Greibesland</v>
      </c>
      <c r="C647" s="57" t="str">
        <f>IF(Associates_Call_List_PQ!C647="","",Associates_Call_List_PQ!C647)</f>
        <v>Bevan</v>
      </c>
      <c r="D647" s="57" t="str">
        <f>IF(Associates_Call_List_PQ!D647="","",Associates_Call_List_PQ!D647)</f>
        <v>Peoria</v>
      </c>
      <c r="E647" s="58">
        <f>IF(Associates_Call_List_PQ!E647="","",Associates_Call_List_PQ!E647)</f>
        <v>85382</v>
      </c>
      <c r="F647" s="57" t="str">
        <f>IF(Associates_Call_List_PQ!F647="","",Associates_Call_List_PQ!F647)</f>
        <v>Form letter</v>
      </c>
      <c r="G647" s="57" t="str">
        <f>IF(Associates_Call_List_PQ!G647="","",Associates_Call_List_PQ!G647)</f>
        <v>https://docket.images.azcc.gov/E000046266.pdf</v>
      </c>
      <c r="H647" s="59" t="str">
        <f>IF(Associates_Call_List_PQ!H647="","",Associates_Call_List_PQ!H647)</f>
        <v xml:space="preserve">5245451000 </v>
      </c>
      <c r="I647" s="57" t="str">
        <f>IF(Associates_Call_List_PQ!I647="","",Associates_Call_List_PQ!I647)</f>
        <v>RTOUE47</v>
      </c>
      <c r="J647" s="57" t="str">
        <f>IF(Associates_Call_List_PQ!J647="","",Associates_Call_List_PQ!J647)</f>
        <v>No</v>
      </c>
      <c r="K647" s="57" t="str">
        <f>IF(Associates_Call_List_PQ!K647="","",Associates_Call_List_PQ!K647)</f>
        <v>No</v>
      </c>
      <c r="L647" s="57" t="str">
        <f>IF(Associates_Call_List_PQ!L647="","",Associates_Call_List_PQ!L647)</f>
        <v>No MEP R3-47($138.04)</v>
      </c>
      <c r="M647" s="57" t="str">
        <f>IF(Associates_Call_List_PQ!M647="","",Associates_Call_List_PQ!M647)</f>
        <v>No</v>
      </c>
      <c r="N647" s="57" t="str">
        <f>IF(Associates_Call_List_PQ!N647="","",Associates_Call_List_PQ!N647)</f>
        <v>No</v>
      </c>
      <c r="O647" s="57" t="str">
        <f>IF(Associates_Call_List_PQ!O647="","",Associates_Call_List_PQ!O647)</f>
        <v>Yes</v>
      </c>
      <c r="P647" s="57">
        <f>IF(Associates_Call_List_PQ!P647="","",Associates_Call_List_PQ!P647)</f>
        <v>45939</v>
      </c>
      <c r="Q647" s="57">
        <f>IF(Associates_Call_List_PQ!Q647="","",Associates_Call_List_PQ!Q647)</f>
        <v>45964</v>
      </c>
      <c r="R647" s="57" t="str">
        <f>IF(Associates_Call_List_PQ!R647="","",Associates_Call_List_PQ!R647)</f>
        <v>10/9 Left VM</v>
      </c>
      <c r="S647" s="57" t="str">
        <f>IF(Associates_Call_List_PQ!S647="","",Associates_Call_List_PQ!S647)</f>
        <v/>
      </c>
      <c r="T647" s="57" t="str">
        <f>IF(Associates_Call_List_PQ!T647="","",Associates_Call_List_PQ!T647)</f>
        <v/>
      </c>
      <c r="U647" s="57" t="str">
        <f>IF(Associates_Call_List_PQ!U647="","",Associates_Call_List_PQ!U647)</f>
        <v/>
      </c>
      <c r="V647" s="68" t="s">
        <v>5433</v>
      </c>
      <c r="W647" s="68">
        <v>46039</v>
      </c>
      <c r="X647" s="68" t="s">
        <v>5405</v>
      </c>
      <c r="Y647" s="68" t="s">
        <v>5461</v>
      </c>
      <c r="Z647" s="72" t="s">
        <v>5586</v>
      </c>
    </row>
    <row r="648" spans="1:26">
      <c r="A648" s="71">
        <f>IFERROR(Associates_Call_List_PQ!A648,"")</f>
        <v>45907</v>
      </c>
      <c r="B648" s="57" t="str">
        <f>IF(Associates_Call_List_PQ!B648="","",Associates_Call_List_PQ!B648)</f>
        <v>Hepner</v>
      </c>
      <c r="C648" s="57" t="str">
        <f>IF(Associates_Call_List_PQ!C648="","",Associates_Call_List_PQ!C648)</f>
        <v>Sean</v>
      </c>
      <c r="D648" s="57" t="str">
        <f>IF(Associates_Call_List_PQ!D648="","",Associates_Call_List_PQ!D648)</f>
        <v>Phoenix</v>
      </c>
      <c r="E648" s="58">
        <f>IF(Associates_Call_List_PQ!E648="","",Associates_Call_List_PQ!E648)</f>
        <v>85022</v>
      </c>
      <c r="F648" s="57" t="str">
        <f>IF(Associates_Call_List_PQ!F648="","",Associates_Call_List_PQ!F648)</f>
        <v>Supports FRM</v>
      </c>
      <c r="G648" s="57" t="str">
        <f>IF(Associates_Call_List_PQ!G648="","",Associates_Call_List_PQ!G648)</f>
        <v>https://docket.images.azcc.gov/E000046266.pdf</v>
      </c>
      <c r="H648" s="59" t="str">
        <f>IF(Associates_Call_List_PQ!H648="","",Associates_Call_List_PQ!H648)</f>
        <v xml:space="preserve">3430450000 </v>
      </c>
      <c r="I648" s="57" t="str">
        <f>IF(Associates_Call_List_PQ!I648="","",Associates_Call_List_PQ!I648)</f>
        <v>R3-47</v>
      </c>
      <c r="J648" s="57" t="str">
        <f>IF(Associates_Call_List_PQ!J648="","",Associates_Call_List_PQ!J648)</f>
        <v>No</v>
      </c>
      <c r="K648" s="57" t="str">
        <f>IF(Associates_Call_List_PQ!K648="","",Associates_Call_List_PQ!K648)</f>
        <v>No</v>
      </c>
      <c r="L648" s="57" t="str">
        <f>IF(Associates_Call_List_PQ!L648="","",Associates_Call_List_PQ!L648)</f>
        <v>Yes</v>
      </c>
      <c r="M648" s="57" t="str">
        <f>IF(Associates_Call_List_PQ!M648="","",Associates_Call_List_PQ!M648)</f>
        <v>No</v>
      </c>
      <c r="N648" s="57" t="str">
        <f>IF(Associates_Call_List_PQ!N648="","",Associates_Call_List_PQ!N648)</f>
        <v>No</v>
      </c>
      <c r="O648" s="57" t="str">
        <f>IF(Associates_Call_List_PQ!O648="","",Associates_Call_List_PQ!O648)</f>
        <v>Yes</v>
      </c>
      <c r="P648" s="57" t="str">
        <f>IF(Associates_Call_List_PQ!P648="","",Associates_Call_List_PQ!P648)</f>
        <v>N</v>
      </c>
      <c r="Q648" s="57">
        <f>IF(Associates_Call_List_PQ!Q648="","",Associates_Call_List_PQ!Q648)</f>
        <v>45964</v>
      </c>
      <c r="R648" s="57" t="str">
        <f>IF(Associates_Call_List_PQ!R648="","",Associates_Call_List_PQ!R648)</f>
        <v/>
      </c>
      <c r="S648" s="57" t="str">
        <f>IF(Associates_Call_List_PQ!S648="","",Associates_Call_List_PQ!S648)</f>
        <v/>
      </c>
      <c r="T648" s="57" t="str">
        <f>IF(Associates_Call_List_PQ!T648="","",Associates_Call_List_PQ!T648)</f>
        <v/>
      </c>
      <c r="U648" s="57" t="str">
        <f>IF(Associates_Call_List_PQ!U648="","",Associates_Call_List_PQ!U648)</f>
        <v/>
      </c>
      <c r="V648" s="68"/>
      <c r="W648" s="68" t="s">
        <v>5432</v>
      </c>
      <c r="X648" s="68"/>
      <c r="Y648" s="68"/>
      <c r="Z648" s="72"/>
    </row>
    <row r="649" spans="1:26">
      <c r="A649" s="71">
        <f>IFERROR(Associates_Call_List_PQ!A649,"")</f>
        <v>45907</v>
      </c>
      <c r="B649" s="57" t="str">
        <f>IF(Associates_Call_List_PQ!B649="","",Associates_Call_List_PQ!B649)</f>
        <v>Hart</v>
      </c>
      <c r="C649" s="57" t="str">
        <f>IF(Associates_Call_List_PQ!C649="","",Associates_Call_List_PQ!C649)</f>
        <v>Kyle</v>
      </c>
      <c r="D649" s="57" t="str">
        <f>IF(Associates_Call_List_PQ!D649="","",Associates_Call_List_PQ!D649)</f>
        <v>Surprise</v>
      </c>
      <c r="E649" s="58">
        <f>IF(Associates_Call_List_PQ!E649="","",Associates_Call_List_PQ!E649)</f>
        <v>85387</v>
      </c>
      <c r="F649" s="57" t="str">
        <f>IF(Associates_Call_List_PQ!F649="","",Associates_Call_List_PQ!F649)</f>
        <v>Form letter</v>
      </c>
      <c r="G649" s="57" t="str">
        <f>IF(Associates_Call_List_PQ!G649="","",Associates_Call_List_PQ!G649)</f>
        <v>https://docket.images.azcc.gov/E000046266.pdf</v>
      </c>
      <c r="H649" s="59" t="str">
        <f>IF(Associates_Call_List_PQ!H649="","",Associates_Call_List_PQ!H649)</f>
        <v xml:space="preserve">6046328982 </v>
      </c>
      <c r="I649" s="57" t="str">
        <f>IF(Associates_Call_List_PQ!I649="","",Associates_Call_List_PQ!I649)</f>
        <v>RTOUE47</v>
      </c>
      <c r="J649" s="57" t="str">
        <f>IF(Associates_Call_List_PQ!J649="","",Associates_Call_List_PQ!J649)</f>
        <v>No</v>
      </c>
      <c r="K649" s="57" t="str">
        <f>IF(Associates_Call_List_PQ!K649="","",Associates_Call_List_PQ!K649)</f>
        <v>No</v>
      </c>
      <c r="L649" s="57" t="str">
        <f>IF(Associates_Call_List_PQ!L649="","",Associates_Call_List_PQ!L649)</f>
        <v>Yes</v>
      </c>
      <c r="M649" s="57" t="str">
        <f>IF(Associates_Call_List_PQ!M649="","",Associates_Call_List_PQ!M649)</f>
        <v>No</v>
      </c>
      <c r="N649" s="57" t="str">
        <f>IF(Associates_Call_List_PQ!N649="","",Associates_Call_List_PQ!N649)</f>
        <v>No</v>
      </c>
      <c r="O649" s="57" t="str">
        <f>IF(Associates_Call_List_PQ!O649="","",Associates_Call_List_PQ!O649)</f>
        <v>Yes</v>
      </c>
      <c r="P649" s="57" t="str">
        <f>IF(Associates_Call_List_PQ!P649="","",Associates_Call_List_PQ!P649)</f>
        <v>N</v>
      </c>
      <c r="Q649" s="57">
        <f>IF(Associates_Call_List_PQ!Q649="","",Associates_Call_List_PQ!Q649)</f>
        <v>45964</v>
      </c>
      <c r="R649" s="57" t="str">
        <f>IF(Associates_Call_List_PQ!R649="","",Associates_Call_List_PQ!R649)</f>
        <v/>
      </c>
      <c r="S649" s="57" t="str">
        <f>IF(Associates_Call_List_PQ!S649="","",Associates_Call_List_PQ!S649)</f>
        <v/>
      </c>
      <c r="T649" s="57" t="str">
        <f>IF(Associates_Call_List_PQ!T649="","",Associates_Call_List_PQ!T649)</f>
        <v/>
      </c>
      <c r="U649" s="57" t="str">
        <f>IF(Associates_Call_List_PQ!U649="","",Associates_Call_List_PQ!U649)</f>
        <v/>
      </c>
      <c r="V649" s="68"/>
      <c r="W649" s="68" t="s">
        <v>5432</v>
      </c>
      <c r="X649" s="68"/>
      <c r="Y649" s="68"/>
      <c r="Z649" s="72"/>
    </row>
    <row r="650" spans="1:26">
      <c r="A650" s="71">
        <f>IFERROR(Associates_Call_List_PQ!A650,"")</f>
        <v>45907</v>
      </c>
      <c r="B650" s="57" t="str">
        <f>IF(Associates_Call_List_PQ!B650="","",Associates_Call_List_PQ!B650)</f>
        <v>Kosowicz</v>
      </c>
      <c r="C650" s="57" t="str">
        <f>IF(Associates_Call_List_PQ!C650="","",Associates_Call_List_PQ!C650)</f>
        <v>Diane</v>
      </c>
      <c r="D650" s="57" t="str">
        <f>IF(Associates_Call_List_PQ!D650="","",Associates_Call_List_PQ!D650)</f>
        <v>Scottsdale</v>
      </c>
      <c r="E650" s="58">
        <f>IF(Associates_Call_List_PQ!E650="","",Associates_Call_List_PQ!E650)</f>
        <v>85251</v>
      </c>
      <c r="F650" s="57" t="str">
        <f>IF(Associates_Call_List_PQ!F650="","",Associates_Call_List_PQ!F650)</f>
        <v>becoming unaffordable</v>
      </c>
      <c r="G650" s="57" t="str">
        <f>IF(Associates_Call_List_PQ!G650="","",Associates_Call_List_PQ!G650)</f>
        <v>https://docket.images.azcc.gov/E000046266.pdf</v>
      </c>
      <c r="H650" s="59" t="str">
        <f>IF(Associates_Call_List_PQ!H650="","",Associates_Call_List_PQ!H650)</f>
        <v>3157160000 </v>
      </c>
      <c r="I650" s="57" t="str">
        <f>IF(Associates_Call_List_PQ!I650="","",Associates_Call_List_PQ!I650)</f>
        <v>R-XS</v>
      </c>
      <c r="J650" s="57" t="str">
        <f>IF(Associates_Call_List_PQ!J650="","",Associates_Call_List_PQ!J650)</f>
        <v>No</v>
      </c>
      <c r="K650" s="57" t="str">
        <f>IF(Associates_Call_List_PQ!K650="","",Associates_Call_List_PQ!K650)</f>
        <v>No</v>
      </c>
      <c r="L650" s="57" t="str">
        <f>IF(Associates_Call_List_PQ!L650="","",Associates_Call_List_PQ!L650)</f>
        <v>Yes</v>
      </c>
      <c r="M650" s="57" t="str">
        <f>IF(Associates_Call_List_PQ!M650="","",Associates_Call_List_PQ!M650)</f>
        <v>No</v>
      </c>
      <c r="N650" s="57" t="str">
        <f>IF(Associates_Call_List_PQ!N650="","",Associates_Call_List_PQ!N650)</f>
        <v>No</v>
      </c>
      <c r="O650" s="57" t="str">
        <f>IF(Associates_Call_List_PQ!O650="","",Associates_Call_List_PQ!O650)</f>
        <v>Yes</v>
      </c>
      <c r="P650" s="57" t="str">
        <f>IF(Associates_Call_List_PQ!P650="","",Associates_Call_List_PQ!P650)</f>
        <v>N</v>
      </c>
      <c r="Q650" s="57">
        <f>IF(Associates_Call_List_PQ!Q650="","",Associates_Call_List_PQ!Q650)</f>
        <v>45964</v>
      </c>
      <c r="R650" s="57" t="str">
        <f>IF(Associates_Call_List_PQ!R650="","",Associates_Call_List_PQ!R650)</f>
        <v/>
      </c>
      <c r="S650" s="57" t="str">
        <f>IF(Associates_Call_List_PQ!S650="","",Associates_Call_List_PQ!S650)</f>
        <v/>
      </c>
      <c r="T650" s="57" t="str">
        <f>IF(Associates_Call_List_PQ!T650="","",Associates_Call_List_PQ!T650)</f>
        <v/>
      </c>
      <c r="U650" s="57" t="str">
        <f>IF(Associates_Call_List_PQ!U650="","",Associates_Call_List_PQ!U650)</f>
        <v/>
      </c>
      <c r="V650" s="68"/>
      <c r="W650" s="68" t="s">
        <v>5432</v>
      </c>
      <c r="X650" s="68"/>
      <c r="Y650" s="68"/>
      <c r="Z650" s="72"/>
    </row>
    <row r="651" spans="1:26">
      <c r="A651" s="71">
        <f>IFERROR(Associates_Call_List_PQ!A651,"")</f>
        <v>45907</v>
      </c>
      <c r="B651" s="57" t="str">
        <f>IF(Associates_Call_List_PQ!B651="","",Associates_Call_List_PQ!B651)</f>
        <v>McCloud</v>
      </c>
      <c r="C651" s="57" t="str">
        <f>IF(Associates_Call_List_PQ!C651="","",Associates_Call_List_PQ!C651)</f>
        <v>Jason</v>
      </c>
      <c r="D651" s="57" t="str">
        <f>IF(Associates_Call_List_PQ!D651="","",Associates_Call_List_PQ!D651)</f>
        <v>Surprise</v>
      </c>
      <c r="E651" s="58">
        <f>IF(Associates_Call_List_PQ!E651="","",Associates_Call_List_PQ!E651)</f>
        <v>85379</v>
      </c>
      <c r="F651" s="57" t="str">
        <f>IF(Associates_Call_List_PQ!F651="","",Associates_Call_List_PQ!F651)</f>
        <v>Unchecked greed</v>
      </c>
      <c r="G651" s="57" t="str">
        <f>IF(Associates_Call_List_PQ!G651="","",Associates_Call_List_PQ!G651)</f>
        <v>https://docket.images.azcc.gov/E000046266.pdf</v>
      </c>
      <c r="H651" s="59" t="str">
        <f>IF(Associates_Call_List_PQ!H651="","",Associates_Call_List_PQ!H651)</f>
        <v xml:space="preserve">6846061000 </v>
      </c>
      <c r="I651" s="57" t="str">
        <f>IF(Associates_Call_List_PQ!I651="","",Associates_Call_List_PQ!I651)</f>
        <v>RTOUE47</v>
      </c>
      <c r="J651" s="57" t="str">
        <f>IF(Associates_Call_List_PQ!J651="","",Associates_Call_List_PQ!J651)</f>
        <v>No</v>
      </c>
      <c r="K651" s="57" t="str">
        <f>IF(Associates_Call_List_PQ!K651="","",Associates_Call_List_PQ!K651)</f>
        <v>No</v>
      </c>
      <c r="L651" s="57" t="str">
        <f>IF(Associates_Call_List_PQ!L651="","",Associates_Call_List_PQ!L651)</f>
        <v>No MEP R3-47($74.50)</v>
      </c>
      <c r="M651" s="57" t="str">
        <f>IF(Associates_Call_List_PQ!M651="","",Associates_Call_List_PQ!M651)</f>
        <v>Yes</v>
      </c>
      <c r="N651" s="57">
        <f>IF(Associates_Call_List_PQ!N651="","",Associates_Call_List_PQ!N651)</f>
        <v>803.66</v>
      </c>
      <c r="O651" s="57" t="str">
        <f>IF(Associates_Call_List_PQ!O651="","",Associates_Call_List_PQ!O651)</f>
        <v>Yes</v>
      </c>
      <c r="P651" s="57" t="str">
        <f>IF(Associates_Call_List_PQ!P651="","",Associates_Call_List_PQ!P651)</f>
        <v/>
      </c>
      <c r="Q651" s="57">
        <f>IF(Associates_Call_List_PQ!Q651="","",Associates_Call_List_PQ!Q651)</f>
        <v>45964</v>
      </c>
      <c r="R651" s="57" t="str">
        <f>IF(Associates_Call_List_PQ!R651="","",Associates_Call_List_PQ!R651)</f>
        <v>Assistance?</v>
      </c>
      <c r="S651" s="57" t="str">
        <f>IF(Associates_Call_List_PQ!S651="","",Associates_Call_List_PQ!S651)</f>
        <v/>
      </c>
      <c r="T651" s="57" t="str">
        <f>IF(Associates_Call_List_PQ!T651="","",Associates_Call_List_PQ!T651)</f>
        <v/>
      </c>
      <c r="U651" s="57" t="str">
        <f>IF(Associates_Call_List_PQ!U651="","",Associates_Call_List_PQ!U651)</f>
        <v/>
      </c>
      <c r="V651" s="68" t="s">
        <v>5433</v>
      </c>
      <c r="W651" s="68">
        <v>46039</v>
      </c>
      <c r="X651" s="68" t="s">
        <v>5434</v>
      </c>
      <c r="Y651" s="68"/>
      <c r="Z651" s="72"/>
    </row>
    <row r="652" spans="1:26">
      <c r="A652" s="71">
        <f>IFERROR(Associates_Call_List_PQ!A652,"")</f>
        <v>45907</v>
      </c>
      <c r="B652" s="57" t="str">
        <f>IF(Associates_Call_List_PQ!B652="","",Associates_Call_List_PQ!B652)</f>
        <v>Martinez</v>
      </c>
      <c r="C652" s="57" t="str">
        <f>IF(Associates_Call_List_PQ!C652="","",Associates_Call_List_PQ!C652)</f>
        <v>Evelin</v>
      </c>
      <c r="D652" s="57" t="str">
        <f>IF(Associates_Call_List_PQ!D652="","",Associates_Call_List_PQ!D652)</f>
        <v>Somerton</v>
      </c>
      <c r="E652" s="58">
        <f>IF(Associates_Call_List_PQ!E652="","",Associates_Call_List_PQ!E652)</f>
        <v>85350</v>
      </c>
      <c r="F652" s="57" t="str">
        <f>IF(Associates_Call_List_PQ!F652="","",Associates_Call_List_PQ!F652)</f>
        <v>Unaffordable and unfair</v>
      </c>
      <c r="G652" s="57" t="str">
        <f>IF(Associates_Call_List_PQ!G652="","",Associates_Call_List_PQ!G652)</f>
        <v>https://docket.images.azcc.gov/E000046266.pdf</v>
      </c>
      <c r="H652" s="59" t="str">
        <f>IF(Associates_Call_List_PQ!H652="","",Associates_Call_List_PQ!H652)</f>
        <v xml:space="preserve">0491835909 </v>
      </c>
      <c r="I652" s="57" t="str">
        <f>IF(Associates_Call_List_PQ!I652="","",Associates_Call_List_PQ!I652)</f>
        <v>R3-47</v>
      </c>
      <c r="J652" s="57" t="str">
        <f>IF(Associates_Call_List_PQ!J652="","",Associates_Call_List_PQ!J652)</f>
        <v>Yes</v>
      </c>
      <c r="K652" s="57" t="str">
        <f>IF(Associates_Call_List_PQ!K652="","",Associates_Call_List_PQ!K652)</f>
        <v>No</v>
      </c>
      <c r="L652" s="57" t="str">
        <f>IF(Associates_Call_List_PQ!L652="","",Associates_Call_List_PQ!L652)</f>
        <v>Yes</v>
      </c>
      <c r="M652" s="57" t="str">
        <f>IF(Associates_Call_List_PQ!M652="","",Associates_Call_List_PQ!M652)</f>
        <v>Yes</v>
      </c>
      <c r="N652" s="57">
        <f>IF(Associates_Call_List_PQ!N652="","",Associates_Call_List_PQ!N652)</f>
        <v>1530.91</v>
      </c>
      <c r="O652" s="57" t="str">
        <f>IF(Associates_Call_List_PQ!O652="","",Associates_Call_List_PQ!O652)</f>
        <v>Yes</v>
      </c>
      <c r="P652" s="57" t="str">
        <f>IF(Associates_Call_List_PQ!P652="","",Associates_Call_List_PQ!P652)</f>
        <v/>
      </c>
      <c r="Q652" s="57">
        <f>IF(Associates_Call_List_PQ!Q652="","",Associates_Call_List_PQ!Q652)</f>
        <v>45964</v>
      </c>
      <c r="R652" s="57" t="str">
        <f>IF(Associates_Call_List_PQ!R652="","",Associates_Call_List_PQ!R652)</f>
        <v>Assistance?</v>
      </c>
      <c r="S652" s="57" t="str">
        <f>IF(Associates_Call_List_PQ!S652="","",Associates_Call_List_PQ!S652)</f>
        <v/>
      </c>
      <c r="T652" s="57" t="str">
        <f>IF(Associates_Call_List_PQ!T652="","",Associates_Call_List_PQ!T652)</f>
        <v/>
      </c>
      <c r="U652" s="57" t="str">
        <f>IF(Associates_Call_List_PQ!U652="","",Associates_Call_List_PQ!U652)</f>
        <v/>
      </c>
      <c r="V652" s="68" t="s">
        <v>5433</v>
      </c>
      <c r="W652" s="68">
        <v>46039</v>
      </c>
      <c r="X652" s="68" t="s">
        <v>5434</v>
      </c>
      <c r="Y652" s="68"/>
      <c r="Z652" s="72"/>
    </row>
    <row r="653" spans="1:26">
      <c r="A653" s="71">
        <f>IFERROR(Associates_Call_List_PQ!A653,"")</f>
        <v>45907</v>
      </c>
      <c r="B653" s="57" t="str">
        <f>IF(Associates_Call_List_PQ!B653="","",Associates_Call_List_PQ!B653)</f>
        <v>Litton</v>
      </c>
      <c r="C653" s="57" t="str">
        <f>IF(Associates_Call_List_PQ!C653="","",Associates_Call_List_PQ!C653)</f>
        <v>Miranda</v>
      </c>
      <c r="D653" s="57" t="str">
        <f>IF(Associates_Call_List_PQ!D653="","",Associates_Call_List_PQ!D653)</f>
        <v>Youngtown</v>
      </c>
      <c r="E653" s="58">
        <f>IF(Associates_Call_List_PQ!E653="","",Associates_Call_List_PQ!E653)</f>
        <v>85363</v>
      </c>
      <c r="F653" s="57" t="str">
        <f>IF(Associates_Call_List_PQ!F653="","",Associates_Call_List_PQ!F653)</f>
        <v>Form letter</v>
      </c>
      <c r="G653" s="57" t="str">
        <f>IF(Associates_Call_List_PQ!G653="","",Associates_Call_List_PQ!G653)</f>
        <v>https://docket.images.azcc.gov/E000046266.pdf</v>
      </c>
      <c r="H653" s="59" t="str">
        <f>IF(Associates_Call_List_PQ!H653="","",Associates_Call_List_PQ!H653)</f>
        <v xml:space="preserve">4757278626 </v>
      </c>
      <c r="I653" s="57" t="str">
        <f>IF(Associates_Call_List_PQ!I653="","",Associates_Call_List_PQ!I653)</f>
        <v>RTOUE47</v>
      </c>
      <c r="J653" s="57" t="str">
        <f>IF(Associates_Call_List_PQ!J653="","",Associates_Call_List_PQ!J653)</f>
        <v>No</v>
      </c>
      <c r="K653" s="57" t="str">
        <f>IF(Associates_Call_List_PQ!K653="","",Associates_Call_List_PQ!K653)</f>
        <v>No</v>
      </c>
      <c r="L653" s="57" t="str">
        <f>IF(Associates_Call_List_PQ!L653="","",Associates_Call_List_PQ!L653)</f>
        <v>No MEP R3-47 ($110.70)</v>
      </c>
      <c r="M653" s="57" t="str">
        <f>IF(Associates_Call_List_PQ!M653="","",Associates_Call_List_PQ!M653)</f>
        <v>No</v>
      </c>
      <c r="N653" s="57" t="str">
        <f>IF(Associates_Call_List_PQ!N653="","",Associates_Call_List_PQ!N653)</f>
        <v>No</v>
      </c>
      <c r="O653" s="57" t="str">
        <f>IF(Associates_Call_List_PQ!O653="","",Associates_Call_List_PQ!O653)</f>
        <v>Yes</v>
      </c>
      <c r="P653" s="57">
        <f>IF(Associates_Call_List_PQ!P653="","",Associates_Call_List_PQ!P653)</f>
        <v>45964</v>
      </c>
      <c r="Q653" s="57">
        <f>IF(Associates_Call_List_PQ!Q653="","",Associates_Call_List_PQ!Q653)</f>
        <v>45964</v>
      </c>
      <c r="R653" s="57" t="str">
        <f>IF(Associates_Call_List_PQ!R653="","",Associates_Call_List_PQ!R653)</f>
        <v>11/03 - LM</v>
      </c>
      <c r="S653" s="57" t="str">
        <f>IF(Associates_Call_List_PQ!S653="","",Associates_Call_List_PQ!S653)</f>
        <v/>
      </c>
      <c r="T653" s="57" t="str">
        <f>IF(Associates_Call_List_PQ!T653="","",Associates_Call_List_PQ!T653)</f>
        <v/>
      </c>
      <c r="U653" s="57" t="str">
        <f>IF(Associates_Call_List_PQ!U653="","",Associates_Call_List_PQ!U653)</f>
        <v/>
      </c>
      <c r="V653" s="68" t="s">
        <v>5433</v>
      </c>
      <c r="W653" s="68">
        <v>46039</v>
      </c>
      <c r="X653" s="68" t="s">
        <v>5434</v>
      </c>
      <c r="Y653" s="68"/>
      <c r="Z653" s="72"/>
    </row>
    <row r="654" spans="1:26">
      <c r="A654" s="71">
        <f>IFERROR(Associates_Call_List_PQ!A654,"")</f>
        <v>45907</v>
      </c>
      <c r="B654" s="57" t="str">
        <f>IF(Associates_Call_List_PQ!B654="","",Associates_Call_List_PQ!B654)</f>
        <v>Watson</v>
      </c>
      <c r="C654" s="57" t="str">
        <f>IF(Associates_Call_List_PQ!C654="","",Associates_Call_List_PQ!C654)</f>
        <v>Mary Ann</v>
      </c>
      <c r="D654" s="57" t="str">
        <f>IF(Associates_Call_List_PQ!D654="","",Associates_Call_List_PQ!D654)</f>
        <v>Sun City West</v>
      </c>
      <c r="E654" s="58">
        <f>IF(Associates_Call_List_PQ!E654="","",Associates_Call_List_PQ!E654)</f>
        <v>85376</v>
      </c>
      <c r="F654" s="57" t="str">
        <f>IF(Associates_Call_List_PQ!F654="","",Associates_Call_List_PQ!F654)</f>
        <v>Too much too often</v>
      </c>
      <c r="G654" s="57" t="str">
        <f>IF(Associates_Call_List_PQ!G654="","",Associates_Call_List_PQ!G654)</f>
        <v>https://docket.images.azcc.gov/E000046266.pdf</v>
      </c>
      <c r="H654" s="59" t="str">
        <f>IF(Associates_Call_List_PQ!H654="","",Associates_Call_List_PQ!H654)</f>
        <v xml:space="preserve">7619340000 </v>
      </c>
      <c r="I654" s="57" t="str">
        <f>IF(Associates_Call_List_PQ!I654="","",Associates_Call_List_PQ!I654)</f>
        <v>RTOUE47</v>
      </c>
      <c r="J654" s="57" t="str">
        <f>IF(Associates_Call_List_PQ!J654="","",Associates_Call_List_PQ!J654)</f>
        <v>No</v>
      </c>
      <c r="K654" s="57" t="str">
        <f>IF(Associates_Call_List_PQ!K654="","",Associates_Call_List_PQ!K654)</f>
        <v>No</v>
      </c>
      <c r="L654" s="57" t="str">
        <f>IF(Associates_Call_List_PQ!L654="","",Associates_Call_List_PQ!L654)</f>
        <v>No MEP R3-47($130.18)</v>
      </c>
      <c r="M654" s="57" t="str">
        <f>IF(Associates_Call_List_PQ!M654="","",Associates_Call_List_PQ!M654)</f>
        <v>No</v>
      </c>
      <c r="N654" s="57" t="str">
        <f>IF(Associates_Call_List_PQ!N654="","",Associates_Call_List_PQ!N654)</f>
        <v>No</v>
      </c>
      <c r="O654" s="57" t="str">
        <f>IF(Associates_Call_List_PQ!O654="","",Associates_Call_List_PQ!O654)</f>
        <v>Yes</v>
      </c>
      <c r="P654" s="57" t="str">
        <f>IF(Associates_Call_List_PQ!P654="","",Associates_Call_List_PQ!P654)</f>
        <v>N</v>
      </c>
      <c r="Q654" s="57">
        <f>IF(Associates_Call_List_PQ!Q654="","",Associates_Call_List_PQ!Q654)</f>
        <v>45964</v>
      </c>
      <c r="R654" s="57" t="str">
        <f>IF(Associates_Call_List_PQ!R654="","",Associates_Call_List_PQ!R654)</f>
        <v>10/9 - tried to call, phone number is no longer in service</v>
      </c>
      <c r="S654" s="57" t="str">
        <f>IF(Associates_Call_List_PQ!S654="","",Associates_Call_List_PQ!S654)</f>
        <v/>
      </c>
      <c r="T654" s="57" t="str">
        <f>IF(Associates_Call_List_PQ!T654="","",Associates_Call_List_PQ!T654)</f>
        <v/>
      </c>
      <c r="U654" s="57" t="str">
        <f>IF(Associates_Call_List_PQ!U654="","",Associates_Call_List_PQ!U654)</f>
        <v/>
      </c>
      <c r="V654" s="68" t="s">
        <v>5433</v>
      </c>
      <c r="W654" s="68">
        <v>46025</v>
      </c>
      <c r="X654" s="68" t="s">
        <v>5405</v>
      </c>
      <c r="Y654" s="68"/>
      <c r="Z654" s="72" t="s">
        <v>5628</v>
      </c>
    </row>
    <row r="655" spans="1:26">
      <c r="A655" s="71">
        <f>IFERROR(Associates_Call_List_PQ!A655,"")</f>
        <v>45907</v>
      </c>
      <c r="B655" s="57" t="str">
        <f>IF(Associates_Call_List_PQ!B655="","",Associates_Call_List_PQ!B655)</f>
        <v>Bahrie</v>
      </c>
      <c r="C655" s="57" t="str">
        <f>IF(Associates_Call_List_PQ!C655="","",Associates_Call_List_PQ!C655)</f>
        <v>Atul</v>
      </c>
      <c r="D655" s="57" t="str">
        <f>IF(Associates_Call_List_PQ!D655="","",Associates_Call_List_PQ!D655)</f>
        <v>Phoenix</v>
      </c>
      <c r="E655" s="58">
        <f>IF(Associates_Call_List_PQ!E655="","",Associates_Call_List_PQ!E655)</f>
        <v>85024</v>
      </c>
      <c r="F655" s="57" t="str">
        <f>IF(Associates_Call_List_PQ!F655="","",Associates_Call_List_PQ!F655)</f>
        <v>Form letter</v>
      </c>
      <c r="G655" s="57" t="str">
        <f>IF(Associates_Call_List_PQ!G655="","",Associates_Call_List_PQ!G655)</f>
        <v>https://docket.images.azcc.gov/E000046266.pdf</v>
      </c>
      <c r="H655" s="59" t="str">
        <f>IF(Associates_Call_List_PQ!H655="","",Associates_Call_List_PQ!H655)</f>
        <v xml:space="preserve">5662251000 </v>
      </c>
      <c r="I655" s="57" t="str">
        <f>IF(Associates_Call_List_PQ!I655="","",Associates_Call_List_PQ!I655)</f>
        <v>R-BASICL</v>
      </c>
      <c r="J655" s="57" t="str">
        <f>IF(Associates_Call_List_PQ!J655="","",Associates_Call_List_PQ!J655)</f>
        <v>No</v>
      </c>
      <c r="K655" s="57" t="str">
        <f>IF(Associates_Call_List_PQ!K655="","",Associates_Call_List_PQ!K655)</f>
        <v>No</v>
      </c>
      <c r="L655" s="57" t="str">
        <f>IF(Associates_Call_List_PQ!L655="","",Associates_Call_List_PQ!L655)</f>
        <v>No MEP R3-47($481.47)</v>
      </c>
      <c r="M655" s="57" t="str">
        <f>IF(Associates_Call_List_PQ!M655="","",Associates_Call_List_PQ!M655)</f>
        <v>No</v>
      </c>
      <c r="N655" s="57" t="str">
        <f>IF(Associates_Call_List_PQ!N655="","",Associates_Call_List_PQ!N655)</f>
        <v>No</v>
      </c>
      <c r="O655" s="57" t="str">
        <f>IF(Associates_Call_List_PQ!O655="","",Associates_Call_List_PQ!O655)</f>
        <v>Yes</v>
      </c>
      <c r="P655" s="57">
        <f>IF(Associates_Call_List_PQ!P655="","",Associates_Call_List_PQ!P655)</f>
        <v>45939</v>
      </c>
      <c r="Q655" s="57">
        <f>IF(Associates_Call_List_PQ!Q655="","",Associates_Call_List_PQ!Q655)</f>
        <v>45964</v>
      </c>
      <c r="R655" s="57" t="str">
        <f>IF(Associates_Call_List_PQ!R655="","",Associates_Call_List_PQ!R655)</f>
        <v>10/9 Left VM</v>
      </c>
      <c r="S655" s="57" t="str">
        <f>IF(Associates_Call_List_PQ!S655="","",Associates_Call_List_PQ!S655)</f>
        <v/>
      </c>
      <c r="T655" s="57" t="str">
        <f>IF(Associates_Call_List_PQ!T655="","",Associates_Call_List_PQ!T655)</f>
        <v/>
      </c>
      <c r="U655" s="57" t="str">
        <f>IF(Associates_Call_List_PQ!U655="","",Associates_Call_List_PQ!U655)</f>
        <v/>
      </c>
      <c r="V655" s="68" t="s">
        <v>5433</v>
      </c>
      <c r="W655" s="68">
        <v>46025</v>
      </c>
      <c r="X655" s="68" t="s">
        <v>5405</v>
      </c>
      <c r="Y655" s="68"/>
      <c r="Z655" s="72" t="s">
        <v>5627</v>
      </c>
    </row>
    <row r="656" spans="1:26">
      <c r="A656" s="71">
        <f>IFERROR(Associates_Call_List_PQ!A656,"")</f>
        <v>45907</v>
      </c>
      <c r="B656" s="57" t="str">
        <f>IF(Associates_Call_List_PQ!B656="","",Associates_Call_List_PQ!B656)</f>
        <v>Pludowski</v>
      </c>
      <c r="C656" s="57" t="str">
        <f>IF(Associates_Call_List_PQ!C656="","",Associates_Call_List_PQ!C656)</f>
        <v>Andrew</v>
      </c>
      <c r="D656" s="57" t="str">
        <f>IF(Associates_Call_List_PQ!D656="","",Associates_Call_List_PQ!D656)</f>
        <v>Surprise</v>
      </c>
      <c r="E656" s="58">
        <f>IF(Associates_Call_List_PQ!E656="","",Associates_Call_List_PQ!E656)</f>
        <v>85387</v>
      </c>
      <c r="F656" s="57" t="str">
        <f>IF(Associates_Call_List_PQ!F656="","",Associates_Call_List_PQ!F656)</f>
        <v>Increase approved last year</v>
      </c>
      <c r="G656" s="57" t="str">
        <f>IF(Associates_Call_List_PQ!G656="","",Associates_Call_List_PQ!G656)</f>
        <v>https://docket.images.azcc.gov/E000046266.pdf</v>
      </c>
      <c r="H656" s="59" t="str">
        <f>IF(Associates_Call_List_PQ!H656="","",Associates_Call_List_PQ!H656)</f>
        <v xml:space="preserve">7397370000 </v>
      </c>
      <c r="I656" s="57" t="str">
        <f>IF(Associates_Call_List_PQ!I656="","",Associates_Call_List_PQ!I656)</f>
        <v>RTOUE47</v>
      </c>
      <c r="J656" s="57" t="str">
        <f>IF(Associates_Call_List_PQ!J656="","",Associates_Call_List_PQ!J656)</f>
        <v>No</v>
      </c>
      <c r="K656" s="57" t="str">
        <f>IF(Associates_Call_List_PQ!K656="","",Associates_Call_List_PQ!K656)</f>
        <v>No</v>
      </c>
      <c r="L656" s="57" t="str">
        <f>IF(Associates_Call_List_PQ!L656="","",Associates_Call_List_PQ!L656)</f>
        <v>No MRP R3-47($305.33)</v>
      </c>
      <c r="M656" s="57" t="str">
        <f>IF(Associates_Call_List_PQ!M656="","",Associates_Call_List_PQ!M656)</f>
        <v>No</v>
      </c>
      <c r="N656" s="57" t="str">
        <f>IF(Associates_Call_List_PQ!N656="","",Associates_Call_List_PQ!N656)</f>
        <v>No</v>
      </c>
      <c r="O656" s="57" t="str">
        <f>IF(Associates_Call_List_PQ!O656="","",Associates_Call_List_PQ!O656)</f>
        <v>Yes</v>
      </c>
      <c r="P656" s="57" t="str">
        <f>IF(Associates_Call_List_PQ!P656="","",Associates_Call_List_PQ!P656)</f>
        <v>N</v>
      </c>
      <c r="Q656" s="57">
        <f>IF(Associates_Call_List_PQ!Q656="","",Associates_Call_List_PQ!Q656)</f>
        <v>45964</v>
      </c>
      <c r="R656" s="57" t="str">
        <f>IF(Associates_Call_List_PQ!R656="","",Associates_Call_List_PQ!R656)</f>
        <v xml:space="preserve">10/9 reviewed account and notes indicate he spoke to an advisor within the last several  months and specifically asked to be removed from the demand plan. </v>
      </c>
      <c r="S656" s="57" t="str">
        <f>IF(Associates_Call_List_PQ!S656="","",Associates_Call_List_PQ!S656)</f>
        <v/>
      </c>
      <c r="T656" s="57" t="str">
        <f>IF(Associates_Call_List_PQ!T656="","",Associates_Call_List_PQ!T656)</f>
        <v/>
      </c>
      <c r="U656" s="57" t="str">
        <f>IF(Associates_Call_List_PQ!U656="","",Associates_Call_List_PQ!U656)</f>
        <v/>
      </c>
      <c r="V656" s="68" t="s">
        <v>5433</v>
      </c>
      <c r="W656" s="68">
        <v>46025</v>
      </c>
      <c r="X656" s="68" t="s">
        <v>5434</v>
      </c>
      <c r="Y656" s="68"/>
      <c r="Z656" s="72"/>
    </row>
    <row r="657" spans="1:26">
      <c r="A657" s="71">
        <f>IFERROR(Associates_Call_List_PQ!A657,"")</f>
        <v>45907</v>
      </c>
      <c r="B657" s="57" t="str">
        <f>IF(Associates_Call_List_PQ!B657="","",Associates_Call_List_PQ!B657)</f>
        <v>Tucker</v>
      </c>
      <c r="C657" s="57" t="str">
        <f>IF(Associates_Call_List_PQ!C657="","",Associates_Call_List_PQ!C657)</f>
        <v>Caitlin</v>
      </c>
      <c r="D657" s="57" t="str">
        <f>IF(Associates_Call_List_PQ!D657="","",Associates_Call_List_PQ!D657)</f>
        <v>Phoenix</v>
      </c>
      <c r="E657" s="58">
        <f>IF(Associates_Call_List_PQ!E657="","",Associates_Call_List_PQ!E657)</f>
        <v>85032</v>
      </c>
      <c r="F657" s="57" t="str">
        <f>IF(Associates_Call_List_PQ!F657="","",Associates_Call_List_PQ!F657)</f>
        <v>against any increase</v>
      </c>
      <c r="G657" s="57" t="str">
        <f>IF(Associates_Call_List_PQ!G657="","",Associates_Call_List_PQ!G657)</f>
        <v>https://docket.images.azcc.gov/E000046266.pdf</v>
      </c>
      <c r="H657" s="59" t="str">
        <f>IF(Associates_Call_List_PQ!H657="","",Associates_Call_List_PQ!H657)</f>
        <v xml:space="preserve">5744736365 </v>
      </c>
      <c r="I657" s="57" t="str">
        <f>IF(Associates_Call_List_PQ!I657="","",Associates_Call_List_PQ!I657)</f>
        <v>R-XS</v>
      </c>
      <c r="J657" s="57" t="str">
        <f>IF(Associates_Call_List_PQ!J657="","",Associates_Call_List_PQ!J657)</f>
        <v>No</v>
      </c>
      <c r="K657" s="57" t="str">
        <f>IF(Associates_Call_List_PQ!K657="","",Associates_Call_List_PQ!K657)</f>
        <v>No</v>
      </c>
      <c r="L657" s="57" t="str">
        <f>IF(Associates_Call_List_PQ!L657="","",Associates_Call_List_PQ!L657)</f>
        <v>Yes</v>
      </c>
      <c r="M657" s="57" t="str">
        <f>IF(Associates_Call_List_PQ!M657="","",Associates_Call_List_PQ!M657)</f>
        <v>No</v>
      </c>
      <c r="N657" s="57" t="str">
        <f>IF(Associates_Call_List_PQ!N657="","",Associates_Call_List_PQ!N657)</f>
        <v>No</v>
      </c>
      <c r="O657" s="57" t="str">
        <f>IF(Associates_Call_List_PQ!O657="","",Associates_Call_List_PQ!O657)</f>
        <v>Yes</v>
      </c>
      <c r="P657" s="57" t="str">
        <f>IF(Associates_Call_List_PQ!P657="","",Associates_Call_List_PQ!P657)</f>
        <v>N</v>
      </c>
      <c r="Q657" s="57">
        <f>IF(Associates_Call_List_PQ!Q657="","",Associates_Call_List_PQ!Q657)</f>
        <v>45964</v>
      </c>
      <c r="R657" s="57" t="str">
        <f>IF(Associates_Call_List_PQ!R657="","",Associates_Call_List_PQ!R657)</f>
        <v>Trending over average monthly usage limit</v>
      </c>
      <c r="S657" s="57" t="str">
        <f>IF(Associates_Call_List_PQ!S657="","",Associates_Call_List_PQ!S657)</f>
        <v/>
      </c>
      <c r="T657" s="57" t="str">
        <f>IF(Associates_Call_List_PQ!T657="","",Associates_Call_List_PQ!T657)</f>
        <v/>
      </c>
      <c r="U657" s="57" t="str">
        <f>IF(Associates_Call_List_PQ!U657="","",Associates_Call_List_PQ!U657)</f>
        <v/>
      </c>
      <c r="V657" s="68"/>
      <c r="W657" s="68" t="s">
        <v>5432</v>
      </c>
      <c r="X657" s="68"/>
      <c r="Y657" s="68"/>
      <c r="Z657" s="72"/>
    </row>
    <row r="658" spans="1:26">
      <c r="A658" s="71">
        <f>IFERROR(Associates_Call_List_PQ!A658,"")</f>
        <v>45907</v>
      </c>
      <c r="B658" s="57" t="str">
        <f>IF(Associates_Call_List_PQ!B658="","",Associates_Call_List_PQ!B658)</f>
        <v>Jimenez</v>
      </c>
      <c r="C658" s="57" t="str">
        <f>IF(Associates_Call_List_PQ!C658="","",Associates_Call_List_PQ!C658)</f>
        <v>David</v>
      </c>
      <c r="D658" s="57" t="str">
        <f>IF(Associates_Call_List_PQ!D658="","",Associates_Call_List_PQ!D658)</f>
        <v>Phoenix</v>
      </c>
      <c r="E658" s="58">
        <f>IF(Associates_Call_List_PQ!E658="","",Associates_Call_List_PQ!E658)</f>
        <v>85027</v>
      </c>
      <c r="F658" s="57" t="str">
        <f>IF(Associates_Call_List_PQ!F658="","",Associates_Call_List_PQ!F658)</f>
        <v>No more rate hikes</v>
      </c>
      <c r="G658" s="57" t="str">
        <f>IF(Associates_Call_List_PQ!G658="","",Associates_Call_List_PQ!G658)</f>
        <v>https://docket.images.azcc.gov/E000046266.pdf</v>
      </c>
      <c r="H658" s="59" t="str">
        <f>IF(Associates_Call_List_PQ!H658="","",Associates_Call_List_PQ!H658)</f>
        <v xml:space="preserve">0103650000 </v>
      </c>
      <c r="I658" s="57" t="str">
        <f>IF(Associates_Call_List_PQ!I658="","",Associates_Call_List_PQ!I658)</f>
        <v>R3-47</v>
      </c>
      <c r="J658" s="57" t="str">
        <f>IF(Associates_Call_List_PQ!J658="","",Associates_Call_List_PQ!J658)</f>
        <v>No</v>
      </c>
      <c r="K658" s="57" t="str">
        <f>IF(Associates_Call_List_PQ!K658="","",Associates_Call_List_PQ!K658)</f>
        <v>No</v>
      </c>
      <c r="L658" s="57" t="str">
        <f>IF(Associates_Call_List_PQ!L658="","",Associates_Call_List_PQ!L658)</f>
        <v>Yes</v>
      </c>
      <c r="M658" s="57" t="str">
        <f>IF(Associates_Call_List_PQ!M658="","",Associates_Call_List_PQ!M658)</f>
        <v>No</v>
      </c>
      <c r="N658" s="57" t="str">
        <f>IF(Associates_Call_List_PQ!N658="","",Associates_Call_List_PQ!N658)</f>
        <v>No</v>
      </c>
      <c r="O658" s="57" t="str">
        <f>IF(Associates_Call_List_PQ!O658="","",Associates_Call_List_PQ!O658)</f>
        <v>Yes</v>
      </c>
      <c r="P658" s="57" t="str">
        <f>IF(Associates_Call_List_PQ!P658="","",Associates_Call_List_PQ!P658)</f>
        <v>N</v>
      </c>
      <c r="Q658" s="57">
        <f>IF(Associates_Call_List_PQ!Q658="","",Associates_Call_List_PQ!Q658)</f>
        <v>45964</v>
      </c>
      <c r="R658" s="57" t="str">
        <f>IF(Associates_Call_List_PQ!R658="","",Associates_Call_List_PQ!R658)</f>
        <v/>
      </c>
      <c r="S658" s="57" t="str">
        <f>IF(Associates_Call_List_PQ!S658="","",Associates_Call_List_PQ!S658)</f>
        <v/>
      </c>
      <c r="T658" s="57" t="str">
        <f>IF(Associates_Call_List_PQ!T658="","",Associates_Call_List_PQ!T658)</f>
        <v/>
      </c>
      <c r="U658" s="57" t="str">
        <f>IF(Associates_Call_List_PQ!U658="","",Associates_Call_List_PQ!U658)</f>
        <v/>
      </c>
      <c r="V658" s="68"/>
      <c r="W658" s="68" t="s">
        <v>5432</v>
      </c>
      <c r="X658" s="68"/>
      <c r="Y658" s="68"/>
      <c r="Z658" s="72"/>
    </row>
    <row r="659" spans="1:26">
      <c r="A659" s="71">
        <f>IFERROR(Associates_Call_List_PQ!A659,"")</f>
        <v>45907</v>
      </c>
      <c r="B659" s="57" t="str">
        <f>IF(Associates_Call_List_PQ!B659="","",Associates_Call_List_PQ!B659)</f>
        <v>Nicholson</v>
      </c>
      <c r="C659" s="57" t="str">
        <f>IF(Associates_Call_List_PQ!C659="","",Associates_Call_List_PQ!C659)</f>
        <v>Kirsten</v>
      </c>
      <c r="D659" s="57" t="str">
        <f>IF(Associates_Call_List_PQ!D659="","",Associates_Call_List_PQ!D659)</f>
        <v>Phoenix</v>
      </c>
      <c r="E659" s="58">
        <f>IF(Associates_Call_List_PQ!E659="","",Associates_Call_List_PQ!E659)</f>
        <v>85008</v>
      </c>
      <c r="F659" s="57" t="str">
        <f>IF(Associates_Call_List_PQ!F659="","",Associates_Call_List_PQ!F659)</f>
        <v>Form letter</v>
      </c>
      <c r="G659" s="57" t="str">
        <f>IF(Associates_Call_List_PQ!G659="","",Associates_Call_List_PQ!G659)</f>
        <v>https://docket.images.azcc.gov/E000046266.pdf</v>
      </c>
      <c r="H659" s="59" t="str">
        <f>IF(Associates_Call_List_PQ!H659="","",Associates_Call_List_PQ!H659)</f>
        <v xml:space="preserve">5391718246 </v>
      </c>
      <c r="I659" s="57" t="str">
        <f>IF(Associates_Call_List_PQ!I659="","",Associates_Call_List_PQ!I659)</f>
        <v>R-BASIC</v>
      </c>
      <c r="J659" s="57" t="str">
        <f>IF(Associates_Call_List_PQ!J659="","",Associates_Call_List_PQ!J659)</f>
        <v>No</v>
      </c>
      <c r="K659" s="57" t="str">
        <f>IF(Associates_Call_List_PQ!K659="","",Associates_Call_List_PQ!K659)</f>
        <v>No</v>
      </c>
      <c r="L659" s="57" t="str">
        <f>IF(Associates_Call_List_PQ!L659="","",Associates_Call_List_PQ!L659)</f>
        <v>No R3-47($76.57)</v>
      </c>
      <c r="M659" s="57" t="str">
        <f>IF(Associates_Call_List_PQ!M659="","",Associates_Call_List_PQ!M659)</f>
        <v>No</v>
      </c>
      <c r="N659" s="57" t="str">
        <f>IF(Associates_Call_List_PQ!N659="","",Associates_Call_List_PQ!N659)</f>
        <v>No</v>
      </c>
      <c r="O659" s="57" t="str">
        <f>IF(Associates_Call_List_PQ!O659="","",Associates_Call_List_PQ!O659)</f>
        <v>Yes</v>
      </c>
      <c r="P659" s="57" t="str">
        <f>IF(Associates_Call_List_PQ!P659="","",Associates_Call_List_PQ!P659)</f>
        <v>N</v>
      </c>
      <c r="Q659" s="57">
        <f>IF(Associates_Call_List_PQ!Q659="","",Associates_Call_List_PQ!Q659)</f>
        <v>45964</v>
      </c>
      <c r="R659" s="57" t="str">
        <f>IF(Associates_Call_List_PQ!R659="","",Associates_Call_List_PQ!R659)</f>
        <v/>
      </c>
      <c r="S659" s="57" t="str">
        <f>IF(Associates_Call_List_PQ!S659="","",Associates_Call_List_PQ!S659)</f>
        <v/>
      </c>
      <c r="T659" s="57" t="str">
        <f>IF(Associates_Call_List_PQ!T659="","",Associates_Call_List_PQ!T659)</f>
        <v/>
      </c>
      <c r="U659" s="57" t="str">
        <f>IF(Associates_Call_List_PQ!U659="","",Associates_Call_List_PQ!U659)</f>
        <v/>
      </c>
      <c r="V659" s="68" t="s">
        <v>5433</v>
      </c>
      <c r="W659" s="68">
        <v>46025</v>
      </c>
      <c r="X659" s="68" t="s">
        <v>5405</v>
      </c>
      <c r="Y659" s="68" t="s">
        <v>5461</v>
      </c>
      <c r="Z659" s="72" t="s">
        <v>5629</v>
      </c>
    </row>
    <row r="660" spans="1:26">
      <c r="A660" s="71">
        <f>IFERROR(Associates_Call_List_PQ!A660,"")</f>
        <v>45907</v>
      </c>
      <c r="B660" s="57" t="str">
        <f>IF(Associates_Call_List_PQ!B660="","",Associates_Call_List_PQ!B660)</f>
        <v>Haynes</v>
      </c>
      <c r="C660" s="57" t="str">
        <f>IF(Associates_Call_List_PQ!C660="","",Associates_Call_List_PQ!C660)</f>
        <v>Melissa</v>
      </c>
      <c r="D660" s="57" t="str">
        <f>IF(Associates_Call_List_PQ!D660="","",Associates_Call_List_PQ!D660)</f>
        <v>Surprise</v>
      </c>
      <c r="E660" s="58">
        <f>IF(Associates_Call_List_PQ!E660="","",Associates_Call_List_PQ!E660)</f>
        <v>85379</v>
      </c>
      <c r="F660" s="57" t="str">
        <f>IF(Associates_Call_List_PQ!F660="","",Associates_Call_List_PQ!F660)</f>
        <v>Absolutely insane</v>
      </c>
      <c r="G660" s="57" t="str">
        <f>IF(Associates_Call_List_PQ!G660="","",Associates_Call_List_PQ!G660)</f>
        <v>https://docket.images.azcc.gov/E000046266.pdf</v>
      </c>
      <c r="H660" s="59" t="str">
        <f>IF(Associates_Call_List_PQ!H660="","",Associates_Call_List_PQ!H660)</f>
        <v xml:space="preserve">0181561492 </v>
      </c>
      <c r="I660" s="57" t="str">
        <f>IF(Associates_Call_List_PQ!I660="","",Associates_Call_List_PQ!I660)</f>
        <v>R-XS</v>
      </c>
      <c r="J660" s="57" t="str">
        <f>IF(Associates_Call_List_PQ!J660="","",Associates_Call_List_PQ!J660)</f>
        <v>No</v>
      </c>
      <c r="K660" s="57" t="str">
        <f>IF(Associates_Call_List_PQ!K660="","",Associates_Call_List_PQ!K660)</f>
        <v>No</v>
      </c>
      <c r="L660" s="57" t="str">
        <f>IF(Associates_Call_List_PQ!L660="","",Associates_Call_List_PQ!L660)</f>
        <v>No R3-47($147.75)</v>
      </c>
      <c r="M660" s="57" t="str">
        <f>IF(Associates_Call_List_PQ!M660="","",Associates_Call_List_PQ!M660)</f>
        <v>No</v>
      </c>
      <c r="N660" s="57" t="str">
        <f>IF(Associates_Call_List_PQ!N660="","",Associates_Call_List_PQ!N660)</f>
        <v>No</v>
      </c>
      <c r="O660" s="57" t="str">
        <f>IF(Associates_Call_List_PQ!O660="","",Associates_Call_List_PQ!O660)</f>
        <v>Yes</v>
      </c>
      <c r="P660" s="57">
        <f>IF(Associates_Call_List_PQ!P660="","",Associates_Call_List_PQ!P660)</f>
        <v>45939</v>
      </c>
      <c r="Q660" s="57">
        <f>IF(Associates_Call_List_PQ!Q660="","",Associates_Call_List_PQ!Q660)</f>
        <v>45964</v>
      </c>
      <c r="R660" s="57" t="str">
        <f>IF(Associates_Call_List_PQ!R660="","",Associates_Call_List_PQ!R660)</f>
        <v xml:space="preserve">10/9 Spoke with Ms. Haynes regarding her MEP, R3-47. She does not want to change at this time. Advised her to monitor monthly plan comparison details. </v>
      </c>
      <c r="S660" s="57" t="str">
        <f>IF(Associates_Call_List_PQ!S660="","",Associates_Call_List_PQ!S660)</f>
        <v/>
      </c>
      <c r="T660" s="57" t="str">
        <f>IF(Associates_Call_List_PQ!T660="","",Associates_Call_List_PQ!T660)</f>
        <v/>
      </c>
      <c r="U660" s="57" t="str">
        <f>IF(Associates_Call_List_PQ!U660="","",Associates_Call_List_PQ!U660)</f>
        <v/>
      </c>
      <c r="V660" s="68" t="s">
        <v>5433</v>
      </c>
      <c r="W660" s="68">
        <v>46025</v>
      </c>
      <c r="X660" s="68"/>
      <c r="Y660" s="68" t="s">
        <v>5461</v>
      </c>
      <c r="Z660" s="72" t="s">
        <v>5630</v>
      </c>
    </row>
    <row r="661" spans="1:26">
      <c r="A661" s="71">
        <f>IFERROR(Associates_Call_List_PQ!A661,"")</f>
        <v>45907</v>
      </c>
      <c r="B661" s="57" t="str">
        <f>IF(Associates_Call_List_PQ!B661="","",Associates_Call_List_PQ!B661)</f>
        <v>Bauer</v>
      </c>
      <c r="C661" s="57" t="str">
        <f>IF(Associates_Call_List_PQ!C661="","",Associates_Call_List_PQ!C661)</f>
        <v>Heather</v>
      </c>
      <c r="D661" s="57" t="str">
        <f>IF(Associates_Call_List_PQ!D661="","",Associates_Call_List_PQ!D661)</f>
        <v>Chandler</v>
      </c>
      <c r="E661" s="58">
        <f>IF(Associates_Call_List_PQ!E661="","",Associates_Call_List_PQ!E661)</f>
        <v>85225</v>
      </c>
      <c r="F661" s="57" t="str">
        <f>IF(Associates_Call_List_PQ!F661="","",Associates_Call_List_PQ!F661)</f>
        <v>Form letter</v>
      </c>
      <c r="G661" s="57" t="str">
        <f>IF(Associates_Call_List_PQ!G661="","",Associates_Call_List_PQ!G661)</f>
        <v>https://docket.images.azcc.gov/E000046266.pdf</v>
      </c>
      <c r="H661" s="59" t="str">
        <f>IF(Associates_Call_List_PQ!H661="","",Associates_Call_List_PQ!H661)</f>
        <v>4581830000</v>
      </c>
      <c r="I661" s="57" t="str">
        <f>IF(Associates_Call_List_PQ!I661="","",Associates_Call_List_PQ!I661)</f>
        <v>EPR-6w/E-12</v>
      </c>
      <c r="J661" s="57" t="str">
        <f>IF(Associates_Call_List_PQ!J661="","",Associates_Call_List_PQ!J661)</f>
        <v>No</v>
      </c>
      <c r="K661" s="57" t="str">
        <f>IF(Associates_Call_List_PQ!K661="","",Associates_Call_List_PQ!K661)</f>
        <v>No</v>
      </c>
      <c r="L661" s="57" t="str">
        <f>IF(Associates_Call_List_PQ!L661="","",Associates_Call_List_PQ!L661)</f>
        <v>Frozen Rate</v>
      </c>
      <c r="M661" s="57" t="str">
        <f>IF(Associates_Call_List_PQ!M661="","",Associates_Call_List_PQ!M661)</f>
        <v>No</v>
      </c>
      <c r="N661" s="57" t="str">
        <f>IF(Associates_Call_List_PQ!N661="","",Associates_Call_List_PQ!N661)</f>
        <v>No</v>
      </c>
      <c r="O661" s="57" t="str">
        <f>IF(Associates_Call_List_PQ!O661="","",Associates_Call_List_PQ!O661)</f>
        <v>Yes</v>
      </c>
      <c r="P661" s="57" t="str">
        <f>IF(Associates_Call_List_PQ!P661="","",Associates_Call_List_PQ!P661)</f>
        <v>N</v>
      </c>
      <c r="Q661" s="57">
        <f>IF(Associates_Call_List_PQ!Q661="","",Associates_Call_List_PQ!Q661)</f>
        <v>45964</v>
      </c>
      <c r="R661" s="57" t="str">
        <f>IF(Associates_Call_List_PQ!R661="","",Associates_Call_List_PQ!R661)</f>
        <v/>
      </c>
      <c r="S661" s="57" t="str">
        <f>IF(Associates_Call_List_PQ!S661="","",Associates_Call_List_PQ!S661)</f>
        <v/>
      </c>
      <c r="T661" s="57" t="str">
        <f>IF(Associates_Call_List_PQ!T661="","",Associates_Call_List_PQ!T661)</f>
        <v/>
      </c>
      <c r="U661" s="57" t="str">
        <f>IF(Associates_Call_List_PQ!U661="","",Associates_Call_List_PQ!U661)</f>
        <v/>
      </c>
      <c r="V661" s="68"/>
      <c r="W661" s="68" t="s">
        <v>5432</v>
      </c>
      <c r="X661" s="68"/>
      <c r="Y661" s="68"/>
      <c r="Z661" s="72"/>
    </row>
    <row r="662" spans="1:26">
      <c r="A662" s="71">
        <f>IFERROR(Associates_Call_List_PQ!A662,"")</f>
        <v>45907</v>
      </c>
      <c r="B662" s="57" t="str">
        <f>IF(Associates_Call_List_PQ!B662="","",Associates_Call_List_PQ!B662)</f>
        <v>Carroll</v>
      </c>
      <c r="C662" s="57" t="str">
        <f>IF(Associates_Call_List_PQ!C662="","",Associates_Call_List_PQ!C662)</f>
        <v>Cecilia</v>
      </c>
      <c r="D662" s="57" t="str">
        <f>IF(Associates_Call_List_PQ!D662="","",Associates_Call_List_PQ!D662)</f>
        <v>Waddell</v>
      </c>
      <c r="E662" s="58">
        <f>IF(Associates_Call_List_PQ!E662="","",Associates_Call_List_PQ!E662)</f>
        <v>85355</v>
      </c>
      <c r="F662" s="57" t="str">
        <f>IF(Associates_Call_List_PQ!F662="","",Associates_Call_List_PQ!F662)</f>
        <v>Can't afford higher bills</v>
      </c>
      <c r="G662" s="57" t="str">
        <f>IF(Associates_Call_List_PQ!G662="","",Associates_Call_List_PQ!G662)</f>
        <v>https://docket.images.azcc.gov/E000046266.pdf</v>
      </c>
      <c r="H662" s="59" t="str">
        <f>IF(Associates_Call_List_PQ!H662="","",Associates_Call_List_PQ!H662)</f>
        <v xml:space="preserve">6157060000 </v>
      </c>
      <c r="I662" s="57" t="str">
        <f>IF(Associates_Call_List_PQ!I662="","",Associates_Call_List_PQ!I662)</f>
        <v>R3-47</v>
      </c>
      <c r="J662" s="57" t="str">
        <f>IF(Associates_Call_List_PQ!J662="","",Associates_Call_List_PQ!J662)</f>
        <v>No</v>
      </c>
      <c r="K662" s="57" t="str">
        <f>IF(Associates_Call_List_PQ!K662="","",Associates_Call_List_PQ!K662)</f>
        <v>No</v>
      </c>
      <c r="L662" s="57" t="str">
        <f>IF(Associates_Call_List_PQ!L662="","",Associates_Call_List_PQ!L662)</f>
        <v>Yes</v>
      </c>
      <c r="M662" s="57" t="str">
        <f>IF(Associates_Call_List_PQ!M662="","",Associates_Call_List_PQ!M662)</f>
        <v>Yes</v>
      </c>
      <c r="N662" s="57">
        <f>IF(Associates_Call_List_PQ!N662="","",Associates_Call_List_PQ!N662)</f>
        <v>189.57</v>
      </c>
      <c r="O662" s="57" t="str">
        <f>IF(Associates_Call_List_PQ!O662="","",Associates_Call_List_PQ!O662)</f>
        <v>Yes</v>
      </c>
      <c r="P662" s="57" t="str">
        <f>IF(Associates_Call_List_PQ!P662="","",Associates_Call_List_PQ!P662)</f>
        <v>N</v>
      </c>
      <c r="Q662" s="57">
        <f>IF(Associates_Call_List_PQ!Q662="","",Associates_Call_List_PQ!Q662)</f>
        <v>45964</v>
      </c>
      <c r="R662" s="57" t="str">
        <f>IF(Associates_Call_List_PQ!R662="","",Associates_Call_List_PQ!R662)</f>
        <v/>
      </c>
      <c r="S662" s="57" t="str">
        <f>IF(Associates_Call_List_PQ!S662="","",Associates_Call_List_PQ!S662)</f>
        <v/>
      </c>
      <c r="T662" s="57" t="str">
        <f>IF(Associates_Call_List_PQ!T662="","",Associates_Call_List_PQ!T662)</f>
        <v/>
      </c>
      <c r="U662" s="57" t="str">
        <f>IF(Associates_Call_List_PQ!U662="","",Associates_Call_List_PQ!U662)</f>
        <v/>
      </c>
      <c r="V662" s="68" t="s">
        <v>5433</v>
      </c>
      <c r="W662" s="68">
        <v>46025</v>
      </c>
      <c r="X662" s="68" t="s">
        <v>5405</v>
      </c>
      <c r="Y662" s="68"/>
      <c r="Z662" s="72" t="s">
        <v>5631</v>
      </c>
    </row>
    <row r="663" spans="1:26">
      <c r="A663" s="71">
        <f>IFERROR(Associates_Call_List_PQ!A663,"")</f>
        <v>45907</v>
      </c>
      <c r="B663" s="57" t="str">
        <f>IF(Associates_Call_List_PQ!B663="","",Associates_Call_List_PQ!B663)</f>
        <v>Dutta</v>
      </c>
      <c r="C663" s="57" t="str">
        <f>IF(Associates_Call_List_PQ!C663="","",Associates_Call_List_PQ!C663)</f>
        <v>Samrat</v>
      </c>
      <c r="D663" s="57" t="str">
        <f>IF(Associates_Call_List_PQ!D663="","",Associates_Call_List_PQ!D663)</f>
        <v>Peoria</v>
      </c>
      <c r="E663" s="58">
        <f>IF(Associates_Call_List_PQ!E663="","",Associates_Call_List_PQ!E663)</f>
        <v>85383</v>
      </c>
      <c r="F663" s="57" t="str">
        <f>IF(Associates_Call_List_PQ!F663="","",Associates_Call_List_PQ!F663)</f>
        <v>Opposed</v>
      </c>
      <c r="G663" s="57" t="str">
        <f>IF(Associates_Call_List_PQ!G663="","",Associates_Call_List_PQ!G663)</f>
        <v>https://docket.images.azcc.gov/E000046266.pdf</v>
      </c>
      <c r="H663" s="59" t="str">
        <f>IF(Associates_Call_List_PQ!H663="","",Associates_Call_List_PQ!H663)</f>
        <v>2547200000 </v>
      </c>
      <c r="I663" s="57" t="str">
        <f>IF(Associates_Call_List_PQ!I663="","",Associates_Call_List_PQ!I663)</f>
        <v>R3-47</v>
      </c>
      <c r="J663" s="57" t="str">
        <f>IF(Associates_Call_List_PQ!J663="","",Associates_Call_List_PQ!J663)</f>
        <v>No</v>
      </c>
      <c r="K663" s="57" t="str">
        <f>IF(Associates_Call_List_PQ!K663="","",Associates_Call_List_PQ!K663)</f>
        <v>No</v>
      </c>
      <c r="L663" s="57" t="str">
        <f>IF(Associates_Call_List_PQ!L663="","",Associates_Call_List_PQ!L663)</f>
        <v>Yes</v>
      </c>
      <c r="M663" s="57" t="str">
        <f>IF(Associates_Call_List_PQ!M663="","",Associates_Call_List_PQ!M663)</f>
        <v>No</v>
      </c>
      <c r="N663" s="57" t="str">
        <f>IF(Associates_Call_List_PQ!N663="","",Associates_Call_List_PQ!N663)</f>
        <v>No</v>
      </c>
      <c r="O663" s="57" t="str">
        <f>IF(Associates_Call_List_PQ!O663="","",Associates_Call_List_PQ!O663)</f>
        <v>Yes</v>
      </c>
      <c r="P663" s="57" t="str">
        <f>IF(Associates_Call_List_PQ!P663="","",Associates_Call_List_PQ!P663)</f>
        <v>N</v>
      </c>
      <c r="Q663" s="57">
        <f>IF(Associates_Call_List_PQ!Q663="","",Associates_Call_List_PQ!Q663)</f>
        <v>45964</v>
      </c>
      <c r="R663" s="57" t="str">
        <f>IF(Associates_Call_List_PQ!R663="","",Associates_Call_List_PQ!R663)</f>
        <v/>
      </c>
      <c r="S663" s="57" t="str">
        <f>IF(Associates_Call_List_PQ!S663="","",Associates_Call_List_PQ!S663)</f>
        <v/>
      </c>
      <c r="T663" s="57" t="str">
        <f>IF(Associates_Call_List_PQ!T663="","",Associates_Call_List_PQ!T663)</f>
        <v/>
      </c>
      <c r="U663" s="57" t="str">
        <f>IF(Associates_Call_List_PQ!U663="","",Associates_Call_List_PQ!U663)</f>
        <v/>
      </c>
      <c r="V663" s="68"/>
      <c r="W663" s="68" t="s">
        <v>5432</v>
      </c>
      <c r="X663" s="68"/>
      <c r="Y663" s="68"/>
      <c r="Z663" s="72"/>
    </row>
    <row r="664" spans="1:26">
      <c r="A664" s="71">
        <f>IFERROR(Associates_Call_List_PQ!A664,"")</f>
        <v>45907</v>
      </c>
      <c r="B664" s="57" t="str">
        <f>IF(Associates_Call_List_PQ!B664="","",Associates_Call_List_PQ!B664)</f>
        <v xml:space="preserve">Willer </v>
      </c>
      <c r="C664" s="57" t="str">
        <f>IF(Associates_Call_List_PQ!C664="","",Associates_Call_List_PQ!C664)</f>
        <v>Matthew</v>
      </c>
      <c r="D664" s="57" t="str">
        <f>IF(Associates_Call_List_PQ!D664="","",Associates_Call_List_PQ!D664)</f>
        <v>New River</v>
      </c>
      <c r="E664" s="58">
        <f>IF(Associates_Call_List_PQ!E664="","",Associates_Call_List_PQ!E664)</f>
        <v>85087</v>
      </c>
      <c r="F664" s="57" t="str">
        <f>IF(Associates_Call_List_PQ!F664="","",Associates_Call_List_PQ!F664)</f>
        <v>Opposed</v>
      </c>
      <c r="G664" s="57" t="str">
        <f>IF(Associates_Call_List_PQ!G664="","",Associates_Call_List_PQ!G664)</f>
        <v>https://docket.images.azcc.gov/E000046266.pdf</v>
      </c>
      <c r="H664" s="59" t="str">
        <f>IF(Associates_Call_List_PQ!H664="","",Associates_Call_List_PQ!H664)</f>
        <v xml:space="preserve">3353472148 </v>
      </c>
      <c r="I664" s="57" t="str">
        <f>IF(Associates_Call_List_PQ!I664="","",Associates_Call_List_PQ!I664)</f>
        <v>RCPw/R3-47</v>
      </c>
      <c r="J664" s="57" t="str">
        <f>IF(Associates_Call_List_PQ!J664="","",Associates_Call_List_PQ!J664)</f>
        <v>No</v>
      </c>
      <c r="K664" s="57" t="str">
        <f>IF(Associates_Call_List_PQ!K664="","",Associates_Call_List_PQ!K664)</f>
        <v>No</v>
      </c>
      <c r="L664" s="57" t="str">
        <f>IF(Associates_Call_List_PQ!L664="","",Associates_Call_List_PQ!L664)</f>
        <v>Yes</v>
      </c>
      <c r="M664" s="57" t="str">
        <f>IF(Associates_Call_List_PQ!M664="","",Associates_Call_List_PQ!M664)</f>
        <v>No</v>
      </c>
      <c r="N664" s="57" t="str">
        <f>IF(Associates_Call_List_PQ!N664="","",Associates_Call_List_PQ!N664)</f>
        <v>No</v>
      </c>
      <c r="O664" s="57" t="str">
        <f>IF(Associates_Call_List_PQ!O664="","",Associates_Call_List_PQ!O664)</f>
        <v>Yes</v>
      </c>
      <c r="P664" s="57" t="str">
        <f>IF(Associates_Call_List_PQ!P664="","",Associates_Call_List_PQ!P664)</f>
        <v>N</v>
      </c>
      <c r="Q664" s="57">
        <f>IF(Associates_Call_List_PQ!Q664="","",Associates_Call_List_PQ!Q664)</f>
        <v>45964</v>
      </c>
      <c r="R664" s="57" t="str">
        <f>IF(Associates_Call_List_PQ!R664="","",Associates_Call_List_PQ!R664)</f>
        <v/>
      </c>
      <c r="S664" s="57" t="str">
        <f>IF(Associates_Call_List_PQ!S664="","",Associates_Call_List_PQ!S664)</f>
        <v/>
      </c>
      <c r="T664" s="57" t="str">
        <f>IF(Associates_Call_List_PQ!T664="","",Associates_Call_List_PQ!T664)</f>
        <v/>
      </c>
      <c r="U664" s="57" t="str">
        <f>IF(Associates_Call_List_PQ!U664="","",Associates_Call_List_PQ!U664)</f>
        <v/>
      </c>
      <c r="V664" s="68"/>
      <c r="W664" s="68" t="s">
        <v>5432</v>
      </c>
      <c r="X664" s="68"/>
      <c r="Y664" s="68"/>
      <c r="Z664" s="72"/>
    </row>
    <row r="665" spans="1:26">
      <c r="A665" s="71">
        <f>IFERROR(Associates_Call_List_PQ!A665,"")</f>
        <v>45907</v>
      </c>
      <c r="B665" s="57" t="str">
        <f>IF(Associates_Call_List_PQ!B665="","",Associates_Call_List_PQ!B665)</f>
        <v>Johnston</v>
      </c>
      <c r="C665" s="57" t="str">
        <f>IF(Associates_Call_List_PQ!C665="","",Associates_Call_List_PQ!C665)</f>
        <v>Madeline</v>
      </c>
      <c r="D665" s="57" t="str">
        <f>IF(Associates_Call_List_PQ!D665="","",Associates_Call_List_PQ!D665)</f>
        <v>Phoenix</v>
      </c>
      <c r="E665" s="58">
        <f>IF(Associates_Call_List_PQ!E665="","",Associates_Call_List_PQ!E665)</f>
        <v>85013</v>
      </c>
      <c r="F665" s="57" t="str">
        <f>IF(Associates_Call_List_PQ!F665="","",Associates_Call_List_PQ!F665)</f>
        <v>Form letter</v>
      </c>
      <c r="G665" s="57" t="str">
        <f>IF(Associates_Call_List_PQ!G665="","",Associates_Call_List_PQ!G665)</f>
        <v>https://docket.images.azcc.gov/E000046266.pdf</v>
      </c>
      <c r="H665" s="59" t="str">
        <f>IF(Associates_Call_List_PQ!H665="","",Associates_Call_List_PQ!H665)</f>
        <v xml:space="preserve">6807568001 </v>
      </c>
      <c r="I665" s="57" t="str">
        <f>IF(Associates_Call_List_PQ!I665="","",Associates_Call_List_PQ!I665)</f>
        <v>R-BASIC</v>
      </c>
      <c r="J665" s="57" t="str">
        <f>IF(Associates_Call_List_PQ!J665="","",Associates_Call_List_PQ!J665)</f>
        <v>No</v>
      </c>
      <c r="K665" s="57" t="str">
        <f>IF(Associates_Call_List_PQ!K665="","",Associates_Call_List_PQ!K665)</f>
        <v>No</v>
      </c>
      <c r="L665" s="57" t="str">
        <f>IF(Associates_Call_List_PQ!L665="","",Associates_Call_List_PQ!L665)</f>
        <v>Yes</v>
      </c>
      <c r="M665" s="57" t="str">
        <f>IF(Associates_Call_List_PQ!M665="","",Associates_Call_List_PQ!M665)</f>
        <v>No</v>
      </c>
      <c r="N665" s="57" t="str">
        <f>IF(Associates_Call_List_PQ!N665="","",Associates_Call_List_PQ!N665)</f>
        <v>No</v>
      </c>
      <c r="O665" s="57" t="str">
        <f>IF(Associates_Call_List_PQ!O665="","",Associates_Call_List_PQ!O665)</f>
        <v>Yes</v>
      </c>
      <c r="P665" s="57" t="str">
        <f>IF(Associates_Call_List_PQ!P665="","",Associates_Call_List_PQ!P665)</f>
        <v>N</v>
      </c>
      <c r="Q665" s="57">
        <f>IF(Associates_Call_List_PQ!Q665="","",Associates_Call_List_PQ!Q665)</f>
        <v>45964</v>
      </c>
      <c r="R665" s="57" t="str">
        <f>IF(Associates_Call_List_PQ!R665="","",Associates_Call_List_PQ!R665)</f>
        <v/>
      </c>
      <c r="S665" s="57" t="str">
        <f>IF(Associates_Call_List_PQ!S665="","",Associates_Call_List_PQ!S665)</f>
        <v/>
      </c>
      <c r="T665" s="57" t="str">
        <f>IF(Associates_Call_List_PQ!T665="","",Associates_Call_List_PQ!T665)</f>
        <v/>
      </c>
      <c r="U665" s="57" t="str">
        <f>IF(Associates_Call_List_PQ!U665="","",Associates_Call_List_PQ!U665)</f>
        <v/>
      </c>
      <c r="V665" s="68"/>
      <c r="W665" s="68" t="s">
        <v>5432</v>
      </c>
      <c r="X665" s="68"/>
      <c r="Y665" s="68"/>
      <c r="Z665" s="72"/>
    </row>
    <row r="666" spans="1:26">
      <c r="A666" s="71">
        <f>IFERROR(Associates_Call_List_PQ!A666,"")</f>
        <v>45907</v>
      </c>
      <c r="B666" s="57" t="str">
        <f>IF(Associates_Call_List_PQ!B666="","",Associates_Call_List_PQ!B666)</f>
        <v>Valeev</v>
      </c>
      <c r="C666" s="57" t="str">
        <f>IF(Associates_Call_List_PQ!C666="","",Associates_Call_List_PQ!C666)</f>
        <v>Margaret</v>
      </c>
      <c r="D666" s="57" t="str">
        <f>IF(Associates_Call_List_PQ!D666="","",Associates_Call_List_PQ!D666)</f>
        <v>Phoenix</v>
      </c>
      <c r="E666" s="58">
        <f>IF(Associates_Call_List_PQ!E666="","",Associates_Call_List_PQ!E666)</f>
        <v>85023</v>
      </c>
      <c r="F666" s="57" t="str">
        <f>IF(Associates_Call_List_PQ!F666="","",Associates_Call_List_PQ!F666)</f>
        <v>Furious</v>
      </c>
      <c r="G666" s="57" t="str">
        <f>IF(Associates_Call_List_PQ!G666="","",Associates_Call_List_PQ!G666)</f>
        <v>https://docket.images.azcc.gov/E000046266.pdf</v>
      </c>
      <c r="H666" s="59" t="str">
        <f>IF(Associates_Call_List_PQ!H666="","",Associates_Call_List_PQ!H666)</f>
        <v xml:space="preserve">2224828876 </v>
      </c>
      <c r="I666" s="57" t="str">
        <f>IF(Associates_Call_List_PQ!I666="","",Associates_Call_List_PQ!I666)</f>
        <v>R-XS</v>
      </c>
      <c r="J666" s="57" t="str">
        <f>IF(Associates_Call_List_PQ!J666="","",Associates_Call_List_PQ!J666)</f>
        <v>No</v>
      </c>
      <c r="K666" s="57" t="str">
        <f>IF(Associates_Call_List_PQ!K666="","",Associates_Call_List_PQ!K666)</f>
        <v>No</v>
      </c>
      <c r="L666" s="57" t="str">
        <f>IF(Associates_Call_List_PQ!L666="","",Associates_Call_List_PQ!L666)</f>
        <v>Yes</v>
      </c>
      <c r="M666" s="57" t="str">
        <f>IF(Associates_Call_List_PQ!M666="","",Associates_Call_List_PQ!M666)</f>
        <v>No</v>
      </c>
      <c r="N666" s="57" t="str">
        <f>IF(Associates_Call_List_PQ!N666="","",Associates_Call_List_PQ!N666)</f>
        <v>No</v>
      </c>
      <c r="O666" s="57" t="str">
        <f>IF(Associates_Call_List_PQ!O666="","",Associates_Call_List_PQ!O666)</f>
        <v>Yes</v>
      </c>
      <c r="P666" s="57" t="str">
        <f>IF(Associates_Call_List_PQ!P666="","",Associates_Call_List_PQ!P666)</f>
        <v>N</v>
      </c>
      <c r="Q666" s="57">
        <f>IF(Associates_Call_List_PQ!Q666="","",Associates_Call_List_PQ!Q666)</f>
        <v>45964</v>
      </c>
      <c r="R666" s="57" t="str">
        <f>IF(Associates_Call_List_PQ!R666="","",Associates_Call_List_PQ!R666)</f>
        <v/>
      </c>
      <c r="S666" s="57" t="str">
        <f>IF(Associates_Call_List_PQ!S666="","",Associates_Call_List_PQ!S666)</f>
        <v/>
      </c>
      <c r="T666" s="57" t="str">
        <f>IF(Associates_Call_List_PQ!T666="","",Associates_Call_List_PQ!T666)</f>
        <v/>
      </c>
      <c r="U666" s="57" t="str">
        <f>IF(Associates_Call_List_PQ!U666="","",Associates_Call_List_PQ!U666)</f>
        <v/>
      </c>
      <c r="V666" s="68"/>
      <c r="W666" s="68" t="s">
        <v>5432</v>
      </c>
      <c r="X666" s="68"/>
      <c r="Y666" s="68"/>
      <c r="Z666" s="72"/>
    </row>
    <row r="667" spans="1:26">
      <c r="A667" s="71">
        <f>IFERROR(Associates_Call_List_PQ!A667,"")</f>
        <v>45907</v>
      </c>
      <c r="B667" s="57" t="str">
        <f>IF(Associates_Call_List_PQ!B667="","",Associates_Call_List_PQ!B667)</f>
        <v>Hareza</v>
      </c>
      <c r="C667" s="57" t="str">
        <f>IF(Associates_Call_List_PQ!C667="","",Associates_Call_List_PQ!C667)</f>
        <v>Darla</v>
      </c>
      <c r="D667" s="57" t="str">
        <f>IF(Associates_Call_List_PQ!D667="","",Associates_Call_List_PQ!D667)</f>
        <v>Peoria</v>
      </c>
      <c r="E667" s="58">
        <f>IF(Associates_Call_List_PQ!E667="","",Associates_Call_List_PQ!E667)</f>
        <v>85383</v>
      </c>
      <c r="F667" s="57" t="str">
        <f>IF(Associates_Call_List_PQ!F667="","",Associates_Call_List_PQ!F667)</f>
        <v>Stop being so greedy</v>
      </c>
      <c r="G667" s="57" t="str">
        <f>IF(Associates_Call_List_PQ!G667="","",Associates_Call_List_PQ!G667)</f>
        <v>https://docket.images.azcc.gov/E000046266.pdf</v>
      </c>
      <c r="H667" s="59" t="str">
        <f>IF(Associates_Call_List_PQ!H667="","",Associates_Call_List_PQ!H667)</f>
        <v xml:space="preserve">4684530000 </v>
      </c>
      <c r="I667" s="57" t="str">
        <f>IF(Associates_Call_List_PQ!I667="","",Associates_Call_List_PQ!I667)</f>
        <v>R3-47</v>
      </c>
      <c r="J667" s="57" t="str">
        <f>IF(Associates_Call_List_PQ!J667="","",Associates_Call_List_PQ!J667)</f>
        <v>No</v>
      </c>
      <c r="K667" s="57" t="str">
        <f>IF(Associates_Call_List_PQ!K667="","",Associates_Call_List_PQ!K667)</f>
        <v>No</v>
      </c>
      <c r="L667" s="57" t="str">
        <f>IF(Associates_Call_List_PQ!L667="","",Associates_Call_List_PQ!L667)</f>
        <v>Yes</v>
      </c>
      <c r="M667" s="57" t="str">
        <f>IF(Associates_Call_List_PQ!M667="","",Associates_Call_List_PQ!M667)</f>
        <v>No</v>
      </c>
      <c r="N667" s="57" t="str">
        <f>IF(Associates_Call_List_PQ!N667="","",Associates_Call_List_PQ!N667)</f>
        <v>No</v>
      </c>
      <c r="O667" s="57" t="str">
        <f>IF(Associates_Call_List_PQ!O667="","",Associates_Call_List_PQ!O667)</f>
        <v>Yes</v>
      </c>
      <c r="P667" s="57" t="str">
        <f>IF(Associates_Call_List_PQ!P667="","",Associates_Call_List_PQ!P667)</f>
        <v>N</v>
      </c>
      <c r="Q667" s="57">
        <f>IF(Associates_Call_List_PQ!Q667="","",Associates_Call_List_PQ!Q667)</f>
        <v>45964</v>
      </c>
      <c r="R667" s="57" t="str">
        <f>IF(Associates_Call_List_PQ!R667="","",Associates_Call_List_PQ!R667)</f>
        <v/>
      </c>
      <c r="S667" s="57" t="str">
        <f>IF(Associates_Call_List_PQ!S667="","",Associates_Call_List_PQ!S667)</f>
        <v/>
      </c>
      <c r="T667" s="57" t="str">
        <f>IF(Associates_Call_List_PQ!T667="","",Associates_Call_List_PQ!T667)</f>
        <v/>
      </c>
      <c r="U667" s="57" t="str">
        <f>IF(Associates_Call_List_PQ!U667="","",Associates_Call_List_PQ!U667)</f>
        <v/>
      </c>
      <c r="V667" s="68"/>
      <c r="W667" s="68" t="s">
        <v>5432</v>
      </c>
      <c r="X667" s="68"/>
      <c r="Y667" s="68"/>
      <c r="Z667" s="72"/>
    </row>
    <row r="668" spans="1:26">
      <c r="A668" s="71">
        <f>IFERROR(Associates_Call_List_PQ!A668,"")</f>
        <v>45907</v>
      </c>
      <c r="B668" s="57" t="str">
        <f>IF(Associates_Call_List_PQ!B668="","",Associates_Call_List_PQ!B668)</f>
        <v>Gardner</v>
      </c>
      <c r="C668" s="57" t="str">
        <f>IF(Associates_Call_List_PQ!C668="","",Associates_Call_List_PQ!C668)</f>
        <v>Jeffrey</v>
      </c>
      <c r="D668" s="57" t="str">
        <f>IF(Associates_Call_List_PQ!D668="","",Associates_Call_List_PQ!D668)</f>
        <v>Scottsdale</v>
      </c>
      <c r="E668" s="58">
        <f>IF(Associates_Call_List_PQ!E668="","",Associates_Call_List_PQ!E668)</f>
        <v>85266</v>
      </c>
      <c r="F668" s="57" t="str">
        <f>IF(Associates_Call_List_PQ!F668="","",Associates_Call_List_PQ!F668)</f>
        <v>Opposed</v>
      </c>
      <c r="G668" s="57" t="str">
        <f>IF(Associates_Call_List_PQ!G668="","",Associates_Call_List_PQ!G668)</f>
        <v>https://docket.images.azcc.gov/E000046266.pdf</v>
      </c>
      <c r="H668" s="59" t="str">
        <f>IF(Associates_Call_List_PQ!H668="","",Associates_Call_List_PQ!H668)</f>
        <v>9849411000 </v>
      </c>
      <c r="I668" s="57" t="str">
        <f>IF(Associates_Call_List_PQ!I668="","",Associates_Call_List_PQ!I668)</f>
        <v>R3-47</v>
      </c>
      <c r="J668" s="57" t="str">
        <f>IF(Associates_Call_List_PQ!J668="","",Associates_Call_List_PQ!J668)</f>
        <v>No</v>
      </c>
      <c r="K668" s="57" t="str">
        <f>IF(Associates_Call_List_PQ!K668="","",Associates_Call_List_PQ!K668)</f>
        <v>No</v>
      </c>
      <c r="L668" s="57" t="str">
        <f>IF(Associates_Call_List_PQ!L668="","",Associates_Call_List_PQ!L668)</f>
        <v>Yes</v>
      </c>
      <c r="M668" s="57" t="str">
        <f>IF(Associates_Call_List_PQ!M668="","",Associates_Call_List_PQ!M668)</f>
        <v>No</v>
      </c>
      <c r="N668" s="57" t="str">
        <f>IF(Associates_Call_List_PQ!N668="","",Associates_Call_List_PQ!N668)</f>
        <v>No</v>
      </c>
      <c r="O668" s="57" t="str">
        <f>IF(Associates_Call_List_PQ!O668="","",Associates_Call_List_PQ!O668)</f>
        <v>Yes</v>
      </c>
      <c r="P668" s="57" t="str">
        <f>IF(Associates_Call_List_PQ!P668="","",Associates_Call_List_PQ!P668)</f>
        <v>N</v>
      </c>
      <c r="Q668" s="57">
        <f>IF(Associates_Call_List_PQ!Q668="","",Associates_Call_List_PQ!Q668)</f>
        <v>45964</v>
      </c>
      <c r="R668" s="57" t="str">
        <f>IF(Associates_Call_List_PQ!R668="","",Associates_Call_List_PQ!R668)</f>
        <v/>
      </c>
      <c r="S668" s="57" t="str">
        <f>IF(Associates_Call_List_PQ!S668="","",Associates_Call_List_PQ!S668)</f>
        <v/>
      </c>
      <c r="T668" s="57" t="str">
        <f>IF(Associates_Call_List_PQ!T668="","",Associates_Call_List_PQ!T668)</f>
        <v/>
      </c>
      <c r="U668" s="57" t="str">
        <f>IF(Associates_Call_List_PQ!U668="","",Associates_Call_List_PQ!U668)</f>
        <v/>
      </c>
      <c r="V668" s="68"/>
      <c r="W668" s="68" t="s">
        <v>5432</v>
      </c>
      <c r="X668" s="68"/>
      <c r="Y668" s="68"/>
      <c r="Z668" s="72"/>
    </row>
    <row r="669" spans="1:26">
      <c r="A669" s="71">
        <f>IFERROR(Associates_Call_List_PQ!A669,"")</f>
        <v>45907</v>
      </c>
      <c r="B669" s="57" t="str">
        <f>IF(Associates_Call_List_PQ!B669="","",Associates_Call_List_PQ!B669)</f>
        <v>Klug</v>
      </c>
      <c r="C669" s="57" t="str">
        <f>IF(Associates_Call_List_PQ!C669="","",Associates_Call_List_PQ!C669)</f>
        <v>Sheri</v>
      </c>
      <c r="D669" s="57" t="str">
        <f>IF(Associates_Call_List_PQ!D669="","",Associates_Call_List_PQ!D669)</f>
        <v>Goodyear</v>
      </c>
      <c r="E669" s="58">
        <f>IF(Associates_Call_List_PQ!E669="","",Associates_Call_List_PQ!E669)</f>
        <v>85395</v>
      </c>
      <c r="F669" s="57" t="str">
        <f>IF(Associates_Call_List_PQ!F669="","",Associates_Call_List_PQ!F669)</f>
        <v>Opposed</v>
      </c>
      <c r="G669" s="57" t="str">
        <f>IF(Associates_Call_List_PQ!G669="","",Associates_Call_List_PQ!G669)</f>
        <v>https://docket.images.azcc.gov/E000046266.pdf</v>
      </c>
      <c r="H669" s="59" t="str">
        <f>IF(Associates_Call_List_PQ!H669="","",Associates_Call_List_PQ!H669)</f>
        <v>7953727588 </v>
      </c>
      <c r="I669" s="57" t="str">
        <f>IF(Associates_Call_List_PQ!I669="","",Associates_Call_List_PQ!I669)</f>
        <v>Multiple SAs</v>
      </c>
      <c r="J669" s="57" t="str">
        <f>IF(Associates_Call_List_PQ!J669="","",Associates_Call_List_PQ!J669)</f>
        <v>No</v>
      </c>
      <c r="K669" s="57" t="str">
        <f>IF(Associates_Call_List_PQ!K669="","",Associates_Call_List_PQ!K669)</f>
        <v>No</v>
      </c>
      <c r="L669" s="57" t="str">
        <f>IF(Associates_Call_List_PQ!L669="","",Associates_Call_List_PQ!L669)</f>
        <v>Yes</v>
      </c>
      <c r="M669" s="57" t="str">
        <f>IF(Associates_Call_List_PQ!M669="","",Associates_Call_List_PQ!M669)</f>
        <v>No</v>
      </c>
      <c r="N669" s="57" t="str">
        <f>IF(Associates_Call_List_PQ!N669="","",Associates_Call_List_PQ!N669)</f>
        <v>No</v>
      </c>
      <c r="O669" s="57" t="str">
        <f>IF(Associates_Call_List_PQ!O669="","",Associates_Call_List_PQ!O669)</f>
        <v>Yes</v>
      </c>
      <c r="P669" s="57" t="str">
        <f>IF(Associates_Call_List_PQ!P669="","",Associates_Call_List_PQ!P669)</f>
        <v>N</v>
      </c>
      <c r="Q669" s="57">
        <f>IF(Associates_Call_List_PQ!Q669="","",Associates_Call_List_PQ!Q669)</f>
        <v>45964</v>
      </c>
      <c r="R669" s="57" t="str">
        <f>IF(Associates_Call_List_PQ!R669="","",Associates_Call_List_PQ!R669)</f>
        <v/>
      </c>
      <c r="S669" s="57" t="str">
        <f>IF(Associates_Call_List_PQ!S669="","",Associates_Call_List_PQ!S669)</f>
        <v/>
      </c>
      <c r="T669" s="57" t="str">
        <f>IF(Associates_Call_List_PQ!T669="","",Associates_Call_List_PQ!T669)</f>
        <v/>
      </c>
      <c r="U669" s="57" t="str">
        <f>IF(Associates_Call_List_PQ!U669="","",Associates_Call_List_PQ!U669)</f>
        <v/>
      </c>
      <c r="V669" s="68"/>
      <c r="W669" s="68" t="s">
        <v>5432</v>
      </c>
      <c r="X669" s="68"/>
      <c r="Y669" s="68"/>
      <c r="Z669" s="72"/>
    </row>
    <row r="670" spans="1:26">
      <c r="A670" s="71">
        <f>IFERROR(Associates_Call_List_PQ!A670,"")</f>
        <v>45907</v>
      </c>
      <c r="B670" s="57" t="str">
        <f>IF(Associates_Call_List_PQ!B670="","",Associates_Call_List_PQ!B670)</f>
        <v>Downey</v>
      </c>
      <c r="C670" s="57" t="str">
        <f>IF(Associates_Call_List_PQ!C670="","",Associates_Call_List_PQ!C670)</f>
        <v>Aaron</v>
      </c>
      <c r="D670" s="57" t="str">
        <f>IF(Associates_Call_List_PQ!D670="","",Associates_Call_List_PQ!D670)</f>
        <v>Goodyear</v>
      </c>
      <c r="E670" s="58">
        <f>IF(Associates_Call_List_PQ!E670="","",Associates_Call_List_PQ!E670)</f>
        <v>85395</v>
      </c>
      <c r="F670" s="57" t="str">
        <f>IF(Associates_Call_List_PQ!F670="","",Associates_Call_List_PQ!F670)</f>
        <v>Enough already</v>
      </c>
      <c r="G670" s="57" t="str">
        <f>IF(Associates_Call_List_PQ!G670="","",Associates_Call_List_PQ!G670)</f>
        <v>https://docket.images.azcc.gov/E000046266.pdf</v>
      </c>
      <c r="H670" s="59" t="str">
        <f>IF(Associates_Call_List_PQ!H670="","",Associates_Call_List_PQ!H670)</f>
        <v xml:space="preserve">5248721000 </v>
      </c>
      <c r="I670" s="57" t="str">
        <f>IF(Associates_Call_List_PQ!I670="","",Associates_Call_List_PQ!I670)</f>
        <v>R3-47</v>
      </c>
      <c r="J670" s="57" t="str">
        <f>IF(Associates_Call_List_PQ!J670="","",Associates_Call_List_PQ!J670)</f>
        <v>No</v>
      </c>
      <c r="K670" s="57" t="str">
        <f>IF(Associates_Call_List_PQ!K670="","",Associates_Call_List_PQ!K670)</f>
        <v>No</v>
      </c>
      <c r="L670" s="57" t="str">
        <f>IF(Associates_Call_List_PQ!L670="","",Associates_Call_List_PQ!L670)</f>
        <v>Yes</v>
      </c>
      <c r="M670" s="57" t="str">
        <f>IF(Associates_Call_List_PQ!M670="","",Associates_Call_List_PQ!M670)</f>
        <v>No</v>
      </c>
      <c r="N670" s="57" t="str">
        <f>IF(Associates_Call_List_PQ!N670="","",Associates_Call_List_PQ!N670)</f>
        <v>No</v>
      </c>
      <c r="O670" s="57" t="str">
        <f>IF(Associates_Call_List_PQ!O670="","",Associates_Call_List_PQ!O670)</f>
        <v>Yes</v>
      </c>
      <c r="P670" s="57" t="str">
        <f>IF(Associates_Call_List_PQ!P670="","",Associates_Call_List_PQ!P670)</f>
        <v>N</v>
      </c>
      <c r="Q670" s="57">
        <f>IF(Associates_Call_List_PQ!Q670="","",Associates_Call_List_PQ!Q670)</f>
        <v>45964</v>
      </c>
      <c r="R670" s="57" t="str">
        <f>IF(Associates_Call_List_PQ!R670="","",Associates_Call_List_PQ!R670)</f>
        <v/>
      </c>
      <c r="S670" s="57" t="str">
        <f>IF(Associates_Call_List_PQ!S670="","",Associates_Call_List_PQ!S670)</f>
        <v/>
      </c>
      <c r="T670" s="57" t="str">
        <f>IF(Associates_Call_List_PQ!T670="","",Associates_Call_List_PQ!T670)</f>
        <v/>
      </c>
      <c r="U670" s="57" t="str">
        <f>IF(Associates_Call_List_PQ!U670="","",Associates_Call_List_PQ!U670)</f>
        <v/>
      </c>
      <c r="V670" s="68"/>
      <c r="W670" s="68" t="s">
        <v>5432</v>
      </c>
      <c r="X670" s="68"/>
      <c r="Y670" s="68"/>
      <c r="Z670" s="72"/>
    </row>
    <row r="671" spans="1:26">
      <c r="A671" s="71">
        <f>IFERROR(Associates_Call_List_PQ!A671,"")</f>
        <v>45907</v>
      </c>
      <c r="B671" s="57" t="str">
        <f>IF(Associates_Call_List_PQ!B671="","",Associates_Call_List_PQ!B671)</f>
        <v>Yip</v>
      </c>
      <c r="C671" s="57" t="str">
        <f>IF(Associates_Call_List_PQ!C671="","",Associates_Call_List_PQ!C671)</f>
        <v>Indy</v>
      </c>
      <c r="D671" s="57" t="str">
        <f>IF(Associates_Call_List_PQ!D671="","",Associates_Call_List_PQ!D671)</f>
        <v>Gilbert</v>
      </c>
      <c r="E671" s="58">
        <f>IF(Associates_Call_List_PQ!E671="","",Associates_Call_List_PQ!E671)</f>
        <v>85223</v>
      </c>
      <c r="F671" s="57" t="str">
        <f>IF(Associates_Call_List_PQ!F671="","",Associates_Call_List_PQ!F671)</f>
        <v>Form letter</v>
      </c>
      <c r="G671" s="57" t="str">
        <f>IF(Associates_Call_List_PQ!G671="","",Associates_Call_List_PQ!G671)</f>
        <v>https://docket.images.azcc.gov/E000046266.pdf</v>
      </c>
      <c r="H671" s="59" t="str">
        <f>IF(Associates_Call_List_PQ!H671="","",Associates_Call_List_PQ!H671)</f>
        <v xml:space="preserve">3805928813 </v>
      </c>
      <c r="I671" s="57" t="str">
        <f>IF(Associates_Call_List_PQ!I671="","",Associates_Call_List_PQ!I671)</f>
        <v>R-BASICL</v>
      </c>
      <c r="J671" s="57" t="str">
        <f>IF(Associates_Call_List_PQ!J671="","",Associates_Call_List_PQ!J671)</f>
        <v>No</v>
      </c>
      <c r="K671" s="57" t="str">
        <f>IF(Associates_Call_List_PQ!K671="","",Associates_Call_List_PQ!K671)</f>
        <v>No</v>
      </c>
      <c r="L671" s="57" t="str">
        <f>IF(Associates_Call_List_PQ!L671="","",Associates_Call_List_PQ!L671)</f>
        <v>No MEP R3-47($37.53)</v>
      </c>
      <c r="M671" s="57" t="str">
        <f>IF(Associates_Call_List_PQ!M671="","",Associates_Call_List_PQ!M671)</f>
        <v>No</v>
      </c>
      <c r="N671" s="57" t="str">
        <f>IF(Associates_Call_List_PQ!N671="","",Associates_Call_List_PQ!N671)</f>
        <v>No</v>
      </c>
      <c r="O671" s="57" t="str">
        <f>IF(Associates_Call_List_PQ!O671="","",Associates_Call_List_PQ!O671)</f>
        <v>Yes</v>
      </c>
      <c r="P671" s="57" t="str">
        <f>IF(Associates_Call_List_PQ!P671="","",Associates_Call_List_PQ!P671)</f>
        <v>N</v>
      </c>
      <c r="Q671" s="57">
        <f>IF(Associates_Call_List_PQ!Q671="","",Associates_Call_List_PQ!Q671)</f>
        <v>45964</v>
      </c>
      <c r="R671" s="57" t="str">
        <f>IF(Associates_Call_List_PQ!R671="","",Associates_Call_List_PQ!R671)</f>
        <v/>
      </c>
      <c r="S671" s="57" t="str">
        <f>IF(Associates_Call_List_PQ!S671="","",Associates_Call_List_PQ!S671)</f>
        <v/>
      </c>
      <c r="T671" s="57" t="str">
        <f>IF(Associates_Call_List_PQ!T671="","",Associates_Call_List_PQ!T671)</f>
        <v/>
      </c>
      <c r="U671" s="57" t="str">
        <f>IF(Associates_Call_List_PQ!U671="","",Associates_Call_List_PQ!U671)</f>
        <v/>
      </c>
      <c r="V671" s="68" t="s">
        <v>5433</v>
      </c>
      <c r="W671" s="68">
        <v>46025</v>
      </c>
      <c r="X671" s="68" t="s">
        <v>5434</v>
      </c>
      <c r="Y671" s="68"/>
      <c r="Z671" s="72" t="s">
        <v>5627</v>
      </c>
    </row>
    <row r="672" spans="1:26">
      <c r="A672" s="71">
        <f>IFERROR(Associates_Call_List_PQ!A672,"")</f>
        <v>45907</v>
      </c>
      <c r="B672" s="57" t="str">
        <f>IF(Associates_Call_List_PQ!B672="","",Associates_Call_List_PQ!B672)</f>
        <v>Handelman</v>
      </c>
      <c r="C672" s="57" t="str">
        <f>IF(Associates_Call_List_PQ!C672="","",Associates_Call_List_PQ!C672)</f>
        <v xml:space="preserve">Jeff </v>
      </c>
      <c r="D672" s="57" t="str">
        <f>IF(Associates_Call_List_PQ!D672="","",Associates_Call_List_PQ!D672)</f>
        <v>Carefree</v>
      </c>
      <c r="E672" s="58">
        <f>IF(Associates_Call_List_PQ!E672="","",Associates_Call_List_PQ!E672)</f>
        <v>85377</v>
      </c>
      <c r="F672" s="57" t="str">
        <f>IF(Associates_Call_List_PQ!F672="","",Associates_Call_List_PQ!F672)</f>
        <v>Opposed, gouging customers</v>
      </c>
      <c r="G672" s="57" t="str">
        <f>IF(Associates_Call_List_PQ!G672="","",Associates_Call_List_PQ!G672)</f>
        <v>https://docket.images.azcc.gov/E000046266.pdf</v>
      </c>
      <c r="H672" s="59" t="str">
        <f>IF(Associates_Call_List_PQ!H672="","",Associates_Call_List_PQ!H672)</f>
        <v xml:space="preserve">8715441000 </v>
      </c>
      <c r="I672" s="57" t="str">
        <f>IF(Associates_Call_List_PQ!I672="","",Associates_Call_List_PQ!I672)</f>
        <v>R3-47</v>
      </c>
      <c r="J672" s="57" t="str">
        <f>IF(Associates_Call_List_PQ!J672="","",Associates_Call_List_PQ!J672)</f>
        <v>No</v>
      </c>
      <c r="K672" s="57" t="str">
        <f>IF(Associates_Call_List_PQ!K672="","",Associates_Call_List_PQ!K672)</f>
        <v>No</v>
      </c>
      <c r="L672" s="57" t="str">
        <f>IF(Associates_Call_List_PQ!L672="","",Associates_Call_List_PQ!L672)</f>
        <v>Yes</v>
      </c>
      <c r="M672" s="57" t="str">
        <f>IF(Associates_Call_List_PQ!M672="","",Associates_Call_List_PQ!M672)</f>
        <v>No</v>
      </c>
      <c r="N672" s="57" t="str">
        <f>IF(Associates_Call_List_PQ!N672="","",Associates_Call_List_PQ!N672)</f>
        <v>No</v>
      </c>
      <c r="O672" s="57" t="str">
        <f>IF(Associates_Call_List_PQ!O672="","",Associates_Call_List_PQ!O672)</f>
        <v>Yes</v>
      </c>
      <c r="P672" s="57" t="str">
        <f>IF(Associates_Call_List_PQ!P672="","",Associates_Call_List_PQ!P672)</f>
        <v>N</v>
      </c>
      <c r="Q672" s="57">
        <f>IF(Associates_Call_List_PQ!Q672="","",Associates_Call_List_PQ!Q672)</f>
        <v>45961</v>
      </c>
      <c r="R672" s="57" t="str">
        <f>IF(Associates_Call_List_PQ!R672="","",Associates_Call_List_PQ!R672)</f>
        <v/>
      </c>
      <c r="S672" s="57" t="str">
        <f>IF(Associates_Call_List_PQ!S672="","",Associates_Call_List_PQ!S672)</f>
        <v/>
      </c>
      <c r="T672" s="57" t="str">
        <f>IF(Associates_Call_List_PQ!T672="","",Associates_Call_List_PQ!T672)</f>
        <v/>
      </c>
      <c r="U672" s="57" t="str">
        <f>IF(Associates_Call_List_PQ!U672="","",Associates_Call_List_PQ!U672)</f>
        <v/>
      </c>
      <c r="V672" s="68"/>
      <c r="W672" s="68" t="s">
        <v>5432</v>
      </c>
      <c r="X672" s="68"/>
      <c r="Y672" s="68"/>
      <c r="Z672" s="72"/>
    </row>
    <row r="673" spans="1:26">
      <c r="A673" s="71">
        <f>IFERROR(Associates_Call_List_PQ!A673,"")</f>
        <v>45907</v>
      </c>
      <c r="B673" s="57" t="str">
        <f>IF(Associates_Call_List_PQ!B673="","",Associates_Call_List_PQ!B673)</f>
        <v>Wollman</v>
      </c>
      <c r="C673" s="57" t="str">
        <f>IF(Associates_Call_List_PQ!C673="","",Associates_Call_List_PQ!C673)</f>
        <v>Kenneth</v>
      </c>
      <c r="D673" s="57" t="str">
        <f>IF(Associates_Call_List_PQ!D673="","",Associates_Call_List_PQ!D673)</f>
        <v>Anthem</v>
      </c>
      <c r="E673" s="58">
        <f>IF(Associates_Call_List_PQ!E673="","",Associates_Call_List_PQ!E673)</f>
        <v>85086</v>
      </c>
      <c r="F673" s="57" t="str">
        <f>IF(Associates_Call_List_PQ!F673="","",Associates_Call_List_PQ!F673)</f>
        <v>Ridiculous and a hardship</v>
      </c>
      <c r="G673" s="57" t="str">
        <f>IF(Associates_Call_List_PQ!G673="","",Associates_Call_List_PQ!G673)</f>
        <v>https://docket.images.azcc.gov/E000046266.pdf</v>
      </c>
      <c r="H673" s="59" t="str">
        <f>IF(Associates_Call_List_PQ!H673="","",Associates_Call_List_PQ!H673)</f>
        <v xml:space="preserve">2752541344 </v>
      </c>
      <c r="I673" s="57" t="str">
        <f>IF(Associates_Call_List_PQ!I673="","",Associates_Call_List_PQ!I673)</f>
        <v>RTOUE47</v>
      </c>
      <c r="J673" s="57" t="str">
        <f>IF(Associates_Call_List_PQ!J673="","",Associates_Call_List_PQ!J673)</f>
        <v>No</v>
      </c>
      <c r="K673" s="57" t="str">
        <f>IF(Associates_Call_List_PQ!K673="","",Associates_Call_List_PQ!K673)</f>
        <v>No</v>
      </c>
      <c r="L673" s="57" t="str">
        <f>IF(Associates_Call_List_PQ!L673="","",Associates_Call_List_PQ!L673)</f>
        <v>No MEP R3-47($88.73)</v>
      </c>
      <c r="M673" s="57" t="str">
        <f>IF(Associates_Call_List_PQ!M673="","",Associates_Call_List_PQ!M673)</f>
        <v>No</v>
      </c>
      <c r="N673" s="57" t="str">
        <f>IF(Associates_Call_List_PQ!N673="","",Associates_Call_List_PQ!N673)</f>
        <v>No</v>
      </c>
      <c r="O673" s="57" t="str">
        <f>IF(Associates_Call_List_PQ!O673="","",Associates_Call_List_PQ!O673)</f>
        <v>Yes</v>
      </c>
      <c r="P673" s="57" t="str">
        <f>IF(Associates_Call_List_PQ!P673="","",Associates_Call_List_PQ!P673)</f>
        <v>N</v>
      </c>
      <c r="Q673" s="57">
        <f>IF(Associates_Call_List_PQ!Q673="","",Associates_Call_List_PQ!Q673)</f>
        <v>45961</v>
      </c>
      <c r="R673" s="57" t="str">
        <f>IF(Associates_Call_List_PQ!R673="","",Associates_Call_List_PQ!R673)</f>
        <v/>
      </c>
      <c r="S673" s="57" t="str">
        <f>IF(Associates_Call_List_PQ!S673="","",Associates_Call_List_PQ!S673)</f>
        <v/>
      </c>
      <c r="T673" s="57" t="str">
        <f>IF(Associates_Call_List_PQ!T673="","",Associates_Call_List_PQ!T673)</f>
        <v/>
      </c>
      <c r="U673" s="57" t="str">
        <f>IF(Associates_Call_List_PQ!U673="","",Associates_Call_List_PQ!U673)</f>
        <v/>
      </c>
      <c r="V673" s="68" t="s">
        <v>5433</v>
      </c>
      <c r="W673" s="68">
        <v>46025</v>
      </c>
      <c r="X673" s="68" t="s">
        <v>5434</v>
      </c>
      <c r="Y673" s="68"/>
      <c r="Z673" s="72" t="s">
        <v>5627</v>
      </c>
    </row>
    <row r="674" spans="1:26">
      <c r="A674" s="71">
        <f>IFERROR(Associates_Call_List_PQ!A674,"")</f>
        <v>45907</v>
      </c>
      <c r="B674" s="57" t="str">
        <f>IF(Associates_Call_List_PQ!B674="","",Associates_Call_List_PQ!B674)</f>
        <v>Lassner</v>
      </c>
      <c r="C674" s="57" t="str">
        <f>IF(Associates_Call_List_PQ!C674="","",Associates_Call_List_PQ!C674)</f>
        <v>Zachary</v>
      </c>
      <c r="D674" s="57" t="str">
        <f>IF(Associates_Call_List_PQ!D674="","",Associates_Call_List_PQ!D674)</f>
        <v>Morristown</v>
      </c>
      <c r="E674" s="58">
        <f>IF(Associates_Call_List_PQ!E674="","",Associates_Call_List_PQ!E674)</f>
        <v>85342</v>
      </c>
      <c r="F674" s="57" t="str">
        <f>IF(Associates_Call_List_PQ!F674="","",Associates_Call_List_PQ!F674)</f>
        <v>Opposed</v>
      </c>
      <c r="G674" s="57" t="str">
        <f>IF(Associates_Call_List_PQ!G674="","",Associates_Call_List_PQ!G674)</f>
        <v>https://docket.images.azcc.gov/E000046266.pdf</v>
      </c>
      <c r="H674" s="59" t="str">
        <f>IF(Associates_Call_List_PQ!H674="","",Associates_Call_List_PQ!H674)</f>
        <v xml:space="preserve">8171441100 </v>
      </c>
      <c r="I674" s="57" t="str">
        <f>IF(Associates_Call_List_PQ!I674="","",Associates_Call_List_PQ!I674)</f>
        <v>R3-47</v>
      </c>
      <c r="J674" s="57" t="str">
        <f>IF(Associates_Call_List_PQ!J674="","",Associates_Call_List_PQ!J674)</f>
        <v>No</v>
      </c>
      <c r="K674" s="57" t="str">
        <f>IF(Associates_Call_List_PQ!K674="","",Associates_Call_List_PQ!K674)</f>
        <v>No</v>
      </c>
      <c r="L674" s="57" t="str">
        <f>IF(Associates_Call_List_PQ!L674="","",Associates_Call_List_PQ!L674)</f>
        <v>No MEP R-BASIC($42.83)</v>
      </c>
      <c r="M674" s="57" t="str">
        <f>IF(Associates_Call_List_PQ!M674="","",Associates_Call_List_PQ!M674)</f>
        <v>No</v>
      </c>
      <c r="N674" s="57" t="str">
        <f>IF(Associates_Call_List_PQ!N674="","",Associates_Call_List_PQ!N674)</f>
        <v>No</v>
      </c>
      <c r="O674" s="57" t="str">
        <f>IF(Associates_Call_List_PQ!O674="","",Associates_Call_List_PQ!O674)</f>
        <v>Yes</v>
      </c>
      <c r="P674" s="57" t="str">
        <f>IF(Associates_Call_List_PQ!P674="","",Associates_Call_List_PQ!P674)</f>
        <v>N</v>
      </c>
      <c r="Q674" s="57">
        <f>IF(Associates_Call_List_PQ!Q674="","",Associates_Call_List_PQ!Q674)</f>
        <v>45961</v>
      </c>
      <c r="R674" s="57" t="str">
        <f>IF(Associates_Call_List_PQ!R674="","",Associates_Call_List_PQ!R674)</f>
        <v/>
      </c>
      <c r="S674" s="57" t="str">
        <f>IF(Associates_Call_List_PQ!S674="","",Associates_Call_List_PQ!S674)</f>
        <v/>
      </c>
      <c r="T674" s="57" t="str">
        <f>IF(Associates_Call_List_PQ!T674="","",Associates_Call_List_PQ!T674)</f>
        <v/>
      </c>
      <c r="U674" s="57" t="str">
        <f>IF(Associates_Call_List_PQ!U674="","",Associates_Call_List_PQ!U674)</f>
        <v/>
      </c>
      <c r="V674" s="68" t="s">
        <v>5433</v>
      </c>
      <c r="W674" s="68">
        <v>46025</v>
      </c>
      <c r="X674" s="68" t="s">
        <v>5434</v>
      </c>
      <c r="Y674" s="68"/>
      <c r="Z674" s="72" t="s">
        <v>5627</v>
      </c>
    </row>
    <row r="675" spans="1:26">
      <c r="A675" s="71">
        <f>IFERROR(Associates_Call_List_PQ!A675,"")</f>
        <v>45907</v>
      </c>
      <c r="B675" s="57" t="str">
        <f>IF(Associates_Call_List_PQ!B675="","",Associates_Call_List_PQ!B675)</f>
        <v>Palaniraj</v>
      </c>
      <c r="C675" s="57" t="str">
        <f>IF(Associates_Call_List_PQ!C675="","",Associates_Call_List_PQ!C675)</f>
        <v>Selvakumar</v>
      </c>
      <c r="D675" s="57" t="str">
        <f>IF(Associates_Call_List_PQ!D675="","",Associates_Call_List_PQ!D675)</f>
        <v>Peoria</v>
      </c>
      <c r="E675" s="58">
        <f>IF(Associates_Call_List_PQ!E675="","",Associates_Call_List_PQ!E675)</f>
        <v>85383</v>
      </c>
      <c r="F675" s="57" t="str">
        <f>IF(Associates_Call_List_PQ!F675="","",Associates_Call_List_PQ!F675)</f>
        <v>Opposed</v>
      </c>
      <c r="G675" s="57" t="str">
        <f>IF(Associates_Call_List_PQ!G675="","",Associates_Call_List_PQ!G675)</f>
        <v>https://docket.images.azcc.gov/E000046266.pdf</v>
      </c>
      <c r="H675" s="59" t="str">
        <f>IF(Associates_Call_List_PQ!H675="","",Associates_Call_List_PQ!H675)</f>
        <v xml:space="preserve">0831730979 </v>
      </c>
      <c r="I675" s="57" t="str">
        <f>IF(Associates_Call_List_PQ!I675="","",Associates_Call_List_PQ!I675)</f>
        <v>R-XS</v>
      </c>
      <c r="J675" s="57" t="str">
        <f>IF(Associates_Call_List_PQ!J675="","",Associates_Call_List_PQ!J675)</f>
        <v>No</v>
      </c>
      <c r="K675" s="57" t="str">
        <f>IF(Associates_Call_List_PQ!K675="","",Associates_Call_List_PQ!K675)</f>
        <v>No</v>
      </c>
      <c r="L675" s="57" t="str">
        <f>IF(Associates_Call_List_PQ!L675="","",Associates_Call_List_PQ!L675)</f>
        <v>Yes</v>
      </c>
      <c r="M675" s="57" t="str">
        <f>IF(Associates_Call_List_PQ!M675="","",Associates_Call_List_PQ!M675)</f>
        <v>No</v>
      </c>
      <c r="N675" s="57" t="str">
        <f>IF(Associates_Call_List_PQ!N675="","",Associates_Call_List_PQ!N675)</f>
        <v>No</v>
      </c>
      <c r="O675" s="57" t="str">
        <f>IF(Associates_Call_List_PQ!O675="","",Associates_Call_List_PQ!O675)</f>
        <v>Yes</v>
      </c>
      <c r="P675" s="57" t="str">
        <f>IF(Associates_Call_List_PQ!P675="","",Associates_Call_List_PQ!P675)</f>
        <v>N</v>
      </c>
      <c r="Q675" s="57">
        <f>IF(Associates_Call_List_PQ!Q675="","",Associates_Call_List_PQ!Q675)</f>
        <v>45961</v>
      </c>
      <c r="R675" s="57" t="str">
        <f>IF(Associates_Call_List_PQ!R675="","",Associates_Call_List_PQ!R675)</f>
        <v/>
      </c>
      <c r="S675" s="57" t="str">
        <f>IF(Associates_Call_List_PQ!S675="","",Associates_Call_List_PQ!S675)</f>
        <v/>
      </c>
      <c r="T675" s="57" t="str">
        <f>IF(Associates_Call_List_PQ!T675="","",Associates_Call_List_PQ!T675)</f>
        <v/>
      </c>
      <c r="U675" s="57" t="str">
        <f>IF(Associates_Call_List_PQ!U675="","",Associates_Call_List_PQ!U675)</f>
        <v/>
      </c>
      <c r="V675" s="68"/>
      <c r="W675" s="68" t="s">
        <v>5432</v>
      </c>
      <c r="X675" s="68"/>
      <c r="Y675" s="68"/>
      <c r="Z675" s="72"/>
    </row>
    <row r="676" spans="1:26">
      <c r="A676" s="71">
        <f>IFERROR(Associates_Call_List_PQ!A676,"")</f>
        <v>45907</v>
      </c>
      <c r="B676" s="57" t="str">
        <f>IF(Associates_Call_List_PQ!B676="","",Associates_Call_List_PQ!B676)</f>
        <v>Becus</v>
      </c>
      <c r="C676" s="57" t="str">
        <f>IF(Associates_Call_List_PQ!C676="","",Associates_Call_List_PQ!C676)</f>
        <v>Lucie</v>
      </c>
      <c r="D676" s="57" t="str">
        <f>IF(Associates_Call_List_PQ!D676="","",Associates_Call_List_PQ!D676)</f>
        <v>Surprise</v>
      </c>
      <c r="E676" s="58">
        <f>IF(Associates_Call_List_PQ!E676="","",Associates_Call_List_PQ!E676)</f>
        <v>85388</v>
      </c>
      <c r="F676" s="57" t="str">
        <f>IF(Associates_Call_List_PQ!F676="","",Associates_Call_List_PQ!F676)</f>
        <v>Form letter</v>
      </c>
      <c r="G676" s="57" t="str">
        <f>IF(Associates_Call_List_PQ!G676="","",Associates_Call_List_PQ!G676)</f>
        <v>https://docket.images.azcc.gov/E000046266.pdf</v>
      </c>
      <c r="H676" s="59" t="str">
        <f>IF(Associates_Call_List_PQ!H676="","",Associates_Call_List_PQ!H676)</f>
        <v xml:space="preserve">0179082566 </v>
      </c>
      <c r="I676" s="57" t="str">
        <f>IF(Associates_Call_List_PQ!I676="","",Associates_Call_List_PQ!I676)</f>
        <v>RCPw/R3-47</v>
      </c>
      <c r="J676" s="57" t="str">
        <f>IF(Associates_Call_List_PQ!J676="","",Associates_Call_List_PQ!J676)</f>
        <v>No</v>
      </c>
      <c r="K676" s="57" t="str">
        <f>IF(Associates_Call_List_PQ!K676="","",Associates_Call_List_PQ!K676)</f>
        <v>No</v>
      </c>
      <c r="L676" s="57" t="str">
        <f>IF(Associates_Call_List_PQ!L676="","",Associates_Call_List_PQ!L676)</f>
        <v>Yes</v>
      </c>
      <c r="M676" s="57" t="str">
        <f>IF(Associates_Call_List_PQ!M676="","",Associates_Call_List_PQ!M676)</f>
        <v>No</v>
      </c>
      <c r="N676" s="57" t="str">
        <f>IF(Associates_Call_List_PQ!N676="","",Associates_Call_List_PQ!N676)</f>
        <v>No</v>
      </c>
      <c r="O676" s="57" t="str">
        <f>IF(Associates_Call_List_PQ!O676="","",Associates_Call_List_PQ!O676)</f>
        <v>Yes</v>
      </c>
      <c r="P676" s="57" t="str">
        <f>IF(Associates_Call_List_PQ!P676="","",Associates_Call_List_PQ!P676)</f>
        <v>N</v>
      </c>
      <c r="Q676" s="57">
        <f>IF(Associates_Call_List_PQ!Q676="","",Associates_Call_List_PQ!Q676)</f>
        <v>45961</v>
      </c>
      <c r="R676" s="57" t="str">
        <f>IF(Associates_Call_List_PQ!R676="","",Associates_Call_List_PQ!R676)</f>
        <v/>
      </c>
      <c r="S676" s="57" t="str">
        <f>IF(Associates_Call_List_PQ!S676="","",Associates_Call_List_PQ!S676)</f>
        <v/>
      </c>
      <c r="T676" s="57" t="str">
        <f>IF(Associates_Call_List_PQ!T676="","",Associates_Call_List_PQ!T676)</f>
        <v/>
      </c>
      <c r="U676" s="57" t="str">
        <f>IF(Associates_Call_List_PQ!U676="","",Associates_Call_List_PQ!U676)</f>
        <v/>
      </c>
      <c r="V676" s="68"/>
      <c r="W676" s="68" t="s">
        <v>5432</v>
      </c>
      <c r="X676" s="68"/>
      <c r="Y676" s="68"/>
      <c r="Z676" s="72"/>
    </row>
    <row r="677" spans="1:26">
      <c r="A677" s="71">
        <f>IFERROR(Associates_Call_List_PQ!A677,"")</f>
        <v>45907</v>
      </c>
      <c r="B677" s="57" t="str">
        <f>IF(Associates_Call_List_PQ!B677="","",Associates_Call_List_PQ!B677)</f>
        <v>Wesley</v>
      </c>
      <c r="C677" s="57" t="str">
        <f>IF(Associates_Call_List_PQ!C677="","",Associates_Call_List_PQ!C677)</f>
        <v>Jason</v>
      </c>
      <c r="D677" s="57" t="str">
        <f>IF(Associates_Call_List_PQ!D677="","",Associates_Call_List_PQ!D677)</f>
        <v>Peoria</v>
      </c>
      <c r="E677" s="58">
        <f>IF(Associates_Call_List_PQ!E677="","",Associates_Call_List_PQ!E677)</f>
        <v>85345</v>
      </c>
      <c r="F677" s="57" t="str">
        <f>IF(Associates_Call_List_PQ!F677="","",Associates_Call_List_PQ!F677)</f>
        <v>Form letter</v>
      </c>
      <c r="G677" s="57" t="str">
        <f>IF(Associates_Call_List_PQ!G677="","",Associates_Call_List_PQ!G677)</f>
        <v>https://docket.images.azcc.gov/E000046266.pdf</v>
      </c>
      <c r="H677" s="59" t="str">
        <f>IF(Associates_Call_List_PQ!H677="","",Associates_Call_List_PQ!H677)</f>
        <v xml:space="preserve">1027321000 </v>
      </c>
      <c r="I677" s="57" t="str">
        <f>IF(Associates_Call_List_PQ!I677="","",Associates_Call_List_PQ!I677)</f>
        <v>R-BASICL</v>
      </c>
      <c r="J677" s="57" t="str">
        <f>IF(Associates_Call_List_PQ!J677="","",Associates_Call_List_PQ!J677)</f>
        <v>No</v>
      </c>
      <c r="K677" s="57" t="str">
        <f>IF(Associates_Call_List_PQ!K677="","",Associates_Call_List_PQ!K677)</f>
        <v>No</v>
      </c>
      <c r="L677" s="57" t="str">
        <f>IF(Associates_Call_List_PQ!L677="","",Associates_Call_List_PQ!L677)</f>
        <v>No MEP R3-47($419.59)</v>
      </c>
      <c r="M677" s="57" t="str">
        <f>IF(Associates_Call_List_PQ!M677="","",Associates_Call_List_PQ!M677)</f>
        <v>No</v>
      </c>
      <c r="N677" s="57" t="str">
        <f>IF(Associates_Call_List_PQ!N677="","",Associates_Call_List_PQ!N677)</f>
        <v>No</v>
      </c>
      <c r="O677" s="57" t="str">
        <f>IF(Associates_Call_List_PQ!O677="","",Associates_Call_List_PQ!O677)</f>
        <v>Yes</v>
      </c>
      <c r="P677" s="57">
        <f>IF(Associates_Call_List_PQ!P677="","",Associates_Call_List_PQ!P677)</f>
        <v>45939</v>
      </c>
      <c r="Q677" s="57">
        <f>IF(Associates_Call_List_PQ!Q677="","",Associates_Call_List_PQ!Q677)</f>
        <v>45961</v>
      </c>
      <c r="R677" s="57" t="str">
        <f>IF(Associates_Call_List_PQ!R677="","",Associates_Call_List_PQ!R677)</f>
        <v>10/9 Left VM</v>
      </c>
      <c r="S677" s="57" t="str">
        <f>IF(Associates_Call_List_PQ!S677="","",Associates_Call_List_PQ!S677)</f>
        <v/>
      </c>
      <c r="T677" s="57" t="str">
        <f>IF(Associates_Call_List_PQ!T677="","",Associates_Call_List_PQ!T677)</f>
        <v/>
      </c>
      <c r="U677" s="57" t="str">
        <f>IF(Associates_Call_List_PQ!U677="","",Associates_Call_List_PQ!U677)</f>
        <v/>
      </c>
      <c r="V677" s="68" t="s">
        <v>5433</v>
      </c>
      <c r="W677" s="68">
        <v>46025</v>
      </c>
      <c r="X677" s="68" t="s">
        <v>5434</v>
      </c>
      <c r="Y677" s="68"/>
      <c r="Z677" s="72" t="s">
        <v>5627</v>
      </c>
    </row>
    <row r="678" spans="1:26">
      <c r="A678" s="71">
        <f>IFERROR(Associates_Call_List_PQ!A678,"")</f>
        <v>45907</v>
      </c>
      <c r="B678" s="57" t="str">
        <f>IF(Associates_Call_List_PQ!B678="","",Associates_Call_List_PQ!B678)</f>
        <v>Zausmer</v>
      </c>
      <c r="C678" s="57" t="str">
        <f>IF(Associates_Call_List_PQ!C678="","",Associates_Call_List_PQ!C678)</f>
        <v>Julie</v>
      </c>
      <c r="D678" s="57" t="str">
        <f>IF(Associates_Call_List_PQ!D678="","",Associates_Call_List_PQ!D678)</f>
        <v>Scottsdale</v>
      </c>
      <c r="E678" s="58">
        <f>IF(Associates_Call_List_PQ!E678="","",Associates_Call_List_PQ!E678)</f>
        <v>85260</v>
      </c>
      <c r="F678" s="57" t="str">
        <f>IF(Associates_Call_List_PQ!F678="","",Associates_Call_List_PQ!F678)</f>
        <v>Form letter</v>
      </c>
      <c r="G678" s="57" t="str">
        <f>IF(Associates_Call_List_PQ!G678="","",Associates_Call_List_PQ!G678)</f>
        <v>https://docket.images.azcc.gov/E000046266.pdf</v>
      </c>
      <c r="H678" s="59" t="str">
        <f>IF(Associates_Call_List_PQ!H678="","",Associates_Call_List_PQ!H678)</f>
        <v xml:space="preserve">7586510000 </v>
      </c>
      <c r="I678" s="57" t="str">
        <f>IF(Associates_Call_List_PQ!I678="","",Associates_Call_List_PQ!I678)</f>
        <v>RTOUE47</v>
      </c>
      <c r="J678" s="57" t="str">
        <f>IF(Associates_Call_List_PQ!J678="","",Associates_Call_List_PQ!J678)</f>
        <v>No</v>
      </c>
      <c r="K678" s="57" t="str">
        <f>IF(Associates_Call_List_PQ!K678="","",Associates_Call_List_PQ!K678)</f>
        <v>No</v>
      </c>
      <c r="L678" s="57" t="str">
        <f>IF(Associates_Call_List_PQ!L678="","",Associates_Call_List_PQ!L678)</f>
        <v>Yes</v>
      </c>
      <c r="M678" s="57" t="str">
        <f>IF(Associates_Call_List_PQ!M678="","",Associates_Call_List_PQ!M678)</f>
        <v>No</v>
      </c>
      <c r="N678" s="57" t="str">
        <f>IF(Associates_Call_List_PQ!N678="","",Associates_Call_List_PQ!N678)</f>
        <v>No</v>
      </c>
      <c r="O678" s="57" t="str">
        <f>IF(Associates_Call_List_PQ!O678="","",Associates_Call_List_PQ!O678)</f>
        <v>Yes</v>
      </c>
      <c r="P678" s="57">
        <f>IF(Associates_Call_List_PQ!P678="","",Associates_Call_List_PQ!P678)</f>
        <v>45938</v>
      </c>
      <c r="Q678" s="57">
        <f>IF(Associates_Call_List_PQ!Q678="","",Associates_Call_List_PQ!Q678)</f>
        <v>45961</v>
      </c>
      <c r="R678" s="57" t="str">
        <f>IF(Associates_Call_List_PQ!R678="","",Associates_Call_List_PQ!R678)</f>
        <v>10/8 Spoke with COR and discussed MEP of R3-47 - she agreed to try R3-47. Dom helped to make the rate change in C&amp;CB.</v>
      </c>
      <c r="S678" s="57" t="str">
        <f>IF(Associates_Call_List_PQ!S678="","",Associates_Call_List_PQ!S678)</f>
        <v/>
      </c>
      <c r="T678" s="57" t="str">
        <f>IF(Associates_Call_List_PQ!T678="","",Associates_Call_List_PQ!T678)</f>
        <v/>
      </c>
      <c r="U678" s="57" t="str">
        <f>IF(Associates_Call_List_PQ!U678="","",Associates_Call_List_PQ!U678)</f>
        <v/>
      </c>
      <c r="V678" s="68"/>
      <c r="W678" s="68" t="s">
        <v>5432</v>
      </c>
      <c r="X678" s="68"/>
      <c r="Y678" s="68"/>
      <c r="Z678" s="72"/>
    </row>
    <row r="679" spans="1:26">
      <c r="A679" s="71">
        <f>IFERROR(Associates_Call_List_PQ!A679,"")</f>
        <v>45907</v>
      </c>
      <c r="B679" s="57" t="str">
        <f>IF(Associates_Call_List_PQ!B679="","",Associates_Call_List_PQ!B679)</f>
        <v>Terry</v>
      </c>
      <c r="C679" s="57" t="str">
        <f>IF(Associates_Call_List_PQ!C679="","",Associates_Call_List_PQ!C679)</f>
        <v>Jessica</v>
      </c>
      <c r="D679" s="57" t="str">
        <f>IF(Associates_Call_List_PQ!D679="","",Associates_Call_List_PQ!D679)</f>
        <v>Flagstaff</v>
      </c>
      <c r="E679" s="58">
        <f>IF(Associates_Call_List_PQ!E679="","",Associates_Call_List_PQ!E679)</f>
        <v>86001</v>
      </c>
      <c r="F679" s="57" t="str">
        <f>IF(Associates_Call_List_PQ!F679="","",Associates_Call_List_PQ!F679)</f>
        <v>Form letter</v>
      </c>
      <c r="G679" s="57" t="str">
        <f>IF(Associates_Call_List_PQ!G679="","",Associates_Call_List_PQ!G679)</f>
        <v>https://docket.images.azcc.gov/E000046266.pdf</v>
      </c>
      <c r="H679" s="59" t="str">
        <f>IF(Associates_Call_List_PQ!H679="","",Associates_Call_List_PQ!H679)</f>
        <v xml:space="preserve">8422252988 </v>
      </c>
      <c r="I679" s="57" t="str">
        <f>IF(Associates_Call_List_PQ!I679="","",Associates_Call_List_PQ!I679)</f>
        <v>R-XS</v>
      </c>
      <c r="J679" s="57" t="str">
        <f>IF(Associates_Call_List_PQ!J679="","",Associates_Call_List_PQ!J679)</f>
        <v>No</v>
      </c>
      <c r="K679" s="57" t="str">
        <f>IF(Associates_Call_List_PQ!K679="","",Associates_Call_List_PQ!K679)</f>
        <v>No</v>
      </c>
      <c r="L679" s="57" t="str">
        <f>IF(Associates_Call_List_PQ!L679="","",Associates_Call_List_PQ!L679)</f>
        <v>Yes</v>
      </c>
      <c r="M679" s="57" t="str">
        <f>IF(Associates_Call_List_PQ!M679="","",Associates_Call_List_PQ!M679)</f>
        <v>No</v>
      </c>
      <c r="N679" s="57" t="str">
        <f>IF(Associates_Call_List_PQ!N679="","",Associates_Call_List_PQ!N679)</f>
        <v>No</v>
      </c>
      <c r="O679" s="57" t="str">
        <f>IF(Associates_Call_List_PQ!O679="","",Associates_Call_List_PQ!O679)</f>
        <v>Yes</v>
      </c>
      <c r="P679" s="57" t="str">
        <f>IF(Associates_Call_List_PQ!P679="","",Associates_Call_List_PQ!P679)</f>
        <v>N</v>
      </c>
      <c r="Q679" s="57">
        <f>IF(Associates_Call_List_PQ!Q679="","",Associates_Call_List_PQ!Q679)</f>
        <v>45961</v>
      </c>
      <c r="R679" s="57" t="str">
        <f>IF(Associates_Call_List_PQ!R679="","",Associates_Call_List_PQ!R679)</f>
        <v/>
      </c>
      <c r="S679" s="57" t="str">
        <f>IF(Associates_Call_List_PQ!S679="","",Associates_Call_List_PQ!S679)</f>
        <v/>
      </c>
      <c r="T679" s="57" t="str">
        <f>IF(Associates_Call_List_PQ!T679="","",Associates_Call_List_PQ!T679)</f>
        <v/>
      </c>
      <c r="U679" s="57" t="str">
        <f>IF(Associates_Call_List_PQ!U679="","",Associates_Call_List_PQ!U679)</f>
        <v/>
      </c>
      <c r="V679" s="68"/>
      <c r="W679" s="68" t="s">
        <v>5432</v>
      </c>
      <c r="X679" s="68"/>
      <c r="Y679" s="68"/>
      <c r="Z679" s="72"/>
    </row>
    <row r="680" spans="1:26">
      <c r="A680" s="71">
        <f>IFERROR(Associates_Call_List_PQ!A680,"")</f>
        <v>45907</v>
      </c>
      <c r="B680" s="57" t="str">
        <f>IF(Associates_Call_List_PQ!B680="","",Associates_Call_List_PQ!B680)</f>
        <v>Taft</v>
      </c>
      <c r="C680" s="57" t="str">
        <f>IF(Associates_Call_List_PQ!C680="","",Associates_Call_List_PQ!C680)</f>
        <v>Konrad</v>
      </c>
      <c r="D680" s="57" t="str">
        <f>IF(Associates_Call_List_PQ!D680="","",Associates_Call_List_PQ!D680)</f>
        <v>Surprise</v>
      </c>
      <c r="E680" s="58">
        <f>IF(Associates_Call_List_PQ!E680="","",Associates_Call_List_PQ!E680)</f>
        <v>85379</v>
      </c>
      <c r="F680" s="57" t="str">
        <f>IF(Associates_Call_List_PQ!F680="","",Associates_Call_List_PQ!F680)</f>
        <v>Data centers coming in and nothing to with energy use</v>
      </c>
      <c r="G680" s="57" t="str">
        <f>IF(Associates_Call_List_PQ!G680="","",Associates_Call_List_PQ!G680)</f>
        <v>https://docket.images.azcc.gov/E000046266.pdf</v>
      </c>
      <c r="H680" s="59" t="str">
        <f>IF(Associates_Call_List_PQ!H680="","",Associates_Call_List_PQ!H680)</f>
        <v xml:space="preserve">6220501000 </v>
      </c>
      <c r="I680" s="57" t="str">
        <f>IF(Associates_Call_List_PQ!I680="","",Associates_Call_List_PQ!I680)</f>
        <v>R-BASIC</v>
      </c>
      <c r="J680" s="57" t="str">
        <f>IF(Associates_Call_List_PQ!J680="","",Associates_Call_List_PQ!J680)</f>
        <v>No</v>
      </c>
      <c r="K680" s="57" t="str">
        <f>IF(Associates_Call_List_PQ!K680="","",Associates_Call_List_PQ!K680)</f>
        <v>No</v>
      </c>
      <c r="L680" s="57" t="str">
        <f>IF(Associates_Call_List_PQ!L680="","",Associates_Call_List_PQ!L680)</f>
        <v>Yes</v>
      </c>
      <c r="M680" s="57" t="str">
        <f>IF(Associates_Call_List_PQ!M680="","",Associates_Call_List_PQ!M680)</f>
        <v>No</v>
      </c>
      <c r="N680" s="57" t="str">
        <f>IF(Associates_Call_List_PQ!N680="","",Associates_Call_List_PQ!N680)</f>
        <v>No</v>
      </c>
      <c r="O680" s="57" t="str">
        <f>IF(Associates_Call_List_PQ!O680="","",Associates_Call_List_PQ!O680)</f>
        <v>Yes</v>
      </c>
      <c r="P680" s="57" t="str">
        <f>IF(Associates_Call_List_PQ!P680="","",Associates_Call_List_PQ!P680)</f>
        <v>N</v>
      </c>
      <c r="Q680" s="57">
        <f>IF(Associates_Call_List_PQ!Q680="","",Associates_Call_List_PQ!Q680)</f>
        <v>45961</v>
      </c>
      <c r="R680" s="57" t="str">
        <f>IF(Associates_Call_List_PQ!R680="","",Associates_Call_List_PQ!R680)</f>
        <v/>
      </c>
      <c r="S680" s="57" t="str">
        <f>IF(Associates_Call_List_PQ!S680="","",Associates_Call_List_PQ!S680)</f>
        <v/>
      </c>
      <c r="T680" s="57" t="str">
        <f>IF(Associates_Call_List_PQ!T680="","",Associates_Call_List_PQ!T680)</f>
        <v/>
      </c>
      <c r="U680" s="57" t="str">
        <f>IF(Associates_Call_List_PQ!U680="","",Associates_Call_List_PQ!U680)</f>
        <v/>
      </c>
      <c r="V680" s="68"/>
      <c r="W680" s="68" t="s">
        <v>5432</v>
      </c>
      <c r="X680" s="68"/>
      <c r="Y680" s="68"/>
      <c r="Z680" s="72"/>
    </row>
    <row r="681" spans="1:26">
      <c r="A681" s="71">
        <f>IFERROR(Associates_Call_List_PQ!A681,"")</f>
        <v>45907</v>
      </c>
      <c r="B681" s="57" t="str">
        <f>IF(Associates_Call_List_PQ!B681="","",Associates_Call_List_PQ!B681)</f>
        <v>Futi</v>
      </c>
      <c r="C681" s="57" t="str">
        <f>IF(Associates_Call_List_PQ!C681="","",Associates_Call_List_PQ!C681)</f>
        <v>Ruben</v>
      </c>
      <c r="D681" s="57" t="str">
        <f>IF(Associates_Call_List_PQ!D681="","",Associates_Call_List_PQ!D681)</f>
        <v>Avondale</v>
      </c>
      <c r="E681" s="58">
        <f>IF(Associates_Call_List_PQ!E681="","",Associates_Call_List_PQ!E681)</f>
        <v>85392</v>
      </c>
      <c r="F681" s="57" t="str">
        <f>IF(Associates_Call_List_PQ!F681="","",Associates_Call_List_PQ!F681)</f>
        <v>Greedy</v>
      </c>
      <c r="G681" s="57" t="str">
        <f>IF(Associates_Call_List_PQ!G681="","",Associates_Call_List_PQ!G681)</f>
        <v>https://docket.images.azcc.gov/E000046266.pdf</v>
      </c>
      <c r="H681" s="59" t="str">
        <f>IF(Associates_Call_List_PQ!H681="","",Associates_Call_List_PQ!H681)</f>
        <v xml:space="preserve">0829573314 </v>
      </c>
      <c r="I681" s="57" t="str">
        <f>IF(Associates_Call_List_PQ!I681="","",Associates_Call_List_PQ!I681)</f>
        <v>Multiple SAs</v>
      </c>
      <c r="J681" s="57" t="str">
        <f>IF(Associates_Call_List_PQ!J681="","",Associates_Call_List_PQ!J681)</f>
        <v>No</v>
      </c>
      <c r="K681" s="57" t="str">
        <f>IF(Associates_Call_List_PQ!K681="","",Associates_Call_List_PQ!K681)</f>
        <v>No</v>
      </c>
      <c r="L681" s="57" t="str">
        <f>IF(Associates_Call_List_PQ!L681="","",Associates_Call_List_PQ!L681)</f>
        <v>Not eligible yet (needs 3 months)</v>
      </c>
      <c r="M681" s="57" t="str">
        <f>IF(Associates_Call_List_PQ!M681="","",Associates_Call_List_PQ!M681)</f>
        <v>No</v>
      </c>
      <c r="N681" s="57" t="str">
        <f>IF(Associates_Call_List_PQ!N681="","",Associates_Call_List_PQ!N681)</f>
        <v>No</v>
      </c>
      <c r="O681" s="57" t="str">
        <f>IF(Associates_Call_List_PQ!O681="","",Associates_Call_List_PQ!O681)</f>
        <v>Yes</v>
      </c>
      <c r="P681" s="57" t="str">
        <f>IF(Associates_Call_List_PQ!P681="","",Associates_Call_List_PQ!P681)</f>
        <v>N</v>
      </c>
      <c r="Q681" s="57">
        <f>IF(Associates_Call_List_PQ!Q681="","",Associates_Call_List_PQ!Q681)</f>
        <v>45961</v>
      </c>
      <c r="R681" s="57" t="str">
        <f>IF(Associates_Call_List_PQ!R681="","",Associates_Call_List_PQ!R681)</f>
        <v>COR JUST STARTED SERV</v>
      </c>
      <c r="S681" s="57" t="str">
        <f>IF(Associates_Call_List_PQ!S681="","",Associates_Call_List_PQ!S681)</f>
        <v/>
      </c>
      <c r="T681" s="57" t="str">
        <f>IF(Associates_Call_List_PQ!T681="","",Associates_Call_List_PQ!T681)</f>
        <v/>
      </c>
      <c r="U681" s="57" t="str">
        <f>IF(Associates_Call_List_PQ!U681="","",Associates_Call_List_PQ!U681)</f>
        <v/>
      </c>
      <c r="V681" s="68" t="s">
        <v>5433</v>
      </c>
      <c r="W681" s="68">
        <v>46060</v>
      </c>
      <c r="X681" s="68" t="s">
        <v>5434</v>
      </c>
      <c r="Y681" s="68"/>
      <c r="Z681" s="72" t="s">
        <v>5627</v>
      </c>
    </row>
    <row r="682" spans="1:26">
      <c r="A682" s="71">
        <f>IFERROR(Associates_Call_List_PQ!A682,"")</f>
        <v>45907</v>
      </c>
      <c r="B682" s="57" t="str">
        <f>IF(Associates_Call_List_PQ!B682="","",Associates_Call_List_PQ!B682)</f>
        <v>Reddy</v>
      </c>
      <c r="C682" s="57" t="str">
        <f>IF(Associates_Call_List_PQ!C682="","",Associates_Call_List_PQ!C682)</f>
        <v>Rohit</v>
      </c>
      <c r="D682" s="57" t="str">
        <f>IF(Associates_Call_List_PQ!D682="","",Associates_Call_List_PQ!D682)</f>
        <v>Peoria</v>
      </c>
      <c r="E682" s="58">
        <f>IF(Associates_Call_List_PQ!E682="","",Associates_Call_List_PQ!E682)</f>
        <v>85382</v>
      </c>
      <c r="F682" s="57" t="str">
        <f>IF(Associates_Call_List_PQ!F682="","",Associates_Call_List_PQ!F682)</f>
        <v>Cannot afford</v>
      </c>
      <c r="G682" s="57" t="str">
        <f>IF(Associates_Call_List_PQ!G682="","",Associates_Call_List_PQ!G682)</f>
        <v>https://docket.images.azcc.gov/E000046266.pdf</v>
      </c>
      <c r="H682" s="59" t="str">
        <f>IF(Associates_Call_List_PQ!H682="","",Associates_Call_List_PQ!H682)</f>
        <v>0119612479</v>
      </c>
      <c r="I682" s="57" t="str">
        <f>IF(Associates_Call_List_PQ!I682="","",Associates_Call_List_PQ!I682)</f>
        <v>R-XS</v>
      </c>
      <c r="J682" s="57" t="str">
        <f>IF(Associates_Call_List_PQ!J682="","",Associates_Call_List_PQ!J682)</f>
        <v>No</v>
      </c>
      <c r="K682" s="57" t="str">
        <f>IF(Associates_Call_List_PQ!K682="","",Associates_Call_List_PQ!K682)</f>
        <v>No</v>
      </c>
      <c r="L682" s="57" t="str">
        <f>IF(Associates_Call_List_PQ!L682="","",Associates_Call_List_PQ!L682)</f>
        <v>Yes</v>
      </c>
      <c r="M682" s="57" t="str">
        <f>IF(Associates_Call_List_PQ!M682="","",Associates_Call_List_PQ!M682)</f>
        <v>No</v>
      </c>
      <c r="N682" s="57" t="str">
        <f>IF(Associates_Call_List_PQ!N682="","",Associates_Call_List_PQ!N682)</f>
        <v>No</v>
      </c>
      <c r="O682" s="57" t="str">
        <f>IF(Associates_Call_List_PQ!O682="","",Associates_Call_List_PQ!O682)</f>
        <v>Yes</v>
      </c>
      <c r="P682" s="57" t="str">
        <f>IF(Associates_Call_List_PQ!P682="","",Associates_Call_List_PQ!P682)</f>
        <v>N</v>
      </c>
      <c r="Q682" s="57">
        <f>IF(Associates_Call_List_PQ!Q682="","",Associates_Call_List_PQ!Q682)</f>
        <v>45961</v>
      </c>
      <c r="R682" s="57" t="str">
        <f>IF(Associates_Call_List_PQ!R682="","",Associates_Call_List_PQ!R682)</f>
        <v/>
      </c>
      <c r="S682" s="57" t="str">
        <f>IF(Associates_Call_List_PQ!S682="","",Associates_Call_List_PQ!S682)</f>
        <v/>
      </c>
      <c r="T682" s="57" t="str">
        <f>IF(Associates_Call_List_PQ!T682="","",Associates_Call_List_PQ!T682)</f>
        <v/>
      </c>
      <c r="U682" s="57" t="str">
        <f>IF(Associates_Call_List_PQ!U682="","",Associates_Call_List_PQ!U682)</f>
        <v/>
      </c>
      <c r="V682" s="68"/>
      <c r="W682" s="68" t="s">
        <v>5432</v>
      </c>
      <c r="X682" s="68"/>
      <c r="Y682" s="68"/>
      <c r="Z682" s="72"/>
    </row>
    <row r="683" spans="1:26">
      <c r="A683" s="71">
        <f>IFERROR(Associates_Call_List_PQ!A683,"")</f>
        <v>45907</v>
      </c>
      <c r="B683" s="57" t="str">
        <f>IF(Associates_Call_List_PQ!B683="","",Associates_Call_List_PQ!B683)</f>
        <v>Stout</v>
      </c>
      <c r="C683" s="57" t="str">
        <f>IF(Associates_Call_List_PQ!C683="","",Associates_Call_List_PQ!C683)</f>
        <v>Claire</v>
      </c>
      <c r="D683" s="57" t="str">
        <f>IF(Associates_Call_List_PQ!D683="","",Associates_Call_List_PQ!D683)</f>
        <v>Grand Canyon</v>
      </c>
      <c r="E683" s="58">
        <f>IF(Associates_Call_List_PQ!E683="","",Associates_Call_List_PQ!E683)</f>
        <v>86023</v>
      </c>
      <c r="F683" s="57" t="str">
        <f>IF(Associates_Call_List_PQ!F683="","",Associates_Call_List_PQ!F683)</f>
        <v>Form letter</v>
      </c>
      <c r="G683" s="57" t="str">
        <f>IF(Associates_Call_List_PQ!G683="","",Associates_Call_List_PQ!G683)</f>
        <v>https://docket.images.azcc.gov/E000046266.pdf</v>
      </c>
      <c r="H683" s="59" t="str">
        <f>IF(Associates_Call_List_PQ!H683="","",Associates_Call_List_PQ!H683)</f>
        <v xml:space="preserve">6942363976 </v>
      </c>
      <c r="I683" s="57" t="str">
        <f>IF(Associates_Call_List_PQ!I683="","",Associates_Call_List_PQ!I683)</f>
        <v>R-XS</v>
      </c>
      <c r="J683" s="57" t="str">
        <f>IF(Associates_Call_List_PQ!J683="","",Associates_Call_List_PQ!J683)</f>
        <v>No</v>
      </c>
      <c r="K683" s="57" t="str">
        <f>IF(Associates_Call_List_PQ!K683="","",Associates_Call_List_PQ!K683)</f>
        <v>No</v>
      </c>
      <c r="L683" s="57" t="str">
        <f>IF(Associates_Call_List_PQ!L683="","",Associates_Call_List_PQ!L683)</f>
        <v>Yes</v>
      </c>
      <c r="M683" s="57" t="str">
        <f>IF(Associates_Call_List_PQ!M683="","",Associates_Call_List_PQ!M683)</f>
        <v>No</v>
      </c>
      <c r="N683" s="57" t="str">
        <f>IF(Associates_Call_List_PQ!N683="","",Associates_Call_List_PQ!N683)</f>
        <v>No</v>
      </c>
      <c r="O683" s="57" t="str">
        <f>IF(Associates_Call_List_PQ!O683="","",Associates_Call_List_PQ!O683)</f>
        <v>Yes</v>
      </c>
      <c r="P683" s="57" t="str">
        <f>IF(Associates_Call_List_PQ!P683="","",Associates_Call_List_PQ!P683)</f>
        <v>N</v>
      </c>
      <c r="Q683" s="57">
        <f>IF(Associates_Call_List_PQ!Q683="","",Associates_Call_List_PQ!Q683)</f>
        <v>45961</v>
      </c>
      <c r="R683" s="57" t="str">
        <f>IF(Associates_Call_List_PQ!R683="","",Associates_Call_List_PQ!R683)</f>
        <v/>
      </c>
      <c r="S683" s="57" t="str">
        <f>IF(Associates_Call_List_PQ!S683="","",Associates_Call_List_PQ!S683)</f>
        <v/>
      </c>
      <c r="T683" s="57" t="str">
        <f>IF(Associates_Call_List_PQ!T683="","",Associates_Call_List_PQ!T683)</f>
        <v/>
      </c>
      <c r="U683" s="57" t="str">
        <f>IF(Associates_Call_List_PQ!U683="","",Associates_Call_List_PQ!U683)</f>
        <v/>
      </c>
      <c r="V683" s="68"/>
      <c r="W683" s="68" t="s">
        <v>5432</v>
      </c>
      <c r="X683" s="68"/>
      <c r="Y683" s="68"/>
      <c r="Z683" s="72"/>
    </row>
    <row r="684" spans="1:26">
      <c r="A684" s="71">
        <f>IFERROR(Associates_Call_List_PQ!A684,"")</f>
        <v>45907</v>
      </c>
      <c r="B684" s="57" t="str">
        <f>IF(Associates_Call_List_PQ!B684="","",Associates_Call_List_PQ!B684)</f>
        <v>Lenick</v>
      </c>
      <c r="C684" s="57" t="str">
        <f>IF(Associates_Call_List_PQ!C684="","",Associates_Call_List_PQ!C684)</f>
        <v>Andrew</v>
      </c>
      <c r="D684" s="57" t="str">
        <f>IF(Associates_Call_List_PQ!D684="","",Associates_Call_List_PQ!D684)</f>
        <v>Phoenix</v>
      </c>
      <c r="E684" s="58">
        <f>IF(Associates_Call_List_PQ!E684="","",Associates_Call_List_PQ!E684)</f>
        <v>85020</v>
      </c>
      <c r="F684" s="57" t="str">
        <f>IF(Associates_Call_List_PQ!F684="","",Associates_Call_List_PQ!F684)</f>
        <v>Form letter</v>
      </c>
      <c r="G684" s="57" t="str">
        <f>IF(Associates_Call_List_PQ!G684="","",Associates_Call_List_PQ!G684)</f>
        <v>https://docket.images.azcc.gov/E000046266.pdf</v>
      </c>
      <c r="H684" s="59" t="str">
        <f>IF(Associates_Call_List_PQ!H684="","",Associates_Call_List_PQ!H684)</f>
        <v xml:space="preserve">3846299964 </v>
      </c>
      <c r="I684" s="57" t="str">
        <f>IF(Associates_Call_List_PQ!I684="","",Associates_Call_List_PQ!I684)</f>
        <v>R-2</v>
      </c>
      <c r="J684" s="57" t="str">
        <f>IF(Associates_Call_List_PQ!J684="","",Associates_Call_List_PQ!J684)</f>
        <v>No</v>
      </c>
      <c r="K684" s="57" t="str">
        <f>IF(Associates_Call_List_PQ!K684="","",Associates_Call_List_PQ!K684)</f>
        <v>No</v>
      </c>
      <c r="L684" s="57" t="str">
        <f>IF(Associates_Call_List_PQ!L684="","",Associates_Call_List_PQ!L684)</f>
        <v>Frozen Rate</v>
      </c>
      <c r="M684" s="57" t="str">
        <f>IF(Associates_Call_List_PQ!M684="","",Associates_Call_List_PQ!M684)</f>
        <v>No</v>
      </c>
      <c r="N684" s="57" t="str">
        <f>IF(Associates_Call_List_PQ!N684="","",Associates_Call_List_PQ!N684)</f>
        <v>No</v>
      </c>
      <c r="O684" s="57" t="str">
        <f>IF(Associates_Call_List_PQ!O684="","",Associates_Call_List_PQ!O684)</f>
        <v>Yes</v>
      </c>
      <c r="P684" s="57" t="str">
        <f>IF(Associates_Call_List_PQ!P684="","",Associates_Call_List_PQ!P684)</f>
        <v>N</v>
      </c>
      <c r="Q684" s="57">
        <f>IF(Associates_Call_List_PQ!Q684="","",Associates_Call_List_PQ!Q684)</f>
        <v>45961</v>
      </c>
      <c r="R684" s="57" t="str">
        <f>IF(Associates_Call_List_PQ!R684="","",Associates_Call_List_PQ!R684)</f>
        <v/>
      </c>
      <c r="S684" s="57" t="str">
        <f>IF(Associates_Call_List_PQ!S684="","",Associates_Call_List_PQ!S684)</f>
        <v/>
      </c>
      <c r="T684" s="57" t="str">
        <f>IF(Associates_Call_List_PQ!T684="","",Associates_Call_List_PQ!T684)</f>
        <v/>
      </c>
      <c r="U684" s="57" t="str">
        <f>IF(Associates_Call_List_PQ!U684="","",Associates_Call_List_PQ!U684)</f>
        <v/>
      </c>
      <c r="V684" s="68"/>
      <c r="W684" s="68" t="s">
        <v>5432</v>
      </c>
      <c r="X684" s="68"/>
      <c r="Y684" s="68"/>
      <c r="Z684" s="72"/>
    </row>
    <row r="685" spans="1:26">
      <c r="A685" s="71">
        <f>IFERROR(Associates_Call_List_PQ!A685,"")</f>
        <v>45907</v>
      </c>
      <c r="B685" s="57" t="str">
        <f>IF(Associates_Call_List_PQ!B685="","",Associates_Call_List_PQ!B685)</f>
        <v>Ramia</v>
      </c>
      <c r="C685" s="57" t="str">
        <f>IF(Associates_Call_List_PQ!C685="","",Associates_Call_List_PQ!C685)</f>
        <v>Joseph</v>
      </c>
      <c r="D685" s="57" t="str">
        <f>IF(Associates_Call_List_PQ!D685="","",Associates_Call_List_PQ!D685)</f>
        <v>Surprise</v>
      </c>
      <c r="E685" s="58">
        <f>IF(Associates_Call_List_PQ!E685="","",Associates_Call_List_PQ!E685)</f>
        <v>85374</v>
      </c>
      <c r="F685" s="57" t="str">
        <f>IF(Associates_Call_List_PQ!F685="","",Associates_Call_List_PQ!F685)</f>
        <v>Form letter</v>
      </c>
      <c r="G685" s="57" t="str">
        <f>IF(Associates_Call_List_PQ!G685="","",Associates_Call_List_PQ!G685)</f>
        <v>https://docket.images.azcc.gov/E000046266.pdf</v>
      </c>
      <c r="H685" s="59" t="str">
        <f>IF(Associates_Call_List_PQ!H685="","",Associates_Call_List_PQ!H685)</f>
        <v xml:space="preserve">9041804996 </v>
      </c>
      <c r="I685" s="57" t="str">
        <f>IF(Associates_Call_List_PQ!I685="","",Associates_Call_List_PQ!I685)</f>
        <v>RTOUE47</v>
      </c>
      <c r="J685" s="57" t="str">
        <f>IF(Associates_Call_List_PQ!J685="","",Associates_Call_List_PQ!J685)</f>
        <v>No</v>
      </c>
      <c r="K685" s="57" t="str">
        <f>IF(Associates_Call_List_PQ!K685="","",Associates_Call_List_PQ!K685)</f>
        <v>No</v>
      </c>
      <c r="L685" s="57" t="str">
        <f>IF(Associates_Call_List_PQ!L685="","",Associates_Call_List_PQ!L685)</f>
        <v>No MEP R3-47 ($9.57)</v>
      </c>
      <c r="M685" s="57" t="str">
        <f>IF(Associates_Call_List_PQ!M685="","",Associates_Call_List_PQ!M685)</f>
        <v>No</v>
      </c>
      <c r="N685" s="57" t="str">
        <f>IF(Associates_Call_List_PQ!N685="","",Associates_Call_List_PQ!N685)</f>
        <v>No</v>
      </c>
      <c r="O685" s="57" t="str">
        <f>IF(Associates_Call_List_PQ!O685="","",Associates_Call_List_PQ!O685)</f>
        <v>Yes</v>
      </c>
      <c r="P685" s="57" t="str">
        <f>IF(Associates_Call_List_PQ!P685="","",Associates_Call_List_PQ!P685)</f>
        <v>N</v>
      </c>
      <c r="Q685" s="57">
        <f>IF(Associates_Call_List_PQ!Q685="","",Associates_Call_List_PQ!Q685)</f>
        <v>45961</v>
      </c>
      <c r="R685" s="57" t="str">
        <f>IF(Associates_Call_List_PQ!R685="","",Associates_Call_List_PQ!R685)</f>
        <v/>
      </c>
      <c r="S685" s="57" t="str">
        <f>IF(Associates_Call_List_PQ!S685="","",Associates_Call_List_PQ!S685)</f>
        <v/>
      </c>
      <c r="T685" s="57" t="str">
        <f>IF(Associates_Call_List_PQ!T685="","",Associates_Call_List_PQ!T685)</f>
        <v/>
      </c>
      <c r="U685" s="57" t="str">
        <f>IF(Associates_Call_List_PQ!U685="","",Associates_Call_List_PQ!U685)</f>
        <v/>
      </c>
      <c r="V685" s="68" t="s">
        <v>5433</v>
      </c>
      <c r="W685" s="68">
        <v>46025</v>
      </c>
      <c r="X685" s="68" t="s">
        <v>5434</v>
      </c>
      <c r="Y685" s="68"/>
      <c r="Z685" s="72" t="s">
        <v>5627</v>
      </c>
    </row>
    <row r="686" spans="1:26">
      <c r="A686" s="71">
        <f>IFERROR(Associates_Call_List_PQ!A686,"")</f>
        <v>45907</v>
      </c>
      <c r="B686" s="57" t="str">
        <f>IF(Associates_Call_List_PQ!B686="","",Associates_Call_List_PQ!B686)</f>
        <v>Campbell</v>
      </c>
      <c r="C686" s="57" t="str">
        <f>IF(Associates_Call_List_PQ!C686="","",Associates_Call_List_PQ!C686)</f>
        <v>Derek</v>
      </c>
      <c r="D686" s="57" t="str">
        <f>IF(Associates_Call_List_PQ!D686="","",Associates_Call_List_PQ!D686)</f>
        <v>Phoenix</v>
      </c>
      <c r="E686" s="58">
        <f>IF(Associates_Call_List_PQ!E686="","",Associates_Call_List_PQ!E686)</f>
        <v>85016</v>
      </c>
      <c r="F686" s="57" t="str">
        <f>IF(Associates_Call_List_PQ!F686="","",Associates_Call_List_PQ!F686)</f>
        <v>Form letter</v>
      </c>
      <c r="G686" s="57" t="str">
        <f>IF(Associates_Call_List_PQ!G686="","",Associates_Call_List_PQ!G686)</f>
        <v>https://docket.images.azcc.gov/E000046266.pdf</v>
      </c>
      <c r="H686" s="59" t="str">
        <f>IF(Associates_Call_List_PQ!H686="","",Associates_Call_List_PQ!H686)</f>
        <v xml:space="preserve">7925230997 </v>
      </c>
      <c r="I686" s="57" t="str">
        <f>IF(Associates_Call_List_PQ!I686="","",Associates_Call_List_PQ!I686)</f>
        <v>R-BASIC</v>
      </c>
      <c r="J686" s="57" t="str">
        <f>IF(Associates_Call_List_PQ!J686="","",Associates_Call_List_PQ!J686)</f>
        <v>No</v>
      </c>
      <c r="K686" s="57" t="str">
        <f>IF(Associates_Call_List_PQ!K686="","",Associates_Call_List_PQ!K686)</f>
        <v>No</v>
      </c>
      <c r="L686" s="57" t="str">
        <f>IF(Associates_Call_List_PQ!L686="","",Associates_Call_List_PQ!L686)</f>
        <v>Yes</v>
      </c>
      <c r="M686" s="57" t="str">
        <f>IF(Associates_Call_List_PQ!M686="","",Associates_Call_List_PQ!M686)</f>
        <v>No</v>
      </c>
      <c r="N686" s="57" t="str">
        <f>IF(Associates_Call_List_PQ!N686="","",Associates_Call_List_PQ!N686)</f>
        <v>No</v>
      </c>
      <c r="O686" s="57" t="str">
        <f>IF(Associates_Call_List_PQ!O686="","",Associates_Call_List_PQ!O686)</f>
        <v>Yes</v>
      </c>
      <c r="P686" s="57" t="str">
        <f>IF(Associates_Call_List_PQ!P686="","",Associates_Call_List_PQ!P686)</f>
        <v>N</v>
      </c>
      <c r="Q686" s="57">
        <f>IF(Associates_Call_List_PQ!Q686="","",Associates_Call_List_PQ!Q686)</f>
        <v>45961</v>
      </c>
      <c r="R686" s="57" t="str">
        <f>IF(Associates_Call_List_PQ!R686="","",Associates_Call_List_PQ!R686)</f>
        <v/>
      </c>
      <c r="S686" s="57" t="str">
        <f>IF(Associates_Call_List_PQ!S686="","",Associates_Call_List_PQ!S686)</f>
        <v/>
      </c>
      <c r="T686" s="57" t="str">
        <f>IF(Associates_Call_List_PQ!T686="","",Associates_Call_List_PQ!T686)</f>
        <v/>
      </c>
      <c r="U686" s="57" t="str">
        <f>IF(Associates_Call_List_PQ!U686="","",Associates_Call_List_PQ!U686)</f>
        <v/>
      </c>
      <c r="V686" s="68"/>
      <c r="W686" s="68" t="s">
        <v>5432</v>
      </c>
      <c r="X686" s="68"/>
      <c r="Y686" s="68"/>
      <c r="Z686" s="72"/>
    </row>
    <row r="687" spans="1:26">
      <c r="A687" s="71">
        <f>IFERROR(Associates_Call_List_PQ!A687,"")</f>
        <v>45907</v>
      </c>
      <c r="B687" s="57" t="str">
        <f>IF(Associates_Call_List_PQ!B687="","",Associates_Call_List_PQ!B687)</f>
        <v>Kane</v>
      </c>
      <c r="C687" s="57" t="str">
        <f>IF(Associates_Call_List_PQ!C687="","",Associates_Call_List_PQ!C687)</f>
        <v>Patrick</v>
      </c>
      <c r="D687" s="57" t="str">
        <f>IF(Associates_Call_List_PQ!D687="","",Associates_Call_List_PQ!D687)</f>
        <v>Phoenix</v>
      </c>
      <c r="E687" s="58">
        <f>IF(Associates_Call_List_PQ!E687="","",Associates_Call_List_PQ!E687)</f>
        <v>85012</v>
      </c>
      <c r="F687" s="57" t="str">
        <f>IF(Associates_Call_List_PQ!F687="","",Associates_Call_List_PQ!F687)</f>
        <v>Form letter</v>
      </c>
      <c r="G687" s="57" t="str">
        <f>IF(Associates_Call_List_PQ!G687="","",Associates_Call_List_PQ!G687)</f>
        <v>https://docket.images.azcc.gov/E000046266.pdf</v>
      </c>
      <c r="H687" s="59" t="str">
        <f>IF(Associates_Call_List_PQ!H687="","",Associates_Call_List_PQ!H687)</f>
        <v xml:space="preserve">1669206811 </v>
      </c>
      <c r="I687" s="57" t="str">
        <f>IF(Associates_Call_List_PQ!I687="","",Associates_Call_List_PQ!I687)</f>
        <v>R-BASIC</v>
      </c>
      <c r="J687" s="57" t="str">
        <f>IF(Associates_Call_List_PQ!J687="","",Associates_Call_List_PQ!J687)</f>
        <v>No</v>
      </c>
      <c r="K687" s="57" t="str">
        <f>IF(Associates_Call_List_PQ!K687="","",Associates_Call_List_PQ!K687)</f>
        <v>No</v>
      </c>
      <c r="L687" s="57" t="str">
        <f>IF(Associates_Call_List_PQ!L687="","",Associates_Call_List_PQ!L687)</f>
        <v>No MEP RTOUE47 ($0.81)</v>
      </c>
      <c r="M687" s="57" t="str">
        <f>IF(Associates_Call_List_PQ!M687="","",Associates_Call_List_PQ!M687)</f>
        <v>No</v>
      </c>
      <c r="N687" s="57" t="str">
        <f>IF(Associates_Call_List_PQ!N687="","",Associates_Call_List_PQ!N687)</f>
        <v>No</v>
      </c>
      <c r="O687" s="57" t="str">
        <f>IF(Associates_Call_List_PQ!O687="","",Associates_Call_List_PQ!O687)</f>
        <v>Yes</v>
      </c>
      <c r="P687" s="57" t="str">
        <f>IF(Associates_Call_List_PQ!P687="","",Associates_Call_List_PQ!P687)</f>
        <v>N</v>
      </c>
      <c r="Q687" s="57">
        <f>IF(Associates_Call_List_PQ!Q687="","",Associates_Call_List_PQ!Q687)</f>
        <v>45961</v>
      </c>
      <c r="R687" s="57" t="str">
        <f>IF(Associates_Call_List_PQ!R687="","",Associates_Call_List_PQ!R687)</f>
        <v/>
      </c>
      <c r="S687" s="57" t="str">
        <f>IF(Associates_Call_List_PQ!S687="","",Associates_Call_List_PQ!S687)</f>
        <v/>
      </c>
      <c r="T687" s="57" t="str">
        <f>IF(Associates_Call_List_PQ!T687="","",Associates_Call_List_PQ!T687)</f>
        <v/>
      </c>
      <c r="U687" s="57" t="str">
        <f>IF(Associates_Call_List_PQ!U687="","",Associates_Call_List_PQ!U687)</f>
        <v/>
      </c>
      <c r="V687" s="68" t="s">
        <v>5433</v>
      </c>
      <c r="W687" s="68">
        <v>46025</v>
      </c>
      <c r="X687" s="68" t="s">
        <v>5434</v>
      </c>
      <c r="Y687" s="68"/>
      <c r="Z687" s="72" t="s">
        <v>5627</v>
      </c>
    </row>
    <row r="688" spans="1:26">
      <c r="A688" s="71">
        <f>IFERROR(Associates_Call_List_PQ!A688,"")</f>
        <v>45907</v>
      </c>
      <c r="B688" s="57" t="str">
        <f>IF(Associates_Call_List_PQ!B688="","",Associates_Call_List_PQ!B688)</f>
        <v>Reynolds</v>
      </c>
      <c r="C688" s="57" t="str">
        <f>IF(Associates_Call_List_PQ!C688="","",Associates_Call_List_PQ!C688)</f>
        <v>Jackson</v>
      </c>
      <c r="D688" s="57" t="str">
        <f>IF(Associates_Call_List_PQ!D688="","",Associates_Call_List_PQ!D688)</f>
        <v>Phoenix</v>
      </c>
      <c r="E688" s="58">
        <f>IF(Associates_Call_List_PQ!E688="","",Associates_Call_List_PQ!E688)</f>
        <v>85012</v>
      </c>
      <c r="F688" s="57" t="str">
        <f>IF(Associates_Call_List_PQ!F688="","",Associates_Call_List_PQ!F688)</f>
        <v>Opposed</v>
      </c>
      <c r="G688" s="57" t="str">
        <f>IF(Associates_Call_List_PQ!G688="","",Associates_Call_List_PQ!G688)</f>
        <v>https://docket.images.azcc.gov/E000046266.pdf</v>
      </c>
      <c r="H688" s="59" t="str">
        <f>IF(Associates_Call_List_PQ!H688="","",Associates_Call_List_PQ!H688)</f>
        <v xml:space="preserve">4455318107 </v>
      </c>
      <c r="I688" s="57" t="str">
        <f>IF(Associates_Call_List_PQ!I688="","",Associates_Call_List_PQ!I688)</f>
        <v>R-BASIC</v>
      </c>
      <c r="J688" s="57" t="str">
        <f>IF(Associates_Call_List_PQ!J688="","",Associates_Call_List_PQ!J688)</f>
        <v>No</v>
      </c>
      <c r="K688" s="57" t="str">
        <f>IF(Associates_Call_List_PQ!K688="","",Associates_Call_List_PQ!K688)</f>
        <v>No</v>
      </c>
      <c r="L688" s="57" t="str">
        <f>IF(Associates_Call_List_PQ!L688="","",Associates_Call_List_PQ!L688)</f>
        <v>Yes</v>
      </c>
      <c r="M688" s="57" t="str">
        <f>IF(Associates_Call_List_PQ!M688="","",Associates_Call_List_PQ!M688)</f>
        <v>No</v>
      </c>
      <c r="N688" s="57" t="str">
        <f>IF(Associates_Call_List_PQ!N688="","",Associates_Call_List_PQ!N688)</f>
        <v>No</v>
      </c>
      <c r="O688" s="57" t="str">
        <f>IF(Associates_Call_List_PQ!O688="","",Associates_Call_List_PQ!O688)</f>
        <v>Yes</v>
      </c>
      <c r="P688" s="57" t="str">
        <f>IF(Associates_Call_List_PQ!P688="","",Associates_Call_List_PQ!P688)</f>
        <v>N</v>
      </c>
      <c r="Q688" s="57">
        <f>IF(Associates_Call_List_PQ!Q688="","",Associates_Call_List_PQ!Q688)</f>
        <v>45961</v>
      </c>
      <c r="R688" s="57" t="str">
        <f>IF(Associates_Call_List_PQ!R688="","",Associates_Call_List_PQ!R688)</f>
        <v/>
      </c>
      <c r="S688" s="57" t="str">
        <f>IF(Associates_Call_List_PQ!S688="","",Associates_Call_List_PQ!S688)</f>
        <v/>
      </c>
      <c r="T688" s="57" t="str">
        <f>IF(Associates_Call_List_PQ!T688="","",Associates_Call_List_PQ!T688)</f>
        <v/>
      </c>
      <c r="U688" s="57" t="str">
        <f>IF(Associates_Call_List_PQ!U688="","",Associates_Call_List_PQ!U688)</f>
        <v/>
      </c>
      <c r="V688" s="68"/>
      <c r="W688" s="68" t="s">
        <v>5432</v>
      </c>
      <c r="X688" s="68"/>
      <c r="Y688" s="68"/>
      <c r="Z688" s="72"/>
    </row>
    <row r="689" spans="1:26">
      <c r="A689" s="71">
        <f>IFERROR(Associates_Call_List_PQ!A689,"")</f>
        <v>45907</v>
      </c>
      <c r="B689" s="57" t="str">
        <f>IF(Associates_Call_List_PQ!B689="","",Associates_Call_List_PQ!B689)</f>
        <v>Wallace</v>
      </c>
      <c r="C689" s="57" t="str">
        <f>IF(Associates_Call_List_PQ!C689="","",Associates_Call_List_PQ!C689)</f>
        <v>Michael</v>
      </c>
      <c r="D689" s="57" t="str">
        <f>IF(Associates_Call_List_PQ!D689="","",Associates_Call_List_PQ!D689)</f>
        <v>Phoenix</v>
      </c>
      <c r="E689" s="58">
        <f>IF(Associates_Call_List_PQ!E689="","",Associates_Call_List_PQ!E689)</f>
        <v>85032</v>
      </c>
      <c r="F689" s="57" t="str">
        <f>IF(Associates_Call_List_PQ!F689="","",Associates_Call_List_PQ!F689)</f>
        <v>Opposed, not fair</v>
      </c>
      <c r="G689" s="57" t="str">
        <f>IF(Associates_Call_List_PQ!G689="","",Associates_Call_List_PQ!G689)</f>
        <v>https://docket.images.azcc.gov/E000046266.pdf</v>
      </c>
      <c r="H689" s="59" t="str">
        <f>IF(Associates_Call_List_PQ!H689="","",Associates_Call_List_PQ!H689)</f>
        <v xml:space="preserve">6541680000 </v>
      </c>
      <c r="I689" s="57" t="str">
        <f>IF(Associates_Call_List_PQ!I689="","",Associates_Call_List_PQ!I689)</f>
        <v>R3-47</v>
      </c>
      <c r="J689" s="57" t="str">
        <f>IF(Associates_Call_List_PQ!J689="","",Associates_Call_List_PQ!J689)</f>
        <v>No</v>
      </c>
      <c r="K689" s="57" t="str">
        <f>IF(Associates_Call_List_PQ!K689="","",Associates_Call_List_PQ!K689)</f>
        <v>No</v>
      </c>
      <c r="L689" s="57" t="str">
        <f>IF(Associates_Call_List_PQ!L689="","",Associates_Call_List_PQ!L689)</f>
        <v>R3-47</v>
      </c>
      <c r="M689" s="57" t="str">
        <f>IF(Associates_Call_List_PQ!M689="","",Associates_Call_List_PQ!M689)</f>
        <v>No</v>
      </c>
      <c r="N689" s="57" t="str">
        <f>IF(Associates_Call_List_PQ!N689="","",Associates_Call_List_PQ!N689)</f>
        <v>No</v>
      </c>
      <c r="O689" s="57" t="str">
        <f>IF(Associates_Call_List_PQ!O689="","",Associates_Call_List_PQ!O689)</f>
        <v>Yes</v>
      </c>
      <c r="P689" s="57" t="str">
        <f>IF(Associates_Call_List_PQ!P689="","",Associates_Call_List_PQ!P689)</f>
        <v>N</v>
      </c>
      <c r="Q689" s="57">
        <f>IF(Associates_Call_List_PQ!Q689="","",Associates_Call_List_PQ!Q689)</f>
        <v>45961</v>
      </c>
      <c r="R689" s="57" t="str">
        <f>IF(Associates_Call_List_PQ!R689="","",Associates_Call_List_PQ!R689)</f>
        <v/>
      </c>
      <c r="S689" s="57" t="str">
        <f>IF(Associates_Call_List_PQ!S689="","",Associates_Call_List_PQ!S689)</f>
        <v/>
      </c>
      <c r="T689" s="57" t="str">
        <f>IF(Associates_Call_List_PQ!T689="","",Associates_Call_List_PQ!T689)</f>
        <v/>
      </c>
      <c r="U689" s="57" t="str">
        <f>IF(Associates_Call_List_PQ!U689="","",Associates_Call_List_PQ!U689)</f>
        <v/>
      </c>
      <c r="V689" s="68"/>
      <c r="W689" s="68" t="s">
        <v>5432</v>
      </c>
      <c r="X689" s="68"/>
      <c r="Y689" s="68"/>
      <c r="Z689" s="72"/>
    </row>
    <row r="690" spans="1:26">
      <c r="A690" s="71">
        <f>IFERROR(Associates_Call_List_PQ!A690,"")</f>
        <v>45907</v>
      </c>
      <c r="B690" s="57" t="str">
        <f>IF(Associates_Call_List_PQ!B690="","",Associates_Call_List_PQ!B690)</f>
        <v>Lindsey</v>
      </c>
      <c r="C690" s="57" t="str">
        <f>IF(Associates_Call_List_PQ!C690="","",Associates_Call_List_PQ!C690)</f>
        <v>Jamison</v>
      </c>
      <c r="D690" s="57" t="str">
        <f>IF(Associates_Call_List_PQ!D690="","",Associates_Call_List_PQ!D690)</f>
        <v>Phoenix</v>
      </c>
      <c r="E690" s="58">
        <f>IF(Associates_Call_List_PQ!E690="","",Associates_Call_List_PQ!E690)</f>
        <v>85032</v>
      </c>
      <c r="F690" s="57" t="str">
        <f>IF(Associates_Call_List_PQ!F690="","",Associates_Call_List_PQ!F690)</f>
        <v>Form letter</v>
      </c>
      <c r="G690" s="57" t="str">
        <f>IF(Associates_Call_List_PQ!G690="","",Associates_Call_List_PQ!G690)</f>
        <v>https://docket.images.azcc.gov/E000046266.pdf</v>
      </c>
      <c r="H690" s="59" t="str">
        <f>IF(Associates_Call_List_PQ!H690="","",Associates_Call_List_PQ!H690)</f>
        <v xml:space="preserve">3242131815 </v>
      </c>
      <c r="I690" s="57" t="str">
        <f>IF(Associates_Call_List_PQ!I690="","",Associates_Call_List_PQ!I690)</f>
        <v>RTOUE47</v>
      </c>
      <c r="J690" s="57" t="str">
        <f>IF(Associates_Call_List_PQ!J690="","",Associates_Call_List_PQ!J690)</f>
        <v>No</v>
      </c>
      <c r="K690" s="57" t="str">
        <f>IF(Associates_Call_List_PQ!K690="","",Associates_Call_List_PQ!K690)</f>
        <v>No</v>
      </c>
      <c r="L690" s="57" t="str">
        <f>IF(Associates_Call_List_PQ!L690="","",Associates_Call_List_PQ!L690)</f>
        <v>No MEP R-BASIC($44.93)</v>
      </c>
      <c r="M690" s="57" t="str">
        <f>IF(Associates_Call_List_PQ!M690="","",Associates_Call_List_PQ!M690)</f>
        <v>No</v>
      </c>
      <c r="N690" s="57" t="str">
        <f>IF(Associates_Call_List_PQ!N690="","",Associates_Call_List_PQ!N690)</f>
        <v>No</v>
      </c>
      <c r="O690" s="57" t="str">
        <f>IF(Associates_Call_List_PQ!O690="","",Associates_Call_List_PQ!O690)</f>
        <v>Yes</v>
      </c>
      <c r="P690" s="57" t="str">
        <f>IF(Associates_Call_List_PQ!P690="","",Associates_Call_List_PQ!P690)</f>
        <v>N</v>
      </c>
      <c r="Q690" s="57">
        <f>IF(Associates_Call_List_PQ!Q690="","",Associates_Call_List_PQ!Q690)</f>
        <v>45961</v>
      </c>
      <c r="R690" s="57" t="str">
        <f>IF(Associates_Call_List_PQ!R690="","",Associates_Call_List_PQ!R690)</f>
        <v>Energy usage barely eligible for BASIC - Might stay on BASICL at annual reassignment</v>
      </c>
      <c r="S690" s="57" t="str">
        <f>IF(Associates_Call_List_PQ!S690="","",Associates_Call_List_PQ!S690)</f>
        <v/>
      </c>
      <c r="T690" s="57" t="str">
        <f>IF(Associates_Call_List_PQ!T690="","",Associates_Call_List_PQ!T690)</f>
        <v/>
      </c>
      <c r="U690" s="57" t="str">
        <f>IF(Associates_Call_List_PQ!U690="","",Associates_Call_List_PQ!U690)</f>
        <v/>
      </c>
      <c r="V690" s="68" t="s">
        <v>5433</v>
      </c>
      <c r="W690" s="68">
        <v>46025</v>
      </c>
      <c r="X690" s="68" t="s">
        <v>5434</v>
      </c>
      <c r="Y690" s="68"/>
      <c r="Z690" s="72" t="s">
        <v>5627</v>
      </c>
    </row>
    <row r="691" spans="1:26">
      <c r="A691" s="71">
        <f>IFERROR(Associates_Call_List_PQ!A691,"")</f>
        <v>45907</v>
      </c>
      <c r="B691" s="57" t="str">
        <f>IF(Associates_Call_List_PQ!B691="","",Associates_Call_List_PQ!B691)</f>
        <v>Corirossi</v>
      </c>
      <c r="C691" s="57" t="str">
        <f>IF(Associates_Call_List_PQ!C691="","",Associates_Call_List_PQ!C691)</f>
        <v>Jason</v>
      </c>
      <c r="D691" s="57" t="str">
        <f>IF(Associates_Call_List_PQ!D691="","",Associates_Call_List_PQ!D691)</f>
        <v>Glendale</v>
      </c>
      <c r="E691" s="58">
        <f>IF(Associates_Call_List_PQ!E691="","",Associates_Call_List_PQ!E691)</f>
        <v>85308</v>
      </c>
      <c r="F691" s="57" t="str">
        <f>IF(Associates_Call_List_PQ!F691="","",Associates_Call_List_PQ!F691)</f>
        <v>Form letter</v>
      </c>
      <c r="G691" s="57" t="str">
        <f>IF(Associates_Call_List_PQ!G691="","",Associates_Call_List_PQ!G691)</f>
        <v>https://docket.images.azcc.gov/E000046266.pdf</v>
      </c>
      <c r="H691" s="59" t="str">
        <f>IF(Associates_Call_List_PQ!H691="","",Associates_Call_List_PQ!H691)</f>
        <v xml:space="preserve">2303209836 </v>
      </c>
      <c r="I691" s="57" t="str">
        <f>IF(Associates_Call_List_PQ!I691="","",Associates_Call_List_PQ!I691)</f>
        <v>RTOUE47</v>
      </c>
      <c r="J691" s="57" t="str">
        <f>IF(Associates_Call_List_PQ!J691="","",Associates_Call_List_PQ!J691)</f>
        <v>No</v>
      </c>
      <c r="K691" s="57" t="str">
        <f>IF(Associates_Call_List_PQ!K691="","",Associates_Call_List_PQ!K691)</f>
        <v>No</v>
      </c>
      <c r="L691" s="57" t="str">
        <f>IF(Associates_Call_List_PQ!L691="","",Associates_Call_List_PQ!L691)</f>
        <v>No MEP R3-47($62.68)</v>
      </c>
      <c r="M691" s="57" t="str">
        <f>IF(Associates_Call_List_PQ!M691="","",Associates_Call_List_PQ!M691)</f>
        <v>No</v>
      </c>
      <c r="N691" s="57" t="str">
        <f>IF(Associates_Call_List_PQ!N691="","",Associates_Call_List_PQ!N691)</f>
        <v>No</v>
      </c>
      <c r="O691" s="57" t="str">
        <f>IF(Associates_Call_List_PQ!O691="","",Associates_Call_List_PQ!O691)</f>
        <v>Yes</v>
      </c>
      <c r="P691" s="57" t="str">
        <f>IF(Associates_Call_List_PQ!P691="","",Associates_Call_List_PQ!P691)</f>
        <v>N</v>
      </c>
      <c r="Q691" s="57">
        <f>IF(Associates_Call_List_PQ!Q691="","",Associates_Call_List_PQ!Q691)</f>
        <v>45961</v>
      </c>
      <c r="R691" s="57" t="str">
        <f>IF(Associates_Call_List_PQ!R691="","",Associates_Call_List_PQ!R691)</f>
        <v/>
      </c>
      <c r="S691" s="57" t="str">
        <f>IF(Associates_Call_List_PQ!S691="","",Associates_Call_List_PQ!S691)</f>
        <v/>
      </c>
      <c r="T691" s="57" t="str">
        <f>IF(Associates_Call_List_PQ!T691="","",Associates_Call_List_PQ!T691)</f>
        <v/>
      </c>
      <c r="U691" s="57" t="str">
        <f>IF(Associates_Call_List_PQ!U691="","",Associates_Call_List_PQ!U691)</f>
        <v/>
      </c>
      <c r="V691" s="68" t="s">
        <v>5433</v>
      </c>
      <c r="W691" s="68">
        <v>46025</v>
      </c>
      <c r="X691" s="68" t="s">
        <v>5434</v>
      </c>
      <c r="Y691" s="68"/>
      <c r="Z691" s="72" t="s">
        <v>5632</v>
      </c>
    </row>
    <row r="692" spans="1:26">
      <c r="A692" s="71">
        <f>IFERROR(Associates_Call_List_PQ!A692,"")</f>
        <v>45907</v>
      </c>
      <c r="B692" s="57" t="str">
        <f>IF(Associates_Call_List_PQ!B692="","",Associates_Call_List_PQ!B692)</f>
        <v>Talbott</v>
      </c>
      <c r="C692" s="57" t="str">
        <f>IF(Associates_Call_List_PQ!C692="","",Associates_Call_List_PQ!C692)</f>
        <v>Nicole</v>
      </c>
      <c r="D692" s="57" t="str">
        <f>IF(Associates_Call_List_PQ!D692="","",Associates_Call_List_PQ!D692)</f>
        <v>Glendale</v>
      </c>
      <c r="E692" s="58">
        <f>IF(Associates_Call_List_PQ!E692="","",Associates_Call_List_PQ!E692)</f>
        <v>85310</v>
      </c>
      <c r="F692" s="57" t="str">
        <f>IF(Associates_Call_List_PQ!F692="","",Associates_Call_List_PQ!F692)</f>
        <v>Cut the fat</v>
      </c>
      <c r="G692" s="57" t="str">
        <f>IF(Associates_Call_List_PQ!G692="","",Associates_Call_List_PQ!G692)</f>
        <v>https://docket.images.azcc.gov/E000046266.pdf</v>
      </c>
      <c r="H692" s="59" t="str">
        <f>IF(Associates_Call_List_PQ!H692="","",Associates_Call_List_PQ!H692)</f>
        <v xml:space="preserve">8231151000 </v>
      </c>
      <c r="I692" s="57" t="str">
        <f>IF(Associates_Call_List_PQ!I692="","",Associates_Call_List_PQ!I692)</f>
        <v>RTOUE47</v>
      </c>
      <c r="J692" s="57" t="str">
        <f>IF(Associates_Call_List_PQ!J692="","",Associates_Call_List_PQ!J692)</f>
        <v>No</v>
      </c>
      <c r="K692" s="57" t="str">
        <f>IF(Associates_Call_List_PQ!K692="","",Associates_Call_List_PQ!K692)</f>
        <v>No</v>
      </c>
      <c r="L692" s="57" t="str">
        <f>IF(Associates_Call_List_PQ!L692="","",Associates_Call_List_PQ!L692)</f>
        <v>No MEP R3-47($235.10)</v>
      </c>
      <c r="M692" s="57" t="str">
        <f>IF(Associates_Call_List_PQ!M692="","",Associates_Call_List_PQ!M692)</f>
        <v>No</v>
      </c>
      <c r="N692" s="57" t="str">
        <f>IF(Associates_Call_List_PQ!N692="","",Associates_Call_List_PQ!N692)</f>
        <v>No</v>
      </c>
      <c r="O692" s="57" t="str">
        <f>IF(Associates_Call_List_PQ!O692="","",Associates_Call_List_PQ!O692)</f>
        <v>Yes</v>
      </c>
      <c r="P692" s="57">
        <f>IF(Associates_Call_List_PQ!P692="","",Associates_Call_List_PQ!P692)</f>
        <v>45938</v>
      </c>
      <c r="Q692" s="57">
        <f>IF(Associates_Call_List_PQ!Q692="","",Associates_Call_List_PQ!Q692)</f>
        <v>45961</v>
      </c>
      <c r="R692" s="57" t="str">
        <f>IF(Associates_Call_List_PQ!R692="","",Associates_Call_List_PQ!R692)</f>
        <v>10/8 Left VM</v>
      </c>
      <c r="S692" s="57" t="str">
        <f>IF(Associates_Call_List_PQ!S692="","",Associates_Call_List_PQ!S692)</f>
        <v/>
      </c>
      <c r="T692" s="57" t="str">
        <f>IF(Associates_Call_List_PQ!T692="","",Associates_Call_List_PQ!T692)</f>
        <v/>
      </c>
      <c r="U692" s="57" t="str">
        <f>IF(Associates_Call_List_PQ!U692="","",Associates_Call_List_PQ!U692)</f>
        <v/>
      </c>
      <c r="V692" s="68" t="s">
        <v>5433</v>
      </c>
      <c r="W692" s="68">
        <v>46025</v>
      </c>
      <c r="X692" s="68" t="s">
        <v>5434</v>
      </c>
      <c r="Y692" s="68"/>
      <c r="Z692" s="72" t="s">
        <v>5627</v>
      </c>
    </row>
    <row r="693" spans="1:26">
      <c r="A693" s="71">
        <f>IFERROR(Associates_Call_List_PQ!A693,"")</f>
        <v>45907</v>
      </c>
      <c r="B693" s="57" t="str">
        <f>IF(Associates_Call_List_PQ!B693="","",Associates_Call_List_PQ!B693)</f>
        <v>DeBay</v>
      </c>
      <c r="C693" s="57" t="str">
        <f>IF(Associates_Call_List_PQ!C693="","",Associates_Call_List_PQ!C693)</f>
        <v xml:space="preserve">Jan </v>
      </c>
      <c r="D693" s="57" t="str">
        <f>IF(Associates_Call_List_PQ!D693="","",Associates_Call_List_PQ!D693)</f>
        <v>Unknown</v>
      </c>
      <c r="E693" s="58" t="str">
        <f>IF(Associates_Call_List_PQ!E693="","",Associates_Call_List_PQ!E693)</f>
        <v>Unknown</v>
      </c>
      <c r="F693" s="57" t="str">
        <f>IF(Associates_Call_List_PQ!F693="","",Associates_Call_List_PQ!F693)</f>
        <v>already very high</v>
      </c>
      <c r="G693" s="57" t="str">
        <f>IF(Associates_Call_List_PQ!G693="","",Associates_Call_List_PQ!G693)</f>
        <v>https://docket.images.azcc.gov/E000046266.pdf</v>
      </c>
      <c r="H693" s="59" t="str">
        <f>IF(Associates_Call_List_PQ!H693="","",Associates_Call_List_PQ!H693)</f>
        <v xml:space="preserve">7014080000 </v>
      </c>
      <c r="I693" s="57" t="str">
        <f>IF(Associates_Call_List_PQ!I693="","",Associates_Call_List_PQ!I693)</f>
        <v>R3-47</v>
      </c>
      <c r="J693" s="57" t="str">
        <f>IF(Associates_Call_List_PQ!J693="","",Associates_Call_List_PQ!J693)</f>
        <v>No</v>
      </c>
      <c r="K693" s="57" t="str">
        <f>IF(Associates_Call_List_PQ!K693="","",Associates_Call_List_PQ!K693)</f>
        <v>No</v>
      </c>
      <c r="L693" s="57" t="str">
        <f>IF(Associates_Call_List_PQ!L693="","",Associates_Call_List_PQ!L693)</f>
        <v>Yes</v>
      </c>
      <c r="M693" s="57" t="str">
        <f>IF(Associates_Call_List_PQ!M693="","",Associates_Call_List_PQ!M693)</f>
        <v>No</v>
      </c>
      <c r="N693" s="57" t="str">
        <f>IF(Associates_Call_List_PQ!N693="","",Associates_Call_List_PQ!N693)</f>
        <v>No</v>
      </c>
      <c r="O693" s="57" t="str">
        <f>IF(Associates_Call_List_PQ!O693="","",Associates_Call_List_PQ!O693)</f>
        <v>Yes</v>
      </c>
      <c r="P693" s="57" t="str">
        <f>IF(Associates_Call_List_PQ!P693="","",Associates_Call_List_PQ!P693)</f>
        <v>N</v>
      </c>
      <c r="Q693" s="57">
        <f>IF(Associates_Call_List_PQ!Q693="","",Associates_Call_List_PQ!Q693)</f>
        <v>45961</v>
      </c>
      <c r="R693" s="57" t="str">
        <f>IF(Associates_Call_List_PQ!R693="","",Associates_Call_List_PQ!R693)</f>
        <v/>
      </c>
      <c r="S693" s="57" t="str">
        <f>IF(Associates_Call_List_PQ!S693="","",Associates_Call_List_PQ!S693)</f>
        <v/>
      </c>
      <c r="T693" s="57" t="str">
        <f>IF(Associates_Call_List_PQ!T693="","",Associates_Call_List_PQ!T693)</f>
        <v/>
      </c>
      <c r="U693" s="57" t="str">
        <f>IF(Associates_Call_List_PQ!U693="","",Associates_Call_List_PQ!U693)</f>
        <v/>
      </c>
      <c r="V693" s="68"/>
      <c r="W693" s="68" t="s">
        <v>5432</v>
      </c>
      <c r="X693" s="68"/>
      <c r="Y693" s="68"/>
      <c r="Z693" s="72"/>
    </row>
    <row r="694" spans="1:26">
      <c r="A694" s="71">
        <f>IFERROR(Associates_Call_List_PQ!A694,"")</f>
        <v>45907</v>
      </c>
      <c r="B694" s="57" t="str">
        <f>IF(Associates_Call_List_PQ!B694="","",Associates_Call_List_PQ!B694)</f>
        <v>Traverso</v>
      </c>
      <c r="C694" s="57" t="str">
        <f>IF(Associates_Call_List_PQ!C694="","",Associates_Call_List_PQ!C694)</f>
        <v>Luca</v>
      </c>
      <c r="D694" s="57" t="str">
        <f>IF(Associates_Call_List_PQ!D694="","",Associates_Call_List_PQ!D694)</f>
        <v>Phoenix</v>
      </c>
      <c r="E694" s="58">
        <f>IF(Associates_Call_List_PQ!E694="","",Associates_Call_List_PQ!E694)</f>
        <v>85022</v>
      </c>
      <c r="F694" s="57" t="str">
        <f>IF(Associates_Call_List_PQ!F694="","",Associates_Call_List_PQ!F694)</f>
        <v>Opposed</v>
      </c>
      <c r="G694" s="57" t="str">
        <f>IF(Associates_Call_List_PQ!G694="","",Associates_Call_List_PQ!G694)</f>
        <v>https://docket.images.azcc.gov/E000046266.pdf</v>
      </c>
      <c r="H694" s="59" t="str">
        <f>IF(Associates_Call_List_PQ!H694="","",Associates_Call_List_PQ!H694)</f>
        <v xml:space="preserve">2239392578 </v>
      </c>
      <c r="I694" s="57" t="str">
        <f>IF(Associates_Call_List_PQ!I694="","",Associates_Call_List_PQ!I694)</f>
        <v>RTOUE47</v>
      </c>
      <c r="J694" s="57" t="str">
        <f>IF(Associates_Call_List_PQ!J694="","",Associates_Call_List_PQ!J694)</f>
        <v>No</v>
      </c>
      <c r="K694" s="57" t="str">
        <f>IF(Associates_Call_List_PQ!K694="","",Associates_Call_List_PQ!K694)</f>
        <v>No</v>
      </c>
      <c r="L694" s="57" t="str">
        <f>IF(Associates_Call_List_PQ!L694="","",Associates_Call_List_PQ!L694)</f>
        <v>Yes</v>
      </c>
      <c r="M694" s="57" t="str">
        <f>IF(Associates_Call_List_PQ!M694="","",Associates_Call_List_PQ!M694)</f>
        <v>No</v>
      </c>
      <c r="N694" s="57" t="str">
        <f>IF(Associates_Call_List_PQ!N694="","",Associates_Call_List_PQ!N694)</f>
        <v>No</v>
      </c>
      <c r="O694" s="57" t="str">
        <f>IF(Associates_Call_List_PQ!O694="","",Associates_Call_List_PQ!O694)</f>
        <v>Yes</v>
      </c>
      <c r="P694" s="57" t="str">
        <f>IF(Associates_Call_List_PQ!P694="","",Associates_Call_List_PQ!P694)</f>
        <v>N</v>
      </c>
      <c r="Q694" s="57">
        <f>IF(Associates_Call_List_PQ!Q694="","",Associates_Call_List_PQ!Q694)</f>
        <v>45961</v>
      </c>
      <c r="R694" s="57" t="str">
        <f>IF(Associates_Call_List_PQ!R694="","",Associates_Call_List_PQ!R694)</f>
        <v/>
      </c>
      <c r="S694" s="57" t="str">
        <f>IF(Associates_Call_List_PQ!S694="","",Associates_Call_List_PQ!S694)</f>
        <v/>
      </c>
      <c r="T694" s="57" t="str">
        <f>IF(Associates_Call_List_PQ!T694="","",Associates_Call_List_PQ!T694)</f>
        <v/>
      </c>
      <c r="U694" s="57" t="str">
        <f>IF(Associates_Call_List_PQ!U694="","",Associates_Call_List_PQ!U694)</f>
        <v/>
      </c>
      <c r="V694" s="68"/>
      <c r="W694" s="68" t="s">
        <v>5432</v>
      </c>
      <c r="X694" s="68"/>
      <c r="Y694" s="68"/>
      <c r="Z694" s="72"/>
    </row>
    <row r="695" spans="1:26">
      <c r="A695" s="71">
        <f>IFERROR(Associates_Call_List_PQ!A695,"")</f>
        <v>45907</v>
      </c>
      <c r="B695" s="57" t="str">
        <f>IF(Associates_Call_List_PQ!B695="","",Associates_Call_List_PQ!B695)</f>
        <v>Reed</v>
      </c>
      <c r="C695" s="57" t="str">
        <f>IF(Associates_Call_List_PQ!C695="","",Associates_Call_List_PQ!C695)</f>
        <v>Ralph</v>
      </c>
      <c r="D695" s="57" t="str">
        <f>IF(Associates_Call_List_PQ!D695="","",Associates_Call_List_PQ!D695)</f>
        <v>Unknown</v>
      </c>
      <c r="E695" s="58" t="str">
        <f>IF(Associates_Call_List_PQ!E695="","",Associates_Call_List_PQ!E695)</f>
        <v>Unknown</v>
      </c>
      <c r="F695" s="57" t="str">
        <f>IF(Associates_Call_List_PQ!F695="","",Associates_Call_List_PQ!F695)</f>
        <v>Retired, fixed income</v>
      </c>
      <c r="G695" s="57" t="str">
        <f>IF(Associates_Call_List_PQ!G695="","",Associates_Call_List_PQ!G695)</f>
        <v>https://docket.images.azcc.gov/E000046266.pdf</v>
      </c>
      <c r="H695" s="59" t="str">
        <f>IF(Associates_Call_List_PQ!H695="","",Associates_Call_List_PQ!H695)</f>
        <v xml:space="preserve">2798910000 </v>
      </c>
      <c r="I695" s="57" t="str">
        <f>IF(Associates_Call_List_PQ!I695="","",Associates_Call_List_PQ!I695)</f>
        <v>EPR-6w/ET-2</v>
      </c>
      <c r="J695" s="57" t="str">
        <f>IF(Associates_Call_List_PQ!J695="","",Associates_Call_List_PQ!J695)</f>
        <v>No</v>
      </c>
      <c r="K695" s="57" t="str">
        <f>IF(Associates_Call_List_PQ!K695="","",Associates_Call_List_PQ!K695)</f>
        <v>No</v>
      </c>
      <c r="L695" s="57" t="str">
        <f>IF(Associates_Call_List_PQ!L695="","",Associates_Call_List_PQ!L695)</f>
        <v>Frozen Rate</v>
      </c>
      <c r="M695" s="57" t="str">
        <f>IF(Associates_Call_List_PQ!M695="","",Associates_Call_List_PQ!M695)</f>
        <v>No</v>
      </c>
      <c r="N695" s="57" t="str">
        <f>IF(Associates_Call_List_PQ!N695="","",Associates_Call_List_PQ!N695)</f>
        <v>No</v>
      </c>
      <c r="O695" s="57" t="str">
        <f>IF(Associates_Call_List_PQ!O695="","",Associates_Call_List_PQ!O695)</f>
        <v>Yes</v>
      </c>
      <c r="P695" s="57" t="str">
        <f>IF(Associates_Call_List_PQ!P695="","",Associates_Call_List_PQ!P695)</f>
        <v>N</v>
      </c>
      <c r="Q695" s="57">
        <f>IF(Associates_Call_List_PQ!Q695="","",Associates_Call_List_PQ!Q695)</f>
        <v>45961</v>
      </c>
      <c r="R695" s="57" t="str">
        <f>IF(Associates_Call_List_PQ!R695="","",Associates_Call_List_PQ!R695)</f>
        <v/>
      </c>
      <c r="S695" s="57" t="str">
        <f>IF(Associates_Call_List_PQ!S695="","",Associates_Call_List_PQ!S695)</f>
        <v/>
      </c>
      <c r="T695" s="57" t="str">
        <f>IF(Associates_Call_List_PQ!T695="","",Associates_Call_List_PQ!T695)</f>
        <v/>
      </c>
      <c r="U695" s="57" t="str">
        <f>IF(Associates_Call_List_PQ!U695="","",Associates_Call_List_PQ!U695)</f>
        <v/>
      </c>
      <c r="V695" s="68"/>
      <c r="W695" s="68" t="s">
        <v>5432</v>
      </c>
      <c r="X695" s="68"/>
      <c r="Y695" s="68"/>
      <c r="Z695" s="72"/>
    </row>
    <row r="696" spans="1:26">
      <c r="A696" s="71">
        <f>IFERROR(Associates_Call_List_PQ!A696,"")</f>
        <v>45907</v>
      </c>
      <c r="B696" s="57" t="str">
        <f>IF(Associates_Call_List_PQ!B696="","",Associates_Call_List_PQ!B696)</f>
        <v>Magee</v>
      </c>
      <c r="C696" s="57" t="str">
        <f>IF(Associates_Call_List_PQ!C696="","",Associates_Call_List_PQ!C696)</f>
        <v>Linda</v>
      </c>
      <c r="D696" s="57" t="str">
        <f>IF(Associates_Call_List_PQ!D696="","",Associates_Call_List_PQ!D696)</f>
        <v>Surprise</v>
      </c>
      <c r="E696" s="58">
        <f>IF(Associates_Call_List_PQ!E696="","",Associates_Call_List_PQ!E696)</f>
        <v>85388</v>
      </c>
      <c r="F696" s="57" t="str">
        <f>IF(Associates_Call_List_PQ!F696="","",Associates_Call_List_PQ!F696)</f>
        <v>Opposed</v>
      </c>
      <c r="G696" s="57" t="str">
        <f>IF(Associates_Call_List_PQ!G696="","",Associates_Call_List_PQ!G696)</f>
        <v>https://docket.images.azcc.gov/E000046266.pdf</v>
      </c>
      <c r="H696" s="59" t="str">
        <f>IF(Associates_Call_List_PQ!H696="","",Associates_Call_List_PQ!H696)</f>
        <v>9798240000 </v>
      </c>
      <c r="I696" s="57" t="str">
        <f>IF(Associates_Call_List_PQ!I696="","",Associates_Call_List_PQ!I696)</f>
        <v>R-BASIC</v>
      </c>
      <c r="J696" s="57" t="str">
        <f>IF(Associates_Call_List_PQ!J696="","",Associates_Call_List_PQ!J696)</f>
        <v>No</v>
      </c>
      <c r="K696" s="57" t="str">
        <f>IF(Associates_Call_List_PQ!K696="","",Associates_Call_List_PQ!K696)</f>
        <v>No</v>
      </c>
      <c r="L696" s="57" t="str">
        <f>IF(Associates_Call_List_PQ!L696="","",Associates_Call_List_PQ!L696)</f>
        <v/>
      </c>
      <c r="M696" s="57" t="str">
        <f>IF(Associates_Call_List_PQ!M696="","",Associates_Call_List_PQ!M696)</f>
        <v>No</v>
      </c>
      <c r="N696" s="57" t="str">
        <f>IF(Associates_Call_List_PQ!N696="","",Associates_Call_List_PQ!N696)</f>
        <v>No</v>
      </c>
      <c r="O696" s="57" t="str">
        <f>IF(Associates_Call_List_PQ!O696="","",Associates_Call_List_PQ!O696)</f>
        <v>Yes</v>
      </c>
      <c r="P696" s="57" t="str">
        <f>IF(Associates_Call_List_PQ!P696="","",Associates_Call_List_PQ!P696)</f>
        <v>N</v>
      </c>
      <c r="Q696" s="57">
        <f>IF(Associates_Call_List_PQ!Q696="","",Associates_Call_List_PQ!Q696)</f>
        <v>45961</v>
      </c>
      <c r="R696" s="57" t="str">
        <f>IF(Associates_Call_List_PQ!R696="","",Associates_Call_List_PQ!R696)</f>
        <v>Non-AMI Customer</v>
      </c>
      <c r="S696" s="57" t="str">
        <f>IF(Associates_Call_List_PQ!S696="","",Associates_Call_List_PQ!S696)</f>
        <v/>
      </c>
      <c r="T696" s="57" t="str">
        <f>IF(Associates_Call_List_PQ!T696="","",Associates_Call_List_PQ!T696)</f>
        <v/>
      </c>
      <c r="U696" s="57" t="str">
        <f>IF(Associates_Call_List_PQ!U696="","",Associates_Call_List_PQ!U696)</f>
        <v/>
      </c>
      <c r="V696" s="68"/>
      <c r="W696" s="68" t="s">
        <v>5432</v>
      </c>
      <c r="X696" s="68"/>
      <c r="Y696" s="68"/>
      <c r="Z696" s="72"/>
    </row>
    <row r="697" spans="1:26">
      <c r="A697" s="71">
        <f>IFERROR(Associates_Call_List_PQ!A697,"")</f>
        <v>45907</v>
      </c>
      <c r="B697" s="57" t="str">
        <f>IF(Associates_Call_List_PQ!B697="","",Associates_Call_List_PQ!B697)</f>
        <v>Stumpf</v>
      </c>
      <c r="C697" s="57" t="str">
        <f>IF(Associates_Call_List_PQ!C697="","",Associates_Call_List_PQ!C697)</f>
        <v>Yvette</v>
      </c>
      <c r="D697" s="57" t="str">
        <f>IF(Associates_Call_List_PQ!D697="","",Associates_Call_List_PQ!D697)</f>
        <v>Phoenix</v>
      </c>
      <c r="E697" s="58">
        <f>IF(Associates_Call_List_PQ!E697="","",Associates_Call_List_PQ!E697)</f>
        <v>85086</v>
      </c>
      <c r="F697" s="57" t="str">
        <f>IF(Associates_Call_List_PQ!F697="","",Associates_Call_List_PQ!F697)</f>
        <v>Opposed</v>
      </c>
      <c r="G697" s="57" t="str">
        <f>IF(Associates_Call_List_PQ!G697="","",Associates_Call_List_PQ!G697)</f>
        <v>https://docket.images.azcc.gov/E000046266.pdf</v>
      </c>
      <c r="H697" s="59" t="str">
        <f>IF(Associates_Call_List_PQ!H697="","",Associates_Call_List_PQ!H697)</f>
        <v>3006885688</v>
      </c>
      <c r="I697" s="57" t="str">
        <f>IF(Associates_Call_List_PQ!I697="","",Associates_Call_List_PQ!I697)</f>
        <v>RCPw/R3-47</v>
      </c>
      <c r="J697" s="57" t="str">
        <f>IF(Associates_Call_List_PQ!J697="","",Associates_Call_List_PQ!J697)</f>
        <v>No</v>
      </c>
      <c r="K697" s="57" t="str">
        <f>IF(Associates_Call_List_PQ!K697="","",Associates_Call_List_PQ!K697)</f>
        <v>No</v>
      </c>
      <c r="L697" s="57" t="str">
        <f>IF(Associates_Call_List_PQ!L697="","",Associates_Call_List_PQ!L697)</f>
        <v>Y</v>
      </c>
      <c r="M697" s="57" t="str">
        <f>IF(Associates_Call_List_PQ!M697="","",Associates_Call_List_PQ!M697)</f>
        <v>No</v>
      </c>
      <c r="N697" s="57" t="str">
        <f>IF(Associates_Call_List_PQ!N697="","",Associates_Call_List_PQ!N697)</f>
        <v>No</v>
      </c>
      <c r="O697" s="57" t="str">
        <f>IF(Associates_Call_List_PQ!O697="","",Associates_Call_List_PQ!O697)</f>
        <v>Yes</v>
      </c>
      <c r="P697" s="57" t="str">
        <f>IF(Associates_Call_List_PQ!P697="","",Associates_Call_List_PQ!P697)</f>
        <v>N</v>
      </c>
      <c r="Q697" s="57">
        <f>IF(Associates_Call_List_PQ!Q697="","",Associates_Call_List_PQ!Q697)</f>
        <v>45961</v>
      </c>
      <c r="R697" s="57" t="str">
        <f>IF(Associates_Call_List_PQ!R697="","",Associates_Call_List_PQ!R697)</f>
        <v/>
      </c>
      <c r="S697" s="57" t="str">
        <f>IF(Associates_Call_List_PQ!S697="","",Associates_Call_List_PQ!S697)</f>
        <v/>
      </c>
      <c r="T697" s="57" t="str">
        <f>IF(Associates_Call_List_PQ!T697="","",Associates_Call_List_PQ!T697)</f>
        <v/>
      </c>
      <c r="U697" s="57" t="str">
        <f>IF(Associates_Call_List_PQ!U697="","",Associates_Call_List_PQ!U697)</f>
        <v/>
      </c>
      <c r="V697" s="68"/>
      <c r="W697" s="68" t="s">
        <v>5432</v>
      </c>
      <c r="X697" s="68"/>
      <c r="Y697" s="68"/>
      <c r="Z697" s="72"/>
    </row>
    <row r="698" spans="1:26">
      <c r="A698" s="71">
        <f>IFERROR(Associates_Call_List_PQ!A698,"")</f>
        <v>45907</v>
      </c>
      <c r="B698" s="57" t="str">
        <f>IF(Associates_Call_List_PQ!B698="","",Associates_Call_List_PQ!B698)</f>
        <v>Gilmore</v>
      </c>
      <c r="C698" s="57" t="str">
        <f>IF(Associates_Call_List_PQ!C698="","",Associates_Call_List_PQ!C698)</f>
        <v>Jeremy</v>
      </c>
      <c r="D698" s="57" t="str">
        <f>IF(Associates_Call_List_PQ!D698="","",Associates_Call_List_PQ!D698)</f>
        <v>Sun City</v>
      </c>
      <c r="E698" s="58">
        <f>IF(Associates_Call_List_PQ!E698="","",Associates_Call_List_PQ!E698)</f>
        <v>85373</v>
      </c>
      <c r="F698" s="57" t="str">
        <f>IF(Associates_Call_List_PQ!F698="","",Associates_Call_List_PQ!F698)</f>
        <v>Opposed</v>
      </c>
      <c r="G698" s="57" t="str">
        <f>IF(Associates_Call_List_PQ!G698="","",Associates_Call_List_PQ!G698)</f>
        <v>https://docket.images.azcc.gov/E000046266.pdf</v>
      </c>
      <c r="H698" s="59" t="str">
        <f>IF(Associates_Call_List_PQ!H698="","",Associates_Call_List_PQ!H698)</f>
        <v>0786386957</v>
      </c>
      <c r="I698" s="57" t="str">
        <f>IF(Associates_Call_List_PQ!I698="","",Associates_Call_List_PQ!I698)</f>
        <v>RCPw/R3-47</v>
      </c>
      <c r="J698" s="57" t="str">
        <f>IF(Associates_Call_List_PQ!J698="","",Associates_Call_List_PQ!J698)</f>
        <v>No</v>
      </c>
      <c r="K698" s="57" t="str">
        <f>IF(Associates_Call_List_PQ!K698="","",Associates_Call_List_PQ!K698)</f>
        <v>No</v>
      </c>
      <c r="L698" s="57" t="str">
        <f>IF(Associates_Call_List_PQ!L698="","",Associates_Call_List_PQ!L698)</f>
        <v>No MEP TOUE ($420.43)</v>
      </c>
      <c r="M698" s="57" t="str">
        <f>IF(Associates_Call_List_PQ!M698="","",Associates_Call_List_PQ!M698)</f>
        <v>No</v>
      </c>
      <c r="N698" s="57" t="str">
        <f>IF(Associates_Call_List_PQ!N698="","",Associates_Call_List_PQ!N698)</f>
        <v>No</v>
      </c>
      <c r="O698" s="57" t="str">
        <f>IF(Associates_Call_List_PQ!O698="","",Associates_Call_List_PQ!O698)</f>
        <v>Yes</v>
      </c>
      <c r="P698" s="57">
        <f>IF(Associates_Call_List_PQ!P698="","",Associates_Call_List_PQ!P698)</f>
        <v>45938</v>
      </c>
      <c r="Q698" s="57">
        <f>IF(Associates_Call_List_PQ!Q698="","",Associates_Call_List_PQ!Q698)</f>
        <v>45961</v>
      </c>
      <c r="R698" s="57" t="str">
        <f>IF(Associates_Call_List_PQ!R698="","",Associates_Call_List_PQ!R698)</f>
        <v>10/08/2025 left VM</v>
      </c>
      <c r="S698" s="57" t="str">
        <f>IF(Associates_Call_List_PQ!S698="","",Associates_Call_List_PQ!S698)</f>
        <v/>
      </c>
      <c r="T698" s="57" t="str">
        <f>IF(Associates_Call_List_PQ!T698="","",Associates_Call_List_PQ!T698)</f>
        <v/>
      </c>
      <c r="U698" s="57" t="str">
        <f>IF(Associates_Call_List_PQ!U698="","",Associates_Call_List_PQ!U698)</f>
        <v/>
      </c>
      <c r="V698" s="68" t="s">
        <v>5433</v>
      </c>
      <c r="W698" s="68">
        <v>46025</v>
      </c>
      <c r="X698" s="68" t="s">
        <v>5434</v>
      </c>
      <c r="Y698" s="68"/>
      <c r="Z698" s="72" t="s">
        <v>5627</v>
      </c>
    </row>
    <row r="699" spans="1:26">
      <c r="A699" s="71">
        <f>IFERROR(Associates_Call_List_PQ!A699,"")</f>
        <v>45907</v>
      </c>
      <c r="B699" s="57" t="str">
        <f>IF(Associates_Call_List_PQ!B699="","",Associates_Call_List_PQ!B699)</f>
        <v>Funke</v>
      </c>
      <c r="C699" s="57" t="str">
        <f>IF(Associates_Call_List_PQ!C699="","",Associates_Call_List_PQ!C699)</f>
        <v>Carrie</v>
      </c>
      <c r="D699" s="57" t="str">
        <f>IF(Associates_Call_List_PQ!D699="","",Associates_Call_List_PQ!D699)</f>
        <v>Phoenix</v>
      </c>
      <c r="E699" s="58">
        <f>IF(Associates_Call_List_PQ!E699="","",Associates_Call_List_PQ!E699)</f>
        <v>85086</v>
      </c>
      <c r="F699" s="57" t="str">
        <f>IF(Associates_Call_List_PQ!F699="","",Associates_Call_List_PQ!F699)</f>
        <v>Opposed</v>
      </c>
      <c r="G699" s="57" t="str">
        <f>IF(Associates_Call_List_PQ!G699="","",Associates_Call_List_PQ!G699)</f>
        <v>https://docket.images.azcc.gov/E000046266.pdf</v>
      </c>
      <c r="H699" s="59" t="str">
        <f>IF(Associates_Call_List_PQ!H699="","",Associates_Call_List_PQ!H699)</f>
        <v>3973394094</v>
      </c>
      <c r="I699" s="57" t="str">
        <f>IF(Associates_Call_List_PQ!I699="","",Associates_Call_List_PQ!I699)</f>
        <v>R3-47</v>
      </c>
      <c r="J699" s="57" t="str">
        <f>IF(Associates_Call_List_PQ!J699="","",Associates_Call_List_PQ!J699)</f>
        <v>No</v>
      </c>
      <c r="K699" s="57" t="str">
        <f>IF(Associates_Call_List_PQ!K699="","",Associates_Call_List_PQ!K699)</f>
        <v>No</v>
      </c>
      <c r="L699" s="57" t="str">
        <f>IF(Associates_Call_List_PQ!L699="","",Associates_Call_List_PQ!L699)</f>
        <v>Y</v>
      </c>
      <c r="M699" s="57" t="str">
        <f>IF(Associates_Call_List_PQ!M699="","",Associates_Call_List_PQ!M699)</f>
        <v>No</v>
      </c>
      <c r="N699" s="57" t="str">
        <f>IF(Associates_Call_List_PQ!N699="","",Associates_Call_List_PQ!N699)</f>
        <v>No</v>
      </c>
      <c r="O699" s="57" t="str">
        <f>IF(Associates_Call_List_PQ!O699="","",Associates_Call_List_PQ!O699)</f>
        <v>Yes</v>
      </c>
      <c r="P699" s="57" t="str">
        <f>IF(Associates_Call_List_PQ!P699="","",Associates_Call_List_PQ!P699)</f>
        <v>N</v>
      </c>
      <c r="Q699" s="57">
        <f>IF(Associates_Call_List_PQ!Q699="","",Associates_Call_List_PQ!Q699)</f>
        <v>45961</v>
      </c>
      <c r="R699" s="57" t="str">
        <f>IF(Associates_Call_List_PQ!R699="","",Associates_Call_List_PQ!R699)</f>
        <v/>
      </c>
      <c r="S699" s="57" t="str">
        <f>IF(Associates_Call_List_PQ!S699="","",Associates_Call_List_PQ!S699)</f>
        <v/>
      </c>
      <c r="T699" s="57" t="str">
        <f>IF(Associates_Call_List_PQ!T699="","",Associates_Call_List_PQ!T699)</f>
        <v/>
      </c>
      <c r="U699" s="57" t="str">
        <f>IF(Associates_Call_List_PQ!U699="","",Associates_Call_List_PQ!U699)</f>
        <v/>
      </c>
      <c r="V699" s="68"/>
      <c r="W699" s="68" t="s">
        <v>5432</v>
      </c>
      <c r="X699" s="68"/>
      <c r="Y699" s="68"/>
      <c r="Z699" s="72"/>
    </row>
    <row r="700" spans="1:26">
      <c r="A700" s="71">
        <f>IFERROR(Associates_Call_List_PQ!A700,"")</f>
        <v>45907</v>
      </c>
      <c r="B700" s="57" t="str">
        <f>IF(Associates_Call_List_PQ!B700="","",Associates_Call_List_PQ!B700)</f>
        <v>Kriechbaum</v>
      </c>
      <c r="C700" s="57" t="str">
        <f>IF(Associates_Call_List_PQ!C700="","",Associates_Call_List_PQ!C700)</f>
        <v>Sherry</v>
      </c>
      <c r="D700" s="57" t="str">
        <f>IF(Associates_Call_List_PQ!D700="","",Associates_Call_List_PQ!D700)</f>
        <v>Scottsdale</v>
      </c>
      <c r="E700" s="58">
        <f>IF(Associates_Call_List_PQ!E700="","",Associates_Call_List_PQ!E700)</f>
        <v>85260</v>
      </c>
      <c r="F700" s="57" t="str">
        <f>IF(Associates_Call_List_PQ!F700="","",Associates_Call_List_PQ!F700)</f>
        <v>Opposed</v>
      </c>
      <c r="G700" s="57" t="str">
        <f>IF(Associates_Call_List_PQ!G700="","",Associates_Call_List_PQ!G700)</f>
        <v>https://docket.images.azcc.gov/E000046266.pdf</v>
      </c>
      <c r="H700" s="59" t="str">
        <f>IF(Associates_Call_List_PQ!H700="","",Associates_Call_List_PQ!H700)</f>
        <v>1468123073</v>
      </c>
      <c r="I700" s="57" t="str">
        <f>IF(Associates_Call_List_PQ!I700="","",Associates_Call_List_PQ!I700)</f>
        <v>R3-47</v>
      </c>
      <c r="J700" s="57" t="str">
        <f>IF(Associates_Call_List_PQ!J700="","",Associates_Call_List_PQ!J700)</f>
        <v>No</v>
      </c>
      <c r="K700" s="57" t="str">
        <f>IF(Associates_Call_List_PQ!K700="","",Associates_Call_List_PQ!K700)</f>
        <v>No</v>
      </c>
      <c r="L700" s="57" t="str">
        <f>IF(Associates_Call_List_PQ!L700="","",Associates_Call_List_PQ!L700)</f>
        <v>Y</v>
      </c>
      <c r="M700" s="57" t="str">
        <f>IF(Associates_Call_List_PQ!M700="","",Associates_Call_List_PQ!M700)</f>
        <v>No</v>
      </c>
      <c r="N700" s="57" t="str">
        <f>IF(Associates_Call_List_PQ!N700="","",Associates_Call_List_PQ!N700)</f>
        <v>No</v>
      </c>
      <c r="O700" s="57" t="str">
        <f>IF(Associates_Call_List_PQ!O700="","",Associates_Call_List_PQ!O700)</f>
        <v>Yes</v>
      </c>
      <c r="P700" s="57" t="str">
        <f>IF(Associates_Call_List_PQ!P700="","",Associates_Call_List_PQ!P700)</f>
        <v>N</v>
      </c>
      <c r="Q700" s="57">
        <f>IF(Associates_Call_List_PQ!Q700="","",Associates_Call_List_PQ!Q700)</f>
        <v>45961</v>
      </c>
      <c r="R700" s="57" t="str">
        <f>IF(Associates_Call_List_PQ!R700="","",Associates_Call_List_PQ!R700)</f>
        <v/>
      </c>
      <c r="S700" s="57" t="str">
        <f>IF(Associates_Call_List_PQ!S700="","",Associates_Call_List_PQ!S700)</f>
        <v/>
      </c>
      <c r="T700" s="57" t="str">
        <f>IF(Associates_Call_List_PQ!T700="","",Associates_Call_List_PQ!T700)</f>
        <v/>
      </c>
      <c r="U700" s="57" t="str">
        <f>IF(Associates_Call_List_PQ!U700="","",Associates_Call_List_PQ!U700)</f>
        <v/>
      </c>
      <c r="V700" s="68"/>
      <c r="W700" s="68" t="s">
        <v>5432</v>
      </c>
      <c r="X700" s="68"/>
      <c r="Y700" s="68"/>
      <c r="Z700" s="72"/>
    </row>
    <row r="701" spans="1:26">
      <c r="A701" s="71">
        <f>IFERROR(Associates_Call_List_PQ!A701,"")</f>
        <v>45907</v>
      </c>
      <c r="B701" s="57" t="str">
        <f>IF(Associates_Call_List_PQ!B701="","",Associates_Call_List_PQ!B701)</f>
        <v>Inman</v>
      </c>
      <c r="C701" s="57" t="str">
        <f>IF(Associates_Call_List_PQ!C701="","",Associates_Call_List_PQ!C701)</f>
        <v>Bonnie</v>
      </c>
      <c r="D701" s="57" t="str">
        <f>IF(Associates_Call_List_PQ!D701="","",Associates_Call_List_PQ!D701)</f>
        <v>Phoenix</v>
      </c>
      <c r="E701" s="58">
        <f>IF(Associates_Call_List_PQ!E701="","",Associates_Call_List_PQ!E701)</f>
        <v>85086</v>
      </c>
      <c r="F701" s="57" t="str">
        <f>IF(Associates_Call_List_PQ!F701="","",Associates_Call_List_PQ!F701)</f>
        <v>Form letter</v>
      </c>
      <c r="G701" s="57" t="str">
        <f>IF(Associates_Call_List_PQ!G701="","",Associates_Call_List_PQ!G701)</f>
        <v>https://docket.images.azcc.gov/E000046266.pdf</v>
      </c>
      <c r="H701" s="59" t="str">
        <f>IF(Associates_Call_List_PQ!H701="","",Associates_Call_List_PQ!H701)</f>
        <v>0902311000</v>
      </c>
      <c r="I701" s="57" t="str">
        <f>IF(Associates_Call_List_PQ!I701="","",Associates_Call_List_PQ!I701)</f>
        <v>RTOUE47</v>
      </c>
      <c r="J701" s="57" t="str">
        <f>IF(Associates_Call_List_PQ!J701="","",Associates_Call_List_PQ!J701)</f>
        <v>No</v>
      </c>
      <c r="K701" s="57" t="str">
        <f>IF(Associates_Call_List_PQ!K701="","",Associates_Call_List_PQ!K701)</f>
        <v>No</v>
      </c>
      <c r="L701" s="57" t="str">
        <f>IF(Associates_Call_List_PQ!L701="","",Associates_Call_List_PQ!L701)</f>
        <v>No MEP R3-47 ($79.77)</v>
      </c>
      <c r="M701" s="57" t="str">
        <f>IF(Associates_Call_List_PQ!M701="","",Associates_Call_List_PQ!M701)</f>
        <v>Yes</v>
      </c>
      <c r="N701" s="57">
        <f>IF(Associates_Call_List_PQ!N701="","",Associates_Call_List_PQ!N701)</f>
        <v>508.72</v>
      </c>
      <c r="O701" s="57" t="str">
        <f>IF(Associates_Call_List_PQ!O701="","",Associates_Call_List_PQ!O701)</f>
        <v>Yes</v>
      </c>
      <c r="P701" s="57" t="str">
        <f>IF(Associates_Call_List_PQ!P701="","",Associates_Call_List_PQ!P701)</f>
        <v>N</v>
      </c>
      <c r="Q701" s="57">
        <f>IF(Associates_Call_List_PQ!Q701="","",Associates_Call_List_PQ!Q701)</f>
        <v>45961</v>
      </c>
      <c r="R701" s="57" t="str">
        <f>IF(Associates_Call_List_PQ!R701="","",Associates_Call_List_PQ!R701)</f>
        <v/>
      </c>
      <c r="S701" s="57" t="str">
        <f>IF(Associates_Call_List_PQ!S701="","",Associates_Call_List_PQ!S701)</f>
        <v/>
      </c>
      <c r="T701" s="57" t="str">
        <f>IF(Associates_Call_List_PQ!T701="","",Associates_Call_List_PQ!T701)</f>
        <v/>
      </c>
      <c r="U701" s="57" t="str">
        <f>IF(Associates_Call_List_PQ!U701="","",Associates_Call_List_PQ!U701)</f>
        <v/>
      </c>
      <c r="V701" s="68" t="s">
        <v>5433</v>
      </c>
      <c r="W701" s="68">
        <v>46025</v>
      </c>
      <c r="X701" s="68" t="s">
        <v>5434</v>
      </c>
      <c r="Y701" s="68"/>
      <c r="Z701" s="72" t="s">
        <v>5627</v>
      </c>
    </row>
    <row r="702" spans="1:26">
      <c r="A702" s="71">
        <f>IFERROR(Associates_Call_List_PQ!A702,"")</f>
        <v>45908</v>
      </c>
      <c r="B702" s="57" t="str">
        <f>IF(Associates_Call_List_PQ!B702="","",Associates_Call_List_PQ!B702)</f>
        <v>Hobson</v>
      </c>
      <c r="C702" s="57" t="str">
        <f>IF(Associates_Call_List_PQ!C702="","",Associates_Call_List_PQ!C702)</f>
        <v>Lisa</v>
      </c>
      <c r="D702" s="57" t="str">
        <f>IF(Associates_Call_List_PQ!D702="","",Associates_Call_List_PQ!D702)</f>
        <v>Sedona</v>
      </c>
      <c r="E702" s="58">
        <f>IF(Associates_Call_List_PQ!E702="","",Associates_Call_List_PQ!E702)</f>
        <v>86341</v>
      </c>
      <c r="F702" s="57" t="str">
        <f>IF(Associates_Call_List_PQ!F702="","",Associates_Call_List_PQ!F702)</f>
        <v>Enough is enough</v>
      </c>
      <c r="G702" s="57" t="str">
        <f>IF(Associates_Call_List_PQ!G702="","",Associates_Call_List_PQ!G702)</f>
        <v>https://docket.images.azcc.gov/E000046269.pdf</v>
      </c>
      <c r="H702" s="59" t="str">
        <f>IF(Associates_Call_List_PQ!H702="","",Associates_Call_List_PQ!H702)</f>
        <v>9549931000</v>
      </c>
      <c r="I702" s="57" t="str">
        <f>IF(Associates_Call_List_PQ!I702="","",Associates_Call_List_PQ!I702)</f>
        <v>R-BASICL</v>
      </c>
      <c r="J702" s="57" t="str">
        <f>IF(Associates_Call_List_PQ!J702="","",Associates_Call_List_PQ!J702)</f>
        <v>No</v>
      </c>
      <c r="K702" s="57" t="str">
        <f>IF(Associates_Call_List_PQ!K702="","",Associates_Call_List_PQ!K702)</f>
        <v>No</v>
      </c>
      <c r="L702" s="57" t="str">
        <f>IF(Associates_Call_List_PQ!L702="","",Associates_Call_List_PQ!L702)</f>
        <v>No MEP R3-47 ($482.61)</v>
      </c>
      <c r="M702" s="57" t="str">
        <f>IF(Associates_Call_List_PQ!M702="","",Associates_Call_List_PQ!M702)</f>
        <v>No</v>
      </c>
      <c r="N702" s="57" t="str">
        <f>IF(Associates_Call_List_PQ!N702="","",Associates_Call_List_PQ!N702)</f>
        <v>No</v>
      </c>
      <c r="O702" s="57" t="str">
        <f>IF(Associates_Call_List_PQ!O702="","",Associates_Call_List_PQ!O702)</f>
        <v>Yes</v>
      </c>
      <c r="P702" s="57">
        <f>IF(Associates_Call_List_PQ!P702="","",Associates_Call_List_PQ!P702)</f>
        <v>45938</v>
      </c>
      <c r="Q702" s="57">
        <f>IF(Associates_Call_List_PQ!Q702="","",Associates_Call_List_PQ!Q702)</f>
        <v>45961</v>
      </c>
      <c r="R702" s="57" t="str">
        <f>IF(Associates_Call_List_PQ!R702="","",Associates_Call_List_PQ!R702)</f>
        <v>10/08/2025 left VM</v>
      </c>
      <c r="S702" s="57" t="str">
        <f>IF(Associates_Call_List_PQ!S702="","",Associates_Call_List_PQ!S702)</f>
        <v/>
      </c>
      <c r="T702" s="57" t="str">
        <f>IF(Associates_Call_List_PQ!T702="","",Associates_Call_List_PQ!T702)</f>
        <v/>
      </c>
      <c r="U702" s="57" t="str">
        <f>IF(Associates_Call_List_PQ!U702="","",Associates_Call_List_PQ!U702)</f>
        <v/>
      </c>
      <c r="V702" s="68" t="s">
        <v>5433</v>
      </c>
      <c r="W702" s="68">
        <v>46025</v>
      </c>
      <c r="X702" s="68" t="s">
        <v>5434</v>
      </c>
      <c r="Y702" s="68"/>
      <c r="Z702" s="72" t="s">
        <v>5627</v>
      </c>
    </row>
    <row r="703" spans="1:26">
      <c r="A703" s="71">
        <f>IFERROR(Associates_Call_List_PQ!A703,"")</f>
        <v>45909</v>
      </c>
      <c r="B703" s="57" t="str">
        <f>IF(Associates_Call_List_PQ!B703="","",Associates_Call_List_PQ!B703)</f>
        <v>Boardman</v>
      </c>
      <c r="C703" s="57" t="str">
        <f>IF(Associates_Call_List_PQ!C703="","",Associates_Call_List_PQ!C703)</f>
        <v>Julia</v>
      </c>
      <c r="D703" s="57" t="str">
        <f>IF(Associates_Call_List_PQ!D703="","",Associates_Call_List_PQ!D703)</f>
        <v>Phoenix</v>
      </c>
      <c r="E703" s="58">
        <f>IF(Associates_Call_List_PQ!E703="","",Associates_Call_List_PQ!E703)</f>
        <v>85012</v>
      </c>
      <c r="F703" s="57" t="str">
        <f>IF(Associates_Call_List_PQ!F703="","",Associates_Call_List_PQ!F703)</f>
        <v>Form letter</v>
      </c>
      <c r="G703" s="57" t="str">
        <f>IF(Associates_Call_List_PQ!G703="","",Associates_Call_List_PQ!G703)</f>
        <v>https://docket.images.azcc.gov/E000046269.pdf</v>
      </c>
      <c r="H703" s="59" t="str">
        <f>IF(Associates_Call_List_PQ!H703="","",Associates_Call_List_PQ!H703)</f>
        <v>5373695965</v>
      </c>
      <c r="I703" s="57" t="str">
        <f>IF(Associates_Call_List_PQ!I703="","",Associates_Call_List_PQ!I703)</f>
        <v>R-BASIC</v>
      </c>
      <c r="J703" s="57" t="str">
        <f>IF(Associates_Call_List_PQ!J703="","",Associates_Call_List_PQ!J703)</f>
        <v>No</v>
      </c>
      <c r="K703" s="57" t="str">
        <f>IF(Associates_Call_List_PQ!K703="","",Associates_Call_List_PQ!K703)</f>
        <v>No</v>
      </c>
      <c r="L703" s="57" t="str">
        <f>IF(Associates_Call_List_PQ!L703="","",Associates_Call_List_PQ!L703)</f>
        <v>Y</v>
      </c>
      <c r="M703" s="57" t="str">
        <f>IF(Associates_Call_List_PQ!M703="","",Associates_Call_List_PQ!M703)</f>
        <v>No</v>
      </c>
      <c r="N703" s="57" t="str">
        <f>IF(Associates_Call_List_PQ!N703="","",Associates_Call_List_PQ!N703)</f>
        <v>No</v>
      </c>
      <c r="O703" s="57" t="str">
        <f>IF(Associates_Call_List_PQ!O703="","",Associates_Call_List_PQ!O703)</f>
        <v>Yes</v>
      </c>
      <c r="P703" s="57" t="str">
        <f>IF(Associates_Call_List_PQ!P703="","",Associates_Call_List_PQ!P703)</f>
        <v>N</v>
      </c>
      <c r="Q703" s="57">
        <f>IF(Associates_Call_List_PQ!Q703="","",Associates_Call_List_PQ!Q703)</f>
        <v>45961</v>
      </c>
      <c r="R703" s="57" t="str">
        <f>IF(Associates_Call_List_PQ!R703="","",Associates_Call_List_PQ!R703)</f>
        <v/>
      </c>
      <c r="S703" s="57" t="str">
        <f>IF(Associates_Call_List_PQ!S703="","",Associates_Call_List_PQ!S703)</f>
        <v/>
      </c>
      <c r="T703" s="57" t="str">
        <f>IF(Associates_Call_List_PQ!T703="","",Associates_Call_List_PQ!T703)</f>
        <v/>
      </c>
      <c r="U703" s="57" t="str">
        <f>IF(Associates_Call_List_PQ!U703="","",Associates_Call_List_PQ!U703)</f>
        <v/>
      </c>
      <c r="V703" s="68"/>
      <c r="W703" s="68" t="s">
        <v>5432</v>
      </c>
      <c r="X703" s="68"/>
      <c r="Y703" s="68"/>
      <c r="Z703" s="72"/>
    </row>
    <row r="704" spans="1:26">
      <c r="A704" s="71">
        <f>IFERROR(Associates_Call_List_PQ!A704,"")</f>
        <v>45909</v>
      </c>
      <c r="B704" s="57" t="str">
        <f>IF(Associates_Call_List_PQ!B704="","",Associates_Call_List_PQ!B704)</f>
        <v>Dara</v>
      </c>
      <c r="C704" s="57" t="str">
        <f>IF(Associates_Call_List_PQ!C704="","",Associates_Call_List_PQ!C704)</f>
        <v>Krishna</v>
      </c>
      <c r="D704" s="57" t="str">
        <f>IF(Associates_Call_List_PQ!D704="","",Associates_Call_List_PQ!D704)</f>
        <v>Peoria</v>
      </c>
      <c r="E704" s="58">
        <f>IF(Associates_Call_List_PQ!E704="","",Associates_Call_List_PQ!E704)</f>
        <v>85383</v>
      </c>
      <c r="F704" s="57" t="str">
        <f>IF(Associates_Call_List_PQ!F704="","",Associates_Call_List_PQ!F704)</f>
        <v>Already getting difficult to pay the bill</v>
      </c>
      <c r="G704" s="57" t="str">
        <f>IF(Associates_Call_List_PQ!G704="","",Associates_Call_List_PQ!G704)</f>
        <v>https://docket.images.azcc.gov/E000046269.pdf</v>
      </c>
      <c r="H704" s="59" t="str">
        <f>IF(Associates_Call_List_PQ!H704="","",Associates_Call_List_PQ!H704)</f>
        <v>5997041000</v>
      </c>
      <c r="I704" s="57" t="str">
        <f>IF(Associates_Call_List_PQ!I704="","",Associates_Call_List_PQ!I704)</f>
        <v>RCPw/R-2</v>
      </c>
      <c r="J704" s="57" t="str">
        <f>IF(Associates_Call_List_PQ!J704="","",Associates_Call_List_PQ!J704)</f>
        <v>No</v>
      </c>
      <c r="K704" s="57" t="str">
        <f>IF(Associates_Call_List_PQ!K704="","",Associates_Call_List_PQ!K704)</f>
        <v>No</v>
      </c>
      <c r="L704" s="57" t="str">
        <f>IF(Associates_Call_List_PQ!L704="","",Associates_Call_List_PQ!L704)</f>
        <v>Frozen Rate</v>
      </c>
      <c r="M704" s="57" t="str">
        <f>IF(Associates_Call_List_PQ!M704="","",Associates_Call_List_PQ!M704)</f>
        <v>No</v>
      </c>
      <c r="N704" s="57" t="str">
        <f>IF(Associates_Call_List_PQ!N704="","",Associates_Call_List_PQ!N704)</f>
        <v>No</v>
      </c>
      <c r="O704" s="57" t="str">
        <f>IF(Associates_Call_List_PQ!O704="","",Associates_Call_List_PQ!O704)</f>
        <v>Yes</v>
      </c>
      <c r="P704" s="57" t="str">
        <f>IF(Associates_Call_List_PQ!P704="","",Associates_Call_List_PQ!P704)</f>
        <v>N</v>
      </c>
      <c r="Q704" s="57">
        <f>IF(Associates_Call_List_PQ!Q704="","",Associates_Call_List_PQ!Q704)</f>
        <v>45961</v>
      </c>
      <c r="R704" s="57" t="str">
        <f>IF(Associates_Call_List_PQ!R704="","",Associates_Call_List_PQ!R704)</f>
        <v/>
      </c>
      <c r="S704" s="57" t="str">
        <f>IF(Associates_Call_List_PQ!S704="","",Associates_Call_List_PQ!S704)</f>
        <v/>
      </c>
      <c r="T704" s="57" t="str">
        <f>IF(Associates_Call_List_PQ!T704="","",Associates_Call_List_PQ!T704)</f>
        <v/>
      </c>
      <c r="U704" s="57" t="str">
        <f>IF(Associates_Call_List_PQ!U704="","",Associates_Call_List_PQ!U704)</f>
        <v/>
      </c>
      <c r="V704" s="68"/>
      <c r="W704" s="68" t="s">
        <v>5432</v>
      </c>
      <c r="X704" s="68"/>
      <c r="Y704" s="68"/>
      <c r="Z704" s="72"/>
    </row>
    <row r="705" spans="1:26">
      <c r="A705" s="71">
        <f>IFERROR(Associates_Call_List_PQ!A705,"")</f>
        <v>45909</v>
      </c>
      <c r="B705" s="57" t="str">
        <f>IF(Associates_Call_List_PQ!B705="","",Associates_Call_List_PQ!B705)</f>
        <v>Johnson</v>
      </c>
      <c r="C705" s="57" t="str">
        <f>IF(Associates_Call_List_PQ!C705="","",Associates_Call_List_PQ!C705)</f>
        <v>Gregory</v>
      </c>
      <c r="D705" s="57" t="str">
        <f>IF(Associates_Call_List_PQ!D705="","",Associates_Call_List_PQ!D705)</f>
        <v>Surprise</v>
      </c>
      <c r="E705" s="58">
        <f>IF(Associates_Call_List_PQ!E705="","",Associates_Call_List_PQ!E705)</f>
        <v>85374</v>
      </c>
      <c r="F705" s="57" t="str">
        <f>IF(Associates_Call_List_PQ!F705="","",Associates_Call_List_PQ!F705)</f>
        <v>Form letter</v>
      </c>
      <c r="G705" s="57" t="str">
        <f>IF(Associates_Call_List_PQ!G705="","",Associates_Call_List_PQ!G705)</f>
        <v>https://docket.images.azcc.gov/E000046269.pdf</v>
      </c>
      <c r="H705" s="59" t="str">
        <f>IF(Associates_Call_List_PQ!H705="","",Associates_Call_List_PQ!H705)</f>
        <v>8418910000</v>
      </c>
      <c r="I705" s="57" t="str">
        <f>IF(Associates_Call_List_PQ!I705="","",Associates_Call_List_PQ!I705)</f>
        <v>R3-47</v>
      </c>
      <c r="J705" s="57" t="str">
        <f>IF(Associates_Call_List_PQ!J705="","",Associates_Call_List_PQ!J705)</f>
        <v>No</v>
      </c>
      <c r="K705" s="57" t="str">
        <f>IF(Associates_Call_List_PQ!K705="","",Associates_Call_List_PQ!K705)</f>
        <v>No</v>
      </c>
      <c r="L705" s="57" t="str">
        <f>IF(Associates_Call_List_PQ!L705="","",Associates_Call_List_PQ!L705)</f>
        <v>Y</v>
      </c>
      <c r="M705" s="57" t="str">
        <f>IF(Associates_Call_List_PQ!M705="","",Associates_Call_List_PQ!M705)</f>
        <v>No</v>
      </c>
      <c r="N705" s="57" t="str">
        <f>IF(Associates_Call_List_PQ!N705="","",Associates_Call_List_PQ!N705)</f>
        <v>No</v>
      </c>
      <c r="O705" s="57" t="str">
        <f>IF(Associates_Call_List_PQ!O705="","",Associates_Call_List_PQ!O705)</f>
        <v>Yes</v>
      </c>
      <c r="P705" s="57" t="str">
        <f>IF(Associates_Call_List_PQ!P705="","",Associates_Call_List_PQ!P705)</f>
        <v>N</v>
      </c>
      <c r="Q705" s="57">
        <f>IF(Associates_Call_List_PQ!Q705="","",Associates_Call_List_PQ!Q705)</f>
        <v>45961</v>
      </c>
      <c r="R705" s="57" t="str">
        <f>IF(Associates_Call_List_PQ!R705="","",Associates_Call_List_PQ!R705)</f>
        <v/>
      </c>
      <c r="S705" s="57" t="str">
        <f>IF(Associates_Call_List_PQ!S705="","",Associates_Call_List_PQ!S705)</f>
        <v/>
      </c>
      <c r="T705" s="57" t="str">
        <f>IF(Associates_Call_List_PQ!T705="","",Associates_Call_List_PQ!T705)</f>
        <v/>
      </c>
      <c r="U705" s="57" t="str">
        <f>IF(Associates_Call_List_PQ!U705="","",Associates_Call_List_PQ!U705)</f>
        <v/>
      </c>
      <c r="V705" s="68"/>
      <c r="W705" s="68" t="s">
        <v>5432</v>
      </c>
      <c r="X705" s="68"/>
      <c r="Y705" s="68"/>
      <c r="Z705" s="72"/>
    </row>
    <row r="706" spans="1:26">
      <c r="A706" s="71">
        <f>IFERROR(Associates_Call_List_PQ!A706,"")</f>
        <v>45909</v>
      </c>
      <c r="B706" s="57" t="str">
        <f>IF(Associates_Call_List_PQ!B706="","",Associates_Call_List_PQ!B706)</f>
        <v>Sanders</v>
      </c>
      <c r="C706" s="57" t="str">
        <f>IF(Associates_Call_List_PQ!C706="","",Associates_Call_List_PQ!C706)</f>
        <v>Kaelyn</v>
      </c>
      <c r="D706" s="57" t="str">
        <f>IF(Associates_Call_List_PQ!D706="","",Associates_Call_List_PQ!D706)</f>
        <v>Phoenix</v>
      </c>
      <c r="E706" s="58">
        <f>IF(Associates_Call_List_PQ!E706="","",Associates_Call_List_PQ!E706)</f>
        <v>85012</v>
      </c>
      <c r="F706" s="57" t="str">
        <f>IF(Associates_Call_List_PQ!F706="","",Associates_Call_List_PQ!F706)</f>
        <v>Form letter</v>
      </c>
      <c r="G706" s="57" t="str">
        <f>IF(Associates_Call_List_PQ!G706="","",Associates_Call_List_PQ!G706)</f>
        <v>https://docket.images.azcc.gov/E000046269.pdf</v>
      </c>
      <c r="H706" s="59" t="str">
        <f>IF(Associates_Call_List_PQ!H706="","",Associates_Call_List_PQ!H706)</f>
        <v>9984188572</v>
      </c>
      <c r="I706" s="57" t="str">
        <f>IF(Associates_Call_List_PQ!I706="","",Associates_Call_List_PQ!I706)</f>
        <v>R-XS</v>
      </c>
      <c r="J706" s="57" t="str">
        <f>IF(Associates_Call_List_PQ!J706="","",Associates_Call_List_PQ!J706)</f>
        <v>Yes</v>
      </c>
      <c r="K706" s="57" t="str">
        <f>IF(Associates_Call_List_PQ!K706="","",Associates_Call_List_PQ!K706)</f>
        <v>No</v>
      </c>
      <c r="L706" s="57" t="str">
        <f>IF(Associates_Call_List_PQ!L706="","",Associates_Call_List_PQ!L706)</f>
        <v>Y</v>
      </c>
      <c r="M706" s="57" t="str">
        <f>IF(Associates_Call_List_PQ!M706="","",Associates_Call_List_PQ!M706)</f>
        <v>No</v>
      </c>
      <c r="N706" s="57" t="str">
        <f>IF(Associates_Call_List_PQ!N706="","",Associates_Call_List_PQ!N706)</f>
        <v>No</v>
      </c>
      <c r="O706" s="57" t="str">
        <f>IF(Associates_Call_List_PQ!O706="","",Associates_Call_List_PQ!O706)</f>
        <v>Yes</v>
      </c>
      <c r="P706" s="57" t="str">
        <f>IF(Associates_Call_List_PQ!P706="","",Associates_Call_List_PQ!P706)</f>
        <v>N</v>
      </c>
      <c r="Q706" s="57">
        <f>IF(Associates_Call_List_PQ!Q706="","",Associates_Call_List_PQ!Q706)</f>
        <v>45961</v>
      </c>
      <c r="R706" s="57" t="str">
        <f>IF(Associates_Call_List_PQ!R706="","",Associates_Call_List_PQ!R706)</f>
        <v/>
      </c>
      <c r="S706" s="57" t="str">
        <f>IF(Associates_Call_List_PQ!S706="","",Associates_Call_List_PQ!S706)</f>
        <v/>
      </c>
      <c r="T706" s="57" t="str">
        <f>IF(Associates_Call_List_PQ!T706="","",Associates_Call_List_PQ!T706)</f>
        <v/>
      </c>
      <c r="U706" s="57" t="str">
        <f>IF(Associates_Call_List_PQ!U706="","",Associates_Call_List_PQ!U706)</f>
        <v/>
      </c>
      <c r="V706" s="68" t="s">
        <v>5433</v>
      </c>
      <c r="W706" s="68">
        <v>46081</v>
      </c>
      <c r="X706" s="68" t="s">
        <v>5405</v>
      </c>
      <c r="Y706" s="68" t="s">
        <v>5461</v>
      </c>
      <c r="Z706" s="72" t="s">
        <v>5633</v>
      </c>
    </row>
    <row r="707" spans="1:26">
      <c r="A707" s="71">
        <f>IFERROR(Associates_Call_List_PQ!A707,"")</f>
        <v>45909</v>
      </c>
      <c r="B707" s="57" t="str">
        <f>IF(Associates_Call_List_PQ!B707="","",Associates_Call_List_PQ!B707)</f>
        <v>Kumar</v>
      </c>
      <c r="C707" s="57" t="str">
        <f>IF(Associates_Call_List_PQ!C707="","",Associates_Call_List_PQ!C707)</f>
        <v>Sumit</v>
      </c>
      <c r="D707" s="57" t="str">
        <f>IF(Associates_Call_List_PQ!D707="","",Associates_Call_List_PQ!D707)</f>
        <v>Phoenix</v>
      </c>
      <c r="E707" s="58">
        <f>IF(Associates_Call_List_PQ!E707="","",Associates_Call_List_PQ!E707)</f>
        <v>85085</v>
      </c>
      <c r="F707" s="57" t="str">
        <f>IF(Associates_Call_List_PQ!F707="","",Associates_Call_List_PQ!F707)</f>
        <v>Form letter</v>
      </c>
      <c r="G707" s="57" t="str">
        <f>IF(Associates_Call_List_PQ!G707="","",Associates_Call_List_PQ!G707)</f>
        <v>https://docket.images.azcc.gov/E000046269.pdf</v>
      </c>
      <c r="H707" s="59" t="str">
        <f>IF(Associates_Call_List_PQ!H707="","",Associates_Call_List_PQ!H707)</f>
        <v>7756951000</v>
      </c>
      <c r="I707" s="57" t="str">
        <f>IF(Associates_Call_List_PQ!I707="","",Associates_Call_List_PQ!I707)</f>
        <v>Multiple SAs</v>
      </c>
      <c r="J707" s="57" t="str">
        <f>IF(Associates_Call_List_PQ!J707="","",Associates_Call_List_PQ!J707)</f>
        <v>No</v>
      </c>
      <c r="K707" s="57" t="str">
        <f>IF(Associates_Call_List_PQ!K707="","",Associates_Call_List_PQ!K707)</f>
        <v>No</v>
      </c>
      <c r="L707" s="57" t="str">
        <f>IF(Associates_Call_List_PQ!L707="","",Associates_Call_List_PQ!L707)</f>
        <v>Not eligible yet (needs 3 months)</v>
      </c>
      <c r="M707" s="57" t="str">
        <f>IF(Associates_Call_List_PQ!M707="","",Associates_Call_List_PQ!M707)</f>
        <v>No</v>
      </c>
      <c r="N707" s="57" t="str">
        <f>IF(Associates_Call_List_PQ!N707="","",Associates_Call_List_PQ!N707)</f>
        <v>No</v>
      </c>
      <c r="O707" s="57" t="str">
        <f>IF(Associates_Call_List_PQ!O707="","",Associates_Call_List_PQ!O707)</f>
        <v>Yes</v>
      </c>
      <c r="P707" s="57" t="str">
        <f>IF(Associates_Call_List_PQ!P707="","",Associates_Call_List_PQ!P707)</f>
        <v>N</v>
      </c>
      <c r="Q707" s="57">
        <f>IF(Associates_Call_List_PQ!Q707="","",Associates_Call_List_PQ!Q707)</f>
        <v>45961</v>
      </c>
      <c r="R707" s="57" t="str">
        <f>IF(Associates_Call_List_PQ!R707="","",Associates_Call_List_PQ!R707)</f>
        <v/>
      </c>
      <c r="S707" s="57" t="str">
        <f>IF(Associates_Call_List_PQ!S707="","",Associates_Call_List_PQ!S707)</f>
        <v/>
      </c>
      <c r="T707" s="57" t="str">
        <f>IF(Associates_Call_List_PQ!T707="","",Associates_Call_List_PQ!T707)</f>
        <v/>
      </c>
      <c r="U707" s="57" t="str">
        <f>IF(Associates_Call_List_PQ!U707="","",Associates_Call_List_PQ!U707)</f>
        <v/>
      </c>
      <c r="V707" s="68" t="s">
        <v>5433</v>
      </c>
      <c r="W707" s="68">
        <v>46060</v>
      </c>
      <c r="X707" s="68" t="s">
        <v>5434</v>
      </c>
      <c r="Y707" s="68"/>
      <c r="Z707" s="72" t="s">
        <v>5634</v>
      </c>
    </row>
    <row r="708" spans="1:26">
      <c r="A708" s="71">
        <f>IFERROR(Associates_Call_List_PQ!A708,"")</f>
        <v>45909</v>
      </c>
      <c r="B708" s="57" t="str">
        <f>IF(Associates_Call_List_PQ!B708="","",Associates_Call_List_PQ!B708)</f>
        <v>Kalikar</v>
      </c>
      <c r="C708" s="57" t="str">
        <f>IF(Associates_Call_List_PQ!C708="","",Associates_Call_List_PQ!C708)</f>
        <v>Vinayak</v>
      </c>
      <c r="D708" s="57" t="str">
        <f>IF(Associates_Call_List_PQ!D708="","",Associates_Call_List_PQ!D708)</f>
        <v>Peoria</v>
      </c>
      <c r="E708" s="58">
        <f>IF(Associates_Call_List_PQ!E708="","",Associates_Call_List_PQ!E708)</f>
        <v>85383</v>
      </c>
      <c r="F708" s="57" t="str">
        <f>IF(Associates_Call_List_PQ!F708="","",Associates_Call_List_PQ!F708)</f>
        <v>Form letter</v>
      </c>
      <c r="G708" s="57" t="str">
        <f>IF(Associates_Call_List_PQ!G708="","",Associates_Call_List_PQ!G708)</f>
        <v>https://docket.images.azcc.gov/E000046269.pdf</v>
      </c>
      <c r="H708" s="59" t="str">
        <f>IF(Associates_Call_List_PQ!H708="","",Associates_Call_List_PQ!H708)</f>
        <v>3063800000</v>
      </c>
      <c r="I708" s="57" t="str">
        <f>IF(Associates_Call_List_PQ!I708="","",Associates_Call_List_PQ!I708)</f>
        <v>R3-47</v>
      </c>
      <c r="J708" s="57" t="str">
        <f>IF(Associates_Call_List_PQ!J708="","",Associates_Call_List_PQ!J708)</f>
        <v>No</v>
      </c>
      <c r="K708" s="57" t="str">
        <f>IF(Associates_Call_List_PQ!K708="","",Associates_Call_List_PQ!K708)</f>
        <v>No</v>
      </c>
      <c r="L708" s="57" t="str">
        <f>IF(Associates_Call_List_PQ!L708="","",Associates_Call_List_PQ!L708)</f>
        <v>Y</v>
      </c>
      <c r="M708" s="57" t="str">
        <f>IF(Associates_Call_List_PQ!M708="","",Associates_Call_List_PQ!M708)</f>
        <v>No</v>
      </c>
      <c r="N708" s="57" t="str">
        <f>IF(Associates_Call_List_PQ!N708="","",Associates_Call_List_PQ!N708)</f>
        <v>No</v>
      </c>
      <c r="O708" s="57" t="str">
        <f>IF(Associates_Call_List_PQ!O708="","",Associates_Call_List_PQ!O708)</f>
        <v>Yes</v>
      </c>
      <c r="P708" s="57" t="str">
        <f>IF(Associates_Call_List_PQ!P708="","",Associates_Call_List_PQ!P708)</f>
        <v>N</v>
      </c>
      <c r="Q708" s="57">
        <f>IF(Associates_Call_List_PQ!Q708="","",Associates_Call_List_PQ!Q708)</f>
        <v>45961</v>
      </c>
      <c r="R708" s="57" t="str">
        <f>IF(Associates_Call_List_PQ!R708="","",Associates_Call_List_PQ!R708)</f>
        <v/>
      </c>
      <c r="S708" s="57" t="str">
        <f>IF(Associates_Call_List_PQ!S708="","",Associates_Call_List_PQ!S708)</f>
        <v/>
      </c>
      <c r="T708" s="57" t="str">
        <f>IF(Associates_Call_List_PQ!T708="","",Associates_Call_List_PQ!T708)</f>
        <v/>
      </c>
      <c r="U708" s="57" t="str">
        <f>IF(Associates_Call_List_PQ!U708="","",Associates_Call_List_PQ!U708)</f>
        <v/>
      </c>
      <c r="V708" s="68" t="s">
        <v>5433</v>
      </c>
      <c r="W708" s="68">
        <v>46081</v>
      </c>
      <c r="X708" s="68" t="s">
        <v>5405</v>
      </c>
      <c r="Y708" s="68" t="s">
        <v>5461</v>
      </c>
      <c r="Z708" s="72" t="s">
        <v>5635</v>
      </c>
    </row>
    <row r="709" spans="1:26">
      <c r="A709" s="71">
        <f>IFERROR(Associates_Call_List_PQ!A709,"")</f>
        <v>45909</v>
      </c>
      <c r="B709" s="57" t="str">
        <f>IF(Associates_Call_List_PQ!B709="","",Associates_Call_List_PQ!B709)</f>
        <v>Rushing</v>
      </c>
      <c r="C709" s="57" t="str">
        <f>IF(Associates_Call_List_PQ!C709="","",Associates_Call_List_PQ!C709)</f>
        <v>Ayla</v>
      </c>
      <c r="D709" s="57" t="str">
        <f>IF(Associates_Call_List_PQ!D709="","",Associates_Call_List_PQ!D709)</f>
        <v>Yuma</v>
      </c>
      <c r="E709" s="58">
        <f>IF(Associates_Call_List_PQ!E709="","",Associates_Call_List_PQ!E709)</f>
        <v>85365</v>
      </c>
      <c r="F709" s="57" t="str">
        <f>IF(Associates_Call_List_PQ!F709="","",Associates_Call_List_PQ!F709)</f>
        <v>Greedy company</v>
      </c>
      <c r="G709" s="57" t="str">
        <f>IF(Associates_Call_List_PQ!G709="","",Associates_Call_List_PQ!G709)</f>
        <v>https://docket.images.azcc.gov/E000046269.pdf</v>
      </c>
      <c r="H709" s="59" t="str">
        <f>IF(Associates_Call_List_PQ!H709="","",Associates_Call_List_PQ!H709)</f>
        <v>4026100541 </v>
      </c>
      <c r="I709" s="57" t="str">
        <f>IF(Associates_Call_List_PQ!I709="","",Associates_Call_List_PQ!I709)</f>
        <v>RTOUE47</v>
      </c>
      <c r="J709" s="57" t="str">
        <f>IF(Associates_Call_List_PQ!J709="","",Associates_Call_List_PQ!J709)</f>
        <v>No</v>
      </c>
      <c r="K709" s="57" t="str">
        <f>IF(Associates_Call_List_PQ!K709="","",Associates_Call_List_PQ!K709)</f>
        <v>No</v>
      </c>
      <c r="L709" s="57" t="str">
        <f>IF(Associates_Call_List_PQ!L709="","",Associates_Call_List_PQ!L709)</f>
        <v>No MEP R3-47 ($221.91)</v>
      </c>
      <c r="M709" s="57" t="str">
        <f>IF(Associates_Call_List_PQ!M709="","",Associates_Call_List_PQ!M709)</f>
        <v>No</v>
      </c>
      <c r="N709" s="57" t="str">
        <f>IF(Associates_Call_List_PQ!N709="","",Associates_Call_List_PQ!N709)</f>
        <v>No</v>
      </c>
      <c r="O709" s="57" t="str">
        <f>IF(Associates_Call_List_PQ!O709="","",Associates_Call_List_PQ!O709)</f>
        <v>Yes</v>
      </c>
      <c r="P709" s="57">
        <f>IF(Associates_Call_List_PQ!P709="","",Associates_Call_List_PQ!P709)</f>
        <v>45938</v>
      </c>
      <c r="Q709" s="57">
        <f>IF(Associates_Call_List_PQ!Q709="","",Associates_Call_List_PQ!Q709)</f>
        <v>45961</v>
      </c>
      <c r="R709" s="57" t="str">
        <f>IF(Associates_Call_List_PQ!R709="","",Associates_Call_List_PQ!R709)</f>
        <v>10/08/2025 left VM</v>
      </c>
      <c r="S709" s="57" t="str">
        <f>IF(Associates_Call_List_PQ!S709="","",Associates_Call_List_PQ!S709)</f>
        <v/>
      </c>
      <c r="T709" s="57" t="str">
        <f>IF(Associates_Call_List_PQ!T709="","",Associates_Call_List_PQ!T709)</f>
        <v/>
      </c>
      <c r="U709" s="57" t="str">
        <f>IF(Associates_Call_List_PQ!U709="","",Associates_Call_List_PQ!U709)</f>
        <v/>
      </c>
      <c r="V709" s="68" t="s">
        <v>5433</v>
      </c>
      <c r="W709" s="68">
        <v>46025</v>
      </c>
      <c r="X709" s="68" t="s">
        <v>5434</v>
      </c>
      <c r="Y709" s="68"/>
      <c r="Z709" s="72" t="s">
        <v>5627</v>
      </c>
    </row>
    <row r="710" spans="1:26">
      <c r="A710" s="71">
        <f>IFERROR(Associates_Call_List_PQ!A710,"")</f>
        <v>45909</v>
      </c>
      <c r="B710" s="57" t="str">
        <f>IF(Associates_Call_List_PQ!B710="","",Associates_Call_List_PQ!B710)</f>
        <v>Hudgins</v>
      </c>
      <c r="C710" s="57" t="str">
        <f>IF(Associates_Call_List_PQ!C710="","",Associates_Call_List_PQ!C710)</f>
        <v>Eldeen</v>
      </c>
      <c r="D710" s="57" t="str">
        <f>IF(Associates_Call_List_PQ!D710="","",Associates_Call_List_PQ!D710)</f>
        <v>El Mirage</v>
      </c>
      <c r="E710" s="58">
        <f>IF(Associates_Call_List_PQ!E710="","",Associates_Call_List_PQ!E710)</f>
        <v>85335</v>
      </c>
      <c r="F710" s="57" t="str">
        <f>IF(Associates_Call_List_PQ!F710="","",Associates_Call_List_PQ!F710)</f>
        <v>Opposed / submitted request to intervene</v>
      </c>
      <c r="G710" s="57" t="str">
        <f>IF(Associates_Call_List_PQ!G710="","",Associates_Call_List_PQ!G710)</f>
        <v>https://docket.images.azcc.gov/E000046269.pdf</v>
      </c>
      <c r="H710" s="59" t="str">
        <f>IF(Associates_Call_List_PQ!H710="","",Associates_Call_List_PQ!H710)</f>
        <v>6552151000</v>
      </c>
      <c r="I710" s="57" t="str">
        <f>IF(Associates_Call_List_PQ!I710="","",Associates_Call_List_PQ!I710)</f>
        <v>RCPw/R-2</v>
      </c>
      <c r="J710" s="57" t="str">
        <f>IF(Associates_Call_List_PQ!J710="","",Associates_Call_List_PQ!J710)</f>
        <v>No</v>
      </c>
      <c r="K710" s="57" t="str">
        <f>IF(Associates_Call_List_PQ!K710="","",Associates_Call_List_PQ!K710)</f>
        <v>No</v>
      </c>
      <c r="L710" s="57" t="str">
        <f>IF(Associates_Call_List_PQ!L710="","",Associates_Call_List_PQ!L710)</f>
        <v>Frozen Rate</v>
      </c>
      <c r="M710" s="57" t="str">
        <f>IF(Associates_Call_List_PQ!M710="","",Associates_Call_List_PQ!M710)</f>
        <v>No</v>
      </c>
      <c r="N710" s="57" t="str">
        <f>IF(Associates_Call_List_PQ!N710="","",Associates_Call_List_PQ!N710)</f>
        <v>No</v>
      </c>
      <c r="O710" s="57" t="str">
        <f>IF(Associates_Call_List_PQ!O710="","",Associates_Call_List_PQ!O710)</f>
        <v>Yes</v>
      </c>
      <c r="P710" s="57" t="str">
        <f>IF(Associates_Call_List_PQ!P710="","",Associates_Call_List_PQ!P710)</f>
        <v>N</v>
      </c>
      <c r="Q710" s="57">
        <f>IF(Associates_Call_List_PQ!Q710="","",Associates_Call_List_PQ!Q710)</f>
        <v>45961</v>
      </c>
      <c r="R710" s="57" t="str">
        <f>IF(Associates_Call_List_PQ!R710="","",Associates_Call_List_PQ!R710)</f>
        <v/>
      </c>
      <c r="S710" s="57" t="str">
        <f>IF(Associates_Call_List_PQ!S710="","",Associates_Call_List_PQ!S710)</f>
        <v/>
      </c>
      <c r="T710" s="57" t="str">
        <f>IF(Associates_Call_List_PQ!T710="","",Associates_Call_List_PQ!T710)</f>
        <v/>
      </c>
      <c r="U710" s="57" t="str">
        <f>IF(Associates_Call_List_PQ!U710="","",Associates_Call_List_PQ!U710)</f>
        <v/>
      </c>
      <c r="V710" s="68" t="s">
        <v>5433</v>
      </c>
      <c r="W710" s="68">
        <v>46081</v>
      </c>
      <c r="X710" s="68" t="s">
        <v>5434</v>
      </c>
      <c r="Y710" s="68"/>
      <c r="Z710" s="72" t="s">
        <v>5547</v>
      </c>
    </row>
    <row r="711" spans="1:26">
      <c r="A711" s="71">
        <f>IFERROR(Associates_Call_List_PQ!A711,"")</f>
        <v>45909</v>
      </c>
      <c r="B711" s="57" t="str">
        <f>IF(Associates_Call_List_PQ!B711="","",Associates_Call_List_PQ!B711)</f>
        <v>Burkes</v>
      </c>
      <c r="C711" s="57" t="str">
        <f>IF(Associates_Call_List_PQ!C711="","",Associates_Call_List_PQ!C711)</f>
        <v>Justin</v>
      </c>
      <c r="D711" s="57" t="str">
        <f>IF(Associates_Call_List_PQ!D711="","",Associates_Call_List_PQ!D711)</f>
        <v>Chandler</v>
      </c>
      <c r="E711" s="58">
        <f>IF(Associates_Call_List_PQ!E711="","",Associates_Call_List_PQ!E711)</f>
        <v>85225</v>
      </c>
      <c r="F711" s="57" t="str">
        <f>IF(Associates_Call_List_PQ!F711="","",Associates_Call_List_PQ!F711)</f>
        <v>Form letter</v>
      </c>
      <c r="G711" s="57" t="str">
        <f>IF(Associates_Call_List_PQ!G711="","",Associates_Call_List_PQ!G711)</f>
        <v>https://docket.images.azcc.gov/E000046289.pdf</v>
      </c>
      <c r="H711" s="59" t="str">
        <f>IF(Associates_Call_List_PQ!H711="","",Associates_Call_List_PQ!H711)</f>
        <v>5001808687</v>
      </c>
      <c r="I711" s="57" t="str">
        <f>IF(Associates_Call_List_PQ!I711="","",Associates_Call_List_PQ!I711)</f>
        <v>RCPw/RTOUE47</v>
      </c>
      <c r="J711" s="57" t="str">
        <f>IF(Associates_Call_List_PQ!J711="","",Associates_Call_List_PQ!J711)</f>
        <v>No</v>
      </c>
      <c r="K711" s="57" t="str">
        <f>IF(Associates_Call_List_PQ!K711="","",Associates_Call_List_PQ!K711)</f>
        <v>No</v>
      </c>
      <c r="L711" s="57" t="str">
        <f>IF(Associates_Call_List_PQ!L711="","",Associates_Call_List_PQ!L711)</f>
        <v>Y</v>
      </c>
      <c r="M711" s="57" t="str">
        <f>IF(Associates_Call_List_PQ!M711="","",Associates_Call_List_PQ!M711)</f>
        <v>No</v>
      </c>
      <c r="N711" s="57" t="str">
        <f>IF(Associates_Call_List_PQ!N711="","",Associates_Call_List_PQ!N711)</f>
        <v>No</v>
      </c>
      <c r="O711" s="57" t="str">
        <f>IF(Associates_Call_List_PQ!O711="","",Associates_Call_List_PQ!O711)</f>
        <v>Yes</v>
      </c>
      <c r="P711" s="57" t="str">
        <f>IF(Associates_Call_List_PQ!P711="","",Associates_Call_List_PQ!P711)</f>
        <v>N</v>
      </c>
      <c r="Q711" s="57">
        <f>IF(Associates_Call_List_PQ!Q711="","",Associates_Call_List_PQ!Q711)</f>
        <v>45961</v>
      </c>
      <c r="R711" s="57" t="str">
        <f>IF(Associates_Call_List_PQ!R711="","",Associates_Call_List_PQ!R711)</f>
        <v/>
      </c>
      <c r="S711" s="57" t="str">
        <f>IF(Associates_Call_List_PQ!S711="","",Associates_Call_List_PQ!S711)</f>
        <v/>
      </c>
      <c r="T711" s="57" t="str">
        <f>IF(Associates_Call_List_PQ!T711="","",Associates_Call_List_PQ!T711)</f>
        <v/>
      </c>
      <c r="U711" s="57" t="str">
        <f>IF(Associates_Call_List_PQ!U711="","",Associates_Call_List_PQ!U711)</f>
        <v/>
      </c>
      <c r="V711" s="68"/>
      <c r="W711" s="68" t="s">
        <v>5432</v>
      </c>
      <c r="X711" s="68"/>
      <c r="Y711" s="68"/>
      <c r="Z711" s="72"/>
    </row>
    <row r="712" spans="1:26">
      <c r="A712" s="71">
        <f>IFERROR(Associates_Call_List_PQ!A712,"")</f>
        <v>45909</v>
      </c>
      <c r="B712" s="57" t="str">
        <f>IF(Associates_Call_List_PQ!B712="","",Associates_Call_List_PQ!B712)</f>
        <v>Taylor</v>
      </c>
      <c r="C712" s="57" t="str">
        <f>IF(Associates_Call_List_PQ!C712="","",Associates_Call_List_PQ!C712)</f>
        <v>Kathryne</v>
      </c>
      <c r="D712" s="57" t="str">
        <f>IF(Associates_Call_List_PQ!D712="","",Associates_Call_List_PQ!D712)</f>
        <v>Hereford</v>
      </c>
      <c r="E712" s="58">
        <f>IF(Associates_Call_List_PQ!E712="","",Associates_Call_List_PQ!E712)</f>
        <v>85615</v>
      </c>
      <c r="F712" s="57" t="str">
        <f>IF(Associates_Call_List_PQ!F712="","",Associates_Call_List_PQ!F712)</f>
        <v>Opposed</v>
      </c>
      <c r="G712" s="57" t="str">
        <f>IF(Associates_Call_List_PQ!G712="","",Associates_Call_List_PQ!G712)</f>
        <v>https://docket.images.azcc.gov/E000046289.pdf</v>
      </c>
      <c r="H712" s="59" t="str">
        <f>IF(Associates_Call_List_PQ!H712="","",Associates_Call_List_PQ!H712)</f>
        <v>1247840000</v>
      </c>
      <c r="I712" s="57" t="str">
        <f>IF(Associates_Call_List_PQ!I712="","",Associates_Call_List_PQ!I712)</f>
        <v>RTOUE47</v>
      </c>
      <c r="J712" s="57" t="str">
        <f>IF(Associates_Call_List_PQ!J712="","",Associates_Call_List_PQ!J712)</f>
        <v>Yes</v>
      </c>
      <c r="K712" s="57" t="str">
        <f>IF(Associates_Call_List_PQ!K712="","",Associates_Call_List_PQ!K712)</f>
        <v>No</v>
      </c>
      <c r="L712" s="57" t="str">
        <f>IF(Associates_Call_List_PQ!L712="","",Associates_Call_List_PQ!L712)</f>
        <v>No MEP R3-47 ($161.55)</v>
      </c>
      <c r="M712" s="57" t="str">
        <f>IF(Associates_Call_List_PQ!M712="","",Associates_Call_List_PQ!M712)</f>
        <v>No</v>
      </c>
      <c r="N712" s="57" t="str">
        <f>IF(Associates_Call_List_PQ!N712="","",Associates_Call_List_PQ!N712)</f>
        <v>No</v>
      </c>
      <c r="O712" s="57" t="str">
        <f>IF(Associates_Call_List_PQ!O712="","",Associates_Call_List_PQ!O712)</f>
        <v>Yes</v>
      </c>
      <c r="P712" s="57">
        <f>IF(Associates_Call_List_PQ!P712="","",Associates_Call_List_PQ!P712)</f>
        <v>45938</v>
      </c>
      <c r="Q712" s="57">
        <f>IF(Associates_Call_List_PQ!Q712="","",Associates_Call_List_PQ!Q712)</f>
        <v>45961</v>
      </c>
      <c r="R712" s="57" t="str">
        <f>IF(Associates_Call_List_PQ!R712="","",Associates_Call_List_PQ!R712)</f>
        <v>10/08/2025 left VM</v>
      </c>
      <c r="S712" s="57" t="str">
        <f>IF(Associates_Call_List_PQ!S712="","",Associates_Call_List_PQ!S712)</f>
        <v/>
      </c>
      <c r="T712" s="57" t="str">
        <f>IF(Associates_Call_List_PQ!T712="","",Associates_Call_List_PQ!T712)</f>
        <v/>
      </c>
      <c r="U712" s="57" t="str">
        <f>IF(Associates_Call_List_PQ!U712="","",Associates_Call_List_PQ!U712)</f>
        <v/>
      </c>
      <c r="V712" s="68" t="s">
        <v>5433</v>
      </c>
      <c r="W712" s="68">
        <v>46025</v>
      </c>
      <c r="X712" s="68" t="s">
        <v>5434</v>
      </c>
      <c r="Y712" s="68"/>
      <c r="Z712" s="72" t="s">
        <v>5627</v>
      </c>
    </row>
    <row r="713" spans="1:26">
      <c r="A713" s="71">
        <f>IFERROR(Associates_Call_List_PQ!A713,"")</f>
        <v>45909</v>
      </c>
      <c r="B713" s="57" t="str">
        <f>IF(Associates_Call_List_PQ!B713="","",Associates_Call_List_PQ!B713)</f>
        <v>Nelson</v>
      </c>
      <c r="C713" s="57" t="str">
        <f>IF(Associates_Call_List_PQ!C713="","",Associates_Call_List_PQ!C713)</f>
        <v>Hollie</v>
      </c>
      <c r="D713" s="57" t="str">
        <f>IF(Associates_Call_List_PQ!D713="","",Associates_Call_List_PQ!D713)</f>
        <v>Phoenix</v>
      </c>
      <c r="E713" s="58">
        <f>IF(Associates_Call_List_PQ!E713="","",Associates_Call_List_PQ!E713)</f>
        <v>85032</v>
      </c>
      <c r="F713" s="57" t="str">
        <f>IF(Associates_Call_List_PQ!F713="","",Associates_Call_List_PQ!F713)</f>
        <v>Form letter</v>
      </c>
      <c r="G713" s="57" t="str">
        <f>IF(Associates_Call_List_PQ!G713="","",Associates_Call_List_PQ!G713)</f>
        <v>https://docket.images.azcc.gov/E000046289.pdf</v>
      </c>
      <c r="H713" s="59" t="str">
        <f>IF(Associates_Call_List_PQ!H713="","",Associates_Call_List_PQ!H713)</f>
        <v>7888410000</v>
      </c>
      <c r="I713" s="57" t="str">
        <f>IF(Associates_Call_List_PQ!I713="","",Associates_Call_List_PQ!I713)</f>
        <v>R3-47</v>
      </c>
      <c r="J713" s="57" t="str">
        <f>IF(Associates_Call_List_PQ!J713="","",Associates_Call_List_PQ!J713)</f>
        <v>No</v>
      </c>
      <c r="K713" s="57" t="str">
        <f>IF(Associates_Call_List_PQ!K713="","",Associates_Call_List_PQ!K713)</f>
        <v>No</v>
      </c>
      <c r="L713" s="57" t="str">
        <f>IF(Associates_Call_List_PQ!L713="","",Associates_Call_List_PQ!L713)</f>
        <v>Y</v>
      </c>
      <c r="M713" s="57" t="str">
        <f>IF(Associates_Call_List_PQ!M713="","",Associates_Call_List_PQ!M713)</f>
        <v>No</v>
      </c>
      <c r="N713" s="57" t="str">
        <f>IF(Associates_Call_List_PQ!N713="","",Associates_Call_List_PQ!N713)</f>
        <v>No</v>
      </c>
      <c r="O713" s="57" t="str">
        <f>IF(Associates_Call_List_PQ!O713="","",Associates_Call_List_PQ!O713)</f>
        <v>Yes</v>
      </c>
      <c r="P713" s="57" t="str">
        <f>IF(Associates_Call_List_PQ!P713="","",Associates_Call_List_PQ!P713)</f>
        <v>N</v>
      </c>
      <c r="Q713" s="57">
        <f>IF(Associates_Call_List_PQ!Q713="","",Associates_Call_List_PQ!Q713)</f>
        <v>45961</v>
      </c>
      <c r="R713" s="57" t="str">
        <f>IF(Associates_Call_List_PQ!R713="","",Associates_Call_List_PQ!R713)</f>
        <v/>
      </c>
      <c r="S713" s="57" t="str">
        <f>IF(Associates_Call_List_PQ!S713="","",Associates_Call_List_PQ!S713)</f>
        <v/>
      </c>
      <c r="T713" s="57" t="str">
        <f>IF(Associates_Call_List_PQ!T713="","",Associates_Call_List_PQ!T713)</f>
        <v/>
      </c>
      <c r="U713" s="57" t="str">
        <f>IF(Associates_Call_List_PQ!U713="","",Associates_Call_List_PQ!U713)</f>
        <v/>
      </c>
      <c r="V713" s="68"/>
      <c r="W713" s="68" t="s">
        <v>5432</v>
      </c>
      <c r="X713" s="68"/>
      <c r="Y713" s="68"/>
      <c r="Z713" s="72"/>
    </row>
    <row r="714" spans="1:26">
      <c r="A714" s="71">
        <f>IFERROR(Associates_Call_List_PQ!A714,"")</f>
        <v>45909</v>
      </c>
      <c r="B714" s="57" t="str">
        <f>IF(Associates_Call_List_PQ!B714="","",Associates_Call_List_PQ!B714)</f>
        <v>Hill</v>
      </c>
      <c r="C714" s="57" t="str">
        <f>IF(Associates_Call_List_PQ!C714="","",Associates_Call_List_PQ!C714)</f>
        <v>Ashley</v>
      </c>
      <c r="D714" s="57" t="str">
        <f>IF(Associates_Call_List_PQ!D714="","",Associates_Call_List_PQ!D714)</f>
        <v>Phoenix</v>
      </c>
      <c r="E714" s="58">
        <f>IF(Associates_Call_List_PQ!E714="","",Associates_Call_List_PQ!E714)</f>
        <v>85020</v>
      </c>
      <c r="F714" s="57" t="str">
        <f>IF(Associates_Call_List_PQ!F714="","",Associates_Call_List_PQ!F714)</f>
        <v>Form letter</v>
      </c>
      <c r="G714" s="57" t="str">
        <f>IF(Associates_Call_List_PQ!G714="","",Associates_Call_List_PQ!G714)</f>
        <v>https://docket.images.azcc.gov/E000046289.pdf</v>
      </c>
      <c r="H714" s="59" t="str">
        <f>IF(Associates_Call_List_PQ!H714="","",Associates_Call_List_PQ!H714)</f>
        <v>5739710087</v>
      </c>
      <c r="I714" s="57" t="str">
        <f>IF(Associates_Call_List_PQ!I714="","",Associates_Call_List_PQ!I714)</f>
        <v>R-2</v>
      </c>
      <c r="J714" s="57" t="str">
        <f>IF(Associates_Call_List_PQ!J714="","",Associates_Call_List_PQ!J714)</f>
        <v>No</v>
      </c>
      <c r="K714" s="57" t="str">
        <f>IF(Associates_Call_List_PQ!K714="","",Associates_Call_List_PQ!K714)</f>
        <v>No</v>
      </c>
      <c r="L714" s="57" t="str">
        <f>IF(Associates_Call_List_PQ!L714="","",Associates_Call_List_PQ!L714)</f>
        <v>Frozen Rate</v>
      </c>
      <c r="M714" s="57" t="str">
        <f>IF(Associates_Call_List_PQ!M714="","",Associates_Call_List_PQ!M714)</f>
        <v>No</v>
      </c>
      <c r="N714" s="57" t="str">
        <f>IF(Associates_Call_List_PQ!N714="","",Associates_Call_List_PQ!N714)</f>
        <v>No</v>
      </c>
      <c r="O714" s="57" t="str">
        <f>IF(Associates_Call_List_PQ!O714="","",Associates_Call_List_PQ!O714)</f>
        <v>Yes</v>
      </c>
      <c r="P714" s="57" t="str">
        <f>IF(Associates_Call_List_PQ!P714="","",Associates_Call_List_PQ!P714)</f>
        <v>N</v>
      </c>
      <c r="Q714" s="57">
        <f>IF(Associates_Call_List_PQ!Q714="","",Associates_Call_List_PQ!Q714)</f>
        <v>45961</v>
      </c>
      <c r="R714" s="57" t="str">
        <f>IF(Associates_Call_List_PQ!R714="","",Associates_Call_List_PQ!R714)</f>
        <v/>
      </c>
      <c r="S714" s="57" t="str">
        <f>IF(Associates_Call_List_PQ!S714="","",Associates_Call_List_PQ!S714)</f>
        <v/>
      </c>
      <c r="T714" s="57" t="str">
        <f>IF(Associates_Call_List_PQ!T714="","",Associates_Call_List_PQ!T714)</f>
        <v/>
      </c>
      <c r="U714" s="57" t="str">
        <f>IF(Associates_Call_List_PQ!U714="","",Associates_Call_List_PQ!U714)</f>
        <v/>
      </c>
      <c r="V714" s="68" t="s">
        <v>5433</v>
      </c>
      <c r="W714" s="68">
        <v>46081</v>
      </c>
      <c r="X714" s="68" t="s">
        <v>5434</v>
      </c>
      <c r="Y714" s="68"/>
      <c r="Z714" s="72" t="s">
        <v>5547</v>
      </c>
    </row>
    <row r="715" spans="1:26">
      <c r="A715" s="71">
        <f>IFERROR(Associates_Call_List_PQ!A715,"")</f>
        <v>45909</v>
      </c>
      <c r="B715" s="57" t="str">
        <f>IF(Associates_Call_List_PQ!B715="","",Associates_Call_List_PQ!B715)</f>
        <v>Stolarski</v>
      </c>
      <c r="C715" s="57" t="str">
        <f>IF(Associates_Call_List_PQ!C715="","",Associates_Call_List_PQ!C715)</f>
        <v>Larry</v>
      </c>
      <c r="D715" s="57" t="str">
        <f>IF(Associates_Call_List_PQ!D715="","",Associates_Call_List_PQ!D715)</f>
        <v>Phoenix</v>
      </c>
      <c r="E715" s="58">
        <f>IF(Associates_Call_List_PQ!E715="","",Associates_Call_List_PQ!E715)</f>
        <v>85083</v>
      </c>
      <c r="F715" s="57" t="str">
        <f>IF(Associates_Call_List_PQ!F715="","",Associates_Call_List_PQ!F715)</f>
        <v>Opposed</v>
      </c>
      <c r="G715" s="57" t="str">
        <f>IF(Associates_Call_List_PQ!G715="","",Associates_Call_List_PQ!G715)</f>
        <v>https://docket.images.azcc.gov/E000046289.pdf</v>
      </c>
      <c r="H715" s="59" t="str">
        <f>IF(Associates_Call_List_PQ!H715="","",Associates_Call_List_PQ!H715)</f>
        <v>7411200000</v>
      </c>
      <c r="I715" s="57" t="str">
        <f>IF(Associates_Call_List_PQ!I715="","",Associates_Call_List_PQ!I715)</f>
        <v>R-BASIC</v>
      </c>
      <c r="J715" s="57" t="str">
        <f>IF(Associates_Call_List_PQ!J715="","",Associates_Call_List_PQ!J715)</f>
        <v>No</v>
      </c>
      <c r="K715" s="57" t="str">
        <f>IF(Associates_Call_List_PQ!K715="","",Associates_Call_List_PQ!K715)</f>
        <v>No</v>
      </c>
      <c r="L715" s="57" t="str">
        <f>IF(Associates_Call_List_PQ!L715="","",Associates_Call_List_PQ!L715)</f>
        <v>Y</v>
      </c>
      <c r="M715" s="57" t="str">
        <f>IF(Associates_Call_List_PQ!M715="","",Associates_Call_List_PQ!M715)</f>
        <v>No</v>
      </c>
      <c r="N715" s="57" t="str">
        <f>IF(Associates_Call_List_PQ!N715="","",Associates_Call_List_PQ!N715)</f>
        <v>No</v>
      </c>
      <c r="O715" s="57" t="str">
        <f>IF(Associates_Call_List_PQ!O715="","",Associates_Call_List_PQ!O715)</f>
        <v>Yes</v>
      </c>
      <c r="P715" s="57" t="str">
        <f>IF(Associates_Call_List_PQ!P715="","",Associates_Call_List_PQ!P715)</f>
        <v>N</v>
      </c>
      <c r="Q715" s="57">
        <f>IF(Associates_Call_List_PQ!Q715="","",Associates_Call_List_PQ!Q715)</f>
        <v>45961</v>
      </c>
      <c r="R715" s="57" t="str">
        <f>IF(Associates_Call_List_PQ!R715="","",Associates_Call_List_PQ!R715)</f>
        <v/>
      </c>
      <c r="S715" s="57" t="str">
        <f>IF(Associates_Call_List_PQ!S715="","",Associates_Call_List_PQ!S715)</f>
        <v/>
      </c>
      <c r="T715" s="57" t="str">
        <f>IF(Associates_Call_List_PQ!T715="","",Associates_Call_List_PQ!T715)</f>
        <v/>
      </c>
      <c r="U715" s="57" t="str">
        <f>IF(Associates_Call_List_PQ!U715="","",Associates_Call_List_PQ!U715)</f>
        <v/>
      </c>
      <c r="V715" s="68"/>
      <c r="W715" s="68" t="s">
        <v>5432</v>
      </c>
      <c r="X715" s="68"/>
      <c r="Y715" s="68"/>
      <c r="Z715" s="72"/>
    </row>
    <row r="716" spans="1:26">
      <c r="A716" s="71">
        <f>IFERROR(Associates_Call_List_PQ!A716,"")</f>
        <v>45909</v>
      </c>
      <c r="B716" s="57" t="str">
        <f>IF(Associates_Call_List_PQ!B716="","",Associates_Call_List_PQ!B716)</f>
        <v>Ryan</v>
      </c>
      <c r="C716" s="57" t="str">
        <f>IF(Associates_Call_List_PQ!C716="","",Associates_Call_List_PQ!C716)</f>
        <v>Catie</v>
      </c>
      <c r="D716" s="57" t="str">
        <f>IF(Associates_Call_List_PQ!D716="","",Associates_Call_List_PQ!D716)</f>
        <v>Phoenix</v>
      </c>
      <c r="E716" s="58">
        <f>IF(Associates_Call_List_PQ!E716="","",Associates_Call_List_PQ!E716)</f>
        <v>85086</v>
      </c>
      <c r="F716" s="57" t="str">
        <f>IF(Associates_Call_List_PQ!F716="","",Associates_Call_List_PQ!F716)</f>
        <v>Opposed</v>
      </c>
      <c r="G716" s="57" t="str">
        <f>IF(Associates_Call_List_PQ!G716="","",Associates_Call_List_PQ!G716)</f>
        <v>https://docket.images.azcc.gov/E000046289.pdf</v>
      </c>
      <c r="H716" s="59" t="str">
        <f>IF(Associates_Call_List_PQ!H716="","",Associates_Call_List_PQ!H716)</f>
        <v>9763988768</v>
      </c>
      <c r="I716" s="57" t="str">
        <f>IF(Associates_Call_List_PQ!I716="","",Associates_Call_List_PQ!I716)</f>
        <v>R3-47</v>
      </c>
      <c r="J716" s="57" t="str">
        <f>IF(Associates_Call_List_PQ!J716="","",Associates_Call_List_PQ!J716)</f>
        <v>Yes</v>
      </c>
      <c r="K716" s="57" t="str">
        <f>IF(Associates_Call_List_PQ!K716="","",Associates_Call_List_PQ!K716)</f>
        <v>No</v>
      </c>
      <c r="L716" s="57" t="str">
        <f>IF(Associates_Call_List_PQ!L716="","",Associates_Call_List_PQ!L716)</f>
        <v>Y</v>
      </c>
      <c r="M716" s="57" t="str">
        <f>IF(Associates_Call_List_PQ!M716="","",Associates_Call_List_PQ!M716)</f>
        <v>No</v>
      </c>
      <c r="N716" s="57" t="str">
        <f>IF(Associates_Call_List_PQ!N716="","",Associates_Call_List_PQ!N716)</f>
        <v>No</v>
      </c>
      <c r="O716" s="57" t="str">
        <f>IF(Associates_Call_List_PQ!O716="","",Associates_Call_List_PQ!O716)</f>
        <v>Yes</v>
      </c>
      <c r="P716" s="57" t="str">
        <f>IF(Associates_Call_List_PQ!P716="","",Associates_Call_List_PQ!P716)</f>
        <v>N</v>
      </c>
      <c r="Q716" s="57">
        <f>IF(Associates_Call_List_PQ!Q716="","",Associates_Call_List_PQ!Q716)</f>
        <v>45961</v>
      </c>
      <c r="R716" s="57" t="str">
        <f>IF(Associates_Call_List_PQ!R716="","",Associates_Call_List_PQ!R716)</f>
        <v/>
      </c>
      <c r="S716" s="57" t="str">
        <f>IF(Associates_Call_List_PQ!S716="","",Associates_Call_List_PQ!S716)</f>
        <v/>
      </c>
      <c r="T716" s="57" t="str">
        <f>IF(Associates_Call_List_PQ!T716="","",Associates_Call_List_PQ!T716)</f>
        <v/>
      </c>
      <c r="U716" s="57" t="str">
        <f>IF(Associates_Call_List_PQ!U716="","",Associates_Call_List_PQ!U716)</f>
        <v/>
      </c>
      <c r="V716" s="68" t="s">
        <v>5433</v>
      </c>
      <c r="W716" s="68">
        <v>46081</v>
      </c>
      <c r="X716" s="68" t="s">
        <v>5434</v>
      </c>
      <c r="Y716" s="68"/>
      <c r="Z716" s="72" t="s">
        <v>5547</v>
      </c>
    </row>
    <row r="717" spans="1:26">
      <c r="A717" s="71">
        <f>IFERROR(Associates_Call_List_PQ!A717,"")</f>
        <v>45909</v>
      </c>
      <c r="B717" s="57" t="str">
        <f>IF(Associates_Call_List_PQ!B717="","",Associates_Call_List_PQ!B717)</f>
        <v>Dunn</v>
      </c>
      <c r="C717" s="57" t="str">
        <f>IF(Associates_Call_List_PQ!C717="","",Associates_Call_List_PQ!C717)</f>
        <v>Debbie</v>
      </c>
      <c r="D717" s="57" t="str">
        <f>IF(Associates_Call_List_PQ!D717="","",Associates_Call_List_PQ!D717)</f>
        <v>Phoenix</v>
      </c>
      <c r="E717" s="58">
        <f>IF(Associates_Call_List_PQ!E717="","",Associates_Call_List_PQ!E717)</f>
        <v>85086</v>
      </c>
      <c r="F717" s="57" t="str">
        <f>IF(Associates_Call_List_PQ!F717="","",Associates_Call_List_PQ!F717)</f>
        <v>Rates were raised last year</v>
      </c>
      <c r="G717" s="57" t="str">
        <f>IF(Associates_Call_List_PQ!G717="","",Associates_Call_List_PQ!G717)</f>
        <v>https://docket.images.azcc.gov/E000046289.pdf</v>
      </c>
      <c r="H717" s="59" t="str">
        <f>IF(Associates_Call_List_PQ!H717="","",Associates_Call_List_PQ!H717)</f>
        <v>4455045278</v>
      </c>
      <c r="I717" s="57" t="str">
        <f>IF(Associates_Call_List_PQ!I717="","",Associates_Call_List_PQ!I717)</f>
        <v>RCPw/RTOUE47</v>
      </c>
      <c r="J717" s="57" t="str">
        <f>IF(Associates_Call_List_PQ!J717="","",Associates_Call_List_PQ!J717)</f>
        <v>No</v>
      </c>
      <c r="K717" s="57" t="str">
        <f>IF(Associates_Call_List_PQ!K717="","",Associates_Call_List_PQ!K717)</f>
        <v>No</v>
      </c>
      <c r="L717" s="57" t="str">
        <f>IF(Associates_Call_List_PQ!L717="","",Associates_Call_List_PQ!L717)</f>
        <v>Y</v>
      </c>
      <c r="M717" s="57" t="str">
        <f>IF(Associates_Call_List_PQ!M717="","",Associates_Call_List_PQ!M717)</f>
        <v>No</v>
      </c>
      <c r="N717" s="57" t="str">
        <f>IF(Associates_Call_List_PQ!N717="","",Associates_Call_List_PQ!N717)</f>
        <v>No</v>
      </c>
      <c r="O717" s="57" t="str">
        <f>IF(Associates_Call_List_PQ!O717="","",Associates_Call_List_PQ!O717)</f>
        <v>Yes</v>
      </c>
      <c r="P717" s="57" t="str">
        <f>IF(Associates_Call_List_PQ!P717="","",Associates_Call_List_PQ!P717)</f>
        <v>N</v>
      </c>
      <c r="Q717" s="57">
        <f>IF(Associates_Call_List_PQ!Q717="","",Associates_Call_List_PQ!Q717)</f>
        <v>45961</v>
      </c>
      <c r="R717" s="57" t="str">
        <f>IF(Associates_Call_List_PQ!R717="","",Associates_Call_List_PQ!R717)</f>
        <v/>
      </c>
      <c r="S717" s="57" t="str">
        <f>IF(Associates_Call_List_PQ!S717="","",Associates_Call_List_PQ!S717)</f>
        <v/>
      </c>
      <c r="T717" s="57" t="str">
        <f>IF(Associates_Call_List_PQ!T717="","",Associates_Call_List_PQ!T717)</f>
        <v/>
      </c>
      <c r="U717" s="57" t="str">
        <f>IF(Associates_Call_List_PQ!U717="","",Associates_Call_List_PQ!U717)</f>
        <v/>
      </c>
      <c r="V717" s="68"/>
      <c r="W717" s="68" t="s">
        <v>5432</v>
      </c>
      <c r="X717" s="68"/>
      <c r="Y717" s="68"/>
      <c r="Z717" s="72"/>
    </row>
    <row r="718" spans="1:26">
      <c r="A718" s="71">
        <f>IFERROR(Associates_Call_List_PQ!A718,"")</f>
        <v>45909</v>
      </c>
      <c r="B718" s="57" t="str">
        <f>IF(Associates_Call_List_PQ!B718="","",Associates_Call_List_PQ!B718)</f>
        <v>Bernhardt</v>
      </c>
      <c r="C718" s="57" t="str">
        <f>IF(Associates_Call_List_PQ!C718="","",Associates_Call_List_PQ!C718)</f>
        <v>Lisa</v>
      </c>
      <c r="D718" s="57" t="str">
        <f>IF(Associates_Call_List_PQ!D718="","",Associates_Call_List_PQ!D718)</f>
        <v>Phoenix</v>
      </c>
      <c r="E718" s="58">
        <f>IF(Associates_Call_List_PQ!E718="","",Associates_Call_List_PQ!E718)</f>
        <v>85086</v>
      </c>
      <c r="F718" s="57" t="str">
        <f>IF(Associates_Call_List_PQ!F718="","",Associates_Call_List_PQ!F718)</f>
        <v>Opposed</v>
      </c>
      <c r="G718" s="57" t="str">
        <f>IF(Associates_Call_List_PQ!G718="","",Associates_Call_List_PQ!G718)</f>
        <v>https://docket.images.azcc.gov/E000046289.pdf</v>
      </c>
      <c r="H718" s="59" t="str">
        <f>IF(Associates_Call_List_PQ!H718="","",Associates_Call_List_PQ!H718)</f>
        <v>8069970000</v>
      </c>
      <c r="I718" s="57" t="str">
        <f>IF(Associates_Call_List_PQ!I718="","",Associates_Call_List_PQ!I718)</f>
        <v>RCPw/RTOUE47</v>
      </c>
      <c r="J718" s="57" t="str">
        <f>IF(Associates_Call_List_PQ!J718="","",Associates_Call_List_PQ!J718)</f>
        <v>No</v>
      </c>
      <c r="K718" s="57" t="str">
        <f>IF(Associates_Call_List_PQ!K718="","",Associates_Call_List_PQ!K718)</f>
        <v>No</v>
      </c>
      <c r="L718" s="57" t="str">
        <f>IF(Associates_Call_List_PQ!L718="","",Associates_Call_List_PQ!L718)</f>
        <v>Y</v>
      </c>
      <c r="M718" s="57" t="str">
        <f>IF(Associates_Call_List_PQ!M718="","",Associates_Call_List_PQ!M718)</f>
        <v>Yes</v>
      </c>
      <c r="N718" s="57">
        <f>IF(Associates_Call_List_PQ!N718="","",Associates_Call_List_PQ!N718)</f>
        <v>1068.19</v>
      </c>
      <c r="O718" s="57" t="str">
        <f>IF(Associates_Call_List_PQ!O718="","",Associates_Call_List_PQ!O718)</f>
        <v>Yes</v>
      </c>
      <c r="P718" s="57" t="str">
        <f>IF(Associates_Call_List_PQ!P718="","",Associates_Call_List_PQ!P718)</f>
        <v/>
      </c>
      <c r="Q718" s="57">
        <f>IF(Associates_Call_List_PQ!Q718="","",Associates_Call_List_PQ!Q718)</f>
        <v>45961</v>
      </c>
      <c r="R718" s="57" t="str">
        <f>IF(Associates_Call_List_PQ!R718="","",Associates_Call_List_PQ!R718)</f>
        <v>Assistance?</v>
      </c>
      <c r="S718" s="57" t="str">
        <f>IF(Associates_Call_List_PQ!S718="","",Associates_Call_List_PQ!S718)</f>
        <v/>
      </c>
      <c r="T718" s="57" t="str">
        <f>IF(Associates_Call_List_PQ!T718="","",Associates_Call_List_PQ!T718)</f>
        <v/>
      </c>
      <c r="U718" s="57" t="str">
        <f>IF(Associates_Call_List_PQ!U718="","",Associates_Call_List_PQ!U718)</f>
        <v/>
      </c>
      <c r="V718" s="68" t="s">
        <v>5433</v>
      </c>
      <c r="W718" s="68">
        <v>46025</v>
      </c>
      <c r="X718" s="68" t="s">
        <v>5434</v>
      </c>
      <c r="Y718" s="68"/>
      <c r="Z718" s="72" t="s">
        <v>5627</v>
      </c>
    </row>
    <row r="719" spans="1:26">
      <c r="A719" s="71">
        <f>IFERROR(Associates_Call_List_PQ!A719,"")</f>
        <v>45909</v>
      </c>
      <c r="B719" s="57" t="str">
        <f>IF(Associates_Call_List_PQ!B719="","",Associates_Call_List_PQ!B719)</f>
        <v>Stumpf</v>
      </c>
      <c r="C719" s="57" t="str">
        <f>IF(Associates_Call_List_PQ!C719="","",Associates_Call_List_PQ!C719)</f>
        <v>Michael</v>
      </c>
      <c r="D719" s="57" t="str">
        <f>IF(Associates_Call_List_PQ!D719="","",Associates_Call_List_PQ!D719)</f>
        <v>Phoenix</v>
      </c>
      <c r="E719" s="58">
        <f>IF(Associates_Call_List_PQ!E719="","",Associates_Call_List_PQ!E719)</f>
        <v>85086</v>
      </c>
      <c r="F719" s="57" t="str">
        <f>IF(Associates_Call_List_PQ!F719="","",Associates_Call_List_PQ!F719)</f>
        <v>Rates were raised last year</v>
      </c>
      <c r="G719" s="57" t="str">
        <f>IF(Associates_Call_List_PQ!G719="","",Associates_Call_List_PQ!G719)</f>
        <v>https://docket.images.azcc.gov/E000046289.pdf</v>
      </c>
      <c r="H719" s="59">
        <f>IF(Associates_Call_List_PQ!H719="","",Associates_Call_List_PQ!H719)</f>
        <v>3006885688</v>
      </c>
      <c r="I719" s="57" t="str">
        <f>IF(Associates_Call_List_PQ!I719="","",Associates_Call_List_PQ!I719)</f>
        <v>RCPw/R3-47</v>
      </c>
      <c r="J719" s="57" t="str">
        <f>IF(Associates_Call_List_PQ!J719="","",Associates_Call_List_PQ!J719)</f>
        <v>No</v>
      </c>
      <c r="K719" s="57" t="str">
        <f>IF(Associates_Call_List_PQ!K719="","",Associates_Call_List_PQ!K719)</f>
        <v>No</v>
      </c>
      <c r="L719" s="57" t="str">
        <f>IF(Associates_Call_List_PQ!L719="","",Associates_Call_List_PQ!L719)</f>
        <v>Y</v>
      </c>
      <c r="M719" s="57" t="str">
        <f>IF(Associates_Call_List_PQ!M719="","",Associates_Call_List_PQ!M719)</f>
        <v>No</v>
      </c>
      <c r="N719" s="57" t="str">
        <f>IF(Associates_Call_List_PQ!N719="","",Associates_Call_List_PQ!N719)</f>
        <v>No</v>
      </c>
      <c r="O719" s="57" t="str">
        <f>IF(Associates_Call_List_PQ!O719="","",Associates_Call_List_PQ!O719)</f>
        <v>Yes</v>
      </c>
      <c r="P719" s="57" t="str">
        <f>IF(Associates_Call_List_PQ!P719="","",Associates_Call_List_PQ!P719)</f>
        <v>N</v>
      </c>
      <c r="Q719" s="57">
        <f>IF(Associates_Call_List_PQ!Q719="","",Associates_Call_List_PQ!Q719)</f>
        <v>45961</v>
      </c>
      <c r="R719" s="57" t="str">
        <f>IF(Associates_Call_List_PQ!R719="","",Associates_Call_List_PQ!R719)</f>
        <v/>
      </c>
      <c r="S719" s="57" t="str">
        <f>IF(Associates_Call_List_PQ!S719="","",Associates_Call_List_PQ!S719)</f>
        <v/>
      </c>
      <c r="T719" s="57" t="str">
        <f>IF(Associates_Call_List_PQ!T719="","",Associates_Call_List_PQ!T719)</f>
        <v/>
      </c>
      <c r="U719" s="57" t="str">
        <f>IF(Associates_Call_List_PQ!U719="","",Associates_Call_List_PQ!U719)</f>
        <v/>
      </c>
      <c r="V719" s="68"/>
      <c r="W719" s="68" t="s">
        <v>5432</v>
      </c>
      <c r="X719" s="68"/>
      <c r="Y719" s="68"/>
      <c r="Z719" s="72"/>
    </row>
    <row r="720" spans="1:26">
      <c r="A720" s="71">
        <f>IFERROR(Associates_Call_List_PQ!A720,"")</f>
        <v>45909</v>
      </c>
      <c r="B720" s="57" t="str">
        <f>IF(Associates_Call_List_PQ!B720="","",Associates_Call_List_PQ!B720)</f>
        <v>Kobus</v>
      </c>
      <c r="C720" s="57" t="str">
        <f>IF(Associates_Call_List_PQ!C720="","",Associates_Call_List_PQ!C720)</f>
        <v>Mark</v>
      </c>
      <c r="D720" s="57" t="str">
        <f>IF(Associates_Call_List_PQ!D720="","",Associates_Call_List_PQ!D720)</f>
        <v>Unknown</v>
      </c>
      <c r="E720" s="58" t="str">
        <f>IF(Associates_Call_List_PQ!E720="","",Associates_Call_List_PQ!E720)</f>
        <v>Unknown</v>
      </c>
      <c r="F720" s="57" t="str">
        <f>IF(Associates_Call_List_PQ!F720="","",Associates_Call_List_PQ!F720)</f>
        <v>Form letter</v>
      </c>
      <c r="G720" s="57" t="str">
        <f>IF(Associates_Call_List_PQ!G720="","",Associates_Call_List_PQ!G720)</f>
        <v>https://docket.images.azcc.gov/E000046289.pdf</v>
      </c>
      <c r="H720" s="59" t="str">
        <f>IF(Associates_Call_List_PQ!H720="","",Associates_Call_List_PQ!H720)</f>
        <v>1139701000</v>
      </c>
      <c r="I720" s="57" t="str">
        <f>IF(Associates_Call_List_PQ!I720="","",Associates_Call_List_PQ!I720)</f>
        <v>RCPw/R3-47</v>
      </c>
      <c r="J720" s="57" t="str">
        <f>IF(Associates_Call_List_PQ!J720="","",Associates_Call_List_PQ!J720)</f>
        <v>No</v>
      </c>
      <c r="K720" s="57" t="str">
        <f>IF(Associates_Call_List_PQ!K720="","",Associates_Call_List_PQ!K720)</f>
        <v>No</v>
      </c>
      <c r="L720" s="57" t="str">
        <f>IF(Associates_Call_List_PQ!L720="","",Associates_Call_List_PQ!L720)</f>
        <v>Y</v>
      </c>
      <c r="M720" s="57" t="str">
        <f>IF(Associates_Call_List_PQ!M720="","",Associates_Call_List_PQ!M720)</f>
        <v>No</v>
      </c>
      <c r="N720" s="57" t="str">
        <f>IF(Associates_Call_List_PQ!N720="","",Associates_Call_List_PQ!N720)</f>
        <v>No</v>
      </c>
      <c r="O720" s="57" t="str">
        <f>IF(Associates_Call_List_PQ!O720="","",Associates_Call_List_PQ!O720)</f>
        <v>Yes</v>
      </c>
      <c r="P720" s="57" t="str">
        <f>IF(Associates_Call_List_PQ!P720="","",Associates_Call_List_PQ!P720)</f>
        <v>N</v>
      </c>
      <c r="Q720" s="57">
        <f>IF(Associates_Call_List_PQ!Q720="","",Associates_Call_List_PQ!Q720)</f>
        <v>45961</v>
      </c>
      <c r="R720" s="57" t="str">
        <f>IF(Associates_Call_List_PQ!R720="","",Associates_Call_List_PQ!R720)</f>
        <v/>
      </c>
      <c r="S720" s="57" t="str">
        <f>IF(Associates_Call_List_PQ!S720="","",Associates_Call_List_PQ!S720)</f>
        <v/>
      </c>
      <c r="T720" s="57" t="str">
        <f>IF(Associates_Call_List_PQ!T720="","",Associates_Call_List_PQ!T720)</f>
        <v/>
      </c>
      <c r="U720" s="57" t="str">
        <f>IF(Associates_Call_List_PQ!U720="","",Associates_Call_List_PQ!U720)</f>
        <v/>
      </c>
      <c r="V720" s="68" t="s">
        <v>5433</v>
      </c>
      <c r="W720" s="68">
        <v>46081</v>
      </c>
      <c r="X720" s="68" t="s">
        <v>5405</v>
      </c>
      <c r="Y720" s="68" t="s">
        <v>5461</v>
      </c>
      <c r="Z720" s="72" t="s">
        <v>5636</v>
      </c>
    </row>
    <row r="721" spans="1:26">
      <c r="A721" s="71">
        <f>IFERROR(Associates_Call_List_PQ!A721,"")</f>
        <v>45909</v>
      </c>
      <c r="B721" s="57" t="str">
        <f>IF(Associates_Call_List_PQ!B721="","",Associates_Call_List_PQ!B721)</f>
        <v>Emery</v>
      </c>
      <c r="C721" s="57" t="str">
        <f>IF(Associates_Call_List_PQ!C721="","",Associates_Call_List_PQ!C721)</f>
        <v>Jennifer</v>
      </c>
      <c r="D721" s="57" t="str">
        <f>IF(Associates_Call_List_PQ!D721="","",Associates_Call_List_PQ!D721)</f>
        <v>Phoenix</v>
      </c>
      <c r="E721" s="58">
        <f>IF(Associates_Call_List_PQ!E721="","",Associates_Call_List_PQ!E721)</f>
        <v>85085</v>
      </c>
      <c r="F721" s="57" t="str">
        <f>IF(Associates_Call_List_PQ!F721="","",Associates_Call_List_PQ!F721)</f>
        <v>Form letter</v>
      </c>
      <c r="G721" s="57" t="str">
        <f>IF(Associates_Call_List_PQ!G721="","",Associates_Call_List_PQ!G721)</f>
        <v>https://docket.images.azcc.gov/E000046289.pdf</v>
      </c>
      <c r="H721" s="59" t="str">
        <f>IF(Associates_Call_List_PQ!H721="","",Associates_Call_List_PQ!H721)</f>
        <v>7740741000</v>
      </c>
      <c r="I721" s="57" t="str">
        <f>IF(Associates_Call_List_PQ!I721="","",Associates_Call_List_PQ!I721)</f>
        <v>R3-47</v>
      </c>
      <c r="J721" s="57" t="str">
        <f>IF(Associates_Call_List_PQ!J721="","",Associates_Call_List_PQ!J721)</f>
        <v>No</v>
      </c>
      <c r="K721" s="57" t="str">
        <f>IF(Associates_Call_List_PQ!K721="","",Associates_Call_List_PQ!K721)</f>
        <v>No</v>
      </c>
      <c r="L721" s="57" t="str">
        <f>IF(Associates_Call_List_PQ!L721="","",Associates_Call_List_PQ!L721)</f>
        <v>Y</v>
      </c>
      <c r="M721" s="57" t="str">
        <f>IF(Associates_Call_List_PQ!M721="","",Associates_Call_List_PQ!M721)</f>
        <v>No</v>
      </c>
      <c r="N721" s="57" t="str">
        <f>IF(Associates_Call_List_PQ!N721="","",Associates_Call_List_PQ!N721)</f>
        <v>No</v>
      </c>
      <c r="O721" s="57" t="str">
        <f>IF(Associates_Call_List_PQ!O721="","",Associates_Call_List_PQ!O721)</f>
        <v>Yes</v>
      </c>
      <c r="P721" s="57" t="str">
        <f>IF(Associates_Call_List_PQ!P721="","",Associates_Call_List_PQ!P721)</f>
        <v>N</v>
      </c>
      <c r="Q721" s="57">
        <f>IF(Associates_Call_List_PQ!Q721="","",Associates_Call_List_PQ!Q721)</f>
        <v>45961</v>
      </c>
      <c r="R721" s="57" t="str">
        <f>IF(Associates_Call_List_PQ!R721="","",Associates_Call_List_PQ!R721)</f>
        <v/>
      </c>
      <c r="S721" s="57" t="str">
        <f>IF(Associates_Call_List_PQ!S721="","",Associates_Call_List_PQ!S721)</f>
        <v/>
      </c>
      <c r="T721" s="57" t="str">
        <f>IF(Associates_Call_List_PQ!T721="","",Associates_Call_List_PQ!T721)</f>
        <v/>
      </c>
      <c r="U721" s="57" t="str">
        <f>IF(Associates_Call_List_PQ!U721="","",Associates_Call_List_PQ!U721)</f>
        <v/>
      </c>
      <c r="V721" s="68"/>
      <c r="W721" s="68" t="s">
        <v>5432</v>
      </c>
      <c r="X721" s="68"/>
      <c r="Y721" s="68"/>
      <c r="Z721" s="72"/>
    </row>
    <row r="722" spans="1:26">
      <c r="A722" s="71">
        <f>IFERROR(Associates_Call_List_PQ!A722,"")</f>
        <v>45909</v>
      </c>
      <c r="B722" s="57" t="str">
        <f>IF(Associates_Call_List_PQ!B722="","",Associates_Call_List_PQ!B722)</f>
        <v>Sosnicki</v>
      </c>
      <c r="C722" s="57" t="str">
        <f>IF(Associates_Call_List_PQ!C722="","",Associates_Call_List_PQ!C722)</f>
        <v>Theodore</v>
      </c>
      <c r="D722" s="57" t="str">
        <f>IF(Associates_Call_List_PQ!D722="","",Associates_Call_List_PQ!D722)</f>
        <v>Anthem</v>
      </c>
      <c r="E722" s="58">
        <f>IF(Associates_Call_List_PQ!E722="","",Associates_Call_List_PQ!E722)</f>
        <v>85086</v>
      </c>
      <c r="F722" s="57" t="str">
        <f>IF(Associates_Call_List_PQ!F722="","",Associates_Call_List_PQ!F722)</f>
        <v>Got 8% last year, now they want 14%</v>
      </c>
      <c r="G722" s="57" t="str">
        <f>IF(Associates_Call_List_PQ!G722="","",Associates_Call_List_PQ!G722)</f>
        <v>https://docket.images.azcc.gov/E000046289.pdf</v>
      </c>
      <c r="H722" s="59" t="str">
        <f>IF(Associates_Call_List_PQ!H722="","",Associates_Call_List_PQ!H722)</f>
        <v>4807360000</v>
      </c>
      <c r="I722" s="57" t="str">
        <f>IF(Associates_Call_List_PQ!I722="","",Associates_Call_List_PQ!I722)</f>
        <v>RCPw/R3-47</v>
      </c>
      <c r="J722" s="57" t="str">
        <f>IF(Associates_Call_List_PQ!J722="","",Associates_Call_List_PQ!J722)</f>
        <v>No</v>
      </c>
      <c r="K722" s="57" t="str">
        <f>IF(Associates_Call_List_PQ!K722="","",Associates_Call_List_PQ!K722)</f>
        <v>No</v>
      </c>
      <c r="L722" s="57" t="str">
        <f>IF(Associates_Call_List_PQ!L722="","",Associates_Call_List_PQ!L722)</f>
        <v>Y</v>
      </c>
      <c r="M722" s="57" t="str">
        <f>IF(Associates_Call_List_PQ!M722="","",Associates_Call_List_PQ!M722)</f>
        <v>No</v>
      </c>
      <c r="N722" s="57" t="str">
        <f>IF(Associates_Call_List_PQ!N722="","",Associates_Call_List_PQ!N722)</f>
        <v>No</v>
      </c>
      <c r="O722" s="57" t="str">
        <f>IF(Associates_Call_List_PQ!O722="","",Associates_Call_List_PQ!O722)</f>
        <v>Yes</v>
      </c>
      <c r="P722" s="57" t="str">
        <f>IF(Associates_Call_List_PQ!P722="","",Associates_Call_List_PQ!P722)</f>
        <v>N</v>
      </c>
      <c r="Q722" s="57">
        <f>IF(Associates_Call_List_PQ!Q722="","",Associates_Call_List_PQ!Q722)</f>
        <v>45961</v>
      </c>
      <c r="R722" s="57" t="str">
        <f>IF(Associates_Call_List_PQ!R722="","",Associates_Call_List_PQ!R722)</f>
        <v/>
      </c>
      <c r="S722" s="57" t="str">
        <f>IF(Associates_Call_List_PQ!S722="","",Associates_Call_List_PQ!S722)</f>
        <v/>
      </c>
      <c r="T722" s="57" t="str">
        <f>IF(Associates_Call_List_PQ!T722="","",Associates_Call_List_PQ!T722)</f>
        <v/>
      </c>
      <c r="U722" s="57" t="str">
        <f>IF(Associates_Call_List_PQ!U722="","",Associates_Call_List_PQ!U722)</f>
        <v/>
      </c>
      <c r="V722" s="68" t="s">
        <v>5433</v>
      </c>
      <c r="W722" s="68">
        <v>46081</v>
      </c>
      <c r="X722" s="68" t="s">
        <v>5405</v>
      </c>
      <c r="Y722" s="68" t="s">
        <v>5461</v>
      </c>
      <c r="Z722" s="72" t="s">
        <v>5618</v>
      </c>
    </row>
    <row r="723" spans="1:26">
      <c r="A723" s="71">
        <f>IFERROR(Associates_Call_List_PQ!A723,"")</f>
        <v>45909</v>
      </c>
      <c r="B723" s="57" t="str">
        <f>IF(Associates_Call_List_PQ!B723="","",Associates_Call_List_PQ!B723)</f>
        <v>Wyatt</v>
      </c>
      <c r="C723" s="57" t="str">
        <f>IF(Associates_Call_List_PQ!C723="","",Associates_Call_List_PQ!C723)</f>
        <v>Kristin</v>
      </c>
      <c r="D723" s="57" t="str">
        <f>IF(Associates_Call_List_PQ!D723="","",Associates_Call_List_PQ!D723)</f>
        <v>Phoenix</v>
      </c>
      <c r="E723" s="58">
        <f>IF(Associates_Call_List_PQ!E723="","",Associates_Call_List_PQ!E723)</f>
        <v>85086</v>
      </c>
      <c r="F723" s="57" t="str">
        <f>IF(Associates_Call_List_PQ!F723="","",Associates_Call_List_PQ!F723)</f>
        <v>becoming unaffordable</v>
      </c>
      <c r="G723" s="57" t="str">
        <f>IF(Associates_Call_List_PQ!G723="","",Associates_Call_List_PQ!G723)</f>
        <v>https://docket.images.azcc.gov/E000046289.pdf</v>
      </c>
      <c r="H723" s="59" t="str">
        <f>IF(Associates_Call_List_PQ!H723="","",Associates_Call_List_PQ!H723)</f>
        <v>7745120000</v>
      </c>
      <c r="I723" s="57" t="str">
        <f>IF(Associates_Call_List_PQ!I723="","",Associates_Call_List_PQ!I723)</f>
        <v>RCPw/R3-47</v>
      </c>
      <c r="J723" s="57" t="str">
        <f>IF(Associates_Call_List_PQ!J723="","",Associates_Call_List_PQ!J723)</f>
        <v>No</v>
      </c>
      <c r="K723" s="57" t="str">
        <f>IF(Associates_Call_List_PQ!K723="","",Associates_Call_List_PQ!K723)</f>
        <v>No</v>
      </c>
      <c r="L723" s="57" t="str">
        <f>IF(Associates_Call_List_PQ!L723="","",Associates_Call_List_PQ!L723)</f>
        <v>Y</v>
      </c>
      <c r="M723" s="57" t="str">
        <f>IF(Associates_Call_List_PQ!M723="","",Associates_Call_List_PQ!M723)</f>
        <v>No</v>
      </c>
      <c r="N723" s="57" t="str">
        <f>IF(Associates_Call_List_PQ!N723="","",Associates_Call_List_PQ!N723)</f>
        <v>No</v>
      </c>
      <c r="O723" s="57" t="str">
        <f>IF(Associates_Call_List_PQ!O723="","",Associates_Call_List_PQ!O723)</f>
        <v>Yes</v>
      </c>
      <c r="P723" s="57" t="str">
        <f>IF(Associates_Call_List_PQ!P723="","",Associates_Call_List_PQ!P723)</f>
        <v>N</v>
      </c>
      <c r="Q723" s="57">
        <f>IF(Associates_Call_List_PQ!Q723="","",Associates_Call_List_PQ!Q723)</f>
        <v>45961</v>
      </c>
      <c r="R723" s="57" t="str">
        <f>IF(Associates_Call_List_PQ!R723="","",Associates_Call_List_PQ!R723)</f>
        <v/>
      </c>
      <c r="S723" s="57" t="str">
        <f>IF(Associates_Call_List_PQ!S723="","",Associates_Call_List_PQ!S723)</f>
        <v/>
      </c>
      <c r="T723" s="57" t="str">
        <f>IF(Associates_Call_List_PQ!T723="","",Associates_Call_List_PQ!T723)</f>
        <v/>
      </c>
      <c r="U723" s="57" t="str">
        <f>IF(Associates_Call_List_PQ!U723="","",Associates_Call_List_PQ!U723)</f>
        <v/>
      </c>
      <c r="V723" s="68" t="s">
        <v>5433</v>
      </c>
      <c r="W723" s="68">
        <v>45997</v>
      </c>
      <c r="X723" s="68" t="s">
        <v>5434</v>
      </c>
      <c r="Y723" s="68"/>
      <c r="Z723" s="72" t="s">
        <v>5474</v>
      </c>
    </row>
    <row r="724" spans="1:26">
      <c r="A724" s="71">
        <f>IFERROR(Associates_Call_List_PQ!A724,"")</f>
        <v>45909</v>
      </c>
      <c r="B724" s="57" t="str">
        <f>IF(Associates_Call_List_PQ!B724="","",Associates_Call_List_PQ!B724)</f>
        <v>Coschigano</v>
      </c>
      <c r="C724" s="57" t="str">
        <f>IF(Associates_Call_List_PQ!C724="","",Associates_Call_List_PQ!C724)</f>
        <v>Danielle</v>
      </c>
      <c r="D724" s="57" t="str">
        <f>IF(Associates_Call_List_PQ!D724="","",Associates_Call_List_PQ!D724)</f>
        <v>New River</v>
      </c>
      <c r="E724" s="58">
        <f>IF(Associates_Call_List_PQ!E724="","",Associates_Call_List_PQ!E724)</f>
        <v>85087</v>
      </c>
      <c r="F724" s="57" t="str">
        <f>IF(Associates_Call_List_PQ!F724="","",Associates_Call_List_PQ!F724)</f>
        <v>Form letter</v>
      </c>
      <c r="G724" s="57" t="str">
        <f>IF(Associates_Call_List_PQ!G724="","",Associates_Call_List_PQ!G724)</f>
        <v>https://docket.images.azcc.gov/E000046289.pdf</v>
      </c>
      <c r="H724" s="59" t="str">
        <f>IF(Associates_Call_List_PQ!H724="","",Associates_Call_List_PQ!H724)</f>
        <v>9186920000</v>
      </c>
      <c r="I724" s="57" t="str">
        <f>IF(Associates_Call_List_PQ!I724="","",Associates_Call_List_PQ!I724)</f>
        <v>RCPw/R3-47</v>
      </c>
      <c r="J724" s="57" t="str">
        <f>IF(Associates_Call_List_PQ!J724="","",Associates_Call_List_PQ!J724)</f>
        <v>No</v>
      </c>
      <c r="K724" s="57" t="str">
        <f>IF(Associates_Call_List_PQ!K724="","",Associates_Call_List_PQ!K724)</f>
        <v>No</v>
      </c>
      <c r="L724" s="57" t="str">
        <f>IF(Associates_Call_List_PQ!L724="","",Associates_Call_List_PQ!L724)</f>
        <v>Y</v>
      </c>
      <c r="M724" s="57" t="str">
        <f>IF(Associates_Call_List_PQ!M724="","",Associates_Call_List_PQ!M724)</f>
        <v>Yes</v>
      </c>
      <c r="N724" s="57">
        <f>IF(Associates_Call_List_PQ!N724="","",Associates_Call_List_PQ!N724)</f>
        <v>548.12</v>
      </c>
      <c r="O724" s="57" t="str">
        <f>IF(Associates_Call_List_PQ!O724="","",Associates_Call_List_PQ!O724)</f>
        <v>Yes</v>
      </c>
      <c r="P724" s="57" t="str">
        <f>IF(Associates_Call_List_PQ!P724="","",Associates_Call_List_PQ!P724)</f>
        <v/>
      </c>
      <c r="Q724" s="57">
        <f>IF(Associates_Call_List_PQ!Q724="","",Associates_Call_List_PQ!Q724)</f>
        <v>45961</v>
      </c>
      <c r="R724" s="57" t="str">
        <f>IF(Associates_Call_List_PQ!R724="","",Associates_Call_List_PQ!R724)</f>
        <v>Assistance?</v>
      </c>
      <c r="S724" s="57" t="str">
        <f>IF(Associates_Call_List_PQ!S724="","",Associates_Call_List_PQ!S724)</f>
        <v/>
      </c>
      <c r="T724" s="57" t="str">
        <f>IF(Associates_Call_List_PQ!T724="","",Associates_Call_List_PQ!T724)</f>
        <v/>
      </c>
      <c r="U724" s="57" t="str">
        <f>IF(Associates_Call_List_PQ!U724="","",Associates_Call_List_PQ!U724)</f>
        <v/>
      </c>
      <c r="V724" s="68" t="s">
        <v>5433</v>
      </c>
      <c r="W724" s="68">
        <v>46025</v>
      </c>
      <c r="X724" s="68" t="s">
        <v>5434</v>
      </c>
      <c r="Y724" s="68"/>
      <c r="Z724" s="72" t="s">
        <v>5627</v>
      </c>
    </row>
    <row r="725" spans="1:26">
      <c r="A725" s="71">
        <f>IFERROR(Associates_Call_List_PQ!A725,"")</f>
        <v>45909</v>
      </c>
      <c r="B725" s="57" t="str">
        <f>IF(Associates_Call_List_PQ!B725="","",Associates_Call_List_PQ!B725)</f>
        <v>Decker</v>
      </c>
      <c r="C725" s="57" t="str">
        <f>IF(Associates_Call_List_PQ!C725="","",Associates_Call_List_PQ!C725)</f>
        <v>Courtland</v>
      </c>
      <c r="D725" s="57" t="str">
        <f>IF(Associates_Call_List_PQ!D725="","",Associates_Call_List_PQ!D725)</f>
        <v>Phoenix</v>
      </c>
      <c r="E725" s="58">
        <f>IF(Associates_Call_List_PQ!E725="","",Associates_Call_List_PQ!E725)</f>
        <v>85086</v>
      </c>
      <c r="F725" s="57" t="str">
        <f>IF(Associates_Call_List_PQ!F725="","",Associates_Call_List_PQ!F725)</f>
        <v>not fair nor financially respectful to ask for 22% increase in two years</v>
      </c>
      <c r="G725" s="57" t="str">
        <f>IF(Associates_Call_List_PQ!G725="","",Associates_Call_List_PQ!G725)</f>
        <v>https://docket.images.azcc.gov/E000046289.pdf</v>
      </c>
      <c r="H725" s="59" t="str">
        <f>IF(Associates_Call_List_PQ!H725="","",Associates_Call_List_PQ!H725)</f>
        <v>5805736054</v>
      </c>
      <c r="I725" s="57" t="str">
        <f>IF(Associates_Call_List_PQ!I725="","",Associates_Call_List_PQ!I725)</f>
        <v>RTOUE47</v>
      </c>
      <c r="J725" s="57" t="str">
        <f>IF(Associates_Call_List_PQ!J725="","",Associates_Call_List_PQ!J725)</f>
        <v>No</v>
      </c>
      <c r="K725" s="57" t="str">
        <f>IF(Associates_Call_List_PQ!K725="","",Associates_Call_List_PQ!K725)</f>
        <v>No</v>
      </c>
      <c r="L725" s="57" t="str">
        <f>IF(Associates_Call_List_PQ!L725="","",Associates_Call_List_PQ!L725)</f>
        <v>Y</v>
      </c>
      <c r="M725" s="57" t="str">
        <f>IF(Associates_Call_List_PQ!M725="","",Associates_Call_List_PQ!M725)</f>
        <v>No</v>
      </c>
      <c r="N725" s="57" t="str">
        <f>IF(Associates_Call_List_PQ!N725="","",Associates_Call_List_PQ!N725)</f>
        <v>No</v>
      </c>
      <c r="O725" s="57" t="str">
        <f>IF(Associates_Call_List_PQ!O725="","",Associates_Call_List_PQ!O725)</f>
        <v>Yes</v>
      </c>
      <c r="P725" s="57" t="str">
        <f>IF(Associates_Call_List_PQ!P725="","",Associates_Call_List_PQ!P725)</f>
        <v>N</v>
      </c>
      <c r="Q725" s="57">
        <f>IF(Associates_Call_List_PQ!Q725="","",Associates_Call_List_PQ!Q725)</f>
        <v>45961</v>
      </c>
      <c r="R725" s="57" t="str">
        <f>IF(Associates_Call_List_PQ!R725="","",Associates_Call_List_PQ!R725)</f>
        <v/>
      </c>
      <c r="S725" s="57" t="str">
        <f>IF(Associates_Call_List_PQ!S725="","",Associates_Call_List_PQ!S725)</f>
        <v/>
      </c>
      <c r="T725" s="57" t="str">
        <f>IF(Associates_Call_List_PQ!T725="","",Associates_Call_List_PQ!T725)</f>
        <v/>
      </c>
      <c r="U725" s="57" t="str">
        <f>IF(Associates_Call_List_PQ!U725="","",Associates_Call_List_PQ!U725)</f>
        <v/>
      </c>
      <c r="V725" s="68"/>
      <c r="W725" s="68" t="s">
        <v>5432</v>
      </c>
      <c r="X725" s="68"/>
      <c r="Y725" s="68"/>
      <c r="Z725" s="72"/>
    </row>
    <row r="726" spans="1:26">
      <c r="A726" s="71">
        <f>IFERROR(Associates_Call_List_PQ!A726,"")</f>
        <v>45909</v>
      </c>
      <c r="B726" s="57" t="str">
        <f>IF(Associates_Call_List_PQ!B726="","",Associates_Call_List_PQ!B726)</f>
        <v>Boisvert</v>
      </c>
      <c r="C726" s="57" t="str">
        <f>IF(Associates_Call_List_PQ!C726="","",Associates_Call_List_PQ!C726)</f>
        <v>Devin</v>
      </c>
      <c r="D726" s="57" t="str">
        <f>IF(Associates_Call_List_PQ!D726="","",Associates_Call_List_PQ!D726)</f>
        <v>New River</v>
      </c>
      <c r="E726" s="58">
        <f>IF(Associates_Call_List_PQ!E726="","",Associates_Call_List_PQ!E726)</f>
        <v>85087</v>
      </c>
      <c r="F726" s="57" t="str">
        <f>IF(Associates_Call_List_PQ!F726="","",Associates_Call_List_PQ!F726)</f>
        <v>Form letter</v>
      </c>
      <c r="G726" s="57" t="str">
        <f>IF(Associates_Call_List_PQ!G726="","",Associates_Call_List_PQ!G726)</f>
        <v>https://docket.images.azcc.gov/E000046289.pdf</v>
      </c>
      <c r="H726" s="59" t="str">
        <f>IF(Associates_Call_List_PQ!H726="","",Associates_Call_List_PQ!H726)</f>
        <v>4181641000</v>
      </c>
      <c r="I726" s="57" t="str">
        <f>IF(Associates_Call_List_PQ!I726="","",Associates_Call_List_PQ!I726)</f>
        <v>EPR-6w/ET-1</v>
      </c>
      <c r="J726" s="57" t="str">
        <f>IF(Associates_Call_List_PQ!J726="","",Associates_Call_List_PQ!J726)</f>
        <v>No</v>
      </c>
      <c r="K726" s="57" t="str">
        <f>IF(Associates_Call_List_PQ!K726="","",Associates_Call_List_PQ!K726)</f>
        <v>No</v>
      </c>
      <c r="L726" s="57" t="str">
        <f>IF(Associates_Call_List_PQ!L726="","",Associates_Call_List_PQ!L726)</f>
        <v>Frozen Rate</v>
      </c>
      <c r="M726" s="57" t="str">
        <f>IF(Associates_Call_List_PQ!M726="","",Associates_Call_List_PQ!M726)</f>
        <v>No</v>
      </c>
      <c r="N726" s="57" t="str">
        <f>IF(Associates_Call_List_PQ!N726="","",Associates_Call_List_PQ!N726)</f>
        <v>No</v>
      </c>
      <c r="O726" s="57" t="str">
        <f>IF(Associates_Call_List_PQ!O726="","",Associates_Call_List_PQ!O726)</f>
        <v>Yes</v>
      </c>
      <c r="P726" s="57" t="str">
        <f>IF(Associates_Call_List_PQ!P726="","",Associates_Call_List_PQ!P726)</f>
        <v>N</v>
      </c>
      <c r="Q726" s="57">
        <f>IF(Associates_Call_List_PQ!Q726="","",Associates_Call_List_PQ!Q726)</f>
        <v>45961</v>
      </c>
      <c r="R726" s="57" t="str">
        <f>IF(Associates_Call_List_PQ!R726="","",Associates_Call_List_PQ!R726)</f>
        <v/>
      </c>
      <c r="S726" s="57" t="str">
        <f>IF(Associates_Call_List_PQ!S726="","",Associates_Call_List_PQ!S726)</f>
        <v/>
      </c>
      <c r="T726" s="57" t="str">
        <f>IF(Associates_Call_List_PQ!T726="","",Associates_Call_List_PQ!T726)</f>
        <v/>
      </c>
      <c r="U726" s="57" t="str">
        <f>IF(Associates_Call_List_PQ!U726="","",Associates_Call_List_PQ!U726)</f>
        <v/>
      </c>
      <c r="V726" s="68" t="s">
        <v>5433</v>
      </c>
      <c r="W726" s="68">
        <v>46081</v>
      </c>
      <c r="X726" s="68" t="s">
        <v>5405</v>
      </c>
      <c r="Y726" s="68" t="s">
        <v>5461</v>
      </c>
      <c r="Z726" s="72" t="s">
        <v>5637</v>
      </c>
    </row>
    <row r="727" spans="1:26">
      <c r="A727" s="71">
        <f>IFERROR(Associates_Call_List_PQ!A727,"")</f>
        <v>45909</v>
      </c>
      <c r="B727" s="57" t="str">
        <f>IF(Associates_Call_List_PQ!B727="","",Associates_Call_List_PQ!B727)</f>
        <v>Grondin</v>
      </c>
      <c r="C727" s="57" t="str">
        <f>IF(Associates_Call_List_PQ!C727="","",Associates_Call_List_PQ!C727)</f>
        <v>Sarah &amp; Micah</v>
      </c>
      <c r="D727" s="57" t="str">
        <f>IF(Associates_Call_List_PQ!D727="","",Associates_Call_List_PQ!D727)</f>
        <v>Unknown</v>
      </c>
      <c r="E727" s="58" t="str">
        <f>IF(Associates_Call_List_PQ!E727="","",Associates_Call_List_PQ!E727)</f>
        <v>Unknown</v>
      </c>
      <c r="F727" s="57" t="str">
        <f>IF(Associates_Call_List_PQ!F727="","",Associates_Call_List_PQ!F727)</f>
        <v>Form letter</v>
      </c>
      <c r="G727" s="57" t="str">
        <f>IF(Associates_Call_List_PQ!G727="","",Associates_Call_List_PQ!G727)</f>
        <v>https://docket.images.azcc.gov/E000046289.pdf</v>
      </c>
      <c r="H727" s="59" t="str">
        <f>IF(Associates_Call_List_PQ!H727="","",Associates_Call_List_PQ!H727)</f>
        <v>5506921000</v>
      </c>
      <c r="I727" s="57" t="str">
        <f>IF(Associates_Call_List_PQ!I727="","",Associates_Call_List_PQ!I727)</f>
        <v>R3-47</v>
      </c>
      <c r="J727" s="57" t="str">
        <f>IF(Associates_Call_List_PQ!J727="","",Associates_Call_List_PQ!J727)</f>
        <v>No</v>
      </c>
      <c r="K727" s="57" t="str">
        <f>IF(Associates_Call_List_PQ!K727="","",Associates_Call_List_PQ!K727)</f>
        <v>No</v>
      </c>
      <c r="L727" s="57" t="str">
        <f>IF(Associates_Call_List_PQ!L727="","",Associates_Call_List_PQ!L727)</f>
        <v>Y</v>
      </c>
      <c r="M727" s="57" t="str">
        <f>IF(Associates_Call_List_PQ!M727="","",Associates_Call_List_PQ!M727)</f>
        <v>No</v>
      </c>
      <c r="N727" s="57" t="str">
        <f>IF(Associates_Call_List_PQ!N727="","",Associates_Call_List_PQ!N727)</f>
        <v>No</v>
      </c>
      <c r="O727" s="57" t="str">
        <f>IF(Associates_Call_List_PQ!O727="","",Associates_Call_List_PQ!O727)</f>
        <v>Yes</v>
      </c>
      <c r="P727" s="57" t="str">
        <f>IF(Associates_Call_List_PQ!P727="","",Associates_Call_List_PQ!P727)</f>
        <v>N</v>
      </c>
      <c r="Q727" s="57">
        <f>IF(Associates_Call_List_PQ!Q727="","",Associates_Call_List_PQ!Q727)</f>
        <v>45961</v>
      </c>
      <c r="R727" s="57" t="str">
        <f>IF(Associates_Call_List_PQ!R727="","",Associates_Call_List_PQ!R727)</f>
        <v/>
      </c>
      <c r="S727" s="57" t="str">
        <f>IF(Associates_Call_List_PQ!S727="","",Associates_Call_List_PQ!S727)</f>
        <v/>
      </c>
      <c r="T727" s="57" t="str">
        <f>IF(Associates_Call_List_PQ!T727="","",Associates_Call_List_PQ!T727)</f>
        <v/>
      </c>
      <c r="U727" s="57" t="str">
        <f>IF(Associates_Call_List_PQ!U727="","",Associates_Call_List_PQ!U727)</f>
        <v/>
      </c>
      <c r="V727" s="68"/>
      <c r="W727" s="68" t="s">
        <v>5432</v>
      </c>
      <c r="X727" s="68"/>
      <c r="Y727" s="68"/>
      <c r="Z727" s="72"/>
    </row>
    <row r="728" spans="1:26">
      <c r="A728" s="71">
        <f>IFERROR(Associates_Call_List_PQ!A728,"")</f>
        <v>45909</v>
      </c>
      <c r="B728" s="57" t="str">
        <f>IF(Associates_Call_List_PQ!B728="","",Associates_Call_List_PQ!B728)</f>
        <v>Morrison</v>
      </c>
      <c r="C728" s="57" t="str">
        <f>IF(Associates_Call_List_PQ!C728="","",Associates_Call_List_PQ!C728)</f>
        <v>Quandra</v>
      </c>
      <c r="D728" s="57" t="str">
        <f>IF(Associates_Call_List_PQ!D728="","",Associates_Call_List_PQ!D728)</f>
        <v>Chino Valley</v>
      </c>
      <c r="E728" s="58">
        <f>IF(Associates_Call_List_PQ!E728="","",Associates_Call_List_PQ!E728)</f>
        <v>86323</v>
      </c>
      <c r="F728" s="57" t="str">
        <f>IF(Associates_Call_List_PQ!F728="","",Associates_Call_List_PQ!F728)</f>
        <v>Opposed</v>
      </c>
      <c r="G728" s="57" t="str">
        <f>IF(Associates_Call_List_PQ!G728="","",Associates_Call_List_PQ!G728)</f>
        <v>https://docket.images.azcc.gov/E000046289.pdf</v>
      </c>
      <c r="H728" s="59" t="str">
        <f>IF(Associates_Call_List_PQ!H728="","",Associates_Call_List_PQ!H728)</f>
        <v>3459240757</v>
      </c>
      <c r="I728" s="57" t="str">
        <f>IF(Associates_Call_List_PQ!I728="","",Associates_Call_List_PQ!I728)</f>
        <v>RTOUE47</v>
      </c>
      <c r="J728" s="57" t="str">
        <f>IF(Associates_Call_List_PQ!J728="","",Associates_Call_List_PQ!J728)</f>
        <v>No</v>
      </c>
      <c r="K728" s="57" t="str">
        <f>IF(Associates_Call_List_PQ!K728="","",Associates_Call_List_PQ!K728)</f>
        <v>No</v>
      </c>
      <c r="L728" s="57" t="str">
        <f>IF(Associates_Call_List_PQ!L728="","",Associates_Call_List_PQ!L728)</f>
        <v>No MEP R-BASIC ($78.14)</v>
      </c>
      <c r="M728" s="57" t="str">
        <f>IF(Associates_Call_List_PQ!M728="","",Associates_Call_List_PQ!M728)</f>
        <v>No</v>
      </c>
      <c r="N728" s="57" t="str">
        <f>IF(Associates_Call_List_PQ!N728="","",Associates_Call_List_PQ!N728)</f>
        <v>No</v>
      </c>
      <c r="O728" s="57" t="str">
        <f>IF(Associates_Call_List_PQ!O728="","",Associates_Call_List_PQ!O728)</f>
        <v>Yes</v>
      </c>
      <c r="P728" s="57" t="str">
        <f>IF(Associates_Call_List_PQ!P728="","",Associates_Call_List_PQ!P728)</f>
        <v>N</v>
      </c>
      <c r="Q728" s="57">
        <f>IF(Associates_Call_List_PQ!Q728="","",Associates_Call_List_PQ!Q728)</f>
        <v>45961</v>
      </c>
      <c r="R728" s="57" t="str">
        <f>IF(Associates_Call_List_PQ!R728="","",Associates_Call_List_PQ!R728)</f>
        <v/>
      </c>
      <c r="S728" s="57" t="str">
        <f>IF(Associates_Call_List_PQ!S728="","",Associates_Call_List_PQ!S728)</f>
        <v/>
      </c>
      <c r="T728" s="57" t="str">
        <f>IF(Associates_Call_List_PQ!T728="","",Associates_Call_List_PQ!T728)</f>
        <v/>
      </c>
      <c r="U728" s="57" t="str">
        <f>IF(Associates_Call_List_PQ!U728="","",Associates_Call_List_PQ!U728)</f>
        <v/>
      </c>
      <c r="V728" s="68" t="s">
        <v>5433</v>
      </c>
      <c r="W728" s="68">
        <v>46025</v>
      </c>
      <c r="X728" s="68"/>
      <c r="Y728" s="68"/>
      <c r="Z728" s="72" t="s">
        <v>5637</v>
      </c>
    </row>
    <row r="729" spans="1:26">
      <c r="A729" s="71">
        <f>IFERROR(Associates_Call_List_PQ!A729,"")</f>
        <v>45909</v>
      </c>
      <c r="B729" s="57" t="str">
        <f>IF(Associates_Call_List_PQ!B729="","",Associates_Call_List_PQ!B729)</f>
        <v>Lander</v>
      </c>
      <c r="C729" s="57" t="str">
        <f>IF(Associates_Call_List_PQ!C729="","",Associates_Call_List_PQ!C729)</f>
        <v>Terri</v>
      </c>
      <c r="D729" s="57" t="str">
        <f>IF(Associates_Call_List_PQ!D729="","",Associates_Call_List_PQ!D729)</f>
        <v>Phoenix</v>
      </c>
      <c r="E729" s="58">
        <f>IF(Associates_Call_List_PQ!E729="","",Associates_Call_List_PQ!E729)</f>
        <v>85083</v>
      </c>
      <c r="F729" s="57" t="str">
        <f>IF(Associates_Call_List_PQ!F729="","",Associates_Call_List_PQ!F729)</f>
        <v>Opposed, monopoly</v>
      </c>
      <c r="G729" s="57" t="str">
        <f>IF(Associates_Call_List_PQ!G729="","",Associates_Call_List_PQ!G729)</f>
        <v>https://docket.images.azcc.gov/E000046289.pdf</v>
      </c>
      <c r="H729" s="59" t="str">
        <f>IF(Associates_Call_List_PQ!H729="","",Associates_Call_List_PQ!H729)</f>
        <v>1593380000</v>
      </c>
      <c r="I729" s="57" t="str">
        <f>IF(Associates_Call_List_PQ!I729="","",Associates_Call_List_PQ!I729)</f>
        <v>RCPw/R3-47</v>
      </c>
      <c r="J729" s="57" t="str">
        <f>IF(Associates_Call_List_PQ!J729="","",Associates_Call_List_PQ!J729)</f>
        <v>No</v>
      </c>
      <c r="K729" s="57" t="str">
        <f>IF(Associates_Call_List_PQ!K729="","",Associates_Call_List_PQ!K729)</f>
        <v>No</v>
      </c>
      <c r="L729" s="57" t="str">
        <f>IF(Associates_Call_List_PQ!L729="","",Associates_Call_List_PQ!L729)</f>
        <v>Y</v>
      </c>
      <c r="M729" s="57" t="str">
        <f>IF(Associates_Call_List_PQ!M729="","",Associates_Call_List_PQ!M729)</f>
        <v>No</v>
      </c>
      <c r="N729" s="57" t="str">
        <f>IF(Associates_Call_List_PQ!N729="","",Associates_Call_List_PQ!N729)</f>
        <v>No</v>
      </c>
      <c r="O729" s="57" t="str">
        <f>IF(Associates_Call_List_PQ!O729="","",Associates_Call_List_PQ!O729)</f>
        <v>Yes</v>
      </c>
      <c r="P729" s="57" t="str">
        <f>IF(Associates_Call_List_PQ!P729="","",Associates_Call_List_PQ!P729)</f>
        <v>N</v>
      </c>
      <c r="Q729" s="57">
        <f>IF(Associates_Call_List_PQ!Q729="","",Associates_Call_List_PQ!Q729)</f>
        <v>45961</v>
      </c>
      <c r="R729" s="57" t="str">
        <f>IF(Associates_Call_List_PQ!R729="","",Associates_Call_List_PQ!R729)</f>
        <v/>
      </c>
      <c r="S729" s="57" t="str">
        <f>IF(Associates_Call_List_PQ!S729="","",Associates_Call_List_PQ!S729)</f>
        <v/>
      </c>
      <c r="T729" s="57" t="str">
        <f>IF(Associates_Call_List_PQ!T729="","",Associates_Call_List_PQ!T729)</f>
        <v/>
      </c>
      <c r="U729" s="57" t="str">
        <f>IF(Associates_Call_List_PQ!U729="","",Associates_Call_List_PQ!U729)</f>
        <v/>
      </c>
      <c r="V729" s="68"/>
      <c r="W729" s="68" t="s">
        <v>5432</v>
      </c>
      <c r="X729" s="68"/>
      <c r="Y729" s="68"/>
      <c r="Z729" s="72"/>
    </row>
    <row r="730" spans="1:26">
      <c r="A730" s="71">
        <f>IFERROR(Associates_Call_List_PQ!A730,"")</f>
        <v>45909</v>
      </c>
      <c r="B730" s="57" t="str">
        <f>IF(Associates_Call_List_PQ!B730="","",Associates_Call_List_PQ!B730)</f>
        <v>Bezanson</v>
      </c>
      <c r="C730" s="57" t="str">
        <f>IF(Associates_Call_List_PQ!C730="","",Associates_Call_List_PQ!C730)</f>
        <v>Lisa</v>
      </c>
      <c r="D730" s="57" t="str">
        <f>IF(Associates_Call_List_PQ!D730="","",Associates_Call_List_PQ!D730)</f>
        <v>Unknown</v>
      </c>
      <c r="E730" s="58" t="str">
        <f>IF(Associates_Call_List_PQ!E730="","",Associates_Call_List_PQ!E730)</f>
        <v>Unknown</v>
      </c>
      <c r="F730" s="57" t="str">
        <f>IF(Associates_Call_List_PQ!F730="","",Associates_Call_List_PQ!F730)</f>
        <v>Opposed</v>
      </c>
      <c r="G730" s="57" t="str">
        <f>IF(Associates_Call_List_PQ!G730="","",Associates_Call_List_PQ!G730)</f>
        <v>https://docket.images.azcc.gov/E000046289.pdf</v>
      </c>
      <c r="H730" s="59" t="str">
        <f>IF(Associates_Call_List_PQ!H730="","",Associates_Call_List_PQ!H730)</f>
        <v>4494941000</v>
      </c>
      <c r="I730" s="57" t="str">
        <f>IF(Associates_Call_List_PQ!I730="","",Associates_Call_List_PQ!I730)</f>
        <v>R-XS</v>
      </c>
      <c r="J730" s="57" t="str">
        <f>IF(Associates_Call_List_PQ!J730="","",Associates_Call_List_PQ!J730)</f>
        <v>No</v>
      </c>
      <c r="K730" s="57" t="str">
        <f>IF(Associates_Call_List_PQ!K730="","",Associates_Call_List_PQ!K730)</f>
        <v>No</v>
      </c>
      <c r="L730" s="57" t="str">
        <f>IF(Associates_Call_List_PQ!L730="","",Associates_Call_List_PQ!L730)</f>
        <v>Y</v>
      </c>
      <c r="M730" s="57" t="str">
        <f>IF(Associates_Call_List_PQ!M730="","",Associates_Call_List_PQ!M730)</f>
        <v>No</v>
      </c>
      <c r="N730" s="57" t="str">
        <f>IF(Associates_Call_List_PQ!N730="","",Associates_Call_List_PQ!N730)</f>
        <v>No</v>
      </c>
      <c r="O730" s="57" t="str">
        <f>IF(Associates_Call_List_PQ!O730="","",Associates_Call_List_PQ!O730)</f>
        <v>Yes</v>
      </c>
      <c r="P730" s="57" t="str">
        <f>IF(Associates_Call_List_PQ!P730="","",Associates_Call_List_PQ!P730)</f>
        <v>N</v>
      </c>
      <c r="Q730" s="57">
        <f>IF(Associates_Call_List_PQ!Q730="","",Associates_Call_List_PQ!Q730)</f>
        <v>45961</v>
      </c>
      <c r="R730" s="57" t="str">
        <f>IF(Associates_Call_List_PQ!R730="","",Associates_Call_List_PQ!R730)</f>
        <v/>
      </c>
      <c r="S730" s="57" t="str">
        <f>IF(Associates_Call_List_PQ!S730="","",Associates_Call_List_PQ!S730)</f>
        <v/>
      </c>
      <c r="T730" s="57" t="str">
        <f>IF(Associates_Call_List_PQ!T730="","",Associates_Call_List_PQ!T730)</f>
        <v/>
      </c>
      <c r="U730" s="57" t="str">
        <f>IF(Associates_Call_List_PQ!U730="","",Associates_Call_List_PQ!U730)</f>
        <v/>
      </c>
      <c r="V730" s="68" t="s">
        <v>5433</v>
      </c>
      <c r="W730" s="68">
        <v>46081</v>
      </c>
      <c r="X730" s="68" t="s">
        <v>5434</v>
      </c>
      <c r="Y730" s="68"/>
      <c r="Z730" s="72" t="s">
        <v>5638</v>
      </c>
    </row>
    <row r="731" spans="1:26">
      <c r="A731" s="71">
        <f>IFERROR(Associates_Call_List_PQ!A731,"")</f>
        <v>45909</v>
      </c>
      <c r="B731" s="57" t="str">
        <f>IF(Associates_Call_List_PQ!B731="","",Associates_Call_List_PQ!B731)</f>
        <v>Luke</v>
      </c>
      <c r="C731" s="57" t="str">
        <f>IF(Associates_Call_List_PQ!C731="","",Associates_Call_List_PQ!C731)</f>
        <v>Katsura</v>
      </c>
      <c r="D731" s="57" t="str">
        <f>IF(Associates_Call_List_PQ!D731="","",Associates_Call_List_PQ!D731)</f>
        <v>Phoenix</v>
      </c>
      <c r="E731" s="58">
        <f>IF(Associates_Call_List_PQ!E731="","",Associates_Call_List_PQ!E731)</f>
        <v>85035</v>
      </c>
      <c r="F731" s="57" t="str">
        <f>IF(Associates_Call_List_PQ!F731="","",Associates_Call_List_PQ!F731)</f>
        <v>Form letter</v>
      </c>
      <c r="G731" s="57" t="str">
        <f>IF(Associates_Call_List_PQ!G731="","",Associates_Call_List_PQ!G731)</f>
        <v>https://docket.images.azcc.gov/E000046289.pdf</v>
      </c>
      <c r="H731" s="59" t="str">
        <f>IF(Associates_Call_List_PQ!H731="","",Associates_Call_List_PQ!H731)</f>
        <v>0879272556</v>
      </c>
      <c r="I731" s="57" t="str">
        <f>IF(Associates_Call_List_PQ!I731="","",Associates_Call_List_PQ!I731)</f>
        <v>R3-47</v>
      </c>
      <c r="J731" s="57" t="str">
        <f>IF(Associates_Call_List_PQ!J731="","",Associates_Call_List_PQ!J731)</f>
        <v>No</v>
      </c>
      <c r="K731" s="57" t="str">
        <f>IF(Associates_Call_List_PQ!K731="","",Associates_Call_List_PQ!K731)</f>
        <v>No</v>
      </c>
      <c r="L731" s="57" t="str">
        <f>IF(Associates_Call_List_PQ!L731="","",Associates_Call_List_PQ!L731)</f>
        <v>Y</v>
      </c>
      <c r="M731" s="57" t="str">
        <f>IF(Associates_Call_List_PQ!M731="","",Associates_Call_List_PQ!M731)</f>
        <v>No</v>
      </c>
      <c r="N731" s="57" t="str">
        <f>IF(Associates_Call_List_PQ!N731="","",Associates_Call_List_PQ!N731)</f>
        <v>No</v>
      </c>
      <c r="O731" s="57" t="str">
        <f>IF(Associates_Call_List_PQ!O731="","",Associates_Call_List_PQ!O731)</f>
        <v>Yes</v>
      </c>
      <c r="P731" s="57" t="str">
        <f>IF(Associates_Call_List_PQ!P731="","",Associates_Call_List_PQ!P731)</f>
        <v>N</v>
      </c>
      <c r="Q731" s="57">
        <f>IF(Associates_Call_List_PQ!Q731="","",Associates_Call_List_PQ!Q731)</f>
        <v>45961</v>
      </c>
      <c r="R731" s="57" t="str">
        <f>IF(Associates_Call_List_PQ!R731="","",Associates_Call_List_PQ!R731)</f>
        <v/>
      </c>
      <c r="S731" s="57" t="str">
        <f>IF(Associates_Call_List_PQ!S731="","",Associates_Call_List_PQ!S731)</f>
        <v/>
      </c>
      <c r="T731" s="57" t="str">
        <f>IF(Associates_Call_List_PQ!T731="","",Associates_Call_List_PQ!T731)</f>
        <v/>
      </c>
      <c r="U731" s="57" t="str">
        <f>IF(Associates_Call_List_PQ!U731="","",Associates_Call_List_PQ!U731)</f>
        <v>Filed 2x</v>
      </c>
      <c r="V731" s="68"/>
      <c r="W731" s="68" t="s">
        <v>5432</v>
      </c>
      <c r="X731" s="68"/>
      <c r="Y731" s="68"/>
      <c r="Z731" s="72"/>
    </row>
    <row r="732" spans="1:26">
      <c r="A732" s="71">
        <f>IFERROR(Associates_Call_List_PQ!A732,"")</f>
        <v>45909</v>
      </c>
      <c r="B732" s="57" t="str">
        <f>IF(Associates_Call_List_PQ!B732="","",Associates_Call_List_PQ!B732)</f>
        <v>Boos</v>
      </c>
      <c r="C732" s="57" t="str">
        <f>IF(Associates_Call_List_PQ!C732="","",Associates_Call_List_PQ!C732)</f>
        <v>Al</v>
      </c>
      <c r="D732" s="57" t="str">
        <f>IF(Associates_Call_List_PQ!D732="","",Associates_Call_List_PQ!D732)</f>
        <v>Phoenix</v>
      </c>
      <c r="E732" s="58">
        <f>IF(Associates_Call_List_PQ!E732="","",Associates_Call_List_PQ!E732)</f>
        <v>85028</v>
      </c>
      <c r="F732" s="57" t="str">
        <f>IF(Associates_Call_List_PQ!F732="","",Associates_Call_List_PQ!F732)</f>
        <v>egregious and possibly unaffordable by many customers</v>
      </c>
      <c r="G732" s="57" t="str">
        <f>IF(Associates_Call_List_PQ!G732="","",Associates_Call_List_PQ!G732)</f>
        <v>https://docket.images.azcc.gov/E000046289.pdf</v>
      </c>
      <c r="H732" s="59" t="str">
        <f>IF(Associates_Call_List_PQ!H732="","",Associates_Call_List_PQ!H732)</f>
        <v>9093670000</v>
      </c>
      <c r="I732" s="57" t="str">
        <f>IF(Associates_Call_List_PQ!I732="","",Associates_Call_List_PQ!I732)</f>
        <v>R3-47</v>
      </c>
      <c r="J732" s="57" t="str">
        <f>IF(Associates_Call_List_PQ!J732="","",Associates_Call_List_PQ!J732)</f>
        <v>No</v>
      </c>
      <c r="K732" s="57" t="str">
        <f>IF(Associates_Call_List_PQ!K732="","",Associates_Call_List_PQ!K732)</f>
        <v>No</v>
      </c>
      <c r="L732" s="57" t="str">
        <f>IF(Associates_Call_List_PQ!L732="","",Associates_Call_List_PQ!L732)</f>
        <v>Y</v>
      </c>
      <c r="M732" s="57" t="str">
        <f>IF(Associates_Call_List_PQ!M732="","",Associates_Call_List_PQ!M732)</f>
        <v>No</v>
      </c>
      <c r="N732" s="57" t="str">
        <f>IF(Associates_Call_List_PQ!N732="","",Associates_Call_List_PQ!N732)</f>
        <v>No</v>
      </c>
      <c r="O732" s="57" t="str">
        <f>IF(Associates_Call_List_PQ!O732="","",Associates_Call_List_PQ!O732)</f>
        <v>Yes</v>
      </c>
      <c r="P732" s="57" t="str">
        <f>IF(Associates_Call_List_PQ!P732="","",Associates_Call_List_PQ!P732)</f>
        <v>N</v>
      </c>
      <c r="Q732" s="57">
        <f>IF(Associates_Call_List_PQ!Q732="","",Associates_Call_List_PQ!Q732)</f>
        <v>45961</v>
      </c>
      <c r="R732" s="57" t="str">
        <f>IF(Associates_Call_List_PQ!R732="","",Associates_Call_List_PQ!R732)</f>
        <v/>
      </c>
      <c r="S732" s="57" t="str">
        <f>IF(Associates_Call_List_PQ!S732="","",Associates_Call_List_PQ!S732)</f>
        <v/>
      </c>
      <c r="T732" s="57" t="str">
        <f>IF(Associates_Call_List_PQ!T732="","",Associates_Call_List_PQ!T732)</f>
        <v/>
      </c>
      <c r="U732" s="57" t="str">
        <f>IF(Associates_Call_List_PQ!U732="","",Associates_Call_List_PQ!U732)</f>
        <v/>
      </c>
      <c r="V732" s="68" t="s">
        <v>5433</v>
      </c>
      <c r="W732" s="68">
        <v>46081</v>
      </c>
      <c r="X732" s="68" t="s">
        <v>5434</v>
      </c>
      <c r="Y732" s="68"/>
      <c r="Z732" s="72" t="s">
        <v>5547</v>
      </c>
    </row>
    <row r="733" spans="1:26">
      <c r="A733" s="71">
        <f>IFERROR(Associates_Call_List_PQ!A733,"")</f>
        <v>45909</v>
      </c>
      <c r="B733" s="57" t="str">
        <f>IF(Associates_Call_List_PQ!B733="","",Associates_Call_List_PQ!B733)</f>
        <v>Farnsworth</v>
      </c>
      <c r="C733" s="57" t="str">
        <f>IF(Associates_Call_List_PQ!C733="","",Associates_Call_List_PQ!C733)</f>
        <v>Cynthia</v>
      </c>
      <c r="D733" s="57" t="str">
        <f>IF(Associates_Call_List_PQ!D733="","",Associates_Call_List_PQ!D733)</f>
        <v>Buckeye</v>
      </c>
      <c r="E733" s="58">
        <f>IF(Associates_Call_List_PQ!E733="","",Associates_Call_List_PQ!E733)</f>
        <v>85396</v>
      </c>
      <c r="F733" s="57" t="str">
        <f>IF(Associates_Call_List_PQ!F733="","",Associates_Call_List_PQ!F733)</f>
        <v>Form letter</v>
      </c>
      <c r="G733" s="57" t="str">
        <f>IF(Associates_Call_List_PQ!G733="","",Associates_Call_List_PQ!G733)</f>
        <v>https://docket.images.azcc.gov/E000046289.pdf</v>
      </c>
      <c r="H733" s="59" t="str">
        <f>IF(Associates_Call_List_PQ!H733="","",Associates_Call_List_PQ!H733)</f>
        <v>0607010210</v>
      </c>
      <c r="I733" s="57" t="str">
        <f>IF(Associates_Call_List_PQ!I733="","",Associates_Call_List_PQ!I733)</f>
        <v>RCPw/R3-47</v>
      </c>
      <c r="J733" s="57" t="str">
        <f>IF(Associates_Call_List_PQ!J733="","",Associates_Call_List_PQ!J733)</f>
        <v>No</v>
      </c>
      <c r="K733" s="57" t="str">
        <f>IF(Associates_Call_List_PQ!K733="","",Associates_Call_List_PQ!K733)</f>
        <v>No</v>
      </c>
      <c r="L733" s="57" t="str">
        <f>IF(Associates_Call_List_PQ!L733="","",Associates_Call_List_PQ!L733)</f>
        <v>Y</v>
      </c>
      <c r="M733" s="57" t="str">
        <f>IF(Associates_Call_List_PQ!M733="","",Associates_Call_List_PQ!M733)</f>
        <v>No</v>
      </c>
      <c r="N733" s="57" t="str">
        <f>IF(Associates_Call_List_PQ!N733="","",Associates_Call_List_PQ!N733)</f>
        <v>No</v>
      </c>
      <c r="O733" s="57" t="str">
        <f>IF(Associates_Call_List_PQ!O733="","",Associates_Call_List_PQ!O733)</f>
        <v>Yes</v>
      </c>
      <c r="P733" s="57" t="str">
        <f>IF(Associates_Call_List_PQ!P733="","",Associates_Call_List_PQ!P733)</f>
        <v>N</v>
      </c>
      <c r="Q733" s="57">
        <f>IF(Associates_Call_List_PQ!Q733="","",Associates_Call_List_PQ!Q733)</f>
        <v>45961</v>
      </c>
      <c r="R733" s="57" t="str">
        <f>IF(Associates_Call_List_PQ!R733="","",Associates_Call_List_PQ!R733)</f>
        <v/>
      </c>
      <c r="S733" s="57" t="str">
        <f>IF(Associates_Call_List_PQ!S733="","",Associates_Call_List_PQ!S733)</f>
        <v/>
      </c>
      <c r="T733" s="57" t="str">
        <f>IF(Associates_Call_List_PQ!T733="","",Associates_Call_List_PQ!T733)</f>
        <v/>
      </c>
      <c r="U733" s="57" t="str">
        <f>IF(Associates_Call_List_PQ!U733="","",Associates_Call_List_PQ!U733)</f>
        <v/>
      </c>
      <c r="V733" s="68"/>
      <c r="W733" s="68" t="s">
        <v>5432</v>
      </c>
      <c r="X733" s="68"/>
      <c r="Y733" s="68"/>
      <c r="Z733" s="72"/>
    </row>
    <row r="734" spans="1:26">
      <c r="A734" s="71">
        <f>IFERROR(Associates_Call_List_PQ!A734,"")</f>
        <v>45909</v>
      </c>
      <c r="B734" s="57" t="str">
        <f>IF(Associates_Call_List_PQ!B734="","",Associates_Call_List_PQ!B734)</f>
        <v>Parr</v>
      </c>
      <c r="C734" s="57" t="str">
        <f>IF(Associates_Call_List_PQ!C734="","",Associates_Call_List_PQ!C734)</f>
        <v>Joshua Roy</v>
      </c>
      <c r="D734" s="57" t="str">
        <f>IF(Associates_Call_List_PQ!D734="","",Associates_Call_List_PQ!D734)</f>
        <v>Surprise</v>
      </c>
      <c r="E734" s="58">
        <f>IF(Associates_Call_List_PQ!E734="","",Associates_Call_List_PQ!E734)</f>
        <v>85374</v>
      </c>
      <c r="F734" s="57" t="str">
        <f>IF(Associates_Call_List_PQ!F734="","",Associates_Call_List_PQ!F734)</f>
        <v>Opposed</v>
      </c>
      <c r="G734" s="57" t="str">
        <f>IF(Associates_Call_List_PQ!G734="","",Associates_Call_List_PQ!G734)</f>
        <v>https://docket.images.azcc.gov/E000046289.pdf</v>
      </c>
      <c r="H734" s="59" t="str">
        <f>IF(Associates_Call_List_PQ!H734="","",Associates_Call_List_PQ!H734)</f>
        <v>5406537242</v>
      </c>
      <c r="I734" s="57" t="str">
        <f>IF(Associates_Call_List_PQ!I734="","",Associates_Call_List_PQ!I734)</f>
        <v>R-BASICL</v>
      </c>
      <c r="J734" s="57" t="str">
        <f>IF(Associates_Call_List_PQ!J734="","",Associates_Call_List_PQ!J734)</f>
        <v>No</v>
      </c>
      <c r="K734" s="57" t="str">
        <f>IF(Associates_Call_List_PQ!K734="","",Associates_Call_List_PQ!K734)</f>
        <v>No</v>
      </c>
      <c r="L734" s="57" t="str">
        <f>IF(Associates_Call_List_PQ!L734="","",Associates_Call_List_PQ!L734)</f>
        <v>No MEP R3-47 ($137.94)</v>
      </c>
      <c r="M734" s="57" t="str">
        <f>IF(Associates_Call_List_PQ!M734="","",Associates_Call_List_PQ!M734)</f>
        <v>No</v>
      </c>
      <c r="N734" s="57" t="str">
        <f>IF(Associates_Call_List_PQ!N734="","",Associates_Call_List_PQ!N734)</f>
        <v>No</v>
      </c>
      <c r="O734" s="57" t="str">
        <f>IF(Associates_Call_List_PQ!O734="","",Associates_Call_List_PQ!O734)</f>
        <v>Yes</v>
      </c>
      <c r="P734" s="57">
        <f>IF(Associates_Call_List_PQ!P734="","",Associates_Call_List_PQ!P734)</f>
        <v>45938</v>
      </c>
      <c r="Q734" s="57">
        <f>IF(Associates_Call_List_PQ!Q734="","",Associates_Call_List_PQ!Q734)</f>
        <v>45961</v>
      </c>
      <c r="R734" s="57" t="str">
        <f>IF(Associates_Call_List_PQ!R734="","",Associates_Call_List_PQ!R734)</f>
        <v>10/08/2025 left VM</v>
      </c>
      <c r="S734" s="57" t="str">
        <f>IF(Associates_Call_List_PQ!S734="","",Associates_Call_List_PQ!S734)</f>
        <v/>
      </c>
      <c r="T734" s="57" t="str">
        <f>IF(Associates_Call_List_PQ!T734="","",Associates_Call_List_PQ!T734)</f>
        <v/>
      </c>
      <c r="U734" s="57" t="str">
        <f>IF(Associates_Call_List_PQ!U734="","",Associates_Call_List_PQ!U734)</f>
        <v/>
      </c>
      <c r="V734" s="68" t="s">
        <v>5433</v>
      </c>
      <c r="W734" s="68">
        <v>46025</v>
      </c>
      <c r="X734" s="68" t="s">
        <v>5434</v>
      </c>
      <c r="Y734" s="68"/>
      <c r="Z734" s="72" t="s">
        <v>5627</v>
      </c>
    </row>
    <row r="735" spans="1:26">
      <c r="A735" s="71">
        <f>IFERROR(Associates_Call_List_PQ!A735,"")</f>
        <v>45909</v>
      </c>
      <c r="B735" s="57" t="str">
        <f>IF(Associates_Call_List_PQ!B735="","",Associates_Call_List_PQ!B735)</f>
        <v>Thomas</v>
      </c>
      <c r="C735" s="57" t="str">
        <f>IF(Associates_Call_List_PQ!C735="","",Associates_Call_List_PQ!C735)</f>
        <v>Carol</v>
      </c>
      <c r="D735" s="57" t="str">
        <f>IF(Associates_Call_List_PQ!D735="","",Associates_Call_List_PQ!D735)</f>
        <v>Sedona</v>
      </c>
      <c r="E735" s="58">
        <f>IF(Associates_Call_List_PQ!E735="","",Associates_Call_List_PQ!E735)</f>
        <v>86351</v>
      </c>
      <c r="F735" s="57" t="str">
        <f>IF(Associates_Call_List_PQ!F735="","",Associates_Call_List_PQ!F735)</f>
        <v>Egregious, I pay approx $126 just in service charges</v>
      </c>
      <c r="G735" s="57" t="str">
        <f>IF(Associates_Call_List_PQ!G735="","",Associates_Call_List_PQ!G735)</f>
        <v>https://docket.images.azcc.gov/E000046305.pdf</v>
      </c>
      <c r="H735" s="59" t="str">
        <f>IF(Associates_Call_List_PQ!H735="","",Associates_Call_List_PQ!H735)</f>
        <v>7176661000</v>
      </c>
      <c r="I735" s="57" t="str">
        <f>IF(Associates_Call_List_PQ!I735="","",Associates_Call_List_PQ!I735)</f>
        <v>RCPw/RTOUE47</v>
      </c>
      <c r="J735" s="57" t="str">
        <f>IF(Associates_Call_List_PQ!J735="","",Associates_Call_List_PQ!J735)</f>
        <v>No</v>
      </c>
      <c r="K735" s="57" t="str">
        <f>IF(Associates_Call_List_PQ!K735="","",Associates_Call_List_PQ!K735)</f>
        <v>No</v>
      </c>
      <c r="L735" s="57" t="str">
        <f>IF(Associates_Call_List_PQ!L735="","",Associates_Call_List_PQ!L735)</f>
        <v>Y</v>
      </c>
      <c r="M735" s="57" t="str">
        <f>IF(Associates_Call_List_PQ!M735="","",Associates_Call_List_PQ!M735)</f>
        <v>No</v>
      </c>
      <c r="N735" s="57" t="str">
        <f>IF(Associates_Call_List_PQ!N735="","",Associates_Call_List_PQ!N735)</f>
        <v>No</v>
      </c>
      <c r="O735" s="57" t="str">
        <f>IF(Associates_Call_List_PQ!O735="","",Associates_Call_List_PQ!O735)</f>
        <v>Yes</v>
      </c>
      <c r="P735" s="57" t="str">
        <f>IF(Associates_Call_List_PQ!P735="","",Associates_Call_List_PQ!P735)</f>
        <v>N</v>
      </c>
      <c r="Q735" s="57">
        <f>IF(Associates_Call_List_PQ!Q735="","",Associates_Call_List_PQ!Q735)</f>
        <v>45961</v>
      </c>
      <c r="R735" s="57" t="str">
        <f>IF(Associates_Call_List_PQ!R735="","",Associates_Call_List_PQ!R735)</f>
        <v/>
      </c>
      <c r="S735" s="57" t="str">
        <f>IF(Associates_Call_List_PQ!S735="","",Associates_Call_List_PQ!S735)</f>
        <v/>
      </c>
      <c r="T735" s="57" t="str">
        <f>IF(Associates_Call_List_PQ!T735="","",Associates_Call_List_PQ!T735)</f>
        <v/>
      </c>
      <c r="U735" s="57" t="str">
        <f>IF(Associates_Call_List_PQ!U735="","",Associates_Call_List_PQ!U735)</f>
        <v/>
      </c>
      <c r="V735" s="68"/>
      <c r="W735" s="68" t="s">
        <v>5432</v>
      </c>
      <c r="X735" s="68"/>
      <c r="Y735" s="68"/>
      <c r="Z735" s="72"/>
    </row>
    <row r="736" spans="1:26">
      <c r="A736" s="71">
        <f>IFERROR(Associates_Call_List_PQ!A736,"")</f>
        <v>45909</v>
      </c>
      <c r="B736" s="57" t="str">
        <f>IF(Associates_Call_List_PQ!B736="","",Associates_Call_List_PQ!B736)</f>
        <v>Shaver</v>
      </c>
      <c r="C736" s="57" t="str">
        <f>IF(Associates_Call_List_PQ!C736="","",Associates_Call_List_PQ!C736)</f>
        <v>Andrew</v>
      </c>
      <c r="D736" s="57" t="str">
        <f>IF(Associates_Call_List_PQ!D736="","",Associates_Call_List_PQ!D736)</f>
        <v>Phoenix</v>
      </c>
      <c r="E736" s="58">
        <f>IF(Associates_Call_List_PQ!E736="","",Associates_Call_List_PQ!E736)</f>
        <v>85023</v>
      </c>
      <c r="F736" s="57" t="str">
        <f>IF(Associates_Call_List_PQ!F736="","",Associates_Call_List_PQ!F736)</f>
        <v>Form letter</v>
      </c>
      <c r="G736" s="57" t="str">
        <f>IF(Associates_Call_List_PQ!G736="","",Associates_Call_List_PQ!G736)</f>
        <v>https://docket.images.azcc.gov/E000046305.pdf</v>
      </c>
      <c r="H736" s="59" t="str">
        <f>IF(Associates_Call_List_PQ!H736="","",Associates_Call_List_PQ!H736)</f>
        <v>4935500000</v>
      </c>
      <c r="I736" s="57" t="str">
        <f>IF(Associates_Call_List_PQ!I736="","",Associates_Call_List_PQ!I736)</f>
        <v>R3-47</v>
      </c>
      <c r="J736" s="57" t="str">
        <f>IF(Associates_Call_List_PQ!J736="","",Associates_Call_List_PQ!J736)</f>
        <v>No</v>
      </c>
      <c r="K736" s="57" t="str">
        <f>IF(Associates_Call_List_PQ!K736="","",Associates_Call_List_PQ!K736)</f>
        <v>No</v>
      </c>
      <c r="L736" s="57" t="str">
        <f>IF(Associates_Call_List_PQ!L736="","",Associates_Call_List_PQ!L736)</f>
        <v>Y</v>
      </c>
      <c r="M736" s="57" t="str">
        <f>IF(Associates_Call_List_PQ!M736="","",Associates_Call_List_PQ!M736)</f>
        <v>No</v>
      </c>
      <c r="N736" s="57" t="str">
        <f>IF(Associates_Call_List_PQ!N736="","",Associates_Call_List_PQ!N736)</f>
        <v>No</v>
      </c>
      <c r="O736" s="57" t="str">
        <f>IF(Associates_Call_List_PQ!O736="","",Associates_Call_List_PQ!O736)</f>
        <v>Yes</v>
      </c>
      <c r="P736" s="57" t="str">
        <f>IF(Associates_Call_List_PQ!P736="","",Associates_Call_List_PQ!P736)</f>
        <v>N</v>
      </c>
      <c r="Q736" s="57">
        <f>IF(Associates_Call_List_PQ!Q736="","",Associates_Call_List_PQ!Q736)</f>
        <v>45961</v>
      </c>
      <c r="R736" s="57" t="str">
        <f>IF(Associates_Call_List_PQ!R736="","",Associates_Call_List_PQ!R736)</f>
        <v/>
      </c>
      <c r="S736" s="57" t="str">
        <f>IF(Associates_Call_List_PQ!S736="","",Associates_Call_List_PQ!S736)</f>
        <v/>
      </c>
      <c r="T736" s="57" t="str">
        <f>IF(Associates_Call_List_PQ!T736="","",Associates_Call_List_PQ!T736)</f>
        <v/>
      </c>
      <c r="U736" s="57" t="str">
        <f>IF(Associates_Call_List_PQ!U736="","",Associates_Call_List_PQ!U736)</f>
        <v/>
      </c>
      <c r="V736" s="68" t="s">
        <v>5433</v>
      </c>
      <c r="W736" s="68">
        <v>45997</v>
      </c>
      <c r="X736" s="68" t="s">
        <v>5434</v>
      </c>
      <c r="Y736" s="68"/>
      <c r="Z736" s="72" t="s">
        <v>5475</v>
      </c>
    </row>
    <row r="737" spans="1:26">
      <c r="A737" s="71">
        <f>IFERROR(Associates_Call_List_PQ!A737,"")</f>
        <v>45909</v>
      </c>
      <c r="B737" s="57" t="str">
        <f>IF(Associates_Call_List_PQ!B737="","",Associates_Call_List_PQ!B737)</f>
        <v>Colon</v>
      </c>
      <c r="C737" s="57" t="str">
        <f>IF(Associates_Call_List_PQ!C737="","",Associates_Call_List_PQ!C737)</f>
        <v>Justin</v>
      </c>
      <c r="D737" s="57" t="str">
        <f>IF(Associates_Call_List_PQ!D737="","",Associates_Call_List_PQ!D737)</f>
        <v>Phoenix</v>
      </c>
      <c r="E737" s="58">
        <f>IF(Associates_Call_List_PQ!E737="","",Associates_Call_List_PQ!E737)</f>
        <v>85053</v>
      </c>
      <c r="F737" s="57" t="str">
        <f>IF(Associates_Call_List_PQ!F737="","",Associates_Call_List_PQ!F737)</f>
        <v>Form letter</v>
      </c>
      <c r="G737" s="57" t="str">
        <f>IF(Associates_Call_List_PQ!G737="","",Associates_Call_List_PQ!G737)</f>
        <v>https://docket.images.azcc.gov/E000046305.pdf</v>
      </c>
      <c r="H737" s="59" t="str">
        <f>IF(Associates_Call_List_PQ!H737="","",Associates_Call_List_PQ!H737)</f>
        <v>3940259300</v>
      </c>
      <c r="I737" s="57" t="str">
        <f>IF(Associates_Call_List_PQ!I737="","",Associates_Call_List_PQ!I737)</f>
        <v>R-BASIC</v>
      </c>
      <c r="J737" s="57" t="str">
        <f>IF(Associates_Call_List_PQ!J737="","",Associates_Call_List_PQ!J737)</f>
        <v>No</v>
      </c>
      <c r="K737" s="57" t="str">
        <f>IF(Associates_Call_List_PQ!K737="","",Associates_Call_List_PQ!K737)</f>
        <v>No</v>
      </c>
      <c r="L737" s="57" t="str">
        <f>IF(Associates_Call_List_PQ!L737="","",Associates_Call_List_PQ!L737)</f>
        <v>Y</v>
      </c>
      <c r="M737" s="57" t="str">
        <f>IF(Associates_Call_List_PQ!M737="","",Associates_Call_List_PQ!M737)</f>
        <v>No</v>
      </c>
      <c r="N737" s="57" t="str">
        <f>IF(Associates_Call_List_PQ!N737="","",Associates_Call_List_PQ!N737)</f>
        <v>No</v>
      </c>
      <c r="O737" s="57" t="str">
        <f>IF(Associates_Call_List_PQ!O737="","",Associates_Call_List_PQ!O737)</f>
        <v>Yes</v>
      </c>
      <c r="P737" s="57" t="str">
        <f>IF(Associates_Call_List_PQ!P737="","",Associates_Call_List_PQ!P737)</f>
        <v>N</v>
      </c>
      <c r="Q737" s="57">
        <f>IF(Associates_Call_List_PQ!Q737="","",Associates_Call_List_PQ!Q737)</f>
        <v>45961</v>
      </c>
      <c r="R737" s="57" t="str">
        <f>IF(Associates_Call_List_PQ!R737="","",Associates_Call_List_PQ!R737)</f>
        <v/>
      </c>
      <c r="S737" s="57" t="str">
        <f>IF(Associates_Call_List_PQ!S737="","",Associates_Call_List_PQ!S737)</f>
        <v/>
      </c>
      <c r="T737" s="57" t="str">
        <f>IF(Associates_Call_List_PQ!T737="","",Associates_Call_List_PQ!T737)</f>
        <v/>
      </c>
      <c r="U737" s="57" t="str">
        <f>IF(Associates_Call_List_PQ!U737="","",Associates_Call_List_PQ!U737)</f>
        <v/>
      </c>
      <c r="V737" s="68"/>
      <c r="W737" s="68" t="s">
        <v>5432</v>
      </c>
      <c r="X737" s="68"/>
      <c r="Y737" s="68"/>
      <c r="Z737" s="72"/>
    </row>
    <row r="738" spans="1:26">
      <c r="A738" s="71">
        <f>IFERROR(Associates_Call_List_PQ!A738,"")</f>
        <v>45910</v>
      </c>
      <c r="B738" s="57" t="str">
        <f>IF(Associates_Call_List_PQ!B738="","",Associates_Call_List_PQ!B738)</f>
        <v>Brumund</v>
      </c>
      <c r="C738" s="57" t="str">
        <f>IF(Associates_Call_List_PQ!C738="","",Associates_Call_List_PQ!C738)</f>
        <v>Randy</v>
      </c>
      <c r="D738" s="57" t="str">
        <f>IF(Associates_Call_List_PQ!D738="","",Associates_Call_List_PQ!D738)</f>
        <v>Chino Valley</v>
      </c>
      <c r="E738" s="58">
        <f>IF(Associates_Call_List_PQ!E738="","",Associates_Call_List_PQ!E738)</f>
        <v>86323</v>
      </c>
      <c r="F738" s="57" t="str">
        <f>IF(Associates_Call_List_PQ!F738="","",Associates_Call_List_PQ!F738)</f>
        <v>Barely have enough to cover the increase of food</v>
      </c>
      <c r="G738" s="57" t="str">
        <f>IF(Associates_Call_List_PQ!G738="","",Associates_Call_List_PQ!G738)</f>
        <v>https://docket.images.azcc.gov/E000046309.pdf</v>
      </c>
      <c r="H738" s="59" t="str">
        <f>IF(Associates_Call_List_PQ!H738="","",Associates_Call_List_PQ!H738)</f>
        <v>2387100000</v>
      </c>
      <c r="I738" s="57" t="str">
        <f>IF(Associates_Call_List_PQ!I738="","",Associates_Call_List_PQ!I738)</f>
        <v>EPR-6w/E-12</v>
      </c>
      <c r="J738" s="57" t="str">
        <f>IF(Associates_Call_List_PQ!J738="","",Associates_Call_List_PQ!J738)</f>
        <v>No</v>
      </c>
      <c r="K738" s="57" t="str">
        <f>IF(Associates_Call_List_PQ!K738="","",Associates_Call_List_PQ!K738)</f>
        <v>No</v>
      </c>
      <c r="L738" s="57" t="str">
        <f>IF(Associates_Call_List_PQ!L738="","",Associates_Call_List_PQ!L738)</f>
        <v>Frozen Rate</v>
      </c>
      <c r="M738" s="57" t="str">
        <f>IF(Associates_Call_List_PQ!M738="","",Associates_Call_List_PQ!M738)</f>
        <v>No</v>
      </c>
      <c r="N738" s="57" t="str">
        <f>IF(Associates_Call_List_PQ!N738="","",Associates_Call_List_PQ!N738)</f>
        <v>No</v>
      </c>
      <c r="O738" s="57" t="str">
        <f>IF(Associates_Call_List_PQ!O738="","",Associates_Call_List_PQ!O738)</f>
        <v>Yes</v>
      </c>
      <c r="P738" s="57" t="str">
        <f>IF(Associates_Call_List_PQ!P738="","",Associates_Call_List_PQ!P738)</f>
        <v>N</v>
      </c>
      <c r="Q738" s="57">
        <f>IF(Associates_Call_List_PQ!Q738="","",Associates_Call_List_PQ!Q738)</f>
        <v>45961</v>
      </c>
      <c r="R738" s="57" t="str">
        <f>IF(Associates_Call_List_PQ!R738="","",Associates_Call_List_PQ!R738)</f>
        <v/>
      </c>
      <c r="S738" s="57" t="str">
        <f>IF(Associates_Call_List_PQ!S738="","",Associates_Call_List_PQ!S738)</f>
        <v/>
      </c>
      <c r="T738" s="57" t="str">
        <f>IF(Associates_Call_List_PQ!T738="","",Associates_Call_List_PQ!T738)</f>
        <v/>
      </c>
      <c r="U738" s="57" t="str">
        <f>IF(Associates_Call_List_PQ!U738="","",Associates_Call_List_PQ!U738)</f>
        <v/>
      </c>
      <c r="V738" s="68" t="s">
        <v>5433</v>
      </c>
      <c r="W738" s="68">
        <v>46081</v>
      </c>
      <c r="X738" s="68" t="s">
        <v>5434</v>
      </c>
      <c r="Y738" s="68"/>
      <c r="Z738" s="72" t="s">
        <v>5547</v>
      </c>
    </row>
    <row r="739" spans="1:26">
      <c r="A739" s="71">
        <f>IFERROR(Associates_Call_List_PQ!A739,"")</f>
        <v>45910</v>
      </c>
      <c r="B739" s="57" t="str">
        <f>IF(Associates_Call_List_PQ!B739="","",Associates_Call_List_PQ!B739)</f>
        <v>Malaki</v>
      </c>
      <c r="C739" s="57" t="str">
        <f>IF(Associates_Call_List_PQ!C739="","",Associates_Call_List_PQ!C739)</f>
        <v>Samantha</v>
      </c>
      <c r="D739" s="57" t="str">
        <f>IF(Associates_Call_List_PQ!D739="","",Associates_Call_List_PQ!D739)</f>
        <v>Glendale</v>
      </c>
      <c r="E739" s="58">
        <f>IF(Associates_Call_List_PQ!E739="","",Associates_Call_List_PQ!E739)</f>
        <v>85308</v>
      </c>
      <c r="F739" s="57" t="str">
        <f>IF(Associates_Call_List_PQ!F739="","",Associates_Call_List_PQ!F739)</f>
        <v>Form letter</v>
      </c>
      <c r="G739" s="57" t="str">
        <f>IF(Associates_Call_List_PQ!G739="","",Associates_Call_List_PQ!G739)</f>
        <v>https://docket.images.azcc.gov/E000046309.pdf</v>
      </c>
      <c r="H739" s="59" t="str">
        <f>IF(Associates_Call_List_PQ!H739="","",Associates_Call_List_PQ!H739)</f>
        <v>8027967579</v>
      </c>
      <c r="I739" s="57" t="str">
        <f>IF(Associates_Call_List_PQ!I739="","",Associates_Call_List_PQ!I739)</f>
        <v>RTOUE47</v>
      </c>
      <c r="J739" s="57" t="str">
        <f>IF(Associates_Call_List_PQ!J739="","",Associates_Call_List_PQ!J739)</f>
        <v>No</v>
      </c>
      <c r="K739" s="57" t="str">
        <f>IF(Associates_Call_List_PQ!K739="","",Associates_Call_List_PQ!K739)</f>
        <v>No</v>
      </c>
      <c r="L739" s="57" t="str">
        <f>IF(Associates_Call_List_PQ!L739="","",Associates_Call_List_PQ!L739)</f>
        <v>No MEP R3-47 ($84.85)</v>
      </c>
      <c r="M739" s="57" t="str">
        <f>IF(Associates_Call_List_PQ!M739="","",Associates_Call_List_PQ!M739)</f>
        <v>No</v>
      </c>
      <c r="N739" s="57" t="str">
        <f>IF(Associates_Call_List_PQ!N739="","",Associates_Call_List_PQ!N739)</f>
        <v>No</v>
      </c>
      <c r="O739" s="57" t="str">
        <f>IF(Associates_Call_List_PQ!O739="","",Associates_Call_List_PQ!O739)</f>
        <v>Yes</v>
      </c>
      <c r="P739" s="57" t="str">
        <f>IF(Associates_Call_List_PQ!P739="","",Associates_Call_List_PQ!P739)</f>
        <v>N</v>
      </c>
      <c r="Q739" s="57">
        <f>IF(Associates_Call_List_PQ!Q739="","",Associates_Call_List_PQ!Q739)</f>
        <v>45961</v>
      </c>
      <c r="R739" s="57" t="str">
        <f>IF(Associates_Call_List_PQ!R739="","",Associates_Call_List_PQ!R739)</f>
        <v/>
      </c>
      <c r="S739" s="57" t="str">
        <f>IF(Associates_Call_List_PQ!S739="","",Associates_Call_List_PQ!S739)</f>
        <v/>
      </c>
      <c r="T739" s="57" t="str">
        <f>IF(Associates_Call_List_PQ!T739="","",Associates_Call_List_PQ!T739)</f>
        <v/>
      </c>
      <c r="U739" s="57" t="str">
        <f>IF(Associates_Call_List_PQ!U739="","",Associates_Call_List_PQ!U739)</f>
        <v/>
      </c>
      <c r="V739" s="68" t="s">
        <v>5433</v>
      </c>
      <c r="W739" s="68">
        <v>46025</v>
      </c>
      <c r="X739" s="68" t="s">
        <v>5405</v>
      </c>
      <c r="Y739" s="68" t="s">
        <v>5461</v>
      </c>
      <c r="Z739" s="72" t="s">
        <v>5639</v>
      </c>
    </row>
    <row r="740" spans="1:26">
      <c r="A740" s="71">
        <f>IFERROR(Associates_Call_List_PQ!A740,"")</f>
        <v>45910</v>
      </c>
      <c r="B740" s="57" t="str">
        <f>IF(Associates_Call_List_PQ!B740="","",Associates_Call_List_PQ!B740)</f>
        <v>Shah</v>
      </c>
      <c r="C740" s="57" t="str">
        <f>IF(Associates_Call_List_PQ!C740="","",Associates_Call_List_PQ!C740)</f>
        <v>Raju</v>
      </c>
      <c r="D740" s="57" t="str">
        <f>IF(Associates_Call_List_PQ!D740="","",Associates_Call_List_PQ!D740)</f>
        <v>Phoenix</v>
      </c>
      <c r="E740" s="58">
        <f>IF(Associates_Call_List_PQ!E740="","",Associates_Call_List_PQ!E740)</f>
        <v>85083</v>
      </c>
      <c r="F740" s="57" t="str">
        <f>IF(Associates_Call_List_PQ!F740="","",Associates_Call_List_PQ!F740)</f>
        <v>Opposed</v>
      </c>
      <c r="G740" s="57" t="str">
        <f>IF(Associates_Call_List_PQ!G740="","",Associates_Call_List_PQ!G740)</f>
        <v>https://docket.images.azcc.gov/E000046309.pdf</v>
      </c>
      <c r="H740" s="59" t="str">
        <f>IF(Associates_Call_List_PQ!H740="","",Associates_Call_List_PQ!H740)</f>
        <v>1914731000</v>
      </c>
      <c r="I740" s="57" t="str">
        <f>IF(Associates_Call_List_PQ!I740="","",Associates_Call_List_PQ!I740)</f>
        <v>EPR-6w/E-12</v>
      </c>
      <c r="J740" s="57" t="str">
        <f>IF(Associates_Call_List_PQ!J740="","",Associates_Call_List_PQ!J740)</f>
        <v>No</v>
      </c>
      <c r="K740" s="57" t="str">
        <f>IF(Associates_Call_List_PQ!K740="","",Associates_Call_List_PQ!K740)</f>
        <v>No</v>
      </c>
      <c r="L740" s="57" t="str">
        <f>IF(Associates_Call_List_PQ!L740="","",Associates_Call_List_PQ!L740)</f>
        <v>Frozen Rate</v>
      </c>
      <c r="M740" s="57" t="str">
        <f>IF(Associates_Call_List_PQ!M740="","",Associates_Call_List_PQ!M740)</f>
        <v>No</v>
      </c>
      <c r="N740" s="57" t="str">
        <f>IF(Associates_Call_List_PQ!N740="","",Associates_Call_List_PQ!N740)</f>
        <v>No</v>
      </c>
      <c r="O740" s="57" t="str">
        <f>IF(Associates_Call_List_PQ!O740="","",Associates_Call_List_PQ!O740)</f>
        <v>Yes</v>
      </c>
      <c r="P740" s="57" t="str">
        <f>IF(Associates_Call_List_PQ!P740="","",Associates_Call_List_PQ!P740)</f>
        <v>N</v>
      </c>
      <c r="Q740" s="57">
        <f>IF(Associates_Call_List_PQ!Q740="","",Associates_Call_List_PQ!Q740)</f>
        <v>45961</v>
      </c>
      <c r="R740" s="57" t="str">
        <f>IF(Associates_Call_List_PQ!R740="","",Associates_Call_List_PQ!R740)</f>
        <v/>
      </c>
      <c r="S740" s="57" t="str">
        <f>IF(Associates_Call_List_PQ!S740="","",Associates_Call_List_PQ!S740)</f>
        <v/>
      </c>
      <c r="T740" s="57" t="str">
        <f>IF(Associates_Call_List_PQ!T740="","",Associates_Call_List_PQ!T740)</f>
        <v/>
      </c>
      <c r="U740" s="57" t="str">
        <f>IF(Associates_Call_List_PQ!U740="","",Associates_Call_List_PQ!U740)</f>
        <v/>
      </c>
      <c r="V740" s="68" t="s">
        <v>5433</v>
      </c>
      <c r="W740" s="68">
        <v>46081</v>
      </c>
      <c r="X740" s="68" t="s">
        <v>5405</v>
      </c>
      <c r="Y740" s="68" t="s">
        <v>5461</v>
      </c>
      <c r="Z740" s="72" t="s">
        <v>5640</v>
      </c>
    </row>
    <row r="741" spans="1:26">
      <c r="A741" s="71">
        <f>IFERROR(Associates_Call_List_PQ!A741,"")</f>
        <v>45910</v>
      </c>
      <c r="B741" s="57" t="str">
        <f>IF(Associates_Call_List_PQ!B741="","",Associates_Call_List_PQ!B741)</f>
        <v>Pircaro</v>
      </c>
      <c r="C741" s="57" t="str">
        <f>IF(Associates_Call_List_PQ!C741="","",Associates_Call_List_PQ!C741)</f>
        <v>Mark</v>
      </c>
      <c r="D741" s="57" t="str">
        <f>IF(Associates_Call_List_PQ!D741="","",Associates_Call_List_PQ!D741)</f>
        <v>Yuma</v>
      </c>
      <c r="E741" s="58">
        <f>IF(Associates_Call_List_PQ!E741="","",Associates_Call_List_PQ!E741)</f>
        <v>85365</v>
      </c>
      <c r="F741" s="57" t="str">
        <f>IF(Associates_Call_List_PQ!F741="","",Associates_Call_List_PQ!F741)</f>
        <v>Opposed</v>
      </c>
      <c r="G741" s="57" t="str">
        <f>IF(Associates_Call_List_PQ!G741="","",Associates_Call_List_PQ!G741)</f>
        <v>https://docket.images.azcc.gov/E000046309.pdf</v>
      </c>
      <c r="H741" s="59" t="str">
        <f>IF(Associates_Call_List_PQ!H741="","",Associates_Call_List_PQ!H741)</f>
        <v>0029211000</v>
      </c>
      <c r="I741" s="57" t="str">
        <f>IF(Associates_Call_List_PQ!I741="","",Associates_Call_List_PQ!I741)</f>
        <v>R3-47</v>
      </c>
      <c r="J741" s="57" t="str">
        <f>IF(Associates_Call_List_PQ!J741="","",Associates_Call_List_PQ!J741)</f>
        <v>No</v>
      </c>
      <c r="K741" s="57" t="str">
        <f>IF(Associates_Call_List_PQ!K741="","",Associates_Call_List_PQ!K741)</f>
        <v>No</v>
      </c>
      <c r="L741" s="57" t="str">
        <f>IF(Associates_Call_List_PQ!L741="","",Associates_Call_List_PQ!L741)</f>
        <v>Y</v>
      </c>
      <c r="M741" s="57" t="str">
        <f>IF(Associates_Call_List_PQ!M741="","",Associates_Call_List_PQ!M741)</f>
        <v>No</v>
      </c>
      <c r="N741" s="57" t="str">
        <f>IF(Associates_Call_List_PQ!N741="","",Associates_Call_List_PQ!N741)</f>
        <v>No</v>
      </c>
      <c r="O741" s="57" t="str">
        <f>IF(Associates_Call_List_PQ!O741="","",Associates_Call_List_PQ!O741)</f>
        <v>Yes</v>
      </c>
      <c r="P741" s="57" t="str">
        <f>IF(Associates_Call_List_PQ!P741="","",Associates_Call_List_PQ!P741)</f>
        <v>N</v>
      </c>
      <c r="Q741" s="57">
        <f>IF(Associates_Call_List_PQ!Q741="","",Associates_Call_List_PQ!Q741)</f>
        <v>45961</v>
      </c>
      <c r="R741" s="57" t="str">
        <f>IF(Associates_Call_List_PQ!R741="","",Associates_Call_List_PQ!R741)</f>
        <v/>
      </c>
      <c r="S741" s="57" t="str">
        <f>IF(Associates_Call_List_PQ!S741="","",Associates_Call_List_PQ!S741)</f>
        <v/>
      </c>
      <c r="T741" s="57" t="str">
        <f>IF(Associates_Call_List_PQ!T741="","",Associates_Call_List_PQ!T741)</f>
        <v/>
      </c>
      <c r="U741" s="57" t="str">
        <f>IF(Associates_Call_List_PQ!U741="","",Associates_Call_List_PQ!U741)</f>
        <v/>
      </c>
      <c r="V741" s="68"/>
      <c r="W741" s="68" t="s">
        <v>5432</v>
      </c>
      <c r="X741" s="68"/>
      <c r="Y741" s="68"/>
      <c r="Z741" s="72"/>
    </row>
    <row r="742" spans="1:26">
      <c r="A742" s="71">
        <f>IFERROR(Associates_Call_List_PQ!A742,"")</f>
        <v>45910</v>
      </c>
      <c r="B742" s="57" t="str">
        <f>IF(Associates_Call_List_PQ!B742="","",Associates_Call_List_PQ!B742)</f>
        <v>Roy</v>
      </c>
      <c r="C742" s="57" t="str">
        <f>IF(Associates_Call_List_PQ!C742="","",Associates_Call_List_PQ!C742)</f>
        <v>Tanika</v>
      </c>
      <c r="D742" s="57" t="str">
        <f>IF(Associates_Call_List_PQ!D742="","",Associates_Call_List_PQ!D742)</f>
        <v>Phoenix</v>
      </c>
      <c r="E742" s="58">
        <f>IF(Associates_Call_List_PQ!E742="","",Associates_Call_List_PQ!E742)</f>
        <v>85008</v>
      </c>
      <c r="F742" s="57" t="str">
        <f>IF(Associates_Call_List_PQ!F742="","",Associates_Call_List_PQ!F742)</f>
        <v>Opposed</v>
      </c>
      <c r="G742" s="57" t="str">
        <f>IF(Associates_Call_List_PQ!G742="","",Associates_Call_List_PQ!G742)</f>
        <v>https://docket.images.azcc.gov/E000046309.pdf</v>
      </c>
      <c r="H742" s="59" t="str">
        <f>IF(Associates_Call_List_PQ!H742="","",Associates_Call_List_PQ!H742)</f>
        <v>5458953850</v>
      </c>
      <c r="I742" s="57" t="str">
        <f>IF(Associates_Call_List_PQ!I742="","",Associates_Call_List_PQ!I742)</f>
        <v>RTOUE47</v>
      </c>
      <c r="J742" s="57" t="str">
        <f>IF(Associates_Call_List_PQ!J742="","",Associates_Call_List_PQ!J742)</f>
        <v>No</v>
      </c>
      <c r="K742" s="57" t="str">
        <f>IF(Associates_Call_List_PQ!K742="","",Associates_Call_List_PQ!K742)</f>
        <v>No</v>
      </c>
      <c r="L742" s="57" t="str">
        <f>IF(Associates_Call_List_PQ!L742="","",Associates_Call_List_PQ!L742)</f>
        <v>No MEP R-XS ($24.15)</v>
      </c>
      <c r="M742" s="57" t="str">
        <f>IF(Associates_Call_List_PQ!M742="","",Associates_Call_List_PQ!M742)</f>
        <v>No</v>
      </c>
      <c r="N742" s="57" t="str">
        <f>IF(Associates_Call_List_PQ!N742="","",Associates_Call_List_PQ!N742)</f>
        <v>No</v>
      </c>
      <c r="O742" s="57" t="str">
        <f>IF(Associates_Call_List_PQ!O742="","",Associates_Call_List_PQ!O742)</f>
        <v>Yes</v>
      </c>
      <c r="P742" s="57" t="str">
        <f>IF(Associates_Call_List_PQ!P742="","",Associates_Call_List_PQ!P742)</f>
        <v>N</v>
      </c>
      <c r="Q742" s="57">
        <f>IF(Associates_Call_List_PQ!Q742="","",Associates_Call_List_PQ!Q742)</f>
        <v>45961</v>
      </c>
      <c r="R742" s="57" t="str">
        <f>IF(Associates_Call_List_PQ!R742="","",Associates_Call_List_PQ!R742)</f>
        <v/>
      </c>
      <c r="S742" s="57" t="str">
        <f>IF(Associates_Call_List_PQ!S742="","",Associates_Call_List_PQ!S742)</f>
        <v/>
      </c>
      <c r="T742" s="57" t="str">
        <f>IF(Associates_Call_List_PQ!T742="","",Associates_Call_List_PQ!T742)</f>
        <v/>
      </c>
      <c r="U742" s="57" t="str">
        <f>IF(Associates_Call_List_PQ!U742="","",Associates_Call_List_PQ!U742)</f>
        <v/>
      </c>
      <c r="V742" s="68" t="s">
        <v>5433</v>
      </c>
      <c r="W742" s="68">
        <v>45997</v>
      </c>
      <c r="X742" s="68"/>
      <c r="Y742" s="68"/>
      <c r="Z742" s="72" t="s">
        <v>5476</v>
      </c>
    </row>
    <row r="743" spans="1:26">
      <c r="A743" s="71">
        <f>IFERROR(Associates_Call_List_PQ!A743,"")</f>
        <v>45910</v>
      </c>
      <c r="B743" s="57" t="str">
        <f>IF(Associates_Call_List_PQ!B743="","",Associates_Call_List_PQ!B743)</f>
        <v>Josselyn</v>
      </c>
      <c r="C743" s="57" t="str">
        <f>IF(Associates_Call_List_PQ!C743="","",Associates_Call_List_PQ!C743)</f>
        <v>Anne</v>
      </c>
      <c r="D743" s="57" t="str">
        <f>IF(Associates_Call_List_PQ!D743="","",Associates_Call_List_PQ!D743)</f>
        <v xml:space="preserve">Sun City </v>
      </c>
      <c r="E743" s="58">
        <f>IF(Associates_Call_List_PQ!E743="","",Associates_Call_List_PQ!E743)</f>
        <v>85351</v>
      </c>
      <c r="F743" s="57" t="str">
        <f>IF(Associates_Call_List_PQ!F743="","",Associates_Call_List_PQ!F743)</f>
        <v>Opposed</v>
      </c>
      <c r="G743" s="57" t="str">
        <f>IF(Associates_Call_List_PQ!G743="","",Associates_Call_List_PQ!G743)</f>
        <v>https://docket.images.azcc.gov/E000046316.pdf</v>
      </c>
      <c r="H743" s="59" t="str">
        <f>IF(Associates_Call_List_PQ!H743="","",Associates_Call_List_PQ!H743)</f>
        <v>4528501000</v>
      </c>
      <c r="I743" s="57" t="str">
        <f>IF(Associates_Call_List_PQ!I743="","",Associates_Call_List_PQ!I743)</f>
        <v>R-BASIC</v>
      </c>
      <c r="J743" s="57" t="str">
        <f>IF(Associates_Call_List_PQ!J743="","",Associates_Call_List_PQ!J743)</f>
        <v>No</v>
      </c>
      <c r="K743" s="57" t="str">
        <f>IF(Associates_Call_List_PQ!K743="","",Associates_Call_List_PQ!K743)</f>
        <v>No</v>
      </c>
      <c r="L743" s="57" t="str">
        <f>IF(Associates_Call_List_PQ!L743="","",Associates_Call_List_PQ!L743)</f>
        <v>No MEP R-XS ($117.00)</v>
      </c>
      <c r="M743" s="57" t="str">
        <f>IF(Associates_Call_List_PQ!M743="","",Associates_Call_List_PQ!M743)</f>
        <v/>
      </c>
      <c r="N743" s="57" t="str">
        <f>IF(Associates_Call_List_PQ!N743="","",Associates_Call_List_PQ!N743)</f>
        <v/>
      </c>
      <c r="O743" s="57" t="str">
        <f>IF(Associates_Call_List_PQ!O743="","",Associates_Call_List_PQ!O743)</f>
        <v>Yes</v>
      </c>
      <c r="P743" s="57">
        <f>IF(Associates_Call_List_PQ!P743="","",Associates_Call_List_PQ!P743)</f>
        <v>45938</v>
      </c>
      <c r="Q743" s="57">
        <f>IF(Associates_Call_List_PQ!Q743="","",Associates_Call_List_PQ!Q743)</f>
        <v>45961</v>
      </c>
      <c r="R743" s="57" t="str">
        <f>IF(Associates_Call_List_PQ!R743="","",Associates_Call_List_PQ!R743)</f>
        <v>10/8/2025 Left VM</v>
      </c>
      <c r="S743" s="57" t="str">
        <f>IF(Associates_Call_List_PQ!S743="","",Associates_Call_List_PQ!S743)</f>
        <v/>
      </c>
      <c r="T743" s="57" t="str">
        <f>IF(Associates_Call_List_PQ!T743="","",Associates_Call_List_PQ!T743)</f>
        <v/>
      </c>
      <c r="U743" s="57" t="str">
        <f>IF(Associates_Call_List_PQ!U743="","",Associates_Call_List_PQ!U743)</f>
        <v/>
      </c>
      <c r="V743" s="68" t="s">
        <v>5433</v>
      </c>
      <c r="W743" s="68">
        <v>46025</v>
      </c>
      <c r="X743" s="68"/>
      <c r="Y743" s="68"/>
      <c r="Z743" s="72" t="s">
        <v>5627</v>
      </c>
    </row>
    <row r="744" spans="1:26">
      <c r="A744" s="71">
        <f>IFERROR(Associates_Call_List_PQ!A744,"")</f>
        <v>45910</v>
      </c>
      <c r="B744" s="57" t="str">
        <f>IF(Associates_Call_List_PQ!B744="","",Associates_Call_List_PQ!B744)</f>
        <v>Ray</v>
      </c>
      <c r="C744" s="57" t="str">
        <f>IF(Associates_Call_List_PQ!C744="","",Associates_Call_List_PQ!C744)</f>
        <v>Ingeborg</v>
      </c>
      <c r="D744" s="57" t="str">
        <f>IF(Associates_Call_List_PQ!D744="","",Associates_Call_List_PQ!D744)</f>
        <v>Phoenix</v>
      </c>
      <c r="E744" s="58">
        <f>IF(Associates_Call_List_PQ!E744="","",Associates_Call_List_PQ!E744)</f>
        <v>85021</v>
      </c>
      <c r="F744" s="57" t="str">
        <f>IF(Associates_Call_List_PQ!F744="","",Associates_Call_List_PQ!F744)</f>
        <v>Opposed</v>
      </c>
      <c r="G744" s="57" t="str">
        <f>IF(Associates_Call_List_PQ!G744="","",Associates_Call_List_PQ!G744)</f>
        <v>https://docket.images.azcc.gov/E000046316.pdf</v>
      </c>
      <c r="H744" s="59" t="str">
        <f>IF(Associates_Call_List_PQ!H744="","",Associates_Call_List_PQ!H744)</f>
        <v>6428400000</v>
      </c>
      <c r="I744" s="57" t="str">
        <f>IF(Associates_Call_List_PQ!I744="","",Associates_Call_List_PQ!I744)</f>
        <v>R3-47</v>
      </c>
      <c r="J744" s="57" t="str">
        <f>IF(Associates_Call_List_PQ!J744="","",Associates_Call_List_PQ!J744)</f>
        <v>No</v>
      </c>
      <c r="K744" s="57" t="str">
        <f>IF(Associates_Call_List_PQ!K744="","",Associates_Call_List_PQ!K744)</f>
        <v>No</v>
      </c>
      <c r="L744" s="57" t="str">
        <f>IF(Associates_Call_List_PQ!L744="","",Associates_Call_List_PQ!L744)</f>
        <v>Y</v>
      </c>
      <c r="M744" s="57" t="str">
        <f>IF(Associates_Call_List_PQ!M744="","",Associates_Call_List_PQ!M744)</f>
        <v>No</v>
      </c>
      <c r="N744" s="57" t="str">
        <f>IF(Associates_Call_List_PQ!N744="","",Associates_Call_List_PQ!N744)</f>
        <v>No</v>
      </c>
      <c r="O744" s="57" t="str">
        <f>IF(Associates_Call_List_PQ!O744="","",Associates_Call_List_PQ!O744)</f>
        <v>Yes</v>
      </c>
      <c r="P744" s="57" t="str">
        <f>IF(Associates_Call_List_PQ!P744="","",Associates_Call_List_PQ!P744)</f>
        <v>N</v>
      </c>
      <c r="Q744" s="57">
        <f>IF(Associates_Call_List_PQ!Q744="","",Associates_Call_List_PQ!Q744)</f>
        <v>45961</v>
      </c>
      <c r="R744" s="57" t="str">
        <f>IF(Associates_Call_List_PQ!R744="","",Associates_Call_List_PQ!R744)</f>
        <v/>
      </c>
      <c r="S744" s="57" t="str">
        <f>IF(Associates_Call_List_PQ!S744="","",Associates_Call_List_PQ!S744)</f>
        <v/>
      </c>
      <c r="T744" s="57" t="str">
        <f>IF(Associates_Call_List_PQ!T744="","",Associates_Call_List_PQ!T744)</f>
        <v/>
      </c>
      <c r="U744" s="57" t="str">
        <f>IF(Associates_Call_List_PQ!U744="","",Associates_Call_List_PQ!U744)</f>
        <v/>
      </c>
      <c r="V744" s="68" t="s">
        <v>5433</v>
      </c>
      <c r="W744" s="68">
        <v>46081</v>
      </c>
      <c r="X744" s="68" t="s">
        <v>5434</v>
      </c>
      <c r="Y744" s="68"/>
      <c r="Z744" s="72" t="s">
        <v>5547</v>
      </c>
    </row>
    <row r="745" spans="1:26">
      <c r="A745" s="71">
        <f>IFERROR(Associates_Call_List_PQ!A745,"")</f>
        <v>45910</v>
      </c>
      <c r="B745" s="57" t="str">
        <f>IF(Associates_Call_List_PQ!B745="","",Associates_Call_List_PQ!B745)</f>
        <v>Simone</v>
      </c>
      <c r="C745" s="57" t="str">
        <f>IF(Associates_Call_List_PQ!C745="","",Associates_Call_List_PQ!C745)</f>
        <v>Vicki</v>
      </c>
      <c r="D745" s="57" t="str">
        <f>IF(Associates_Call_List_PQ!D745="","",Associates_Call_List_PQ!D745)</f>
        <v>Phoenix</v>
      </c>
      <c r="E745" s="58">
        <f>IF(Associates_Call_List_PQ!E745="","",Associates_Call_List_PQ!E745)</f>
        <v>85028</v>
      </c>
      <c r="F745" s="57" t="str">
        <f>IF(Associates_Call_List_PQ!F745="","",Associates_Call_List_PQ!F745)</f>
        <v>Opposed</v>
      </c>
      <c r="G745" s="57" t="str">
        <f>IF(Associates_Call_List_PQ!G745="","",Associates_Call_List_PQ!G745)</f>
        <v>https://docket.images.azcc.gov/E000046329.pdf</v>
      </c>
      <c r="H745" s="59" t="str">
        <f>IF(Associates_Call_List_PQ!H745="","",Associates_Call_List_PQ!H745)</f>
        <v>9414462931</v>
      </c>
      <c r="I745" s="57" t="str">
        <f>IF(Associates_Call_List_PQ!I745="","",Associates_Call_List_PQ!I745)</f>
        <v>R-BASIC</v>
      </c>
      <c r="J745" s="57" t="str">
        <f>IF(Associates_Call_List_PQ!J745="","",Associates_Call_List_PQ!J745)</f>
        <v>No</v>
      </c>
      <c r="K745" s="57" t="str">
        <f>IF(Associates_Call_List_PQ!K745="","",Associates_Call_List_PQ!K745)</f>
        <v>No</v>
      </c>
      <c r="L745" s="57" t="str">
        <f>IF(Associates_Call_List_PQ!L745="","",Associates_Call_List_PQ!L745)</f>
        <v>No MEP R3-47 ($35.30)</v>
      </c>
      <c r="M745" s="57" t="str">
        <f>IF(Associates_Call_List_PQ!M745="","",Associates_Call_List_PQ!M745)</f>
        <v>No</v>
      </c>
      <c r="N745" s="57" t="str">
        <f>IF(Associates_Call_List_PQ!N745="","",Associates_Call_List_PQ!N745)</f>
        <v>No</v>
      </c>
      <c r="O745" s="57" t="str">
        <f>IF(Associates_Call_List_PQ!O745="","",Associates_Call_List_PQ!O745)</f>
        <v>Yes</v>
      </c>
      <c r="P745" s="57" t="str">
        <f>IF(Associates_Call_List_PQ!P745="","",Associates_Call_List_PQ!P745)</f>
        <v>N</v>
      </c>
      <c r="Q745" s="57">
        <f>IF(Associates_Call_List_PQ!Q745="","",Associates_Call_List_PQ!Q745)</f>
        <v>45961</v>
      </c>
      <c r="R745" s="57" t="str">
        <f>IF(Associates_Call_List_PQ!R745="","",Associates_Call_List_PQ!R745)</f>
        <v/>
      </c>
      <c r="S745" s="57" t="str">
        <f>IF(Associates_Call_List_PQ!S745="","",Associates_Call_List_PQ!S745)</f>
        <v/>
      </c>
      <c r="T745" s="57" t="str">
        <f>IF(Associates_Call_List_PQ!T745="","",Associates_Call_List_PQ!T745)</f>
        <v/>
      </c>
      <c r="U745" s="57" t="str">
        <f>IF(Associates_Call_List_PQ!U745="","",Associates_Call_List_PQ!U745)</f>
        <v/>
      </c>
      <c r="V745" s="68" t="s">
        <v>5433</v>
      </c>
      <c r="W745" s="68">
        <v>46025</v>
      </c>
      <c r="X745" s="68"/>
      <c r="Y745" s="68" t="s">
        <v>5461</v>
      </c>
      <c r="Z745" s="72" t="s">
        <v>5641</v>
      </c>
    </row>
    <row r="746" spans="1:26">
      <c r="A746" s="71">
        <f>IFERROR(Associates_Call_List_PQ!A746,"")</f>
        <v>45910</v>
      </c>
      <c r="B746" s="57" t="str">
        <f>IF(Associates_Call_List_PQ!B746="","",Associates_Call_List_PQ!B746)</f>
        <v>Frederick</v>
      </c>
      <c r="C746" s="57" t="str">
        <f>IF(Associates_Call_List_PQ!C746="","",Associates_Call_List_PQ!C746)</f>
        <v>Kyle</v>
      </c>
      <c r="D746" s="57" t="str">
        <f>IF(Associates_Call_List_PQ!D746="","",Associates_Call_List_PQ!D746)</f>
        <v>Buckeye</v>
      </c>
      <c r="E746" s="58">
        <f>IF(Associates_Call_List_PQ!E746="","",Associates_Call_List_PQ!E746)</f>
        <v>85326</v>
      </c>
      <c r="F746" s="57" t="str">
        <f>IF(Associates_Call_List_PQ!F746="","",Associates_Call_List_PQ!F746)</f>
        <v>Opposed</v>
      </c>
      <c r="G746" s="57" t="str">
        <f>IF(Associates_Call_List_PQ!G746="","",Associates_Call_List_PQ!G746)</f>
        <v>https://docket.images.azcc.gov/E000046329.pdf</v>
      </c>
      <c r="H746" s="59" t="str">
        <f>IF(Associates_Call_List_PQ!H746="","",Associates_Call_List_PQ!H746)</f>
        <v>8805404344</v>
      </c>
      <c r="I746" s="57" t="str">
        <f>IF(Associates_Call_List_PQ!I746="","",Associates_Call_List_PQ!I746)</f>
        <v>RCPw/RTOUE47</v>
      </c>
      <c r="J746" s="57" t="str">
        <f>IF(Associates_Call_List_PQ!J746="","",Associates_Call_List_PQ!J746)</f>
        <v>No</v>
      </c>
      <c r="K746" s="57" t="str">
        <f>IF(Associates_Call_List_PQ!K746="","",Associates_Call_List_PQ!K746)</f>
        <v>No</v>
      </c>
      <c r="L746" s="57" t="str">
        <f>IF(Associates_Call_List_PQ!L746="","",Associates_Call_List_PQ!L746)</f>
        <v>Y</v>
      </c>
      <c r="M746" s="57" t="str">
        <f>IF(Associates_Call_List_PQ!M746="","",Associates_Call_List_PQ!M746)</f>
        <v>No</v>
      </c>
      <c r="N746" s="57" t="str">
        <f>IF(Associates_Call_List_PQ!N746="","",Associates_Call_List_PQ!N746)</f>
        <v>No</v>
      </c>
      <c r="O746" s="57" t="str">
        <f>IF(Associates_Call_List_PQ!O746="","",Associates_Call_List_PQ!O746)</f>
        <v>Yes</v>
      </c>
      <c r="P746" s="57" t="str">
        <f>IF(Associates_Call_List_PQ!P746="","",Associates_Call_List_PQ!P746)</f>
        <v>N</v>
      </c>
      <c r="Q746" s="57">
        <f>IF(Associates_Call_List_PQ!Q746="","",Associates_Call_List_PQ!Q746)</f>
        <v>45961</v>
      </c>
      <c r="R746" s="57" t="str">
        <f>IF(Associates_Call_List_PQ!R746="","",Associates_Call_List_PQ!R746)</f>
        <v/>
      </c>
      <c r="S746" s="57" t="str">
        <f>IF(Associates_Call_List_PQ!S746="","",Associates_Call_List_PQ!S746)</f>
        <v/>
      </c>
      <c r="T746" s="57" t="str">
        <f>IF(Associates_Call_List_PQ!T746="","",Associates_Call_List_PQ!T746)</f>
        <v/>
      </c>
      <c r="U746" s="57" t="str">
        <f>IF(Associates_Call_List_PQ!U746="","",Associates_Call_List_PQ!U746)</f>
        <v/>
      </c>
      <c r="V746" s="68" t="s">
        <v>5433</v>
      </c>
      <c r="W746" s="68">
        <v>46081</v>
      </c>
      <c r="X746" s="68" t="s">
        <v>5405</v>
      </c>
      <c r="Y746" s="68" t="s">
        <v>5461</v>
      </c>
      <c r="Z746" s="72"/>
    </row>
    <row r="747" spans="1:26">
      <c r="A747" s="71">
        <f>IFERROR(Associates_Call_List_PQ!A747,"")</f>
        <v>45910</v>
      </c>
      <c r="B747" s="57" t="str">
        <f>IF(Associates_Call_List_PQ!B747="","",Associates_Call_List_PQ!B747)</f>
        <v>Craycroft</v>
      </c>
      <c r="C747" s="57" t="str">
        <f>IF(Associates_Call_List_PQ!C747="","",Associates_Call_List_PQ!C747)</f>
        <v>Paul</v>
      </c>
      <c r="D747" s="57" t="str">
        <f>IF(Associates_Call_List_PQ!D747="","",Associates_Call_List_PQ!D747)</f>
        <v>Goodyear</v>
      </c>
      <c r="E747" s="58">
        <f>IF(Associates_Call_List_PQ!E747="","",Associates_Call_List_PQ!E747)</f>
        <v>85395</v>
      </c>
      <c r="F747" s="57" t="str">
        <f>IF(Associates_Call_List_PQ!F747="","",Associates_Call_List_PQ!F747)</f>
        <v>Opposed</v>
      </c>
      <c r="G747" s="57" t="str">
        <f>IF(Associates_Call_List_PQ!G747="","",Associates_Call_List_PQ!G747)</f>
        <v>https://docket.images.azcc.gov/E000046329.pdf</v>
      </c>
      <c r="H747" s="59" t="str">
        <f>IF(Associates_Call_List_PQ!H747="","",Associates_Call_List_PQ!H747)</f>
        <v>4344550000</v>
      </c>
      <c r="I747" s="57" t="str">
        <f>IF(Associates_Call_List_PQ!I747="","",Associates_Call_List_PQ!I747)</f>
        <v>RCPw/R-2</v>
      </c>
      <c r="J747" s="57" t="str">
        <f>IF(Associates_Call_List_PQ!J747="","",Associates_Call_List_PQ!J747)</f>
        <v>No</v>
      </c>
      <c r="K747" s="57" t="str">
        <f>IF(Associates_Call_List_PQ!K747="","",Associates_Call_List_PQ!K747)</f>
        <v>No</v>
      </c>
      <c r="L747" s="57" t="str">
        <f>IF(Associates_Call_List_PQ!L747="","",Associates_Call_List_PQ!L747)</f>
        <v>Frozen Rate</v>
      </c>
      <c r="M747" s="57" t="str">
        <f>IF(Associates_Call_List_PQ!M747="","",Associates_Call_List_PQ!M747)</f>
        <v>No</v>
      </c>
      <c r="N747" s="57" t="str">
        <f>IF(Associates_Call_List_PQ!N747="","",Associates_Call_List_PQ!N747)</f>
        <v>No</v>
      </c>
      <c r="O747" s="57" t="str">
        <f>IF(Associates_Call_List_PQ!O747="","",Associates_Call_List_PQ!O747)</f>
        <v>Yes</v>
      </c>
      <c r="P747" s="57" t="str">
        <f>IF(Associates_Call_List_PQ!P747="","",Associates_Call_List_PQ!P747)</f>
        <v>N</v>
      </c>
      <c r="Q747" s="57">
        <f>IF(Associates_Call_List_PQ!Q747="","",Associates_Call_List_PQ!Q747)</f>
        <v>45961</v>
      </c>
      <c r="R747" s="57" t="str">
        <f>IF(Associates_Call_List_PQ!R747="","",Associates_Call_List_PQ!R747)</f>
        <v>This comment was submitted by The Arizona House of Rep Constituent Office</v>
      </c>
      <c r="S747" s="57" t="str">
        <f>IF(Associates_Call_List_PQ!S747="","",Associates_Call_List_PQ!S747)</f>
        <v/>
      </c>
      <c r="T747" s="57" t="str">
        <f>IF(Associates_Call_List_PQ!T747="","",Associates_Call_List_PQ!T747)</f>
        <v/>
      </c>
      <c r="U747" s="57" t="str">
        <f>IF(Associates_Call_List_PQ!U747="","",Associates_Call_List_PQ!U747)</f>
        <v/>
      </c>
      <c r="V747" s="68"/>
      <c r="W747" s="68" t="s">
        <v>5432</v>
      </c>
      <c r="X747" s="68"/>
      <c r="Y747" s="68"/>
      <c r="Z747" s="72"/>
    </row>
    <row r="748" spans="1:26">
      <c r="A748" s="71">
        <f>IFERROR(Associates_Call_List_PQ!A748,"")</f>
        <v>45910</v>
      </c>
      <c r="B748" s="57" t="str">
        <f>IF(Associates_Call_List_PQ!B748="","",Associates_Call_List_PQ!B748)</f>
        <v>Deer</v>
      </c>
      <c r="C748" s="57" t="str">
        <f>IF(Associates_Call_List_PQ!C748="","",Associates_Call_List_PQ!C748)</f>
        <v>Payton</v>
      </c>
      <c r="D748" s="57" t="str">
        <f>IF(Associates_Call_List_PQ!D748="","",Associates_Call_List_PQ!D748)</f>
        <v>Phoenix</v>
      </c>
      <c r="E748" s="58">
        <f>IF(Associates_Call_List_PQ!E748="","",Associates_Call_List_PQ!E748)</f>
        <v>85004</v>
      </c>
      <c r="F748" s="57" t="str">
        <f>IF(Associates_Call_List_PQ!F748="","",Associates_Call_List_PQ!F748)</f>
        <v>Opposed</v>
      </c>
      <c r="G748" s="57" t="str">
        <f>IF(Associates_Call_List_PQ!G748="","",Associates_Call_List_PQ!G748)</f>
        <v>https://docket.images.azcc.gov/E000046329.pdf</v>
      </c>
      <c r="H748" s="59" t="str">
        <f>IF(Associates_Call_List_PQ!H748="","",Associates_Call_List_PQ!H748)</f>
        <v>3161149182</v>
      </c>
      <c r="I748" s="57" t="str">
        <f>IF(Associates_Call_List_PQ!I748="","",Associates_Call_List_PQ!I748)</f>
        <v>RTOUE47</v>
      </c>
      <c r="J748" s="57" t="str">
        <f>IF(Associates_Call_List_PQ!J748="","",Associates_Call_List_PQ!J748)</f>
        <v>No</v>
      </c>
      <c r="K748" s="57" t="str">
        <f>IF(Associates_Call_List_PQ!K748="","",Associates_Call_List_PQ!K748)</f>
        <v>No</v>
      </c>
      <c r="L748" s="57" t="str">
        <f>IF(Associates_Call_List_PQ!L748="","",Associates_Call_List_PQ!L748)</f>
        <v>No MEP R-XS ($119.86)</v>
      </c>
      <c r="M748" s="57" t="str">
        <f>IF(Associates_Call_List_PQ!M748="","",Associates_Call_List_PQ!M748)</f>
        <v>No</v>
      </c>
      <c r="N748" s="57" t="str">
        <f>IF(Associates_Call_List_PQ!N748="","",Associates_Call_List_PQ!N748)</f>
        <v>No</v>
      </c>
      <c r="O748" s="57" t="str">
        <f>IF(Associates_Call_List_PQ!O748="","",Associates_Call_List_PQ!O748)</f>
        <v>Yes</v>
      </c>
      <c r="P748" s="57" t="str">
        <f>IF(Associates_Call_List_PQ!P748="","",Associates_Call_List_PQ!P748)</f>
        <v>N</v>
      </c>
      <c r="Q748" s="57">
        <f>IF(Associates_Call_List_PQ!Q748="","",Associates_Call_List_PQ!Q748)</f>
        <v>45961</v>
      </c>
      <c r="R748" s="57" t="str">
        <f>IF(Associates_Call_List_PQ!R748="","",Associates_Call_List_PQ!R748)</f>
        <v>10/9 reviewed account, average monthly energy usage is trending high so customer would be bumped up to tier 2</v>
      </c>
      <c r="S748" s="57" t="str">
        <f>IF(Associates_Call_List_PQ!S748="","",Associates_Call_List_PQ!S748)</f>
        <v/>
      </c>
      <c r="T748" s="57" t="str">
        <f>IF(Associates_Call_List_PQ!T748="","",Associates_Call_List_PQ!T748)</f>
        <v/>
      </c>
      <c r="U748" s="57" t="str">
        <f>IF(Associates_Call_List_PQ!U748="","",Associates_Call_List_PQ!U748)</f>
        <v/>
      </c>
      <c r="V748" s="68" t="s">
        <v>5433</v>
      </c>
      <c r="W748" s="68">
        <v>46025</v>
      </c>
      <c r="X748" s="68" t="s">
        <v>5434</v>
      </c>
      <c r="Y748" s="68"/>
      <c r="Z748" s="72" t="s">
        <v>5627</v>
      </c>
    </row>
    <row r="749" spans="1:26">
      <c r="A749" s="71">
        <f>IFERROR(Associates_Call_List_PQ!A749,"")</f>
        <v>45910</v>
      </c>
      <c r="B749" s="57" t="str">
        <f>IF(Associates_Call_List_PQ!B749="","",Associates_Call_List_PQ!B749)</f>
        <v>Morrison</v>
      </c>
      <c r="C749" s="57" t="str">
        <f>IF(Associates_Call_List_PQ!C749="","",Associates_Call_List_PQ!C749)</f>
        <v>Quandra</v>
      </c>
      <c r="D749" s="57" t="str">
        <f>IF(Associates_Call_List_PQ!D749="","",Associates_Call_List_PQ!D749)</f>
        <v>Chino Valley</v>
      </c>
      <c r="E749" s="58">
        <f>IF(Associates_Call_List_PQ!E749="","",Associates_Call_List_PQ!E749)</f>
        <v>86323</v>
      </c>
      <c r="F749" s="57" t="str">
        <f>IF(Associates_Call_List_PQ!F749="","",Associates_Call_List_PQ!F749)</f>
        <v>Opposed</v>
      </c>
      <c r="G749" s="57" t="str">
        <f>IF(Associates_Call_List_PQ!G749="","",Associates_Call_List_PQ!G749)</f>
        <v>https://docket.images.azcc.gov/E000046329.pdf</v>
      </c>
      <c r="H749" s="59" t="str">
        <f>IF(Associates_Call_List_PQ!H749="","",Associates_Call_List_PQ!H749)</f>
        <v>3459240757</v>
      </c>
      <c r="I749" s="57" t="str">
        <f>IF(Associates_Call_List_PQ!I749="","",Associates_Call_List_PQ!I749)</f>
        <v>RTOUE47</v>
      </c>
      <c r="J749" s="57" t="str">
        <f>IF(Associates_Call_List_PQ!J749="","",Associates_Call_List_PQ!J749)</f>
        <v>No</v>
      </c>
      <c r="K749" s="57" t="str">
        <f>IF(Associates_Call_List_PQ!K749="","",Associates_Call_List_PQ!K749)</f>
        <v>No</v>
      </c>
      <c r="L749" s="57" t="str">
        <f>IF(Associates_Call_List_PQ!L749="","",Associates_Call_List_PQ!L749)</f>
        <v>No MEP R-XS ($78.14)</v>
      </c>
      <c r="M749" s="57" t="str">
        <f>IF(Associates_Call_List_PQ!M749="","",Associates_Call_List_PQ!M749)</f>
        <v>No</v>
      </c>
      <c r="N749" s="57" t="str">
        <f>IF(Associates_Call_List_PQ!N749="","",Associates_Call_List_PQ!N749)</f>
        <v>No</v>
      </c>
      <c r="O749" s="57" t="str">
        <f>IF(Associates_Call_List_PQ!O749="","",Associates_Call_List_PQ!O749)</f>
        <v>Yes</v>
      </c>
      <c r="P749" s="57" t="str">
        <f>IF(Associates_Call_List_PQ!P749="","",Associates_Call_List_PQ!P749)</f>
        <v>N</v>
      </c>
      <c r="Q749" s="57">
        <f>IF(Associates_Call_List_PQ!Q749="","",Associates_Call_List_PQ!Q749)</f>
        <v>45961</v>
      </c>
      <c r="R749" s="57" t="str">
        <f>IF(Associates_Call_List_PQ!R749="","",Associates_Call_List_PQ!R749)</f>
        <v/>
      </c>
      <c r="S749" s="57" t="str">
        <f>IF(Associates_Call_List_PQ!S749="","",Associates_Call_List_PQ!S749)</f>
        <v/>
      </c>
      <c r="T749" s="57" t="str">
        <f>IF(Associates_Call_List_PQ!T749="","",Associates_Call_List_PQ!T749)</f>
        <v/>
      </c>
      <c r="U749" s="57" t="str">
        <f>IF(Associates_Call_List_PQ!U749="","",Associates_Call_List_PQ!U749)</f>
        <v/>
      </c>
      <c r="V749" s="68" t="s">
        <v>5433</v>
      </c>
      <c r="W749" s="68">
        <v>45997</v>
      </c>
      <c r="X749" s="68"/>
      <c r="Y749" s="68"/>
      <c r="Z749" s="72" t="s">
        <v>5477</v>
      </c>
    </row>
    <row r="750" spans="1:26">
      <c r="A750" s="71">
        <f>IFERROR(Associates_Call_List_PQ!A750,"")</f>
        <v>45910</v>
      </c>
      <c r="B750" s="57" t="str">
        <f>IF(Associates_Call_List_PQ!B750="","",Associates_Call_List_PQ!B750)</f>
        <v>Starr</v>
      </c>
      <c r="C750" s="57" t="str">
        <f>IF(Associates_Call_List_PQ!C750="","",Associates_Call_List_PQ!C750)</f>
        <v xml:space="preserve">Chris </v>
      </c>
      <c r="D750" s="57" t="str">
        <f>IF(Associates_Call_List_PQ!D750="","",Associates_Call_List_PQ!D750)</f>
        <v>Peoria</v>
      </c>
      <c r="E750" s="58">
        <f>IF(Associates_Call_List_PQ!E750="","",Associates_Call_List_PQ!E750)</f>
        <v>85345</v>
      </c>
      <c r="F750" s="57" t="str">
        <f>IF(Associates_Call_List_PQ!F750="","",Associates_Call_List_PQ!F750)</f>
        <v>Opposed</v>
      </c>
      <c r="G750" s="57" t="str">
        <f>IF(Associates_Call_List_PQ!G750="","",Associates_Call_List_PQ!G750)</f>
        <v>https://docket.images.azcc.gov/E000046329.pdf</v>
      </c>
      <c r="H750" s="59" t="str">
        <f>IF(Associates_Call_List_PQ!H750="","",Associates_Call_List_PQ!H750)</f>
        <v>5862540000</v>
      </c>
      <c r="I750" s="57" t="str">
        <f>IF(Associates_Call_List_PQ!I750="","",Associates_Call_List_PQ!I750)</f>
        <v>RTOUE47</v>
      </c>
      <c r="J750" s="57" t="str">
        <f>IF(Associates_Call_List_PQ!J750="","",Associates_Call_List_PQ!J750)</f>
        <v>No</v>
      </c>
      <c r="K750" s="57" t="str">
        <f>IF(Associates_Call_List_PQ!K750="","",Associates_Call_List_PQ!K750)</f>
        <v>No</v>
      </c>
      <c r="L750" s="57" t="str">
        <f>IF(Associates_Call_List_PQ!L750="","",Associates_Call_List_PQ!L750)</f>
        <v>Y</v>
      </c>
      <c r="M750" s="57" t="str">
        <f>IF(Associates_Call_List_PQ!M750="","",Associates_Call_List_PQ!M750)</f>
        <v>No</v>
      </c>
      <c r="N750" s="57" t="str">
        <f>IF(Associates_Call_List_PQ!N750="","",Associates_Call_List_PQ!N750)</f>
        <v>No</v>
      </c>
      <c r="O750" s="57" t="str">
        <f>IF(Associates_Call_List_PQ!O750="","",Associates_Call_List_PQ!O750)</f>
        <v>Yes</v>
      </c>
      <c r="P750" s="57" t="str">
        <f>IF(Associates_Call_List_PQ!P750="","",Associates_Call_List_PQ!P750)</f>
        <v>N</v>
      </c>
      <c r="Q750" s="57">
        <f>IF(Associates_Call_List_PQ!Q750="","",Associates_Call_List_PQ!Q750)</f>
        <v>45961</v>
      </c>
      <c r="R750" s="57" t="str">
        <f>IF(Associates_Call_List_PQ!R750="","",Associates_Call_List_PQ!R750)</f>
        <v/>
      </c>
      <c r="S750" s="57" t="str">
        <f>IF(Associates_Call_List_PQ!S750="","",Associates_Call_List_PQ!S750)</f>
        <v/>
      </c>
      <c r="T750" s="57" t="str">
        <f>IF(Associates_Call_List_PQ!T750="","",Associates_Call_List_PQ!T750)</f>
        <v/>
      </c>
      <c r="U750" s="57" t="str">
        <f>IF(Associates_Call_List_PQ!U750="","",Associates_Call_List_PQ!U750)</f>
        <v/>
      </c>
      <c r="V750" s="68" t="s">
        <v>5433</v>
      </c>
      <c r="W750" s="68">
        <v>46081</v>
      </c>
      <c r="X750" s="68" t="s">
        <v>5434</v>
      </c>
      <c r="Y750" s="68"/>
      <c r="Z750" s="72" t="s">
        <v>5547</v>
      </c>
    </row>
    <row r="751" spans="1:26">
      <c r="A751" s="71">
        <f>IFERROR(Associates_Call_List_PQ!A751,"")</f>
        <v>45910</v>
      </c>
      <c r="B751" s="57" t="str">
        <f>IF(Associates_Call_List_PQ!B751="","",Associates_Call_List_PQ!B751)</f>
        <v>Lassner</v>
      </c>
      <c r="C751" s="57" t="str">
        <f>IF(Associates_Call_List_PQ!C751="","",Associates_Call_List_PQ!C751)</f>
        <v>Aaron</v>
      </c>
      <c r="D751" s="57" t="str">
        <f>IF(Associates_Call_List_PQ!D751="","",Associates_Call_List_PQ!D751)</f>
        <v>Surprise</v>
      </c>
      <c r="E751" s="58">
        <f>IF(Associates_Call_List_PQ!E751="","",Associates_Call_List_PQ!E751)</f>
        <v>85388</v>
      </c>
      <c r="F751" s="57" t="str">
        <f>IF(Associates_Call_List_PQ!F751="","",Associates_Call_List_PQ!F751)</f>
        <v>Form letter</v>
      </c>
      <c r="G751" s="57" t="str">
        <f>IF(Associates_Call_List_PQ!G751="","",Associates_Call_List_PQ!G751)</f>
        <v>https://docket.images.azcc.gov/E000046349.pdf</v>
      </c>
      <c r="H751" s="59" t="str">
        <f>IF(Associates_Call_List_PQ!H751="","",Associates_Call_List_PQ!H751)</f>
        <v>7228908122</v>
      </c>
      <c r="I751" s="57" t="str">
        <f>IF(Associates_Call_List_PQ!I751="","",Associates_Call_List_PQ!I751)</f>
        <v>RCPw/RTOUE47</v>
      </c>
      <c r="J751" s="57" t="str">
        <f>IF(Associates_Call_List_PQ!J751="","",Associates_Call_List_PQ!J751)</f>
        <v>No</v>
      </c>
      <c r="K751" s="57" t="str">
        <f>IF(Associates_Call_List_PQ!K751="","",Associates_Call_List_PQ!K751)</f>
        <v>No</v>
      </c>
      <c r="L751" s="57" t="str">
        <f>IF(Associates_Call_List_PQ!L751="","",Associates_Call_List_PQ!L751)</f>
        <v>Y</v>
      </c>
      <c r="M751" s="57" t="str">
        <f>IF(Associates_Call_List_PQ!M751="","",Associates_Call_List_PQ!M751)</f>
        <v>No</v>
      </c>
      <c r="N751" s="57" t="str">
        <f>IF(Associates_Call_List_PQ!N751="","",Associates_Call_List_PQ!N751)</f>
        <v>No</v>
      </c>
      <c r="O751" s="57" t="str">
        <f>IF(Associates_Call_List_PQ!O751="","",Associates_Call_List_PQ!O751)</f>
        <v>Yes</v>
      </c>
      <c r="P751" s="57" t="str">
        <f>IF(Associates_Call_List_PQ!P751="","",Associates_Call_List_PQ!P751)</f>
        <v>N</v>
      </c>
      <c r="Q751" s="57">
        <f>IF(Associates_Call_List_PQ!Q751="","",Associates_Call_List_PQ!Q751)</f>
        <v>45961</v>
      </c>
      <c r="R751" s="57" t="str">
        <f>IF(Associates_Call_List_PQ!R751="","",Associates_Call_List_PQ!R751)</f>
        <v/>
      </c>
      <c r="S751" s="57" t="str">
        <f>IF(Associates_Call_List_PQ!S751="","",Associates_Call_List_PQ!S751)</f>
        <v/>
      </c>
      <c r="T751" s="57" t="str">
        <f>IF(Associates_Call_List_PQ!T751="","",Associates_Call_List_PQ!T751)</f>
        <v/>
      </c>
      <c r="U751" s="57" t="str">
        <f>IF(Associates_Call_List_PQ!U751="","",Associates_Call_List_PQ!U751)</f>
        <v/>
      </c>
      <c r="V751" s="68"/>
      <c r="W751" s="68" t="s">
        <v>5432</v>
      </c>
      <c r="X751" s="68"/>
      <c r="Y751" s="68"/>
      <c r="Z751" s="72"/>
    </row>
    <row r="752" spans="1:26">
      <c r="A752" s="71">
        <f>IFERROR(Associates_Call_List_PQ!A752,"")</f>
        <v>45911</v>
      </c>
      <c r="B752" s="57" t="str">
        <f>IF(Associates_Call_List_PQ!B752="","",Associates_Call_List_PQ!B752)</f>
        <v>Mohajerin</v>
      </c>
      <c r="C752" s="57" t="str">
        <f>IF(Associates_Call_List_PQ!C752="","",Associates_Call_List_PQ!C752)</f>
        <v>Saeed</v>
      </c>
      <c r="D752" s="57" t="str">
        <f>IF(Associates_Call_List_PQ!D752="","",Associates_Call_List_PQ!D752)</f>
        <v>Scottsdale</v>
      </c>
      <c r="E752" s="58">
        <f>IF(Associates_Call_List_PQ!E752="","",Associates_Call_List_PQ!E752)</f>
        <v>85259</v>
      </c>
      <c r="F752" s="57" t="str">
        <f>IF(Associates_Call_List_PQ!F752="","",Associates_Call_List_PQ!F752)</f>
        <v>How much is enough</v>
      </c>
      <c r="G752" s="57" t="str">
        <f>IF(Associates_Call_List_PQ!G752="","",Associates_Call_List_PQ!G752)</f>
        <v>https://docket.images.azcc.gov/E000046349.pdf</v>
      </c>
      <c r="H752" s="59" t="str">
        <f>IF(Associates_Call_List_PQ!H752="","",Associates_Call_List_PQ!H752)</f>
        <v>8092710000</v>
      </c>
      <c r="I752" s="57" t="str">
        <f>IF(Associates_Call_List_PQ!I752="","",Associates_Call_List_PQ!I752)</f>
        <v>R3-47</v>
      </c>
      <c r="J752" s="57" t="str">
        <f>IF(Associates_Call_List_PQ!J752="","",Associates_Call_List_PQ!J752)</f>
        <v>No</v>
      </c>
      <c r="K752" s="57" t="str">
        <f>IF(Associates_Call_List_PQ!K752="","",Associates_Call_List_PQ!K752)</f>
        <v>No</v>
      </c>
      <c r="L752" s="57" t="str">
        <f>IF(Associates_Call_List_PQ!L752="","",Associates_Call_List_PQ!L752)</f>
        <v>Y</v>
      </c>
      <c r="M752" s="57" t="str">
        <f>IF(Associates_Call_List_PQ!M752="","",Associates_Call_List_PQ!M752)</f>
        <v>No</v>
      </c>
      <c r="N752" s="57" t="str">
        <f>IF(Associates_Call_List_PQ!N752="","",Associates_Call_List_PQ!N752)</f>
        <v>No</v>
      </c>
      <c r="O752" s="57" t="str">
        <f>IF(Associates_Call_List_PQ!O752="","",Associates_Call_List_PQ!O752)</f>
        <v>Yes</v>
      </c>
      <c r="P752" s="57" t="str">
        <f>IF(Associates_Call_List_PQ!P752="","",Associates_Call_List_PQ!P752)</f>
        <v>N</v>
      </c>
      <c r="Q752" s="57">
        <f>IF(Associates_Call_List_PQ!Q752="","",Associates_Call_List_PQ!Q752)</f>
        <v>45961</v>
      </c>
      <c r="R752" s="57" t="str">
        <f>IF(Associates_Call_List_PQ!R752="","",Associates_Call_List_PQ!R752)</f>
        <v/>
      </c>
      <c r="S752" s="57" t="str">
        <f>IF(Associates_Call_List_PQ!S752="","",Associates_Call_List_PQ!S752)</f>
        <v/>
      </c>
      <c r="T752" s="57" t="str">
        <f>IF(Associates_Call_List_PQ!T752="","",Associates_Call_List_PQ!T752)</f>
        <v/>
      </c>
      <c r="U752" s="57" t="str">
        <f>IF(Associates_Call_List_PQ!U752="","",Associates_Call_List_PQ!U752)</f>
        <v/>
      </c>
      <c r="V752" s="68" t="s">
        <v>5433</v>
      </c>
      <c r="W752" s="68">
        <v>46081</v>
      </c>
      <c r="X752" s="68" t="s">
        <v>5405</v>
      </c>
      <c r="Y752" s="68" t="s">
        <v>5461</v>
      </c>
      <c r="Z752" s="72"/>
    </row>
    <row r="753" spans="1:26">
      <c r="A753" s="71">
        <f>IFERROR(Associates_Call_List_PQ!A753,"")</f>
        <v>45911</v>
      </c>
      <c r="B753" s="57" t="str">
        <f>IF(Associates_Call_List_PQ!B753="","",Associates_Call_List_PQ!B753)</f>
        <v>Horne</v>
      </c>
      <c r="C753" s="57" t="str">
        <f>IF(Associates_Call_List_PQ!C753="","",Associates_Call_List_PQ!C753)</f>
        <v>Benjamin</v>
      </c>
      <c r="D753" s="57" t="str">
        <f>IF(Associates_Call_List_PQ!D753="","",Associates_Call_List_PQ!D753)</f>
        <v>Peoria</v>
      </c>
      <c r="E753" s="58">
        <f>IF(Associates_Call_List_PQ!E753="","",Associates_Call_List_PQ!E753)</f>
        <v>85345</v>
      </c>
      <c r="F753" s="57" t="str">
        <f>IF(Associates_Call_List_PQ!F753="","",Associates_Call_List_PQ!F753)</f>
        <v>Form letter</v>
      </c>
      <c r="G753" s="57" t="str">
        <f>IF(Associates_Call_List_PQ!G753="","",Associates_Call_List_PQ!G753)</f>
        <v>https://docket.images.azcc.gov/E000046349.pdf</v>
      </c>
      <c r="H753" s="59" t="str">
        <f>IF(Associates_Call_List_PQ!H753="","",Associates_Call_List_PQ!H753)</f>
        <v>2482408877</v>
      </c>
      <c r="I753" s="57" t="str">
        <f>IF(Associates_Call_List_PQ!I753="","",Associates_Call_List_PQ!I753)</f>
        <v>RCPw/RTOUE47</v>
      </c>
      <c r="J753" s="57" t="str">
        <f>IF(Associates_Call_List_PQ!J753="","",Associates_Call_List_PQ!J753)</f>
        <v>No</v>
      </c>
      <c r="K753" s="57" t="str">
        <f>IF(Associates_Call_List_PQ!K753="","",Associates_Call_List_PQ!K753)</f>
        <v>No</v>
      </c>
      <c r="L753" s="57" t="str">
        <f>IF(Associates_Call_List_PQ!L753="","",Associates_Call_List_PQ!L753)</f>
        <v>No MEP R3-47 ($15.79)</v>
      </c>
      <c r="M753" s="57" t="str">
        <f>IF(Associates_Call_List_PQ!M753="","",Associates_Call_List_PQ!M753)</f>
        <v>No</v>
      </c>
      <c r="N753" s="57" t="str">
        <f>IF(Associates_Call_List_PQ!N753="","",Associates_Call_List_PQ!N753)</f>
        <v>No</v>
      </c>
      <c r="O753" s="57" t="str">
        <f>IF(Associates_Call_List_PQ!O753="","",Associates_Call_List_PQ!O753)</f>
        <v>Yes</v>
      </c>
      <c r="P753" s="57" t="str">
        <f>IF(Associates_Call_List_PQ!P753="","",Associates_Call_List_PQ!P753)</f>
        <v>N</v>
      </c>
      <c r="Q753" s="57">
        <f>IF(Associates_Call_List_PQ!Q753="","",Associates_Call_List_PQ!Q753)</f>
        <v>45961</v>
      </c>
      <c r="R753" s="57" t="str">
        <f>IF(Associates_Call_List_PQ!R753="","",Associates_Call_List_PQ!R753)</f>
        <v/>
      </c>
      <c r="S753" s="57" t="str">
        <f>IF(Associates_Call_List_PQ!S753="","",Associates_Call_List_PQ!S753)</f>
        <v/>
      </c>
      <c r="T753" s="57" t="str">
        <f>IF(Associates_Call_List_PQ!T753="","",Associates_Call_List_PQ!T753)</f>
        <v/>
      </c>
      <c r="U753" s="57" t="str">
        <f>IF(Associates_Call_List_PQ!U753="","",Associates_Call_List_PQ!U753)</f>
        <v/>
      </c>
      <c r="V753" s="68" t="s">
        <v>5433</v>
      </c>
      <c r="W753" s="68">
        <v>45997</v>
      </c>
      <c r="X753" s="68" t="s">
        <v>5434</v>
      </c>
      <c r="Y753" s="68"/>
      <c r="Z753" s="72" t="s">
        <v>5478</v>
      </c>
    </row>
    <row r="754" spans="1:26">
      <c r="A754" s="71">
        <f>IFERROR(Associates_Call_List_PQ!A754,"")</f>
        <v>45911</v>
      </c>
      <c r="B754" s="57" t="str">
        <f>IF(Associates_Call_List_PQ!B754="","",Associates_Call_List_PQ!B754)</f>
        <v>Hardy</v>
      </c>
      <c r="C754" s="57" t="str">
        <f>IF(Associates_Call_List_PQ!C754="","",Associates_Call_List_PQ!C754)</f>
        <v>Erin</v>
      </c>
      <c r="D754" s="57" t="str">
        <f>IF(Associates_Call_List_PQ!D754="","",Associates_Call_List_PQ!D754)</f>
        <v>Chino Valley</v>
      </c>
      <c r="E754" s="58">
        <f>IF(Associates_Call_List_PQ!E754="","",Associates_Call_List_PQ!E754)</f>
        <v>86323</v>
      </c>
      <c r="F754" s="57" t="str">
        <f>IF(Associates_Call_List_PQ!F754="","",Associates_Call_List_PQ!F754)</f>
        <v>Opposed</v>
      </c>
      <c r="G754" s="57" t="str">
        <f>IF(Associates_Call_List_PQ!G754="","",Associates_Call_List_PQ!G754)</f>
        <v>https://docket.images.azcc.gov/E000046349.pdf</v>
      </c>
      <c r="H754" s="59" t="str">
        <f>IF(Associates_Call_List_PQ!H754="","",Associates_Call_List_PQ!H754)</f>
        <v>3459240757 </v>
      </c>
      <c r="I754" s="57" t="str">
        <f>IF(Associates_Call_List_PQ!I754="","",Associates_Call_List_PQ!I754)</f>
        <v>RTOUE47</v>
      </c>
      <c r="J754" s="57" t="str">
        <f>IF(Associates_Call_List_PQ!J754="","",Associates_Call_List_PQ!J754)</f>
        <v>No</v>
      </c>
      <c r="K754" s="57" t="str">
        <f>IF(Associates_Call_List_PQ!K754="","",Associates_Call_List_PQ!K754)</f>
        <v>No</v>
      </c>
      <c r="L754" s="57" t="str">
        <f>IF(Associates_Call_List_PQ!L754="","",Associates_Call_List_PQ!L754)</f>
        <v>No MEP R-BASIC ($78.14)</v>
      </c>
      <c r="M754" s="57" t="str">
        <f>IF(Associates_Call_List_PQ!M754="","",Associates_Call_List_PQ!M754)</f>
        <v>No</v>
      </c>
      <c r="N754" s="57" t="str">
        <f>IF(Associates_Call_List_PQ!N754="","",Associates_Call_List_PQ!N754)</f>
        <v>No</v>
      </c>
      <c r="O754" s="57" t="str">
        <f>IF(Associates_Call_List_PQ!O754="","",Associates_Call_List_PQ!O754)</f>
        <v>Yes</v>
      </c>
      <c r="P754" s="57" t="str">
        <f>IF(Associates_Call_List_PQ!P754="","",Associates_Call_List_PQ!P754)</f>
        <v>N</v>
      </c>
      <c r="Q754" s="57">
        <f>IF(Associates_Call_List_PQ!Q754="","",Associates_Call_List_PQ!Q754)</f>
        <v>45961</v>
      </c>
      <c r="R754" s="57" t="str">
        <f>IF(Associates_Call_List_PQ!R754="","",Associates_Call_List_PQ!R754)</f>
        <v/>
      </c>
      <c r="S754" s="57" t="str">
        <f>IF(Associates_Call_List_PQ!S754="","",Associates_Call_List_PQ!S754)</f>
        <v/>
      </c>
      <c r="T754" s="57" t="str">
        <f>IF(Associates_Call_List_PQ!T754="","",Associates_Call_List_PQ!T754)</f>
        <v/>
      </c>
      <c r="U754" s="57" t="str">
        <f>IF(Associates_Call_List_PQ!U754="","",Associates_Call_List_PQ!U754)</f>
        <v/>
      </c>
      <c r="V754" s="68" t="s">
        <v>5433</v>
      </c>
      <c r="W754" s="68">
        <v>46025</v>
      </c>
      <c r="X754" s="68"/>
      <c r="Y754" s="68" t="s">
        <v>5461</v>
      </c>
      <c r="Z754" s="72" t="s">
        <v>5642</v>
      </c>
    </row>
    <row r="755" spans="1:26">
      <c r="A755" s="71">
        <f>IFERROR(Associates_Call_List_PQ!A755,"")</f>
        <v>45912</v>
      </c>
      <c r="B755" s="57" t="str">
        <f>IF(Associates_Call_List_PQ!B755="","",Associates_Call_List_PQ!B755)</f>
        <v>Thompson</v>
      </c>
      <c r="C755" s="57" t="str">
        <f>IF(Associates_Call_List_PQ!C755="","",Associates_Call_List_PQ!C755)</f>
        <v>Shirley</v>
      </c>
      <c r="D755" s="57" t="str">
        <f>IF(Associates_Call_List_PQ!D755="","",Associates_Call_List_PQ!D755)</f>
        <v>Goodyear</v>
      </c>
      <c r="E755" s="58">
        <f>IF(Associates_Call_List_PQ!E755="","",Associates_Call_List_PQ!E755)</f>
        <v>85395</v>
      </c>
      <c r="F755" s="57" t="str">
        <f>IF(Associates_Call_List_PQ!F755="","",Associates_Call_List_PQ!F755)</f>
        <v>Opposed</v>
      </c>
      <c r="G755" s="57" t="str">
        <f>IF(Associates_Call_List_PQ!G755="","",Associates_Call_List_PQ!G755)</f>
        <v>https://docket.images.azcc.gov/E000046359.pdf</v>
      </c>
      <c r="H755" s="59" t="str">
        <f>IF(Associates_Call_List_PQ!H755="","",Associates_Call_List_PQ!H755)</f>
        <v>4175541000</v>
      </c>
      <c r="I755" s="57" t="str">
        <f>IF(Associates_Call_List_PQ!I755="","",Associates_Call_List_PQ!I755)</f>
        <v>R3-47</v>
      </c>
      <c r="J755" s="57" t="str">
        <f>IF(Associates_Call_List_PQ!J755="","",Associates_Call_List_PQ!J755)</f>
        <v>No</v>
      </c>
      <c r="K755" s="57" t="str">
        <f>IF(Associates_Call_List_PQ!K755="","",Associates_Call_List_PQ!K755)</f>
        <v>No</v>
      </c>
      <c r="L755" s="57" t="str">
        <f>IF(Associates_Call_List_PQ!L755="","",Associates_Call_List_PQ!L755)</f>
        <v>Y</v>
      </c>
      <c r="M755" s="57" t="str">
        <f>IF(Associates_Call_List_PQ!M755="","",Associates_Call_List_PQ!M755)</f>
        <v>No</v>
      </c>
      <c r="N755" s="57" t="str">
        <f>IF(Associates_Call_List_PQ!N755="","",Associates_Call_List_PQ!N755)</f>
        <v>No</v>
      </c>
      <c r="O755" s="57" t="str">
        <f>IF(Associates_Call_List_PQ!O755="","",Associates_Call_List_PQ!O755)</f>
        <v>Yes</v>
      </c>
      <c r="P755" s="57" t="str">
        <f>IF(Associates_Call_List_PQ!P755="","",Associates_Call_List_PQ!P755)</f>
        <v>N</v>
      </c>
      <c r="Q755" s="57">
        <f>IF(Associates_Call_List_PQ!Q755="","",Associates_Call_List_PQ!Q755)</f>
        <v>45961</v>
      </c>
      <c r="R755" s="57" t="str">
        <f>IF(Associates_Call_List_PQ!R755="","",Associates_Call_List_PQ!R755)</f>
        <v/>
      </c>
      <c r="S755" s="57" t="str">
        <f>IF(Associates_Call_List_PQ!S755="","",Associates_Call_List_PQ!S755)</f>
        <v/>
      </c>
      <c r="T755" s="57" t="str">
        <f>IF(Associates_Call_List_PQ!T755="","",Associates_Call_List_PQ!T755)</f>
        <v/>
      </c>
      <c r="U755" s="57" t="str">
        <f>IF(Associates_Call_List_PQ!U755="","",Associates_Call_List_PQ!U755)</f>
        <v/>
      </c>
      <c r="V755" s="68"/>
      <c r="W755" s="68" t="s">
        <v>5432</v>
      </c>
      <c r="X755" s="68"/>
      <c r="Y755" s="68"/>
      <c r="Z755" s="72"/>
    </row>
    <row r="756" spans="1:26">
      <c r="A756" s="71">
        <f>IFERROR(Associates_Call_List_PQ!A756,"")</f>
        <v>45912</v>
      </c>
      <c r="B756" s="57" t="str">
        <f>IF(Associates_Call_List_PQ!B756="","",Associates_Call_List_PQ!B756)</f>
        <v>Darfus</v>
      </c>
      <c r="C756" s="57" t="str">
        <f>IF(Associates_Call_List_PQ!C756="","",Associates_Call_List_PQ!C756)</f>
        <v>Douglas</v>
      </c>
      <c r="D756" s="57" t="str">
        <f>IF(Associates_Call_List_PQ!D756="","",Associates_Call_List_PQ!D756)</f>
        <v>Phoenix</v>
      </c>
      <c r="E756" s="58">
        <f>IF(Associates_Call_List_PQ!E756="","",Associates_Call_List_PQ!E756)</f>
        <v>85053</v>
      </c>
      <c r="F756" s="57" t="str">
        <f>IF(Associates_Call_List_PQ!F756="","",Associates_Call_List_PQ!F756)</f>
        <v>Form letter</v>
      </c>
      <c r="G756" s="57" t="str">
        <f>IF(Associates_Call_List_PQ!G756="","",Associates_Call_List_PQ!G756)</f>
        <v>https://docket.images.azcc.gov/E000046388.pdf</v>
      </c>
      <c r="H756" s="59" t="str">
        <f>IF(Associates_Call_List_PQ!H756="","",Associates_Call_List_PQ!H756)</f>
        <v>5790100875</v>
      </c>
      <c r="I756" s="57" t="str">
        <f>IF(Associates_Call_List_PQ!I756="","",Associates_Call_List_PQ!I756)</f>
        <v>R3-47</v>
      </c>
      <c r="J756" s="57" t="str">
        <f>IF(Associates_Call_List_PQ!J756="","",Associates_Call_List_PQ!J756)</f>
        <v>No</v>
      </c>
      <c r="K756" s="57" t="str">
        <f>IF(Associates_Call_List_PQ!K756="","",Associates_Call_List_PQ!K756)</f>
        <v>No</v>
      </c>
      <c r="L756" s="57" t="str">
        <f>IF(Associates_Call_List_PQ!L756="","",Associates_Call_List_PQ!L756)</f>
        <v>Y</v>
      </c>
      <c r="M756" s="57" t="str">
        <f>IF(Associates_Call_List_PQ!M756="","",Associates_Call_List_PQ!M756)</f>
        <v>No</v>
      </c>
      <c r="N756" s="57" t="str">
        <f>IF(Associates_Call_List_PQ!N756="","",Associates_Call_List_PQ!N756)</f>
        <v>No</v>
      </c>
      <c r="O756" s="57" t="str">
        <f>IF(Associates_Call_List_PQ!O756="","",Associates_Call_List_PQ!O756)</f>
        <v>Yes</v>
      </c>
      <c r="P756" s="57" t="str">
        <f>IF(Associates_Call_List_PQ!P756="","",Associates_Call_List_PQ!P756)</f>
        <v>N</v>
      </c>
      <c r="Q756" s="57">
        <f>IF(Associates_Call_List_PQ!Q756="","",Associates_Call_List_PQ!Q756)</f>
        <v>45961</v>
      </c>
      <c r="R756" s="57" t="str">
        <f>IF(Associates_Call_List_PQ!R756="","",Associates_Call_List_PQ!R756)</f>
        <v/>
      </c>
      <c r="S756" s="57" t="str">
        <f>IF(Associates_Call_List_PQ!S756="","",Associates_Call_List_PQ!S756)</f>
        <v/>
      </c>
      <c r="T756" s="57" t="str">
        <f>IF(Associates_Call_List_PQ!T756="","",Associates_Call_List_PQ!T756)</f>
        <v/>
      </c>
      <c r="U756" s="57" t="str">
        <f>IF(Associates_Call_List_PQ!U756="","",Associates_Call_List_PQ!U756)</f>
        <v/>
      </c>
      <c r="V756" s="68" t="s">
        <v>5433</v>
      </c>
      <c r="W756" s="68">
        <v>46081</v>
      </c>
      <c r="X756" s="68" t="s">
        <v>5405</v>
      </c>
      <c r="Y756" s="68" t="s">
        <v>5461</v>
      </c>
      <c r="Z756" s="72" t="s">
        <v>5640</v>
      </c>
    </row>
    <row r="757" spans="1:26">
      <c r="A757" s="71">
        <f>IFERROR(Associates_Call_List_PQ!A757,"")</f>
        <v>45912</v>
      </c>
      <c r="B757" s="57" t="str">
        <f>IF(Associates_Call_List_PQ!B757="","",Associates_Call_List_PQ!B757)</f>
        <v>Saltzman</v>
      </c>
      <c r="C757" s="57" t="str">
        <f>IF(Associates_Call_List_PQ!C757="","",Associates_Call_List_PQ!C757)</f>
        <v>Stephanie</v>
      </c>
      <c r="D757" s="57" t="str">
        <f>IF(Associates_Call_List_PQ!D757="","",Associates_Call_List_PQ!D757)</f>
        <v>Phoenix</v>
      </c>
      <c r="E757" s="58">
        <f>IF(Associates_Call_List_PQ!E757="","",Associates_Call_List_PQ!E757)</f>
        <v>85027</v>
      </c>
      <c r="F757" s="57" t="str">
        <f>IF(Associates_Call_List_PQ!F757="","",Associates_Call_List_PQ!F757)</f>
        <v xml:space="preserve">Fixed income </v>
      </c>
      <c r="G757" s="57" t="str">
        <f>IF(Associates_Call_List_PQ!G757="","",Associates_Call_List_PQ!G757)</f>
        <v>https://docket.images.azcc.gov/E000046404.pdf</v>
      </c>
      <c r="H757" s="59" t="str">
        <f>IF(Associates_Call_List_PQ!H757="","",Associates_Call_List_PQ!H757)</f>
        <v>2594531000</v>
      </c>
      <c r="I757" s="57" t="str">
        <f>IF(Associates_Call_List_PQ!I757="","",Associates_Call_List_PQ!I757)</f>
        <v>RTOUE47</v>
      </c>
      <c r="J757" s="57" t="str">
        <f>IF(Associates_Call_List_PQ!J757="","",Associates_Call_List_PQ!J757)</f>
        <v>No</v>
      </c>
      <c r="K757" s="57" t="str">
        <f>IF(Associates_Call_List_PQ!K757="","",Associates_Call_List_PQ!K757)</f>
        <v>No</v>
      </c>
      <c r="L757" s="57" t="str">
        <f>IF(Associates_Call_List_PQ!L757="","",Associates_Call_List_PQ!L757)</f>
        <v>No MEP R-BASIC ($77.70)</v>
      </c>
      <c r="M757" s="57" t="str">
        <f>IF(Associates_Call_List_PQ!M757="","",Associates_Call_List_PQ!M757)</f>
        <v>No</v>
      </c>
      <c r="N757" s="57" t="str">
        <f>IF(Associates_Call_List_PQ!N757="","",Associates_Call_List_PQ!N757)</f>
        <v>No</v>
      </c>
      <c r="O757" s="57" t="str">
        <f>IF(Associates_Call_List_PQ!O757="","",Associates_Call_List_PQ!O757)</f>
        <v>Yes</v>
      </c>
      <c r="P757" s="57" t="str">
        <f>IF(Associates_Call_List_PQ!P757="","",Associates_Call_List_PQ!P757)</f>
        <v>N</v>
      </c>
      <c r="Q757" s="57">
        <f>IF(Associates_Call_List_PQ!Q757="","",Associates_Call_List_PQ!Q757)</f>
        <v>45961</v>
      </c>
      <c r="R757" s="57" t="str">
        <f>IF(Associates_Call_List_PQ!R757="","",Associates_Call_List_PQ!R757)</f>
        <v/>
      </c>
      <c r="S757" s="57" t="str">
        <f>IF(Associates_Call_List_PQ!S757="","",Associates_Call_List_PQ!S757)</f>
        <v/>
      </c>
      <c r="T757" s="57" t="str">
        <f>IF(Associates_Call_List_PQ!T757="","",Associates_Call_List_PQ!T757)</f>
        <v/>
      </c>
      <c r="U757" s="57" t="str">
        <f>IF(Associates_Call_List_PQ!U757="","",Associates_Call_List_PQ!U757)</f>
        <v/>
      </c>
      <c r="V757" s="68" t="s">
        <v>5433</v>
      </c>
      <c r="W757" s="68">
        <v>46025</v>
      </c>
      <c r="X757" s="68" t="s">
        <v>5434</v>
      </c>
      <c r="Y757" s="68"/>
      <c r="Z757" s="72" t="s">
        <v>5627</v>
      </c>
    </row>
    <row r="758" spans="1:26">
      <c r="A758" s="71">
        <f>IFERROR(Associates_Call_List_PQ!A758,"")</f>
        <v>45912</v>
      </c>
      <c r="B758" s="57" t="str">
        <f>IF(Associates_Call_List_PQ!B758="","",Associates_Call_List_PQ!B758)</f>
        <v>Bejar</v>
      </c>
      <c r="C758" s="57" t="str">
        <f>IF(Associates_Call_List_PQ!C758="","",Associates_Call_List_PQ!C758)</f>
        <v>Christen</v>
      </c>
      <c r="D758" s="57" t="str">
        <f>IF(Associates_Call_List_PQ!D758="","",Associates_Call_List_PQ!D758)</f>
        <v>Avondale</v>
      </c>
      <c r="E758" s="58">
        <f>IF(Associates_Call_List_PQ!E758="","",Associates_Call_List_PQ!E758)</f>
        <v>85392</v>
      </c>
      <c r="F758" s="57" t="str">
        <f>IF(Associates_Call_List_PQ!F758="","",Associates_Call_List_PQ!F758)</f>
        <v>Form letter</v>
      </c>
      <c r="G758" s="57" t="str">
        <f>IF(Associates_Call_List_PQ!G758="","",Associates_Call_List_PQ!G758)</f>
        <v>https://docket.images.azcc.gov/E000046404.pdf</v>
      </c>
      <c r="H758" s="59" t="str">
        <f>IF(Associates_Call_List_PQ!H758="","",Associates_Call_List_PQ!H758)</f>
        <v>2001860000</v>
      </c>
      <c r="I758" s="57" t="str">
        <f>IF(Associates_Call_List_PQ!I758="","",Associates_Call_List_PQ!I758)</f>
        <v>RTOUE47</v>
      </c>
      <c r="J758" s="57" t="str">
        <f>IF(Associates_Call_List_PQ!J758="","",Associates_Call_List_PQ!J758)</f>
        <v>No</v>
      </c>
      <c r="K758" s="57" t="str">
        <f>IF(Associates_Call_List_PQ!K758="","",Associates_Call_List_PQ!K758)</f>
        <v>No</v>
      </c>
      <c r="L758" s="57" t="str">
        <f>IF(Associates_Call_List_PQ!L758="","",Associates_Call_List_PQ!L758)</f>
        <v>No MEP R3-47 ($120.96)</v>
      </c>
      <c r="M758" s="57" t="str">
        <f>IF(Associates_Call_List_PQ!M758="","",Associates_Call_List_PQ!M758)</f>
        <v>No</v>
      </c>
      <c r="N758" s="57" t="str">
        <f>IF(Associates_Call_List_PQ!N758="","",Associates_Call_List_PQ!N758)</f>
        <v>No</v>
      </c>
      <c r="O758" s="57" t="str">
        <f>IF(Associates_Call_List_PQ!O758="","",Associates_Call_List_PQ!O758)</f>
        <v>Yes</v>
      </c>
      <c r="P758" s="57">
        <f>IF(Associates_Call_List_PQ!P758="","",Associates_Call_List_PQ!P758)</f>
        <v>45938</v>
      </c>
      <c r="Q758" s="57">
        <f>IF(Associates_Call_List_PQ!Q758="","",Associates_Call_List_PQ!Q758)</f>
        <v>45961</v>
      </c>
      <c r="R758" s="57" t="str">
        <f>IF(Associates_Call_List_PQ!R758="","",Associates_Call_List_PQ!R758)</f>
        <v>10/08/2025 Left VM</v>
      </c>
      <c r="S758" s="57" t="str">
        <f>IF(Associates_Call_List_PQ!S758="","",Associates_Call_List_PQ!S758)</f>
        <v/>
      </c>
      <c r="T758" s="57" t="str">
        <f>IF(Associates_Call_List_PQ!T758="","",Associates_Call_List_PQ!T758)</f>
        <v/>
      </c>
      <c r="U758" s="57" t="str">
        <f>IF(Associates_Call_List_PQ!U758="","",Associates_Call_List_PQ!U758)</f>
        <v/>
      </c>
      <c r="V758" s="68" t="s">
        <v>5433</v>
      </c>
      <c r="W758" s="68">
        <v>46025</v>
      </c>
      <c r="X758" s="68" t="s">
        <v>5434</v>
      </c>
      <c r="Y758" s="68"/>
      <c r="Z758" s="72"/>
    </row>
    <row r="759" spans="1:26">
      <c r="A759" s="71">
        <f>IFERROR(Associates_Call_List_PQ!A759,"")</f>
        <v>45912</v>
      </c>
      <c r="B759" s="57" t="str">
        <f>IF(Associates_Call_List_PQ!B759="","",Associates_Call_List_PQ!B759)</f>
        <v>Redman</v>
      </c>
      <c r="C759" s="57" t="str">
        <f>IF(Associates_Call_List_PQ!C759="","",Associates_Call_List_PQ!C759)</f>
        <v>Melissa</v>
      </c>
      <c r="D759" s="57" t="str">
        <f>IF(Associates_Call_List_PQ!D759="","",Associates_Call_List_PQ!D759)</f>
        <v>Glendale</v>
      </c>
      <c r="E759" s="58">
        <f>IF(Associates_Call_List_PQ!E759="","",Associates_Call_List_PQ!E759)</f>
        <v>85308</v>
      </c>
      <c r="F759" s="57" t="str">
        <f>IF(Associates_Call_List_PQ!F759="","",Associates_Call_List_PQ!F759)</f>
        <v>Form letter</v>
      </c>
      <c r="G759" s="57" t="str">
        <f>IF(Associates_Call_List_PQ!G759="","",Associates_Call_List_PQ!G759)</f>
        <v>https://docket.images.azcc.gov/E000046404.pdf</v>
      </c>
      <c r="H759" s="59" t="str">
        <f>IF(Associates_Call_List_PQ!H759="","",Associates_Call_List_PQ!H759)</f>
        <v>0417096787</v>
      </c>
      <c r="I759" s="57" t="str">
        <f>IF(Associates_Call_List_PQ!I759="","",Associates_Call_List_PQ!I759)</f>
        <v>EPR-6w/E-12</v>
      </c>
      <c r="J759" s="57" t="str">
        <f>IF(Associates_Call_List_PQ!J759="","",Associates_Call_List_PQ!J759)</f>
        <v>No</v>
      </c>
      <c r="K759" s="57" t="str">
        <f>IF(Associates_Call_List_PQ!K759="","",Associates_Call_List_PQ!K759)</f>
        <v>No</v>
      </c>
      <c r="L759" s="57" t="str">
        <f>IF(Associates_Call_List_PQ!L759="","",Associates_Call_List_PQ!L759)</f>
        <v>Frozen Rate</v>
      </c>
      <c r="M759" s="57" t="str">
        <f>IF(Associates_Call_List_PQ!M759="","",Associates_Call_List_PQ!M759)</f>
        <v>No</v>
      </c>
      <c r="N759" s="57" t="str">
        <f>IF(Associates_Call_List_PQ!N759="","",Associates_Call_List_PQ!N759)</f>
        <v>No</v>
      </c>
      <c r="O759" s="57" t="str">
        <f>IF(Associates_Call_List_PQ!O759="","",Associates_Call_List_PQ!O759)</f>
        <v>Yes</v>
      </c>
      <c r="P759" s="57" t="str">
        <f>IF(Associates_Call_List_PQ!P759="","",Associates_Call_List_PQ!P759)</f>
        <v>N</v>
      </c>
      <c r="Q759" s="57">
        <f>IF(Associates_Call_List_PQ!Q759="","",Associates_Call_List_PQ!Q759)</f>
        <v>45961</v>
      </c>
      <c r="R759" s="57" t="str">
        <f>IF(Associates_Call_List_PQ!R759="","",Associates_Call_List_PQ!R759)</f>
        <v/>
      </c>
      <c r="S759" s="57" t="str">
        <f>IF(Associates_Call_List_PQ!S759="","",Associates_Call_List_PQ!S759)</f>
        <v/>
      </c>
      <c r="T759" s="57" t="str">
        <f>IF(Associates_Call_List_PQ!T759="","",Associates_Call_List_PQ!T759)</f>
        <v/>
      </c>
      <c r="U759" s="57" t="str">
        <f>IF(Associates_Call_List_PQ!U759="","",Associates_Call_List_PQ!U759)</f>
        <v/>
      </c>
      <c r="V759" s="68"/>
      <c r="W759" s="68" t="s">
        <v>5432</v>
      </c>
      <c r="X759" s="68"/>
      <c r="Y759" s="68"/>
      <c r="Z759" s="72"/>
    </row>
    <row r="760" spans="1:26">
      <c r="A760" s="71">
        <f>IFERROR(Associates_Call_List_PQ!A760,"")</f>
        <v>45912</v>
      </c>
      <c r="B760" s="57" t="str">
        <f>IF(Associates_Call_List_PQ!B760="","",Associates_Call_List_PQ!B760)</f>
        <v xml:space="preserve">Salt </v>
      </c>
      <c r="C760" s="57" t="str">
        <f>IF(Associates_Call_List_PQ!C760="","",Associates_Call_List_PQ!C760)</f>
        <v>Kevin</v>
      </c>
      <c r="D760" s="57" t="str">
        <f>IF(Associates_Call_List_PQ!D760="","",Associates_Call_List_PQ!D760)</f>
        <v>Scottsdale</v>
      </c>
      <c r="E760" s="58">
        <f>IF(Associates_Call_List_PQ!E760="","",Associates_Call_List_PQ!E760)</f>
        <v>85255</v>
      </c>
      <c r="F760" s="57" t="str">
        <f>IF(Associates_Call_List_PQ!F760="","",Associates_Call_List_PQ!F760)</f>
        <v>Opposed</v>
      </c>
      <c r="G760" s="57" t="str">
        <f>IF(Associates_Call_List_PQ!G760="","",Associates_Call_List_PQ!G760)</f>
        <v>https://docket.images.azcc.gov/E000046404.pdf</v>
      </c>
      <c r="H760" s="59" t="str">
        <f>IF(Associates_Call_List_PQ!H760="","",Associates_Call_List_PQ!H760)</f>
        <v>1444600000</v>
      </c>
      <c r="I760" s="57" t="str">
        <f>IF(Associates_Call_List_PQ!I760="","",Associates_Call_List_PQ!I760)</f>
        <v>R-2</v>
      </c>
      <c r="J760" s="57" t="str">
        <f>IF(Associates_Call_List_PQ!J760="","",Associates_Call_List_PQ!J760)</f>
        <v>No</v>
      </c>
      <c r="K760" s="57" t="str">
        <f>IF(Associates_Call_List_PQ!K760="","",Associates_Call_List_PQ!K760)</f>
        <v>No</v>
      </c>
      <c r="L760" s="57" t="str">
        <f>IF(Associates_Call_List_PQ!L760="","",Associates_Call_List_PQ!L760)</f>
        <v>Frozen Rate</v>
      </c>
      <c r="M760" s="57" t="str">
        <f>IF(Associates_Call_List_PQ!M760="","",Associates_Call_List_PQ!M760)</f>
        <v>No</v>
      </c>
      <c r="N760" s="57" t="str">
        <f>IF(Associates_Call_List_PQ!N760="","",Associates_Call_List_PQ!N760)</f>
        <v>No</v>
      </c>
      <c r="O760" s="57" t="str">
        <f>IF(Associates_Call_List_PQ!O760="","",Associates_Call_List_PQ!O760)</f>
        <v>Yes</v>
      </c>
      <c r="P760" s="57" t="str">
        <f>IF(Associates_Call_List_PQ!P760="","",Associates_Call_List_PQ!P760)</f>
        <v>N</v>
      </c>
      <c r="Q760" s="57">
        <f>IF(Associates_Call_List_PQ!Q760="","",Associates_Call_List_PQ!Q760)</f>
        <v>45961</v>
      </c>
      <c r="R760" s="57" t="str">
        <f>IF(Associates_Call_List_PQ!R760="","",Associates_Call_List_PQ!R760)</f>
        <v/>
      </c>
      <c r="S760" s="57" t="str">
        <f>IF(Associates_Call_List_PQ!S760="","",Associates_Call_List_PQ!S760)</f>
        <v/>
      </c>
      <c r="T760" s="57" t="str">
        <f>IF(Associates_Call_List_PQ!T760="","",Associates_Call_List_PQ!T760)</f>
        <v/>
      </c>
      <c r="U760" s="57" t="str">
        <f>IF(Associates_Call_List_PQ!U760="","",Associates_Call_List_PQ!U760)</f>
        <v/>
      </c>
      <c r="V760" s="68" t="s">
        <v>5433</v>
      </c>
      <c r="W760" s="68">
        <v>45997</v>
      </c>
      <c r="X760" s="68" t="s">
        <v>5434</v>
      </c>
      <c r="Y760" s="68"/>
      <c r="Z760" s="72" t="s">
        <v>5479</v>
      </c>
    </row>
    <row r="761" spans="1:26">
      <c r="A761" s="71">
        <f>IFERROR(Associates_Call_List_PQ!A761,"")</f>
        <v>45912</v>
      </c>
      <c r="B761" s="57" t="str">
        <f>IF(Associates_Call_List_PQ!B761="","",Associates_Call_List_PQ!B761)</f>
        <v>Harms</v>
      </c>
      <c r="C761" s="57" t="str">
        <f>IF(Associates_Call_List_PQ!C761="","",Associates_Call_List_PQ!C761)</f>
        <v>Steven</v>
      </c>
      <c r="D761" s="57" t="str">
        <f>IF(Associates_Call_List_PQ!D761="","",Associates_Call_List_PQ!D761)</f>
        <v>Prescott</v>
      </c>
      <c r="E761" s="58">
        <f>IF(Associates_Call_List_PQ!E761="","",Associates_Call_List_PQ!E761)</f>
        <v>86303</v>
      </c>
      <c r="F761" s="57" t="str">
        <f>IF(Associates_Call_List_PQ!F761="","",Associates_Call_List_PQ!F761)</f>
        <v>Reduced exorbitant salaries</v>
      </c>
      <c r="G761" s="57" t="str">
        <f>IF(Associates_Call_List_PQ!G761="","",Associates_Call_List_PQ!G761)</f>
        <v>https://docket.images.azcc.gov/E000046437.pdf</v>
      </c>
      <c r="H761" s="59" t="str">
        <f>IF(Associates_Call_List_PQ!H761="","",Associates_Call_List_PQ!H761)</f>
        <v>5304030000</v>
      </c>
      <c r="I761" s="57" t="str">
        <f>IF(Associates_Call_List_PQ!I761="","",Associates_Call_List_PQ!I761)</f>
        <v>R-XS</v>
      </c>
      <c r="J761" s="57" t="str">
        <f>IF(Associates_Call_List_PQ!J761="","",Associates_Call_List_PQ!J761)</f>
        <v>No</v>
      </c>
      <c r="K761" s="57" t="str">
        <f>IF(Associates_Call_List_PQ!K761="","",Associates_Call_List_PQ!K761)</f>
        <v>No</v>
      </c>
      <c r="L761" s="57" t="str">
        <f>IF(Associates_Call_List_PQ!L761="","",Associates_Call_List_PQ!L761)</f>
        <v>Y</v>
      </c>
      <c r="M761" s="57" t="str">
        <f>IF(Associates_Call_List_PQ!M761="","",Associates_Call_List_PQ!M761)</f>
        <v>No</v>
      </c>
      <c r="N761" s="57" t="str">
        <f>IF(Associates_Call_List_PQ!N761="","",Associates_Call_List_PQ!N761)</f>
        <v>No</v>
      </c>
      <c r="O761" s="57" t="str">
        <f>IF(Associates_Call_List_PQ!O761="","",Associates_Call_List_PQ!O761)</f>
        <v>Yes</v>
      </c>
      <c r="P761" s="57" t="str">
        <f>IF(Associates_Call_List_PQ!P761="","",Associates_Call_List_PQ!P761)</f>
        <v>N</v>
      </c>
      <c r="Q761" s="57">
        <f>IF(Associates_Call_List_PQ!Q761="","",Associates_Call_List_PQ!Q761)</f>
        <v>45961</v>
      </c>
      <c r="R761" s="57" t="str">
        <f>IF(Associates_Call_List_PQ!R761="","",Associates_Call_List_PQ!R761)</f>
        <v/>
      </c>
      <c r="S761" s="57" t="str">
        <f>IF(Associates_Call_List_PQ!S761="","",Associates_Call_List_PQ!S761)</f>
        <v/>
      </c>
      <c r="T761" s="57" t="str">
        <f>IF(Associates_Call_List_PQ!T761="","",Associates_Call_List_PQ!T761)</f>
        <v/>
      </c>
      <c r="U761" s="57" t="str">
        <f>IF(Associates_Call_List_PQ!U761="","",Associates_Call_List_PQ!U761)</f>
        <v/>
      </c>
      <c r="V761" s="68"/>
      <c r="W761" s="68" t="s">
        <v>5432</v>
      </c>
      <c r="X761" s="68"/>
      <c r="Y761" s="68"/>
      <c r="Z761" s="72"/>
    </row>
    <row r="762" spans="1:26">
      <c r="A762" s="71">
        <f>IFERROR(Associates_Call_List_PQ!A762,"")</f>
        <v>45912</v>
      </c>
      <c r="B762" s="57" t="str">
        <f>IF(Associates_Call_List_PQ!B762="","",Associates_Call_List_PQ!B762)</f>
        <v xml:space="preserve">O'Neil </v>
      </c>
      <c r="C762" s="57" t="str">
        <f>IF(Associates_Call_List_PQ!C762="","",Associates_Call_List_PQ!C762)</f>
        <v>Patricia</v>
      </c>
      <c r="D762" s="57" t="str">
        <f>IF(Associates_Call_List_PQ!D762="","",Associates_Call_List_PQ!D762)</f>
        <v>Surprise</v>
      </c>
      <c r="E762" s="58">
        <f>IF(Associates_Call_List_PQ!E762="","",Associates_Call_List_PQ!E762)</f>
        <v>85378</v>
      </c>
      <c r="F762" s="57" t="str">
        <f>IF(Associates_Call_List_PQ!F762="","",Associates_Call_List_PQ!F762)</f>
        <v>Monopoly</v>
      </c>
      <c r="G762" s="57" t="str">
        <f>IF(Associates_Call_List_PQ!G762="","",Associates_Call_List_PQ!G762)</f>
        <v>https://docket.images.azcc.gov/E000046437.pdf</v>
      </c>
      <c r="H762" s="59" t="str">
        <f>IF(Associates_Call_List_PQ!H762="","",Associates_Call_List_PQ!H762)</f>
        <v>7224390000</v>
      </c>
      <c r="I762" s="57" t="str">
        <f>IF(Associates_Call_List_PQ!I762="","",Associates_Call_List_PQ!I762)</f>
        <v>RCPw/RTOUE47</v>
      </c>
      <c r="J762" s="57" t="str">
        <f>IF(Associates_Call_List_PQ!J762="","",Associates_Call_List_PQ!J762)</f>
        <v>No</v>
      </c>
      <c r="K762" s="57" t="str">
        <f>IF(Associates_Call_List_PQ!K762="","",Associates_Call_List_PQ!K762)</f>
        <v>No</v>
      </c>
      <c r="L762" s="57" t="str">
        <f>IF(Associates_Call_List_PQ!L762="","",Associates_Call_List_PQ!L762)</f>
        <v>No MEP R3-47 ($19.36)</v>
      </c>
      <c r="M762" s="57" t="str">
        <f>IF(Associates_Call_List_PQ!M762="","",Associates_Call_List_PQ!M762)</f>
        <v>No</v>
      </c>
      <c r="N762" s="57" t="str">
        <f>IF(Associates_Call_List_PQ!N762="","",Associates_Call_List_PQ!N762)</f>
        <v>No</v>
      </c>
      <c r="O762" s="57" t="str">
        <f>IF(Associates_Call_List_PQ!O762="","",Associates_Call_List_PQ!O762)</f>
        <v>Yes</v>
      </c>
      <c r="P762" s="57" t="str">
        <f>IF(Associates_Call_List_PQ!P762="","",Associates_Call_List_PQ!P762)</f>
        <v>N</v>
      </c>
      <c r="Q762" s="57">
        <f>IF(Associates_Call_List_PQ!Q762="","",Associates_Call_List_PQ!Q762)</f>
        <v>45961</v>
      </c>
      <c r="R762" s="57" t="str">
        <f>IF(Associates_Call_List_PQ!R762="","",Associates_Call_List_PQ!R762)</f>
        <v/>
      </c>
      <c r="S762" s="57" t="str">
        <f>IF(Associates_Call_List_PQ!S762="","",Associates_Call_List_PQ!S762)</f>
        <v/>
      </c>
      <c r="T762" s="57" t="str">
        <f>IF(Associates_Call_List_PQ!T762="","",Associates_Call_List_PQ!T762)</f>
        <v/>
      </c>
      <c r="U762" s="57" t="str">
        <f>IF(Associates_Call_List_PQ!U762="","",Associates_Call_List_PQ!U762)</f>
        <v/>
      </c>
      <c r="V762" s="68" t="s">
        <v>5433</v>
      </c>
      <c r="W762" s="68">
        <v>46025</v>
      </c>
      <c r="X762" s="68" t="s">
        <v>5434</v>
      </c>
      <c r="Y762" s="68"/>
      <c r="Z762" s="72" t="s">
        <v>5627</v>
      </c>
    </row>
    <row r="763" spans="1:26">
      <c r="A763" s="71">
        <f>IFERROR(Associates_Call_List_PQ!A763,"")</f>
        <v>45912</v>
      </c>
      <c r="B763" s="57" t="str">
        <f>IF(Associates_Call_List_PQ!B763="","",Associates_Call_List_PQ!B763)</f>
        <v>Dukart</v>
      </c>
      <c r="C763" s="57" t="str">
        <f>IF(Associates_Call_List_PQ!C763="","",Associates_Call_List_PQ!C763)</f>
        <v>David</v>
      </c>
      <c r="D763" s="57" t="str">
        <f>IF(Associates_Call_List_PQ!D763="","",Associates_Call_List_PQ!D763)</f>
        <v>Glendale</v>
      </c>
      <c r="E763" s="58">
        <f>IF(Associates_Call_List_PQ!E763="","",Associates_Call_List_PQ!E763)</f>
        <v>85308</v>
      </c>
      <c r="F763" s="57" t="str">
        <f>IF(Associates_Call_List_PQ!F763="","",Associates_Call_List_PQ!F763)</f>
        <v>Corporate Greed</v>
      </c>
      <c r="G763" s="57" t="str">
        <f>IF(Associates_Call_List_PQ!G763="","",Associates_Call_List_PQ!G763)</f>
        <v>https://docket.images.azcc.gov/E000046437.pdf</v>
      </c>
      <c r="H763" s="59" t="str">
        <f>IF(Associates_Call_List_PQ!H763="","",Associates_Call_List_PQ!H763)</f>
        <v>2139544986</v>
      </c>
      <c r="I763" s="57" t="str">
        <f>IF(Associates_Call_List_PQ!I763="","",Associates_Call_List_PQ!I763)</f>
        <v>R-2</v>
      </c>
      <c r="J763" s="57" t="str">
        <f>IF(Associates_Call_List_PQ!J763="","",Associates_Call_List_PQ!J763)</f>
        <v>No</v>
      </c>
      <c r="K763" s="57" t="str">
        <f>IF(Associates_Call_List_PQ!K763="","",Associates_Call_List_PQ!K763)</f>
        <v>No</v>
      </c>
      <c r="L763" s="57" t="str">
        <f>IF(Associates_Call_List_PQ!L763="","",Associates_Call_List_PQ!L763)</f>
        <v>Frozen Rate</v>
      </c>
      <c r="M763" s="57" t="str">
        <f>IF(Associates_Call_List_PQ!M763="","",Associates_Call_List_PQ!M763)</f>
        <v>No</v>
      </c>
      <c r="N763" s="57" t="str">
        <f>IF(Associates_Call_List_PQ!N763="","",Associates_Call_List_PQ!N763)</f>
        <v>No</v>
      </c>
      <c r="O763" s="57" t="str">
        <f>IF(Associates_Call_List_PQ!O763="","",Associates_Call_List_PQ!O763)</f>
        <v>Yes</v>
      </c>
      <c r="P763" s="57" t="str">
        <f>IF(Associates_Call_List_PQ!P763="","",Associates_Call_List_PQ!P763)</f>
        <v>N</v>
      </c>
      <c r="Q763" s="57">
        <f>IF(Associates_Call_List_PQ!Q763="","",Associates_Call_List_PQ!Q763)</f>
        <v>45961</v>
      </c>
      <c r="R763" s="57" t="str">
        <f>IF(Associates_Call_List_PQ!R763="","",Associates_Call_List_PQ!R763)</f>
        <v/>
      </c>
      <c r="S763" s="57" t="str">
        <f>IF(Associates_Call_List_PQ!S763="","",Associates_Call_List_PQ!S763)</f>
        <v/>
      </c>
      <c r="T763" s="57" t="str">
        <f>IF(Associates_Call_List_PQ!T763="","",Associates_Call_List_PQ!T763)</f>
        <v/>
      </c>
      <c r="U763" s="57" t="str">
        <f>IF(Associates_Call_List_PQ!U763="","",Associates_Call_List_PQ!U763)</f>
        <v/>
      </c>
      <c r="V763" s="68"/>
      <c r="W763" s="68" t="s">
        <v>5432</v>
      </c>
      <c r="X763" s="68"/>
      <c r="Y763" s="68"/>
      <c r="Z763" s="72"/>
    </row>
    <row r="764" spans="1:26">
      <c r="A764" s="71">
        <f>IFERROR(Associates_Call_List_PQ!A764,"")</f>
        <v>45912</v>
      </c>
      <c r="B764" s="57" t="str">
        <f>IF(Associates_Call_List_PQ!B764="","",Associates_Call_List_PQ!B764)</f>
        <v>Fylan</v>
      </c>
      <c r="C764" s="57" t="str">
        <f>IF(Associates_Call_List_PQ!C764="","",Associates_Call_List_PQ!C764)</f>
        <v>Rachel</v>
      </c>
      <c r="D764" s="57" t="str">
        <f>IF(Associates_Call_List_PQ!D764="","",Associates_Call_List_PQ!D764)</f>
        <v>Phoenix</v>
      </c>
      <c r="E764" s="58">
        <f>IF(Associates_Call_List_PQ!E764="","",Associates_Call_List_PQ!E764)</f>
        <v>85028</v>
      </c>
      <c r="F764" s="57" t="str">
        <f>IF(Associates_Call_List_PQ!F764="","",Associates_Call_List_PQ!F764)</f>
        <v>Opposed</v>
      </c>
      <c r="G764" s="57" t="str">
        <f>IF(Associates_Call_List_PQ!G764="","",Associates_Call_List_PQ!G764)</f>
        <v>https://docket.images.azcc.gov/E000046437.pdf</v>
      </c>
      <c r="H764" s="59" t="str">
        <f>IF(Associates_Call_List_PQ!H764="","",Associates_Call_List_PQ!H764)</f>
        <v>3066285596</v>
      </c>
      <c r="I764" s="57" t="str">
        <f>IF(Associates_Call_List_PQ!I764="","",Associates_Call_List_PQ!I764)</f>
        <v>R-BASIC</v>
      </c>
      <c r="J764" s="57" t="str">
        <f>IF(Associates_Call_List_PQ!J764="","",Associates_Call_List_PQ!J764)</f>
        <v>No</v>
      </c>
      <c r="K764" s="57" t="str">
        <f>IF(Associates_Call_List_PQ!K764="","",Associates_Call_List_PQ!K764)</f>
        <v>No</v>
      </c>
      <c r="L764" s="57" t="str">
        <f>IF(Associates_Call_List_PQ!L764="","",Associates_Call_List_PQ!L764)</f>
        <v>No MEP R3-47 ($355.98)</v>
      </c>
      <c r="M764" s="57" t="str">
        <f>IF(Associates_Call_List_PQ!M764="","",Associates_Call_List_PQ!M764)</f>
        <v>No</v>
      </c>
      <c r="N764" s="57" t="str">
        <f>IF(Associates_Call_List_PQ!N764="","",Associates_Call_List_PQ!N764)</f>
        <v>No</v>
      </c>
      <c r="O764" s="57" t="str">
        <f>IF(Associates_Call_List_PQ!O764="","",Associates_Call_List_PQ!O764)</f>
        <v>Yes</v>
      </c>
      <c r="P764" s="57">
        <f>IF(Associates_Call_List_PQ!P764="","",Associates_Call_List_PQ!P764)</f>
        <v>45938</v>
      </c>
      <c r="Q764" s="57">
        <f>IF(Associates_Call_List_PQ!Q764="","",Associates_Call_List_PQ!Q764)</f>
        <v>45961</v>
      </c>
      <c r="R764" s="57" t="str">
        <f>IF(Associates_Call_List_PQ!R764="","",Associates_Call_List_PQ!R764)</f>
        <v xml:space="preserve">10/08/2025 Left VM </v>
      </c>
      <c r="S764" s="57" t="str">
        <f>IF(Associates_Call_List_PQ!S764="","",Associates_Call_List_PQ!S764)</f>
        <v/>
      </c>
      <c r="T764" s="57" t="str">
        <f>IF(Associates_Call_List_PQ!T764="","",Associates_Call_List_PQ!T764)</f>
        <v/>
      </c>
      <c r="U764" s="57" t="str">
        <f>IF(Associates_Call_List_PQ!U764="","",Associates_Call_List_PQ!U764)</f>
        <v/>
      </c>
      <c r="V764" s="68" t="s">
        <v>5433</v>
      </c>
      <c r="W764" s="68">
        <v>46025</v>
      </c>
      <c r="X764" s="68" t="s">
        <v>5434</v>
      </c>
      <c r="Y764" s="68"/>
      <c r="Z764" s="72" t="s">
        <v>5627</v>
      </c>
    </row>
    <row r="765" spans="1:26">
      <c r="A765" s="71">
        <f>IFERROR(Associates_Call_List_PQ!A765,"")</f>
        <v>45912</v>
      </c>
      <c r="B765" s="57" t="str">
        <f>IF(Associates_Call_List_PQ!B765="","",Associates_Call_List_PQ!B765)</f>
        <v>Martin</v>
      </c>
      <c r="C765" s="57" t="str">
        <f>IF(Associates_Call_List_PQ!C765="","",Associates_Call_List_PQ!C765)</f>
        <v>Sharon</v>
      </c>
      <c r="D765" s="57" t="str">
        <f>IF(Associates_Call_List_PQ!D765="","",Associates_Call_List_PQ!D765)</f>
        <v>Sun City West</v>
      </c>
      <c r="E765" s="58">
        <f>IF(Associates_Call_List_PQ!E765="","",Associates_Call_List_PQ!E765)</f>
        <v>85375</v>
      </c>
      <c r="F765" s="57" t="str">
        <f>IF(Associates_Call_List_PQ!F765="","",Associates_Call_List_PQ!F765)</f>
        <v>Opposed</v>
      </c>
      <c r="G765" s="57" t="str">
        <f>IF(Associates_Call_List_PQ!G765="","",Associates_Call_List_PQ!G765)</f>
        <v>https://docket.images.azcc.gov/E000046437.pdf</v>
      </c>
      <c r="H765" s="59" t="str">
        <f>IF(Associates_Call_List_PQ!H765="","",Associates_Call_List_PQ!H765)</f>
        <v>0436289551</v>
      </c>
      <c r="I765" s="57" t="str">
        <f>IF(Associates_Call_List_PQ!I765="","",Associates_Call_List_PQ!I765)</f>
        <v>R-BASICL</v>
      </c>
      <c r="J765" s="57" t="str">
        <f>IF(Associates_Call_List_PQ!J765="","",Associates_Call_List_PQ!J765)</f>
        <v>No</v>
      </c>
      <c r="K765" s="57" t="str">
        <f>IF(Associates_Call_List_PQ!K765="","",Associates_Call_List_PQ!K765)</f>
        <v>No</v>
      </c>
      <c r="L765" s="57" t="str">
        <f>IF(Associates_Call_List_PQ!L765="","",Associates_Call_List_PQ!L765)</f>
        <v>No MEP R3-47 ($159.33)</v>
      </c>
      <c r="M765" s="57" t="str">
        <f>IF(Associates_Call_List_PQ!M765="","",Associates_Call_List_PQ!M765)</f>
        <v>No</v>
      </c>
      <c r="N765" s="57" t="str">
        <f>IF(Associates_Call_List_PQ!N765="","",Associates_Call_List_PQ!N765)</f>
        <v>No</v>
      </c>
      <c r="O765" s="57" t="str">
        <f>IF(Associates_Call_List_PQ!O765="","",Associates_Call_List_PQ!O765)</f>
        <v>Yes</v>
      </c>
      <c r="P765" s="57">
        <f>IF(Associates_Call_List_PQ!P765="","",Associates_Call_List_PQ!P765)</f>
        <v>45938</v>
      </c>
      <c r="Q765" s="57">
        <f>IF(Associates_Call_List_PQ!Q765="","",Associates_Call_List_PQ!Q765)</f>
        <v>45961</v>
      </c>
      <c r="R765" s="57" t="str">
        <f>IF(Associates_Call_List_PQ!R765="","",Associates_Call_List_PQ!R765)</f>
        <v>10/08/2025 Left VM</v>
      </c>
      <c r="S765" s="57" t="str">
        <f>IF(Associates_Call_List_PQ!S765="","",Associates_Call_List_PQ!S765)</f>
        <v/>
      </c>
      <c r="T765" s="57" t="str">
        <f>IF(Associates_Call_List_PQ!T765="","",Associates_Call_List_PQ!T765)</f>
        <v/>
      </c>
      <c r="U765" s="57" t="str">
        <f>IF(Associates_Call_List_PQ!U765="","",Associates_Call_List_PQ!U765)</f>
        <v/>
      </c>
      <c r="V765" s="68" t="s">
        <v>5433</v>
      </c>
      <c r="W765" s="68">
        <v>45660</v>
      </c>
      <c r="X765" s="68" t="s">
        <v>5434</v>
      </c>
      <c r="Y765" s="68"/>
      <c r="Z765" s="72" t="s">
        <v>5627</v>
      </c>
    </row>
    <row r="766" spans="1:26">
      <c r="A766" s="71">
        <f>IFERROR(Associates_Call_List_PQ!A766,"")</f>
        <v>45912</v>
      </c>
      <c r="B766" s="57" t="str">
        <f>IF(Associates_Call_List_PQ!B766="","",Associates_Call_List_PQ!B766)</f>
        <v>Mobley</v>
      </c>
      <c r="C766" s="57" t="str">
        <f>IF(Associates_Call_List_PQ!C766="","",Associates_Call_List_PQ!C766)</f>
        <v>Susan</v>
      </c>
      <c r="D766" s="57" t="str">
        <f>IF(Associates_Call_List_PQ!D766="","",Associates_Call_List_PQ!D766)</f>
        <v>Scottsdale</v>
      </c>
      <c r="E766" s="58">
        <f>IF(Associates_Call_List_PQ!E766="","",Associates_Call_List_PQ!E766)</f>
        <v>85255</v>
      </c>
      <c r="F766" s="57" t="str">
        <f>IF(Associates_Call_List_PQ!F766="","",Associates_Call_List_PQ!F766)</f>
        <v>Form letter</v>
      </c>
      <c r="G766" s="57" t="str">
        <f>IF(Associates_Call_List_PQ!G766="","",Associates_Call_List_PQ!G766)</f>
        <v>https://docket.images.azcc.gov/E000046437.pdf</v>
      </c>
      <c r="H766" s="59" t="str">
        <f>IF(Associates_Call_List_PQ!H766="","",Associates_Call_List_PQ!H766)</f>
        <v>3375784078</v>
      </c>
      <c r="I766" s="57" t="str">
        <f>IF(Associates_Call_List_PQ!I766="","",Associates_Call_List_PQ!I766)</f>
        <v>R-BASICL</v>
      </c>
      <c r="J766" s="57" t="str">
        <f>IF(Associates_Call_List_PQ!J766="","",Associates_Call_List_PQ!J766)</f>
        <v>No</v>
      </c>
      <c r="K766" s="57" t="str">
        <f>IF(Associates_Call_List_PQ!K766="","",Associates_Call_List_PQ!K766)</f>
        <v>No</v>
      </c>
      <c r="L766" s="57" t="str">
        <f>IF(Associates_Call_List_PQ!L766="","",Associates_Call_List_PQ!L766)</f>
        <v>No MEP R3-47 ($498.46)</v>
      </c>
      <c r="M766" s="57" t="str">
        <f>IF(Associates_Call_List_PQ!M766="","",Associates_Call_List_PQ!M766)</f>
        <v>No</v>
      </c>
      <c r="N766" s="57" t="str">
        <f>IF(Associates_Call_List_PQ!N766="","",Associates_Call_List_PQ!N766)</f>
        <v>No</v>
      </c>
      <c r="O766" s="57" t="str">
        <f>IF(Associates_Call_List_PQ!O766="","",Associates_Call_List_PQ!O766)</f>
        <v>Yes</v>
      </c>
      <c r="P766" s="57">
        <f>IF(Associates_Call_List_PQ!P766="","",Associates_Call_List_PQ!P766)</f>
        <v>45938</v>
      </c>
      <c r="Q766" s="57">
        <f>IF(Associates_Call_List_PQ!Q766="","",Associates_Call_List_PQ!Q766)</f>
        <v>45961</v>
      </c>
      <c r="R766" s="57" t="str">
        <f>IF(Associates_Call_List_PQ!R766="","",Associates_Call_List_PQ!R766)</f>
        <v>10/08/2025 Left VM</v>
      </c>
      <c r="S766" s="57" t="str">
        <f>IF(Associates_Call_List_PQ!S766="","",Associates_Call_List_PQ!S766)</f>
        <v/>
      </c>
      <c r="T766" s="57" t="str">
        <f>IF(Associates_Call_List_PQ!T766="","",Associates_Call_List_PQ!T766)</f>
        <v/>
      </c>
      <c r="U766" s="57" t="str">
        <f>IF(Associates_Call_List_PQ!U766="","",Associates_Call_List_PQ!U766)</f>
        <v/>
      </c>
      <c r="V766" s="68" t="s">
        <v>5433</v>
      </c>
      <c r="W766" s="68">
        <v>46025</v>
      </c>
      <c r="X766" s="68" t="s">
        <v>5434</v>
      </c>
      <c r="Y766" s="68"/>
      <c r="Z766" s="72" t="s">
        <v>5643</v>
      </c>
    </row>
    <row r="767" spans="1:26">
      <c r="A767" s="71">
        <f>IFERROR(Associates_Call_List_PQ!A767,"")</f>
        <v>45912</v>
      </c>
      <c r="B767" s="57" t="str">
        <f>IF(Associates_Call_List_PQ!B767="","",Associates_Call_List_PQ!B767)</f>
        <v>Andrews</v>
      </c>
      <c r="C767" s="57" t="str">
        <f>IF(Associates_Call_List_PQ!C767="","",Associates_Call_List_PQ!C767)</f>
        <v>David</v>
      </c>
      <c r="D767" s="57" t="str">
        <f>IF(Associates_Call_List_PQ!D767="","",Associates_Call_List_PQ!D767)</f>
        <v>Yuma</v>
      </c>
      <c r="E767" s="58">
        <f>IF(Associates_Call_List_PQ!E767="","",Associates_Call_List_PQ!E767)</f>
        <v>85365</v>
      </c>
      <c r="F767" s="57" t="str">
        <f>IF(Associates_Call_List_PQ!F767="","",Associates_Call_List_PQ!F767)</f>
        <v>Firmly against</v>
      </c>
      <c r="G767" s="57" t="str">
        <f>IF(Associates_Call_List_PQ!G767="","",Associates_Call_List_PQ!G767)</f>
        <v>https://docket.images.azcc.gov/E000046437.pdf</v>
      </c>
      <c r="H767" s="59" t="str">
        <f>IF(Associates_Call_List_PQ!H767="","",Associates_Call_List_PQ!H767)</f>
        <v>4155800832</v>
      </c>
      <c r="I767" s="57" t="str">
        <f>IF(Associates_Call_List_PQ!I767="","",Associates_Call_List_PQ!I767)</f>
        <v>R-XS</v>
      </c>
      <c r="J767" s="57" t="str">
        <f>IF(Associates_Call_List_PQ!J767="","",Associates_Call_List_PQ!J767)</f>
        <v>No</v>
      </c>
      <c r="K767" s="57" t="str">
        <f>IF(Associates_Call_List_PQ!K767="","",Associates_Call_List_PQ!K767)</f>
        <v>No</v>
      </c>
      <c r="L767" s="57" t="str">
        <f>IF(Associates_Call_List_PQ!L767="","",Associates_Call_List_PQ!L767)</f>
        <v>Y</v>
      </c>
      <c r="M767" s="57" t="str">
        <f>IF(Associates_Call_List_PQ!M767="","",Associates_Call_List_PQ!M767)</f>
        <v>No</v>
      </c>
      <c r="N767" s="57" t="str">
        <f>IF(Associates_Call_List_PQ!N767="","",Associates_Call_List_PQ!N767)</f>
        <v>No</v>
      </c>
      <c r="O767" s="57" t="str">
        <f>IF(Associates_Call_List_PQ!O767="","",Associates_Call_List_PQ!O767)</f>
        <v>Yes</v>
      </c>
      <c r="P767" s="57" t="str">
        <f>IF(Associates_Call_List_PQ!P767="","",Associates_Call_List_PQ!P767)</f>
        <v>N</v>
      </c>
      <c r="Q767" s="57">
        <f>IF(Associates_Call_List_PQ!Q767="","",Associates_Call_List_PQ!Q767)</f>
        <v>45961</v>
      </c>
      <c r="R767" s="57" t="str">
        <f>IF(Associates_Call_List_PQ!R767="","",Associates_Call_List_PQ!R767)</f>
        <v/>
      </c>
      <c r="S767" s="57" t="str">
        <f>IF(Associates_Call_List_PQ!S767="","",Associates_Call_List_PQ!S767)</f>
        <v/>
      </c>
      <c r="T767" s="57" t="str">
        <f>IF(Associates_Call_List_PQ!T767="","",Associates_Call_List_PQ!T767)</f>
        <v/>
      </c>
      <c r="U767" s="57" t="str">
        <f>IF(Associates_Call_List_PQ!U767="","",Associates_Call_List_PQ!U767)</f>
        <v/>
      </c>
      <c r="V767" s="68"/>
      <c r="W767" s="68" t="s">
        <v>5432</v>
      </c>
      <c r="X767" s="68"/>
      <c r="Y767" s="68"/>
      <c r="Z767" s="72"/>
    </row>
    <row r="768" spans="1:26">
      <c r="A768" s="71">
        <f>IFERROR(Associates_Call_List_PQ!A768,"")</f>
        <v>45912</v>
      </c>
      <c r="B768" s="57" t="str">
        <f>IF(Associates_Call_List_PQ!B768="","",Associates_Call_List_PQ!B768)</f>
        <v>Harris</v>
      </c>
      <c r="C768" s="57" t="str">
        <f>IF(Associates_Call_List_PQ!C768="","",Associates_Call_List_PQ!C768)</f>
        <v>Anthony</v>
      </c>
      <c r="D768" s="57" t="str">
        <f>IF(Associates_Call_List_PQ!D768="","",Associates_Call_List_PQ!D768)</f>
        <v>Glendale</v>
      </c>
      <c r="E768" s="58">
        <f>IF(Associates_Call_List_PQ!E768="","",Associates_Call_List_PQ!E768)</f>
        <v>85308</v>
      </c>
      <c r="F768" s="57" t="str">
        <f>IF(Associates_Call_List_PQ!F768="","",Associates_Call_List_PQ!F768)</f>
        <v>Form letter</v>
      </c>
      <c r="G768" s="57" t="str">
        <f>IF(Associates_Call_List_PQ!G768="","",Associates_Call_List_PQ!G768)</f>
        <v>https://docket.images.azcc.gov/E000046437.pdf</v>
      </c>
      <c r="H768" s="59" t="str">
        <f>IF(Associates_Call_List_PQ!H768="","",Associates_Call_List_PQ!H768)</f>
        <v>5288821061</v>
      </c>
      <c r="I768" s="57" t="str">
        <f>IF(Associates_Call_List_PQ!I768="","",Associates_Call_List_PQ!I768)</f>
        <v>R3-47</v>
      </c>
      <c r="J768" s="57" t="str">
        <f>IF(Associates_Call_List_PQ!J768="","",Associates_Call_List_PQ!J768)</f>
        <v>No</v>
      </c>
      <c r="K768" s="57" t="str">
        <f>IF(Associates_Call_List_PQ!K768="","",Associates_Call_List_PQ!K768)</f>
        <v>No</v>
      </c>
      <c r="L768" s="57" t="str">
        <f>IF(Associates_Call_List_PQ!L768="","",Associates_Call_List_PQ!L768)</f>
        <v>Y</v>
      </c>
      <c r="M768" s="57" t="str">
        <f>IF(Associates_Call_List_PQ!M768="","",Associates_Call_List_PQ!M768)</f>
        <v>No</v>
      </c>
      <c r="N768" s="57" t="str">
        <f>IF(Associates_Call_List_PQ!N768="","",Associates_Call_List_PQ!N768)</f>
        <v>No</v>
      </c>
      <c r="O768" s="57" t="str">
        <f>IF(Associates_Call_List_PQ!O768="","",Associates_Call_List_PQ!O768)</f>
        <v>Yes</v>
      </c>
      <c r="P768" s="57" t="str">
        <f>IF(Associates_Call_List_PQ!P768="","",Associates_Call_List_PQ!P768)</f>
        <v>N</v>
      </c>
      <c r="Q768" s="57">
        <f>IF(Associates_Call_List_PQ!Q768="","",Associates_Call_List_PQ!Q768)</f>
        <v>45961</v>
      </c>
      <c r="R768" s="57" t="str">
        <f>IF(Associates_Call_List_PQ!R768="","",Associates_Call_List_PQ!R768)</f>
        <v>Pending stop 11/3</v>
      </c>
      <c r="S768" s="57" t="str">
        <f>IF(Associates_Call_List_PQ!S768="","",Associates_Call_List_PQ!S768)</f>
        <v/>
      </c>
      <c r="T768" s="57" t="str">
        <f>IF(Associates_Call_List_PQ!T768="","",Associates_Call_List_PQ!T768)</f>
        <v/>
      </c>
      <c r="U768" s="57" t="str">
        <f>IF(Associates_Call_List_PQ!U768="","",Associates_Call_List_PQ!U768)</f>
        <v/>
      </c>
      <c r="V768" s="68" t="s">
        <v>5433</v>
      </c>
      <c r="W768" s="68">
        <v>46081</v>
      </c>
      <c r="X768" s="68" t="s">
        <v>5405</v>
      </c>
      <c r="Y768" s="68" t="s">
        <v>5463</v>
      </c>
      <c r="Z768" s="72" t="s">
        <v>5644</v>
      </c>
    </row>
    <row r="769" spans="1:26">
      <c r="A769" s="71">
        <f>IFERROR(Associates_Call_List_PQ!A769,"")</f>
        <v>45912</v>
      </c>
      <c r="B769" s="57" t="str">
        <f>IF(Associates_Call_List_PQ!B769="","",Associates_Call_List_PQ!B769)</f>
        <v>Nelson</v>
      </c>
      <c r="C769" s="57" t="str">
        <f>IF(Associates_Call_List_PQ!C769="","",Associates_Call_List_PQ!C769)</f>
        <v>Nancy</v>
      </c>
      <c r="D769" s="57" t="str">
        <f>IF(Associates_Call_List_PQ!D769="","",Associates_Call_List_PQ!D769)</f>
        <v>Phoenix</v>
      </c>
      <c r="E769" s="58">
        <f>IF(Associates_Call_List_PQ!E769="","",Associates_Call_List_PQ!E769)</f>
        <v>85032</v>
      </c>
      <c r="F769" s="57" t="str">
        <f>IF(Associates_Call_List_PQ!F769="","",Associates_Call_List_PQ!F769)</f>
        <v>Unreasonable</v>
      </c>
      <c r="G769" s="57" t="str">
        <f>IF(Associates_Call_List_PQ!G769="","",Associates_Call_List_PQ!G769)</f>
        <v>https://docket.images.azcc.gov/E000046437.pdf</v>
      </c>
      <c r="H769" s="59" t="str">
        <f>IF(Associates_Call_List_PQ!H769="","",Associates_Call_List_PQ!H769)</f>
        <v>5531290000</v>
      </c>
      <c r="I769" s="57" t="str">
        <f>IF(Associates_Call_List_PQ!I769="","",Associates_Call_List_PQ!I769)</f>
        <v>R-BASICL</v>
      </c>
      <c r="J769" s="57" t="str">
        <f>IF(Associates_Call_List_PQ!J769="","",Associates_Call_List_PQ!J769)</f>
        <v>No</v>
      </c>
      <c r="K769" s="57" t="str">
        <f>IF(Associates_Call_List_PQ!K769="","",Associates_Call_List_PQ!K769)</f>
        <v>No</v>
      </c>
      <c r="L769" s="57" t="str">
        <f>IF(Associates_Call_List_PQ!L769="","",Associates_Call_List_PQ!L769)</f>
        <v>No MEP R3-47 ($188.91))</v>
      </c>
      <c r="M769" s="57" t="str">
        <f>IF(Associates_Call_List_PQ!M769="","",Associates_Call_List_PQ!M769)</f>
        <v>No</v>
      </c>
      <c r="N769" s="57" t="str">
        <f>IF(Associates_Call_List_PQ!N769="","",Associates_Call_List_PQ!N769)</f>
        <v>No</v>
      </c>
      <c r="O769" s="57" t="str">
        <f>IF(Associates_Call_List_PQ!O769="","",Associates_Call_List_PQ!O769)</f>
        <v>Yes</v>
      </c>
      <c r="P769" s="57" t="str">
        <f>IF(Associates_Call_List_PQ!P769="","",Associates_Call_List_PQ!P769)</f>
        <v/>
      </c>
      <c r="Q769" s="57">
        <f>IF(Associates_Call_List_PQ!Q769="","",Associates_Call_List_PQ!Q769)</f>
        <v>45961</v>
      </c>
      <c r="R769" s="57" t="str">
        <f>IF(Associates_Call_List_PQ!R769="","",Associates_Call_List_PQ!R769)</f>
        <v>10/9 Tried to leave a VM, mailbox is full, Tried to call again on 11/10</v>
      </c>
      <c r="S769" s="57" t="str">
        <f>IF(Associates_Call_List_PQ!S769="","",Associates_Call_List_PQ!S769)</f>
        <v/>
      </c>
      <c r="T769" s="57" t="str">
        <f>IF(Associates_Call_List_PQ!T769="","",Associates_Call_List_PQ!T769)</f>
        <v/>
      </c>
      <c r="U769" s="57" t="str">
        <f>IF(Associates_Call_List_PQ!U769="","",Associates_Call_List_PQ!U769)</f>
        <v/>
      </c>
      <c r="V769" s="68" t="s">
        <v>5433</v>
      </c>
      <c r="W769" s="68">
        <v>46025</v>
      </c>
      <c r="X769" s="68"/>
      <c r="Y769" s="68" t="s">
        <v>5461</v>
      </c>
      <c r="Z769" s="72" t="s">
        <v>5645</v>
      </c>
    </row>
    <row r="770" spans="1:26">
      <c r="A770" s="71">
        <f>IFERROR(Associates_Call_List_PQ!A770,"")</f>
        <v>45913</v>
      </c>
      <c r="B770" s="57" t="str">
        <f>IF(Associates_Call_List_PQ!B770="","",Associates_Call_List_PQ!B770)</f>
        <v>Mercado-Tarango</v>
      </c>
      <c r="C770" s="57" t="str">
        <f>IF(Associates_Call_List_PQ!C770="","",Associates_Call_List_PQ!C770)</f>
        <v>Brenda</v>
      </c>
      <c r="D770" s="57" t="str">
        <f>IF(Associates_Call_List_PQ!D770="","",Associates_Call_List_PQ!D770)</f>
        <v>Avondale</v>
      </c>
      <c r="E770" s="58">
        <f>IF(Associates_Call_List_PQ!E770="","",Associates_Call_List_PQ!E770)</f>
        <v>85392</v>
      </c>
      <c r="F770" s="57" t="str">
        <f>IF(Associates_Call_List_PQ!F770="","",Associates_Call_List_PQ!F770)</f>
        <v>Opposed</v>
      </c>
      <c r="G770" s="57" t="str">
        <f>IF(Associates_Call_List_PQ!G770="","",Associates_Call_List_PQ!G770)</f>
        <v>https://docket.images.azcc.gov/E000046437.pdf</v>
      </c>
      <c r="H770" s="59" t="str">
        <f>IF(Associates_Call_List_PQ!H770="","",Associates_Call_List_PQ!H770)</f>
        <v>4456121000</v>
      </c>
      <c r="I770" s="57" t="str">
        <f>IF(Associates_Call_List_PQ!I770="","",Associates_Call_List_PQ!I770)</f>
        <v>RCPw/R3-47</v>
      </c>
      <c r="J770" s="57" t="str">
        <f>IF(Associates_Call_List_PQ!J770="","",Associates_Call_List_PQ!J770)</f>
        <v>No</v>
      </c>
      <c r="K770" s="57" t="str">
        <f>IF(Associates_Call_List_PQ!K770="","",Associates_Call_List_PQ!K770)</f>
        <v>No</v>
      </c>
      <c r="L770" s="57" t="str">
        <f>IF(Associates_Call_List_PQ!L770="","",Associates_Call_List_PQ!L770)</f>
        <v>Y</v>
      </c>
      <c r="M770" s="57" t="str">
        <f>IF(Associates_Call_List_PQ!M770="","",Associates_Call_List_PQ!M770)</f>
        <v>No</v>
      </c>
      <c r="N770" s="57" t="str">
        <f>IF(Associates_Call_List_PQ!N770="","",Associates_Call_List_PQ!N770)</f>
        <v>No</v>
      </c>
      <c r="O770" s="57" t="str">
        <f>IF(Associates_Call_List_PQ!O770="","",Associates_Call_List_PQ!O770)</f>
        <v>Yes</v>
      </c>
      <c r="P770" s="57" t="str">
        <f>IF(Associates_Call_List_PQ!P770="","",Associates_Call_List_PQ!P770)</f>
        <v>N</v>
      </c>
      <c r="Q770" s="57">
        <f>IF(Associates_Call_List_PQ!Q770="","",Associates_Call_List_PQ!Q770)</f>
        <v>45961</v>
      </c>
      <c r="R770" s="57" t="str">
        <f>IF(Associates_Call_List_PQ!R770="","",Associates_Call_List_PQ!R770)</f>
        <v/>
      </c>
      <c r="S770" s="57" t="str">
        <f>IF(Associates_Call_List_PQ!S770="","",Associates_Call_List_PQ!S770)</f>
        <v/>
      </c>
      <c r="T770" s="57" t="str">
        <f>IF(Associates_Call_List_PQ!T770="","",Associates_Call_List_PQ!T770)</f>
        <v/>
      </c>
      <c r="U770" s="57" t="str">
        <f>IF(Associates_Call_List_PQ!U770="","",Associates_Call_List_PQ!U770)</f>
        <v/>
      </c>
      <c r="V770" s="68" t="s">
        <v>5433</v>
      </c>
      <c r="W770" s="68">
        <v>46081</v>
      </c>
      <c r="X770" s="68" t="s">
        <v>5434</v>
      </c>
      <c r="Y770" s="68"/>
      <c r="Z770" s="72" t="s">
        <v>5547</v>
      </c>
    </row>
    <row r="771" spans="1:26">
      <c r="A771" s="71">
        <f>IFERROR(Associates_Call_List_PQ!A771,"")</f>
        <v>45913</v>
      </c>
      <c r="B771" s="57" t="str">
        <f>IF(Associates_Call_List_PQ!B771="","",Associates_Call_List_PQ!B771)</f>
        <v>Sylvester</v>
      </c>
      <c r="C771" s="57" t="str">
        <f>IF(Associates_Call_List_PQ!C771="","",Associates_Call_List_PQ!C771)</f>
        <v>Zachery</v>
      </c>
      <c r="D771" s="57" t="str">
        <f>IF(Associates_Call_List_PQ!D771="","",Associates_Call_List_PQ!D771)</f>
        <v>Phoenix</v>
      </c>
      <c r="E771" s="58">
        <f>IF(Associates_Call_List_PQ!E771="","",Associates_Call_List_PQ!E771)</f>
        <v>85022</v>
      </c>
      <c r="F771" s="57" t="str">
        <f>IF(Associates_Call_List_PQ!F771="","",Associates_Call_List_PQ!F771)</f>
        <v>Opposed</v>
      </c>
      <c r="G771" s="57" t="str">
        <f>IF(Associates_Call_List_PQ!G771="","",Associates_Call_List_PQ!G771)</f>
        <v>https://docket.images.azcc.gov/E000046437.pdf</v>
      </c>
      <c r="H771" s="59" t="str">
        <f>IF(Associates_Call_List_PQ!H771="","",Associates_Call_List_PQ!H771)</f>
        <v>9854457444</v>
      </c>
      <c r="I771" s="57" t="str">
        <f>IF(Associates_Call_List_PQ!I771="","",Associates_Call_List_PQ!I771)</f>
        <v>R-XS</v>
      </c>
      <c r="J771" s="57" t="str">
        <f>IF(Associates_Call_List_PQ!J771="","",Associates_Call_List_PQ!J771)</f>
        <v>No</v>
      </c>
      <c r="K771" s="57" t="str">
        <f>IF(Associates_Call_List_PQ!K771="","",Associates_Call_List_PQ!K771)</f>
        <v>No</v>
      </c>
      <c r="L771" s="57" t="str">
        <f>IF(Associates_Call_List_PQ!L771="","",Associates_Call_List_PQ!L771)</f>
        <v>Y</v>
      </c>
      <c r="M771" s="57" t="str">
        <f>IF(Associates_Call_List_PQ!M771="","",Associates_Call_List_PQ!M771)</f>
        <v>No</v>
      </c>
      <c r="N771" s="57" t="str">
        <f>IF(Associates_Call_List_PQ!N771="","",Associates_Call_List_PQ!N771)</f>
        <v>No</v>
      </c>
      <c r="O771" s="57" t="str">
        <f>IF(Associates_Call_List_PQ!O771="","",Associates_Call_List_PQ!O771)</f>
        <v>Yes</v>
      </c>
      <c r="P771" s="57" t="str">
        <f>IF(Associates_Call_List_PQ!P771="","",Associates_Call_List_PQ!P771)</f>
        <v>N</v>
      </c>
      <c r="Q771" s="57">
        <f>IF(Associates_Call_List_PQ!Q771="","",Associates_Call_List_PQ!Q771)</f>
        <v>45961</v>
      </c>
      <c r="R771" s="57" t="str">
        <f>IF(Associates_Call_List_PQ!R771="","",Associates_Call_List_PQ!R771)</f>
        <v/>
      </c>
      <c r="S771" s="57" t="str">
        <f>IF(Associates_Call_List_PQ!S771="","",Associates_Call_List_PQ!S771)</f>
        <v/>
      </c>
      <c r="T771" s="57" t="str">
        <f>IF(Associates_Call_List_PQ!T771="","",Associates_Call_List_PQ!T771)</f>
        <v/>
      </c>
      <c r="U771" s="57" t="str">
        <f>IF(Associates_Call_List_PQ!U771="","",Associates_Call_List_PQ!U771)</f>
        <v/>
      </c>
      <c r="V771" s="68"/>
      <c r="W771" s="68" t="s">
        <v>5432</v>
      </c>
      <c r="X771" s="68"/>
      <c r="Y771" s="68"/>
      <c r="Z771" s="72"/>
    </row>
    <row r="772" spans="1:26">
      <c r="A772" s="71">
        <f>IFERROR(Associates_Call_List_PQ!A772,"")</f>
        <v>45913</v>
      </c>
      <c r="B772" s="57" t="str">
        <f>IF(Associates_Call_List_PQ!B772="","",Associates_Call_List_PQ!B772)</f>
        <v>Dukart</v>
      </c>
      <c r="C772" s="57" t="str">
        <f>IF(Associates_Call_List_PQ!C772="","",Associates_Call_List_PQ!C772)</f>
        <v>David</v>
      </c>
      <c r="D772" s="57" t="str">
        <f>IF(Associates_Call_List_PQ!D772="","",Associates_Call_List_PQ!D772)</f>
        <v>Glendale</v>
      </c>
      <c r="E772" s="58">
        <f>IF(Associates_Call_List_PQ!E772="","",Associates_Call_List_PQ!E772)</f>
        <v>85308</v>
      </c>
      <c r="F772" s="57" t="str">
        <f>IF(Associates_Call_List_PQ!F772="","",Associates_Call_List_PQ!F772)</f>
        <v>Opposed</v>
      </c>
      <c r="G772" s="57" t="str">
        <f>IF(Associates_Call_List_PQ!G772="","",Associates_Call_List_PQ!G772)</f>
        <v>https://docket.images.azcc.gov/E000046437.pdf</v>
      </c>
      <c r="H772" s="59" t="str">
        <f>IF(Associates_Call_List_PQ!H772="","",Associates_Call_List_PQ!H772)</f>
        <v>2139544986</v>
      </c>
      <c r="I772" s="57" t="str">
        <f>IF(Associates_Call_List_PQ!I772="","",Associates_Call_List_PQ!I772)</f>
        <v>R-2</v>
      </c>
      <c r="J772" s="57" t="str">
        <f>IF(Associates_Call_List_PQ!J772="","",Associates_Call_List_PQ!J772)</f>
        <v>No</v>
      </c>
      <c r="K772" s="57" t="str">
        <f>IF(Associates_Call_List_PQ!K772="","",Associates_Call_List_PQ!K772)</f>
        <v>No</v>
      </c>
      <c r="L772" s="57" t="str">
        <f>IF(Associates_Call_List_PQ!L772="","",Associates_Call_List_PQ!L772)</f>
        <v>Frozen Rate</v>
      </c>
      <c r="M772" s="57" t="str">
        <f>IF(Associates_Call_List_PQ!M772="","",Associates_Call_List_PQ!M772)</f>
        <v>No</v>
      </c>
      <c r="N772" s="57" t="str">
        <f>IF(Associates_Call_List_PQ!N772="","",Associates_Call_List_PQ!N772)</f>
        <v>No</v>
      </c>
      <c r="O772" s="57" t="str">
        <f>IF(Associates_Call_List_PQ!O772="","",Associates_Call_List_PQ!O772)</f>
        <v>Yes</v>
      </c>
      <c r="P772" s="57" t="str">
        <f>IF(Associates_Call_List_PQ!P772="","",Associates_Call_List_PQ!P772)</f>
        <v>N</v>
      </c>
      <c r="Q772" s="57">
        <f>IF(Associates_Call_List_PQ!Q772="","",Associates_Call_List_PQ!Q772)</f>
        <v>45961</v>
      </c>
      <c r="R772" s="57" t="str">
        <f>IF(Associates_Call_List_PQ!R772="","",Associates_Call_List_PQ!R772)</f>
        <v/>
      </c>
      <c r="S772" s="57" t="str">
        <f>IF(Associates_Call_List_PQ!S772="","",Associates_Call_List_PQ!S772)</f>
        <v/>
      </c>
      <c r="T772" s="57" t="str">
        <f>IF(Associates_Call_List_PQ!T772="","",Associates_Call_List_PQ!T772)</f>
        <v/>
      </c>
      <c r="U772" s="57" t="str">
        <f>IF(Associates_Call_List_PQ!U772="","",Associates_Call_List_PQ!U772)</f>
        <v/>
      </c>
      <c r="V772" s="68" t="s">
        <v>5433</v>
      </c>
      <c r="W772" s="68">
        <v>45997</v>
      </c>
      <c r="X772" s="68" t="s">
        <v>5434</v>
      </c>
      <c r="Y772" s="68"/>
      <c r="Z772" s="72" t="s">
        <v>5480</v>
      </c>
    </row>
    <row r="773" spans="1:26">
      <c r="A773" s="71">
        <f>IFERROR(Associates_Call_List_PQ!A773,"")</f>
        <v>45914</v>
      </c>
      <c r="B773" s="57" t="str">
        <f>IF(Associates_Call_List_PQ!B773="","",Associates_Call_List_PQ!B773)</f>
        <v>Weigand</v>
      </c>
      <c r="C773" s="57" t="str">
        <f>IF(Associates_Call_List_PQ!C773="","",Associates_Call_List_PQ!C773)</f>
        <v>Mathew</v>
      </c>
      <c r="D773" s="57" t="str">
        <f>IF(Associates_Call_List_PQ!D773="","",Associates_Call_List_PQ!D773)</f>
        <v>Chandler</v>
      </c>
      <c r="E773" s="58">
        <f>IF(Associates_Call_List_PQ!E773="","",Associates_Call_List_PQ!E773)</f>
        <v>85225</v>
      </c>
      <c r="F773" s="57" t="str">
        <f>IF(Associates_Call_List_PQ!F773="","",Associates_Call_List_PQ!F773)</f>
        <v>Form letter</v>
      </c>
      <c r="G773" s="57" t="str">
        <f>IF(Associates_Call_List_PQ!G773="","",Associates_Call_List_PQ!G773)</f>
        <v>https://docket.images.azcc.gov/E000046437.pdf</v>
      </c>
      <c r="H773" s="59" t="str">
        <f>IF(Associates_Call_List_PQ!H773="","",Associates_Call_List_PQ!H773)</f>
        <v>0406230633</v>
      </c>
      <c r="I773" s="57" t="str">
        <f>IF(Associates_Call_List_PQ!I773="","",Associates_Call_List_PQ!I773)</f>
        <v>R-Basic</v>
      </c>
      <c r="J773" s="57" t="str">
        <f>IF(Associates_Call_List_PQ!J773="","",Associates_Call_List_PQ!J773)</f>
        <v>No</v>
      </c>
      <c r="K773" s="57" t="str">
        <f>IF(Associates_Call_List_PQ!K773="","",Associates_Call_List_PQ!K773)</f>
        <v>No</v>
      </c>
      <c r="L773" s="57" t="str">
        <f>IF(Associates_Call_List_PQ!L773="","",Associates_Call_List_PQ!L773)</f>
        <v>No MEP TOUE ($20.50)</v>
      </c>
      <c r="M773" s="57" t="str">
        <f>IF(Associates_Call_List_PQ!M773="","",Associates_Call_List_PQ!M773)</f>
        <v>No</v>
      </c>
      <c r="N773" s="57" t="str">
        <f>IF(Associates_Call_List_PQ!N773="","",Associates_Call_List_PQ!N773)</f>
        <v>No</v>
      </c>
      <c r="O773" s="57" t="str">
        <f>IF(Associates_Call_List_PQ!O773="","",Associates_Call_List_PQ!O773)</f>
        <v>Yes</v>
      </c>
      <c r="P773" s="57" t="str">
        <f>IF(Associates_Call_List_PQ!P773="","",Associates_Call_List_PQ!P773)</f>
        <v>N</v>
      </c>
      <c r="Q773" s="57">
        <f>IF(Associates_Call_List_PQ!Q773="","",Associates_Call_List_PQ!Q773)</f>
        <v>45961</v>
      </c>
      <c r="R773" s="57" t="str">
        <f>IF(Associates_Call_List_PQ!R773="","",Associates_Call_List_PQ!R773)</f>
        <v/>
      </c>
      <c r="S773" s="57" t="str">
        <f>IF(Associates_Call_List_PQ!S773="","",Associates_Call_List_PQ!S773)</f>
        <v/>
      </c>
      <c r="T773" s="57" t="str">
        <f>IF(Associates_Call_List_PQ!T773="","",Associates_Call_List_PQ!T773)</f>
        <v/>
      </c>
      <c r="U773" s="57" t="str">
        <f>IF(Associates_Call_List_PQ!U773="","",Associates_Call_List_PQ!U773)</f>
        <v/>
      </c>
      <c r="V773" s="68" t="s">
        <v>5433</v>
      </c>
      <c r="W773" s="68">
        <v>46025</v>
      </c>
      <c r="X773" s="68" t="s">
        <v>5434</v>
      </c>
      <c r="Y773" s="68"/>
      <c r="Z773" s="72" t="s">
        <v>5646</v>
      </c>
    </row>
    <row r="774" spans="1:26">
      <c r="A774" s="71">
        <f>IFERROR(Associates_Call_List_PQ!A774,"")</f>
        <v>45914</v>
      </c>
      <c r="B774" s="57" t="str">
        <f>IF(Associates_Call_List_PQ!B774="","",Associates_Call_List_PQ!B774)</f>
        <v>Callingham</v>
      </c>
      <c r="C774" s="57" t="str">
        <f>IF(Associates_Call_List_PQ!C774="","",Associates_Call_List_PQ!C774)</f>
        <v>Richard</v>
      </c>
      <c r="D774" s="57" t="str">
        <f>IF(Associates_Call_List_PQ!D774="","",Associates_Call_List_PQ!D774)</f>
        <v>Phoenix</v>
      </c>
      <c r="E774" s="58">
        <f>IF(Associates_Call_List_PQ!E774="","",Associates_Call_List_PQ!E774)</f>
        <v>85020</v>
      </c>
      <c r="F774" s="57" t="str">
        <f>IF(Associates_Call_List_PQ!F774="","",Associates_Call_List_PQ!F774)</f>
        <v>Opposed</v>
      </c>
      <c r="G774" s="57" t="str">
        <f>IF(Associates_Call_List_PQ!G774="","",Associates_Call_List_PQ!G774)</f>
        <v>https://docket.images.azcc.gov/E000046437.pdf</v>
      </c>
      <c r="H774" s="59" t="str">
        <f>IF(Associates_Call_List_PQ!H774="","",Associates_Call_List_PQ!H774)</f>
        <v>5672030668</v>
      </c>
      <c r="I774" s="57" t="str">
        <f>IF(Associates_Call_List_PQ!I774="","",Associates_Call_List_PQ!I774)</f>
        <v>EPR-6w/ET-2</v>
      </c>
      <c r="J774" s="57" t="str">
        <f>IF(Associates_Call_List_PQ!J774="","",Associates_Call_List_PQ!J774)</f>
        <v>No</v>
      </c>
      <c r="K774" s="57" t="str">
        <f>IF(Associates_Call_List_PQ!K774="","",Associates_Call_List_PQ!K774)</f>
        <v>No</v>
      </c>
      <c r="L774" s="57" t="str">
        <f>IF(Associates_Call_List_PQ!L774="","",Associates_Call_List_PQ!L774)</f>
        <v>Frozen Rate</v>
      </c>
      <c r="M774" s="57" t="str">
        <f>IF(Associates_Call_List_PQ!M774="","",Associates_Call_List_PQ!M774)</f>
        <v>No</v>
      </c>
      <c r="N774" s="57" t="str">
        <f>IF(Associates_Call_List_PQ!N774="","",Associates_Call_List_PQ!N774)</f>
        <v>No</v>
      </c>
      <c r="O774" s="57" t="str">
        <f>IF(Associates_Call_List_PQ!O774="","",Associates_Call_List_PQ!O774)</f>
        <v>Yes</v>
      </c>
      <c r="P774" s="57" t="str">
        <f>IF(Associates_Call_List_PQ!P774="","",Associates_Call_List_PQ!P774)</f>
        <v>N</v>
      </c>
      <c r="Q774" s="57">
        <f>IF(Associates_Call_List_PQ!Q774="","",Associates_Call_List_PQ!Q774)</f>
        <v>45961</v>
      </c>
      <c r="R774" s="57" t="str">
        <f>IF(Associates_Call_List_PQ!R774="","",Associates_Call_List_PQ!R774)</f>
        <v/>
      </c>
      <c r="S774" s="57" t="str">
        <f>IF(Associates_Call_List_PQ!S774="","",Associates_Call_List_PQ!S774)</f>
        <v/>
      </c>
      <c r="T774" s="57" t="str">
        <f>IF(Associates_Call_List_PQ!T774="","",Associates_Call_List_PQ!T774)</f>
        <v/>
      </c>
      <c r="U774" s="57" t="str">
        <f>IF(Associates_Call_List_PQ!U774="","",Associates_Call_List_PQ!U774)</f>
        <v/>
      </c>
      <c r="V774" s="68" t="s">
        <v>5433</v>
      </c>
      <c r="W774" s="68">
        <v>46081</v>
      </c>
      <c r="X774" s="68" t="s">
        <v>5434</v>
      </c>
      <c r="Y774" s="68"/>
      <c r="Z774" s="72" t="s">
        <v>5547</v>
      </c>
    </row>
    <row r="775" spans="1:26">
      <c r="A775" s="71">
        <f>IFERROR(Associates_Call_List_PQ!A775,"")</f>
        <v>45914</v>
      </c>
      <c r="B775" s="57" t="str">
        <f>IF(Associates_Call_List_PQ!B775="","",Associates_Call_List_PQ!B775)</f>
        <v>Ramos</v>
      </c>
      <c r="C775" s="57" t="str">
        <f>IF(Associates_Call_List_PQ!C775="","",Associates_Call_List_PQ!C775)</f>
        <v>Mercedes</v>
      </c>
      <c r="D775" s="57" t="str">
        <f>IF(Associates_Call_List_PQ!D775="","",Associates_Call_List_PQ!D775)</f>
        <v>Yuma</v>
      </c>
      <c r="E775" s="58">
        <f>IF(Associates_Call_List_PQ!E775="","",Associates_Call_List_PQ!E775)</f>
        <v>85364</v>
      </c>
      <c r="F775" s="57" t="str">
        <f>IF(Associates_Call_List_PQ!F775="","",Associates_Call_List_PQ!F775)</f>
        <v>Extremely expensive</v>
      </c>
      <c r="G775" s="57" t="str">
        <f>IF(Associates_Call_List_PQ!G775="","",Associates_Call_List_PQ!G775)</f>
        <v>https://docket.images.azcc.gov/E000046437.pdf</v>
      </c>
      <c r="H775" s="59" t="str">
        <f>IF(Associates_Call_List_PQ!H775="","",Associates_Call_List_PQ!H775)</f>
        <v>2060349043</v>
      </c>
      <c r="I775" s="57" t="str">
        <f>IF(Associates_Call_List_PQ!I775="","",Associates_Call_List_PQ!I775)</f>
        <v>RCPw/R3-47</v>
      </c>
      <c r="J775" s="57" t="str">
        <f>IF(Associates_Call_List_PQ!J775="","",Associates_Call_List_PQ!J775)</f>
        <v>No</v>
      </c>
      <c r="K775" s="57" t="str">
        <f>IF(Associates_Call_List_PQ!K775="","",Associates_Call_List_PQ!K775)</f>
        <v>No</v>
      </c>
      <c r="L775" s="57" t="str">
        <f>IF(Associates_Call_List_PQ!L775="","",Associates_Call_List_PQ!L775)</f>
        <v>No MEP TOUE ($157.52)</v>
      </c>
      <c r="M775" s="57" t="str">
        <f>IF(Associates_Call_List_PQ!M775="","",Associates_Call_List_PQ!M775)</f>
        <v>Yes</v>
      </c>
      <c r="N775" s="57">
        <f>IF(Associates_Call_List_PQ!N775="","",Associates_Call_List_PQ!N775)</f>
        <v>722.34</v>
      </c>
      <c r="O775" s="57" t="str">
        <f>IF(Associates_Call_List_PQ!O775="","",Associates_Call_List_PQ!O775)</f>
        <v>Yes</v>
      </c>
      <c r="P775" s="57" t="str">
        <f>IF(Associates_Call_List_PQ!P775="","",Associates_Call_List_PQ!P775)</f>
        <v/>
      </c>
      <c r="Q775" s="57">
        <f>IF(Associates_Call_List_PQ!Q775="","",Associates_Call_List_PQ!Q775)</f>
        <v>45961</v>
      </c>
      <c r="R775" s="57" t="str">
        <f>IF(Associates_Call_List_PQ!R775="","",Associates_Call_List_PQ!R775)</f>
        <v>10/9 Reviewed account, on 9/29 customer called to switch to MEP</v>
      </c>
      <c r="S775" s="57" t="str">
        <f>IF(Associates_Call_List_PQ!S775="","",Associates_Call_List_PQ!S775)</f>
        <v/>
      </c>
      <c r="T775" s="57" t="str">
        <f>IF(Associates_Call_List_PQ!T775="","",Associates_Call_List_PQ!T775)</f>
        <v/>
      </c>
      <c r="U775" s="57" t="str">
        <f>IF(Associates_Call_List_PQ!U775="","",Associates_Call_List_PQ!U775)</f>
        <v>Called into CX center to switch plans to MEP on 9/29</v>
      </c>
      <c r="V775" s="68" t="s">
        <v>5433</v>
      </c>
      <c r="W775" s="68">
        <v>46025</v>
      </c>
      <c r="X775" s="68" t="s">
        <v>5405</v>
      </c>
      <c r="Y775" s="68"/>
      <c r="Z775" s="72" t="s">
        <v>5451</v>
      </c>
    </row>
    <row r="776" spans="1:26">
      <c r="A776" s="71">
        <f>IFERROR(Associates_Call_List_PQ!A776,"")</f>
        <v>45914</v>
      </c>
      <c r="B776" s="57" t="str">
        <f>IF(Associates_Call_List_PQ!B776="","",Associates_Call_List_PQ!B776)</f>
        <v>Quinet</v>
      </c>
      <c r="C776" s="57" t="str">
        <f>IF(Associates_Call_List_PQ!C776="","",Associates_Call_List_PQ!C776)</f>
        <v>Alexander</v>
      </c>
      <c r="D776" s="57" t="str">
        <f>IF(Associates_Call_List_PQ!D776="","",Associates_Call_List_PQ!D776)</f>
        <v>Phoenix</v>
      </c>
      <c r="E776" s="58">
        <f>IF(Associates_Call_List_PQ!E776="","",Associates_Call_List_PQ!E776)</f>
        <v>85281</v>
      </c>
      <c r="F776" s="57" t="str">
        <f>IF(Associates_Call_List_PQ!F776="","",Associates_Call_List_PQ!F776)</f>
        <v>Form letter</v>
      </c>
      <c r="G776" s="57" t="str">
        <f>IF(Associates_Call_List_PQ!G776="","",Associates_Call_List_PQ!G776)</f>
        <v>https://docket.images.azcc.gov/E000046437.pdf</v>
      </c>
      <c r="H776" s="59" t="str">
        <f>IF(Associates_Call_List_PQ!H776="","",Associates_Call_List_PQ!H776)</f>
        <v>3985295602</v>
      </c>
      <c r="I776" s="57" t="str">
        <f>IF(Associates_Call_List_PQ!I776="","",Associates_Call_List_PQ!I776)</f>
        <v>R-XS</v>
      </c>
      <c r="J776" s="57" t="str">
        <f>IF(Associates_Call_List_PQ!J776="","",Associates_Call_List_PQ!J776)</f>
        <v>Yes</v>
      </c>
      <c r="K776" s="57" t="str">
        <f>IF(Associates_Call_List_PQ!K776="","",Associates_Call_List_PQ!K776)</f>
        <v>No</v>
      </c>
      <c r="L776" s="57" t="str">
        <f>IF(Associates_Call_List_PQ!L776="","",Associates_Call_List_PQ!L776)</f>
        <v>Yes</v>
      </c>
      <c r="M776" s="57" t="str">
        <f>IF(Associates_Call_List_PQ!M776="","",Associates_Call_List_PQ!M776)</f>
        <v>No</v>
      </c>
      <c r="N776" s="57" t="str">
        <f>IF(Associates_Call_List_PQ!N776="","",Associates_Call_List_PQ!N776)</f>
        <v>No</v>
      </c>
      <c r="O776" s="57" t="str">
        <f>IF(Associates_Call_List_PQ!O776="","",Associates_Call_List_PQ!O776)</f>
        <v>Yes</v>
      </c>
      <c r="P776" s="57" t="str">
        <f>IF(Associates_Call_List_PQ!P776="","",Associates_Call_List_PQ!P776)</f>
        <v>N</v>
      </c>
      <c r="Q776" s="57">
        <f>IF(Associates_Call_List_PQ!Q776="","",Associates_Call_List_PQ!Q776)</f>
        <v>45961</v>
      </c>
      <c r="R776" s="57" t="str">
        <f>IF(Associates_Call_List_PQ!R776="","",Associates_Call_List_PQ!R776)</f>
        <v/>
      </c>
      <c r="S776" s="57" t="str">
        <f>IF(Associates_Call_List_PQ!S776="","",Associates_Call_List_PQ!S776)</f>
        <v/>
      </c>
      <c r="T776" s="57" t="str">
        <f>IF(Associates_Call_List_PQ!T776="","",Associates_Call_List_PQ!T776)</f>
        <v/>
      </c>
      <c r="U776" s="57" t="str">
        <f>IF(Associates_Call_List_PQ!U776="","",Associates_Call_List_PQ!U776)</f>
        <v/>
      </c>
      <c r="V776" s="68" t="s">
        <v>5433</v>
      </c>
      <c r="W776" s="68">
        <v>46081</v>
      </c>
      <c r="X776" s="68" t="s">
        <v>5405</v>
      </c>
      <c r="Y776" s="68" t="s">
        <v>5461</v>
      </c>
      <c r="Z776" s="72" t="s">
        <v>5636</v>
      </c>
    </row>
    <row r="777" spans="1:26">
      <c r="A777" s="71">
        <f>IFERROR(Associates_Call_List_PQ!A777,"")</f>
        <v>45914</v>
      </c>
      <c r="B777" s="57" t="str">
        <f>IF(Associates_Call_List_PQ!B777="","",Associates_Call_List_PQ!B777)</f>
        <v>Mohajerin</v>
      </c>
      <c r="C777" s="57" t="str">
        <f>IF(Associates_Call_List_PQ!C777="","",Associates_Call_List_PQ!C777)</f>
        <v>Susan</v>
      </c>
      <c r="D777" s="57" t="str">
        <f>IF(Associates_Call_List_PQ!D777="","",Associates_Call_List_PQ!D777)</f>
        <v>Scottsdale</v>
      </c>
      <c r="E777" s="58">
        <f>IF(Associates_Call_List_PQ!E777="","",Associates_Call_List_PQ!E777)</f>
        <v>85260</v>
      </c>
      <c r="F777" s="57" t="str">
        <f>IF(Associates_Call_List_PQ!F777="","",Associates_Call_List_PQ!F777)</f>
        <v>Enough is enough, already paying $160 for a 700 sqdt apartment</v>
      </c>
      <c r="G777" s="57" t="str">
        <f>IF(Associates_Call_List_PQ!G777="","",Associates_Call_List_PQ!G777)</f>
        <v>https://docket.images.azcc.gov/E000046437.pdf</v>
      </c>
      <c r="H777" s="59" t="str">
        <f>IF(Associates_Call_List_PQ!H777="","",Associates_Call_List_PQ!H777)</f>
        <v>3081131103</v>
      </c>
      <c r="I777" s="57" t="str">
        <f>IF(Associates_Call_List_PQ!I777="","",Associates_Call_List_PQ!I777)</f>
        <v>RTOUE47</v>
      </c>
      <c r="J777" s="57" t="str">
        <f>IF(Associates_Call_List_PQ!J777="","",Associates_Call_List_PQ!J777)</f>
        <v>No</v>
      </c>
      <c r="K777" s="57" t="str">
        <f>IF(Associates_Call_List_PQ!K777="","",Associates_Call_List_PQ!K777)</f>
        <v>No</v>
      </c>
      <c r="L777" s="57" t="str">
        <f>IF(Associates_Call_List_PQ!L777="","",Associates_Call_List_PQ!L777)</f>
        <v>No MEP R-XS ($98.76)</v>
      </c>
      <c r="M777" s="57" t="str">
        <f>IF(Associates_Call_List_PQ!M777="","",Associates_Call_List_PQ!M777)</f>
        <v>No</v>
      </c>
      <c r="N777" s="57" t="str">
        <f>IF(Associates_Call_List_PQ!N777="","",Associates_Call_List_PQ!N777)</f>
        <v>No</v>
      </c>
      <c r="O777" s="57" t="str">
        <f>IF(Associates_Call_List_PQ!O777="","",Associates_Call_List_PQ!O777)</f>
        <v>Yes</v>
      </c>
      <c r="P777" s="57" t="str">
        <f>IF(Associates_Call_List_PQ!P777="","",Associates_Call_List_PQ!P777)</f>
        <v>N</v>
      </c>
      <c r="Q777" s="57">
        <f>IF(Associates_Call_List_PQ!Q777="","",Associates_Call_List_PQ!Q777)</f>
        <v>45961</v>
      </c>
      <c r="R777" s="57" t="str">
        <f>IF(Associates_Call_List_PQ!R777="","",Associates_Call_List_PQ!R777)</f>
        <v/>
      </c>
      <c r="S777" s="57" t="str">
        <f>IF(Associates_Call_List_PQ!S777="","",Associates_Call_List_PQ!S777)</f>
        <v/>
      </c>
      <c r="T777" s="57" t="str">
        <f>IF(Associates_Call_List_PQ!T777="","",Associates_Call_List_PQ!T777)</f>
        <v/>
      </c>
      <c r="U777" s="57" t="str">
        <f>IF(Associates_Call_List_PQ!U777="","",Associates_Call_List_PQ!U777)</f>
        <v/>
      </c>
      <c r="V777" s="68" t="s">
        <v>5433</v>
      </c>
      <c r="W777" s="68">
        <v>45997</v>
      </c>
      <c r="X777" s="68" t="s">
        <v>5434</v>
      </c>
      <c r="Y777" s="68"/>
      <c r="Z777" s="72" t="s">
        <v>5478</v>
      </c>
    </row>
    <row r="778" spans="1:26">
      <c r="A778" s="71">
        <f>IFERROR(Associates_Call_List_PQ!A778,"")</f>
        <v>45917</v>
      </c>
      <c r="B778" s="57" t="str">
        <f>IF(Associates_Call_List_PQ!B778="","",Associates_Call_List_PQ!B778)</f>
        <v>Donato</v>
      </c>
      <c r="C778" s="57" t="str">
        <f>IF(Associates_Call_List_PQ!C778="","",Associates_Call_List_PQ!C778)</f>
        <v>Danielle</v>
      </c>
      <c r="D778" s="57" t="str">
        <f>IF(Associates_Call_List_PQ!D778="","",Associates_Call_List_PQ!D778)</f>
        <v>Phoenix</v>
      </c>
      <c r="E778" s="58">
        <f>IF(Associates_Call_List_PQ!E778="","",Associates_Call_List_PQ!E778)</f>
        <v>85023</v>
      </c>
      <c r="F778" s="57" t="str">
        <f>IF(Associates_Call_List_PQ!F778="","",Associates_Call_List_PQ!F778)</f>
        <v xml:space="preserve">This is a significant burden, especially at a time when cost of living continues to rise </v>
      </c>
      <c r="G778" s="57" t="str">
        <f>IF(Associates_Call_List_PQ!G778="","",Associates_Call_List_PQ!G778)</f>
        <v>https://docket.images.azcc.gov/E000046472.pdf</v>
      </c>
      <c r="H778" s="59" t="str">
        <f>IF(Associates_Call_List_PQ!H778="","",Associates_Call_List_PQ!H778)</f>
        <v xml:space="preserve">5447681797 </v>
      </c>
      <c r="I778" s="57" t="str">
        <f>IF(Associates_Call_List_PQ!I778="","",Associates_Call_List_PQ!I778)</f>
        <v>RTOUE47</v>
      </c>
      <c r="J778" s="57" t="str">
        <f>IF(Associates_Call_List_PQ!J778="","",Associates_Call_List_PQ!J778)</f>
        <v>No</v>
      </c>
      <c r="K778" s="57" t="str">
        <f>IF(Associates_Call_List_PQ!K778="","",Associates_Call_List_PQ!K778)</f>
        <v>No</v>
      </c>
      <c r="L778" s="57" t="str">
        <f>IF(Associates_Call_List_PQ!L778="","",Associates_Call_List_PQ!L778)</f>
        <v>No MEP R3-47(336.10)</v>
      </c>
      <c r="M778" s="57" t="str">
        <f>IF(Associates_Call_List_PQ!M778="","",Associates_Call_List_PQ!M778)</f>
        <v>No</v>
      </c>
      <c r="N778" s="57" t="str">
        <f>IF(Associates_Call_List_PQ!N778="","",Associates_Call_List_PQ!N778)</f>
        <v>No</v>
      </c>
      <c r="O778" s="57" t="str">
        <f>IF(Associates_Call_List_PQ!O778="","",Associates_Call_List_PQ!O778)</f>
        <v>Yes</v>
      </c>
      <c r="P778" s="57">
        <f>IF(Associates_Call_List_PQ!P778="","",Associates_Call_List_PQ!P778)</f>
        <v>45939</v>
      </c>
      <c r="Q778" s="57">
        <f>IF(Associates_Call_List_PQ!Q778="","",Associates_Call_List_PQ!Q778)</f>
        <v>45961</v>
      </c>
      <c r="R778" s="57" t="str">
        <f>IF(Associates_Call_List_PQ!R778="","",Associates_Call_List_PQ!R778)</f>
        <v>10/9 Left VM</v>
      </c>
      <c r="S778" s="57" t="str">
        <f>IF(Associates_Call_List_PQ!S778="","",Associates_Call_List_PQ!S778)</f>
        <v/>
      </c>
      <c r="T778" s="57" t="str">
        <f>IF(Associates_Call_List_PQ!T778="","",Associates_Call_List_PQ!T778)</f>
        <v/>
      </c>
      <c r="U778" s="57" t="str">
        <f>IF(Associates_Call_List_PQ!U778="","",Associates_Call_List_PQ!U778)</f>
        <v/>
      </c>
      <c r="V778" s="68" t="s">
        <v>5433</v>
      </c>
      <c r="W778" s="68">
        <v>46053</v>
      </c>
      <c r="X778" s="68" t="s">
        <v>5405</v>
      </c>
      <c r="Y778" s="68" t="s">
        <v>5447</v>
      </c>
      <c r="Z778" s="72" t="s">
        <v>5647</v>
      </c>
    </row>
    <row r="779" spans="1:26">
      <c r="A779" s="71">
        <f>IFERROR(Associates_Call_List_PQ!A779,"")</f>
        <v>45917</v>
      </c>
      <c r="B779" s="57" t="str">
        <f>IF(Associates_Call_List_PQ!B779="","",Associates_Call_List_PQ!B779)</f>
        <v>Bramble</v>
      </c>
      <c r="C779" s="57" t="str">
        <f>IF(Associates_Call_List_PQ!C779="","",Associates_Call_List_PQ!C779)</f>
        <v>James</v>
      </c>
      <c r="D779" s="57" t="str">
        <f>IF(Associates_Call_List_PQ!D779="","",Associates_Call_List_PQ!D779)</f>
        <v>Cottonwood</v>
      </c>
      <c r="E779" s="58">
        <f>IF(Associates_Call_List_PQ!E779="","",Associates_Call_List_PQ!E779)</f>
        <v>86326</v>
      </c>
      <c r="F779" s="57" t="str">
        <f>IF(Associates_Call_List_PQ!F779="","",Associates_Call_List_PQ!F779)</f>
        <v>The proposed rate increase is excessive</v>
      </c>
      <c r="G779" s="57" t="str">
        <f>IF(Associates_Call_List_PQ!G779="","",Associates_Call_List_PQ!G779)</f>
        <v>https://docket.images.azcc.gov/E000046494.pdf</v>
      </c>
      <c r="H779" s="59" t="str">
        <f>IF(Associates_Call_List_PQ!H779="","",Associates_Call_List_PQ!H779)</f>
        <v xml:space="preserve">1353321000 </v>
      </c>
      <c r="I779" s="57" t="str">
        <f>IF(Associates_Call_List_PQ!I779="","",Associates_Call_List_PQ!I779)</f>
        <v>R3-47</v>
      </c>
      <c r="J779" s="57" t="str">
        <f>IF(Associates_Call_List_PQ!J779="","",Associates_Call_List_PQ!J779)</f>
        <v>No</v>
      </c>
      <c r="K779" s="57" t="str">
        <f>IF(Associates_Call_List_PQ!K779="","",Associates_Call_List_PQ!K779)</f>
        <v>No</v>
      </c>
      <c r="L779" s="57" t="str">
        <f>IF(Associates_Call_List_PQ!L779="","",Associates_Call_List_PQ!L779)</f>
        <v>Yes</v>
      </c>
      <c r="M779" s="57" t="str">
        <f>IF(Associates_Call_List_PQ!M779="","",Associates_Call_List_PQ!M779)</f>
        <v>No</v>
      </c>
      <c r="N779" s="57" t="str">
        <f>IF(Associates_Call_List_PQ!N779="","",Associates_Call_List_PQ!N779)</f>
        <v>No</v>
      </c>
      <c r="O779" s="57" t="str">
        <f>IF(Associates_Call_List_PQ!O779="","",Associates_Call_List_PQ!O779)</f>
        <v>Yes</v>
      </c>
      <c r="P779" s="57" t="str">
        <f>IF(Associates_Call_List_PQ!P779="","",Associates_Call_List_PQ!P779)</f>
        <v>N</v>
      </c>
      <c r="Q779" s="57">
        <f>IF(Associates_Call_List_PQ!Q779="","",Associates_Call_List_PQ!Q779)</f>
        <v>45961</v>
      </c>
      <c r="R779" s="57" t="str">
        <f>IF(Associates_Call_List_PQ!R779="","",Associates_Call_List_PQ!R779)</f>
        <v/>
      </c>
      <c r="S779" s="57" t="str">
        <f>IF(Associates_Call_List_PQ!S779="","",Associates_Call_List_PQ!S779)</f>
        <v/>
      </c>
      <c r="T779" s="57" t="str">
        <f>IF(Associates_Call_List_PQ!T779="","",Associates_Call_List_PQ!T779)</f>
        <v/>
      </c>
      <c r="U779" s="57" t="str">
        <f>IF(Associates_Call_List_PQ!U779="","",Associates_Call_List_PQ!U779)</f>
        <v/>
      </c>
      <c r="V779" s="68"/>
      <c r="W779" s="68" t="s">
        <v>5432</v>
      </c>
      <c r="X779" s="68"/>
      <c r="Y779" s="68"/>
      <c r="Z779" s="72"/>
    </row>
    <row r="780" spans="1:26">
      <c r="A780" s="71">
        <f>IFERROR(Associates_Call_List_PQ!A780,"")</f>
        <v>45917</v>
      </c>
      <c r="B780" s="57" t="str">
        <f>IF(Associates_Call_List_PQ!B780="","",Associates_Call_List_PQ!B780)</f>
        <v>Craig</v>
      </c>
      <c r="C780" s="57" t="str">
        <f>IF(Associates_Call_List_PQ!C780="","",Associates_Call_List_PQ!C780)</f>
        <v>Frank</v>
      </c>
      <c r="D780" s="57" t="str">
        <f>IF(Associates_Call_List_PQ!D780="","",Associates_Call_List_PQ!D780)</f>
        <v>Cottonwood</v>
      </c>
      <c r="E780" s="58">
        <f>IF(Associates_Call_List_PQ!E780="","",Associates_Call_List_PQ!E780)</f>
        <v>86326</v>
      </c>
      <c r="F780" s="57" t="str">
        <f>IF(Associates_Call_List_PQ!F780="","",Associates_Call_List_PQ!F780)</f>
        <v>Opposed</v>
      </c>
      <c r="G780" s="57" t="str">
        <f>IF(Associates_Call_List_PQ!G780="","",Associates_Call_List_PQ!G780)</f>
        <v>https://docket.images.azcc.gov/E000046494.pdf</v>
      </c>
      <c r="H780" s="59" t="str">
        <f>IF(Associates_Call_List_PQ!H780="","",Associates_Call_List_PQ!H780)</f>
        <v xml:space="preserve">1694440000 </v>
      </c>
      <c r="I780" s="57" t="str">
        <f>IF(Associates_Call_List_PQ!I780="","",Associates_Call_List_PQ!I780)</f>
        <v>RCPw/RTOUE47</v>
      </c>
      <c r="J780" s="57" t="str">
        <f>IF(Associates_Call_List_PQ!J780="","",Associates_Call_List_PQ!J780)</f>
        <v>No</v>
      </c>
      <c r="K780" s="57" t="str">
        <f>IF(Associates_Call_List_PQ!K780="","",Associates_Call_List_PQ!K780)</f>
        <v>No</v>
      </c>
      <c r="L780" s="57" t="str">
        <f>IF(Associates_Call_List_PQ!L780="","",Associates_Call_List_PQ!L780)</f>
        <v>Yes</v>
      </c>
      <c r="M780" s="57" t="str">
        <f>IF(Associates_Call_List_PQ!M780="","",Associates_Call_List_PQ!M780)</f>
        <v>No</v>
      </c>
      <c r="N780" s="57" t="str">
        <f>IF(Associates_Call_List_PQ!N780="","",Associates_Call_List_PQ!N780)</f>
        <v>No</v>
      </c>
      <c r="O780" s="57" t="str">
        <f>IF(Associates_Call_List_PQ!O780="","",Associates_Call_List_PQ!O780)</f>
        <v>Yes</v>
      </c>
      <c r="P780" s="57" t="str">
        <f>IF(Associates_Call_List_PQ!P780="","",Associates_Call_List_PQ!P780)</f>
        <v>N</v>
      </c>
      <c r="Q780" s="57">
        <f>IF(Associates_Call_List_PQ!Q780="","",Associates_Call_List_PQ!Q780)</f>
        <v>45961</v>
      </c>
      <c r="R780" s="57" t="str">
        <f>IF(Associates_Call_List_PQ!R780="","",Associates_Call_List_PQ!R780)</f>
        <v/>
      </c>
      <c r="S780" s="57" t="str">
        <f>IF(Associates_Call_List_PQ!S780="","",Associates_Call_List_PQ!S780)</f>
        <v/>
      </c>
      <c r="T780" s="57" t="str">
        <f>IF(Associates_Call_List_PQ!T780="","",Associates_Call_List_PQ!T780)</f>
        <v/>
      </c>
      <c r="U780" s="57" t="str">
        <f>IF(Associates_Call_List_PQ!U780="","",Associates_Call_List_PQ!U780)</f>
        <v/>
      </c>
      <c r="V780" s="68" t="s">
        <v>5433</v>
      </c>
      <c r="W780" s="68">
        <v>46081</v>
      </c>
      <c r="X780" s="68" t="s">
        <v>5405</v>
      </c>
      <c r="Y780" s="68" t="s">
        <v>5461</v>
      </c>
      <c r="Z780" s="72" t="s">
        <v>5636</v>
      </c>
    </row>
    <row r="781" spans="1:26">
      <c r="A781" s="71">
        <f>IFERROR(Associates_Call_List_PQ!A781,"")</f>
        <v>45917</v>
      </c>
      <c r="B781" s="57" t="str">
        <f>IF(Associates_Call_List_PQ!B781="","",Associates_Call_List_PQ!B781)</f>
        <v>Fein</v>
      </c>
      <c r="C781" s="57" t="str">
        <f>IF(Associates_Call_List_PQ!C781="","",Associates_Call_List_PQ!C781)</f>
        <v>Karen</v>
      </c>
      <c r="D781" s="57" t="str">
        <f>IF(Associates_Call_List_PQ!D781="","",Associates_Call_List_PQ!D781)</f>
        <v>Phoenix</v>
      </c>
      <c r="E781" s="58">
        <f>IF(Associates_Call_List_PQ!E781="","",Associates_Call_List_PQ!E781)</f>
        <v>85050</v>
      </c>
      <c r="F781" s="57" t="str">
        <f>IF(Associates_Call_List_PQ!F781="","",Associates_Call_List_PQ!F781)</f>
        <v>Opposed-I wont survive another summer in AZ</v>
      </c>
      <c r="G781" s="57" t="str">
        <f>IF(Associates_Call_List_PQ!G781="","",Associates_Call_List_PQ!G781)</f>
        <v>https://docket.images.azcc.gov/E000046494.pdf</v>
      </c>
      <c r="H781" s="59" t="str">
        <f>IF(Associates_Call_List_PQ!H781="","",Associates_Call_List_PQ!H781)</f>
        <v xml:space="preserve">5831790000 </v>
      </c>
      <c r="I781" s="57" t="str">
        <f>IF(Associates_Call_List_PQ!I781="","",Associates_Call_List_PQ!I781)</f>
        <v>R3-47</v>
      </c>
      <c r="J781" s="57" t="str">
        <f>IF(Associates_Call_List_PQ!J781="","",Associates_Call_List_PQ!J781)</f>
        <v>No</v>
      </c>
      <c r="K781" s="57" t="str">
        <f>IF(Associates_Call_List_PQ!K781="","",Associates_Call_List_PQ!K781)</f>
        <v>No</v>
      </c>
      <c r="L781" s="57" t="str">
        <f>IF(Associates_Call_List_PQ!L781="","",Associates_Call_List_PQ!L781)</f>
        <v>Yes</v>
      </c>
      <c r="M781" s="57" t="str">
        <f>IF(Associates_Call_List_PQ!M781="","",Associates_Call_List_PQ!M781)</f>
        <v>No</v>
      </c>
      <c r="N781" s="57" t="str">
        <f>IF(Associates_Call_List_PQ!N781="","",Associates_Call_List_PQ!N781)</f>
        <v>No</v>
      </c>
      <c r="O781" s="57" t="str">
        <f>IF(Associates_Call_List_PQ!O781="","",Associates_Call_List_PQ!O781)</f>
        <v>Yes</v>
      </c>
      <c r="P781" s="57" t="str">
        <f>IF(Associates_Call_List_PQ!P781="","",Associates_Call_List_PQ!P781)</f>
        <v>N</v>
      </c>
      <c r="Q781" s="57">
        <f>IF(Associates_Call_List_PQ!Q781="","",Associates_Call_List_PQ!Q781)</f>
        <v>45961</v>
      </c>
      <c r="R781" s="57" t="str">
        <f>IF(Associates_Call_List_PQ!R781="","",Associates_Call_List_PQ!R781)</f>
        <v/>
      </c>
      <c r="S781" s="57" t="str">
        <f>IF(Associates_Call_List_PQ!S781="","",Associates_Call_List_PQ!S781)</f>
        <v/>
      </c>
      <c r="T781" s="57" t="str">
        <f>IF(Associates_Call_List_PQ!T781="","",Associates_Call_List_PQ!T781)</f>
        <v/>
      </c>
      <c r="U781" s="57" t="str">
        <f>IF(Associates_Call_List_PQ!U781="","",Associates_Call_List_PQ!U781)</f>
        <v/>
      </c>
      <c r="V781" s="68" t="s">
        <v>5433</v>
      </c>
      <c r="W781" s="68">
        <v>45997</v>
      </c>
      <c r="X781" s="68"/>
      <c r="Y781" s="68"/>
      <c r="Z781" s="72" t="s">
        <v>5481</v>
      </c>
    </row>
    <row r="782" spans="1:26">
      <c r="A782" s="71">
        <f>IFERROR(Associates_Call_List_PQ!A782,"")</f>
        <v>45917</v>
      </c>
      <c r="B782" s="57" t="str">
        <f>IF(Associates_Call_List_PQ!B782="","",Associates_Call_List_PQ!B782)</f>
        <v>Hernandez</v>
      </c>
      <c r="C782" s="57" t="str">
        <f>IF(Associates_Call_List_PQ!C782="","",Associates_Call_List_PQ!C782)</f>
        <v>David</v>
      </c>
      <c r="D782" s="57" t="str">
        <f>IF(Associates_Call_List_PQ!D782="","",Associates_Call_List_PQ!D782)</f>
        <v>Phoenix</v>
      </c>
      <c r="E782" s="58">
        <f>IF(Associates_Call_List_PQ!E782="","",Associates_Call_List_PQ!E782)</f>
        <v>85023</v>
      </c>
      <c r="F782" s="57" t="str">
        <f>IF(Associates_Call_List_PQ!F782="","",Associates_Call_List_PQ!F782)</f>
        <v>Form letter</v>
      </c>
      <c r="G782" s="57" t="str">
        <f>IF(Associates_Call_List_PQ!G782="","",Associates_Call_List_PQ!G782)</f>
        <v>https://docket.images.azcc.gov/E000046472.pdf</v>
      </c>
      <c r="H782" s="59" t="str">
        <f>IF(Associates_Call_List_PQ!H782="","",Associates_Call_List_PQ!H782)</f>
        <v xml:space="preserve">4572687906 </v>
      </c>
      <c r="I782" s="57" t="str">
        <f>IF(Associates_Call_List_PQ!I782="","",Associates_Call_List_PQ!I782)</f>
        <v>RCPw/R3-47</v>
      </c>
      <c r="J782" s="57" t="str">
        <f>IF(Associates_Call_List_PQ!J782="","",Associates_Call_List_PQ!J782)</f>
        <v>No</v>
      </c>
      <c r="K782" s="57" t="str">
        <f>IF(Associates_Call_List_PQ!K782="","",Associates_Call_List_PQ!K782)</f>
        <v>No</v>
      </c>
      <c r="L782" s="57" t="str">
        <f>IF(Associates_Call_List_PQ!L782="","",Associates_Call_List_PQ!L782)</f>
        <v>Yes</v>
      </c>
      <c r="M782" s="57" t="str">
        <f>IF(Associates_Call_List_PQ!M782="","",Associates_Call_List_PQ!M782)</f>
        <v>No</v>
      </c>
      <c r="N782" s="57" t="str">
        <f>IF(Associates_Call_List_PQ!N782="","",Associates_Call_List_PQ!N782)</f>
        <v>No</v>
      </c>
      <c r="O782" s="57" t="str">
        <f>IF(Associates_Call_List_PQ!O782="","",Associates_Call_List_PQ!O782)</f>
        <v>Yes</v>
      </c>
      <c r="P782" s="57" t="str">
        <f>IF(Associates_Call_List_PQ!P782="","",Associates_Call_List_PQ!P782)</f>
        <v>N</v>
      </c>
      <c r="Q782" s="57">
        <f>IF(Associates_Call_List_PQ!Q782="","",Associates_Call_List_PQ!Q782)</f>
        <v>45961</v>
      </c>
      <c r="R782" s="57" t="str">
        <f>IF(Associates_Call_List_PQ!R782="","",Associates_Call_List_PQ!R782)</f>
        <v/>
      </c>
      <c r="S782" s="57" t="str">
        <f>IF(Associates_Call_List_PQ!S782="","",Associates_Call_List_PQ!S782)</f>
        <v/>
      </c>
      <c r="T782" s="57" t="str">
        <f>IF(Associates_Call_List_PQ!T782="","",Associates_Call_List_PQ!T782)</f>
        <v/>
      </c>
      <c r="U782" s="57" t="str">
        <f>IF(Associates_Call_List_PQ!U782="","",Associates_Call_List_PQ!U782)</f>
        <v/>
      </c>
      <c r="V782" s="68" t="s">
        <v>5433</v>
      </c>
      <c r="W782" s="68">
        <v>46081</v>
      </c>
      <c r="X782" s="68" t="s">
        <v>5405</v>
      </c>
      <c r="Y782" s="68" t="s">
        <v>5461</v>
      </c>
      <c r="Z782" s="72" t="s">
        <v>5640</v>
      </c>
    </row>
    <row r="783" spans="1:26">
      <c r="A783" s="71">
        <f>IFERROR(Associates_Call_List_PQ!A783,"")</f>
        <v>45917</v>
      </c>
      <c r="B783" s="57" t="str">
        <f>IF(Associates_Call_List_PQ!B783="","",Associates_Call_List_PQ!B783)</f>
        <v>Keates</v>
      </c>
      <c r="C783" s="57" t="str">
        <f>IF(Associates_Call_List_PQ!C783="","",Associates_Call_List_PQ!C783)</f>
        <v>Rob</v>
      </c>
      <c r="D783" s="57" t="str">
        <f>IF(Associates_Call_List_PQ!D783="","",Associates_Call_List_PQ!D783)</f>
        <v>Chandler</v>
      </c>
      <c r="E783" s="58">
        <f>IF(Associates_Call_List_PQ!E783="","",Associates_Call_List_PQ!E783)</f>
        <v>85225</v>
      </c>
      <c r="F783" s="57" t="str">
        <f>IF(Associates_Call_List_PQ!F783="","",Associates_Call_List_PQ!F783)</f>
        <v>Opposed-Price gouging</v>
      </c>
      <c r="G783" s="57" t="str">
        <f>IF(Associates_Call_List_PQ!G783="","",Associates_Call_List_PQ!G783)</f>
        <v>https://docket.images.azcc.gov/E000046502.pdf</v>
      </c>
      <c r="H783" s="59" t="str">
        <f>IF(Associates_Call_List_PQ!H783="","",Associates_Call_List_PQ!H783)</f>
        <v xml:space="preserve">6651244518 </v>
      </c>
      <c r="I783" s="57" t="str">
        <f>IF(Associates_Call_List_PQ!I783="","",Associates_Call_List_PQ!I783)</f>
        <v>RTOUE47</v>
      </c>
      <c r="J783" s="57" t="str">
        <f>IF(Associates_Call_List_PQ!J783="","",Associates_Call_List_PQ!J783)</f>
        <v>No</v>
      </c>
      <c r="K783" s="57" t="str">
        <f>IF(Associates_Call_List_PQ!K783="","",Associates_Call_List_PQ!K783)</f>
        <v>No</v>
      </c>
      <c r="L783" s="57" t="str">
        <f>IF(Associates_Call_List_PQ!L783="","",Associates_Call_List_PQ!L783)</f>
        <v>No MEP R-BASIC(126.09)</v>
      </c>
      <c r="M783" s="57" t="str">
        <f>IF(Associates_Call_List_PQ!M783="","",Associates_Call_List_PQ!M783)</f>
        <v>No</v>
      </c>
      <c r="N783" s="57" t="str">
        <f>IF(Associates_Call_List_PQ!N783="","",Associates_Call_List_PQ!N783)</f>
        <v>No</v>
      </c>
      <c r="O783" s="57" t="str">
        <f>IF(Associates_Call_List_PQ!O783="","",Associates_Call_List_PQ!O783)</f>
        <v>Yes</v>
      </c>
      <c r="P783" s="57" t="str">
        <f>IF(Associates_Call_List_PQ!P783="","",Associates_Call_List_PQ!P783)</f>
        <v/>
      </c>
      <c r="Q783" s="57">
        <f>IF(Associates_Call_List_PQ!Q783="","",Associates_Call_List_PQ!Q783)</f>
        <v>45961</v>
      </c>
      <c r="R783" s="57" t="str">
        <f>IF(Associates_Call_List_PQ!R783="","",Associates_Call_List_PQ!R783)</f>
        <v>10/9 Reviewed account and average monthly energe use is 760 kwh - want to confirm BASIC is a good recommendation?</v>
      </c>
      <c r="S783" s="57" t="str">
        <f>IF(Associates_Call_List_PQ!S783="","",Associates_Call_List_PQ!S783)</f>
        <v/>
      </c>
      <c r="T783" s="57" t="str">
        <f>IF(Associates_Call_List_PQ!T783="","",Associates_Call_List_PQ!T783)</f>
        <v/>
      </c>
      <c r="U783" s="57" t="str">
        <f>IF(Associates_Call_List_PQ!U783="","",Associates_Call_List_PQ!U783)</f>
        <v/>
      </c>
      <c r="V783" s="68" t="s">
        <v>5433</v>
      </c>
      <c r="W783" s="68">
        <v>46053</v>
      </c>
      <c r="X783" s="68" t="s">
        <v>5434</v>
      </c>
      <c r="Y783" s="68"/>
      <c r="Z783" s="72" t="s">
        <v>5599</v>
      </c>
    </row>
    <row r="784" spans="1:26">
      <c r="A784" s="71">
        <f>IFERROR(Associates_Call_List_PQ!A784,"")</f>
        <v>45917</v>
      </c>
      <c r="B784" s="57" t="str">
        <f>IF(Associates_Call_List_PQ!B784="","",Associates_Call_List_PQ!B784)</f>
        <v>Gregg</v>
      </c>
      <c r="C784" s="57" t="str">
        <f>IF(Associates_Call_List_PQ!C784="","",Associates_Call_List_PQ!C784)</f>
        <v>Daniel</v>
      </c>
      <c r="D784" s="57" t="str">
        <f>IF(Associates_Call_List_PQ!D784="","",Associates_Call_List_PQ!D784)</f>
        <v>Scottsdale</v>
      </c>
      <c r="E784" s="58">
        <f>IF(Associates_Call_List_PQ!E784="","",Associates_Call_List_PQ!E784)</f>
        <v>85257</v>
      </c>
      <c r="F784" s="57" t="str">
        <f>IF(Associates_Call_List_PQ!F784="","",Associates_Call_List_PQ!F784)</f>
        <v>Opposed-APS sees a profit margin already of 9.55%</v>
      </c>
      <c r="G784" s="57" t="str">
        <f>IF(Associates_Call_List_PQ!G784="","",Associates_Call_List_PQ!G784)</f>
        <v>https://docket.images.azcc.gov/E000046502.pdf</v>
      </c>
      <c r="H784" s="59" t="str">
        <f>IF(Associates_Call_List_PQ!H784="","",Associates_Call_List_PQ!H784)</f>
        <v>3547350000</v>
      </c>
      <c r="I784" s="57" t="str">
        <f>IF(Associates_Call_List_PQ!I784="","",Associates_Call_List_PQ!I784)</f>
        <v>R3-47</v>
      </c>
      <c r="J784" s="57" t="str">
        <f>IF(Associates_Call_List_PQ!J784="","",Associates_Call_List_PQ!J784)</f>
        <v>No</v>
      </c>
      <c r="K784" s="57" t="str">
        <f>IF(Associates_Call_List_PQ!K784="","",Associates_Call_List_PQ!K784)</f>
        <v>No</v>
      </c>
      <c r="L784" s="57" t="str">
        <f>IF(Associates_Call_List_PQ!L784="","",Associates_Call_List_PQ!L784)</f>
        <v>Yes</v>
      </c>
      <c r="M784" s="57" t="str">
        <f>IF(Associates_Call_List_PQ!M784="","",Associates_Call_List_PQ!M784)</f>
        <v>No</v>
      </c>
      <c r="N784" s="57" t="str">
        <f>IF(Associates_Call_List_PQ!N784="","",Associates_Call_List_PQ!N784)</f>
        <v>No</v>
      </c>
      <c r="O784" s="57" t="str">
        <f>IF(Associates_Call_List_PQ!O784="","",Associates_Call_List_PQ!O784)</f>
        <v>Yes</v>
      </c>
      <c r="P784" s="57" t="str">
        <f>IF(Associates_Call_List_PQ!P784="","",Associates_Call_List_PQ!P784)</f>
        <v>N</v>
      </c>
      <c r="Q784" s="57">
        <f>IF(Associates_Call_List_PQ!Q784="","",Associates_Call_List_PQ!Q784)</f>
        <v>45961</v>
      </c>
      <c r="R784" s="57" t="str">
        <f>IF(Associates_Call_List_PQ!R784="","",Associates_Call_List_PQ!R784)</f>
        <v/>
      </c>
      <c r="S784" s="57" t="str">
        <f>IF(Associates_Call_List_PQ!S784="","",Associates_Call_List_PQ!S784)</f>
        <v/>
      </c>
      <c r="T784" s="57" t="str">
        <f>IF(Associates_Call_List_PQ!T784="","",Associates_Call_List_PQ!T784)</f>
        <v/>
      </c>
      <c r="U784" s="57" t="str">
        <f>IF(Associates_Call_List_PQ!U784="","",Associates_Call_List_PQ!U784)</f>
        <v/>
      </c>
      <c r="V784" s="68" t="s">
        <v>5433</v>
      </c>
      <c r="W784" s="68">
        <v>45997</v>
      </c>
      <c r="X784" s="68"/>
      <c r="Y784" s="68"/>
      <c r="Z784" s="72" t="s">
        <v>5482</v>
      </c>
    </row>
    <row r="785" spans="1:26">
      <c r="A785" s="71">
        <f>IFERROR(Associates_Call_List_PQ!A785,"")</f>
        <v>45917</v>
      </c>
      <c r="B785" s="57" t="str">
        <f>IF(Associates_Call_List_PQ!B785="","",Associates_Call_List_PQ!B785)</f>
        <v>Mensinger</v>
      </c>
      <c r="C785" s="57" t="str">
        <f>IF(Associates_Call_List_PQ!C785="","",Associates_Call_List_PQ!C785)</f>
        <v>Matt</v>
      </c>
      <c r="D785" s="57" t="str">
        <f>IF(Associates_Call_List_PQ!D785="","",Associates_Call_List_PQ!D785)</f>
        <v>Glendale</v>
      </c>
      <c r="E785" s="58">
        <f>IF(Associates_Call_List_PQ!E785="","",Associates_Call_List_PQ!E785)</f>
        <v>85310</v>
      </c>
      <c r="F785" s="57" t="str">
        <f>IF(Associates_Call_List_PQ!F785="","",Associates_Call_List_PQ!F785)</f>
        <v>Opposed-Lets take a closer look at company spending habits</v>
      </c>
      <c r="G785" s="57" t="str">
        <f>IF(Associates_Call_List_PQ!G785="","",Associates_Call_List_PQ!G785)</f>
        <v>https://docket.images.azcc.gov/E000046502.pdf</v>
      </c>
      <c r="H785" s="59" t="str">
        <f>IF(Associates_Call_List_PQ!H785="","",Associates_Call_List_PQ!H785)</f>
        <v xml:space="preserve">2613256425 </v>
      </c>
      <c r="I785" s="57" t="str">
        <f>IF(Associates_Call_List_PQ!I785="","",Associates_Call_List_PQ!I785)</f>
        <v>R3-47</v>
      </c>
      <c r="J785" s="57" t="str">
        <f>IF(Associates_Call_List_PQ!J785="","",Associates_Call_List_PQ!J785)</f>
        <v>No</v>
      </c>
      <c r="K785" s="57" t="str">
        <f>IF(Associates_Call_List_PQ!K785="","",Associates_Call_List_PQ!K785)</f>
        <v>No</v>
      </c>
      <c r="L785" s="57" t="str">
        <f>IF(Associates_Call_List_PQ!L785="","",Associates_Call_List_PQ!L785)</f>
        <v>Yes</v>
      </c>
      <c r="M785" s="57" t="str">
        <f>IF(Associates_Call_List_PQ!M785="","",Associates_Call_List_PQ!M785)</f>
        <v>No</v>
      </c>
      <c r="N785" s="57" t="str">
        <f>IF(Associates_Call_List_PQ!N785="","",Associates_Call_List_PQ!N785)</f>
        <v>No</v>
      </c>
      <c r="O785" s="57" t="str">
        <f>IF(Associates_Call_List_PQ!O785="","",Associates_Call_List_PQ!O785)</f>
        <v>Yes</v>
      </c>
      <c r="P785" s="57" t="str">
        <f>IF(Associates_Call_List_PQ!P785="","",Associates_Call_List_PQ!P785)</f>
        <v>N</v>
      </c>
      <c r="Q785" s="57">
        <f>IF(Associates_Call_List_PQ!Q785="","",Associates_Call_List_PQ!Q785)</f>
        <v>45961</v>
      </c>
      <c r="R785" s="57" t="str">
        <f>IF(Associates_Call_List_PQ!R785="","",Associates_Call_List_PQ!R785)</f>
        <v/>
      </c>
      <c r="S785" s="57" t="str">
        <f>IF(Associates_Call_List_PQ!S785="","",Associates_Call_List_PQ!S785)</f>
        <v/>
      </c>
      <c r="T785" s="57" t="str">
        <f>IF(Associates_Call_List_PQ!T785="","",Associates_Call_List_PQ!T785)</f>
        <v/>
      </c>
      <c r="U785" s="57" t="str">
        <f>IF(Associates_Call_List_PQ!U785="","",Associates_Call_List_PQ!U785)</f>
        <v/>
      </c>
      <c r="V785" s="68"/>
      <c r="W785" s="68" t="s">
        <v>5432</v>
      </c>
      <c r="X785" s="68"/>
      <c r="Y785" s="68"/>
      <c r="Z785" s="72"/>
    </row>
    <row r="786" spans="1:26">
      <c r="A786" s="71">
        <f>IFERROR(Associates_Call_List_PQ!A786,"")</f>
        <v>45918</v>
      </c>
      <c r="B786" s="57" t="str">
        <f>IF(Associates_Call_List_PQ!B786="","",Associates_Call_List_PQ!B786)</f>
        <v>Houck</v>
      </c>
      <c r="C786" s="57" t="str">
        <f>IF(Associates_Call_List_PQ!C786="","",Associates_Call_List_PQ!C786)</f>
        <v>Christopher</v>
      </c>
      <c r="D786" s="57" t="str">
        <f>IF(Associates_Call_List_PQ!D786="","",Associates_Call_List_PQ!D786)</f>
        <v>Goodyear</v>
      </c>
      <c r="E786" s="58">
        <f>IF(Associates_Call_List_PQ!E786="","",Associates_Call_List_PQ!E786)</f>
        <v>85338</v>
      </c>
      <c r="F786" s="57" t="str">
        <f>IF(Associates_Call_List_PQ!F786="","",Associates_Call_List_PQ!F786)</f>
        <v>Opposed-APS sis 25% higher than SRP</v>
      </c>
      <c r="G786" s="57" t="str">
        <f>IF(Associates_Call_List_PQ!G786="","",Associates_Call_List_PQ!G786)</f>
        <v>https://docket.images.azcc.gov/E000046525.pdf</v>
      </c>
      <c r="H786" s="59" t="str">
        <f>IF(Associates_Call_List_PQ!H786="","",Associates_Call_List_PQ!H786)</f>
        <v xml:space="preserve">5669951000 </v>
      </c>
      <c r="I786" s="57" t="str">
        <f>IF(Associates_Call_List_PQ!I786="","",Associates_Call_List_PQ!I786)</f>
        <v>R3-47</v>
      </c>
      <c r="J786" s="57" t="str">
        <f>IF(Associates_Call_List_PQ!J786="","",Associates_Call_List_PQ!J786)</f>
        <v>No</v>
      </c>
      <c r="K786" s="57" t="str">
        <f>IF(Associates_Call_List_PQ!K786="","",Associates_Call_List_PQ!K786)</f>
        <v>No</v>
      </c>
      <c r="L786" s="57" t="str">
        <f>IF(Associates_Call_List_PQ!L786="","",Associates_Call_List_PQ!L786)</f>
        <v>Yes</v>
      </c>
      <c r="M786" s="57" t="str">
        <f>IF(Associates_Call_List_PQ!M786="","",Associates_Call_List_PQ!M786)</f>
        <v>No</v>
      </c>
      <c r="N786" s="57" t="str">
        <f>IF(Associates_Call_List_PQ!N786="","",Associates_Call_List_PQ!N786)</f>
        <v>No</v>
      </c>
      <c r="O786" s="57" t="str">
        <f>IF(Associates_Call_List_PQ!O786="","",Associates_Call_List_PQ!O786)</f>
        <v>Yes</v>
      </c>
      <c r="P786" s="57" t="str">
        <f>IF(Associates_Call_List_PQ!P786="","",Associates_Call_List_PQ!P786)</f>
        <v>N</v>
      </c>
      <c r="Q786" s="57">
        <f>IF(Associates_Call_List_PQ!Q786="","",Associates_Call_List_PQ!Q786)</f>
        <v>45961</v>
      </c>
      <c r="R786" s="57" t="str">
        <f>IF(Associates_Call_List_PQ!R786="","",Associates_Call_List_PQ!R786)</f>
        <v/>
      </c>
      <c r="S786" s="57" t="str">
        <f>IF(Associates_Call_List_PQ!S786="","",Associates_Call_List_PQ!S786)</f>
        <v/>
      </c>
      <c r="T786" s="57" t="str">
        <f>IF(Associates_Call_List_PQ!T786="","",Associates_Call_List_PQ!T786)</f>
        <v/>
      </c>
      <c r="U786" s="57" t="str">
        <f>IF(Associates_Call_List_PQ!U786="","",Associates_Call_List_PQ!U786)</f>
        <v/>
      </c>
      <c r="V786" s="68" t="s">
        <v>5433</v>
      </c>
      <c r="W786" s="68">
        <v>46081</v>
      </c>
      <c r="X786" s="68" t="s">
        <v>5405</v>
      </c>
      <c r="Y786" s="68" t="s">
        <v>5461</v>
      </c>
      <c r="Z786" s="72" t="s">
        <v>5636</v>
      </c>
    </row>
    <row r="787" spans="1:26">
      <c r="A787" s="71">
        <f>IFERROR(Associates_Call_List_PQ!A787,"")</f>
        <v>45918</v>
      </c>
      <c r="B787" s="57" t="str">
        <f>IF(Associates_Call_List_PQ!B787="","",Associates_Call_List_PQ!B787)</f>
        <v>Lewis</v>
      </c>
      <c r="C787" s="57" t="str">
        <f>IF(Associates_Call_List_PQ!C787="","",Associates_Call_List_PQ!C787)</f>
        <v>Steven</v>
      </c>
      <c r="D787" s="57" t="str">
        <f>IF(Associates_Call_List_PQ!D787="","",Associates_Call_List_PQ!D787)</f>
        <v>Phoenix</v>
      </c>
      <c r="E787" s="58">
        <f>IF(Associates_Call_List_PQ!E787="","",Associates_Call_List_PQ!E787)</f>
        <v>85032</v>
      </c>
      <c r="F787" s="57" t="str">
        <f>IF(Associates_Call_List_PQ!F787="","",Associates_Call_List_PQ!F787)</f>
        <v>Opposed-AC set 83 and still high bills</v>
      </c>
      <c r="G787" s="57" t="str">
        <f>IF(Associates_Call_List_PQ!G787="","",Associates_Call_List_PQ!G787)</f>
        <v>https://docket.images.azcc.gov/E000046525.pdf</v>
      </c>
      <c r="H787" s="59" t="str">
        <f>IF(Associates_Call_List_PQ!H787="","",Associates_Call_List_PQ!H787)</f>
        <v xml:space="preserve">1806989657 </v>
      </c>
      <c r="I787" s="57" t="str">
        <f>IF(Associates_Call_List_PQ!I787="","",Associates_Call_List_PQ!I787)</f>
        <v>RTOUE47</v>
      </c>
      <c r="J787" s="57" t="str">
        <f>IF(Associates_Call_List_PQ!J787="","",Associates_Call_List_PQ!J787)</f>
        <v>No</v>
      </c>
      <c r="K787" s="57" t="str">
        <f>IF(Associates_Call_List_PQ!K787="","",Associates_Call_List_PQ!K787)</f>
        <v>No</v>
      </c>
      <c r="L787" s="57" t="str">
        <f>IF(Associates_Call_List_PQ!L787="","",Associates_Call_List_PQ!L787)</f>
        <v>Yes</v>
      </c>
      <c r="M787" s="57" t="str">
        <f>IF(Associates_Call_List_PQ!M787="","",Associates_Call_List_PQ!M787)</f>
        <v>No</v>
      </c>
      <c r="N787" s="57" t="str">
        <f>IF(Associates_Call_List_PQ!N787="","",Associates_Call_List_PQ!N787)</f>
        <v>No</v>
      </c>
      <c r="O787" s="57" t="str">
        <f>IF(Associates_Call_List_PQ!O787="","",Associates_Call_List_PQ!O787)</f>
        <v>Yes</v>
      </c>
      <c r="P787" s="57" t="str">
        <f>IF(Associates_Call_List_PQ!P787="","",Associates_Call_List_PQ!P787)</f>
        <v>N</v>
      </c>
      <c r="Q787" s="57">
        <f>IF(Associates_Call_List_PQ!Q787="","",Associates_Call_List_PQ!Q787)</f>
        <v>45961</v>
      </c>
      <c r="R787" s="57" t="str">
        <f>IF(Associates_Call_List_PQ!R787="","",Associates_Call_List_PQ!R787)</f>
        <v/>
      </c>
      <c r="S787" s="57" t="str">
        <f>IF(Associates_Call_List_PQ!S787="","",Associates_Call_List_PQ!S787)</f>
        <v/>
      </c>
      <c r="T787" s="57" t="str">
        <f>IF(Associates_Call_List_PQ!T787="","",Associates_Call_List_PQ!T787)</f>
        <v/>
      </c>
      <c r="U787" s="57" t="str">
        <f>IF(Associates_Call_List_PQ!U787="","",Associates_Call_List_PQ!U787)</f>
        <v/>
      </c>
      <c r="V787" s="68" t="s">
        <v>5433</v>
      </c>
      <c r="W787" s="68">
        <v>45997</v>
      </c>
      <c r="X787" s="68"/>
      <c r="Y787" s="68"/>
      <c r="Z787" s="72" t="s">
        <v>5483</v>
      </c>
    </row>
    <row r="788" spans="1:26">
      <c r="A788" s="71">
        <f>IFERROR(Associates_Call_List_PQ!A788,"")</f>
        <v>45918</v>
      </c>
      <c r="B788" s="57" t="str">
        <f>IF(Associates_Call_List_PQ!B788="","",Associates_Call_List_PQ!B788)</f>
        <v>Hendricks</v>
      </c>
      <c r="C788" s="57" t="str">
        <f>IF(Associates_Call_List_PQ!C788="","",Associates_Call_List_PQ!C788)</f>
        <v>Thomas</v>
      </c>
      <c r="D788" s="57" t="str">
        <f>IF(Associates_Call_List_PQ!D788="","",Associates_Call_List_PQ!D788)</f>
        <v>Joseph City</v>
      </c>
      <c r="E788" s="58">
        <f>IF(Associates_Call_List_PQ!E788="","",Associates_Call_List_PQ!E788)</f>
        <v>86032</v>
      </c>
      <c r="F788" s="57" t="str">
        <f>IF(Associates_Call_List_PQ!F788="","",Associates_Call_List_PQ!F788)</f>
        <v>Opposed-Why am I forced to APS and not someone else?</v>
      </c>
      <c r="G788" s="57" t="str">
        <f>IF(Associates_Call_List_PQ!G788="","",Associates_Call_List_PQ!G788)</f>
        <v>https://docket.images.azcc.gov/E000046525.pdf</v>
      </c>
      <c r="H788" s="59" t="str">
        <f>IF(Associates_Call_List_PQ!H788="","",Associates_Call_List_PQ!H788)</f>
        <v xml:space="preserve">2491806502 </v>
      </c>
      <c r="I788" s="57" t="str">
        <f>IF(Associates_Call_List_PQ!I788="","",Associates_Call_List_PQ!I788)</f>
        <v>RCPw/RTOUE47</v>
      </c>
      <c r="J788" s="57" t="str">
        <f>IF(Associates_Call_List_PQ!J788="","",Associates_Call_List_PQ!J788)</f>
        <v>No</v>
      </c>
      <c r="K788" s="57" t="str">
        <f>IF(Associates_Call_List_PQ!K788="","",Associates_Call_List_PQ!K788)</f>
        <v>No</v>
      </c>
      <c r="L788" s="57" t="str">
        <f>IF(Associates_Call_List_PQ!L788="","",Associates_Call_List_PQ!L788)</f>
        <v>Yes</v>
      </c>
      <c r="M788" s="57" t="str">
        <f>IF(Associates_Call_List_PQ!M788="","",Associates_Call_List_PQ!M788)</f>
        <v>Yes</v>
      </c>
      <c r="N788" s="57">
        <f>IF(Associates_Call_List_PQ!N788="","",Associates_Call_List_PQ!N788)</f>
        <v>361.43</v>
      </c>
      <c r="O788" s="57" t="str">
        <f>IF(Associates_Call_List_PQ!O788="","",Associates_Call_List_PQ!O788)</f>
        <v>Yes</v>
      </c>
      <c r="P788" s="57" t="str">
        <f>IF(Associates_Call_List_PQ!P788="","",Associates_Call_List_PQ!P788)</f>
        <v>N</v>
      </c>
      <c r="Q788" s="57">
        <f>IF(Associates_Call_List_PQ!Q788="","",Associates_Call_List_PQ!Q788)</f>
        <v>45961</v>
      </c>
      <c r="R788" s="57" t="str">
        <f>IF(Associates_Call_List_PQ!R788="","",Associates_Call_List_PQ!R788)</f>
        <v>Several missed payments</v>
      </c>
      <c r="S788" s="57" t="str">
        <f>IF(Associates_Call_List_PQ!S788="","",Associates_Call_List_PQ!S788)</f>
        <v/>
      </c>
      <c r="T788" s="57" t="str">
        <f>IF(Associates_Call_List_PQ!T788="","",Associates_Call_List_PQ!T788)</f>
        <v/>
      </c>
      <c r="U788" s="57" t="str">
        <f>IF(Associates_Call_List_PQ!U788="","",Associates_Call_List_PQ!U788)</f>
        <v/>
      </c>
      <c r="V788" s="68" t="s">
        <v>5433</v>
      </c>
      <c r="W788" s="68">
        <v>45997</v>
      </c>
      <c r="X788" s="68" t="s">
        <v>5434</v>
      </c>
      <c r="Y788" s="68"/>
      <c r="Z788" s="72" t="s">
        <v>5484</v>
      </c>
    </row>
    <row r="789" spans="1:26">
      <c r="A789" s="71">
        <f>IFERROR(Associates_Call_List_PQ!A789,"")</f>
        <v>45918</v>
      </c>
      <c r="B789" s="57" t="str">
        <f>IF(Associates_Call_List_PQ!B789="","",Associates_Call_List_PQ!B789)</f>
        <v>Frausto</v>
      </c>
      <c r="C789" s="57" t="str">
        <f>IF(Associates_Call_List_PQ!C789="","",Associates_Call_List_PQ!C789)</f>
        <v>Esmeralda</v>
      </c>
      <c r="D789" s="57" t="str">
        <f>IF(Associates_Call_List_PQ!D789="","",Associates_Call_List_PQ!D789)</f>
        <v>Buckeye</v>
      </c>
      <c r="E789" s="58">
        <f>IF(Associates_Call_List_PQ!E789="","",Associates_Call_List_PQ!E789)</f>
        <v>85396</v>
      </c>
      <c r="F789" s="57" t="str">
        <f>IF(Associates_Call_List_PQ!F789="","",Associates_Call_List_PQ!F789)</f>
        <v>Opposed-Think of customers first, high cost of living</v>
      </c>
      <c r="G789" s="57" t="str">
        <f>IF(Associates_Call_List_PQ!G789="","",Associates_Call_List_PQ!G789)</f>
        <v>https://docket.images.azcc.gov/E000046525.pdf</v>
      </c>
      <c r="H789" s="59" t="str">
        <f>IF(Associates_Call_List_PQ!H789="","",Associates_Call_List_PQ!H789)</f>
        <v>3516164640 </v>
      </c>
      <c r="I789" s="57" t="str">
        <f>IF(Associates_Call_List_PQ!I789="","",Associates_Call_List_PQ!I789)</f>
        <v>R3-47</v>
      </c>
      <c r="J789" s="57" t="str">
        <f>IF(Associates_Call_List_PQ!J789="","",Associates_Call_List_PQ!J789)</f>
        <v>Yes</v>
      </c>
      <c r="K789" s="57" t="str">
        <f>IF(Associates_Call_List_PQ!K789="","",Associates_Call_List_PQ!K789)</f>
        <v>No</v>
      </c>
      <c r="L789" s="57" t="str">
        <f>IF(Associates_Call_List_PQ!L789="","",Associates_Call_List_PQ!L789)</f>
        <v>Yes</v>
      </c>
      <c r="M789" s="57" t="str">
        <f>IF(Associates_Call_List_PQ!M789="","",Associates_Call_List_PQ!M789)</f>
        <v>Yes</v>
      </c>
      <c r="N789" s="57">
        <f>IF(Associates_Call_List_PQ!N789="","",Associates_Call_List_PQ!N789)</f>
        <v>2904.39</v>
      </c>
      <c r="O789" s="57" t="str">
        <f>IF(Associates_Call_List_PQ!O789="","",Associates_Call_List_PQ!O789)</f>
        <v>Yes</v>
      </c>
      <c r="P789" s="57" t="str">
        <f>IF(Associates_Call_List_PQ!P789="","",Associates_Call_List_PQ!P789)</f>
        <v/>
      </c>
      <c r="Q789" s="57">
        <f>IF(Associates_Call_List_PQ!Q789="","",Associates_Call_List_PQ!Q789)</f>
        <v>45961</v>
      </c>
      <c r="R789" s="57" t="str">
        <f>IF(Associates_Call_List_PQ!R789="","",Associates_Call_List_PQ!R789)</f>
        <v>Continuous payment arrangements for a couple years, may need more assistance?</v>
      </c>
      <c r="S789" s="57" t="str">
        <f>IF(Associates_Call_List_PQ!S789="","",Associates_Call_List_PQ!S789)</f>
        <v/>
      </c>
      <c r="T789" s="57" t="str">
        <f>IF(Associates_Call_List_PQ!T789="","",Associates_Call_List_PQ!T789)</f>
        <v/>
      </c>
      <c r="U789" s="57" t="str">
        <f>IF(Associates_Call_List_PQ!U789="","",Associates_Call_List_PQ!U789)</f>
        <v/>
      </c>
      <c r="V789" s="68" t="s">
        <v>5433</v>
      </c>
      <c r="W789" s="68">
        <v>45997</v>
      </c>
      <c r="X789" s="68" t="s">
        <v>5434</v>
      </c>
      <c r="Y789" s="68"/>
      <c r="Z789" s="72" t="s">
        <v>5483</v>
      </c>
    </row>
    <row r="790" spans="1:26">
      <c r="A790" s="71">
        <f>IFERROR(Associates_Call_List_PQ!A790,"")</f>
        <v>45918</v>
      </c>
      <c r="B790" s="57" t="str">
        <f>IF(Associates_Call_List_PQ!B790="","",Associates_Call_List_PQ!B790)</f>
        <v>Rodriguez</v>
      </c>
      <c r="C790" s="57" t="str">
        <f>IF(Associates_Call_List_PQ!C790="","",Associates_Call_List_PQ!C790)</f>
        <v>Eli</v>
      </c>
      <c r="D790" s="57" t="str">
        <f>IF(Associates_Call_List_PQ!D790="","",Associates_Call_List_PQ!D790)</f>
        <v>Phoenix</v>
      </c>
      <c r="E790" s="58">
        <f>IF(Associates_Call_List_PQ!E790="","",Associates_Call_List_PQ!E790)</f>
        <v>85014</v>
      </c>
      <c r="F790" s="57" t="str">
        <f>IF(Associates_Call_List_PQ!F790="","",Associates_Call_List_PQ!F790)</f>
        <v>Opposed- Going to contact Attorney Gen. to allow SRP serv</v>
      </c>
      <c r="G790" s="57" t="str">
        <f>IF(Associates_Call_List_PQ!G790="","",Associates_Call_List_PQ!G790)</f>
        <v>https://docket.images.azcc.gov/E000046525.pdf</v>
      </c>
      <c r="H790" s="59" t="str">
        <f>IF(Associates_Call_List_PQ!H790="","",Associates_Call_List_PQ!H790)</f>
        <v xml:space="preserve">0573685084 </v>
      </c>
      <c r="I790" s="57" t="str">
        <f>IF(Associates_Call_List_PQ!I790="","",Associates_Call_List_PQ!I790)</f>
        <v>R3-47</v>
      </c>
      <c r="J790" s="57" t="str">
        <f>IF(Associates_Call_List_PQ!J790="","",Associates_Call_List_PQ!J790)</f>
        <v>Yes</v>
      </c>
      <c r="K790" s="57" t="str">
        <f>IF(Associates_Call_List_PQ!K790="","",Associates_Call_List_PQ!K790)</f>
        <v/>
      </c>
      <c r="L790" s="57" t="str">
        <f>IF(Associates_Call_List_PQ!L790="","",Associates_Call_List_PQ!L790)</f>
        <v>Yes</v>
      </c>
      <c r="M790" s="57" t="str">
        <f>IF(Associates_Call_List_PQ!M790="","",Associates_Call_List_PQ!M790)</f>
        <v/>
      </c>
      <c r="N790" s="57" t="str">
        <f>IF(Associates_Call_List_PQ!N790="","",Associates_Call_List_PQ!N790)</f>
        <v/>
      </c>
      <c r="O790" s="57" t="str">
        <f>IF(Associates_Call_List_PQ!O790="","",Associates_Call_List_PQ!O790)</f>
        <v>Yes</v>
      </c>
      <c r="P790" s="57" t="str">
        <f>IF(Associates_Call_List_PQ!P790="","",Associates_Call_List_PQ!P790)</f>
        <v>N</v>
      </c>
      <c r="Q790" s="57" t="str">
        <f>IF(Associates_Call_List_PQ!Q790="","",Associates_Call_List_PQ!Q790)</f>
        <v/>
      </c>
      <c r="R790" s="57" t="str">
        <f>IF(Associates_Call_List_PQ!R790="","",Associates_Call_List_PQ!R790)</f>
        <v/>
      </c>
      <c r="S790" s="57" t="str">
        <f>IF(Associates_Call_List_PQ!S790="","",Associates_Call_List_PQ!S790)</f>
        <v/>
      </c>
      <c r="T790" s="57" t="str">
        <f>IF(Associates_Call_List_PQ!T790="","",Associates_Call_List_PQ!T790)</f>
        <v/>
      </c>
      <c r="U790" s="57" t="str">
        <f>IF(Associates_Call_List_PQ!U790="","",Associates_Call_List_PQ!U790)</f>
        <v/>
      </c>
      <c r="V790" s="68" t="s">
        <v>5433</v>
      </c>
      <c r="W790" s="68">
        <v>46081</v>
      </c>
      <c r="X790" s="68" t="s">
        <v>5434</v>
      </c>
      <c r="Y790" s="68"/>
      <c r="Z790" s="72" t="s">
        <v>5547</v>
      </c>
    </row>
    <row r="791" spans="1:26">
      <c r="A791" s="71">
        <f>IFERROR(Associates_Call_List_PQ!A791,"")</f>
        <v>45918</v>
      </c>
      <c r="B791" s="57" t="str">
        <f>IF(Associates_Call_List_PQ!B791="","",Associates_Call_List_PQ!B791)</f>
        <v>Hulsey</v>
      </c>
      <c r="C791" s="57" t="str">
        <f>IF(Associates_Call_List_PQ!C791="","",Associates_Call_List_PQ!C791)</f>
        <v>Joseph</v>
      </c>
      <c r="D791" s="57" t="str">
        <f>IF(Associates_Call_List_PQ!D791="","",Associates_Call_List_PQ!D791)</f>
        <v>Tempe</v>
      </c>
      <c r="E791" s="58">
        <f>IF(Associates_Call_List_PQ!E791="","",Associates_Call_List_PQ!E791)</f>
        <v>85281</v>
      </c>
      <c r="F791" s="57" t="str">
        <f>IF(Associates_Call_List_PQ!F791="","",Associates_Call_List_PQ!F791)</f>
        <v>Strongly Oppose 14% increase</v>
      </c>
      <c r="G791" s="57" t="str">
        <f>IF(Associates_Call_List_PQ!G791="","",Associates_Call_List_PQ!G791)</f>
        <v>https://docket.images.azcc.gov/E000046525.pdf</v>
      </c>
      <c r="H791" s="59" t="str">
        <f>IF(Associates_Call_List_PQ!H791="","",Associates_Call_List_PQ!H791)</f>
        <v xml:space="preserve">7420351130 </v>
      </c>
      <c r="I791" s="57" t="str">
        <f>IF(Associates_Call_List_PQ!I791="","",Associates_Call_List_PQ!I791)</f>
        <v>R3-47</v>
      </c>
      <c r="J791" s="57" t="str">
        <f>IF(Associates_Call_List_PQ!J791="","",Associates_Call_List_PQ!J791)</f>
        <v>No</v>
      </c>
      <c r="K791" s="57" t="str">
        <f>IF(Associates_Call_List_PQ!K791="","",Associates_Call_List_PQ!K791)</f>
        <v>No</v>
      </c>
      <c r="L791" s="57" t="str">
        <f>IF(Associates_Call_List_PQ!L791="","",Associates_Call_List_PQ!L791)</f>
        <v>Yes</v>
      </c>
      <c r="M791" s="57" t="str">
        <f>IF(Associates_Call_List_PQ!M791="","",Associates_Call_List_PQ!M791)</f>
        <v>No</v>
      </c>
      <c r="N791" s="57" t="str">
        <f>IF(Associates_Call_List_PQ!N791="","",Associates_Call_List_PQ!N791)</f>
        <v>No</v>
      </c>
      <c r="O791" s="57" t="str">
        <f>IF(Associates_Call_List_PQ!O791="","",Associates_Call_List_PQ!O791)</f>
        <v>Yes</v>
      </c>
      <c r="P791" s="57" t="str">
        <f>IF(Associates_Call_List_PQ!P791="","",Associates_Call_List_PQ!P791)</f>
        <v>N</v>
      </c>
      <c r="Q791" s="57">
        <f>IF(Associates_Call_List_PQ!Q791="","",Associates_Call_List_PQ!Q791)</f>
        <v>45961</v>
      </c>
      <c r="R791" s="57" t="str">
        <f>IF(Associates_Call_List_PQ!R791="","",Associates_Call_List_PQ!R791)</f>
        <v>Multiple ACC Complaints (2023 and 2024)</v>
      </c>
      <c r="S791" s="57" t="str">
        <f>IF(Associates_Call_List_PQ!S791="","",Associates_Call_List_PQ!S791)</f>
        <v/>
      </c>
      <c r="T791" s="57" t="str">
        <f>IF(Associates_Call_List_PQ!T791="","",Associates_Call_List_PQ!T791)</f>
        <v/>
      </c>
      <c r="U791" s="57" t="str">
        <f>IF(Associates_Call_List_PQ!U791="","",Associates_Call_List_PQ!U791)</f>
        <v/>
      </c>
      <c r="V791" s="68"/>
      <c r="W791" s="68" t="s">
        <v>5432</v>
      </c>
      <c r="X791" s="68"/>
      <c r="Y791" s="68"/>
      <c r="Z791" s="72"/>
    </row>
    <row r="792" spans="1:26">
      <c r="A792" s="71">
        <f>IFERROR(Associates_Call_List_PQ!A792,"")</f>
        <v>45918</v>
      </c>
      <c r="B792" s="57" t="str">
        <f>IF(Associates_Call_List_PQ!B792="","",Associates_Call_List_PQ!B792)</f>
        <v>Munson</v>
      </c>
      <c r="C792" s="57" t="str">
        <f>IF(Associates_Call_List_PQ!C792="","",Associates_Call_List_PQ!C792)</f>
        <v>Julie</v>
      </c>
      <c r="D792" s="57" t="str">
        <f>IF(Associates_Call_List_PQ!D792="","",Associates_Call_List_PQ!D792)</f>
        <v>Show Low</v>
      </c>
      <c r="E792" s="58">
        <f>IF(Associates_Call_List_PQ!E792="","",Associates_Call_List_PQ!E792)</f>
        <v>85901</v>
      </c>
      <c r="F792" s="57" t="str">
        <f>IF(Associates_Call_List_PQ!F792="","",Associates_Call_List_PQ!F792)</f>
        <v>Opposed-Corporate greed</v>
      </c>
      <c r="G792" s="57" t="str">
        <f>IF(Associates_Call_List_PQ!G792="","",Associates_Call_List_PQ!G792)</f>
        <v>https://docket.images.azcc.gov/E000046525.pdf</v>
      </c>
      <c r="H792" s="59" t="str">
        <f>IF(Associates_Call_List_PQ!H792="","",Associates_Call_List_PQ!H792)</f>
        <v xml:space="preserve">7765620000 </v>
      </c>
      <c r="I792" s="57" t="str">
        <f>IF(Associates_Call_List_PQ!I792="","",Associates_Call_List_PQ!I792)</f>
        <v>R-XS</v>
      </c>
      <c r="J792" s="57" t="str">
        <f>IF(Associates_Call_List_PQ!J792="","",Associates_Call_List_PQ!J792)</f>
        <v>No</v>
      </c>
      <c r="K792" s="57" t="str">
        <f>IF(Associates_Call_List_PQ!K792="","",Associates_Call_List_PQ!K792)</f>
        <v>No</v>
      </c>
      <c r="L792" s="57" t="str">
        <f>IF(Associates_Call_List_PQ!L792="","",Associates_Call_List_PQ!L792)</f>
        <v>Yes</v>
      </c>
      <c r="M792" s="57" t="str">
        <f>IF(Associates_Call_List_PQ!M792="","",Associates_Call_List_PQ!M792)</f>
        <v>No</v>
      </c>
      <c r="N792" s="57" t="str">
        <f>IF(Associates_Call_List_PQ!N792="","",Associates_Call_List_PQ!N792)</f>
        <v>No</v>
      </c>
      <c r="O792" s="57" t="str">
        <f>IF(Associates_Call_List_PQ!O792="","",Associates_Call_List_PQ!O792)</f>
        <v>Yes</v>
      </c>
      <c r="P792" s="57" t="str">
        <f>IF(Associates_Call_List_PQ!P792="","",Associates_Call_List_PQ!P792)</f>
        <v>N</v>
      </c>
      <c r="Q792" s="57">
        <f>IF(Associates_Call_List_PQ!Q792="","",Associates_Call_List_PQ!Q792)</f>
        <v>45961</v>
      </c>
      <c r="R792" s="57" t="str">
        <f>IF(Associates_Call_List_PQ!R792="","",Associates_Call_List_PQ!R792)</f>
        <v/>
      </c>
      <c r="S792" s="57" t="str">
        <f>IF(Associates_Call_List_PQ!S792="","",Associates_Call_List_PQ!S792)</f>
        <v/>
      </c>
      <c r="T792" s="57" t="str">
        <f>IF(Associates_Call_List_PQ!T792="","",Associates_Call_List_PQ!T792)</f>
        <v/>
      </c>
      <c r="U792" s="57" t="str">
        <f>IF(Associates_Call_List_PQ!U792="","",Associates_Call_List_PQ!U792)</f>
        <v/>
      </c>
      <c r="V792" s="68" t="s">
        <v>5433</v>
      </c>
      <c r="W792" s="68">
        <v>46074</v>
      </c>
      <c r="X792" s="68" t="s">
        <v>5405</v>
      </c>
      <c r="Y792" s="68" t="s">
        <v>5461</v>
      </c>
      <c r="Z792" s="101" t="s">
        <v>5636</v>
      </c>
    </row>
    <row r="793" spans="1:26">
      <c r="A793" s="71">
        <f>IFERROR(Associates_Call_List_PQ!A793,"")</f>
        <v>45918</v>
      </c>
      <c r="B793" s="57" t="str">
        <f>IF(Associates_Call_List_PQ!B793="","",Associates_Call_List_PQ!B793)</f>
        <v>Craft</v>
      </c>
      <c r="C793" s="57" t="str">
        <f>IF(Associates_Call_List_PQ!C793="","",Associates_Call_List_PQ!C793)</f>
        <v>Madeline</v>
      </c>
      <c r="D793" s="57" t="str">
        <f>IF(Associates_Call_List_PQ!D793="","",Associates_Call_List_PQ!D793)</f>
        <v>Goodyear</v>
      </c>
      <c r="E793" s="58">
        <f>IF(Associates_Call_List_PQ!E793="","",Associates_Call_List_PQ!E793)</f>
        <v>85338</v>
      </c>
      <c r="F793" s="57" t="str">
        <f>IF(Associates_Call_List_PQ!F793="","",Associates_Call_List_PQ!F793)</f>
        <v xml:space="preserve">Opposed-Ridiculous for such a large company </v>
      </c>
      <c r="G793" s="57" t="str">
        <f>IF(Associates_Call_List_PQ!G793="","",Associates_Call_List_PQ!G793)</f>
        <v>https://docket.images.azcc.gov/E000046525.pdf</v>
      </c>
      <c r="H793" s="59" t="str">
        <f>IF(Associates_Call_List_PQ!H793="","",Associates_Call_List_PQ!H793)</f>
        <v xml:space="preserve">9868436686 </v>
      </c>
      <c r="I793" s="57" t="str">
        <f>IF(Associates_Call_List_PQ!I793="","",Associates_Call_List_PQ!I793)</f>
        <v>R-BASIC</v>
      </c>
      <c r="J793" s="57" t="str">
        <f>IF(Associates_Call_List_PQ!J793="","",Associates_Call_List_PQ!J793)</f>
        <v>No</v>
      </c>
      <c r="K793" s="57" t="str">
        <f>IF(Associates_Call_List_PQ!K793="","",Associates_Call_List_PQ!K793)</f>
        <v>No</v>
      </c>
      <c r="L793" s="57" t="str">
        <f>IF(Associates_Call_List_PQ!L793="","",Associates_Call_List_PQ!L793)</f>
        <v>Yes</v>
      </c>
      <c r="M793" s="57" t="str">
        <f>IF(Associates_Call_List_PQ!M793="","",Associates_Call_List_PQ!M793)</f>
        <v>No</v>
      </c>
      <c r="N793" s="57" t="str">
        <f>IF(Associates_Call_List_PQ!N793="","",Associates_Call_List_PQ!N793)</f>
        <v>No</v>
      </c>
      <c r="O793" s="57" t="str">
        <f>IF(Associates_Call_List_PQ!O793="","",Associates_Call_List_PQ!O793)</f>
        <v>Yes</v>
      </c>
      <c r="P793" s="57" t="str">
        <f>IF(Associates_Call_List_PQ!P793="","",Associates_Call_List_PQ!P793)</f>
        <v>N</v>
      </c>
      <c r="Q793" s="57">
        <f>IF(Associates_Call_List_PQ!Q793="","",Associates_Call_List_PQ!Q793)</f>
        <v>45961</v>
      </c>
      <c r="R793" s="57" t="str">
        <f>IF(Associates_Call_List_PQ!R793="","",Associates_Call_List_PQ!R793)</f>
        <v/>
      </c>
      <c r="S793" s="57" t="str">
        <f>IF(Associates_Call_List_PQ!S793="","",Associates_Call_List_PQ!S793)</f>
        <v/>
      </c>
      <c r="T793" s="57" t="str">
        <f>IF(Associates_Call_List_PQ!T793="","",Associates_Call_List_PQ!T793)</f>
        <v/>
      </c>
      <c r="U793" s="57" t="str">
        <f>IF(Associates_Call_List_PQ!U793="","",Associates_Call_List_PQ!U793)</f>
        <v/>
      </c>
      <c r="V793" s="68"/>
      <c r="W793" s="68" t="s">
        <v>5432</v>
      </c>
      <c r="X793" s="68"/>
      <c r="Y793" s="68"/>
      <c r="Z793" s="72"/>
    </row>
    <row r="794" spans="1:26">
      <c r="A794" s="71">
        <f>IFERROR(Associates_Call_List_PQ!A794,"")</f>
        <v>45918</v>
      </c>
      <c r="B794" s="57" t="str">
        <f>IF(Associates_Call_List_PQ!B794="","",Associates_Call_List_PQ!B794)</f>
        <v>Lopardo</v>
      </c>
      <c r="C794" s="57" t="str">
        <f>IF(Associates_Call_List_PQ!C794="","",Associates_Call_List_PQ!C794)</f>
        <v>Corinna</v>
      </c>
      <c r="D794" s="57" t="str">
        <f>IF(Associates_Call_List_PQ!D794="","",Associates_Call_List_PQ!D794)</f>
        <v>Litchfield Park</v>
      </c>
      <c r="E794" s="58">
        <f>IF(Associates_Call_List_PQ!E794="","",Associates_Call_List_PQ!E794)</f>
        <v>85340</v>
      </c>
      <c r="F794" s="57" t="str">
        <f>IF(Associates_Call_List_PQ!F794="","",Associates_Call_List_PQ!F794)</f>
        <v>Form letter</v>
      </c>
      <c r="G794" s="57" t="str">
        <f>IF(Associates_Call_List_PQ!G794="","",Associates_Call_List_PQ!G794)</f>
        <v>https://docket.images.azcc.gov/E000046525.pdf</v>
      </c>
      <c r="H794" s="59" t="str">
        <f>IF(Associates_Call_List_PQ!H794="","",Associates_Call_List_PQ!H794)</f>
        <v xml:space="preserve">6906826313 </v>
      </c>
      <c r="I794" s="57" t="str">
        <f>IF(Associates_Call_List_PQ!I794="","",Associates_Call_List_PQ!I794)</f>
        <v>RTOUE47</v>
      </c>
      <c r="J794" s="57" t="str">
        <f>IF(Associates_Call_List_PQ!J794="","",Associates_Call_List_PQ!J794)</f>
        <v>No</v>
      </c>
      <c r="K794" s="57" t="str">
        <f>IF(Associates_Call_List_PQ!K794="","",Associates_Call_List_PQ!K794)</f>
        <v>No</v>
      </c>
      <c r="L794" s="57" t="str">
        <f>IF(Associates_Call_List_PQ!L794="","",Associates_Call_List_PQ!L794)</f>
        <v>No MEP R3-47 ($13.58)</v>
      </c>
      <c r="M794" s="57" t="str">
        <f>IF(Associates_Call_List_PQ!M794="","",Associates_Call_List_PQ!M794)</f>
        <v>No</v>
      </c>
      <c r="N794" s="57" t="str">
        <f>IF(Associates_Call_List_PQ!N794="","",Associates_Call_List_PQ!N794)</f>
        <v>No</v>
      </c>
      <c r="O794" s="57" t="str">
        <f>IF(Associates_Call_List_PQ!O794="","",Associates_Call_List_PQ!O794)</f>
        <v>Yes</v>
      </c>
      <c r="P794" s="57" t="str">
        <f>IF(Associates_Call_List_PQ!P794="","",Associates_Call_List_PQ!P794)</f>
        <v>N</v>
      </c>
      <c r="Q794" s="57">
        <f>IF(Associates_Call_List_PQ!Q794="","",Associates_Call_List_PQ!Q794)</f>
        <v>45961</v>
      </c>
      <c r="R794" s="57" t="str">
        <f>IF(Associates_Call_List_PQ!R794="","",Associates_Call_List_PQ!R794)</f>
        <v/>
      </c>
      <c r="S794" s="57" t="str">
        <f>IF(Associates_Call_List_PQ!S794="","",Associates_Call_List_PQ!S794)</f>
        <v/>
      </c>
      <c r="T794" s="57" t="str">
        <f>IF(Associates_Call_List_PQ!T794="","",Associates_Call_List_PQ!T794)</f>
        <v/>
      </c>
      <c r="U794" s="57" t="str">
        <f>IF(Associates_Call_List_PQ!U794="","",Associates_Call_List_PQ!U794)</f>
        <v/>
      </c>
      <c r="V794" s="68" t="s">
        <v>5433</v>
      </c>
      <c r="W794" s="68">
        <v>46046</v>
      </c>
      <c r="X794" s="68" t="s">
        <v>5405</v>
      </c>
      <c r="Y794" s="68" t="s">
        <v>5461</v>
      </c>
      <c r="Z794" s="72" t="s">
        <v>5648</v>
      </c>
    </row>
    <row r="795" spans="1:26">
      <c r="A795" s="71">
        <f>IFERROR(Associates_Call_List_PQ!A795,"")</f>
        <v>45918</v>
      </c>
      <c r="B795" s="57" t="str">
        <f>IF(Associates_Call_List_PQ!B795="","",Associates_Call_List_PQ!B795)</f>
        <v>Siers</v>
      </c>
      <c r="C795" s="57" t="str">
        <f>IF(Associates_Call_List_PQ!C795="","",Associates_Call_List_PQ!C795)</f>
        <v>Wade</v>
      </c>
      <c r="D795" s="57" t="str">
        <f>IF(Associates_Call_List_PQ!D795="","",Associates_Call_List_PQ!D795)</f>
        <v>Scottsdale</v>
      </c>
      <c r="E795" s="58">
        <f>IF(Associates_Call_List_PQ!E795="","",Associates_Call_List_PQ!E795)</f>
        <v>85260</v>
      </c>
      <c r="F795" s="57" t="str">
        <f>IF(Associates_Call_List_PQ!F795="","",Associates_Call_List_PQ!F795)</f>
        <v>Opposed-14% appears rather excessive</v>
      </c>
      <c r="G795" s="57" t="str">
        <f>IF(Associates_Call_List_PQ!G795="","",Associates_Call_List_PQ!G795)</f>
        <v>https://docket.images.azcc.gov/E000046525.pdf</v>
      </c>
      <c r="H795" s="59" t="str">
        <f>IF(Associates_Call_List_PQ!H795="","",Associates_Call_List_PQ!H795)</f>
        <v xml:space="preserve">6651001000 </v>
      </c>
      <c r="I795" s="57" t="str">
        <f>IF(Associates_Call_List_PQ!I795="","",Associates_Call_List_PQ!I795)</f>
        <v>R-BASIC</v>
      </c>
      <c r="J795" s="57" t="str">
        <f>IF(Associates_Call_List_PQ!J795="","",Associates_Call_List_PQ!J795)</f>
        <v>No</v>
      </c>
      <c r="K795" s="57" t="str">
        <f>IF(Associates_Call_List_PQ!K795="","",Associates_Call_List_PQ!K795)</f>
        <v>No</v>
      </c>
      <c r="L795" s="57" t="str">
        <f>IF(Associates_Call_List_PQ!L795="","",Associates_Call_List_PQ!L795)</f>
        <v>Yes</v>
      </c>
      <c r="M795" s="57" t="str">
        <f>IF(Associates_Call_List_PQ!M795="","",Associates_Call_List_PQ!M795)</f>
        <v>No</v>
      </c>
      <c r="N795" s="57" t="str">
        <f>IF(Associates_Call_List_PQ!N795="","",Associates_Call_List_PQ!N795)</f>
        <v>No</v>
      </c>
      <c r="O795" s="57" t="str">
        <f>IF(Associates_Call_List_PQ!O795="","",Associates_Call_List_PQ!O795)</f>
        <v>Yes</v>
      </c>
      <c r="P795" s="57" t="str">
        <f>IF(Associates_Call_List_PQ!P795="","",Associates_Call_List_PQ!P795)</f>
        <v>N</v>
      </c>
      <c r="Q795" s="57">
        <f>IF(Associates_Call_List_PQ!Q795="","",Associates_Call_List_PQ!Q795)</f>
        <v>45960</v>
      </c>
      <c r="R795" s="57" t="str">
        <f>IF(Associates_Call_List_PQ!R795="","",Associates_Call_List_PQ!R795)</f>
        <v/>
      </c>
      <c r="S795" s="57" t="str">
        <f>IF(Associates_Call_List_PQ!S795="","",Associates_Call_List_PQ!S795)</f>
        <v/>
      </c>
      <c r="T795" s="57" t="str">
        <f>IF(Associates_Call_List_PQ!T795="","",Associates_Call_List_PQ!T795)</f>
        <v/>
      </c>
      <c r="U795" s="57" t="str">
        <f>IF(Associates_Call_List_PQ!U795="","",Associates_Call_List_PQ!U795)</f>
        <v/>
      </c>
      <c r="V795" s="68"/>
      <c r="W795" s="68" t="s">
        <v>5432</v>
      </c>
      <c r="X795" s="68"/>
      <c r="Y795" s="68"/>
      <c r="Z795" s="72"/>
    </row>
    <row r="796" spans="1:26">
      <c r="A796" s="71">
        <f>IFERROR(Associates_Call_List_PQ!A796,"")</f>
        <v>45918</v>
      </c>
      <c r="B796" s="57" t="str">
        <f>IF(Associates_Call_List_PQ!B796="","",Associates_Call_List_PQ!B796)</f>
        <v>Boerner</v>
      </c>
      <c r="C796" s="57" t="str">
        <f>IF(Associates_Call_List_PQ!C796="","",Associates_Call_List_PQ!C796)</f>
        <v>Rhonda</v>
      </c>
      <c r="D796" s="57" t="str">
        <f>IF(Associates_Call_List_PQ!D796="","",Associates_Call_List_PQ!D796)</f>
        <v>Goodyear</v>
      </c>
      <c r="E796" s="58">
        <f>IF(Associates_Call_List_PQ!E796="","",Associates_Call_List_PQ!E796)</f>
        <v>85338</v>
      </c>
      <c r="F796" s="57" t="str">
        <f>IF(Associates_Call_List_PQ!F796="","",Associates_Call_List_PQ!F796)</f>
        <v>Opposed-Unfair to residential customers</v>
      </c>
      <c r="G796" s="57" t="str">
        <f>IF(Associates_Call_List_PQ!G796="","",Associates_Call_List_PQ!G796)</f>
        <v>https://docket.images.azcc.gov/E000046525.pdf</v>
      </c>
      <c r="H796" s="59" t="str">
        <f>IF(Associates_Call_List_PQ!H796="","",Associates_Call_List_PQ!H796)</f>
        <v xml:space="preserve">0454456361 </v>
      </c>
      <c r="I796" s="57" t="str">
        <f>IF(Associates_Call_List_PQ!I796="","",Associates_Call_List_PQ!I796)</f>
        <v>EPR-6w/E-12</v>
      </c>
      <c r="J796" s="57" t="str">
        <f>IF(Associates_Call_List_PQ!J796="","",Associates_Call_List_PQ!J796)</f>
        <v>No</v>
      </c>
      <c r="K796" s="57" t="str">
        <f>IF(Associates_Call_List_PQ!K796="","",Associates_Call_List_PQ!K796)</f>
        <v>No</v>
      </c>
      <c r="L796" s="57" t="str">
        <f>IF(Associates_Call_List_PQ!L796="","",Associates_Call_List_PQ!L796)</f>
        <v>Frozen Rate</v>
      </c>
      <c r="M796" s="57" t="str">
        <f>IF(Associates_Call_List_PQ!M796="","",Associates_Call_List_PQ!M796)</f>
        <v>No</v>
      </c>
      <c r="N796" s="57" t="str">
        <f>IF(Associates_Call_List_PQ!N796="","",Associates_Call_List_PQ!N796)</f>
        <v>No</v>
      </c>
      <c r="O796" s="57" t="str">
        <f>IF(Associates_Call_List_PQ!O796="","",Associates_Call_List_PQ!O796)</f>
        <v>Yes</v>
      </c>
      <c r="P796" s="57" t="str">
        <f>IF(Associates_Call_List_PQ!P796="","",Associates_Call_List_PQ!P796)</f>
        <v>N</v>
      </c>
      <c r="Q796" s="57">
        <f>IF(Associates_Call_List_PQ!Q796="","",Associates_Call_List_PQ!Q796)</f>
        <v>45960</v>
      </c>
      <c r="R796" s="57" t="str">
        <f>IF(Associates_Call_List_PQ!R796="","",Associates_Call_List_PQ!R796)</f>
        <v/>
      </c>
      <c r="S796" s="57" t="str">
        <f>IF(Associates_Call_List_PQ!S796="","",Associates_Call_List_PQ!S796)</f>
        <v/>
      </c>
      <c r="T796" s="57" t="str">
        <f>IF(Associates_Call_List_PQ!T796="","",Associates_Call_List_PQ!T796)</f>
        <v/>
      </c>
      <c r="U796" s="57" t="str">
        <f>IF(Associates_Call_List_PQ!U796="","",Associates_Call_List_PQ!U796)</f>
        <v/>
      </c>
      <c r="V796" s="68" t="s">
        <v>5433</v>
      </c>
      <c r="W796" s="68">
        <v>46074</v>
      </c>
      <c r="X796" s="68" t="s">
        <v>5434</v>
      </c>
      <c r="Y796" s="68"/>
      <c r="Z796" s="72" t="s">
        <v>5547</v>
      </c>
    </row>
    <row r="797" spans="1:26">
      <c r="A797" s="71">
        <f>IFERROR(Associates_Call_List_PQ!A797,"")</f>
        <v>45918</v>
      </c>
      <c r="B797" s="57" t="str">
        <f>IF(Associates_Call_List_PQ!B797="","",Associates_Call_List_PQ!B797)</f>
        <v>Zamudio</v>
      </c>
      <c r="C797" s="57" t="str">
        <f>IF(Associates_Call_List_PQ!C797="","",Associates_Call_List_PQ!C797)</f>
        <v>Alejandro</v>
      </c>
      <c r="D797" s="57" t="str">
        <f>IF(Associates_Call_List_PQ!D797="","",Associates_Call_List_PQ!D797)</f>
        <v>Phoenix</v>
      </c>
      <c r="E797" s="58">
        <f>IF(Associates_Call_List_PQ!E797="","",Associates_Call_List_PQ!E797)</f>
        <v>85029</v>
      </c>
      <c r="F797" s="57" t="str">
        <f>IF(Associates_Call_List_PQ!F797="","",Associates_Call_List_PQ!F797)</f>
        <v>Opposed- Unacceptable and unreasonable</v>
      </c>
      <c r="G797" s="57" t="str">
        <f>IF(Associates_Call_List_PQ!G797="","",Associates_Call_List_PQ!G797)</f>
        <v>https://docket.images.azcc.gov/E000046525.pdf</v>
      </c>
      <c r="H797" s="59" t="str">
        <f>IF(Associates_Call_List_PQ!H797="","",Associates_Call_List_PQ!H797)</f>
        <v xml:space="preserve">4738111000 </v>
      </c>
      <c r="I797" s="57" t="str">
        <f>IF(Associates_Call_List_PQ!I797="","",Associates_Call_List_PQ!I797)</f>
        <v>RCPw/RTOUE47</v>
      </c>
      <c r="J797" s="57" t="str">
        <f>IF(Associates_Call_List_PQ!J797="","",Associates_Call_List_PQ!J797)</f>
        <v>No</v>
      </c>
      <c r="K797" s="57" t="str">
        <f>IF(Associates_Call_List_PQ!K797="","",Associates_Call_List_PQ!K797)</f>
        <v>No</v>
      </c>
      <c r="L797" s="57" t="str">
        <f>IF(Associates_Call_List_PQ!L797="","",Associates_Call_List_PQ!L797)</f>
        <v>Yes</v>
      </c>
      <c r="M797" s="57" t="str">
        <f>IF(Associates_Call_List_PQ!M797="","",Associates_Call_List_PQ!M797)</f>
        <v>No</v>
      </c>
      <c r="N797" s="57" t="str">
        <f>IF(Associates_Call_List_PQ!N797="","",Associates_Call_List_PQ!N797)</f>
        <v>No</v>
      </c>
      <c r="O797" s="57" t="str">
        <f>IF(Associates_Call_List_PQ!O797="","",Associates_Call_List_PQ!O797)</f>
        <v>Yes</v>
      </c>
      <c r="P797" s="57" t="str">
        <f>IF(Associates_Call_List_PQ!P797="","",Associates_Call_List_PQ!P797)</f>
        <v>N</v>
      </c>
      <c r="Q797" s="57">
        <f>IF(Associates_Call_List_PQ!Q797="","",Associates_Call_List_PQ!Q797)</f>
        <v>45960</v>
      </c>
      <c r="R797" s="57" t="str">
        <f>IF(Associates_Call_List_PQ!R797="","",Associates_Call_List_PQ!R797)</f>
        <v/>
      </c>
      <c r="S797" s="57" t="str">
        <f>IF(Associates_Call_List_PQ!S797="","",Associates_Call_List_PQ!S797)</f>
        <v/>
      </c>
      <c r="T797" s="57" t="str">
        <f>IF(Associates_Call_List_PQ!T797="","",Associates_Call_List_PQ!T797)</f>
        <v/>
      </c>
      <c r="U797" s="57" t="str">
        <f>IF(Associates_Call_List_PQ!U797="","",Associates_Call_List_PQ!U797)</f>
        <v/>
      </c>
      <c r="V797" s="68"/>
      <c r="W797" s="68" t="s">
        <v>5432</v>
      </c>
      <c r="X797" s="68"/>
      <c r="Y797" s="68"/>
      <c r="Z797" s="72"/>
    </row>
    <row r="798" spans="1:26">
      <c r="A798" s="71">
        <f>IFERROR(Associates_Call_List_PQ!A798,"")</f>
        <v>45918</v>
      </c>
      <c r="B798" s="57" t="str">
        <f>IF(Associates_Call_List_PQ!B798="","",Associates_Call_List_PQ!B798)</f>
        <v>Ducar</v>
      </c>
      <c r="C798" s="57" t="str">
        <f>IF(Associates_Call_List_PQ!C798="","",Associates_Call_List_PQ!C798)</f>
        <v>Christopher</v>
      </c>
      <c r="D798" s="57" t="str">
        <f>IF(Associates_Call_List_PQ!D798="","",Associates_Call_List_PQ!D798)</f>
        <v>Phoenix</v>
      </c>
      <c r="E798" s="58">
        <f>IF(Associates_Call_List_PQ!E798="","",Associates_Call_List_PQ!E798)</f>
        <v>85053</v>
      </c>
      <c r="F798" s="57" t="str">
        <f>IF(Associates_Call_List_PQ!F798="","",Associates_Call_List_PQ!F798)</f>
        <v>Outraged the commission would even consider this</v>
      </c>
      <c r="G798" s="57" t="str">
        <f>IF(Associates_Call_List_PQ!G798="","",Associates_Call_List_PQ!G798)</f>
        <v>https://docket.images.azcc.gov/E000046525.pdf</v>
      </c>
      <c r="H798" s="59" t="str">
        <f>IF(Associates_Call_List_PQ!H798="","",Associates_Call_List_PQ!H798)</f>
        <v xml:space="preserve">0440430000 </v>
      </c>
      <c r="I798" s="57" t="str">
        <f>IF(Associates_Call_List_PQ!I798="","",Associates_Call_List_PQ!I798)</f>
        <v>R3-47</v>
      </c>
      <c r="J798" s="57" t="str">
        <f>IF(Associates_Call_List_PQ!J798="","",Associates_Call_List_PQ!J798)</f>
        <v>No</v>
      </c>
      <c r="K798" s="57" t="str">
        <f>IF(Associates_Call_List_PQ!K798="","",Associates_Call_List_PQ!K798)</f>
        <v>No</v>
      </c>
      <c r="L798" s="57" t="str">
        <f>IF(Associates_Call_List_PQ!L798="","",Associates_Call_List_PQ!L798)</f>
        <v>Yes</v>
      </c>
      <c r="M798" s="57" t="str">
        <f>IF(Associates_Call_List_PQ!M798="","",Associates_Call_List_PQ!M798)</f>
        <v>No</v>
      </c>
      <c r="N798" s="57" t="str">
        <f>IF(Associates_Call_List_PQ!N798="","",Associates_Call_List_PQ!N798)</f>
        <v>No</v>
      </c>
      <c r="O798" s="57" t="str">
        <f>IF(Associates_Call_List_PQ!O798="","",Associates_Call_List_PQ!O798)</f>
        <v>Yes</v>
      </c>
      <c r="P798" s="57" t="str">
        <f>IF(Associates_Call_List_PQ!P798="","",Associates_Call_List_PQ!P798)</f>
        <v>N</v>
      </c>
      <c r="Q798" s="57">
        <f>IF(Associates_Call_List_PQ!Q798="","",Associates_Call_List_PQ!Q798)</f>
        <v>45960</v>
      </c>
      <c r="R798" s="57" t="str">
        <f>IF(Associates_Call_List_PQ!R798="","",Associates_Call_List_PQ!R798)</f>
        <v/>
      </c>
      <c r="S798" s="57" t="str">
        <f>IF(Associates_Call_List_PQ!S798="","",Associates_Call_List_PQ!S798)</f>
        <v/>
      </c>
      <c r="T798" s="57" t="str">
        <f>IF(Associates_Call_List_PQ!T798="","",Associates_Call_List_PQ!T798)</f>
        <v/>
      </c>
      <c r="U798" s="57" t="str">
        <f>IF(Associates_Call_List_PQ!U798="","",Associates_Call_List_PQ!U798)</f>
        <v/>
      </c>
      <c r="V798" s="68" t="s">
        <v>5433</v>
      </c>
      <c r="W798" s="68">
        <v>46074</v>
      </c>
      <c r="X798" s="68" t="s">
        <v>5434</v>
      </c>
      <c r="Y798" s="68"/>
      <c r="Z798" s="72" t="s">
        <v>5547</v>
      </c>
    </row>
    <row r="799" spans="1:26">
      <c r="A799" s="71">
        <f>IFERROR(Associates_Call_List_PQ!A799,"")</f>
        <v>45918</v>
      </c>
      <c r="B799" s="57" t="str">
        <f>IF(Associates_Call_List_PQ!B799="","",Associates_Call_List_PQ!B799)</f>
        <v>Sept</v>
      </c>
      <c r="C799" s="57" t="str">
        <f>IF(Associates_Call_List_PQ!C799="","",Associates_Call_List_PQ!C799)</f>
        <v>Michael</v>
      </c>
      <c r="D799" s="57" t="str">
        <f>IF(Associates_Call_List_PQ!D799="","",Associates_Call_List_PQ!D799)</f>
        <v>Goodyear</v>
      </c>
      <c r="E799" s="58">
        <f>IF(Associates_Call_List_PQ!E799="","",Associates_Call_List_PQ!E799)</f>
        <v>85338</v>
      </c>
      <c r="F799" s="57" t="str">
        <f>IF(Associates_Call_List_PQ!F799="","",Associates_Call_List_PQ!F799)</f>
        <v>Opposed-Monopoly</v>
      </c>
      <c r="G799" s="57" t="str">
        <f>IF(Associates_Call_List_PQ!G799="","",Associates_Call_List_PQ!G799)</f>
        <v>https://docket.images.azcc.gov/E000046525.pdf</v>
      </c>
      <c r="H799" s="59" t="str">
        <f>IF(Associates_Call_List_PQ!H799="","",Associates_Call_List_PQ!H799)</f>
        <v xml:space="preserve">0454456361 </v>
      </c>
      <c r="I799" s="57" t="str">
        <f>IF(Associates_Call_List_PQ!I799="","",Associates_Call_List_PQ!I799)</f>
        <v>EPR-6w/E-12</v>
      </c>
      <c r="J799" s="57" t="str">
        <f>IF(Associates_Call_List_PQ!J799="","",Associates_Call_List_PQ!J799)</f>
        <v>No</v>
      </c>
      <c r="K799" s="57" t="str">
        <f>IF(Associates_Call_List_PQ!K799="","",Associates_Call_List_PQ!K799)</f>
        <v>No</v>
      </c>
      <c r="L799" s="57" t="str">
        <f>IF(Associates_Call_List_PQ!L799="","",Associates_Call_List_PQ!L799)</f>
        <v>Frozen Rate</v>
      </c>
      <c r="M799" s="57" t="str">
        <f>IF(Associates_Call_List_PQ!M799="","",Associates_Call_List_PQ!M799)</f>
        <v>No</v>
      </c>
      <c r="N799" s="57" t="str">
        <f>IF(Associates_Call_List_PQ!N799="","",Associates_Call_List_PQ!N799)</f>
        <v>No</v>
      </c>
      <c r="O799" s="57" t="str">
        <f>IF(Associates_Call_List_PQ!O799="","",Associates_Call_List_PQ!O799)</f>
        <v>Yes</v>
      </c>
      <c r="P799" s="57" t="str">
        <f>IF(Associates_Call_List_PQ!P799="","",Associates_Call_List_PQ!P799)</f>
        <v>N</v>
      </c>
      <c r="Q799" s="57">
        <f>IF(Associates_Call_List_PQ!Q799="","",Associates_Call_List_PQ!Q799)</f>
        <v>45960</v>
      </c>
      <c r="R799" s="57" t="str">
        <f>IF(Associates_Call_List_PQ!R799="","",Associates_Call_List_PQ!R799)</f>
        <v/>
      </c>
      <c r="S799" s="57" t="str">
        <f>IF(Associates_Call_List_PQ!S799="","",Associates_Call_List_PQ!S799)</f>
        <v/>
      </c>
      <c r="T799" s="57" t="str">
        <f>IF(Associates_Call_List_PQ!T799="","",Associates_Call_List_PQ!T799)</f>
        <v/>
      </c>
      <c r="U799" s="57" t="str">
        <f>IF(Associates_Call_List_PQ!U799="","",Associates_Call_List_PQ!U799)</f>
        <v/>
      </c>
      <c r="V799" s="68"/>
      <c r="W799" s="68" t="s">
        <v>5432</v>
      </c>
      <c r="X799" s="68"/>
      <c r="Y799" s="68"/>
      <c r="Z799" s="72"/>
    </row>
    <row r="800" spans="1:26">
      <c r="A800" s="71">
        <f>IFERROR(Associates_Call_List_PQ!A800,"")</f>
        <v>45918</v>
      </c>
      <c r="B800" s="57" t="str">
        <f>IF(Associates_Call_List_PQ!B800="","",Associates_Call_List_PQ!B800)</f>
        <v>Vandenberg</v>
      </c>
      <c r="C800" s="57" t="str">
        <f>IF(Associates_Call_List_PQ!C800="","",Associates_Call_List_PQ!C800)</f>
        <v>Taylor</v>
      </c>
      <c r="D800" s="57" t="str">
        <f>IF(Associates_Call_List_PQ!D800="","",Associates_Call_List_PQ!D800)</f>
        <v>Phoenix</v>
      </c>
      <c r="E800" s="58">
        <f>IF(Associates_Call_List_PQ!E800="","",Associates_Call_List_PQ!E800)</f>
        <v>85013</v>
      </c>
      <c r="F800" s="57" t="str">
        <f>IF(Associates_Call_List_PQ!F800="","",Associates_Call_List_PQ!F800)</f>
        <v>Opposed-Terrible idea for Arizonans</v>
      </c>
      <c r="G800" s="57" t="str">
        <f>IF(Associates_Call_List_PQ!G800="","",Associates_Call_List_PQ!G800)</f>
        <v>https://docket.images.azcc.gov/E000046525.pdf</v>
      </c>
      <c r="H800" s="59" t="str">
        <f>IF(Associates_Call_List_PQ!H800="","",Associates_Call_List_PQ!H800)</f>
        <v xml:space="preserve">4573855715 </v>
      </c>
      <c r="I800" s="57" t="str">
        <f>IF(Associates_Call_List_PQ!I800="","",Associates_Call_List_PQ!I800)</f>
        <v>RTOUE47</v>
      </c>
      <c r="J800" s="57" t="str">
        <f>IF(Associates_Call_List_PQ!J800="","",Associates_Call_List_PQ!J800)</f>
        <v>No</v>
      </c>
      <c r="K800" s="57" t="str">
        <f>IF(Associates_Call_List_PQ!K800="","",Associates_Call_List_PQ!K800)</f>
        <v>No</v>
      </c>
      <c r="L800" s="57" t="str">
        <f>IF(Associates_Call_List_PQ!L800="","",Associates_Call_List_PQ!L800)</f>
        <v>No MEP R3-47(175.40)</v>
      </c>
      <c r="M800" s="57" t="str">
        <f>IF(Associates_Call_List_PQ!M800="","",Associates_Call_List_PQ!M800)</f>
        <v>Yes</v>
      </c>
      <c r="N800" s="57">
        <f>IF(Associates_Call_List_PQ!N800="","",Associates_Call_List_PQ!N800)</f>
        <v>349.63</v>
      </c>
      <c r="O800" s="57" t="str">
        <f>IF(Associates_Call_List_PQ!O800="","",Associates_Call_List_PQ!O800)</f>
        <v>Yes</v>
      </c>
      <c r="P800" s="57" t="str">
        <f>IF(Associates_Call_List_PQ!P800="","",Associates_Call_List_PQ!P800)</f>
        <v/>
      </c>
      <c r="Q800" s="57">
        <f>IF(Associates_Call_List_PQ!Q800="","",Associates_Call_List_PQ!Q800)</f>
        <v>45960</v>
      </c>
      <c r="R800" s="57" t="str">
        <f>IF(Associates_Call_List_PQ!R800="","",Associates_Call_List_PQ!R800)</f>
        <v>Assistance?</v>
      </c>
      <c r="S800" s="57" t="str">
        <f>IF(Associates_Call_List_PQ!S800="","",Associates_Call_List_PQ!S800)</f>
        <v/>
      </c>
      <c r="T800" s="57" t="str">
        <f>IF(Associates_Call_List_PQ!T800="","",Associates_Call_List_PQ!T800)</f>
        <v/>
      </c>
      <c r="U800" s="57" t="str">
        <f>IF(Associates_Call_List_PQ!U800="","",Associates_Call_List_PQ!U800)</f>
        <v/>
      </c>
      <c r="V800" s="68" t="s">
        <v>5433</v>
      </c>
      <c r="W800" s="68">
        <v>45997</v>
      </c>
      <c r="X800" s="68" t="s">
        <v>5434</v>
      </c>
      <c r="Y800" s="68"/>
      <c r="Z800" s="72" t="s">
        <v>5485</v>
      </c>
    </row>
    <row r="801" spans="1:26">
      <c r="A801" s="71">
        <f>IFERROR(Associates_Call_List_PQ!A801,"")</f>
        <v>45918</v>
      </c>
      <c r="B801" s="57" t="str">
        <f>IF(Associates_Call_List_PQ!B801="","",Associates_Call_List_PQ!B801)</f>
        <v>Downing</v>
      </c>
      <c r="C801" s="57" t="str">
        <f>IF(Associates_Call_List_PQ!C801="","",Associates_Call_List_PQ!C801)</f>
        <v>Douglas</v>
      </c>
      <c r="D801" s="57" t="str">
        <f>IF(Associates_Call_List_PQ!D801="","",Associates_Call_List_PQ!D801)</f>
        <v>Scottsdale</v>
      </c>
      <c r="E801" s="58">
        <f>IF(Associates_Call_List_PQ!E801="","",Associates_Call_List_PQ!E801)</f>
        <v>85260</v>
      </c>
      <c r="F801" s="57" t="str">
        <f>IF(Associates_Call_List_PQ!F801="","",Associates_Call_List_PQ!F801)</f>
        <v>Opposed-increase is 4X higher than prevailing inflation</v>
      </c>
      <c r="G801" s="57" t="str">
        <f>IF(Associates_Call_List_PQ!G801="","",Associates_Call_List_PQ!G801)</f>
        <v>https://docket.images.azcc.gov/E000046525.pdf</v>
      </c>
      <c r="H801" s="59" t="str">
        <f>IF(Associates_Call_List_PQ!H801="","",Associates_Call_List_PQ!H801)</f>
        <v>2235600000 </v>
      </c>
      <c r="I801" s="57" t="str">
        <f>IF(Associates_Call_List_PQ!I801="","",Associates_Call_List_PQ!I801)</f>
        <v>R-XS</v>
      </c>
      <c r="J801" s="57" t="str">
        <f>IF(Associates_Call_List_PQ!J801="","",Associates_Call_List_PQ!J801)</f>
        <v>No</v>
      </c>
      <c r="K801" s="57" t="str">
        <f>IF(Associates_Call_List_PQ!K801="","",Associates_Call_List_PQ!K801)</f>
        <v>No</v>
      </c>
      <c r="L801" s="57" t="str">
        <f>IF(Associates_Call_List_PQ!L801="","",Associates_Call_List_PQ!L801)</f>
        <v>Yes</v>
      </c>
      <c r="M801" s="57" t="str">
        <f>IF(Associates_Call_List_PQ!M801="","",Associates_Call_List_PQ!M801)</f>
        <v>No</v>
      </c>
      <c r="N801" s="57" t="str">
        <f>IF(Associates_Call_List_PQ!N801="","",Associates_Call_List_PQ!N801)</f>
        <v>No</v>
      </c>
      <c r="O801" s="57" t="str">
        <f>IF(Associates_Call_List_PQ!O801="","",Associates_Call_List_PQ!O801)</f>
        <v>Yes</v>
      </c>
      <c r="P801" s="57" t="str">
        <f>IF(Associates_Call_List_PQ!P801="","",Associates_Call_List_PQ!P801)</f>
        <v>N</v>
      </c>
      <c r="Q801" s="57">
        <f>IF(Associates_Call_List_PQ!Q801="","",Associates_Call_List_PQ!Q801)</f>
        <v>45960</v>
      </c>
      <c r="R801" s="57" t="str">
        <f>IF(Associates_Call_List_PQ!R801="","",Associates_Call_List_PQ!R801)</f>
        <v/>
      </c>
      <c r="S801" s="57" t="str">
        <f>IF(Associates_Call_List_PQ!S801="","",Associates_Call_List_PQ!S801)</f>
        <v/>
      </c>
      <c r="T801" s="57" t="str">
        <f>IF(Associates_Call_List_PQ!T801="","",Associates_Call_List_PQ!T801)</f>
        <v/>
      </c>
      <c r="U801" s="57" t="str">
        <f>IF(Associates_Call_List_PQ!U801="","",Associates_Call_List_PQ!U801)</f>
        <v/>
      </c>
      <c r="V801" s="68"/>
      <c r="W801" s="68" t="s">
        <v>5432</v>
      </c>
      <c r="X801" s="68"/>
      <c r="Y801" s="68"/>
      <c r="Z801" s="72"/>
    </row>
    <row r="802" spans="1:26">
      <c r="A802" s="71">
        <f>IFERROR(Associates_Call_List_PQ!A802,"")</f>
        <v>45918</v>
      </c>
      <c r="B802" s="57" t="str">
        <f>IF(Associates_Call_List_PQ!B802="","",Associates_Call_List_PQ!B802)</f>
        <v>Marinero</v>
      </c>
      <c r="C802" s="57" t="str">
        <f>IF(Associates_Call_List_PQ!C802="","",Associates_Call_List_PQ!C802)</f>
        <v>Walter</v>
      </c>
      <c r="D802" s="57" t="str">
        <f>IF(Associates_Call_List_PQ!D802="","",Associates_Call_List_PQ!D802)</f>
        <v>Buckeye</v>
      </c>
      <c r="E802" s="58">
        <f>IF(Associates_Call_List_PQ!E802="","",Associates_Call_List_PQ!E802)</f>
        <v>85396</v>
      </c>
      <c r="F802" s="57" t="str">
        <f>IF(Associates_Call_List_PQ!F802="","",Associates_Call_List_PQ!F802)</f>
        <v xml:space="preserve">Strongly Opposed- Undue and unsustainable financial burden </v>
      </c>
      <c r="G802" s="57" t="str">
        <f>IF(Associates_Call_List_PQ!G802="","",Associates_Call_List_PQ!G802)</f>
        <v>https://docket.images.azcc.gov/E000046525.pdf</v>
      </c>
      <c r="H802" s="59" t="str">
        <f>IF(Associates_Call_List_PQ!H802="","",Associates_Call_List_PQ!H802)</f>
        <v xml:space="preserve">4171727671 </v>
      </c>
      <c r="I802" s="57" t="str">
        <f>IF(Associates_Call_List_PQ!I802="","",Associates_Call_List_PQ!I802)</f>
        <v>RTOUE47</v>
      </c>
      <c r="J802" s="57" t="str">
        <f>IF(Associates_Call_List_PQ!J802="","",Associates_Call_List_PQ!J802)</f>
        <v>No</v>
      </c>
      <c r="K802" s="57" t="str">
        <f>IF(Associates_Call_List_PQ!K802="","",Associates_Call_List_PQ!K802)</f>
        <v>No</v>
      </c>
      <c r="L802" s="57" t="str">
        <f>IF(Associates_Call_List_PQ!L802="","",Associates_Call_List_PQ!L802)</f>
        <v>No MEP R3-47(1039.42)</v>
      </c>
      <c r="M802" s="57" t="str">
        <f>IF(Associates_Call_List_PQ!M802="","",Associates_Call_List_PQ!M802)</f>
        <v>No</v>
      </c>
      <c r="N802" s="57" t="str">
        <f>IF(Associates_Call_List_PQ!N802="","",Associates_Call_List_PQ!N802)</f>
        <v>No</v>
      </c>
      <c r="O802" s="57" t="str">
        <f>IF(Associates_Call_List_PQ!O802="","",Associates_Call_List_PQ!O802)</f>
        <v>Yes</v>
      </c>
      <c r="P802" s="57" t="str">
        <f>IF(Associates_Call_List_PQ!P802="","",Associates_Call_List_PQ!P802)</f>
        <v>N</v>
      </c>
      <c r="Q802" s="57">
        <f>IF(Associates_Call_List_PQ!Q802="","",Associates_Call_List_PQ!Q802)</f>
        <v>45960</v>
      </c>
      <c r="R802" s="57" t="str">
        <f>IF(Associates_Call_List_PQ!R802="","",Associates_Call_List_PQ!R802)</f>
        <v>10/10/2025 Left VM</v>
      </c>
      <c r="S802" s="57" t="str">
        <f>IF(Associates_Call_List_PQ!S802="","",Associates_Call_List_PQ!S802)</f>
        <v/>
      </c>
      <c r="T802" s="57" t="str">
        <f>IF(Associates_Call_List_PQ!T802="","",Associates_Call_List_PQ!T802)</f>
        <v/>
      </c>
      <c r="U802" s="57" t="str">
        <f>IF(Associates_Call_List_PQ!U802="","",Associates_Call_List_PQ!U802)</f>
        <v/>
      </c>
      <c r="V802" s="68" t="s">
        <v>5433</v>
      </c>
      <c r="W802" s="68">
        <v>46053</v>
      </c>
      <c r="X802" s="68" t="s">
        <v>5434</v>
      </c>
      <c r="Y802" s="68"/>
      <c r="Z802" s="72" t="s">
        <v>5599</v>
      </c>
    </row>
    <row r="803" spans="1:26">
      <c r="A803" s="71">
        <f>IFERROR(Associates_Call_List_PQ!A803,"")</f>
        <v>45918</v>
      </c>
      <c r="B803" s="57" t="str">
        <f>IF(Associates_Call_List_PQ!B803="","",Associates_Call_List_PQ!B803)</f>
        <v>Sharley</v>
      </c>
      <c r="C803" s="57" t="str">
        <f>IF(Associates_Call_List_PQ!C803="","",Associates_Call_List_PQ!C803)</f>
        <v>Rachel</v>
      </c>
      <c r="D803" s="57" t="str">
        <f>IF(Associates_Call_List_PQ!D803="","",Associates_Call_List_PQ!D803)</f>
        <v>Litchfield Park</v>
      </c>
      <c r="E803" s="58">
        <f>IF(Associates_Call_List_PQ!E803="","",Associates_Call_List_PQ!E803)</f>
        <v>85340</v>
      </c>
      <c r="F803" s="57" t="str">
        <f>IF(Associates_Call_List_PQ!F803="","",Associates_Call_List_PQ!F803)</f>
        <v>Opposed- Financial burden if passed</v>
      </c>
      <c r="G803" s="57" t="str">
        <f>IF(Associates_Call_List_PQ!G803="","",Associates_Call_List_PQ!G803)</f>
        <v>https://docket.images.azcc.gov/E000046531.pdf</v>
      </c>
      <c r="H803" s="59" t="str">
        <f>IF(Associates_Call_List_PQ!H803="","",Associates_Call_List_PQ!H803)</f>
        <v>0636160358</v>
      </c>
      <c r="I803" s="57" t="str">
        <f>IF(Associates_Call_List_PQ!I803="","",Associates_Call_List_PQ!I803)</f>
        <v>R-XS</v>
      </c>
      <c r="J803" s="57" t="str">
        <f>IF(Associates_Call_List_PQ!J803="","",Associates_Call_List_PQ!J803)</f>
        <v>No</v>
      </c>
      <c r="K803" s="57" t="str">
        <f>IF(Associates_Call_List_PQ!K803="","",Associates_Call_List_PQ!K803)</f>
        <v>No</v>
      </c>
      <c r="L803" s="57" t="str">
        <f>IF(Associates_Call_List_PQ!L803="","",Associates_Call_List_PQ!L803)</f>
        <v>Y</v>
      </c>
      <c r="M803" s="57" t="str">
        <f>IF(Associates_Call_List_PQ!M803="","",Associates_Call_List_PQ!M803)</f>
        <v>No</v>
      </c>
      <c r="N803" s="57" t="str">
        <f>IF(Associates_Call_List_PQ!N803="","",Associates_Call_List_PQ!N803)</f>
        <v>No</v>
      </c>
      <c r="O803" s="57" t="str">
        <f>IF(Associates_Call_List_PQ!O803="","",Associates_Call_List_PQ!O803)</f>
        <v>Yes</v>
      </c>
      <c r="P803" s="57" t="str">
        <f>IF(Associates_Call_List_PQ!P803="","",Associates_Call_List_PQ!P803)</f>
        <v>N</v>
      </c>
      <c r="Q803" s="57">
        <f>IF(Associates_Call_List_PQ!Q803="","",Associates_Call_List_PQ!Q803)</f>
        <v>45960</v>
      </c>
      <c r="R803" s="57" t="str">
        <f>IF(Associates_Call_List_PQ!R803="","",Associates_Call_List_PQ!R803)</f>
        <v/>
      </c>
      <c r="S803" s="57" t="str">
        <f>IF(Associates_Call_List_PQ!S803="","",Associates_Call_List_PQ!S803)</f>
        <v/>
      </c>
      <c r="T803" s="57" t="str">
        <f>IF(Associates_Call_List_PQ!T803="","",Associates_Call_List_PQ!T803)</f>
        <v/>
      </c>
      <c r="U803" s="57" t="str">
        <f>IF(Associates_Call_List_PQ!U803="","",Associates_Call_List_PQ!U803)</f>
        <v/>
      </c>
      <c r="V803" s="68"/>
      <c r="W803" s="68" t="s">
        <v>5432</v>
      </c>
      <c r="X803" s="68"/>
      <c r="Y803" s="68"/>
      <c r="Z803" s="72"/>
    </row>
    <row r="804" spans="1:26">
      <c r="A804" s="71">
        <f>IFERROR(Associates_Call_List_PQ!A804,"")</f>
        <v>45918</v>
      </c>
      <c r="B804" s="57" t="str">
        <f>IF(Associates_Call_List_PQ!B804="","",Associates_Call_List_PQ!B804)</f>
        <v>Post</v>
      </c>
      <c r="C804" s="57" t="str">
        <f>IF(Associates_Call_List_PQ!C804="","",Associates_Call_List_PQ!C804)</f>
        <v>Carol</v>
      </c>
      <c r="D804" s="57" t="str">
        <f>IF(Associates_Call_List_PQ!D804="","",Associates_Call_List_PQ!D804)</f>
        <v>Scottsdale</v>
      </c>
      <c r="E804" s="58">
        <f>IF(Associates_Call_List_PQ!E804="","",Associates_Call_List_PQ!E804)</f>
        <v>85262</v>
      </c>
      <c r="F804" s="57" t="str">
        <f>IF(Associates_Call_List_PQ!F804="","",Associates_Call_List_PQ!F804)</f>
        <v>Opposed- New Mexico bill is cheaper</v>
      </c>
      <c r="G804" s="57" t="str">
        <f>IF(Associates_Call_List_PQ!G804="","",Associates_Call_List_PQ!G804)</f>
        <v>https://docket.images.azcc.gov/E000046531.pdf</v>
      </c>
      <c r="H804" s="59" t="str">
        <f>IF(Associates_Call_List_PQ!H804="","",Associates_Call_List_PQ!H804)</f>
        <v>2829931000</v>
      </c>
      <c r="I804" s="57" t="str">
        <f>IF(Associates_Call_List_PQ!I804="","",Associates_Call_List_PQ!I804)</f>
        <v>RCPw/R-2</v>
      </c>
      <c r="J804" s="57" t="str">
        <f>IF(Associates_Call_List_PQ!J804="","",Associates_Call_List_PQ!J804)</f>
        <v>No</v>
      </c>
      <c r="K804" s="57" t="str">
        <f>IF(Associates_Call_List_PQ!K804="","",Associates_Call_List_PQ!K804)</f>
        <v>No</v>
      </c>
      <c r="L804" s="57" t="str">
        <f>IF(Associates_Call_List_PQ!L804="","",Associates_Call_List_PQ!L804)</f>
        <v>Frozen Rate</v>
      </c>
      <c r="M804" s="57" t="str">
        <f>IF(Associates_Call_List_PQ!M804="","",Associates_Call_List_PQ!M804)</f>
        <v>No</v>
      </c>
      <c r="N804" s="57" t="str">
        <f>IF(Associates_Call_List_PQ!N804="","",Associates_Call_List_PQ!N804)</f>
        <v>No</v>
      </c>
      <c r="O804" s="57" t="str">
        <f>IF(Associates_Call_List_PQ!O804="","",Associates_Call_List_PQ!O804)</f>
        <v>Yes</v>
      </c>
      <c r="P804" s="57" t="str">
        <f>IF(Associates_Call_List_PQ!P804="","",Associates_Call_List_PQ!P804)</f>
        <v>N</v>
      </c>
      <c r="Q804" s="57">
        <f>IF(Associates_Call_List_PQ!Q804="","",Associates_Call_List_PQ!Q804)</f>
        <v>45960</v>
      </c>
      <c r="R804" s="57" t="str">
        <f>IF(Associates_Call_List_PQ!R804="","",Associates_Call_List_PQ!R804)</f>
        <v/>
      </c>
      <c r="S804" s="57" t="str">
        <f>IF(Associates_Call_List_PQ!S804="","",Associates_Call_List_PQ!S804)</f>
        <v/>
      </c>
      <c r="T804" s="57" t="str">
        <f>IF(Associates_Call_List_PQ!T804="","",Associates_Call_List_PQ!T804)</f>
        <v/>
      </c>
      <c r="U804" s="57" t="str">
        <f>IF(Associates_Call_List_PQ!U804="","",Associates_Call_List_PQ!U804)</f>
        <v/>
      </c>
      <c r="V804" s="68" t="s">
        <v>5433</v>
      </c>
      <c r="W804" s="68">
        <v>46074</v>
      </c>
      <c r="X804" s="68" t="s">
        <v>5405</v>
      </c>
      <c r="Y804" s="68" t="s">
        <v>5461</v>
      </c>
      <c r="Z804" s="72"/>
    </row>
    <row r="805" spans="1:26">
      <c r="A805" s="71">
        <f>IFERROR(Associates_Call_List_PQ!A805,"")</f>
        <v>45919</v>
      </c>
      <c r="B805" s="57" t="str">
        <f>IF(Associates_Call_List_PQ!B805="","",Associates_Call_List_PQ!B805)</f>
        <v>Dagerman</v>
      </c>
      <c r="C805" s="57" t="str">
        <f>IF(Associates_Call_List_PQ!C805="","",Associates_Call_List_PQ!C805)</f>
        <v>Justin</v>
      </c>
      <c r="D805" s="57" t="str">
        <f>IF(Associates_Call_List_PQ!D805="","",Associates_Call_List_PQ!D805)</f>
        <v>Phoenix</v>
      </c>
      <c r="E805" s="58">
        <f>IF(Associates_Call_List_PQ!E805="","",Associates_Call_List_PQ!E805)</f>
        <v>85032</v>
      </c>
      <c r="F805" s="57" t="str">
        <f>IF(Associates_Call_List_PQ!F805="","",Associates_Call_List_PQ!F805)</f>
        <v>Opposed-Energy is a necessity not luxury</v>
      </c>
      <c r="G805" s="57" t="str">
        <f>IF(Associates_Call_List_PQ!G805="","",Associates_Call_List_PQ!G805)</f>
        <v>https://docket.images.azcc.gov/E000046531.pdf</v>
      </c>
      <c r="H805" s="59" t="str">
        <f>IF(Associates_Call_List_PQ!H805="","",Associates_Call_List_PQ!H805)</f>
        <v>6014831000</v>
      </c>
      <c r="I805" s="57" t="str">
        <f>IF(Associates_Call_List_PQ!I805="","",Associates_Call_List_PQ!I805)</f>
        <v>EPR-6w/E-12</v>
      </c>
      <c r="J805" s="57" t="str">
        <f>IF(Associates_Call_List_PQ!J805="","",Associates_Call_List_PQ!J805)</f>
        <v>No</v>
      </c>
      <c r="K805" s="57" t="str">
        <f>IF(Associates_Call_List_PQ!K805="","",Associates_Call_List_PQ!K805)</f>
        <v>No</v>
      </c>
      <c r="L805" s="57" t="str">
        <f>IF(Associates_Call_List_PQ!L805="","",Associates_Call_List_PQ!L805)</f>
        <v>Frozen Rate</v>
      </c>
      <c r="M805" s="57" t="str">
        <f>IF(Associates_Call_List_PQ!M805="","",Associates_Call_List_PQ!M805)</f>
        <v>Yes</v>
      </c>
      <c r="N805" s="57">
        <f>IF(Associates_Call_List_PQ!N805="","",Associates_Call_List_PQ!N805)</f>
        <v>719.22</v>
      </c>
      <c r="O805" s="57" t="str">
        <f>IF(Associates_Call_List_PQ!O805="","",Associates_Call_List_PQ!O805)</f>
        <v>Yes</v>
      </c>
      <c r="P805" s="57" t="str">
        <f>IF(Associates_Call_List_PQ!P805="","",Associates_Call_List_PQ!P805)</f>
        <v/>
      </c>
      <c r="Q805" s="57">
        <f>IF(Associates_Call_List_PQ!Q805="","",Associates_Call_List_PQ!Q805)</f>
        <v>45960</v>
      </c>
      <c r="R805" s="57" t="str">
        <f>IF(Associates_Call_List_PQ!R805="","",Associates_Call_List_PQ!R805)</f>
        <v>Good payment history, shows a recent missed payment</v>
      </c>
      <c r="S805" s="57" t="str">
        <f>IF(Associates_Call_List_PQ!S805="","",Associates_Call_List_PQ!S805)</f>
        <v/>
      </c>
      <c r="T805" s="57" t="str">
        <f>IF(Associates_Call_List_PQ!T805="","",Associates_Call_List_PQ!T805)</f>
        <v/>
      </c>
      <c r="U805" s="57" t="str">
        <f>IF(Associates_Call_List_PQ!U805="","",Associates_Call_List_PQ!U805)</f>
        <v/>
      </c>
      <c r="V805" s="68" t="s">
        <v>5433</v>
      </c>
      <c r="W805" s="68">
        <v>46060</v>
      </c>
      <c r="X805" s="68" t="s">
        <v>5434</v>
      </c>
      <c r="Y805" s="68"/>
      <c r="Z805" s="72" t="s">
        <v>5649</v>
      </c>
    </row>
    <row r="806" spans="1:26">
      <c r="A806" s="71">
        <f>IFERROR(Associates_Call_List_PQ!A806,"")</f>
        <v>45919</v>
      </c>
      <c r="B806" s="57" t="str">
        <f>IF(Associates_Call_List_PQ!B806="","",Associates_Call_List_PQ!B806)</f>
        <v>Sawyer</v>
      </c>
      <c r="C806" s="57" t="str">
        <f>IF(Associates_Call_List_PQ!C806="","",Associates_Call_List_PQ!C806)</f>
        <v>Gregg</v>
      </c>
      <c r="D806" s="57" t="str">
        <f>IF(Associates_Call_List_PQ!D806="","",Associates_Call_List_PQ!D806)</f>
        <v>El Mirage</v>
      </c>
      <c r="E806" s="58">
        <f>IF(Associates_Call_List_PQ!E806="","",Associates_Call_List_PQ!E806)</f>
        <v>85335</v>
      </c>
      <c r="F806" s="57" t="str">
        <f>IF(Associates_Call_List_PQ!F806="","",Associates_Call_List_PQ!F806)</f>
        <v>Opposed-SRP model is superior</v>
      </c>
      <c r="G806" s="57" t="str">
        <f>IF(Associates_Call_List_PQ!G806="","",Associates_Call_List_PQ!G806)</f>
        <v>https://docket.images.azcc.gov/E000046531.pdf</v>
      </c>
      <c r="H806" s="59" t="str">
        <f>IF(Associates_Call_List_PQ!H806="","",Associates_Call_List_PQ!H806)</f>
        <v>9300806707</v>
      </c>
      <c r="I806" s="57" t="str">
        <f>IF(Associates_Call_List_PQ!I806="","",Associates_Call_List_PQ!I806)</f>
        <v>RCPw/RTOUE47</v>
      </c>
      <c r="J806" s="57" t="str">
        <f>IF(Associates_Call_List_PQ!J806="","",Associates_Call_List_PQ!J806)</f>
        <v>No</v>
      </c>
      <c r="K806" s="57" t="str">
        <f>IF(Associates_Call_List_PQ!K806="","",Associates_Call_List_PQ!K806)</f>
        <v>No</v>
      </c>
      <c r="L806" s="57" t="str">
        <f>IF(Associates_Call_List_PQ!L806="","",Associates_Call_List_PQ!L806)</f>
        <v>Yes</v>
      </c>
      <c r="M806" s="57" t="str">
        <f>IF(Associates_Call_List_PQ!M806="","",Associates_Call_List_PQ!M806)</f>
        <v>No</v>
      </c>
      <c r="N806" s="57" t="str">
        <f>IF(Associates_Call_List_PQ!N806="","",Associates_Call_List_PQ!N806)</f>
        <v>No</v>
      </c>
      <c r="O806" s="57" t="str">
        <f>IF(Associates_Call_List_PQ!O806="","",Associates_Call_List_PQ!O806)</f>
        <v>Yes</v>
      </c>
      <c r="P806" s="57" t="str">
        <f>IF(Associates_Call_List_PQ!P806="","",Associates_Call_List_PQ!P806)</f>
        <v>N</v>
      </c>
      <c r="Q806" s="57">
        <f>IF(Associates_Call_List_PQ!Q806="","",Associates_Call_List_PQ!Q806)</f>
        <v>45960</v>
      </c>
      <c r="R806" s="57" t="str">
        <f>IF(Associates_Call_List_PQ!R806="","",Associates_Call_List_PQ!R806)</f>
        <v/>
      </c>
      <c r="S806" s="57" t="str">
        <f>IF(Associates_Call_List_PQ!S806="","",Associates_Call_List_PQ!S806)</f>
        <v/>
      </c>
      <c r="T806" s="57" t="str">
        <f>IF(Associates_Call_List_PQ!T806="","",Associates_Call_List_PQ!T806)</f>
        <v/>
      </c>
      <c r="U806" s="57" t="str">
        <f>IF(Associates_Call_List_PQ!U806="","",Associates_Call_List_PQ!U806)</f>
        <v/>
      </c>
      <c r="V806" s="68" t="s">
        <v>5433</v>
      </c>
      <c r="W806" s="68">
        <v>46074</v>
      </c>
      <c r="X806" s="68" t="s">
        <v>5434</v>
      </c>
      <c r="Y806" s="68"/>
      <c r="Z806" s="72" t="s">
        <v>5547</v>
      </c>
    </row>
    <row r="807" spans="1:26">
      <c r="A807" s="71">
        <f>IFERROR(Associates_Call_List_PQ!A807,"")</f>
        <v>45919</v>
      </c>
      <c r="B807" s="57" t="str">
        <f>IF(Associates_Call_List_PQ!B807="","",Associates_Call_List_PQ!B807)</f>
        <v>Suckow</v>
      </c>
      <c r="C807" s="57" t="str">
        <f>IF(Associates_Call_List_PQ!C807="","",Associates_Call_List_PQ!C807)</f>
        <v>Mary</v>
      </c>
      <c r="D807" s="57" t="str">
        <f>IF(Associates_Call_List_PQ!D807="","",Associates_Call_List_PQ!D807)</f>
        <v>Glendale</v>
      </c>
      <c r="E807" s="58">
        <f>IF(Associates_Call_List_PQ!E807="","",Associates_Call_List_PQ!E807)</f>
        <v>85310</v>
      </c>
      <c r="F807" s="57" t="str">
        <f>IF(Associates_Call_List_PQ!F807="","",Associates_Call_List_PQ!F807)</f>
        <v>Opposed-Rates already incredibly high</v>
      </c>
      <c r="G807" s="57" t="str">
        <f>IF(Associates_Call_List_PQ!G807="","",Associates_Call_List_PQ!G807)</f>
        <v>https://docket.images.azcc.gov/E000046531.pdf</v>
      </c>
      <c r="H807" s="59" t="str">
        <f>IF(Associates_Call_List_PQ!H807="","",Associates_Call_List_PQ!H807)</f>
        <v>3389991021</v>
      </c>
      <c r="I807" s="57" t="str">
        <f>IF(Associates_Call_List_PQ!I807="","",Associates_Call_List_PQ!I807)</f>
        <v>RCPw/RTOUE47</v>
      </c>
      <c r="J807" s="57" t="str">
        <f>IF(Associates_Call_List_PQ!J807="","",Associates_Call_List_PQ!J807)</f>
        <v>No</v>
      </c>
      <c r="K807" s="57" t="str">
        <f>IF(Associates_Call_List_PQ!K807="","",Associates_Call_List_PQ!K807)</f>
        <v>No</v>
      </c>
      <c r="L807" s="57" t="str">
        <f>IF(Associates_Call_List_PQ!L807="","",Associates_Call_List_PQ!L807)</f>
        <v>No MEP R3-47 (101.27)</v>
      </c>
      <c r="M807" s="57" t="str">
        <f>IF(Associates_Call_List_PQ!M807="","",Associates_Call_List_PQ!M807)</f>
        <v>No</v>
      </c>
      <c r="N807" s="57" t="str">
        <f>IF(Associates_Call_List_PQ!N807="","",Associates_Call_List_PQ!N807)</f>
        <v>No</v>
      </c>
      <c r="O807" s="57" t="str">
        <f>IF(Associates_Call_List_PQ!O807="","",Associates_Call_List_PQ!O807)</f>
        <v>Yes</v>
      </c>
      <c r="P807" s="57">
        <f>IF(Associates_Call_List_PQ!P807="","",Associates_Call_List_PQ!P807)</f>
        <v>45940</v>
      </c>
      <c r="Q807" s="57">
        <f>IF(Associates_Call_List_PQ!Q807="","",Associates_Call_List_PQ!Q807)</f>
        <v>45960</v>
      </c>
      <c r="R807" s="57" t="str">
        <f>IF(Associates_Call_List_PQ!R807="","",Associates_Call_List_PQ!R807)</f>
        <v>Cor will think about this and request a cb at her convenience</v>
      </c>
      <c r="S807" s="57" t="str">
        <f>IF(Associates_Call_List_PQ!S807="","",Associates_Call_List_PQ!S807)</f>
        <v/>
      </c>
      <c r="T807" s="57" t="str">
        <f>IF(Associates_Call_List_PQ!T807="","",Associates_Call_List_PQ!T807)</f>
        <v/>
      </c>
      <c r="U807" s="57" t="str">
        <f>IF(Associates_Call_List_PQ!U807="","",Associates_Call_List_PQ!U807)</f>
        <v/>
      </c>
      <c r="V807" s="68" t="s">
        <v>5433</v>
      </c>
      <c r="W807" s="68">
        <v>45997</v>
      </c>
      <c r="X807" s="68" t="s">
        <v>5434</v>
      </c>
      <c r="Y807" s="68"/>
      <c r="Z807" s="72" t="s">
        <v>5486</v>
      </c>
    </row>
    <row r="808" spans="1:26">
      <c r="A808" s="71">
        <f>IFERROR(Associates_Call_List_PQ!A808,"")</f>
        <v>45919</v>
      </c>
      <c r="B808" s="57" t="str">
        <f>IF(Associates_Call_List_PQ!B808="","",Associates_Call_List_PQ!B808)</f>
        <v>Swett</v>
      </c>
      <c r="C808" s="57" t="str">
        <f>IF(Associates_Call_List_PQ!C808="","",Associates_Call_List_PQ!C808)</f>
        <v>Paige</v>
      </c>
      <c r="D808" s="57" t="str">
        <f>IF(Associates_Call_List_PQ!D808="","",Associates_Call_List_PQ!D808)</f>
        <v xml:space="preserve">Glendale </v>
      </c>
      <c r="E808" s="58">
        <f>IF(Associates_Call_List_PQ!E808="","",Associates_Call_List_PQ!E808)</f>
        <v>85306</v>
      </c>
      <c r="F808" s="57" t="str">
        <f>IF(Associates_Call_List_PQ!F808="","",Associates_Call_List_PQ!F808)</f>
        <v xml:space="preserve">Strongly against rate increase </v>
      </c>
      <c r="G808" s="57" t="str">
        <f>IF(Associates_Call_List_PQ!G808="","",Associates_Call_List_PQ!G808)</f>
        <v>https://docket.images.azcc.gov/E000046531.pdf</v>
      </c>
      <c r="H808" s="59" t="str">
        <f>IF(Associates_Call_List_PQ!H808="","",Associates_Call_List_PQ!H808)</f>
        <v>2219505228</v>
      </c>
      <c r="I808" s="57" t="str">
        <f>IF(Associates_Call_List_PQ!I808="","",Associates_Call_List_PQ!I808)</f>
        <v>RCPw/R3-47</v>
      </c>
      <c r="J808" s="57" t="str">
        <f>IF(Associates_Call_List_PQ!J808="","",Associates_Call_List_PQ!J808)</f>
        <v>No</v>
      </c>
      <c r="K808" s="57" t="str">
        <f>IF(Associates_Call_List_PQ!K808="","",Associates_Call_List_PQ!K808)</f>
        <v>No</v>
      </c>
      <c r="L808" s="57" t="str">
        <f>IF(Associates_Call_List_PQ!L808="","",Associates_Call_List_PQ!L808)</f>
        <v>Yes</v>
      </c>
      <c r="M808" s="57" t="str">
        <f>IF(Associates_Call_List_PQ!M808="","",Associates_Call_List_PQ!M808)</f>
        <v>No</v>
      </c>
      <c r="N808" s="57" t="str">
        <f>IF(Associates_Call_List_PQ!N808="","",Associates_Call_List_PQ!N808)</f>
        <v>No</v>
      </c>
      <c r="O808" s="57" t="str">
        <f>IF(Associates_Call_List_PQ!O808="","",Associates_Call_List_PQ!O808)</f>
        <v>Yes</v>
      </c>
      <c r="P808" s="57" t="str">
        <f>IF(Associates_Call_List_PQ!P808="","",Associates_Call_List_PQ!P808)</f>
        <v>N</v>
      </c>
      <c r="Q808" s="57">
        <f>IF(Associates_Call_List_PQ!Q808="","",Associates_Call_List_PQ!Q808)</f>
        <v>45960</v>
      </c>
      <c r="R808" s="57" t="str">
        <f>IF(Associates_Call_List_PQ!R808="","",Associates_Call_List_PQ!R808)</f>
        <v/>
      </c>
      <c r="S808" s="57" t="str">
        <f>IF(Associates_Call_List_PQ!S808="","",Associates_Call_List_PQ!S808)</f>
        <v/>
      </c>
      <c r="T808" s="57" t="str">
        <f>IF(Associates_Call_List_PQ!T808="","",Associates_Call_List_PQ!T808)</f>
        <v/>
      </c>
      <c r="U808" s="57" t="str">
        <f>IF(Associates_Call_List_PQ!U808="","",Associates_Call_List_PQ!U808)</f>
        <v/>
      </c>
      <c r="V808" s="68" t="s">
        <v>5433</v>
      </c>
      <c r="W808" s="68">
        <v>46074</v>
      </c>
      <c r="X808" s="68" t="s">
        <v>5434</v>
      </c>
      <c r="Y808" s="68"/>
      <c r="Z808" s="72" t="s">
        <v>5547</v>
      </c>
    </row>
    <row r="809" spans="1:26">
      <c r="A809" s="71">
        <f>IFERROR(Associates_Call_List_PQ!A809,"")</f>
        <v>45919</v>
      </c>
      <c r="B809" s="57" t="str">
        <f>IF(Associates_Call_List_PQ!B809="","",Associates_Call_List_PQ!B809)</f>
        <v xml:space="preserve">Mathews </v>
      </c>
      <c r="C809" s="57" t="str">
        <f>IF(Associates_Call_List_PQ!C809="","",Associates_Call_List_PQ!C809)</f>
        <v>Dajiah</v>
      </c>
      <c r="D809" s="57" t="str">
        <f>IF(Associates_Call_List_PQ!D809="","",Associates_Call_List_PQ!D809)</f>
        <v>Peoria</v>
      </c>
      <c r="E809" s="58">
        <f>IF(Associates_Call_List_PQ!E809="","",Associates_Call_List_PQ!E809)</f>
        <v>85345</v>
      </c>
      <c r="F809" s="57" t="str">
        <f>IF(Associates_Call_List_PQ!F809="","",Associates_Call_List_PQ!F809)</f>
        <v>Opposed-increase e3 and crises base lines to match</v>
      </c>
      <c r="G809" s="57" t="str">
        <f>IF(Associates_Call_List_PQ!G809="","",Associates_Call_List_PQ!G809)</f>
        <v>https://docket.images.azcc.gov/E000046548.pdf</v>
      </c>
      <c r="H809" s="59" t="str">
        <f>IF(Associates_Call_List_PQ!H809="","",Associates_Call_List_PQ!H809)</f>
        <v>4591969515</v>
      </c>
      <c r="I809" s="57" t="str">
        <f>IF(Associates_Call_List_PQ!I809="","",Associates_Call_List_PQ!I809)</f>
        <v>R-BASIC</v>
      </c>
      <c r="J809" s="57" t="str">
        <f>IF(Associates_Call_List_PQ!J809="","",Associates_Call_List_PQ!J809)</f>
        <v>No</v>
      </c>
      <c r="K809" s="57" t="str">
        <f>IF(Associates_Call_List_PQ!K809="","",Associates_Call_List_PQ!K809)</f>
        <v>No</v>
      </c>
      <c r="L809" s="57" t="str">
        <f>IF(Associates_Call_List_PQ!L809="","",Associates_Call_List_PQ!L809)</f>
        <v>Yes</v>
      </c>
      <c r="M809" s="57" t="str">
        <f>IF(Associates_Call_List_PQ!M809="","",Associates_Call_List_PQ!M809)</f>
        <v>No</v>
      </c>
      <c r="N809" s="57" t="str">
        <f>IF(Associates_Call_List_PQ!N809="","",Associates_Call_List_PQ!N809)</f>
        <v>No</v>
      </c>
      <c r="O809" s="57" t="str">
        <f>IF(Associates_Call_List_PQ!O809="","",Associates_Call_List_PQ!O809)</f>
        <v>Yes</v>
      </c>
      <c r="P809" s="57" t="str">
        <f>IF(Associates_Call_List_PQ!P809="","",Associates_Call_List_PQ!P809)</f>
        <v>N</v>
      </c>
      <c r="Q809" s="57">
        <f>IF(Associates_Call_List_PQ!Q809="","",Associates_Call_List_PQ!Q809)</f>
        <v>45960</v>
      </c>
      <c r="R809" s="57" t="str">
        <f>IF(Associates_Call_List_PQ!R809="","",Associates_Call_List_PQ!R809)</f>
        <v/>
      </c>
      <c r="S809" s="57" t="str">
        <f>IF(Associates_Call_List_PQ!S809="","",Associates_Call_List_PQ!S809)</f>
        <v/>
      </c>
      <c r="T809" s="57" t="str">
        <f>IF(Associates_Call_List_PQ!T809="","",Associates_Call_List_PQ!T809)</f>
        <v/>
      </c>
      <c r="U809" s="57" t="str">
        <f>IF(Associates_Call_List_PQ!U809="","",Associates_Call_List_PQ!U809)</f>
        <v/>
      </c>
      <c r="V809" s="68"/>
      <c r="W809" s="68" t="s">
        <v>5432</v>
      </c>
      <c r="X809" s="68"/>
      <c r="Y809" s="68"/>
      <c r="Z809" s="72"/>
    </row>
    <row r="810" spans="1:26">
      <c r="A810" s="71">
        <f>IFERROR(Associates_Call_List_PQ!A810,"")</f>
        <v>45919</v>
      </c>
      <c r="B810" s="57" t="str">
        <f>IF(Associates_Call_List_PQ!B810="","",Associates_Call_List_PQ!B810)</f>
        <v>Norquist</v>
      </c>
      <c r="C810" s="57" t="str">
        <f>IF(Associates_Call_List_PQ!C810="","",Associates_Call_List_PQ!C810)</f>
        <v>Laura</v>
      </c>
      <c r="D810" s="57" t="str">
        <f>IF(Associates_Call_List_PQ!D810="","",Associates_Call_List_PQ!D810)</f>
        <v>Paradise Valley</v>
      </c>
      <c r="E810" s="58">
        <f>IF(Associates_Call_List_PQ!E810="","",Associates_Call_List_PQ!E810)</f>
        <v>85253</v>
      </c>
      <c r="F810" s="57" t="str">
        <f>IF(Associates_Call_List_PQ!F810="","",Associates_Call_List_PQ!F810)</f>
        <v>Chip factories and AI are driving up costs</v>
      </c>
      <c r="G810" s="57" t="str">
        <f>IF(Associates_Call_List_PQ!G810="","",Associates_Call_List_PQ!G810)</f>
        <v>https://docket.images.azcc.gov/E000046548.pdf</v>
      </c>
      <c r="H810" s="59" t="str">
        <f>IF(Associates_Call_List_PQ!H810="","",Associates_Call_List_PQ!H810)</f>
        <v>9097961505</v>
      </c>
      <c r="I810" s="57" t="str">
        <f>IF(Associates_Call_List_PQ!I810="","",Associates_Call_List_PQ!I810)</f>
        <v>R3-47</v>
      </c>
      <c r="J810" s="57" t="str">
        <f>IF(Associates_Call_List_PQ!J810="","",Associates_Call_List_PQ!J810)</f>
        <v>No</v>
      </c>
      <c r="K810" s="57" t="str">
        <f>IF(Associates_Call_List_PQ!K810="","",Associates_Call_List_PQ!K810)</f>
        <v>No</v>
      </c>
      <c r="L810" s="57" t="str">
        <f>IF(Associates_Call_List_PQ!L810="","",Associates_Call_List_PQ!L810)</f>
        <v>Yes</v>
      </c>
      <c r="M810" s="57" t="str">
        <f>IF(Associates_Call_List_PQ!M810="","",Associates_Call_List_PQ!M810)</f>
        <v>No</v>
      </c>
      <c r="N810" s="57" t="str">
        <f>IF(Associates_Call_List_PQ!N810="","",Associates_Call_List_PQ!N810)</f>
        <v>No</v>
      </c>
      <c r="O810" s="57" t="str">
        <f>IF(Associates_Call_List_PQ!O810="","",Associates_Call_List_PQ!O810)</f>
        <v>Yes</v>
      </c>
      <c r="P810" s="57" t="str">
        <f>IF(Associates_Call_List_PQ!P810="","",Associates_Call_List_PQ!P810)</f>
        <v>N</v>
      </c>
      <c r="Q810" s="57">
        <f>IF(Associates_Call_List_PQ!Q810="","",Associates_Call_List_PQ!Q810)</f>
        <v>45960</v>
      </c>
      <c r="R810" s="57" t="str">
        <f>IF(Associates_Call_List_PQ!R810="","",Associates_Call_List_PQ!R810)</f>
        <v/>
      </c>
      <c r="S810" s="57" t="str">
        <f>IF(Associates_Call_List_PQ!S810="","",Associates_Call_List_PQ!S810)</f>
        <v/>
      </c>
      <c r="T810" s="57" t="str">
        <f>IF(Associates_Call_List_PQ!T810="","",Associates_Call_List_PQ!T810)</f>
        <v/>
      </c>
      <c r="U810" s="57" t="str">
        <f>IF(Associates_Call_List_PQ!U810="","",Associates_Call_List_PQ!U810)</f>
        <v/>
      </c>
      <c r="V810" s="68" t="s">
        <v>5433</v>
      </c>
      <c r="W810" s="68">
        <v>46074</v>
      </c>
      <c r="X810" s="68" t="s">
        <v>5434</v>
      </c>
      <c r="Y810" s="68"/>
      <c r="Z810" s="72" t="s">
        <v>5547</v>
      </c>
    </row>
    <row r="811" spans="1:26">
      <c r="A811" s="71">
        <f>IFERROR(Associates_Call_List_PQ!A811,"")</f>
        <v>45919</v>
      </c>
      <c r="B811" s="57" t="str">
        <f>IF(Associates_Call_List_PQ!B811="","",Associates_Call_List_PQ!B811)</f>
        <v>Hamilton</v>
      </c>
      <c r="C811" s="57" t="str">
        <f>IF(Associates_Call_List_PQ!C811="","",Associates_Call_List_PQ!C811)</f>
        <v>David</v>
      </c>
      <c r="D811" s="57" t="str">
        <f>IF(Associates_Call_List_PQ!D811="","",Associates_Call_List_PQ!D811)</f>
        <v>Wittmann</v>
      </c>
      <c r="E811" s="58">
        <f>IF(Associates_Call_List_PQ!E811="","",Associates_Call_List_PQ!E811)</f>
        <v>85361</v>
      </c>
      <c r="F811" s="57" t="str">
        <f>IF(Associates_Call_List_PQ!F811="","",Associates_Call_List_PQ!F811)</f>
        <v>Opposed-retired on a fixed income</v>
      </c>
      <c r="G811" s="57" t="str">
        <f>IF(Associates_Call_List_PQ!G811="","",Associates_Call_List_PQ!G811)</f>
        <v>https://docket.images.azcc.gov/E000046548.pdf</v>
      </c>
      <c r="H811" s="59" t="str">
        <f>IF(Associates_Call_List_PQ!H811="","",Associates_Call_List_PQ!H811)</f>
        <v>3630760766</v>
      </c>
      <c r="I811" s="57" t="str">
        <f>IF(Associates_Call_List_PQ!I811="","",Associates_Call_List_PQ!I811)</f>
        <v>R-XS</v>
      </c>
      <c r="J811" s="57" t="str">
        <f>IF(Associates_Call_List_PQ!J811="","",Associates_Call_List_PQ!J811)</f>
        <v>No</v>
      </c>
      <c r="K811" s="57" t="str">
        <f>IF(Associates_Call_List_PQ!K811="","",Associates_Call_List_PQ!K811)</f>
        <v>No</v>
      </c>
      <c r="L811" s="57" t="str">
        <f>IF(Associates_Call_List_PQ!L811="","",Associates_Call_List_PQ!L811)</f>
        <v>Yes</v>
      </c>
      <c r="M811" s="57" t="str">
        <f>IF(Associates_Call_List_PQ!M811="","",Associates_Call_List_PQ!M811)</f>
        <v>No</v>
      </c>
      <c r="N811" s="57" t="str">
        <f>IF(Associates_Call_List_PQ!N811="","",Associates_Call_List_PQ!N811)</f>
        <v>No</v>
      </c>
      <c r="O811" s="57" t="str">
        <f>IF(Associates_Call_List_PQ!O811="","",Associates_Call_List_PQ!O811)</f>
        <v>Yes</v>
      </c>
      <c r="P811" s="57" t="str">
        <f>IF(Associates_Call_List_PQ!P811="","",Associates_Call_List_PQ!P811)</f>
        <v>N</v>
      </c>
      <c r="Q811" s="57">
        <f>IF(Associates_Call_List_PQ!Q811="","",Associates_Call_List_PQ!Q811)</f>
        <v>45960</v>
      </c>
      <c r="R811" s="57" t="str">
        <f>IF(Associates_Call_List_PQ!R811="","",Associates_Call_List_PQ!R811)</f>
        <v/>
      </c>
      <c r="S811" s="57" t="str">
        <f>IF(Associates_Call_List_PQ!S811="","",Associates_Call_List_PQ!S811)</f>
        <v/>
      </c>
      <c r="T811" s="57" t="str">
        <f>IF(Associates_Call_List_PQ!T811="","",Associates_Call_List_PQ!T811)</f>
        <v/>
      </c>
      <c r="U811" s="57" t="str">
        <f>IF(Associates_Call_List_PQ!U811="","",Associates_Call_List_PQ!U811)</f>
        <v/>
      </c>
      <c r="V811" s="68"/>
      <c r="W811" s="68" t="s">
        <v>5432</v>
      </c>
      <c r="X811" s="68"/>
      <c r="Y811" s="68"/>
      <c r="Z811" s="72"/>
    </row>
    <row r="812" spans="1:26">
      <c r="A812" s="71">
        <f>IFERROR(Associates_Call_List_PQ!A812,"")</f>
        <v>45919</v>
      </c>
      <c r="B812" s="57" t="str">
        <f>IF(Associates_Call_List_PQ!B812="","",Associates_Call_List_PQ!B812)</f>
        <v>Brown</v>
      </c>
      <c r="C812" s="57" t="str">
        <f>IF(Associates_Call_List_PQ!C812="","",Associates_Call_List_PQ!C812)</f>
        <v>Ilya</v>
      </c>
      <c r="D812" s="57" t="str">
        <f>IF(Associates_Call_List_PQ!D812="","",Associates_Call_List_PQ!D812)</f>
        <v>Surprise</v>
      </c>
      <c r="E812" s="58">
        <f>IF(Associates_Call_List_PQ!E812="","",Associates_Call_List_PQ!E812)</f>
        <v>85379</v>
      </c>
      <c r="F812" s="57" t="str">
        <f>IF(Associates_Call_List_PQ!F812="","",Associates_Call_List_PQ!F812)</f>
        <v xml:space="preserve">Opposed- deep concern and frustration </v>
      </c>
      <c r="G812" s="57" t="str">
        <f>IF(Associates_Call_List_PQ!G812="","",Associates_Call_List_PQ!G812)</f>
        <v>https://docket.images.azcc.gov/E000046548.pdf</v>
      </c>
      <c r="H812" s="59" t="str">
        <f>IF(Associates_Call_List_PQ!H812="","",Associates_Call_List_PQ!H812)</f>
        <v>9308190000</v>
      </c>
      <c r="I812" s="57" t="str">
        <f>IF(Associates_Call_List_PQ!I812="","",Associates_Call_List_PQ!I812)</f>
        <v>EPR-6w/ET-2</v>
      </c>
      <c r="J812" s="57" t="str">
        <f>IF(Associates_Call_List_PQ!J812="","",Associates_Call_List_PQ!J812)</f>
        <v>No</v>
      </c>
      <c r="K812" s="57" t="str">
        <f>IF(Associates_Call_List_PQ!K812="","",Associates_Call_List_PQ!K812)</f>
        <v>No</v>
      </c>
      <c r="L812" s="57" t="str">
        <f>IF(Associates_Call_List_PQ!L812="","",Associates_Call_List_PQ!L812)</f>
        <v>Frozen Rate</v>
      </c>
      <c r="M812" s="57" t="str">
        <f>IF(Associates_Call_List_PQ!M812="","",Associates_Call_List_PQ!M812)</f>
        <v>No</v>
      </c>
      <c r="N812" s="57" t="str">
        <f>IF(Associates_Call_List_PQ!N812="","",Associates_Call_List_PQ!N812)</f>
        <v>No</v>
      </c>
      <c r="O812" s="57" t="str">
        <f>IF(Associates_Call_List_PQ!O812="","",Associates_Call_List_PQ!O812)</f>
        <v>Yes</v>
      </c>
      <c r="P812" s="57" t="str">
        <f>IF(Associates_Call_List_PQ!P812="","",Associates_Call_List_PQ!P812)</f>
        <v>N</v>
      </c>
      <c r="Q812" s="57">
        <f>IF(Associates_Call_List_PQ!Q812="","",Associates_Call_List_PQ!Q812)</f>
        <v>45960</v>
      </c>
      <c r="R812" s="57" t="str">
        <f>IF(Associates_Call_List_PQ!R812="","",Associates_Call_List_PQ!R812)</f>
        <v>Filed Twice</v>
      </c>
      <c r="S812" s="57" t="str">
        <f>IF(Associates_Call_List_PQ!S812="","",Associates_Call_List_PQ!S812)</f>
        <v/>
      </c>
      <c r="T812" s="57" t="str">
        <f>IF(Associates_Call_List_PQ!T812="","",Associates_Call_List_PQ!T812)</f>
        <v/>
      </c>
      <c r="U812" s="57" t="str">
        <f>IF(Associates_Call_List_PQ!U812="","",Associates_Call_List_PQ!U812)</f>
        <v/>
      </c>
      <c r="V812" s="68" t="s">
        <v>5433</v>
      </c>
      <c r="W812" s="68">
        <v>46074</v>
      </c>
      <c r="X812" s="68" t="s">
        <v>5434</v>
      </c>
      <c r="Y812" s="68"/>
      <c r="Z812" s="72" t="s">
        <v>5547</v>
      </c>
    </row>
    <row r="813" spans="1:26">
      <c r="A813" s="71">
        <f>IFERROR(Associates_Call_List_PQ!A813,"")</f>
        <v>45919</v>
      </c>
      <c r="B813" s="57" t="str">
        <f>IF(Associates_Call_List_PQ!B813="","",Associates_Call_List_PQ!B813)</f>
        <v>Bourdieu</v>
      </c>
      <c r="C813" s="57" t="str">
        <f>IF(Associates_Call_List_PQ!C813="","",Associates_Call_List_PQ!C813)</f>
        <v>Krystal</v>
      </c>
      <c r="D813" s="57" t="str">
        <f>IF(Associates_Call_List_PQ!D813="","",Associates_Call_List_PQ!D813)</f>
        <v>Phoenix</v>
      </c>
      <c r="E813" s="58">
        <f>IF(Associates_Call_List_PQ!E813="","",Associates_Call_List_PQ!E813)</f>
        <v>85027</v>
      </c>
      <c r="F813" s="57" t="str">
        <f>IF(Associates_Call_List_PQ!F813="","",Associates_Call_List_PQ!F813)</f>
        <v xml:space="preserve">Opposed-2024 net income 600 million </v>
      </c>
      <c r="G813" s="57" t="str">
        <f>IF(Associates_Call_List_PQ!G813="","",Associates_Call_List_PQ!G813)</f>
        <v>https://docket.images.azcc.gov/E000046548.pdf</v>
      </c>
      <c r="H813" s="59" t="str">
        <f>IF(Associates_Call_List_PQ!H813="","",Associates_Call_List_PQ!H813)</f>
        <v>3083620000</v>
      </c>
      <c r="I813" s="57" t="str">
        <f>IF(Associates_Call_List_PQ!I813="","",Associates_Call_List_PQ!I813)</f>
        <v>EPR-6w/ET-2</v>
      </c>
      <c r="J813" s="57" t="str">
        <f>IF(Associates_Call_List_PQ!J813="","",Associates_Call_List_PQ!J813)</f>
        <v>No</v>
      </c>
      <c r="K813" s="57" t="str">
        <f>IF(Associates_Call_List_PQ!K813="","",Associates_Call_List_PQ!K813)</f>
        <v>No</v>
      </c>
      <c r="L813" s="57" t="str">
        <f>IF(Associates_Call_List_PQ!L813="","",Associates_Call_List_PQ!L813)</f>
        <v>Frozen Rate</v>
      </c>
      <c r="M813" s="57" t="str">
        <f>IF(Associates_Call_List_PQ!M813="","",Associates_Call_List_PQ!M813)</f>
        <v>No</v>
      </c>
      <c r="N813" s="57" t="str">
        <f>IF(Associates_Call_List_PQ!N813="","",Associates_Call_List_PQ!N813)</f>
        <v>No</v>
      </c>
      <c r="O813" s="57" t="str">
        <f>IF(Associates_Call_List_PQ!O813="","",Associates_Call_List_PQ!O813)</f>
        <v>Yes</v>
      </c>
      <c r="P813" s="57" t="str">
        <f>IF(Associates_Call_List_PQ!P813="","",Associates_Call_List_PQ!P813)</f>
        <v>N</v>
      </c>
      <c r="Q813" s="57">
        <f>IF(Associates_Call_List_PQ!Q813="","",Associates_Call_List_PQ!Q813)</f>
        <v>45960</v>
      </c>
      <c r="R813" s="57" t="str">
        <f>IF(Associates_Call_List_PQ!R813="","",Associates_Call_List_PQ!R813)</f>
        <v/>
      </c>
      <c r="S813" s="57" t="str">
        <f>IF(Associates_Call_List_PQ!S813="","",Associates_Call_List_PQ!S813)</f>
        <v/>
      </c>
      <c r="T813" s="57" t="str">
        <f>IF(Associates_Call_List_PQ!T813="","",Associates_Call_List_PQ!T813)</f>
        <v/>
      </c>
      <c r="U813" s="57" t="str">
        <f>IF(Associates_Call_List_PQ!U813="","",Associates_Call_List_PQ!U813)</f>
        <v/>
      </c>
      <c r="V813" s="68"/>
      <c r="W813" s="68" t="s">
        <v>5432</v>
      </c>
      <c r="X813" s="68"/>
      <c r="Y813" s="68"/>
      <c r="Z813" s="72"/>
    </row>
    <row r="814" spans="1:26">
      <c r="A814" s="71">
        <f>IFERROR(Associates_Call_List_PQ!A814,"")</f>
        <v>45919</v>
      </c>
      <c r="B814" s="57" t="str">
        <f>IF(Associates_Call_List_PQ!B814="","",Associates_Call_List_PQ!B814)</f>
        <v>Ruddy</v>
      </c>
      <c r="C814" s="57" t="str">
        <f>IF(Associates_Call_List_PQ!C814="","",Associates_Call_List_PQ!C814)</f>
        <v>Cayla</v>
      </c>
      <c r="D814" s="57" t="str">
        <f>IF(Associates_Call_List_PQ!D814="","",Associates_Call_List_PQ!D814)</f>
        <v>Peoria</v>
      </c>
      <c r="E814" s="58">
        <f>IF(Associates_Call_List_PQ!E814="","",Associates_Call_List_PQ!E814)</f>
        <v>85382</v>
      </c>
      <c r="F814" s="57" t="str">
        <f>IF(Associates_Call_List_PQ!F814="","",Associates_Call_List_PQ!F814)</f>
        <v>Opposed-APS is not interested in providing affordable energy</v>
      </c>
      <c r="G814" s="57" t="str">
        <f>IF(Associates_Call_List_PQ!G814="","",Associates_Call_List_PQ!G814)</f>
        <v>https://docket.images.azcc.gov/E000046548.pdf</v>
      </c>
      <c r="H814" s="59" t="str">
        <f>IF(Associates_Call_List_PQ!H814="","",Associates_Call_List_PQ!H814)</f>
        <v>7002436554</v>
      </c>
      <c r="I814" s="57" t="str">
        <f>IF(Associates_Call_List_PQ!I814="","",Associates_Call_List_PQ!I814)</f>
        <v>RCPw/R3-47</v>
      </c>
      <c r="J814" s="57" t="str">
        <f>IF(Associates_Call_List_PQ!J814="","",Associates_Call_List_PQ!J814)</f>
        <v>No</v>
      </c>
      <c r="K814" s="57" t="str">
        <f>IF(Associates_Call_List_PQ!K814="","",Associates_Call_List_PQ!K814)</f>
        <v>No</v>
      </c>
      <c r="L814" s="57" t="str">
        <f>IF(Associates_Call_List_PQ!L814="","",Associates_Call_List_PQ!L814)</f>
        <v>Yes</v>
      </c>
      <c r="M814" s="57" t="str">
        <f>IF(Associates_Call_List_PQ!M814="","",Associates_Call_List_PQ!M814)</f>
        <v>No</v>
      </c>
      <c r="N814" s="57" t="str">
        <f>IF(Associates_Call_List_PQ!N814="","",Associates_Call_List_PQ!N814)</f>
        <v>No</v>
      </c>
      <c r="O814" s="57" t="str">
        <f>IF(Associates_Call_List_PQ!O814="","",Associates_Call_List_PQ!O814)</f>
        <v>Yes</v>
      </c>
      <c r="P814" s="57" t="str">
        <f>IF(Associates_Call_List_PQ!P814="","",Associates_Call_List_PQ!P814)</f>
        <v>N</v>
      </c>
      <c r="Q814" s="57">
        <f>IF(Associates_Call_List_PQ!Q814="","",Associates_Call_List_PQ!Q814)</f>
        <v>45960</v>
      </c>
      <c r="R814" s="57" t="str">
        <f>IF(Associates_Call_List_PQ!R814="","",Associates_Call_List_PQ!R814)</f>
        <v/>
      </c>
      <c r="S814" s="57" t="str">
        <f>IF(Associates_Call_List_PQ!S814="","",Associates_Call_List_PQ!S814)</f>
        <v/>
      </c>
      <c r="T814" s="57" t="str">
        <f>IF(Associates_Call_List_PQ!T814="","",Associates_Call_List_PQ!T814)</f>
        <v/>
      </c>
      <c r="U814" s="57" t="str">
        <f>IF(Associates_Call_List_PQ!U814="","",Associates_Call_List_PQ!U814)</f>
        <v/>
      </c>
      <c r="V814" s="68" t="s">
        <v>5433</v>
      </c>
      <c r="W814" s="68">
        <v>46074</v>
      </c>
      <c r="X814" s="68" t="s">
        <v>5434</v>
      </c>
      <c r="Y814" s="68"/>
      <c r="Z814" s="72" t="s">
        <v>5547</v>
      </c>
    </row>
    <row r="815" spans="1:26">
      <c r="A815" s="71">
        <f>IFERROR(Associates_Call_List_PQ!A815,"")</f>
        <v>45919</v>
      </c>
      <c r="B815" s="57" t="str">
        <f>IF(Associates_Call_List_PQ!B815="","",Associates_Call_List_PQ!B815)</f>
        <v>Toback</v>
      </c>
      <c r="C815" s="57" t="str">
        <f>IF(Associates_Call_List_PQ!C815="","",Associates_Call_List_PQ!C815)</f>
        <v>Vicki</v>
      </c>
      <c r="D815" s="57" t="str">
        <f>IF(Associates_Call_List_PQ!D815="","",Associates_Call_List_PQ!D815)</f>
        <v>Scottsdale</v>
      </c>
      <c r="E815" s="58">
        <f>IF(Associates_Call_List_PQ!E815="","",Associates_Call_List_PQ!E815)</f>
        <v>85254</v>
      </c>
      <c r="F815" s="57" t="str">
        <f>IF(Associates_Call_List_PQ!F815="","",Associates_Call_List_PQ!F815)</f>
        <v>Opposed-Average family wont be able to keep up</v>
      </c>
      <c r="G815" s="57" t="str">
        <f>IF(Associates_Call_List_PQ!G815="","",Associates_Call_List_PQ!G815)</f>
        <v>https://docket.images.azcc.gov/E000046548.pdf</v>
      </c>
      <c r="H815" s="59" t="str">
        <f>IF(Associates_Call_List_PQ!H815="","",Associates_Call_List_PQ!H815)</f>
        <v>0355361000</v>
      </c>
      <c r="I815" s="57" t="str">
        <f>IF(Associates_Call_List_PQ!I815="","",Associates_Call_List_PQ!I815)</f>
        <v>R3-47</v>
      </c>
      <c r="J815" s="57" t="str">
        <f>IF(Associates_Call_List_PQ!J815="","",Associates_Call_List_PQ!J815)</f>
        <v>No</v>
      </c>
      <c r="K815" s="57" t="str">
        <f>IF(Associates_Call_List_PQ!K815="","",Associates_Call_List_PQ!K815)</f>
        <v>No</v>
      </c>
      <c r="L815" s="57" t="str">
        <f>IF(Associates_Call_List_PQ!L815="","",Associates_Call_List_PQ!L815)</f>
        <v>Yes</v>
      </c>
      <c r="M815" s="57" t="str">
        <f>IF(Associates_Call_List_PQ!M815="","",Associates_Call_List_PQ!M815)</f>
        <v>No</v>
      </c>
      <c r="N815" s="57" t="str">
        <f>IF(Associates_Call_List_PQ!N815="","",Associates_Call_List_PQ!N815)</f>
        <v>No</v>
      </c>
      <c r="O815" s="57" t="str">
        <f>IF(Associates_Call_List_PQ!O815="","",Associates_Call_List_PQ!O815)</f>
        <v>Yes</v>
      </c>
      <c r="P815" s="57" t="str">
        <f>IF(Associates_Call_List_PQ!P815="","",Associates_Call_List_PQ!P815)</f>
        <v>N</v>
      </c>
      <c r="Q815" s="57">
        <f>IF(Associates_Call_List_PQ!Q815="","",Associates_Call_List_PQ!Q815)</f>
        <v>45960</v>
      </c>
      <c r="R815" s="57" t="str">
        <f>IF(Associates_Call_List_PQ!R815="","",Associates_Call_List_PQ!R815)</f>
        <v/>
      </c>
      <c r="S815" s="57" t="str">
        <f>IF(Associates_Call_List_PQ!S815="","",Associates_Call_List_PQ!S815)</f>
        <v/>
      </c>
      <c r="T815" s="57" t="str">
        <f>IF(Associates_Call_List_PQ!T815="","",Associates_Call_List_PQ!T815)</f>
        <v/>
      </c>
      <c r="U815" s="57" t="str">
        <f>IF(Associates_Call_List_PQ!U815="","",Associates_Call_List_PQ!U815)</f>
        <v/>
      </c>
      <c r="V815" s="68"/>
      <c r="W815" s="68" t="s">
        <v>5432</v>
      </c>
      <c r="X815" s="68"/>
      <c r="Y815" s="68"/>
      <c r="Z815" s="72"/>
    </row>
    <row r="816" spans="1:26">
      <c r="A816" s="71">
        <f>IFERROR(Associates_Call_List_PQ!A816,"")</f>
        <v>45919</v>
      </c>
      <c r="B816" s="57" t="str">
        <f>IF(Associates_Call_List_PQ!B816="","",Associates_Call_List_PQ!B816)</f>
        <v>Phay</v>
      </c>
      <c r="C816" s="57" t="str">
        <f>IF(Associates_Call_List_PQ!C816="","",Associates_Call_List_PQ!C816)</f>
        <v>Brittney</v>
      </c>
      <c r="D816" s="57" t="str">
        <f>IF(Associates_Call_List_PQ!D816="","",Associates_Call_List_PQ!D816)</f>
        <v>Goodyear</v>
      </c>
      <c r="E816" s="58">
        <f>IF(Associates_Call_List_PQ!E816="","",Associates_Call_List_PQ!E816)</f>
        <v>85338</v>
      </c>
      <c r="F816" s="57" t="str">
        <f>IF(Associates_Call_List_PQ!F816="","",Associates_Call_List_PQ!F816)</f>
        <v>Opposed-protect rate payers and reject this</v>
      </c>
      <c r="G816" s="57" t="str">
        <f>IF(Associates_Call_List_PQ!G816="","",Associates_Call_List_PQ!G816)</f>
        <v>https://docket.images.azcc.gov/E000046548.pdf</v>
      </c>
      <c r="H816" s="59" t="str">
        <f>IF(Associates_Call_List_PQ!H816="","",Associates_Call_List_PQ!H816)</f>
        <v>3392630000</v>
      </c>
      <c r="I816" s="57" t="str">
        <f>IF(Associates_Call_List_PQ!I816="","",Associates_Call_List_PQ!I816)</f>
        <v>R3-47</v>
      </c>
      <c r="J816" s="57" t="str">
        <f>IF(Associates_Call_List_PQ!J816="","",Associates_Call_List_PQ!J816)</f>
        <v>No</v>
      </c>
      <c r="K816" s="57" t="str">
        <f>IF(Associates_Call_List_PQ!K816="","",Associates_Call_List_PQ!K816)</f>
        <v>No</v>
      </c>
      <c r="L816" s="57" t="str">
        <f>IF(Associates_Call_List_PQ!L816="","",Associates_Call_List_PQ!L816)</f>
        <v>Yes</v>
      </c>
      <c r="M816" s="57" t="str">
        <f>IF(Associates_Call_List_PQ!M816="","",Associates_Call_List_PQ!M816)</f>
        <v>Yes</v>
      </c>
      <c r="N816" s="57">
        <f>IF(Associates_Call_List_PQ!N816="","",Associates_Call_List_PQ!N816)</f>
        <v>747.64</v>
      </c>
      <c r="O816" s="57" t="str">
        <f>IF(Associates_Call_List_PQ!O816="","",Associates_Call_List_PQ!O816)</f>
        <v>Yes</v>
      </c>
      <c r="P816" s="57" t="str">
        <f>IF(Associates_Call_List_PQ!P816="","",Associates_Call_List_PQ!P816)</f>
        <v/>
      </c>
      <c r="Q816" s="57">
        <f>IF(Associates_Call_List_PQ!Q816="","",Associates_Call_List_PQ!Q816)</f>
        <v>45960</v>
      </c>
      <c r="R816" s="57" t="str">
        <f>IF(Associates_Call_List_PQ!R816="","",Associates_Call_List_PQ!R816)</f>
        <v>Assistance?</v>
      </c>
      <c r="S816" s="57" t="str">
        <f>IF(Associates_Call_List_PQ!S816="","",Associates_Call_List_PQ!S816)</f>
        <v/>
      </c>
      <c r="T816" s="57" t="str">
        <f>IF(Associates_Call_List_PQ!T816="","",Associates_Call_List_PQ!T816)</f>
        <v/>
      </c>
      <c r="U816" s="57" t="str">
        <f>IF(Associates_Call_List_PQ!U816="","",Associates_Call_List_PQ!U816)</f>
        <v/>
      </c>
      <c r="V816" s="68" t="s">
        <v>5433</v>
      </c>
      <c r="W816" s="68">
        <v>45997</v>
      </c>
      <c r="X816" s="68"/>
      <c r="Y816" s="68"/>
      <c r="Z816" s="72" t="s">
        <v>5487</v>
      </c>
    </row>
    <row r="817" spans="1:26">
      <c r="A817" s="71">
        <f>IFERROR(Associates_Call_List_PQ!A817,"")</f>
        <v>45919</v>
      </c>
      <c r="B817" s="57" t="str">
        <f>IF(Associates_Call_List_PQ!B817="","",Associates_Call_List_PQ!B817)</f>
        <v>Sexton</v>
      </c>
      <c r="C817" s="57" t="str">
        <f>IF(Associates_Call_List_PQ!C817="","",Associates_Call_List_PQ!C817)</f>
        <v>Robert</v>
      </c>
      <c r="D817" s="57" t="str">
        <f>IF(Associates_Call_List_PQ!D817="","",Associates_Call_List_PQ!D817)</f>
        <v>Goodyear</v>
      </c>
      <c r="E817" s="58">
        <f>IF(Associates_Call_List_PQ!E817="","",Associates_Call_List_PQ!E817)</f>
        <v>85338</v>
      </c>
      <c r="F817" s="57" t="str">
        <f>IF(Associates_Call_List_PQ!F817="","",Associates_Call_List_PQ!F817)</f>
        <v>Strongly Oppose</v>
      </c>
      <c r="G817" s="57" t="str">
        <f>IF(Associates_Call_List_PQ!G817="","",Associates_Call_List_PQ!G817)</f>
        <v>https://docket.images.azcc.gov/E000046548.pdf</v>
      </c>
      <c r="H817" s="59" t="str">
        <f>IF(Associates_Call_List_PQ!H817="","",Associates_Call_List_PQ!H817)</f>
        <v>5316089188</v>
      </c>
      <c r="I817" s="57" t="str">
        <f>IF(Associates_Call_List_PQ!I817="","",Associates_Call_List_PQ!I817)</f>
        <v>R-BASIC</v>
      </c>
      <c r="J817" s="57" t="str">
        <f>IF(Associates_Call_List_PQ!J817="","",Associates_Call_List_PQ!J817)</f>
        <v>No</v>
      </c>
      <c r="K817" s="57" t="str">
        <f>IF(Associates_Call_List_PQ!K817="","",Associates_Call_List_PQ!K817)</f>
        <v>No</v>
      </c>
      <c r="L817" s="57" t="str">
        <f>IF(Associates_Call_List_PQ!L817="","",Associates_Call_List_PQ!L817)</f>
        <v>No MEP R-XS ($126.36)</v>
      </c>
      <c r="M817" s="57" t="str">
        <f>IF(Associates_Call_List_PQ!M817="","",Associates_Call_List_PQ!M817)</f>
        <v>No</v>
      </c>
      <c r="N817" s="57" t="str">
        <f>IF(Associates_Call_List_PQ!N817="","",Associates_Call_List_PQ!N817)</f>
        <v>No</v>
      </c>
      <c r="O817" s="57" t="str">
        <f>IF(Associates_Call_List_PQ!O817="","",Associates_Call_List_PQ!O817)</f>
        <v>Yes</v>
      </c>
      <c r="P817" s="57" t="str">
        <f>IF(Associates_Call_List_PQ!P817="","",Associates_Call_List_PQ!P817)</f>
        <v>N</v>
      </c>
      <c r="Q817" s="57">
        <f>IF(Associates_Call_List_PQ!Q817="","",Associates_Call_List_PQ!Q817)</f>
        <v>45960</v>
      </c>
      <c r="R817" s="57" t="str">
        <f>IF(Associates_Call_List_PQ!R817="","",Associates_Call_List_PQ!R817)</f>
        <v>Will reassign soon</v>
      </c>
      <c r="S817" s="57" t="str">
        <f>IF(Associates_Call_List_PQ!S817="","",Associates_Call_List_PQ!S817)</f>
        <v/>
      </c>
      <c r="T817" s="57" t="str">
        <f>IF(Associates_Call_List_PQ!T817="","",Associates_Call_List_PQ!T817)</f>
        <v/>
      </c>
      <c r="U817" s="57" t="str">
        <f>IF(Associates_Call_List_PQ!U817="","",Associates_Call_List_PQ!U817)</f>
        <v/>
      </c>
      <c r="V817" s="68" t="s">
        <v>5433</v>
      </c>
      <c r="W817" s="68">
        <v>45997</v>
      </c>
      <c r="X817" s="68" t="s">
        <v>5434</v>
      </c>
      <c r="Y817" s="68"/>
      <c r="Z817" s="72" t="s">
        <v>5488</v>
      </c>
    </row>
    <row r="818" spans="1:26">
      <c r="A818" s="71">
        <f>IFERROR(Associates_Call_List_PQ!A818,"")</f>
        <v>45919</v>
      </c>
      <c r="B818" s="57" t="str">
        <f>IF(Associates_Call_List_PQ!B818="","",Associates_Call_List_PQ!B818)</f>
        <v>Vollmer</v>
      </c>
      <c r="C818" s="57" t="str">
        <f>IF(Associates_Call_List_PQ!C818="","",Associates_Call_List_PQ!C818)</f>
        <v>Jacob</v>
      </c>
      <c r="D818" s="57" t="str">
        <f>IF(Associates_Call_List_PQ!D818="","",Associates_Call_List_PQ!D818)</f>
        <v>Unknown</v>
      </c>
      <c r="E818" s="58" t="str">
        <f>IF(Associates_Call_List_PQ!E818="","",Associates_Call_List_PQ!E818)</f>
        <v>Unknown</v>
      </c>
      <c r="F818" s="57" t="str">
        <f>IF(Associates_Call_List_PQ!F818="","",Associates_Call_List_PQ!F818)</f>
        <v>Opposed-Bogus rate increase, money grab</v>
      </c>
      <c r="G818" s="57" t="str">
        <f>IF(Associates_Call_List_PQ!G818="","",Associates_Call_List_PQ!G818)</f>
        <v>https://docket.images.azcc.gov/E000046548.pdf</v>
      </c>
      <c r="H818" s="59" t="str">
        <f>IF(Associates_Call_List_PQ!H818="","",Associates_Call_List_PQ!H818)</f>
        <v>9129688999</v>
      </c>
      <c r="I818" s="57" t="str">
        <f>IF(Associates_Call_List_PQ!I818="","",Associates_Call_List_PQ!I818)</f>
        <v>EPR-6w/ET-2</v>
      </c>
      <c r="J818" s="57" t="str">
        <f>IF(Associates_Call_List_PQ!J818="","",Associates_Call_List_PQ!J818)</f>
        <v>No</v>
      </c>
      <c r="K818" s="57" t="str">
        <f>IF(Associates_Call_List_PQ!K818="","",Associates_Call_List_PQ!K818)</f>
        <v>No</v>
      </c>
      <c r="L818" s="57" t="str">
        <f>IF(Associates_Call_List_PQ!L818="","",Associates_Call_List_PQ!L818)</f>
        <v>Frozen Rate</v>
      </c>
      <c r="M818" s="57" t="str">
        <f>IF(Associates_Call_List_PQ!M818="","",Associates_Call_List_PQ!M818)</f>
        <v>No</v>
      </c>
      <c r="N818" s="57" t="str">
        <f>IF(Associates_Call_List_PQ!N818="","",Associates_Call_List_PQ!N818)</f>
        <v>No</v>
      </c>
      <c r="O818" s="57" t="str">
        <f>IF(Associates_Call_List_PQ!O818="","",Associates_Call_List_PQ!O818)</f>
        <v>Yes</v>
      </c>
      <c r="P818" s="57" t="str">
        <f>IF(Associates_Call_List_PQ!P818="","",Associates_Call_List_PQ!P818)</f>
        <v>N</v>
      </c>
      <c r="Q818" s="57">
        <f>IF(Associates_Call_List_PQ!Q818="","",Associates_Call_List_PQ!Q818)</f>
        <v>45960</v>
      </c>
      <c r="R818" s="57" t="str">
        <f>IF(Associates_Call_List_PQ!R818="","",Associates_Call_List_PQ!R818)</f>
        <v/>
      </c>
      <c r="S818" s="57" t="str">
        <f>IF(Associates_Call_List_PQ!S818="","",Associates_Call_List_PQ!S818)</f>
        <v/>
      </c>
      <c r="T818" s="57" t="str">
        <f>IF(Associates_Call_List_PQ!T818="","",Associates_Call_List_PQ!T818)</f>
        <v/>
      </c>
      <c r="U818" s="57" t="str">
        <f>IF(Associates_Call_List_PQ!U818="","",Associates_Call_List_PQ!U818)</f>
        <v/>
      </c>
      <c r="V818" s="68" t="s">
        <v>5433</v>
      </c>
      <c r="W818" s="68">
        <v>45997</v>
      </c>
      <c r="X818" s="68"/>
      <c r="Y818" s="68"/>
      <c r="Z818" s="72" t="s">
        <v>5489</v>
      </c>
    </row>
    <row r="819" spans="1:26">
      <c r="A819" s="71">
        <f>IFERROR(Associates_Call_List_PQ!A819,"")</f>
        <v>45919</v>
      </c>
      <c r="B819" s="57" t="str">
        <f>IF(Associates_Call_List_PQ!B819="","",Associates_Call_List_PQ!B819)</f>
        <v>Schiff</v>
      </c>
      <c r="C819" s="57" t="str">
        <f>IF(Associates_Call_List_PQ!C819="","",Associates_Call_List_PQ!C819)</f>
        <v>Adam</v>
      </c>
      <c r="D819" s="57" t="str">
        <f>IF(Associates_Call_List_PQ!D819="","",Associates_Call_List_PQ!D819)</f>
        <v>Phoenix</v>
      </c>
      <c r="E819" s="58">
        <f>IF(Associates_Call_List_PQ!E819="","",Associates_Call_List_PQ!E819)</f>
        <v>85032</v>
      </c>
      <c r="F819" s="57" t="str">
        <f>IF(Associates_Call_List_PQ!F819="","",Associates_Call_List_PQ!F819)</f>
        <v>Opposed</v>
      </c>
      <c r="G819" s="57" t="str">
        <f>IF(Associates_Call_List_PQ!G819="","",Associates_Call_List_PQ!G819)</f>
        <v>https://docket.images.azcc.gov/E000046548.pdf</v>
      </c>
      <c r="H819" s="59" t="str">
        <f>IF(Associates_Call_List_PQ!H819="","",Associates_Call_List_PQ!H819)</f>
        <v>1326918238</v>
      </c>
      <c r="I819" s="57" t="str">
        <f>IF(Associates_Call_List_PQ!I819="","",Associates_Call_List_PQ!I819)</f>
        <v>EPR-6w/ET-2</v>
      </c>
      <c r="J819" s="57" t="str">
        <f>IF(Associates_Call_List_PQ!J819="","",Associates_Call_List_PQ!J819)</f>
        <v>No</v>
      </c>
      <c r="K819" s="57" t="str">
        <f>IF(Associates_Call_List_PQ!K819="","",Associates_Call_List_PQ!K819)</f>
        <v>No</v>
      </c>
      <c r="L819" s="57" t="str">
        <f>IF(Associates_Call_List_PQ!L819="","",Associates_Call_List_PQ!L819)</f>
        <v>Frozen Rate</v>
      </c>
      <c r="M819" s="57" t="str">
        <f>IF(Associates_Call_List_PQ!M819="","",Associates_Call_List_PQ!M819)</f>
        <v>No</v>
      </c>
      <c r="N819" s="57" t="str">
        <f>IF(Associates_Call_List_PQ!N819="","",Associates_Call_List_PQ!N819)</f>
        <v>No</v>
      </c>
      <c r="O819" s="57" t="str">
        <f>IF(Associates_Call_List_PQ!O819="","",Associates_Call_List_PQ!O819)</f>
        <v>Yes</v>
      </c>
      <c r="P819" s="57" t="str">
        <f>IF(Associates_Call_List_PQ!P819="","",Associates_Call_List_PQ!P819)</f>
        <v>N</v>
      </c>
      <c r="Q819" s="57">
        <f>IF(Associates_Call_List_PQ!Q819="","",Associates_Call_List_PQ!Q819)</f>
        <v>45960</v>
      </c>
      <c r="R819" s="57" t="str">
        <f>IF(Associates_Call_List_PQ!R819="","",Associates_Call_List_PQ!R819)</f>
        <v/>
      </c>
      <c r="S819" s="57" t="str">
        <f>IF(Associates_Call_List_PQ!S819="","",Associates_Call_List_PQ!S819)</f>
        <v/>
      </c>
      <c r="T819" s="57" t="str">
        <f>IF(Associates_Call_List_PQ!T819="","",Associates_Call_List_PQ!T819)</f>
        <v/>
      </c>
      <c r="U819" s="57" t="str">
        <f>IF(Associates_Call_List_PQ!U819="","",Associates_Call_List_PQ!U819)</f>
        <v/>
      </c>
      <c r="V819" s="68"/>
      <c r="W819" s="68" t="s">
        <v>5432</v>
      </c>
      <c r="X819" s="68"/>
      <c r="Y819" s="68"/>
      <c r="Z819" s="72"/>
    </row>
    <row r="820" spans="1:26">
      <c r="A820" s="71">
        <f>IFERROR(Associates_Call_List_PQ!A820,"")</f>
        <v>45919</v>
      </c>
      <c r="B820" s="57" t="str">
        <f>IF(Associates_Call_List_PQ!B820="","",Associates_Call_List_PQ!B820)</f>
        <v>Knaeble</v>
      </c>
      <c r="C820" s="57" t="str">
        <f>IF(Associates_Call_List_PQ!C820="","",Associates_Call_List_PQ!C820)</f>
        <v>Richard</v>
      </c>
      <c r="D820" s="57" t="str">
        <f>IF(Associates_Call_List_PQ!D820="","",Associates_Call_List_PQ!D820)</f>
        <v>Phoenix</v>
      </c>
      <c r="E820" s="58">
        <f>IF(Associates_Call_List_PQ!E820="","",Associates_Call_List_PQ!E820)</f>
        <v>85022</v>
      </c>
      <c r="F820" s="57" t="str">
        <f>IF(Associates_Call_List_PQ!F820="","",Associates_Call_List_PQ!F820)</f>
        <v>Opposed-Charge data centers more</v>
      </c>
      <c r="G820" s="57" t="str">
        <f>IF(Associates_Call_List_PQ!G820="","",Associates_Call_List_PQ!G820)</f>
        <v>https://docket.images.azcc.gov/E000046548.pdf</v>
      </c>
      <c r="H820" s="59" t="str">
        <f>IF(Associates_Call_List_PQ!H820="","",Associates_Call_List_PQ!H820)</f>
        <v>6830451000</v>
      </c>
      <c r="I820" s="57" t="str">
        <f>IF(Associates_Call_List_PQ!I820="","",Associates_Call_List_PQ!I820)</f>
        <v>R3-47</v>
      </c>
      <c r="J820" s="57" t="str">
        <f>IF(Associates_Call_List_PQ!J820="","",Associates_Call_List_PQ!J820)</f>
        <v>No</v>
      </c>
      <c r="K820" s="57" t="str">
        <f>IF(Associates_Call_List_PQ!K820="","",Associates_Call_List_PQ!K820)</f>
        <v>No</v>
      </c>
      <c r="L820" s="57" t="str">
        <f>IF(Associates_Call_List_PQ!L820="","",Associates_Call_List_PQ!L820)</f>
        <v>Yes</v>
      </c>
      <c r="M820" s="57" t="str">
        <f>IF(Associates_Call_List_PQ!M820="","",Associates_Call_List_PQ!M820)</f>
        <v>No</v>
      </c>
      <c r="N820" s="57" t="str">
        <f>IF(Associates_Call_List_PQ!N820="","",Associates_Call_List_PQ!N820)</f>
        <v>No</v>
      </c>
      <c r="O820" s="57" t="str">
        <f>IF(Associates_Call_List_PQ!O820="","",Associates_Call_List_PQ!O820)</f>
        <v>Yes</v>
      </c>
      <c r="P820" s="57" t="str">
        <f>IF(Associates_Call_List_PQ!P820="","",Associates_Call_List_PQ!P820)</f>
        <v>N</v>
      </c>
      <c r="Q820" s="57">
        <f>IF(Associates_Call_List_PQ!Q820="","",Associates_Call_List_PQ!Q820)</f>
        <v>45960</v>
      </c>
      <c r="R820" s="57" t="str">
        <f>IF(Associates_Call_List_PQ!R820="","",Associates_Call_List_PQ!R820)</f>
        <v/>
      </c>
      <c r="S820" s="57" t="str">
        <f>IF(Associates_Call_List_PQ!S820="","",Associates_Call_List_PQ!S820)</f>
        <v/>
      </c>
      <c r="T820" s="57" t="str">
        <f>IF(Associates_Call_List_PQ!T820="","",Associates_Call_List_PQ!T820)</f>
        <v/>
      </c>
      <c r="U820" s="57" t="str">
        <f>IF(Associates_Call_List_PQ!U820="","",Associates_Call_List_PQ!U820)</f>
        <v/>
      </c>
      <c r="V820" s="68" t="s">
        <v>5433</v>
      </c>
      <c r="W820" s="68">
        <v>46074</v>
      </c>
      <c r="X820" s="68" t="s">
        <v>5405</v>
      </c>
      <c r="Y820" s="68"/>
      <c r="Z820" s="72" t="s">
        <v>5613</v>
      </c>
    </row>
    <row r="821" spans="1:26">
      <c r="A821" s="71">
        <f>IFERROR(Associates_Call_List_PQ!A821,"")</f>
        <v>45919</v>
      </c>
      <c r="B821" s="57" t="str">
        <f>IF(Associates_Call_List_PQ!B821="","",Associates_Call_List_PQ!B821)</f>
        <v>Valerio</v>
      </c>
      <c r="C821" s="57" t="str">
        <f>IF(Associates_Call_List_PQ!C821="","",Associates_Call_List_PQ!C821)</f>
        <v>Veronica R.</v>
      </c>
      <c r="D821" s="57" t="str">
        <f>IF(Associates_Call_List_PQ!D821="","",Associates_Call_List_PQ!D821)</f>
        <v>Prescott</v>
      </c>
      <c r="E821" s="58">
        <f>IF(Associates_Call_List_PQ!E821="","",Associates_Call_List_PQ!E821)</f>
        <v>86303</v>
      </c>
      <c r="F821" s="57" t="str">
        <f>IF(Associates_Call_List_PQ!F821="","",Associates_Call_List_PQ!F821)</f>
        <v>Opposed-increase is concerning</v>
      </c>
      <c r="G821" s="57" t="str">
        <f>IF(Associates_Call_List_PQ!G821="","",Associates_Call_List_PQ!G821)</f>
        <v>https://docket.images.azcc.gov/E000046548.pdf</v>
      </c>
      <c r="H821" s="59" t="str">
        <f>IF(Associates_Call_List_PQ!H821="","",Associates_Call_List_PQ!H821)</f>
        <v>9727210000</v>
      </c>
      <c r="I821" s="57" t="str">
        <f>IF(Associates_Call_List_PQ!I821="","",Associates_Call_List_PQ!I821)</f>
        <v>R-BASIC</v>
      </c>
      <c r="J821" s="57" t="str">
        <f>IF(Associates_Call_List_PQ!J821="","",Associates_Call_List_PQ!J821)</f>
        <v>No</v>
      </c>
      <c r="K821" s="57" t="str">
        <f>IF(Associates_Call_List_PQ!K821="","",Associates_Call_List_PQ!K821)</f>
        <v>No</v>
      </c>
      <c r="L821" s="57" t="str">
        <f>IF(Associates_Call_List_PQ!L821="","",Associates_Call_List_PQ!L821)</f>
        <v>Yes</v>
      </c>
      <c r="M821" s="57" t="str">
        <f>IF(Associates_Call_List_PQ!M821="","",Associates_Call_List_PQ!M821)</f>
        <v>No</v>
      </c>
      <c r="N821" s="57" t="str">
        <f>IF(Associates_Call_List_PQ!N821="","",Associates_Call_List_PQ!N821)</f>
        <v>No</v>
      </c>
      <c r="O821" s="57" t="str">
        <f>IF(Associates_Call_List_PQ!O821="","",Associates_Call_List_PQ!O821)</f>
        <v>Yes</v>
      </c>
      <c r="P821" s="57" t="str">
        <f>IF(Associates_Call_List_PQ!P821="","",Associates_Call_List_PQ!P821)</f>
        <v>N</v>
      </c>
      <c r="Q821" s="57">
        <f>IF(Associates_Call_List_PQ!Q821="","",Associates_Call_List_PQ!Q821)</f>
        <v>45960</v>
      </c>
      <c r="R821" s="57" t="str">
        <f>IF(Associates_Call_List_PQ!R821="","",Associates_Call_List_PQ!R821)</f>
        <v/>
      </c>
      <c r="S821" s="57" t="str">
        <f>IF(Associates_Call_List_PQ!S821="","",Associates_Call_List_PQ!S821)</f>
        <v/>
      </c>
      <c r="T821" s="57" t="str">
        <f>IF(Associates_Call_List_PQ!T821="","",Associates_Call_List_PQ!T821)</f>
        <v/>
      </c>
      <c r="U821" s="57" t="str">
        <f>IF(Associates_Call_List_PQ!U821="","",Associates_Call_List_PQ!U821)</f>
        <v/>
      </c>
      <c r="V821" s="68" t="s">
        <v>5433</v>
      </c>
      <c r="W821" s="68">
        <v>45997</v>
      </c>
      <c r="X821" s="68"/>
      <c r="Y821" s="68"/>
      <c r="Z821" s="72" t="s">
        <v>5490</v>
      </c>
    </row>
    <row r="822" spans="1:26">
      <c r="A822" s="71">
        <f>IFERROR(Associates_Call_List_PQ!A822,"")</f>
        <v>45919</v>
      </c>
      <c r="B822" s="57" t="str">
        <f>IF(Associates_Call_List_PQ!B822="","",Associates_Call_List_PQ!B822)</f>
        <v>Eggert</v>
      </c>
      <c r="C822" s="57" t="str">
        <f>IF(Associates_Call_List_PQ!C822="","",Associates_Call_List_PQ!C822)</f>
        <v>Kimberly</v>
      </c>
      <c r="D822" s="57" t="str">
        <f>IF(Associates_Call_List_PQ!D822="","",Associates_Call_List_PQ!D822)</f>
        <v>Scottsdale</v>
      </c>
      <c r="E822" s="58">
        <f>IF(Associates_Call_List_PQ!E822="","",Associates_Call_List_PQ!E822)</f>
        <v>85260</v>
      </c>
      <c r="F822" s="57" t="str">
        <f>IF(Associates_Call_List_PQ!F822="","",Associates_Call_List_PQ!F822)</f>
        <v>Opposed-Is there a reason AZ doesn’t allow competition?</v>
      </c>
      <c r="G822" s="57" t="str">
        <f>IF(Associates_Call_List_PQ!G822="","",Associates_Call_List_PQ!G822)</f>
        <v>https://docket.images.azcc.gov/E000046554.pdf</v>
      </c>
      <c r="H822" s="59" t="str">
        <f>IF(Associates_Call_List_PQ!H822="","",Associates_Call_List_PQ!H822)</f>
        <v>4021850045</v>
      </c>
      <c r="I822" s="57" t="str">
        <f>IF(Associates_Call_List_PQ!I822="","",Associates_Call_List_PQ!I822)</f>
        <v>R3-47</v>
      </c>
      <c r="J822" s="57" t="str">
        <f>IF(Associates_Call_List_PQ!J822="","",Associates_Call_List_PQ!J822)</f>
        <v>No</v>
      </c>
      <c r="K822" s="57" t="str">
        <f>IF(Associates_Call_List_PQ!K822="","",Associates_Call_List_PQ!K822)</f>
        <v>No</v>
      </c>
      <c r="L822" s="57" t="str">
        <f>IF(Associates_Call_List_PQ!L822="","",Associates_Call_List_PQ!L822)</f>
        <v>Y</v>
      </c>
      <c r="M822" s="57" t="str">
        <f>IF(Associates_Call_List_PQ!M822="","",Associates_Call_List_PQ!M822)</f>
        <v>No</v>
      </c>
      <c r="N822" s="57" t="str">
        <f>IF(Associates_Call_List_PQ!N822="","",Associates_Call_List_PQ!N822)</f>
        <v>No</v>
      </c>
      <c r="O822" s="57" t="str">
        <f>IF(Associates_Call_List_PQ!O822="","",Associates_Call_List_PQ!O822)</f>
        <v>Yes</v>
      </c>
      <c r="P822" s="57" t="str">
        <f>IF(Associates_Call_List_PQ!P822="","",Associates_Call_List_PQ!P822)</f>
        <v>N</v>
      </c>
      <c r="Q822" s="57">
        <f>IF(Associates_Call_List_PQ!Q822="","",Associates_Call_List_PQ!Q822)</f>
        <v>45960</v>
      </c>
      <c r="R822" s="57" t="str">
        <f>IF(Associates_Call_List_PQ!R822="","",Associates_Call_List_PQ!R822)</f>
        <v/>
      </c>
      <c r="S822" s="57" t="str">
        <f>IF(Associates_Call_List_PQ!S822="","",Associates_Call_List_PQ!S822)</f>
        <v/>
      </c>
      <c r="T822" s="57" t="str">
        <f>IF(Associates_Call_List_PQ!T822="","",Associates_Call_List_PQ!T822)</f>
        <v/>
      </c>
      <c r="U822" s="57" t="str">
        <f>IF(Associates_Call_List_PQ!U822="","",Associates_Call_List_PQ!U822)</f>
        <v/>
      </c>
      <c r="V822" s="68" t="s">
        <v>5433</v>
      </c>
      <c r="W822" s="68">
        <v>46074</v>
      </c>
      <c r="X822" s="68" t="s">
        <v>5405</v>
      </c>
      <c r="Y822" s="68" t="s">
        <v>5461</v>
      </c>
      <c r="Z822" s="72"/>
    </row>
    <row r="823" spans="1:26">
      <c r="A823" s="71">
        <f>IFERROR(Associates_Call_List_PQ!A823,"")</f>
        <v>45919</v>
      </c>
      <c r="B823" s="57" t="str">
        <f>IF(Associates_Call_List_PQ!B823="","",Associates_Call_List_PQ!B823)</f>
        <v>Bottlinger</v>
      </c>
      <c r="C823" s="57" t="str">
        <f>IF(Associates_Call_List_PQ!C823="","",Associates_Call_List_PQ!C823)</f>
        <v>Janelle</v>
      </c>
      <c r="D823" s="57" t="str">
        <f>IF(Associates_Call_List_PQ!D823="","",Associates_Call_List_PQ!D823)</f>
        <v>Phoenix</v>
      </c>
      <c r="E823" s="58">
        <f>IF(Associates_Call_List_PQ!E823="","",Associates_Call_List_PQ!E823)</f>
        <v>85013</v>
      </c>
      <c r="F823" s="57" t="str">
        <f>IF(Associates_Call_List_PQ!F823="","",Associates_Call_List_PQ!F823)</f>
        <v>Rates are extremely expensive</v>
      </c>
      <c r="G823" s="57" t="str">
        <f>IF(Associates_Call_List_PQ!G823="","",Associates_Call_List_PQ!G823)</f>
        <v>https://docket.images.azcc.gov/E000046554.pdf</v>
      </c>
      <c r="H823" s="59" t="str">
        <f>IF(Associates_Call_List_PQ!H823="","",Associates_Call_List_PQ!H823)</f>
        <v>0823076351</v>
      </c>
      <c r="I823" s="57" t="str">
        <f>IF(Associates_Call_List_PQ!I823="","",Associates_Call_List_PQ!I823)</f>
        <v>R3-47</v>
      </c>
      <c r="J823" s="57" t="str">
        <f>IF(Associates_Call_List_PQ!J823="","",Associates_Call_List_PQ!J823)</f>
        <v>No</v>
      </c>
      <c r="K823" s="57" t="str">
        <f>IF(Associates_Call_List_PQ!K823="","",Associates_Call_List_PQ!K823)</f>
        <v>No</v>
      </c>
      <c r="L823" s="57" t="str">
        <f>IF(Associates_Call_List_PQ!L823="","",Associates_Call_List_PQ!L823)</f>
        <v>Y</v>
      </c>
      <c r="M823" s="57" t="str">
        <f>IF(Associates_Call_List_PQ!M823="","",Associates_Call_List_PQ!M823)</f>
        <v>No</v>
      </c>
      <c r="N823" s="57" t="str">
        <f>IF(Associates_Call_List_PQ!N823="","",Associates_Call_List_PQ!N823)</f>
        <v>No</v>
      </c>
      <c r="O823" s="57" t="str">
        <f>IF(Associates_Call_List_PQ!O823="","",Associates_Call_List_PQ!O823)</f>
        <v>Yes</v>
      </c>
      <c r="P823" s="57" t="str">
        <f>IF(Associates_Call_List_PQ!P823="","",Associates_Call_List_PQ!P823)</f>
        <v>N</v>
      </c>
      <c r="Q823" s="57">
        <f>IF(Associates_Call_List_PQ!Q823="","",Associates_Call_List_PQ!Q823)</f>
        <v>45960</v>
      </c>
      <c r="R823" s="57" t="str">
        <f>IF(Associates_Call_List_PQ!R823="","",Associates_Call_List_PQ!R823)</f>
        <v>Filed Multiple Complaints</v>
      </c>
      <c r="S823" s="57" t="str">
        <f>IF(Associates_Call_List_PQ!S823="","",Associates_Call_List_PQ!S823)</f>
        <v/>
      </c>
      <c r="T823" s="57" t="str">
        <f>IF(Associates_Call_List_PQ!T823="","",Associates_Call_List_PQ!T823)</f>
        <v/>
      </c>
      <c r="U823" s="57" t="str">
        <f>IF(Associates_Call_List_PQ!U823="","",Associates_Call_List_PQ!U823)</f>
        <v/>
      </c>
      <c r="V823" s="68"/>
      <c r="W823" s="68" t="s">
        <v>5432</v>
      </c>
      <c r="X823" s="68"/>
      <c r="Y823" s="68"/>
      <c r="Z823" s="72"/>
    </row>
    <row r="824" spans="1:26">
      <c r="A824" s="71">
        <f>IFERROR(Associates_Call_List_PQ!A824,"")</f>
        <v>45919</v>
      </c>
      <c r="B824" s="57" t="str">
        <f>IF(Associates_Call_List_PQ!B824="","",Associates_Call_List_PQ!B824)</f>
        <v>Funk</v>
      </c>
      <c r="C824" s="57" t="str">
        <f>IF(Associates_Call_List_PQ!C824="","",Associates_Call_List_PQ!C824)</f>
        <v>Cecilia</v>
      </c>
      <c r="D824" s="57" t="str">
        <f>IF(Associates_Call_List_PQ!D824="","",Associates_Call_List_PQ!D824)</f>
        <v>Surprise</v>
      </c>
      <c r="E824" s="58">
        <f>IF(Associates_Call_List_PQ!E824="","",Associates_Call_List_PQ!E824)</f>
        <v>85388</v>
      </c>
      <c r="F824" s="57" t="str">
        <f>IF(Associates_Call_List_PQ!F824="","",Associates_Call_List_PQ!F824)</f>
        <v>Form letter</v>
      </c>
      <c r="G824" s="57" t="str">
        <f>IF(Associates_Call_List_PQ!G824="","",Associates_Call_List_PQ!G824)</f>
        <v>https://docket.images.azcc.gov/E000046554.pdf</v>
      </c>
      <c r="H824" s="59" t="str">
        <f>IF(Associates_Call_List_PQ!H824="","",Associates_Call_List_PQ!H824)</f>
        <v>2291912909</v>
      </c>
      <c r="I824" s="57" t="str">
        <f>IF(Associates_Call_List_PQ!I824="","",Associates_Call_List_PQ!I824)</f>
        <v>RCPw/RTOUE47</v>
      </c>
      <c r="J824" s="57" t="str">
        <f>IF(Associates_Call_List_PQ!J824="","",Associates_Call_List_PQ!J824)</f>
        <v>No</v>
      </c>
      <c r="K824" s="57" t="str">
        <f>IF(Associates_Call_List_PQ!K824="","",Associates_Call_List_PQ!K824)</f>
        <v>No</v>
      </c>
      <c r="L824" s="57" t="str">
        <f>IF(Associates_Call_List_PQ!L824="","",Associates_Call_List_PQ!L824)</f>
        <v>Y</v>
      </c>
      <c r="M824" s="57" t="str">
        <f>IF(Associates_Call_List_PQ!M824="","",Associates_Call_List_PQ!M824)</f>
        <v>No</v>
      </c>
      <c r="N824" s="57" t="str">
        <f>IF(Associates_Call_List_PQ!N824="","",Associates_Call_List_PQ!N824)</f>
        <v>No</v>
      </c>
      <c r="O824" s="57" t="str">
        <f>IF(Associates_Call_List_PQ!O824="","",Associates_Call_List_PQ!O824)</f>
        <v>Yes</v>
      </c>
      <c r="P824" s="57" t="str">
        <f>IF(Associates_Call_List_PQ!P824="","",Associates_Call_List_PQ!P824)</f>
        <v>N</v>
      </c>
      <c r="Q824" s="57">
        <f>IF(Associates_Call_List_PQ!Q824="","",Associates_Call_List_PQ!Q824)</f>
        <v>45960</v>
      </c>
      <c r="R824" s="57" t="str">
        <f>IF(Associates_Call_List_PQ!R824="","",Associates_Call_List_PQ!R824)</f>
        <v/>
      </c>
      <c r="S824" s="57" t="str">
        <f>IF(Associates_Call_List_PQ!S824="","",Associates_Call_List_PQ!S824)</f>
        <v/>
      </c>
      <c r="T824" s="57" t="str">
        <f>IF(Associates_Call_List_PQ!T824="","",Associates_Call_List_PQ!T824)</f>
        <v/>
      </c>
      <c r="U824" s="57" t="str">
        <f>IF(Associates_Call_List_PQ!U824="","",Associates_Call_List_PQ!U824)</f>
        <v/>
      </c>
      <c r="V824" s="68" t="s">
        <v>5433</v>
      </c>
      <c r="W824" s="68">
        <v>46074</v>
      </c>
      <c r="X824" s="68" t="s">
        <v>5434</v>
      </c>
      <c r="Y824" s="68"/>
      <c r="Z824" s="72" t="s">
        <v>5547</v>
      </c>
    </row>
    <row r="825" spans="1:26">
      <c r="A825" s="71">
        <f>IFERROR(Associates_Call_List_PQ!A825,"")</f>
        <v>45919</v>
      </c>
      <c r="B825" s="57" t="str">
        <f>IF(Associates_Call_List_PQ!B825="","",Associates_Call_List_PQ!B825)</f>
        <v>Gibson</v>
      </c>
      <c r="C825" s="57" t="str">
        <f>IF(Associates_Call_List_PQ!C825="","",Associates_Call_List_PQ!C825)</f>
        <v>Pamela</v>
      </c>
      <c r="D825" s="57" t="str">
        <f>IF(Associates_Call_List_PQ!D825="","",Associates_Call_List_PQ!D825)</f>
        <v>Surprise</v>
      </c>
      <c r="E825" s="58">
        <f>IF(Associates_Call_List_PQ!E825="","",Associates_Call_List_PQ!E825)</f>
        <v>85374</v>
      </c>
      <c r="F825" s="57" t="str">
        <f>IF(Associates_Call_List_PQ!F825="","",Associates_Call_List_PQ!F825)</f>
        <v>No one can keep up with their bills</v>
      </c>
      <c r="G825" s="57" t="str">
        <f>IF(Associates_Call_List_PQ!G825="","",Associates_Call_List_PQ!G825)</f>
        <v>https://docket.images.azcc.gov/E000046554.pdf</v>
      </c>
      <c r="H825" s="59" t="str">
        <f>IF(Associates_Call_List_PQ!H825="","",Associates_Call_List_PQ!H825)</f>
        <v>3159030000</v>
      </c>
      <c r="I825" s="57" t="str">
        <f>IF(Associates_Call_List_PQ!I825="","",Associates_Call_List_PQ!I825)</f>
        <v>R3-47</v>
      </c>
      <c r="J825" s="57" t="str">
        <f>IF(Associates_Call_List_PQ!J825="","",Associates_Call_List_PQ!J825)</f>
        <v>No</v>
      </c>
      <c r="K825" s="57" t="str">
        <f>IF(Associates_Call_List_PQ!K825="","",Associates_Call_List_PQ!K825)</f>
        <v>No</v>
      </c>
      <c r="L825" s="57" t="str">
        <f>IF(Associates_Call_List_PQ!L825="","",Associates_Call_List_PQ!L825)</f>
        <v>Y</v>
      </c>
      <c r="M825" s="57" t="str">
        <f>IF(Associates_Call_List_PQ!M825="","",Associates_Call_List_PQ!M825)</f>
        <v>No</v>
      </c>
      <c r="N825" s="57" t="str">
        <f>IF(Associates_Call_List_PQ!N825="","",Associates_Call_List_PQ!N825)</f>
        <v>No</v>
      </c>
      <c r="O825" s="57" t="str">
        <f>IF(Associates_Call_List_PQ!O825="","",Associates_Call_List_PQ!O825)</f>
        <v>Yes</v>
      </c>
      <c r="P825" s="57" t="str">
        <f>IF(Associates_Call_List_PQ!P825="","",Associates_Call_List_PQ!P825)</f>
        <v>N</v>
      </c>
      <c r="Q825" s="57">
        <f>IF(Associates_Call_List_PQ!Q825="","",Associates_Call_List_PQ!Q825)</f>
        <v>45960</v>
      </c>
      <c r="R825" s="57" t="str">
        <f>IF(Associates_Call_List_PQ!R825="","",Associates_Call_List_PQ!R825)</f>
        <v/>
      </c>
      <c r="S825" s="57" t="str">
        <f>IF(Associates_Call_List_PQ!S825="","",Associates_Call_List_PQ!S825)</f>
        <v/>
      </c>
      <c r="T825" s="57" t="str">
        <f>IF(Associates_Call_List_PQ!T825="","",Associates_Call_List_PQ!T825)</f>
        <v/>
      </c>
      <c r="U825" s="57" t="str">
        <f>IF(Associates_Call_List_PQ!U825="","",Associates_Call_List_PQ!U825)</f>
        <v/>
      </c>
      <c r="V825" s="68"/>
      <c r="W825" s="68" t="s">
        <v>5432</v>
      </c>
      <c r="X825" s="68"/>
      <c r="Y825" s="68"/>
      <c r="Z825" s="72"/>
    </row>
    <row r="826" spans="1:26">
      <c r="A826" s="71">
        <f>IFERROR(Associates_Call_List_PQ!A826,"")</f>
        <v>45921</v>
      </c>
      <c r="B826" s="57" t="str">
        <f>IF(Associates_Call_List_PQ!B826="","",Associates_Call_List_PQ!B826)</f>
        <v>Haggard</v>
      </c>
      <c r="C826" s="57" t="str">
        <f>IF(Associates_Call_List_PQ!C826="","",Associates_Call_List_PQ!C826)</f>
        <v>Jonathan</v>
      </c>
      <c r="D826" s="57" t="str">
        <f>IF(Associates_Call_List_PQ!D826="","",Associates_Call_List_PQ!D826)</f>
        <v>Tempe</v>
      </c>
      <c r="E826" s="58">
        <f>IF(Associates_Call_List_PQ!E826="","",Associates_Call_List_PQ!E826)</f>
        <v>85281</v>
      </c>
      <c r="F826" s="57" t="str">
        <f>IF(Associates_Call_List_PQ!F826="","",Associates_Call_List_PQ!F826)</f>
        <v>Opposed- no reason for a rate hike</v>
      </c>
      <c r="G826" s="57" t="str">
        <f>IF(Associates_Call_List_PQ!G826="","",Associates_Call_List_PQ!G826)</f>
        <v>https://docket.images.azcc.gov/E000046554.pdf</v>
      </c>
      <c r="H826" s="59" t="str">
        <f>IF(Associates_Call_List_PQ!H826="","",Associates_Call_List_PQ!H826)</f>
        <v>1450385073</v>
      </c>
      <c r="I826" s="57" t="str">
        <f>IF(Associates_Call_List_PQ!I826="","",Associates_Call_List_PQ!I826)</f>
        <v>R3-47</v>
      </c>
      <c r="J826" s="57" t="str">
        <f>IF(Associates_Call_List_PQ!J826="","",Associates_Call_List_PQ!J826)</f>
        <v>No</v>
      </c>
      <c r="K826" s="57" t="str">
        <f>IF(Associates_Call_List_PQ!K826="","",Associates_Call_List_PQ!K826)</f>
        <v>No</v>
      </c>
      <c r="L826" s="57" t="str">
        <f>IF(Associates_Call_List_PQ!L826="","",Associates_Call_List_PQ!L826)</f>
        <v>Not eligible yet (needs 3 months)</v>
      </c>
      <c r="M826" s="57" t="str">
        <f>IF(Associates_Call_List_PQ!M826="","",Associates_Call_List_PQ!M826)</f>
        <v>No</v>
      </c>
      <c r="N826" s="57" t="str">
        <f>IF(Associates_Call_List_PQ!N826="","",Associates_Call_List_PQ!N826)</f>
        <v>No</v>
      </c>
      <c r="O826" s="57" t="str">
        <f>IF(Associates_Call_List_PQ!O826="","",Associates_Call_List_PQ!O826)</f>
        <v>Yes</v>
      </c>
      <c r="P826" s="57" t="str">
        <f>IF(Associates_Call_List_PQ!P826="","",Associates_Call_List_PQ!P826)</f>
        <v>N</v>
      </c>
      <c r="Q826" s="57">
        <f>IF(Associates_Call_List_PQ!Q826="","",Associates_Call_List_PQ!Q826)</f>
        <v>45960</v>
      </c>
      <c r="R826" s="57" t="str">
        <f>IF(Associates_Call_List_PQ!R826="","",Associates_Call_List_PQ!R826)</f>
        <v/>
      </c>
      <c r="S826" s="57" t="str">
        <f>IF(Associates_Call_List_PQ!S826="","",Associates_Call_List_PQ!S826)</f>
        <v/>
      </c>
      <c r="T826" s="57" t="str">
        <f>IF(Associates_Call_List_PQ!T826="","",Associates_Call_List_PQ!T826)</f>
        <v/>
      </c>
      <c r="U826" s="57" t="str">
        <f>IF(Associates_Call_List_PQ!U826="","",Associates_Call_List_PQ!U826)</f>
        <v/>
      </c>
      <c r="V826" s="68" t="s">
        <v>5433</v>
      </c>
      <c r="W826" s="68">
        <v>46053</v>
      </c>
      <c r="X826" s="68" t="s">
        <v>5434</v>
      </c>
      <c r="Y826" s="68"/>
      <c r="Z826" s="72" t="s">
        <v>5599</v>
      </c>
    </row>
    <row r="827" spans="1:26">
      <c r="A827" s="71">
        <f>IFERROR(Associates_Call_List_PQ!A827,"")</f>
        <v>45922</v>
      </c>
      <c r="B827" s="57" t="str">
        <f>IF(Associates_Call_List_PQ!B827="","",Associates_Call_List_PQ!B827)</f>
        <v>Peralta</v>
      </c>
      <c r="C827" s="57" t="str">
        <f>IF(Associates_Call_List_PQ!C827="","",Associates_Call_List_PQ!C827)</f>
        <v>Christopher</v>
      </c>
      <c r="D827" s="57" t="str">
        <f>IF(Associates_Call_List_PQ!D827="","",Associates_Call_List_PQ!D827)</f>
        <v>Gilbert</v>
      </c>
      <c r="E827" s="58">
        <f>IF(Associates_Call_List_PQ!E827="","",Associates_Call_List_PQ!E827)</f>
        <v>85296</v>
      </c>
      <c r="F827" s="57" t="str">
        <f>IF(Associates_Call_List_PQ!F827="","",Associates_Call_List_PQ!F827)</f>
        <v>Opposed-We need full disclosure on spending</v>
      </c>
      <c r="G827" s="57" t="str">
        <f>IF(Associates_Call_List_PQ!G827="","",Associates_Call_List_PQ!G827)</f>
        <v>https://docket.images.azcc.gov/E000046554.pdf</v>
      </c>
      <c r="H827" s="59" t="str">
        <f>IF(Associates_Call_List_PQ!H827="","",Associates_Call_List_PQ!H827)</f>
        <v>4978619668</v>
      </c>
      <c r="I827" s="57" t="str">
        <f>IF(Associates_Call_List_PQ!I827="","",Associates_Call_List_PQ!I827)</f>
        <v>R3-47</v>
      </c>
      <c r="J827" s="57" t="str">
        <f>IF(Associates_Call_List_PQ!J827="","",Associates_Call_List_PQ!J827)</f>
        <v>No</v>
      </c>
      <c r="K827" s="57" t="str">
        <f>IF(Associates_Call_List_PQ!K827="","",Associates_Call_List_PQ!K827)</f>
        <v>No</v>
      </c>
      <c r="L827" s="57" t="str">
        <f>IF(Associates_Call_List_PQ!L827="","",Associates_Call_List_PQ!L827)</f>
        <v>Y</v>
      </c>
      <c r="M827" s="57" t="str">
        <f>IF(Associates_Call_List_PQ!M827="","",Associates_Call_List_PQ!M827)</f>
        <v>Yes</v>
      </c>
      <c r="N827" s="57">
        <f>IF(Associates_Call_List_PQ!N827="","",Associates_Call_List_PQ!N827)</f>
        <v>507.13</v>
      </c>
      <c r="O827" s="57" t="str">
        <f>IF(Associates_Call_List_PQ!O827="","",Associates_Call_List_PQ!O827)</f>
        <v>Yes</v>
      </c>
      <c r="P827" s="57" t="str">
        <f>IF(Associates_Call_List_PQ!P827="","",Associates_Call_List_PQ!P827)</f>
        <v/>
      </c>
      <c r="Q827" s="57">
        <f>IF(Associates_Call_List_PQ!Q827="","",Associates_Call_List_PQ!Q827)</f>
        <v>45960</v>
      </c>
      <c r="R827" s="57" t="str">
        <f>IF(Associates_Call_List_PQ!R827="","",Associates_Call_List_PQ!R827)</f>
        <v>Assistance?</v>
      </c>
      <c r="S827" s="57" t="str">
        <f>IF(Associates_Call_List_PQ!S827="","",Associates_Call_List_PQ!S827)</f>
        <v/>
      </c>
      <c r="T827" s="57" t="str">
        <f>IF(Associates_Call_List_PQ!T827="","",Associates_Call_List_PQ!T827)</f>
        <v/>
      </c>
      <c r="U827" s="57" t="str">
        <f>IF(Associates_Call_List_PQ!U827="","",Associates_Call_List_PQ!U827)</f>
        <v/>
      </c>
      <c r="V827" s="68" t="s">
        <v>5433</v>
      </c>
      <c r="W827" s="68">
        <v>46039</v>
      </c>
      <c r="X827" s="68" t="s">
        <v>5405</v>
      </c>
      <c r="Y827" s="68" t="s">
        <v>5461</v>
      </c>
      <c r="Z827" s="72" t="s">
        <v>5650</v>
      </c>
    </row>
    <row r="828" spans="1:26">
      <c r="A828" s="71">
        <f>IFERROR(Associates_Call_List_PQ!A828,"")</f>
        <v>45922</v>
      </c>
      <c r="B828" s="57" t="str">
        <f>IF(Associates_Call_List_PQ!B828="","",Associates_Call_List_PQ!B828)</f>
        <v>LeVangie</v>
      </c>
      <c r="C828" s="57" t="str">
        <f>IF(Associates_Call_List_PQ!C828="","",Associates_Call_List_PQ!C828)</f>
        <v>Richard</v>
      </c>
      <c r="D828" s="57" t="str">
        <f>IF(Associates_Call_List_PQ!D828="","",Associates_Call_List_PQ!D828)</f>
        <v>Phoenix</v>
      </c>
      <c r="E828" s="58">
        <f>IF(Associates_Call_List_PQ!E828="","",Associates_Call_List_PQ!E828)</f>
        <v>85023</v>
      </c>
      <c r="F828" s="57" t="str">
        <f>IF(Associates_Call_List_PQ!F828="","",Associates_Call_List_PQ!F828)</f>
        <v>Opposed-I'm moving to SRP territory</v>
      </c>
      <c r="G828" s="57" t="str">
        <f>IF(Associates_Call_List_PQ!G828="","",Associates_Call_List_PQ!G828)</f>
        <v>https://docket.images.azcc.gov/E000046554.pdf</v>
      </c>
      <c r="H828" s="59" t="str">
        <f>IF(Associates_Call_List_PQ!H828="","",Associates_Call_List_PQ!H828)</f>
        <v>2646435979</v>
      </c>
      <c r="I828" s="57" t="str">
        <f>IF(Associates_Call_List_PQ!I828="","",Associates_Call_List_PQ!I828)</f>
        <v>R3-47</v>
      </c>
      <c r="J828" s="57" t="str">
        <f>IF(Associates_Call_List_PQ!J828="","",Associates_Call_List_PQ!J828)</f>
        <v>Yes</v>
      </c>
      <c r="K828" s="57" t="str">
        <f>IF(Associates_Call_List_PQ!K828="","",Associates_Call_List_PQ!K828)</f>
        <v>No</v>
      </c>
      <c r="L828" s="57" t="str">
        <f>IF(Associates_Call_List_PQ!L828="","",Associates_Call_List_PQ!L828)</f>
        <v>Not eligible yet (needs 3 months)</v>
      </c>
      <c r="M828" s="57" t="str">
        <f>IF(Associates_Call_List_PQ!M828="","",Associates_Call_List_PQ!M828)</f>
        <v>No</v>
      </c>
      <c r="N828" s="57" t="str">
        <f>IF(Associates_Call_List_PQ!N828="","",Associates_Call_List_PQ!N828)</f>
        <v>No</v>
      </c>
      <c r="O828" s="57" t="str">
        <f>IF(Associates_Call_List_PQ!O828="","",Associates_Call_List_PQ!O828)</f>
        <v>Yes</v>
      </c>
      <c r="P828" s="57" t="str">
        <f>IF(Associates_Call_List_PQ!P828="","",Associates_Call_List_PQ!P828)</f>
        <v>N</v>
      </c>
      <c r="Q828" s="57">
        <f>IF(Associates_Call_List_PQ!Q828="","",Associates_Call_List_PQ!Q828)</f>
        <v>45960</v>
      </c>
      <c r="R828" s="57" t="str">
        <f>IF(Associates_Call_List_PQ!R828="","",Associates_Call_List_PQ!R828)</f>
        <v/>
      </c>
      <c r="S828" s="57" t="str">
        <f>IF(Associates_Call_List_PQ!S828="","",Associates_Call_List_PQ!S828)</f>
        <v/>
      </c>
      <c r="T828" s="57" t="str">
        <f>IF(Associates_Call_List_PQ!T828="","",Associates_Call_List_PQ!T828)</f>
        <v/>
      </c>
      <c r="U828" s="57" t="str">
        <f>IF(Associates_Call_List_PQ!U828="","",Associates_Call_List_PQ!U828)</f>
        <v/>
      </c>
      <c r="V828" s="68" t="s">
        <v>5433</v>
      </c>
      <c r="W828" s="68">
        <v>46053</v>
      </c>
      <c r="X828" s="68" t="s">
        <v>5405</v>
      </c>
      <c r="Y828" s="68" t="s">
        <v>5461</v>
      </c>
      <c r="Z828" s="72"/>
    </row>
    <row r="829" spans="1:26">
      <c r="A829" s="71">
        <f>IFERROR(Associates_Call_List_PQ!A829,"")</f>
        <v>45922</v>
      </c>
      <c r="B829" s="57" t="str">
        <f>IF(Associates_Call_List_PQ!B829="","",Associates_Call_List_PQ!B829)</f>
        <v>Owsley</v>
      </c>
      <c r="C829" s="57" t="str">
        <f>IF(Associates_Call_List_PQ!C829="","",Associates_Call_List_PQ!C829)</f>
        <v>Dawn</v>
      </c>
      <c r="D829" s="57" t="str">
        <f>IF(Associates_Call_List_PQ!D829="","",Associates_Call_List_PQ!D829)</f>
        <v>Unknown</v>
      </c>
      <c r="E829" s="58" t="str">
        <f>IF(Associates_Call_List_PQ!E829="","",Associates_Call_List_PQ!E829)</f>
        <v>Unknown</v>
      </c>
      <c r="F829" s="57" t="str">
        <f>IF(Associates_Call_List_PQ!F829="","",Associates_Call_List_PQ!F829)</f>
        <v>Unacceptable- will leave many unable to pay their bills</v>
      </c>
      <c r="G829" s="57" t="str">
        <f>IF(Associates_Call_List_PQ!G829="","",Associates_Call_List_PQ!G829)</f>
        <v>https://docket.images.azcc.gov/E000046554.pdf</v>
      </c>
      <c r="H829" s="59" t="str">
        <f>IF(Associates_Call_List_PQ!H829="","",Associates_Call_List_PQ!H829)</f>
        <v>3566321000</v>
      </c>
      <c r="I829" s="57" t="str">
        <f>IF(Associates_Call_List_PQ!I829="","",Associates_Call_List_PQ!I829)</f>
        <v>R3-47</v>
      </c>
      <c r="J829" s="57" t="str">
        <f>IF(Associates_Call_List_PQ!J829="","",Associates_Call_List_PQ!J829)</f>
        <v>No</v>
      </c>
      <c r="K829" s="57" t="str">
        <f>IF(Associates_Call_List_PQ!K829="","",Associates_Call_List_PQ!K829)</f>
        <v>No</v>
      </c>
      <c r="L829" s="57" t="str">
        <f>IF(Associates_Call_List_PQ!L829="","",Associates_Call_List_PQ!L829)</f>
        <v>Y</v>
      </c>
      <c r="M829" s="57" t="str">
        <f>IF(Associates_Call_List_PQ!M829="","",Associates_Call_List_PQ!M829)</f>
        <v>No</v>
      </c>
      <c r="N829" s="57" t="str">
        <f>IF(Associates_Call_List_PQ!N829="","",Associates_Call_List_PQ!N829)</f>
        <v>No</v>
      </c>
      <c r="O829" s="57" t="str">
        <f>IF(Associates_Call_List_PQ!O829="","",Associates_Call_List_PQ!O829)</f>
        <v>Yes</v>
      </c>
      <c r="P829" s="57" t="str">
        <f>IF(Associates_Call_List_PQ!P829="","",Associates_Call_List_PQ!P829)</f>
        <v>N</v>
      </c>
      <c r="Q829" s="57">
        <f>IF(Associates_Call_List_PQ!Q829="","",Associates_Call_List_PQ!Q829)</f>
        <v>45960</v>
      </c>
      <c r="R829" s="57" t="str">
        <f>IF(Associates_Call_List_PQ!R829="","",Associates_Call_List_PQ!R829)</f>
        <v/>
      </c>
      <c r="S829" s="57" t="str">
        <f>IF(Associates_Call_List_PQ!S829="","",Associates_Call_List_PQ!S829)</f>
        <v/>
      </c>
      <c r="T829" s="57" t="str">
        <f>IF(Associates_Call_List_PQ!T829="","",Associates_Call_List_PQ!T829)</f>
        <v/>
      </c>
      <c r="U829" s="57" t="str">
        <f>IF(Associates_Call_List_PQ!U829="","",Associates_Call_List_PQ!U829)</f>
        <v/>
      </c>
      <c r="V829" s="68"/>
      <c r="W829" s="68" t="s">
        <v>5432</v>
      </c>
      <c r="X829" s="68"/>
      <c r="Y829" s="68"/>
      <c r="Z829" s="72"/>
    </row>
    <row r="830" spans="1:26">
      <c r="A830" s="71">
        <f>IFERROR(Associates_Call_List_PQ!A830,"")</f>
        <v>45919</v>
      </c>
      <c r="B830" s="57" t="str">
        <f>IF(Associates_Call_List_PQ!B830="","",Associates_Call_List_PQ!B830)</f>
        <v>Castano</v>
      </c>
      <c r="C830" s="57" t="str">
        <f>IF(Associates_Call_List_PQ!C830="","",Associates_Call_List_PQ!C830)</f>
        <v>Kevin</v>
      </c>
      <c r="D830" s="57" t="str">
        <f>IF(Associates_Call_List_PQ!D830="","",Associates_Call_List_PQ!D830)</f>
        <v>Chino Valley</v>
      </c>
      <c r="E830" s="58">
        <f>IF(Associates_Call_List_PQ!E830="","",Associates_Call_List_PQ!E830)</f>
        <v>86323</v>
      </c>
      <c r="F830" s="57" t="str">
        <f>IF(Associates_Call_List_PQ!F830="","",Associates_Call_List_PQ!F830)</f>
        <v>Opposed-already struggling with cost of living</v>
      </c>
      <c r="G830" s="57" t="str">
        <f>IF(Associates_Call_List_PQ!G830="","",Associates_Call_List_PQ!G830)</f>
        <v>https://docket.images.azcc.gov/E000046554.pdf</v>
      </c>
      <c r="H830" s="59" t="str">
        <f>IF(Associates_Call_List_PQ!H830="","",Associates_Call_List_PQ!H830)</f>
        <v>6222147125</v>
      </c>
      <c r="I830" s="57" t="str">
        <f>IF(Associates_Call_List_PQ!I830="","",Associates_Call_List_PQ!I830)</f>
        <v>R-XS</v>
      </c>
      <c r="J830" s="57" t="str">
        <f>IF(Associates_Call_List_PQ!J830="","",Associates_Call_List_PQ!J830)</f>
        <v>No</v>
      </c>
      <c r="K830" s="57" t="str">
        <f>IF(Associates_Call_List_PQ!K830="","",Associates_Call_List_PQ!K830)</f>
        <v>No</v>
      </c>
      <c r="L830" s="57" t="str">
        <f>IF(Associates_Call_List_PQ!L830="","",Associates_Call_List_PQ!L830)</f>
        <v>Y</v>
      </c>
      <c r="M830" s="57" t="str">
        <f>IF(Associates_Call_List_PQ!M830="","",Associates_Call_List_PQ!M830)</f>
        <v>No</v>
      </c>
      <c r="N830" s="57" t="str">
        <f>IF(Associates_Call_List_PQ!N830="","",Associates_Call_List_PQ!N830)</f>
        <v>No</v>
      </c>
      <c r="O830" s="57" t="str">
        <f>IF(Associates_Call_List_PQ!O830="","",Associates_Call_List_PQ!O830)</f>
        <v>Yes</v>
      </c>
      <c r="P830" s="57" t="str">
        <f>IF(Associates_Call_List_PQ!P830="","",Associates_Call_List_PQ!P830)</f>
        <v>N</v>
      </c>
      <c r="Q830" s="57">
        <f>IF(Associates_Call_List_PQ!Q830="","",Associates_Call_List_PQ!Q830)</f>
        <v>45960</v>
      </c>
      <c r="R830" s="57" t="str">
        <f>IF(Associates_Call_List_PQ!R830="","",Associates_Call_List_PQ!R830)</f>
        <v/>
      </c>
      <c r="S830" s="57" t="str">
        <f>IF(Associates_Call_List_PQ!S830="","",Associates_Call_List_PQ!S830)</f>
        <v/>
      </c>
      <c r="T830" s="57" t="str">
        <f>IF(Associates_Call_List_PQ!T830="","",Associates_Call_List_PQ!T830)</f>
        <v/>
      </c>
      <c r="U830" s="57" t="str">
        <f>IF(Associates_Call_List_PQ!U830="","",Associates_Call_List_PQ!U830)</f>
        <v/>
      </c>
      <c r="V830" s="68" t="s">
        <v>5433</v>
      </c>
      <c r="W830" s="68">
        <v>46074</v>
      </c>
      <c r="X830" s="68" t="s">
        <v>5434</v>
      </c>
      <c r="Y830" s="68"/>
      <c r="Z830" s="72" t="s">
        <v>5547</v>
      </c>
    </row>
    <row r="831" spans="1:26">
      <c r="A831" s="71">
        <f>IFERROR(Associates_Call_List_PQ!A831,"")</f>
        <v>45922</v>
      </c>
      <c r="B831" s="57" t="str">
        <f>IF(Associates_Call_List_PQ!B831="","",Associates_Call_List_PQ!B831)</f>
        <v>Rhodes</v>
      </c>
      <c r="C831" s="57" t="str">
        <f>IF(Associates_Call_List_PQ!C831="","",Associates_Call_List_PQ!C831)</f>
        <v>Madilyn</v>
      </c>
      <c r="D831" s="57" t="str">
        <f>IF(Associates_Call_List_PQ!D831="","",Associates_Call_List_PQ!D831)</f>
        <v>Phoenix</v>
      </c>
      <c r="E831" s="58">
        <f>IF(Associates_Call_List_PQ!E831="","",Associates_Call_List_PQ!E831)</f>
        <v>85012</v>
      </c>
      <c r="F831" s="57" t="str">
        <f>IF(Associates_Call_List_PQ!F831="","",Associates_Call_List_PQ!F831)</f>
        <v>Opposed-prioritizes share holders over customers</v>
      </c>
      <c r="G831" s="57" t="str">
        <f>IF(Associates_Call_List_PQ!G831="","",Associates_Call_List_PQ!G831)</f>
        <v>https://docket.images.azcc.gov/E000046578.pdf</v>
      </c>
      <c r="H831" s="59">
        <f>IF(Associates_Call_List_PQ!H831="","",Associates_Call_List_PQ!H831)</f>
        <v>9503447476</v>
      </c>
      <c r="I831" s="57" t="str">
        <f>IF(Associates_Call_List_PQ!I831="","",Associates_Call_List_PQ!I831)</f>
        <v>R3-47</v>
      </c>
      <c r="J831" s="57" t="str">
        <f>IF(Associates_Call_List_PQ!J831="","",Associates_Call_List_PQ!J831)</f>
        <v>No</v>
      </c>
      <c r="K831" s="57" t="str">
        <f>IF(Associates_Call_List_PQ!K831="","",Associates_Call_List_PQ!K831)</f>
        <v>No</v>
      </c>
      <c r="L831" s="57" t="str">
        <f>IF(Associates_Call_List_PQ!L831="","",Associates_Call_List_PQ!L831)</f>
        <v>No MEP R-BASIC ($254.29)</v>
      </c>
      <c r="M831" s="57" t="str">
        <f>IF(Associates_Call_List_PQ!M831="","",Associates_Call_List_PQ!M831)</f>
        <v>No</v>
      </c>
      <c r="N831" s="57" t="str">
        <f>IF(Associates_Call_List_PQ!N831="","",Associates_Call_List_PQ!N831)</f>
        <v>No</v>
      </c>
      <c r="O831" s="57" t="str">
        <f>IF(Associates_Call_List_PQ!O831="","",Associates_Call_List_PQ!O831)</f>
        <v>Yes</v>
      </c>
      <c r="P831" s="57">
        <f>IF(Associates_Call_List_PQ!P831="","",Associates_Call_List_PQ!P831)</f>
        <v>45940</v>
      </c>
      <c r="Q831" s="57">
        <f>IF(Associates_Call_List_PQ!Q831="","",Associates_Call_List_PQ!Q831)</f>
        <v>45960</v>
      </c>
      <c r="R831" s="57" t="str">
        <f>IF(Associates_Call_List_PQ!R831="","",Associates_Call_List_PQ!R831)</f>
        <v>Will cb at a later time - Final Bill Sent 10/27</v>
      </c>
      <c r="S831" s="57" t="str">
        <f>IF(Associates_Call_List_PQ!S831="","",Associates_Call_List_PQ!S831)</f>
        <v/>
      </c>
      <c r="T831" s="57" t="str">
        <f>IF(Associates_Call_List_PQ!T831="","",Associates_Call_List_PQ!T831)</f>
        <v/>
      </c>
      <c r="U831" s="57" t="str">
        <f>IF(Associates_Call_List_PQ!U831="","",Associates_Call_List_PQ!U831)</f>
        <v/>
      </c>
      <c r="V831" s="68" t="s">
        <v>5433</v>
      </c>
      <c r="W831" s="68">
        <v>46039</v>
      </c>
      <c r="X831" s="68" t="s">
        <v>5405</v>
      </c>
      <c r="Y831" s="68"/>
      <c r="Z831" s="72" t="s">
        <v>5651</v>
      </c>
    </row>
    <row r="832" spans="1:26">
      <c r="A832" s="71">
        <f>IFERROR(Associates_Call_List_PQ!A832,"")</f>
        <v>45922</v>
      </c>
      <c r="B832" s="57" t="str">
        <f>IF(Associates_Call_List_PQ!B832="","",Associates_Call_List_PQ!B832)</f>
        <v>McCloskey</v>
      </c>
      <c r="C832" s="57" t="str">
        <f>IF(Associates_Call_List_PQ!C832="","",Associates_Call_List_PQ!C832)</f>
        <v>Christine</v>
      </c>
      <c r="D832" s="57" t="str">
        <f>IF(Associates_Call_List_PQ!D832="","",Associates_Call_List_PQ!D832)</f>
        <v>Buckeye</v>
      </c>
      <c r="E832" s="58">
        <f>IF(Associates_Call_List_PQ!E832="","",Associates_Call_List_PQ!E832)</f>
        <v>85326</v>
      </c>
      <c r="F832" s="57" t="str">
        <f>IF(Associates_Call_List_PQ!F832="","",Associates_Call_List_PQ!F832)</f>
        <v>Form letter</v>
      </c>
      <c r="G832" s="57" t="str">
        <f>IF(Associates_Call_List_PQ!G832="","",Associates_Call_List_PQ!G832)</f>
        <v>https://docket.images.azcc.gov/E000046578.pdf</v>
      </c>
      <c r="H832" s="59" t="str">
        <f>IF(Associates_Call_List_PQ!H832="","",Associates_Call_List_PQ!H832)</f>
        <v>7210380000</v>
      </c>
      <c r="I832" s="57" t="str">
        <f>IF(Associates_Call_List_PQ!I832="","",Associates_Call_List_PQ!I832)</f>
        <v>R3-47</v>
      </c>
      <c r="J832" s="57" t="str">
        <f>IF(Associates_Call_List_PQ!J832="","",Associates_Call_List_PQ!J832)</f>
        <v>No</v>
      </c>
      <c r="K832" s="57" t="str">
        <f>IF(Associates_Call_List_PQ!K832="","",Associates_Call_List_PQ!K832)</f>
        <v>No</v>
      </c>
      <c r="L832" s="57" t="str">
        <f>IF(Associates_Call_List_PQ!L832="","",Associates_Call_List_PQ!L832)</f>
        <v>Y</v>
      </c>
      <c r="M832" s="57" t="str">
        <f>IF(Associates_Call_List_PQ!M832="","",Associates_Call_List_PQ!M832)</f>
        <v>No</v>
      </c>
      <c r="N832" s="57" t="str">
        <f>IF(Associates_Call_List_PQ!N832="","",Associates_Call_List_PQ!N832)</f>
        <v>No</v>
      </c>
      <c r="O832" s="57" t="str">
        <f>IF(Associates_Call_List_PQ!O832="","",Associates_Call_List_PQ!O832)</f>
        <v>Yes</v>
      </c>
      <c r="P832" s="57" t="str">
        <f>IF(Associates_Call_List_PQ!P832="","",Associates_Call_List_PQ!P832)</f>
        <v>N</v>
      </c>
      <c r="Q832" s="57">
        <f>IF(Associates_Call_List_PQ!Q832="","",Associates_Call_List_PQ!Q832)</f>
        <v>45960</v>
      </c>
      <c r="R832" s="57" t="str">
        <f>IF(Associates_Call_List_PQ!R832="","",Associates_Call_List_PQ!R832)</f>
        <v/>
      </c>
      <c r="S832" s="57" t="str">
        <f>IF(Associates_Call_List_PQ!S832="","",Associates_Call_List_PQ!S832)</f>
        <v/>
      </c>
      <c r="T832" s="57" t="str">
        <f>IF(Associates_Call_List_PQ!T832="","",Associates_Call_List_PQ!T832)</f>
        <v/>
      </c>
      <c r="U832" s="57" t="str">
        <f>IF(Associates_Call_List_PQ!U832="","",Associates_Call_List_PQ!U832)</f>
        <v/>
      </c>
      <c r="V832" s="68" t="s">
        <v>5433</v>
      </c>
      <c r="W832" s="68">
        <v>46074</v>
      </c>
      <c r="X832" s="68" t="s">
        <v>5405</v>
      </c>
      <c r="Y832" s="68"/>
      <c r="Z832" s="72" t="s">
        <v>5637</v>
      </c>
    </row>
    <row r="833" spans="1:26">
      <c r="A833" s="71">
        <f>IFERROR(Associates_Call_List_PQ!A833,"")</f>
        <v>45922</v>
      </c>
      <c r="B833" s="57" t="str">
        <f>IF(Associates_Call_List_PQ!B833="","",Associates_Call_List_PQ!B833)</f>
        <v>Barley</v>
      </c>
      <c r="C833" s="57" t="str">
        <f>IF(Associates_Call_List_PQ!C833="","",Associates_Call_List_PQ!C833)</f>
        <v>Kaitlynne</v>
      </c>
      <c r="D833" s="57" t="str">
        <f>IF(Associates_Call_List_PQ!D833="","",Associates_Call_List_PQ!D833)</f>
        <v>Litchfield Park</v>
      </c>
      <c r="E833" s="58">
        <f>IF(Associates_Call_List_PQ!E833="","",Associates_Call_List_PQ!E833)</f>
        <v>85340</v>
      </c>
      <c r="F833" s="57" t="str">
        <f>IF(Associates_Call_List_PQ!F833="","",Associates_Call_List_PQ!F833)</f>
        <v>Strongly Opposed</v>
      </c>
      <c r="G833" s="57" t="str">
        <f>IF(Associates_Call_List_PQ!G833="","",Associates_Call_List_PQ!G833)</f>
        <v>https://docket.images.azcc.gov/E000046578.pdf</v>
      </c>
      <c r="H833" s="59" t="str">
        <f>IF(Associates_Call_List_PQ!H833="","",Associates_Call_List_PQ!H833)</f>
        <v>0627214453</v>
      </c>
      <c r="I833" s="57" t="str">
        <f>IF(Associates_Call_List_PQ!I833="","",Associates_Call_List_PQ!I833)</f>
        <v>R3-47</v>
      </c>
      <c r="J833" s="57" t="str">
        <f>IF(Associates_Call_List_PQ!J833="","",Associates_Call_List_PQ!J833)</f>
        <v>No</v>
      </c>
      <c r="K833" s="57" t="str">
        <f>IF(Associates_Call_List_PQ!K833="","",Associates_Call_List_PQ!K833)</f>
        <v>No</v>
      </c>
      <c r="L833" s="57" t="str">
        <f>IF(Associates_Call_List_PQ!L833="","",Associates_Call_List_PQ!L833)</f>
        <v>Y</v>
      </c>
      <c r="M833" s="57" t="str">
        <f>IF(Associates_Call_List_PQ!M833="","",Associates_Call_List_PQ!M833)</f>
        <v>No</v>
      </c>
      <c r="N833" s="57" t="str">
        <f>IF(Associates_Call_List_PQ!N833="","",Associates_Call_List_PQ!N833)</f>
        <v>No</v>
      </c>
      <c r="O833" s="57" t="str">
        <f>IF(Associates_Call_List_PQ!O833="","",Associates_Call_List_PQ!O833)</f>
        <v>Yes</v>
      </c>
      <c r="P833" s="57" t="str">
        <f>IF(Associates_Call_List_PQ!P833="","",Associates_Call_List_PQ!P833)</f>
        <v>N</v>
      </c>
      <c r="Q833" s="57">
        <f>IF(Associates_Call_List_PQ!Q833="","",Associates_Call_List_PQ!Q833)</f>
        <v>45960</v>
      </c>
      <c r="R833" s="57" t="str">
        <f>IF(Associates_Call_List_PQ!R833="","",Associates_Call_List_PQ!R833)</f>
        <v/>
      </c>
      <c r="S833" s="57" t="str">
        <f>IF(Associates_Call_List_PQ!S833="","",Associates_Call_List_PQ!S833)</f>
        <v/>
      </c>
      <c r="T833" s="57" t="str">
        <f>IF(Associates_Call_List_PQ!T833="","",Associates_Call_List_PQ!T833)</f>
        <v/>
      </c>
      <c r="U833" s="57" t="str">
        <f>IF(Associates_Call_List_PQ!U833="","",Associates_Call_List_PQ!U833)</f>
        <v/>
      </c>
      <c r="V833" s="68"/>
      <c r="W833" s="68" t="s">
        <v>5432</v>
      </c>
      <c r="X833" s="68"/>
      <c r="Y833" s="68"/>
      <c r="Z833" s="72"/>
    </row>
    <row r="834" spans="1:26">
      <c r="A834" s="71">
        <f>IFERROR(Associates_Call_List_PQ!A834,"")</f>
        <v>45922</v>
      </c>
      <c r="B834" s="57" t="str">
        <f>IF(Associates_Call_List_PQ!B834="","",Associates_Call_List_PQ!B834)</f>
        <v>Hill</v>
      </c>
      <c r="C834" s="57" t="str">
        <f>IF(Associates_Call_List_PQ!C834="","",Associates_Call_List_PQ!C834)</f>
        <v>Samantha</v>
      </c>
      <c r="D834" s="57" t="str">
        <f>IF(Associates_Call_List_PQ!D834="","",Associates_Call_List_PQ!D834)</f>
        <v>Peoria</v>
      </c>
      <c r="E834" s="58">
        <f>IF(Associates_Call_List_PQ!E834="","",Associates_Call_List_PQ!E834)</f>
        <v>85383</v>
      </c>
      <c r="F834" s="57" t="str">
        <f>IF(Associates_Call_List_PQ!F834="","",Associates_Call_List_PQ!F834)</f>
        <v>APS needs to be kept inn check and ave rates controlled</v>
      </c>
      <c r="G834" s="57" t="str">
        <f>IF(Associates_Call_List_PQ!G834="","",Associates_Call_List_PQ!G834)</f>
        <v>https://docket.images.azcc.gov/E000046578.pdf</v>
      </c>
      <c r="H834" s="59" t="str">
        <f>IF(Associates_Call_List_PQ!H834="","",Associates_Call_List_PQ!H834)</f>
        <v>6338318391</v>
      </c>
      <c r="I834" s="57" t="str">
        <f>IF(Associates_Call_List_PQ!I834="","",Associates_Call_List_PQ!I834)</f>
        <v>RTOUE47</v>
      </c>
      <c r="J834" s="57" t="str">
        <f>IF(Associates_Call_List_PQ!J834="","",Associates_Call_List_PQ!J834)</f>
        <v>No</v>
      </c>
      <c r="K834" s="57" t="str">
        <f>IF(Associates_Call_List_PQ!K834="","",Associates_Call_List_PQ!K834)</f>
        <v>No</v>
      </c>
      <c r="L834" s="57" t="str">
        <f>IF(Associates_Call_List_PQ!L834="","",Associates_Call_List_PQ!L834)</f>
        <v>No MEP R3-47 ($65.89)</v>
      </c>
      <c r="M834" s="57" t="str">
        <f>IF(Associates_Call_List_PQ!M834="","",Associates_Call_List_PQ!M834)</f>
        <v>No</v>
      </c>
      <c r="N834" s="57" t="str">
        <f>IF(Associates_Call_List_PQ!N834="","",Associates_Call_List_PQ!N834)</f>
        <v>No</v>
      </c>
      <c r="O834" s="57" t="str">
        <f>IF(Associates_Call_List_PQ!O834="","",Associates_Call_List_PQ!O834)</f>
        <v>Yes</v>
      </c>
      <c r="P834" s="57" t="str">
        <f>IF(Associates_Call_List_PQ!P834="","",Associates_Call_List_PQ!P834)</f>
        <v>N</v>
      </c>
      <c r="Q834" s="57">
        <f>IF(Associates_Call_List_PQ!Q834="","",Associates_Call_List_PQ!Q834)</f>
        <v>45960</v>
      </c>
      <c r="R834" s="57" t="str">
        <f>IF(Associates_Call_List_PQ!R834="","",Associates_Call_List_PQ!R834)</f>
        <v/>
      </c>
      <c r="S834" s="57" t="str">
        <f>IF(Associates_Call_List_PQ!S834="","",Associates_Call_List_PQ!S834)</f>
        <v/>
      </c>
      <c r="T834" s="57" t="str">
        <f>IF(Associates_Call_List_PQ!T834="","",Associates_Call_List_PQ!T834)</f>
        <v/>
      </c>
      <c r="U834" s="57" t="str">
        <f>IF(Associates_Call_List_PQ!U834="","",Associates_Call_List_PQ!U834)</f>
        <v/>
      </c>
      <c r="V834" s="68" t="s">
        <v>5433</v>
      </c>
      <c r="W834" s="68">
        <v>46039</v>
      </c>
      <c r="X834" s="68" t="s">
        <v>5405</v>
      </c>
      <c r="Y834" s="68" t="s">
        <v>5461</v>
      </c>
      <c r="Z834" s="72" t="s">
        <v>5652</v>
      </c>
    </row>
    <row r="835" spans="1:26">
      <c r="A835" s="71">
        <f>IFERROR(Associates_Call_List_PQ!A835,"")</f>
        <v>45922</v>
      </c>
      <c r="B835" s="57" t="str">
        <f>IF(Associates_Call_List_PQ!B835="","",Associates_Call_List_PQ!B835)</f>
        <v>Hoffner</v>
      </c>
      <c r="C835" s="57" t="str">
        <f>IF(Associates_Call_List_PQ!C835="","",Associates_Call_List_PQ!C835)</f>
        <v>Dawn</v>
      </c>
      <c r="D835" s="57" t="str">
        <f>IF(Associates_Call_List_PQ!D835="","",Associates_Call_List_PQ!D835)</f>
        <v>Scottsdale</v>
      </c>
      <c r="E835" s="58">
        <f>IF(Associates_Call_List_PQ!E835="","",Associates_Call_List_PQ!E835)</f>
        <v>85254</v>
      </c>
      <c r="F835" s="57" t="str">
        <f>IF(Associates_Call_List_PQ!F835="","",Associates_Call_List_PQ!F835)</f>
        <v>Form letter</v>
      </c>
      <c r="G835" s="57" t="str">
        <f>IF(Associates_Call_List_PQ!G835="","",Associates_Call_List_PQ!G835)</f>
        <v>https://docket.images.azcc.gov/E000046578.pdf</v>
      </c>
      <c r="H835" s="59" t="str">
        <f>IF(Associates_Call_List_PQ!H835="","",Associates_Call_List_PQ!H835)</f>
        <v>6407918651</v>
      </c>
      <c r="I835" s="57" t="str">
        <f>IF(Associates_Call_List_PQ!I835="","",Associates_Call_List_PQ!I835)</f>
        <v>RTOUE47</v>
      </c>
      <c r="J835" s="57" t="str">
        <f>IF(Associates_Call_List_PQ!J835="","",Associates_Call_List_PQ!J835)</f>
        <v>No</v>
      </c>
      <c r="K835" s="57" t="str">
        <f>IF(Associates_Call_List_PQ!K835="","",Associates_Call_List_PQ!K835)</f>
        <v>No</v>
      </c>
      <c r="L835" s="57" t="str">
        <f>IF(Associates_Call_List_PQ!L835="","",Associates_Call_List_PQ!L835)</f>
        <v>No MEP R3-47 ($91.07)</v>
      </c>
      <c r="M835" s="57" t="str">
        <f>IF(Associates_Call_List_PQ!M835="","",Associates_Call_List_PQ!M835)</f>
        <v>No</v>
      </c>
      <c r="N835" s="57" t="str">
        <f>IF(Associates_Call_List_PQ!N835="","",Associates_Call_List_PQ!N835)</f>
        <v>No</v>
      </c>
      <c r="O835" s="57" t="str">
        <f>IF(Associates_Call_List_PQ!O835="","",Associates_Call_List_PQ!O835)</f>
        <v>Yes</v>
      </c>
      <c r="P835" s="57" t="str">
        <f>IF(Associates_Call_List_PQ!P835="","",Associates_Call_List_PQ!P835)</f>
        <v>N</v>
      </c>
      <c r="Q835" s="57">
        <f>IF(Associates_Call_List_PQ!Q835="","",Associates_Call_List_PQ!Q835)</f>
        <v>45960</v>
      </c>
      <c r="R835" s="57" t="str">
        <f>IF(Associates_Call_List_PQ!R835="","",Associates_Call_List_PQ!R835)</f>
        <v/>
      </c>
      <c r="S835" s="57" t="str">
        <f>IF(Associates_Call_List_PQ!S835="","",Associates_Call_List_PQ!S835)</f>
        <v/>
      </c>
      <c r="T835" s="57" t="str">
        <f>IF(Associates_Call_List_PQ!T835="","",Associates_Call_List_PQ!T835)</f>
        <v/>
      </c>
      <c r="U835" s="57" t="str">
        <f>IF(Associates_Call_List_PQ!U835="","",Associates_Call_List_PQ!U835)</f>
        <v/>
      </c>
      <c r="V835" s="68" t="s">
        <v>5433</v>
      </c>
      <c r="W835" s="68">
        <v>46039</v>
      </c>
      <c r="X835" s="68" t="s">
        <v>5405</v>
      </c>
      <c r="Y835" s="68" t="s">
        <v>5455</v>
      </c>
      <c r="Z835" s="72" t="s">
        <v>5653</v>
      </c>
    </row>
    <row r="836" spans="1:26">
      <c r="A836" s="71">
        <f>IFERROR(Associates_Call_List_PQ!A836,"")</f>
        <v>45922</v>
      </c>
      <c r="B836" s="57" t="str">
        <f>IF(Associates_Call_List_PQ!B836="","",Associates_Call_List_PQ!B836)</f>
        <v>Pablo</v>
      </c>
      <c r="C836" s="57" t="str">
        <f>IF(Associates_Call_List_PQ!C836="","",Associates_Call_List_PQ!C836)</f>
        <v>Jerome</v>
      </c>
      <c r="D836" s="57" t="str">
        <f>IF(Associates_Call_List_PQ!D836="","",Associates_Call_List_PQ!D836)</f>
        <v>Buckeye</v>
      </c>
      <c r="E836" s="58">
        <f>IF(Associates_Call_List_PQ!E836="","",Associates_Call_List_PQ!E836)</f>
        <v>85326</v>
      </c>
      <c r="F836" s="57" t="str">
        <f>IF(Associates_Call_List_PQ!F836="","",Associates_Call_List_PQ!F836)</f>
        <v>Power is already expensive</v>
      </c>
      <c r="G836" s="57" t="str">
        <f>IF(Associates_Call_List_PQ!G836="","",Associates_Call_List_PQ!G836)</f>
        <v>https://docket.images.azcc.gov/E000046578.pdf</v>
      </c>
      <c r="H836" s="59" t="str">
        <f>IF(Associates_Call_List_PQ!H836="","",Associates_Call_List_PQ!H836)</f>
        <v>9340701000</v>
      </c>
      <c r="I836" s="57" t="str">
        <f>IF(Associates_Call_List_PQ!I836="","",Associates_Call_List_PQ!I836)</f>
        <v>RCPw/RTOUE47</v>
      </c>
      <c r="J836" s="57" t="str">
        <f>IF(Associates_Call_List_PQ!J836="","",Associates_Call_List_PQ!J836)</f>
        <v>No</v>
      </c>
      <c r="K836" s="57" t="str">
        <f>IF(Associates_Call_List_PQ!K836="","",Associates_Call_List_PQ!K836)</f>
        <v>No</v>
      </c>
      <c r="L836" s="57" t="str">
        <f>IF(Associates_Call_List_PQ!L836="","",Associates_Call_List_PQ!L836)</f>
        <v>No MEP R3-47 ($310.77)</v>
      </c>
      <c r="M836" s="57" t="str">
        <f>IF(Associates_Call_List_PQ!M836="","",Associates_Call_List_PQ!M836)</f>
        <v>Yes</v>
      </c>
      <c r="N836" s="57">
        <f>IF(Associates_Call_List_PQ!N836="","",Associates_Call_List_PQ!N836)</f>
        <v>333.26</v>
      </c>
      <c r="O836" s="57" t="str">
        <f>IF(Associates_Call_List_PQ!O836="","",Associates_Call_List_PQ!O836)</f>
        <v>Yes</v>
      </c>
      <c r="P836" s="57">
        <f>IF(Associates_Call_List_PQ!P836="","",Associates_Call_List_PQ!P836)</f>
        <v>45940</v>
      </c>
      <c r="Q836" s="57">
        <f>IF(Associates_Call_List_PQ!Q836="","",Associates_Call_List_PQ!Q836)</f>
        <v>45960</v>
      </c>
      <c r="R836" s="57" t="str">
        <f>IF(Associates_Call_List_PQ!R836="","",Associates_Call_List_PQ!R836)</f>
        <v>10/10/2025 Left VM</v>
      </c>
      <c r="S836" s="57" t="str">
        <f>IF(Associates_Call_List_PQ!S836="","",Associates_Call_List_PQ!S836)</f>
        <v/>
      </c>
      <c r="T836" s="57" t="str">
        <f>IF(Associates_Call_List_PQ!T836="","",Associates_Call_List_PQ!T836)</f>
        <v/>
      </c>
      <c r="U836" s="57" t="str">
        <f>IF(Associates_Call_List_PQ!U836="","",Associates_Call_List_PQ!U836)</f>
        <v/>
      </c>
      <c r="V836" s="68" t="s">
        <v>5433</v>
      </c>
      <c r="W836" s="68">
        <v>46039</v>
      </c>
      <c r="X836" s="68" t="s">
        <v>5434</v>
      </c>
      <c r="Y836" s="68"/>
      <c r="Z836" s="72"/>
    </row>
    <row r="837" spans="1:26">
      <c r="A837" s="71">
        <f>IFERROR(Associates_Call_List_PQ!A837,"")</f>
        <v>45922</v>
      </c>
      <c r="B837" s="57" t="str">
        <f>IF(Associates_Call_List_PQ!B837="","",Associates_Call_List_PQ!B837)</f>
        <v>Barbarite</v>
      </c>
      <c r="C837" s="57" t="str">
        <f>IF(Associates_Call_List_PQ!C837="","",Associates_Call_List_PQ!C837)</f>
        <v>Katherine</v>
      </c>
      <c r="D837" s="57" t="str">
        <f>IF(Associates_Call_List_PQ!D837="","",Associates_Call_List_PQ!D837)</f>
        <v>Dewey</v>
      </c>
      <c r="E837" s="58">
        <f>IF(Associates_Call_List_PQ!E837="","",Associates_Call_List_PQ!E837)</f>
        <v>86327</v>
      </c>
      <c r="F837" s="57" t="str">
        <f>IF(Associates_Call_List_PQ!F837="","",Associates_Call_List_PQ!F837)</f>
        <v>Absolutely Unjust</v>
      </c>
      <c r="G837" s="57" t="str">
        <f>IF(Associates_Call_List_PQ!G837="","",Associates_Call_List_PQ!G837)</f>
        <v>https://docket.images.azcc.gov/E000046578.pdf</v>
      </c>
      <c r="H837" s="59" t="str">
        <f>IF(Associates_Call_List_PQ!H837="","",Associates_Call_List_PQ!H837)</f>
        <v>6736335990</v>
      </c>
      <c r="I837" s="57" t="str">
        <f>IF(Associates_Call_List_PQ!I837="","",Associates_Call_List_PQ!I837)</f>
        <v>RCPw/RTOUE47</v>
      </c>
      <c r="J837" s="57" t="str">
        <f>IF(Associates_Call_List_PQ!J837="","",Associates_Call_List_PQ!J837)</f>
        <v>No</v>
      </c>
      <c r="K837" s="57" t="str">
        <f>IF(Associates_Call_List_PQ!K837="","",Associates_Call_List_PQ!K837)</f>
        <v>No</v>
      </c>
      <c r="L837" s="57" t="str">
        <f>IF(Associates_Call_List_PQ!L837="","",Associates_Call_List_PQ!L837)</f>
        <v>Y</v>
      </c>
      <c r="M837" s="57" t="str">
        <f>IF(Associates_Call_List_PQ!M837="","",Associates_Call_List_PQ!M837)</f>
        <v>No</v>
      </c>
      <c r="N837" s="57" t="str">
        <f>IF(Associates_Call_List_PQ!N837="","",Associates_Call_List_PQ!N837)</f>
        <v>No</v>
      </c>
      <c r="O837" s="57" t="str">
        <f>IF(Associates_Call_List_PQ!O837="","",Associates_Call_List_PQ!O837)</f>
        <v>Yes</v>
      </c>
      <c r="P837" s="57" t="str">
        <f>IF(Associates_Call_List_PQ!P837="","",Associates_Call_List_PQ!P837)</f>
        <v>N</v>
      </c>
      <c r="Q837" s="57">
        <f>IF(Associates_Call_List_PQ!Q837="","",Associates_Call_List_PQ!Q837)</f>
        <v>45960</v>
      </c>
      <c r="R837" s="57" t="str">
        <f>IF(Associates_Call_List_PQ!R837="","",Associates_Call_List_PQ!R837)</f>
        <v/>
      </c>
      <c r="S837" s="57" t="str">
        <f>IF(Associates_Call_List_PQ!S837="","",Associates_Call_List_PQ!S837)</f>
        <v/>
      </c>
      <c r="T837" s="57" t="str">
        <f>IF(Associates_Call_List_PQ!T837="","",Associates_Call_List_PQ!T837)</f>
        <v/>
      </c>
      <c r="U837" s="57" t="str">
        <f>IF(Associates_Call_List_PQ!U837="","",Associates_Call_List_PQ!U837)</f>
        <v/>
      </c>
      <c r="V837" s="68"/>
      <c r="W837" s="68" t="s">
        <v>5432</v>
      </c>
      <c r="X837" s="68"/>
      <c r="Y837" s="68"/>
      <c r="Z837" s="72"/>
    </row>
    <row r="838" spans="1:26">
      <c r="A838" s="71">
        <f>IFERROR(Associates_Call_List_PQ!A838,"")</f>
        <v>45922</v>
      </c>
      <c r="B838" s="57" t="str">
        <f>IF(Associates_Call_List_PQ!B838="","",Associates_Call_List_PQ!B838)</f>
        <v>Rooen</v>
      </c>
      <c r="C838" s="57" t="str">
        <f>IF(Associates_Call_List_PQ!C838="","",Associates_Call_List_PQ!C838)</f>
        <v>Cheyenne</v>
      </c>
      <c r="D838" s="57" t="str">
        <f>IF(Associates_Call_List_PQ!D838="","",Associates_Call_List_PQ!D838)</f>
        <v>Surprise</v>
      </c>
      <c r="E838" s="58">
        <f>IF(Associates_Call_List_PQ!E838="","",Associates_Call_List_PQ!E838)</f>
        <v>85379</v>
      </c>
      <c r="F838" s="57" t="str">
        <f>IF(Associates_Call_List_PQ!F838="","",Associates_Call_List_PQ!F838)</f>
        <v>I cannot afford this</v>
      </c>
      <c r="G838" s="57" t="str">
        <f>IF(Associates_Call_List_PQ!G838="","",Associates_Call_List_PQ!G838)</f>
        <v>https://docket.images.azcc.gov/E000046578.pdf</v>
      </c>
      <c r="H838" s="59">
        <f>IF(Associates_Call_List_PQ!H838="","",Associates_Call_List_PQ!H838)</f>
        <v>5392330000</v>
      </c>
      <c r="I838" s="57" t="str">
        <f>IF(Associates_Call_List_PQ!I838="","",Associates_Call_List_PQ!I838)</f>
        <v>RCPw/R3-47</v>
      </c>
      <c r="J838" s="57" t="str">
        <f>IF(Associates_Call_List_PQ!J838="","",Associates_Call_List_PQ!J838)</f>
        <v>No</v>
      </c>
      <c r="K838" s="57" t="str">
        <f>IF(Associates_Call_List_PQ!K838="","",Associates_Call_List_PQ!K838)</f>
        <v>No</v>
      </c>
      <c r="L838" s="57" t="str">
        <f>IF(Associates_Call_List_PQ!L838="","",Associates_Call_List_PQ!L838)</f>
        <v>Yes</v>
      </c>
      <c r="M838" s="57" t="str">
        <f>IF(Associates_Call_List_PQ!M838="","",Associates_Call_List_PQ!M838)</f>
        <v>Yes</v>
      </c>
      <c r="N838" s="57">
        <f>IF(Associates_Call_List_PQ!N838="","",Associates_Call_List_PQ!N838)</f>
        <v>309.36</v>
      </c>
      <c r="O838" s="57" t="str">
        <f>IF(Associates_Call_List_PQ!O838="","",Associates_Call_List_PQ!O838)</f>
        <v>Yes</v>
      </c>
      <c r="P838" s="57" t="str">
        <f>IF(Associates_Call_List_PQ!P838="","",Associates_Call_List_PQ!P838)</f>
        <v>N</v>
      </c>
      <c r="Q838" s="57">
        <f>IF(Associates_Call_List_PQ!Q838="","",Associates_Call_List_PQ!Q838)</f>
        <v>45960</v>
      </c>
      <c r="R838" s="57" t="str">
        <f>IF(Associates_Call_List_PQ!R838="","",Associates_Call_List_PQ!R838)</f>
        <v/>
      </c>
      <c r="S838" s="57" t="str">
        <f>IF(Associates_Call_List_PQ!S838="","",Associates_Call_List_PQ!S838)</f>
        <v/>
      </c>
      <c r="T838" s="57" t="str">
        <f>IF(Associates_Call_List_PQ!T838="","",Associates_Call_List_PQ!T838)</f>
        <v/>
      </c>
      <c r="U838" s="57" t="str">
        <f>IF(Associates_Call_List_PQ!U838="","",Associates_Call_List_PQ!U838)</f>
        <v/>
      </c>
      <c r="V838" s="68" t="s">
        <v>5433</v>
      </c>
      <c r="W838" s="68">
        <v>46039</v>
      </c>
      <c r="X838" s="68" t="s">
        <v>5405</v>
      </c>
      <c r="Y838" s="68"/>
      <c r="Z838" s="72" t="s">
        <v>5654</v>
      </c>
    </row>
    <row r="839" spans="1:26">
      <c r="A839" s="71">
        <f>IFERROR(Associates_Call_List_PQ!A839,"")</f>
        <v>45922</v>
      </c>
      <c r="B839" s="57" t="str">
        <f>IF(Associates_Call_List_PQ!B839="","",Associates_Call_List_PQ!B839)</f>
        <v>Haynes</v>
      </c>
      <c r="C839" s="57" t="str">
        <f>IF(Associates_Call_List_PQ!C839="","",Associates_Call_List_PQ!C839)</f>
        <v>Michelle</v>
      </c>
      <c r="D839" s="57" t="str">
        <f>IF(Associates_Call_List_PQ!D839="","",Associates_Call_List_PQ!D839)</f>
        <v>Prescott</v>
      </c>
      <c r="E839" s="58">
        <f>IF(Associates_Call_List_PQ!E839="","",Associates_Call_List_PQ!E839)</f>
        <v>86303</v>
      </c>
      <c r="F839" s="57" t="str">
        <f>IF(Associates_Call_List_PQ!F839="","",Associates_Call_List_PQ!F839)</f>
        <v>Opposed-Unacceptable</v>
      </c>
      <c r="G839" s="57" t="str">
        <f>IF(Associates_Call_List_PQ!G839="","",Associates_Call_List_PQ!G839)</f>
        <v>https://docket.images.azcc.gov/E000046578.pdf</v>
      </c>
      <c r="H839" s="59" t="str">
        <f>IF(Associates_Call_List_PQ!H839="","",Associates_Call_List_PQ!H839)</f>
        <v xml:space="preserve">5055918329 </v>
      </c>
      <c r="I839" s="57" t="str">
        <f>IF(Associates_Call_List_PQ!I839="","",Associates_Call_List_PQ!I839)</f>
        <v>R-XS</v>
      </c>
      <c r="J839" s="57" t="str">
        <f>IF(Associates_Call_List_PQ!J839="","",Associates_Call_List_PQ!J839)</f>
        <v>No</v>
      </c>
      <c r="K839" s="57" t="str">
        <f>IF(Associates_Call_List_PQ!K839="","",Associates_Call_List_PQ!K839)</f>
        <v>No</v>
      </c>
      <c r="L839" s="57" t="str">
        <f>IF(Associates_Call_List_PQ!L839="","",Associates_Call_List_PQ!L839)</f>
        <v>Yes</v>
      </c>
      <c r="M839" s="57" t="str">
        <f>IF(Associates_Call_List_PQ!M839="","",Associates_Call_List_PQ!M839)</f>
        <v>No</v>
      </c>
      <c r="N839" s="57" t="str">
        <f>IF(Associates_Call_List_PQ!N839="","",Associates_Call_List_PQ!N839)</f>
        <v>No</v>
      </c>
      <c r="O839" s="57" t="str">
        <f>IF(Associates_Call_List_PQ!O839="","",Associates_Call_List_PQ!O839)</f>
        <v>Yes</v>
      </c>
      <c r="P839" s="57" t="str">
        <f>IF(Associates_Call_List_PQ!P839="","",Associates_Call_List_PQ!P839)</f>
        <v>N</v>
      </c>
      <c r="Q839" s="57">
        <f>IF(Associates_Call_List_PQ!Q839="","",Associates_Call_List_PQ!Q839)</f>
        <v>45960</v>
      </c>
      <c r="R839" s="57" t="str">
        <f>IF(Associates_Call_List_PQ!R839="","",Associates_Call_List_PQ!R839)</f>
        <v/>
      </c>
      <c r="S839" s="57" t="str">
        <f>IF(Associates_Call_List_PQ!S839="","",Associates_Call_List_PQ!S839)</f>
        <v/>
      </c>
      <c r="T839" s="57" t="str">
        <f>IF(Associates_Call_List_PQ!T839="","",Associates_Call_List_PQ!T839)</f>
        <v/>
      </c>
      <c r="U839" s="57" t="str">
        <f>IF(Associates_Call_List_PQ!U839="","",Associates_Call_List_PQ!U839)</f>
        <v/>
      </c>
      <c r="V839" s="68"/>
      <c r="W839" s="68" t="s">
        <v>5432</v>
      </c>
      <c r="X839" s="68"/>
      <c r="Y839" s="68"/>
      <c r="Z839" s="72"/>
    </row>
    <row r="840" spans="1:26">
      <c r="A840" s="71">
        <f>IFERROR(Associates_Call_List_PQ!A840,"")</f>
        <v>45922</v>
      </c>
      <c r="B840" s="57" t="str">
        <f>IF(Associates_Call_List_PQ!B840="","",Associates_Call_List_PQ!B840)</f>
        <v>Valdivia</v>
      </c>
      <c r="C840" s="57" t="str">
        <f>IF(Associates_Call_List_PQ!C840="","",Associates_Call_List_PQ!C840)</f>
        <v>Veronica</v>
      </c>
      <c r="D840" s="57" t="str">
        <f>IF(Associates_Call_List_PQ!D840="","",Associates_Call_List_PQ!D840)</f>
        <v>Buckeye</v>
      </c>
      <c r="E840" s="58">
        <f>IF(Associates_Call_List_PQ!E840="","",Associates_Call_List_PQ!E840)</f>
        <v>85326</v>
      </c>
      <c r="F840" s="57" t="str">
        <f>IF(Associates_Call_List_PQ!F840="","",Associates_Call_List_PQ!F840)</f>
        <v>Why put everyone in a worse situation</v>
      </c>
      <c r="G840" s="57" t="str">
        <f>IF(Associates_Call_List_PQ!G840="","",Associates_Call_List_PQ!G840)</f>
        <v>https://docket.images.azcc.gov/E000046578.pdf</v>
      </c>
      <c r="H840" s="59" t="str">
        <f>IF(Associates_Call_List_PQ!H840="","",Associates_Call_List_PQ!H840)</f>
        <v xml:space="preserve">5085875679 </v>
      </c>
      <c r="I840" s="57" t="str">
        <f>IF(Associates_Call_List_PQ!I840="","",Associates_Call_List_PQ!I840)</f>
        <v>R3-47</v>
      </c>
      <c r="J840" s="57" t="str">
        <f>IF(Associates_Call_List_PQ!J840="","",Associates_Call_List_PQ!J840)</f>
        <v>No</v>
      </c>
      <c r="K840" s="57" t="str">
        <f>IF(Associates_Call_List_PQ!K840="","",Associates_Call_List_PQ!K840)</f>
        <v>No</v>
      </c>
      <c r="L840" s="57" t="str">
        <f>IF(Associates_Call_List_PQ!L840="","",Associates_Call_List_PQ!L840)</f>
        <v>Yes</v>
      </c>
      <c r="M840" s="57" t="str">
        <f>IF(Associates_Call_List_PQ!M840="","",Associates_Call_List_PQ!M840)</f>
        <v>Yes</v>
      </c>
      <c r="N840" s="57">
        <f>IF(Associates_Call_List_PQ!N840="","",Associates_Call_List_PQ!N840)</f>
        <v>1027.99</v>
      </c>
      <c r="O840" s="57" t="str">
        <f>IF(Associates_Call_List_PQ!O840="","",Associates_Call_List_PQ!O840)</f>
        <v>Yes</v>
      </c>
      <c r="P840" s="57" t="str">
        <f>IF(Associates_Call_List_PQ!P840="","",Associates_Call_List_PQ!P840)</f>
        <v/>
      </c>
      <c r="Q840" s="57">
        <f>IF(Associates_Call_List_PQ!Q840="","",Associates_Call_List_PQ!Q840)</f>
        <v>45960</v>
      </c>
      <c r="R840" s="57" t="str">
        <f>IF(Associates_Call_List_PQ!R840="","",Associates_Call_List_PQ!R840)</f>
        <v>Assistance?</v>
      </c>
      <c r="S840" s="57" t="str">
        <f>IF(Associates_Call_List_PQ!S840="","",Associates_Call_List_PQ!S840)</f>
        <v/>
      </c>
      <c r="T840" s="57" t="str">
        <f>IF(Associates_Call_List_PQ!T840="","",Associates_Call_List_PQ!T840)</f>
        <v/>
      </c>
      <c r="U840" s="57" t="str">
        <f>IF(Associates_Call_List_PQ!U840="","",Associates_Call_List_PQ!U840)</f>
        <v/>
      </c>
      <c r="V840" s="68" t="s">
        <v>5433</v>
      </c>
      <c r="W840" s="68">
        <v>46039</v>
      </c>
      <c r="X840" s="68" t="s">
        <v>5405</v>
      </c>
      <c r="Y840" s="68" t="s">
        <v>5455</v>
      </c>
      <c r="Z840" s="73" t="s">
        <v>5637</v>
      </c>
    </row>
    <row r="841" spans="1:26">
      <c r="A841" s="71">
        <f>IFERROR(Associates_Call_List_PQ!A841,"")</f>
        <v>45922</v>
      </c>
      <c r="B841" s="57" t="str">
        <f>IF(Associates_Call_List_PQ!B841="","",Associates_Call_List_PQ!B841)</f>
        <v>Mccann</v>
      </c>
      <c r="C841" s="57" t="str">
        <f>IF(Associates_Call_List_PQ!C841="","",Associates_Call_List_PQ!C841)</f>
        <v>Haley</v>
      </c>
      <c r="D841" s="57" t="str">
        <f>IF(Associates_Call_List_PQ!D841="","",Associates_Call_List_PQ!D841)</f>
        <v>Surprise</v>
      </c>
      <c r="E841" s="58">
        <f>IF(Associates_Call_List_PQ!E841="","",Associates_Call_List_PQ!E841)</f>
        <v>85387</v>
      </c>
      <c r="F841" s="57" t="str">
        <f>IF(Associates_Call_List_PQ!F841="","",Associates_Call_List_PQ!F841)</f>
        <v xml:space="preserve">People can barely afford electricity as is now </v>
      </c>
      <c r="G841" s="57" t="str">
        <f>IF(Associates_Call_List_PQ!G841="","",Associates_Call_List_PQ!G841)</f>
        <v>https://docket.images.azcc.gov/E000046578.pdf</v>
      </c>
      <c r="H841" s="59" t="str">
        <f>IF(Associates_Call_List_PQ!H841="","",Associates_Call_List_PQ!H841)</f>
        <v xml:space="preserve">2553232071  </v>
      </c>
      <c r="I841" s="57" t="str">
        <f>IF(Associates_Call_List_PQ!I841="","",Associates_Call_List_PQ!I841)</f>
        <v>R3-47</v>
      </c>
      <c r="J841" s="57" t="str">
        <f>IF(Associates_Call_List_PQ!J841="","",Associates_Call_List_PQ!J841)</f>
        <v>No</v>
      </c>
      <c r="K841" s="57" t="str">
        <f>IF(Associates_Call_List_PQ!K841="","",Associates_Call_List_PQ!K841)</f>
        <v>No</v>
      </c>
      <c r="L841" s="57" t="str">
        <f>IF(Associates_Call_List_PQ!L841="","",Associates_Call_List_PQ!L841)</f>
        <v>Yes</v>
      </c>
      <c r="M841" s="57" t="str">
        <f>IF(Associates_Call_List_PQ!M841="","",Associates_Call_List_PQ!M841)</f>
        <v>No</v>
      </c>
      <c r="N841" s="57" t="str">
        <f>IF(Associates_Call_List_PQ!N841="","",Associates_Call_List_PQ!N841)</f>
        <v>No</v>
      </c>
      <c r="O841" s="57" t="str">
        <f>IF(Associates_Call_List_PQ!O841="","",Associates_Call_List_PQ!O841)</f>
        <v>Yes</v>
      </c>
      <c r="P841" s="57" t="str">
        <f>IF(Associates_Call_List_PQ!P841="","",Associates_Call_List_PQ!P841)</f>
        <v>N</v>
      </c>
      <c r="Q841" s="57">
        <f>IF(Associates_Call_List_PQ!Q841="","",Associates_Call_List_PQ!Q841)</f>
        <v>45960</v>
      </c>
      <c r="R841" s="57" t="str">
        <f>IF(Associates_Call_List_PQ!R841="","",Associates_Call_List_PQ!R841)</f>
        <v/>
      </c>
      <c r="S841" s="57" t="str">
        <f>IF(Associates_Call_List_PQ!S841="","",Associates_Call_List_PQ!S841)</f>
        <v/>
      </c>
      <c r="T841" s="57" t="str">
        <f>IF(Associates_Call_List_PQ!T841="","",Associates_Call_List_PQ!T841)</f>
        <v/>
      </c>
      <c r="U841" s="57" t="str">
        <f>IF(Associates_Call_List_PQ!U841="","",Associates_Call_List_PQ!U841)</f>
        <v/>
      </c>
      <c r="V841" s="68"/>
      <c r="W841" s="68" t="s">
        <v>5432</v>
      </c>
      <c r="X841" s="68"/>
      <c r="Y841" s="68"/>
      <c r="Z841" s="72"/>
    </row>
    <row r="842" spans="1:26">
      <c r="A842" s="71">
        <f>IFERROR(Associates_Call_List_PQ!A842,"")</f>
        <v>45922</v>
      </c>
      <c r="B842" s="57" t="str">
        <f>IF(Associates_Call_List_PQ!B842="","",Associates_Call_List_PQ!B842)</f>
        <v>Ross</v>
      </c>
      <c r="C842" s="57" t="str">
        <f>IF(Associates_Call_List_PQ!C842="","",Associates_Call_List_PQ!C842)</f>
        <v>Shelreece</v>
      </c>
      <c r="D842" s="57" t="str">
        <f>IF(Associates_Call_List_PQ!D842="","",Associates_Call_List_PQ!D842)</f>
        <v>Buckeye</v>
      </c>
      <c r="E842" s="58">
        <f>IF(Associates_Call_List_PQ!E842="","",Associates_Call_List_PQ!E842)</f>
        <v>85326</v>
      </c>
      <c r="F842" s="57" t="str">
        <f>IF(Associates_Call_List_PQ!F842="","",Associates_Call_List_PQ!F842)</f>
        <v xml:space="preserve">People can barely afford electricity as is now </v>
      </c>
      <c r="G842" s="57" t="str">
        <f>IF(Associates_Call_List_PQ!G842="","",Associates_Call_List_PQ!G842)</f>
        <v>https://docket.images.azcc.gov/E000046586.pdf</v>
      </c>
      <c r="H842" s="59" t="str">
        <f>IF(Associates_Call_List_PQ!H842="","",Associates_Call_List_PQ!H842)</f>
        <v xml:space="preserve">2400731000 </v>
      </c>
      <c r="I842" s="57" t="str">
        <f>IF(Associates_Call_List_PQ!I842="","",Associates_Call_List_PQ!I842)</f>
        <v>R3-47</v>
      </c>
      <c r="J842" s="57" t="str">
        <f>IF(Associates_Call_List_PQ!J842="","",Associates_Call_List_PQ!J842)</f>
        <v>Yes</v>
      </c>
      <c r="K842" s="57" t="str">
        <f>IF(Associates_Call_List_PQ!K842="","",Associates_Call_List_PQ!K842)</f>
        <v>No</v>
      </c>
      <c r="L842" s="57" t="str">
        <f>IF(Associates_Call_List_PQ!L842="","",Associates_Call_List_PQ!L842)</f>
        <v>Yes</v>
      </c>
      <c r="M842" s="57" t="str">
        <f>IF(Associates_Call_List_PQ!M842="","",Associates_Call_List_PQ!M842)</f>
        <v>Yes</v>
      </c>
      <c r="N842" s="57">
        <f>IF(Associates_Call_List_PQ!N842="","",Associates_Call_List_PQ!N842)</f>
        <v>771.64</v>
      </c>
      <c r="O842" s="57" t="str">
        <f>IF(Associates_Call_List_PQ!O842="","",Associates_Call_List_PQ!O842)</f>
        <v>Yes</v>
      </c>
      <c r="P842" s="57" t="str">
        <f>IF(Associates_Call_List_PQ!P842="","",Associates_Call_List_PQ!P842)</f>
        <v/>
      </c>
      <c r="Q842" s="57">
        <f>IF(Associates_Call_List_PQ!Q842="","",Associates_Call_List_PQ!Q842)</f>
        <v>45960</v>
      </c>
      <c r="R842" s="57" t="str">
        <f>IF(Associates_Call_List_PQ!R842="","",Associates_Call_List_PQ!R842)</f>
        <v>Assistance?</v>
      </c>
      <c r="S842" s="57" t="str">
        <f>IF(Associates_Call_List_PQ!S842="","",Associates_Call_List_PQ!S842)</f>
        <v/>
      </c>
      <c r="T842" s="57" t="str">
        <f>IF(Associates_Call_List_PQ!T842="","",Associates_Call_List_PQ!T842)</f>
        <v/>
      </c>
      <c r="U842" s="57" t="str">
        <f>IF(Associates_Call_List_PQ!U842="","",Associates_Call_List_PQ!U842)</f>
        <v/>
      </c>
      <c r="V842" s="68" t="s">
        <v>5433</v>
      </c>
      <c r="W842" s="68">
        <v>46039</v>
      </c>
      <c r="X842" s="68" t="s">
        <v>5434</v>
      </c>
      <c r="Y842" s="68"/>
      <c r="Z842" s="72" t="s">
        <v>5655</v>
      </c>
    </row>
    <row r="843" spans="1:26">
      <c r="A843" s="71">
        <f>IFERROR(Associates_Call_List_PQ!A843,"")</f>
        <v>45922</v>
      </c>
      <c r="B843" s="57" t="str">
        <f>IF(Associates_Call_List_PQ!B843="","",Associates_Call_List_PQ!B843)</f>
        <v>Dueringer</v>
      </c>
      <c r="C843" s="57" t="str">
        <f>IF(Associates_Call_List_PQ!C843="","",Associates_Call_List_PQ!C843)</f>
        <v>Helen</v>
      </c>
      <c r="D843" s="57" t="str">
        <f>IF(Associates_Call_List_PQ!D843="","",Associates_Call_List_PQ!D843)</f>
        <v>Phoenix</v>
      </c>
      <c r="E843" s="58">
        <f>IF(Associates_Call_List_PQ!E843="","",Associates_Call_List_PQ!E843)</f>
        <v>85022</v>
      </c>
      <c r="F843" s="57" t="str">
        <f>IF(Associates_Call_List_PQ!F843="","",Associates_Call_List_PQ!F843)</f>
        <v>Rates should only be risen for Commercial properties</v>
      </c>
      <c r="G843" s="57" t="str">
        <f>IF(Associates_Call_List_PQ!G843="","",Associates_Call_List_PQ!G843)</f>
        <v>https://docket.images.azcc.gov/E000046579.pdf</v>
      </c>
      <c r="H843" s="59" t="str">
        <f>IF(Associates_Call_List_PQ!H843="","",Associates_Call_List_PQ!H843)</f>
        <v xml:space="preserve">4755350632 </v>
      </c>
      <c r="I843" s="57" t="str">
        <f>IF(Associates_Call_List_PQ!I843="","",Associates_Call_List_PQ!I843)</f>
        <v>R-BASIC</v>
      </c>
      <c r="J843" s="57" t="str">
        <f>IF(Associates_Call_List_PQ!J843="","",Associates_Call_List_PQ!J843)</f>
        <v>Yes</v>
      </c>
      <c r="K843" s="57" t="str">
        <f>IF(Associates_Call_List_PQ!K843="","",Associates_Call_List_PQ!K843)</f>
        <v>No</v>
      </c>
      <c r="L843" s="57" t="str">
        <f>IF(Associates_Call_List_PQ!L843="","",Associates_Call_List_PQ!L843)</f>
        <v>Yes</v>
      </c>
      <c r="M843" s="57" t="str">
        <f>IF(Associates_Call_List_PQ!M843="","",Associates_Call_List_PQ!M843)</f>
        <v>No</v>
      </c>
      <c r="N843" s="57" t="str">
        <f>IF(Associates_Call_List_PQ!N843="","",Associates_Call_List_PQ!N843)</f>
        <v>No</v>
      </c>
      <c r="O843" s="57" t="str">
        <f>IF(Associates_Call_List_PQ!O843="","",Associates_Call_List_PQ!O843)</f>
        <v>Yes</v>
      </c>
      <c r="P843" s="57" t="str">
        <f>IF(Associates_Call_List_PQ!P843="","",Associates_Call_List_PQ!P843)</f>
        <v>N</v>
      </c>
      <c r="Q843" s="57">
        <f>IF(Associates_Call_List_PQ!Q843="","",Associates_Call_List_PQ!Q843)</f>
        <v>45960</v>
      </c>
      <c r="R843" s="57" t="str">
        <f>IF(Associates_Call_List_PQ!R843="","",Associates_Call_List_PQ!R843)</f>
        <v/>
      </c>
      <c r="S843" s="57" t="str">
        <f>IF(Associates_Call_List_PQ!S843="","",Associates_Call_List_PQ!S843)</f>
        <v/>
      </c>
      <c r="T843" s="57" t="str">
        <f>IF(Associates_Call_List_PQ!T843="","",Associates_Call_List_PQ!T843)</f>
        <v/>
      </c>
      <c r="U843" s="57" t="str">
        <f>IF(Associates_Call_List_PQ!U843="","",Associates_Call_List_PQ!U843)</f>
        <v/>
      </c>
      <c r="V843" s="68"/>
      <c r="W843" s="68" t="s">
        <v>5432</v>
      </c>
      <c r="X843" s="68"/>
      <c r="Y843" s="68"/>
      <c r="Z843" s="72"/>
    </row>
    <row r="844" spans="1:26">
      <c r="A844" s="71">
        <f>IFERROR(Associates_Call_List_PQ!A844,"")</f>
        <v>45923</v>
      </c>
      <c r="B844" s="57" t="str">
        <f>IF(Associates_Call_List_PQ!B844="","",Associates_Call_List_PQ!B844)</f>
        <v>De Santiago</v>
      </c>
      <c r="C844" s="57" t="str">
        <f>IF(Associates_Call_List_PQ!C844="","",Associates_Call_List_PQ!C844)</f>
        <v>Marisol</v>
      </c>
      <c r="D844" s="57" t="str">
        <f>IF(Associates_Call_List_PQ!D844="","",Associates_Call_List_PQ!D844)</f>
        <v>Buckeye</v>
      </c>
      <c r="E844" s="58">
        <f>IF(Associates_Call_List_PQ!E844="","",Associates_Call_List_PQ!E844)</f>
        <v>85326</v>
      </c>
      <c r="F844" s="57" t="str">
        <f>IF(Associates_Call_List_PQ!F844="","",Associates_Call_List_PQ!F844)</f>
        <v>I object</v>
      </c>
      <c r="G844" s="57" t="str">
        <f>IF(Associates_Call_List_PQ!G844="","",Associates_Call_List_PQ!G844)</f>
        <v>https://docket.images.azcc.gov/E000046586.pdf</v>
      </c>
      <c r="H844" s="59" t="str">
        <f>IF(Associates_Call_List_PQ!H844="","",Associates_Call_List_PQ!H844)</f>
        <v xml:space="preserve">2792050000 </v>
      </c>
      <c r="I844" s="57" t="str">
        <f>IF(Associates_Call_List_PQ!I844="","",Associates_Call_List_PQ!I844)</f>
        <v>RTOUE47</v>
      </c>
      <c r="J844" s="57" t="str">
        <f>IF(Associates_Call_List_PQ!J844="","",Associates_Call_List_PQ!J844)</f>
        <v>No</v>
      </c>
      <c r="K844" s="57" t="str">
        <f>IF(Associates_Call_List_PQ!K844="","",Associates_Call_List_PQ!K844)</f>
        <v>No</v>
      </c>
      <c r="L844" s="57" t="str">
        <f>IF(Associates_Call_List_PQ!L844="","",Associates_Call_List_PQ!L844)</f>
        <v>No MEP R3-47(104.05)</v>
      </c>
      <c r="M844" s="57" t="str">
        <f>IF(Associates_Call_List_PQ!M844="","",Associates_Call_List_PQ!M844)</f>
        <v>No</v>
      </c>
      <c r="N844" s="57" t="str">
        <f>IF(Associates_Call_List_PQ!N844="","",Associates_Call_List_PQ!N844)</f>
        <v>No</v>
      </c>
      <c r="O844" s="57" t="str">
        <f>IF(Associates_Call_List_PQ!O844="","",Associates_Call_List_PQ!O844)</f>
        <v>Yes</v>
      </c>
      <c r="P844" s="57">
        <f>IF(Associates_Call_List_PQ!P844="","",Associates_Call_List_PQ!P844)</f>
        <v>45940</v>
      </c>
      <c r="Q844" s="57">
        <f>IF(Associates_Call_List_PQ!Q844="","",Associates_Call_List_PQ!Q844)</f>
        <v>45960</v>
      </c>
      <c r="R844" s="57" t="str">
        <f>IF(Associates_Call_List_PQ!R844="","",Associates_Call_List_PQ!R844)</f>
        <v>Cor will remain on current plan</v>
      </c>
      <c r="S844" s="57" t="str">
        <f>IF(Associates_Call_List_PQ!S844="","",Associates_Call_List_PQ!S844)</f>
        <v/>
      </c>
      <c r="T844" s="57" t="str">
        <f>IF(Associates_Call_List_PQ!T844="","",Associates_Call_List_PQ!T844)</f>
        <v/>
      </c>
      <c r="U844" s="57" t="str">
        <f>IF(Associates_Call_List_PQ!U844="","",Associates_Call_List_PQ!U844)</f>
        <v/>
      </c>
      <c r="V844" s="68" t="s">
        <v>5433</v>
      </c>
      <c r="W844" s="68">
        <v>46053</v>
      </c>
      <c r="X844" s="68" t="s">
        <v>5434</v>
      </c>
      <c r="Y844" s="68"/>
      <c r="Z844" s="72" t="s">
        <v>5599</v>
      </c>
    </row>
    <row r="845" spans="1:26">
      <c r="A845" s="71">
        <f>IFERROR(Associates_Call_List_PQ!A845,"")</f>
        <v>45923</v>
      </c>
      <c r="B845" s="57" t="str">
        <f>IF(Associates_Call_List_PQ!B845="","",Associates_Call_List_PQ!B845)</f>
        <v>Mckinney</v>
      </c>
      <c r="C845" s="57" t="str">
        <f>IF(Associates_Call_List_PQ!C845="","",Associates_Call_List_PQ!C845)</f>
        <v>Karen</v>
      </c>
      <c r="D845" s="57" t="str">
        <f>IF(Associates_Call_List_PQ!D845="","",Associates_Call_List_PQ!D845)</f>
        <v>Buckeye</v>
      </c>
      <c r="E845" s="58">
        <f>IF(Associates_Call_List_PQ!E845="","",Associates_Call_List_PQ!E845)</f>
        <v>85326</v>
      </c>
      <c r="F845" s="57" t="str">
        <f>IF(Associates_Call_List_PQ!F845="","",Associates_Call_List_PQ!F845)</f>
        <v>Strongly disagree</v>
      </c>
      <c r="G845" s="57" t="str">
        <f>IF(Associates_Call_List_PQ!G845="","",Associates_Call_List_PQ!G845)</f>
        <v>https://docket.images.azcc.gov/E000046586.pdf</v>
      </c>
      <c r="H845" s="59" t="str">
        <f>IF(Associates_Call_List_PQ!H845="","",Associates_Call_List_PQ!H845)</f>
        <v xml:space="preserve">9713457751 </v>
      </c>
      <c r="I845" s="57" t="str">
        <f>IF(Associates_Call_List_PQ!I845="","",Associates_Call_List_PQ!I845)</f>
        <v>RCPw/RTOUE47</v>
      </c>
      <c r="J845" s="57" t="str">
        <f>IF(Associates_Call_List_PQ!J845="","",Associates_Call_List_PQ!J845)</f>
        <v>No</v>
      </c>
      <c r="K845" s="57" t="str">
        <f>IF(Associates_Call_List_PQ!K845="","",Associates_Call_List_PQ!K845)</f>
        <v>No</v>
      </c>
      <c r="L845" s="57" t="str">
        <f>IF(Associates_Call_List_PQ!L845="","",Associates_Call_List_PQ!L845)</f>
        <v>Yes</v>
      </c>
      <c r="M845" s="57" t="str">
        <f>IF(Associates_Call_List_PQ!M845="","",Associates_Call_List_PQ!M845)</f>
        <v>No</v>
      </c>
      <c r="N845" s="57" t="str">
        <f>IF(Associates_Call_List_PQ!N845="","",Associates_Call_List_PQ!N845)</f>
        <v>No</v>
      </c>
      <c r="O845" s="57" t="str">
        <f>IF(Associates_Call_List_PQ!O845="","",Associates_Call_List_PQ!O845)</f>
        <v>Yes</v>
      </c>
      <c r="P845" s="57" t="str">
        <f>IF(Associates_Call_List_PQ!P845="","",Associates_Call_List_PQ!P845)</f>
        <v>N</v>
      </c>
      <c r="Q845" s="57">
        <f>IF(Associates_Call_List_PQ!Q845="","",Associates_Call_List_PQ!Q845)</f>
        <v>45960</v>
      </c>
      <c r="R845" s="57" t="str">
        <f>IF(Associates_Call_List_PQ!R845="","",Associates_Call_List_PQ!R845)</f>
        <v/>
      </c>
      <c r="S845" s="57" t="str">
        <f>IF(Associates_Call_List_PQ!S845="","",Associates_Call_List_PQ!S845)</f>
        <v/>
      </c>
      <c r="T845" s="57" t="str">
        <f>IF(Associates_Call_List_PQ!T845="","",Associates_Call_List_PQ!T845)</f>
        <v/>
      </c>
      <c r="U845" s="57" t="str">
        <f>IF(Associates_Call_List_PQ!U845="","",Associates_Call_List_PQ!U845)</f>
        <v/>
      </c>
      <c r="V845" s="68"/>
      <c r="W845" s="68" t="s">
        <v>5432</v>
      </c>
      <c r="X845" s="68"/>
      <c r="Y845" s="68"/>
      <c r="Z845" s="72"/>
    </row>
    <row r="846" spans="1:26">
      <c r="A846" s="71">
        <f>IFERROR(Associates_Call_List_PQ!A846,"")</f>
        <v>45923</v>
      </c>
      <c r="B846" s="57" t="str">
        <f>IF(Associates_Call_List_PQ!B846="","",Associates_Call_List_PQ!B846)</f>
        <v>Perkins</v>
      </c>
      <c r="C846" s="57" t="str">
        <f>IF(Associates_Call_List_PQ!C846="","",Associates_Call_List_PQ!C846)</f>
        <v>Rayney</v>
      </c>
      <c r="D846" s="57" t="str">
        <f>IF(Associates_Call_List_PQ!D846="","",Associates_Call_List_PQ!D846)</f>
        <v>Phoenix</v>
      </c>
      <c r="E846" s="58">
        <f>IF(Associates_Call_List_PQ!E846="","",Associates_Call_List_PQ!E846)</f>
        <v>85022</v>
      </c>
      <c r="F846" s="57" t="str">
        <f>IF(Associates_Call_List_PQ!F846="","",Associates_Call_List_PQ!F846)</f>
        <v>Opposed- Single income family of 8</v>
      </c>
      <c r="G846" s="57" t="str">
        <f>IF(Associates_Call_List_PQ!G846="","",Associates_Call_List_PQ!G846)</f>
        <v>https://docket.images.azcc.gov/E000046586.pdf</v>
      </c>
      <c r="H846" s="59" t="str">
        <f>IF(Associates_Call_List_PQ!H846="","",Associates_Call_List_PQ!H846)</f>
        <v>1055401000 </v>
      </c>
      <c r="I846" s="57" t="str">
        <f>IF(Associates_Call_List_PQ!I846="","",Associates_Call_List_PQ!I846)</f>
        <v>R3-47</v>
      </c>
      <c r="J846" s="57" t="str">
        <f>IF(Associates_Call_List_PQ!J846="","",Associates_Call_List_PQ!J846)</f>
        <v>No</v>
      </c>
      <c r="K846" s="57" t="str">
        <f>IF(Associates_Call_List_PQ!K846="","",Associates_Call_List_PQ!K846)</f>
        <v>No</v>
      </c>
      <c r="L846" s="57" t="str">
        <f>IF(Associates_Call_List_PQ!L846="","",Associates_Call_List_PQ!L846)</f>
        <v>Yes</v>
      </c>
      <c r="M846" s="57" t="str">
        <f>IF(Associates_Call_List_PQ!M846="","",Associates_Call_List_PQ!M846)</f>
        <v>Yes</v>
      </c>
      <c r="N846" s="57">
        <f>IF(Associates_Call_List_PQ!N846="","",Associates_Call_List_PQ!N846)</f>
        <v>1080.4000000000001</v>
      </c>
      <c r="O846" s="57" t="str">
        <f>IF(Associates_Call_List_PQ!O846="","",Associates_Call_List_PQ!O846)</f>
        <v>Yes</v>
      </c>
      <c r="P846" s="57" t="str">
        <f>IF(Associates_Call_List_PQ!P846="","",Associates_Call_List_PQ!P846)</f>
        <v/>
      </c>
      <c r="Q846" s="57">
        <f>IF(Associates_Call_List_PQ!Q846="","",Associates_Call_List_PQ!Q846)</f>
        <v>45960</v>
      </c>
      <c r="R846" s="57" t="str">
        <f>IF(Associates_Call_List_PQ!R846="","",Associates_Call_List_PQ!R846)</f>
        <v>Assistance?</v>
      </c>
      <c r="S846" s="57" t="str">
        <f>IF(Associates_Call_List_PQ!S846="","",Associates_Call_List_PQ!S846)</f>
        <v/>
      </c>
      <c r="T846" s="57" t="str">
        <f>IF(Associates_Call_List_PQ!T846="","",Associates_Call_List_PQ!T846)</f>
        <v/>
      </c>
      <c r="U846" s="57" t="str">
        <f>IF(Associates_Call_List_PQ!U846="","",Associates_Call_List_PQ!U846)</f>
        <v/>
      </c>
      <c r="V846" s="68" t="s">
        <v>5433</v>
      </c>
      <c r="W846" s="68">
        <v>46039</v>
      </c>
      <c r="X846" s="68" t="s">
        <v>5405</v>
      </c>
      <c r="Y846" s="68" t="s">
        <v>5455</v>
      </c>
      <c r="Z846" s="72" t="s">
        <v>5656</v>
      </c>
    </row>
    <row r="847" spans="1:26">
      <c r="A847" s="71">
        <f>IFERROR(Associates_Call_List_PQ!A847,"")</f>
        <v>45923</v>
      </c>
      <c r="B847" s="57" t="str">
        <f>IF(Associates_Call_List_PQ!B847="","",Associates_Call_List_PQ!B847)</f>
        <v>Brown</v>
      </c>
      <c r="C847" s="57" t="str">
        <f>IF(Associates_Call_List_PQ!C847="","",Associates_Call_List_PQ!C847)</f>
        <v>Valerie</v>
      </c>
      <c r="D847" s="57" t="str">
        <f>IF(Associates_Call_List_PQ!D847="","",Associates_Call_List_PQ!D847)</f>
        <v>Litchfield Park</v>
      </c>
      <c r="E847" s="58">
        <f>IF(Associates_Call_List_PQ!E847="","",Associates_Call_List_PQ!E847)</f>
        <v>85340</v>
      </c>
      <c r="F847" s="57" t="str">
        <f>IF(Associates_Call_List_PQ!F847="","",Associates_Call_List_PQ!F847)</f>
        <v>Opposed-already struggling with the last increase</v>
      </c>
      <c r="G847" s="57" t="str">
        <f>IF(Associates_Call_List_PQ!G847="","",Associates_Call_List_PQ!G847)</f>
        <v>https://docket.images.azcc.gov/E000046586.pdf</v>
      </c>
      <c r="H847" s="59" t="str">
        <f>IF(Associates_Call_List_PQ!H847="","",Associates_Call_List_PQ!H847)</f>
        <v xml:space="preserve">2283931000 </v>
      </c>
      <c r="I847" s="57" t="str">
        <f>IF(Associates_Call_List_PQ!I847="","",Associates_Call_List_PQ!I847)</f>
        <v>R3-47</v>
      </c>
      <c r="J847" s="57" t="str">
        <f>IF(Associates_Call_List_PQ!J847="","",Associates_Call_List_PQ!J847)</f>
        <v>No</v>
      </c>
      <c r="K847" s="57" t="str">
        <f>IF(Associates_Call_List_PQ!K847="","",Associates_Call_List_PQ!K847)</f>
        <v>No</v>
      </c>
      <c r="L847" s="57" t="str">
        <f>IF(Associates_Call_List_PQ!L847="","",Associates_Call_List_PQ!L847)</f>
        <v>Yes</v>
      </c>
      <c r="M847" s="57" t="str">
        <f>IF(Associates_Call_List_PQ!M847="","",Associates_Call_List_PQ!M847)</f>
        <v>No</v>
      </c>
      <c r="N847" s="57" t="str">
        <f>IF(Associates_Call_List_PQ!N847="","",Associates_Call_List_PQ!N847)</f>
        <v>No</v>
      </c>
      <c r="O847" s="57" t="str">
        <f>IF(Associates_Call_List_PQ!O847="","",Associates_Call_List_PQ!O847)</f>
        <v>Yes</v>
      </c>
      <c r="P847" s="57" t="str">
        <f>IF(Associates_Call_List_PQ!P847="","",Associates_Call_List_PQ!P847)</f>
        <v>N</v>
      </c>
      <c r="Q847" s="57">
        <f>IF(Associates_Call_List_PQ!Q847="","",Associates_Call_List_PQ!Q847)</f>
        <v>45960</v>
      </c>
      <c r="R847" s="57" t="str">
        <f>IF(Associates_Call_List_PQ!R847="","",Associates_Call_List_PQ!R847)</f>
        <v/>
      </c>
      <c r="S847" s="57" t="str">
        <f>IF(Associates_Call_List_PQ!S847="","",Associates_Call_List_PQ!S847)</f>
        <v/>
      </c>
      <c r="T847" s="57" t="str">
        <f>IF(Associates_Call_List_PQ!T847="","",Associates_Call_List_PQ!T847)</f>
        <v/>
      </c>
      <c r="U847" s="57" t="str">
        <f>IF(Associates_Call_List_PQ!U847="","",Associates_Call_List_PQ!U847)</f>
        <v/>
      </c>
      <c r="V847" s="68"/>
      <c r="W847" s="68" t="s">
        <v>5432</v>
      </c>
      <c r="X847" s="68"/>
      <c r="Y847" s="68"/>
      <c r="Z847" s="72"/>
    </row>
    <row r="848" spans="1:26">
      <c r="A848" s="71">
        <f>IFERROR(Associates_Call_List_PQ!A848,"")</f>
        <v>45924</v>
      </c>
      <c r="B848" s="57" t="str">
        <f>IF(Associates_Call_List_PQ!B848="","",Associates_Call_List_PQ!B848)</f>
        <v>Bottlinger</v>
      </c>
      <c r="C848" s="57" t="str">
        <f>IF(Associates_Call_List_PQ!C848="","",Associates_Call_List_PQ!C848)</f>
        <v>Janelle</v>
      </c>
      <c r="D848" s="57" t="str">
        <f>IF(Associates_Call_List_PQ!D848="","",Associates_Call_List_PQ!D848)</f>
        <v>Phoenix</v>
      </c>
      <c r="E848" s="58">
        <f>IF(Associates_Call_List_PQ!E848="","",Associates_Call_List_PQ!E848)</f>
        <v>85013</v>
      </c>
      <c r="F848" s="57" t="str">
        <f>IF(Associates_Call_List_PQ!F848="","",Associates_Call_List_PQ!F848)</f>
        <v>I am against the rate increase</v>
      </c>
      <c r="G848" s="57" t="str">
        <f>IF(Associates_Call_List_PQ!G848="","",Associates_Call_List_PQ!G848)</f>
        <v>https://docket.images.azcc.gov/E000046638.pdf</v>
      </c>
      <c r="H848" s="59" t="str">
        <f>IF(Associates_Call_List_PQ!H848="","",Associates_Call_List_PQ!H848)</f>
        <v xml:space="preserve">0823076351 </v>
      </c>
      <c r="I848" s="57" t="str">
        <f>IF(Associates_Call_List_PQ!I848="","",Associates_Call_List_PQ!I848)</f>
        <v>R3-47</v>
      </c>
      <c r="J848" s="57" t="str">
        <f>IF(Associates_Call_List_PQ!J848="","",Associates_Call_List_PQ!J848)</f>
        <v>No</v>
      </c>
      <c r="K848" s="57" t="str">
        <f>IF(Associates_Call_List_PQ!K848="","",Associates_Call_List_PQ!K848)</f>
        <v>No</v>
      </c>
      <c r="L848" s="57" t="str">
        <f>IF(Associates_Call_List_PQ!L848="","",Associates_Call_List_PQ!L848)</f>
        <v>Yes</v>
      </c>
      <c r="M848" s="57" t="str">
        <f>IF(Associates_Call_List_PQ!M848="","",Associates_Call_List_PQ!M848)</f>
        <v>No</v>
      </c>
      <c r="N848" s="57" t="str">
        <f>IF(Associates_Call_List_PQ!N848="","",Associates_Call_List_PQ!N848)</f>
        <v>No</v>
      </c>
      <c r="O848" s="57" t="str">
        <f>IF(Associates_Call_List_PQ!O848="","",Associates_Call_List_PQ!O848)</f>
        <v>Yes</v>
      </c>
      <c r="P848" s="57" t="str">
        <f>IF(Associates_Call_List_PQ!P848="","",Associates_Call_List_PQ!P848)</f>
        <v>N</v>
      </c>
      <c r="Q848" s="57">
        <f>IF(Associates_Call_List_PQ!Q848="","",Associates_Call_List_PQ!Q848)</f>
        <v>45960</v>
      </c>
      <c r="R848" s="57" t="str">
        <f>IF(Associates_Call_List_PQ!R848="","",Associates_Call_List_PQ!R848)</f>
        <v>Filed Twice</v>
      </c>
      <c r="S848" s="57" t="str">
        <f>IF(Associates_Call_List_PQ!S848="","",Associates_Call_List_PQ!S848)</f>
        <v/>
      </c>
      <c r="T848" s="57" t="str">
        <f>IF(Associates_Call_List_PQ!T848="","",Associates_Call_List_PQ!T848)</f>
        <v/>
      </c>
      <c r="U848" s="57" t="str">
        <f>IF(Associates_Call_List_PQ!U848="","",Associates_Call_List_PQ!U848)</f>
        <v/>
      </c>
      <c r="V848" s="68" t="s">
        <v>5433</v>
      </c>
      <c r="W848" s="68">
        <v>46074</v>
      </c>
      <c r="X848" s="68" t="s">
        <v>5434</v>
      </c>
      <c r="Y848" s="68"/>
      <c r="Z848" s="72" t="s">
        <v>5547</v>
      </c>
    </row>
    <row r="849" spans="1:26">
      <c r="A849" s="71">
        <f>IFERROR(Associates_Call_List_PQ!A849,"")</f>
        <v>44098</v>
      </c>
      <c r="B849" s="57" t="str">
        <f>IF(Associates_Call_List_PQ!B849="","",Associates_Call_List_PQ!B849)</f>
        <v>Hakes</v>
      </c>
      <c r="C849" s="57" t="str">
        <f>IF(Associates_Call_List_PQ!C849="","",Associates_Call_List_PQ!C849)</f>
        <v>Linnea</v>
      </c>
      <c r="D849" s="57" t="str">
        <f>IF(Associates_Call_List_PQ!D849="","",Associates_Call_List_PQ!D849)</f>
        <v>Camp Verde</v>
      </c>
      <c r="E849" s="58">
        <f>IF(Associates_Call_List_PQ!E849="","",Associates_Call_List_PQ!E849)</f>
        <v>86322</v>
      </c>
      <c r="F849" s="57" t="str">
        <f>IF(Associates_Call_List_PQ!F849="","",Associates_Call_List_PQ!F849)</f>
        <v>It’s a shame for APS to think of raising rates</v>
      </c>
      <c r="G849" s="57" t="str">
        <f>IF(Associates_Call_List_PQ!G849="","",Associates_Call_List_PQ!G849)</f>
        <v>https://docket.images.azcc.gov/E000046638.pdf</v>
      </c>
      <c r="H849" s="59" t="str">
        <f>IF(Associates_Call_List_PQ!H849="","",Associates_Call_List_PQ!H849)</f>
        <v>4774490000 </v>
      </c>
      <c r="I849" s="57" t="str">
        <f>IF(Associates_Call_List_PQ!I849="","",Associates_Call_List_PQ!I849)</f>
        <v>R-BASICL</v>
      </c>
      <c r="J849" s="57" t="str">
        <f>IF(Associates_Call_List_PQ!J849="","",Associates_Call_List_PQ!J849)</f>
        <v>No</v>
      </c>
      <c r="K849" s="57" t="str">
        <f>IF(Associates_Call_List_PQ!K849="","",Associates_Call_List_PQ!K849)</f>
        <v>No</v>
      </c>
      <c r="L849" s="57" t="str">
        <f>IF(Associates_Call_List_PQ!L849="","",Associates_Call_List_PQ!L849)</f>
        <v>No MEP RTOUE ($149.70)</v>
      </c>
      <c r="M849" s="57" t="str">
        <f>IF(Associates_Call_List_PQ!M849="","",Associates_Call_List_PQ!M849)</f>
        <v>No</v>
      </c>
      <c r="N849" s="57" t="str">
        <f>IF(Associates_Call_List_PQ!N849="","",Associates_Call_List_PQ!N849)</f>
        <v>No</v>
      </c>
      <c r="O849" s="57" t="str">
        <f>IF(Associates_Call_List_PQ!O849="","",Associates_Call_List_PQ!O849)</f>
        <v>Yes</v>
      </c>
      <c r="P849" s="57">
        <f>IF(Associates_Call_List_PQ!P849="","",Associates_Call_List_PQ!P849)</f>
        <v>45940</v>
      </c>
      <c r="Q849" s="57">
        <f>IF(Associates_Call_List_PQ!Q849="","",Associates_Call_List_PQ!Q849)</f>
        <v>45960</v>
      </c>
      <c r="R849" s="57" t="str">
        <f>IF(Associates_Call_List_PQ!R849="","",Associates_Call_List_PQ!R849)</f>
        <v>10/10/2025 Left VM</v>
      </c>
      <c r="S849" s="57" t="str">
        <f>IF(Associates_Call_List_PQ!S849="","",Associates_Call_List_PQ!S849)</f>
        <v/>
      </c>
      <c r="T849" s="57" t="str">
        <f>IF(Associates_Call_List_PQ!T849="","",Associates_Call_List_PQ!T849)</f>
        <v/>
      </c>
      <c r="U849" s="57" t="str">
        <f>IF(Associates_Call_List_PQ!U849="","",Associates_Call_List_PQ!U849)</f>
        <v/>
      </c>
      <c r="V849" s="68" t="s">
        <v>5433</v>
      </c>
      <c r="W849" s="68">
        <v>46039</v>
      </c>
      <c r="X849" s="68" t="s">
        <v>5405</v>
      </c>
      <c r="Y849" s="68" t="s">
        <v>5461</v>
      </c>
      <c r="Z849" s="72" t="s">
        <v>5657</v>
      </c>
    </row>
    <row r="850" spans="1:26">
      <c r="A850" s="71">
        <f>IFERROR(Associates_Call_List_PQ!A850,"")</f>
        <v>45925</v>
      </c>
      <c r="B850" s="57" t="str">
        <f>IF(Associates_Call_List_PQ!B850="","",Associates_Call_List_PQ!B850)</f>
        <v>Fenton</v>
      </c>
      <c r="C850" s="57" t="str">
        <f>IF(Associates_Call_List_PQ!C850="","",Associates_Call_List_PQ!C850)</f>
        <v>John</v>
      </c>
      <c r="D850" s="57" t="str">
        <f>IF(Associates_Call_List_PQ!D850="","",Associates_Call_List_PQ!D850)</f>
        <v>Payson</v>
      </c>
      <c r="E850" s="58">
        <f>IF(Associates_Call_List_PQ!E850="","",Associates_Call_List_PQ!E850)</f>
        <v>85541</v>
      </c>
      <c r="F850" s="57" t="str">
        <f>IF(Associates_Call_List_PQ!F850="","",Associates_Call_List_PQ!F850)</f>
        <v>Fixed Income, cannot afford an increase</v>
      </c>
      <c r="G850" s="57" t="str">
        <f>IF(Associates_Call_List_PQ!G850="","",Associates_Call_List_PQ!G850)</f>
        <v>https://docket.images.azcc.gov/E000046638.pdf</v>
      </c>
      <c r="H850" s="59" t="str">
        <f>IF(Associates_Call_List_PQ!H850="","",Associates_Call_List_PQ!H850)</f>
        <v xml:space="preserve">7423629431 </v>
      </c>
      <c r="I850" s="57" t="str">
        <f>IF(Associates_Call_List_PQ!I850="","",Associates_Call_List_PQ!I850)</f>
        <v>R-XS</v>
      </c>
      <c r="J850" s="57" t="str">
        <f>IF(Associates_Call_List_PQ!J850="","",Associates_Call_List_PQ!J850)</f>
        <v>No</v>
      </c>
      <c r="K850" s="57" t="str">
        <f>IF(Associates_Call_List_PQ!K850="","",Associates_Call_List_PQ!K850)</f>
        <v>No</v>
      </c>
      <c r="L850" s="57" t="str">
        <f>IF(Associates_Call_List_PQ!L850="","",Associates_Call_List_PQ!L850)</f>
        <v>Yes</v>
      </c>
      <c r="M850" s="57" t="str">
        <f>IF(Associates_Call_List_PQ!M850="","",Associates_Call_List_PQ!M850)</f>
        <v>No</v>
      </c>
      <c r="N850" s="57" t="str">
        <f>IF(Associates_Call_List_PQ!N850="","",Associates_Call_List_PQ!N850)</f>
        <v>No</v>
      </c>
      <c r="O850" s="57" t="str">
        <f>IF(Associates_Call_List_PQ!O850="","",Associates_Call_List_PQ!O850)</f>
        <v>Yes</v>
      </c>
      <c r="P850" s="57" t="str">
        <f>IF(Associates_Call_List_PQ!P850="","",Associates_Call_List_PQ!P850)</f>
        <v>N</v>
      </c>
      <c r="Q850" s="57">
        <f>IF(Associates_Call_List_PQ!Q850="","",Associates_Call_List_PQ!Q850)</f>
        <v>45960</v>
      </c>
      <c r="R850" s="57" t="str">
        <f>IF(Associates_Call_List_PQ!R850="","",Associates_Call_List_PQ!R850)</f>
        <v/>
      </c>
      <c r="S850" s="57" t="str">
        <f>IF(Associates_Call_List_PQ!S850="","",Associates_Call_List_PQ!S850)</f>
        <v/>
      </c>
      <c r="T850" s="57" t="str">
        <f>IF(Associates_Call_List_PQ!T850="","",Associates_Call_List_PQ!T850)</f>
        <v/>
      </c>
      <c r="U850" s="57" t="str">
        <f>IF(Associates_Call_List_PQ!U850="","",Associates_Call_List_PQ!U850)</f>
        <v/>
      </c>
      <c r="V850" s="68" t="s">
        <v>5433</v>
      </c>
      <c r="W850" s="68">
        <v>46074</v>
      </c>
      <c r="X850" s="68" t="s">
        <v>5434</v>
      </c>
      <c r="Y850" s="68"/>
      <c r="Z850" s="72" t="s">
        <v>5547</v>
      </c>
    </row>
    <row r="851" spans="1:26">
      <c r="A851" s="71">
        <f>IFERROR(Associates_Call_List_PQ!A851,"")</f>
        <v>45925</v>
      </c>
      <c r="B851" s="57" t="str">
        <f>IF(Associates_Call_List_PQ!B851="","",Associates_Call_List_PQ!B851)</f>
        <v>Apostolides</v>
      </c>
      <c r="C851" s="57" t="str">
        <f>IF(Associates_Call_List_PQ!C851="","",Associates_Call_List_PQ!C851)</f>
        <v>Steven</v>
      </c>
      <c r="D851" s="57" t="str">
        <f>IF(Associates_Call_List_PQ!D851="","",Associates_Call_List_PQ!D851)</f>
        <v>Phoenix</v>
      </c>
      <c r="E851" s="58">
        <f>IF(Associates_Call_List_PQ!E851="","",Associates_Call_List_PQ!E851)</f>
        <v>85032</v>
      </c>
      <c r="F851" s="57" t="str">
        <f>IF(Associates_Call_List_PQ!F851="","",Associates_Call_List_PQ!F851)</f>
        <v>Opposed and upset over fuel pricing</v>
      </c>
      <c r="G851" s="57" t="str">
        <f>IF(Associates_Call_List_PQ!G851="","",Associates_Call_List_PQ!G851)</f>
        <v>https://docket.images.azcc.gov/E000046638.pdf</v>
      </c>
      <c r="H851" s="59" t="str">
        <f>IF(Associates_Call_List_PQ!H851="","",Associates_Call_List_PQ!H851)</f>
        <v xml:space="preserve">2644830000 </v>
      </c>
      <c r="I851" s="57" t="str">
        <f>IF(Associates_Call_List_PQ!I851="","",Associates_Call_List_PQ!I851)</f>
        <v>Multiple SAs</v>
      </c>
      <c r="J851" s="57" t="str">
        <f>IF(Associates_Call_List_PQ!J851="","",Associates_Call_List_PQ!J851)</f>
        <v>No</v>
      </c>
      <c r="K851" s="57" t="str">
        <f>IF(Associates_Call_List_PQ!K851="","",Associates_Call_List_PQ!K851)</f>
        <v>No</v>
      </c>
      <c r="L851" s="57" t="str">
        <f>IF(Associates_Call_List_PQ!L851="","",Associates_Call_List_PQ!L851)</f>
        <v>Yes</v>
      </c>
      <c r="M851" s="57" t="str">
        <f>IF(Associates_Call_List_PQ!M851="","",Associates_Call_List_PQ!M851)</f>
        <v>No</v>
      </c>
      <c r="N851" s="57" t="str">
        <f>IF(Associates_Call_List_PQ!N851="","",Associates_Call_List_PQ!N851)</f>
        <v>No</v>
      </c>
      <c r="O851" s="57" t="str">
        <f>IF(Associates_Call_List_PQ!O851="","",Associates_Call_List_PQ!O851)</f>
        <v>Yes</v>
      </c>
      <c r="P851" s="57" t="str">
        <f>IF(Associates_Call_List_PQ!P851="","",Associates_Call_List_PQ!P851)</f>
        <v>N</v>
      </c>
      <c r="Q851" s="57">
        <f>IF(Associates_Call_List_PQ!Q851="","",Associates_Call_List_PQ!Q851)</f>
        <v>45960</v>
      </c>
      <c r="R851" s="57" t="str">
        <f>IF(Associates_Call_List_PQ!R851="","",Associates_Call_List_PQ!R851)</f>
        <v>First SA is on MEP, Second SA could save $41.57 on Tier 2 (should be reassigned next month)</v>
      </c>
      <c r="S851" s="57" t="str">
        <f>IF(Associates_Call_List_PQ!S851="","",Associates_Call_List_PQ!S851)</f>
        <v/>
      </c>
      <c r="T851" s="57" t="str">
        <f>IF(Associates_Call_List_PQ!T851="","",Associates_Call_List_PQ!T851)</f>
        <v/>
      </c>
      <c r="U851" s="57" t="str">
        <f>IF(Associates_Call_List_PQ!U851="","",Associates_Call_List_PQ!U851)</f>
        <v/>
      </c>
      <c r="V851" s="68"/>
      <c r="W851" s="68" t="s">
        <v>5432</v>
      </c>
      <c r="X851" s="68"/>
      <c r="Y851" s="68"/>
      <c r="Z851" s="72"/>
    </row>
    <row r="852" spans="1:26">
      <c r="A852" s="71">
        <f>IFERROR(Associates_Call_List_PQ!A852,"")</f>
        <v>45925</v>
      </c>
      <c r="B852" s="57" t="str">
        <f>IF(Associates_Call_List_PQ!B852="","",Associates_Call_List_PQ!B852)</f>
        <v>Lynne</v>
      </c>
      <c r="C852" s="57" t="str">
        <f>IF(Associates_Call_List_PQ!C852="","",Associates_Call_List_PQ!C852)</f>
        <v>Robert</v>
      </c>
      <c r="D852" s="57" t="str">
        <f>IF(Associates_Call_List_PQ!D852="","",Associates_Call_List_PQ!D852)</f>
        <v>Prescott</v>
      </c>
      <c r="E852" s="58">
        <f>IF(Associates_Call_List_PQ!E852="","",Associates_Call_List_PQ!E852)</f>
        <v>86301</v>
      </c>
      <c r="F852" s="57" t="str">
        <f>IF(Associates_Call_List_PQ!F852="","",Associates_Call_List_PQ!F852)</f>
        <v>Opposed-Outrageous</v>
      </c>
      <c r="G852" s="57" t="str">
        <f>IF(Associates_Call_List_PQ!G852="","",Associates_Call_List_PQ!G852)</f>
        <v>https://docket.images.azcc.gov/E000046638.pdf</v>
      </c>
      <c r="H852" s="59" t="str">
        <f>IF(Associates_Call_List_PQ!H852="","",Associates_Call_List_PQ!H852)</f>
        <v>4875921000 </v>
      </c>
      <c r="I852" s="57" t="str">
        <f>IF(Associates_Call_List_PQ!I852="","",Associates_Call_List_PQ!I852)</f>
        <v>RCPw/RTOUE47</v>
      </c>
      <c r="J852" s="57" t="str">
        <f>IF(Associates_Call_List_PQ!J852="","",Associates_Call_List_PQ!J852)</f>
        <v>No</v>
      </c>
      <c r="K852" s="57" t="str">
        <f>IF(Associates_Call_List_PQ!K852="","",Associates_Call_List_PQ!K852)</f>
        <v>No</v>
      </c>
      <c r="L852" s="57" t="str">
        <f>IF(Associates_Call_List_PQ!L852="","",Associates_Call_List_PQ!L852)</f>
        <v>Yes</v>
      </c>
      <c r="M852" s="57" t="str">
        <f>IF(Associates_Call_List_PQ!M852="","",Associates_Call_List_PQ!M852)</f>
        <v>No</v>
      </c>
      <c r="N852" s="57" t="str">
        <f>IF(Associates_Call_List_PQ!N852="","",Associates_Call_List_PQ!N852)</f>
        <v>No</v>
      </c>
      <c r="O852" s="57" t="str">
        <f>IF(Associates_Call_List_PQ!O852="","",Associates_Call_List_PQ!O852)</f>
        <v>Yes</v>
      </c>
      <c r="P852" s="57" t="str">
        <f>IF(Associates_Call_List_PQ!P852="","",Associates_Call_List_PQ!P852)</f>
        <v>N</v>
      </c>
      <c r="Q852" s="57">
        <f>IF(Associates_Call_List_PQ!Q852="","",Associates_Call_List_PQ!Q852)</f>
        <v>45960</v>
      </c>
      <c r="R852" s="57" t="str">
        <f>IF(Associates_Call_List_PQ!R852="","",Associates_Call_List_PQ!R852)</f>
        <v/>
      </c>
      <c r="S852" s="57" t="str">
        <f>IF(Associates_Call_List_PQ!S852="","",Associates_Call_List_PQ!S852)</f>
        <v/>
      </c>
      <c r="T852" s="57" t="str">
        <f>IF(Associates_Call_List_PQ!T852="","",Associates_Call_List_PQ!T852)</f>
        <v/>
      </c>
      <c r="U852" s="57" t="str">
        <f>IF(Associates_Call_List_PQ!U852="","",Associates_Call_List_PQ!U852)</f>
        <v/>
      </c>
      <c r="V852" s="68" t="s">
        <v>5433</v>
      </c>
      <c r="W852" s="68">
        <v>46074</v>
      </c>
      <c r="X852" s="68" t="s">
        <v>5405</v>
      </c>
      <c r="Y852" s="68" t="s">
        <v>5461</v>
      </c>
      <c r="Z852" s="72" t="s">
        <v>5658</v>
      </c>
    </row>
    <row r="853" spans="1:26">
      <c r="A853" s="71">
        <f>IFERROR(Associates_Call_List_PQ!A853,"")</f>
        <v>45926</v>
      </c>
      <c r="B853" s="57" t="str">
        <f>IF(Associates_Call_List_PQ!B853="","",Associates_Call_List_PQ!B853)</f>
        <v>Wheeler</v>
      </c>
      <c r="C853" s="57" t="str">
        <f>IF(Associates_Call_List_PQ!C853="","",Associates_Call_List_PQ!C853)</f>
        <v>Brandon</v>
      </c>
      <c r="D853" s="57" t="str">
        <f>IF(Associates_Call_List_PQ!D853="","",Associates_Call_List_PQ!D853)</f>
        <v>Chino Valley</v>
      </c>
      <c r="E853" s="58">
        <f>IF(Associates_Call_List_PQ!E853="","",Associates_Call_List_PQ!E853)</f>
        <v>86323</v>
      </c>
      <c r="F853" s="57" t="str">
        <f>IF(Associates_Call_List_PQ!F853="","",Associates_Call_List_PQ!F853)</f>
        <v>Opposed-CEO needs a pay cut</v>
      </c>
      <c r="G853" s="57" t="str">
        <f>IF(Associates_Call_List_PQ!G853="","",Associates_Call_List_PQ!G853)</f>
        <v>https://docket.images.azcc.gov/E000046665.pdf</v>
      </c>
      <c r="H853" s="59">
        <f>IF(Associates_Call_List_PQ!H853="","",Associates_Call_List_PQ!H853)</f>
        <v>6292353892</v>
      </c>
      <c r="I853" s="57" t="str">
        <f>IF(Associates_Call_List_PQ!I853="","",Associates_Call_List_PQ!I853)</f>
        <v>R-BASIC</v>
      </c>
      <c r="J853" s="57" t="str">
        <f>IF(Associates_Call_List_PQ!J853="","",Associates_Call_List_PQ!J853)</f>
        <v>No</v>
      </c>
      <c r="K853" s="57" t="str">
        <f>IF(Associates_Call_List_PQ!K853="","",Associates_Call_List_PQ!K853)</f>
        <v>No</v>
      </c>
      <c r="L853" s="57" t="str">
        <f>IF(Associates_Call_List_PQ!L853="","",Associates_Call_List_PQ!L853)</f>
        <v>Yes</v>
      </c>
      <c r="M853" s="57" t="str">
        <f>IF(Associates_Call_List_PQ!M853="","",Associates_Call_List_PQ!M853)</f>
        <v>No</v>
      </c>
      <c r="N853" s="57" t="str">
        <f>IF(Associates_Call_List_PQ!N853="","",Associates_Call_List_PQ!N853)</f>
        <v>No</v>
      </c>
      <c r="O853" s="57" t="str">
        <f>IF(Associates_Call_List_PQ!O853="","",Associates_Call_List_PQ!O853)</f>
        <v>Yes</v>
      </c>
      <c r="P853" s="57" t="str">
        <f>IF(Associates_Call_List_PQ!P853="","",Associates_Call_List_PQ!P853)</f>
        <v>N</v>
      </c>
      <c r="Q853" s="57">
        <f>IF(Associates_Call_List_PQ!Q853="","",Associates_Call_List_PQ!Q853)</f>
        <v>45960</v>
      </c>
      <c r="R853" s="57" t="str">
        <f>IF(Associates_Call_List_PQ!R853="","",Associates_Call_List_PQ!R853)</f>
        <v/>
      </c>
      <c r="S853" s="57" t="str">
        <f>IF(Associates_Call_List_PQ!S853="","",Associates_Call_List_PQ!S853)</f>
        <v/>
      </c>
      <c r="T853" s="57" t="str">
        <f>IF(Associates_Call_List_PQ!T853="","",Associates_Call_List_PQ!T853)</f>
        <v/>
      </c>
      <c r="U853" s="57" t="str">
        <f>IF(Associates_Call_List_PQ!U853="","",Associates_Call_List_PQ!U853)</f>
        <v/>
      </c>
      <c r="V853" s="68"/>
      <c r="W853" s="68" t="s">
        <v>5432</v>
      </c>
      <c r="X853" s="68"/>
      <c r="Y853" s="68"/>
      <c r="Z853" s="72"/>
    </row>
    <row r="854" spans="1:26">
      <c r="A854" s="71">
        <f>IFERROR(Associates_Call_List_PQ!A854,"")</f>
        <v>45926</v>
      </c>
      <c r="B854" s="57" t="str">
        <f>IF(Associates_Call_List_PQ!B854="","",Associates_Call_List_PQ!B854)</f>
        <v>Gonzales</v>
      </c>
      <c r="C854" s="57" t="str">
        <f>IF(Associates_Call_List_PQ!C854="","",Associates_Call_List_PQ!C854)</f>
        <v>Gregory</v>
      </c>
      <c r="D854" s="57" t="str">
        <f>IF(Associates_Call_List_PQ!D854="","",Associates_Call_List_PQ!D854)</f>
        <v>Litchfield Park</v>
      </c>
      <c r="E854" s="58">
        <f>IF(Associates_Call_List_PQ!E854="","",Associates_Call_List_PQ!E854)</f>
        <v>85340</v>
      </c>
      <c r="F854" s="57" t="str">
        <f>IF(Associates_Call_List_PQ!F854="","",Associates_Call_List_PQ!F854)</f>
        <v>Opposed-I don’t want to use aps but have no choice</v>
      </c>
      <c r="G854" s="57" t="str">
        <f>IF(Associates_Call_List_PQ!G854="","",Associates_Call_List_PQ!G854)</f>
        <v>https://docket.images.azcc.gov/E000046665.pdf</v>
      </c>
      <c r="H854" s="59" t="str">
        <f>IF(Associates_Call_List_PQ!H854="","",Associates_Call_List_PQ!H854)</f>
        <v xml:space="preserve">9126001412 </v>
      </c>
      <c r="I854" s="57" t="str">
        <f>IF(Associates_Call_List_PQ!I854="","",Associates_Call_List_PQ!I854)</f>
        <v>R3-47</v>
      </c>
      <c r="J854" s="57" t="str">
        <f>IF(Associates_Call_List_PQ!J854="","",Associates_Call_List_PQ!J854)</f>
        <v>No</v>
      </c>
      <c r="K854" s="57" t="str">
        <f>IF(Associates_Call_List_PQ!K854="","",Associates_Call_List_PQ!K854)</f>
        <v>No</v>
      </c>
      <c r="L854" s="57" t="str">
        <f>IF(Associates_Call_List_PQ!L854="","",Associates_Call_List_PQ!L854)</f>
        <v>Yes</v>
      </c>
      <c r="M854" s="57" t="str">
        <f>IF(Associates_Call_List_PQ!M854="","",Associates_Call_List_PQ!M854)</f>
        <v>No</v>
      </c>
      <c r="N854" s="57" t="str">
        <f>IF(Associates_Call_List_PQ!N854="","",Associates_Call_List_PQ!N854)</f>
        <v>No</v>
      </c>
      <c r="O854" s="57" t="str">
        <f>IF(Associates_Call_List_PQ!O854="","",Associates_Call_List_PQ!O854)</f>
        <v>Yes</v>
      </c>
      <c r="P854" s="57" t="str">
        <f>IF(Associates_Call_List_PQ!P854="","",Associates_Call_List_PQ!P854)</f>
        <v>N</v>
      </c>
      <c r="Q854" s="57">
        <f>IF(Associates_Call_List_PQ!Q854="","",Associates_Call_List_PQ!Q854)</f>
        <v>45960</v>
      </c>
      <c r="R854" s="57" t="str">
        <f>IF(Associates_Call_List_PQ!R854="","",Associates_Call_List_PQ!R854)</f>
        <v/>
      </c>
      <c r="S854" s="57" t="str">
        <f>IF(Associates_Call_List_PQ!S854="","",Associates_Call_List_PQ!S854)</f>
        <v/>
      </c>
      <c r="T854" s="57" t="str">
        <f>IF(Associates_Call_List_PQ!T854="","",Associates_Call_List_PQ!T854)</f>
        <v/>
      </c>
      <c r="U854" s="57" t="str">
        <f>IF(Associates_Call_List_PQ!U854="","",Associates_Call_List_PQ!U854)</f>
        <v/>
      </c>
      <c r="V854" s="68" t="s">
        <v>5433</v>
      </c>
      <c r="W854" s="68">
        <v>46074</v>
      </c>
      <c r="X854" s="68" t="s">
        <v>5434</v>
      </c>
      <c r="Y854" s="68"/>
      <c r="Z854" s="72" t="s">
        <v>5547</v>
      </c>
    </row>
    <row r="855" spans="1:26">
      <c r="A855" s="71">
        <f>IFERROR(Associates_Call_List_PQ!A855,"")</f>
        <v>45928</v>
      </c>
      <c r="B855" s="57" t="str">
        <f>IF(Associates_Call_List_PQ!B855="","",Associates_Call_List_PQ!B855)</f>
        <v>Hage</v>
      </c>
      <c r="C855" s="57" t="str">
        <f>IF(Associates_Call_List_PQ!C855="","",Associates_Call_List_PQ!C855)</f>
        <v>Nikki</v>
      </c>
      <c r="D855" s="57" t="str">
        <f>IF(Associates_Call_List_PQ!D855="","",Associates_Call_List_PQ!D855)</f>
        <v>Yuma</v>
      </c>
      <c r="E855" s="58">
        <f>IF(Associates_Call_List_PQ!E855="","",Associates_Call_List_PQ!E855)</f>
        <v>85367</v>
      </c>
      <c r="F855" s="57" t="str">
        <f>IF(Associates_Call_List_PQ!F855="","",Associates_Call_List_PQ!F855)</f>
        <v>What cost cutting measures has aps taken internally?</v>
      </c>
      <c r="G855" s="57" t="str">
        <f>IF(Associates_Call_List_PQ!G855="","",Associates_Call_List_PQ!G855)</f>
        <v>https://docket.images.azcc.gov/E000046726.pdf</v>
      </c>
      <c r="H855" s="59" t="str">
        <f>IF(Associates_Call_List_PQ!H855="","",Associates_Call_List_PQ!H855)</f>
        <v xml:space="preserve">4246694688 </v>
      </c>
      <c r="I855" s="57" t="str">
        <f>IF(Associates_Call_List_PQ!I855="","",Associates_Call_List_PQ!I855)</f>
        <v>R3-47</v>
      </c>
      <c r="J855" s="57" t="str">
        <f>IF(Associates_Call_List_PQ!J855="","",Associates_Call_List_PQ!J855)</f>
        <v>No</v>
      </c>
      <c r="K855" s="57" t="str">
        <f>IF(Associates_Call_List_PQ!K855="","",Associates_Call_List_PQ!K855)</f>
        <v>No</v>
      </c>
      <c r="L855" s="57" t="str">
        <f>IF(Associates_Call_List_PQ!L855="","",Associates_Call_List_PQ!L855)</f>
        <v>Yes</v>
      </c>
      <c r="M855" s="57" t="str">
        <f>IF(Associates_Call_List_PQ!M855="","",Associates_Call_List_PQ!M855)</f>
        <v>No</v>
      </c>
      <c r="N855" s="57" t="str">
        <f>IF(Associates_Call_List_PQ!N855="","",Associates_Call_List_PQ!N855)</f>
        <v>No</v>
      </c>
      <c r="O855" s="57" t="str">
        <f>IF(Associates_Call_List_PQ!O855="","",Associates_Call_List_PQ!O855)</f>
        <v>Yes</v>
      </c>
      <c r="P855" s="57" t="str">
        <f>IF(Associates_Call_List_PQ!P855="","",Associates_Call_List_PQ!P855)</f>
        <v>N</v>
      </c>
      <c r="Q855" s="57">
        <f>IF(Associates_Call_List_PQ!Q855="","",Associates_Call_List_PQ!Q855)</f>
        <v>45960</v>
      </c>
      <c r="R855" s="57" t="str">
        <f>IF(Associates_Call_List_PQ!R855="","",Associates_Call_List_PQ!R855)</f>
        <v/>
      </c>
      <c r="S855" s="57" t="str">
        <f>IF(Associates_Call_List_PQ!S855="","",Associates_Call_List_PQ!S855)</f>
        <v/>
      </c>
      <c r="T855" s="57" t="str">
        <f>IF(Associates_Call_List_PQ!T855="","",Associates_Call_List_PQ!T855)</f>
        <v/>
      </c>
      <c r="U855" s="57" t="str">
        <f>IF(Associates_Call_List_PQ!U855="","",Associates_Call_List_PQ!U855)</f>
        <v/>
      </c>
      <c r="V855" s="68"/>
      <c r="W855" s="68" t="s">
        <v>5432</v>
      </c>
      <c r="X855" s="68"/>
      <c r="Y855" s="68"/>
      <c r="Z855" s="72"/>
    </row>
    <row r="856" spans="1:26">
      <c r="A856" s="71">
        <f>IFERROR(Associates_Call_List_PQ!A856,"")</f>
        <v>45928</v>
      </c>
      <c r="B856" s="57" t="str">
        <f>IF(Associates_Call_List_PQ!B856="","",Associates_Call_List_PQ!B856)</f>
        <v>Gerblick</v>
      </c>
      <c r="C856" s="57" t="str">
        <f>IF(Associates_Call_List_PQ!C856="","",Associates_Call_List_PQ!C856)</f>
        <v>Alison</v>
      </c>
      <c r="D856" s="57" t="str">
        <f>IF(Associates_Call_List_PQ!D856="","",Associates_Call_List_PQ!D856)</f>
        <v>Glendale</v>
      </c>
      <c r="E856" s="58">
        <f>IF(Associates_Call_List_PQ!E856="","",Associates_Call_List_PQ!E856)</f>
        <v>85310</v>
      </c>
      <c r="F856" s="57" t="str">
        <f>IF(Associates_Call_List_PQ!F856="","",Associates_Call_List_PQ!F856)</f>
        <v>Opposed-AC is a necessity not a luxury for survival</v>
      </c>
      <c r="G856" s="57" t="str">
        <f>IF(Associates_Call_List_PQ!G856="","",Associates_Call_List_PQ!G856)</f>
        <v>https://docket.images.azcc.gov/E000046726.pdf</v>
      </c>
      <c r="H856" s="59" t="str">
        <f>IF(Associates_Call_List_PQ!H856="","",Associates_Call_List_PQ!H856)</f>
        <v xml:space="preserve">7304972242 </v>
      </c>
      <c r="I856" s="57" t="str">
        <f>IF(Associates_Call_List_PQ!I856="","",Associates_Call_List_PQ!I856)</f>
        <v>R-2</v>
      </c>
      <c r="J856" s="57" t="str">
        <f>IF(Associates_Call_List_PQ!J856="","",Associates_Call_List_PQ!J856)</f>
        <v>No</v>
      </c>
      <c r="K856" s="57" t="str">
        <f>IF(Associates_Call_List_PQ!K856="","",Associates_Call_List_PQ!K856)</f>
        <v>No</v>
      </c>
      <c r="L856" s="57" t="str">
        <f>IF(Associates_Call_List_PQ!L856="","",Associates_Call_List_PQ!L856)</f>
        <v>Frozen Rate</v>
      </c>
      <c r="M856" s="57" t="str">
        <f>IF(Associates_Call_List_PQ!M856="","",Associates_Call_List_PQ!M856)</f>
        <v>Yes</v>
      </c>
      <c r="N856" s="57">
        <f>IF(Associates_Call_List_PQ!N856="","",Associates_Call_List_PQ!N856)</f>
        <v>368.4</v>
      </c>
      <c r="O856" s="57" t="str">
        <f>IF(Associates_Call_List_PQ!O856="","",Associates_Call_List_PQ!O856)</f>
        <v>Yes</v>
      </c>
      <c r="P856" s="57" t="str">
        <f>IF(Associates_Call_List_PQ!P856="","",Associates_Call_List_PQ!P856)</f>
        <v>N</v>
      </c>
      <c r="Q856" s="57">
        <f>IF(Associates_Call_List_PQ!Q856="","",Associates_Call_List_PQ!Q856)</f>
        <v>45960</v>
      </c>
      <c r="R856" s="57" t="str">
        <f>IF(Associates_Call_List_PQ!R856="","",Associates_Call_List_PQ!R856)</f>
        <v/>
      </c>
      <c r="S856" s="57" t="str">
        <f>IF(Associates_Call_List_PQ!S856="","",Associates_Call_List_PQ!S856)</f>
        <v/>
      </c>
      <c r="T856" s="57" t="str">
        <f>IF(Associates_Call_List_PQ!T856="","",Associates_Call_List_PQ!T856)</f>
        <v/>
      </c>
      <c r="U856" s="57" t="str">
        <f>IF(Associates_Call_List_PQ!U856="","",Associates_Call_List_PQ!U856)</f>
        <v/>
      </c>
      <c r="V856" s="68" t="s">
        <v>5433</v>
      </c>
      <c r="W856" s="68">
        <v>46039</v>
      </c>
      <c r="X856" s="68" t="s">
        <v>5434</v>
      </c>
      <c r="Y856" s="68"/>
      <c r="Z856" s="72" t="s">
        <v>5659</v>
      </c>
    </row>
    <row r="857" spans="1:26">
      <c r="A857" s="71">
        <f>IFERROR(Associates_Call_List_PQ!A857,"")</f>
        <v>45929</v>
      </c>
      <c r="B857" s="57" t="str">
        <f>IF(Associates_Call_List_PQ!B857="","",Associates_Call_List_PQ!B857)</f>
        <v>Gillespie</v>
      </c>
      <c r="C857" s="57" t="str">
        <f>IF(Associates_Call_List_PQ!C857="","",Associates_Call_List_PQ!C857)</f>
        <v>Elissa</v>
      </c>
      <c r="D857" s="57" t="str">
        <f>IF(Associates_Call_List_PQ!D857="","",Associates_Call_List_PQ!D857)</f>
        <v>Phoenix</v>
      </c>
      <c r="E857" s="58">
        <f>IF(Associates_Call_List_PQ!E857="","",Associates_Call_List_PQ!E857)</f>
        <v>85050</v>
      </c>
      <c r="F857" s="57" t="str">
        <f>IF(Associates_Call_List_PQ!F857="","",Associates_Call_List_PQ!F857)</f>
        <v>Opposed-request something more inline with inflation</v>
      </c>
      <c r="G857" s="57" t="str">
        <f>IF(Associates_Call_List_PQ!G857="","",Associates_Call_List_PQ!G857)</f>
        <v>https://docket.images.azcc.gov/E000046726.pdf</v>
      </c>
      <c r="H857" s="59" t="str">
        <f>IF(Associates_Call_List_PQ!H857="","",Associates_Call_List_PQ!H857)</f>
        <v>4722240000 </v>
      </c>
      <c r="I857" s="57" t="str">
        <f>IF(Associates_Call_List_PQ!I857="","",Associates_Call_List_PQ!I857)</f>
        <v>R3-47</v>
      </c>
      <c r="J857" s="57" t="str">
        <f>IF(Associates_Call_List_PQ!J857="","",Associates_Call_List_PQ!J857)</f>
        <v>No</v>
      </c>
      <c r="K857" s="57" t="str">
        <f>IF(Associates_Call_List_PQ!K857="","",Associates_Call_List_PQ!K857)</f>
        <v>No</v>
      </c>
      <c r="L857" s="57" t="str">
        <f>IF(Associates_Call_List_PQ!L857="","",Associates_Call_List_PQ!L857)</f>
        <v>Yes</v>
      </c>
      <c r="M857" s="57" t="str">
        <f>IF(Associates_Call_List_PQ!M857="","",Associates_Call_List_PQ!M857)</f>
        <v>No</v>
      </c>
      <c r="N857" s="57" t="str">
        <f>IF(Associates_Call_List_PQ!N857="","",Associates_Call_List_PQ!N857)</f>
        <v>No</v>
      </c>
      <c r="O857" s="57" t="str">
        <f>IF(Associates_Call_List_PQ!O857="","",Associates_Call_List_PQ!O857)</f>
        <v>Yes</v>
      </c>
      <c r="P857" s="57" t="str">
        <f>IF(Associates_Call_List_PQ!P857="","",Associates_Call_List_PQ!P857)</f>
        <v>N</v>
      </c>
      <c r="Q857" s="57">
        <f>IF(Associates_Call_List_PQ!Q857="","",Associates_Call_List_PQ!Q857)</f>
        <v>45960</v>
      </c>
      <c r="R857" s="57" t="str">
        <f>IF(Associates_Call_List_PQ!R857="","",Associates_Call_List_PQ!R857)</f>
        <v/>
      </c>
      <c r="S857" s="57" t="str">
        <f>IF(Associates_Call_List_PQ!S857="","",Associates_Call_List_PQ!S857)</f>
        <v/>
      </c>
      <c r="T857" s="57" t="str">
        <f>IF(Associates_Call_List_PQ!T857="","",Associates_Call_List_PQ!T857)</f>
        <v/>
      </c>
      <c r="U857" s="57" t="str">
        <f>IF(Associates_Call_List_PQ!U857="","",Associates_Call_List_PQ!U857)</f>
        <v/>
      </c>
      <c r="V857" s="68"/>
      <c r="W857" s="68" t="s">
        <v>5432</v>
      </c>
      <c r="X857" s="68"/>
      <c r="Y857" s="68"/>
      <c r="Z857" s="72"/>
    </row>
    <row r="858" spans="1:26">
      <c r="A858" s="71">
        <f>IFERROR(Associates_Call_List_PQ!A858,"")</f>
        <v>45930</v>
      </c>
      <c r="B858" s="57" t="str">
        <f>IF(Associates_Call_List_PQ!B858="","",Associates_Call_List_PQ!B858)</f>
        <v>Trethewey</v>
      </c>
      <c r="C858" s="57" t="str">
        <f>IF(Associates_Call_List_PQ!C858="","",Associates_Call_List_PQ!C858)</f>
        <v>Peter</v>
      </c>
      <c r="D858" s="57" t="str">
        <f>IF(Associates_Call_List_PQ!D858="","",Associates_Call_List_PQ!D858)</f>
        <v>Scottsdale</v>
      </c>
      <c r="E858" s="58">
        <f>IF(Associates_Call_List_PQ!E858="","",Associates_Call_List_PQ!E858)</f>
        <v>85266</v>
      </c>
      <c r="F858" s="57" t="str">
        <f>IF(Associates_Call_List_PQ!F858="","",Associates_Call_List_PQ!F858)</f>
        <v>Rate increase outpasses the rate of inflation</v>
      </c>
      <c r="G858" s="57" t="str">
        <f>IF(Associates_Call_List_PQ!G858="","",Associates_Call_List_PQ!G858)</f>
        <v>https://docket.images.azcc.gov/E000046710.pdf</v>
      </c>
      <c r="H858" s="59" t="str">
        <f>IF(Associates_Call_List_PQ!H858="","",Associates_Call_List_PQ!H858)</f>
        <v xml:space="preserve">1816340000 </v>
      </c>
      <c r="I858" s="57" t="str">
        <f>IF(Associates_Call_List_PQ!I858="","",Associates_Call_List_PQ!I858)</f>
        <v>R3-47</v>
      </c>
      <c r="J858" s="57" t="str">
        <f>IF(Associates_Call_List_PQ!J858="","",Associates_Call_List_PQ!J858)</f>
        <v>No</v>
      </c>
      <c r="K858" s="57" t="str">
        <f>IF(Associates_Call_List_PQ!K858="","",Associates_Call_List_PQ!K858)</f>
        <v>No</v>
      </c>
      <c r="L858" s="57" t="str">
        <f>IF(Associates_Call_List_PQ!L858="","",Associates_Call_List_PQ!L858)</f>
        <v>Yes</v>
      </c>
      <c r="M858" s="57" t="str">
        <f>IF(Associates_Call_List_PQ!M858="","",Associates_Call_List_PQ!M858)</f>
        <v>No</v>
      </c>
      <c r="N858" s="57" t="str">
        <f>IF(Associates_Call_List_PQ!N858="","",Associates_Call_List_PQ!N858)</f>
        <v>No</v>
      </c>
      <c r="O858" s="57" t="str">
        <f>IF(Associates_Call_List_PQ!O858="","",Associates_Call_List_PQ!O858)</f>
        <v>Yes</v>
      </c>
      <c r="P858" s="57" t="str">
        <f>IF(Associates_Call_List_PQ!P858="","",Associates_Call_List_PQ!P858)</f>
        <v>N</v>
      </c>
      <c r="Q858" s="57">
        <f>IF(Associates_Call_List_PQ!Q858="","",Associates_Call_List_PQ!Q858)</f>
        <v>45960</v>
      </c>
      <c r="R858" s="57" t="str">
        <f>IF(Associates_Call_List_PQ!R858="","",Associates_Call_List_PQ!R858)</f>
        <v/>
      </c>
      <c r="S858" s="57" t="str">
        <f>IF(Associates_Call_List_PQ!S858="","",Associates_Call_List_PQ!S858)</f>
        <v/>
      </c>
      <c r="T858" s="57" t="str">
        <f>IF(Associates_Call_List_PQ!T858="","",Associates_Call_List_PQ!T858)</f>
        <v/>
      </c>
      <c r="U858" s="57" t="str">
        <f>IF(Associates_Call_List_PQ!U858="","",Associates_Call_List_PQ!U858)</f>
        <v/>
      </c>
      <c r="V858" s="68" t="s">
        <v>5433</v>
      </c>
      <c r="W858" s="68">
        <v>46074</v>
      </c>
      <c r="X858" s="68" t="s">
        <v>5434</v>
      </c>
      <c r="Y858" s="68"/>
      <c r="Z858" s="72" t="s">
        <v>5547</v>
      </c>
    </row>
    <row r="859" spans="1:26">
      <c r="A859" s="71">
        <f>IFERROR(Associates_Call_List_PQ!A859,"")</f>
        <v>45930</v>
      </c>
      <c r="B859" s="57" t="str">
        <f>IF(Associates_Call_List_PQ!B859="","",Associates_Call_List_PQ!B859)</f>
        <v>Barnes</v>
      </c>
      <c r="C859" s="57" t="str">
        <f>IF(Associates_Call_List_PQ!C859="","",Associates_Call_List_PQ!C859)</f>
        <v>Jessica</v>
      </c>
      <c r="D859" s="57" t="str">
        <f>IF(Associates_Call_List_PQ!D859="","",Associates_Call_List_PQ!D859)</f>
        <v>Sun City</v>
      </c>
      <c r="E859" s="58">
        <f>IF(Associates_Call_List_PQ!E859="","",Associates_Call_List_PQ!E859)</f>
        <v>85351</v>
      </c>
      <c r="F859" s="57" t="str">
        <f>IF(Associates_Call_List_PQ!F859="","",Associates_Call_List_PQ!F859)</f>
        <v>Opposed-highway robbery</v>
      </c>
      <c r="G859" s="57" t="str">
        <f>IF(Associates_Call_List_PQ!G859="","",Associates_Call_List_PQ!G859)</f>
        <v>https://docket.images.azcc.gov/E000046710.pdf</v>
      </c>
      <c r="H859" s="59" t="str">
        <f>IF(Associates_Call_List_PQ!H859="","",Associates_Call_List_PQ!H859)</f>
        <v xml:space="preserve">2786739945 </v>
      </c>
      <c r="I859" s="57" t="str">
        <f>IF(Associates_Call_List_PQ!I859="","",Associates_Call_List_PQ!I859)</f>
        <v>RCPw/R3-47</v>
      </c>
      <c r="J859" s="57" t="str">
        <f>IF(Associates_Call_List_PQ!J859="","",Associates_Call_List_PQ!J859)</f>
        <v>No</v>
      </c>
      <c r="K859" s="57" t="str">
        <f>IF(Associates_Call_List_PQ!K859="","",Associates_Call_List_PQ!K859)</f>
        <v>No</v>
      </c>
      <c r="L859" s="57" t="str">
        <f>IF(Associates_Call_List_PQ!L859="","",Associates_Call_List_PQ!L859)</f>
        <v>Yes</v>
      </c>
      <c r="M859" s="57" t="str">
        <f>IF(Associates_Call_List_PQ!M859="","",Associates_Call_List_PQ!M859)</f>
        <v>No</v>
      </c>
      <c r="N859" s="57" t="str">
        <f>IF(Associates_Call_List_PQ!N859="","",Associates_Call_List_PQ!N859)</f>
        <v>No</v>
      </c>
      <c r="O859" s="57" t="str">
        <f>IF(Associates_Call_List_PQ!O859="","",Associates_Call_List_PQ!O859)</f>
        <v>Yes</v>
      </c>
      <c r="P859" s="57" t="str">
        <f>IF(Associates_Call_List_PQ!P859="","",Associates_Call_List_PQ!P859)</f>
        <v>N</v>
      </c>
      <c r="Q859" s="57">
        <f>IF(Associates_Call_List_PQ!Q859="","",Associates_Call_List_PQ!Q859)</f>
        <v>45960</v>
      </c>
      <c r="R859" s="57" t="str">
        <f>IF(Associates_Call_List_PQ!R859="","",Associates_Call_List_PQ!R859)</f>
        <v>Filed complaint with AG and ACC</v>
      </c>
      <c r="S859" s="57" t="str">
        <f>IF(Associates_Call_List_PQ!S859="","",Associates_Call_List_PQ!S859)</f>
        <v/>
      </c>
      <c r="T859" s="57" t="str">
        <f>IF(Associates_Call_List_PQ!T859="","",Associates_Call_List_PQ!T859)</f>
        <v/>
      </c>
      <c r="U859" s="57" t="str">
        <f>IF(Associates_Call_List_PQ!U859="","",Associates_Call_List_PQ!U859)</f>
        <v/>
      </c>
      <c r="V859" s="68"/>
      <c r="W859" s="68" t="s">
        <v>5432</v>
      </c>
      <c r="X859" s="68"/>
      <c r="Y859" s="68"/>
      <c r="Z859" s="72"/>
    </row>
    <row r="860" spans="1:26">
      <c r="A860" s="71">
        <f>IFERROR(Associates_Call_List_PQ!A860,"")</f>
        <v>45930</v>
      </c>
      <c r="B860" s="57" t="str">
        <f>IF(Associates_Call_List_PQ!B860="","",Associates_Call_List_PQ!B860)</f>
        <v>Dietrich</v>
      </c>
      <c r="C860" s="57" t="str">
        <f>IF(Associates_Call_List_PQ!C860="","",Associates_Call_List_PQ!C860)</f>
        <v>Karen</v>
      </c>
      <c r="D860" s="57" t="str">
        <f>IF(Associates_Call_List_PQ!D860="","",Associates_Call_List_PQ!D860)</f>
        <v>Dewey</v>
      </c>
      <c r="E860" s="58">
        <f>IF(Associates_Call_List_PQ!E860="","",Associates_Call_List_PQ!E860)</f>
        <v>86327</v>
      </c>
      <c r="F860" s="57" t="str">
        <f>IF(Associates_Call_List_PQ!F860="","",Associates_Call_List_PQ!F860)</f>
        <v>Enough is enough with increases</v>
      </c>
      <c r="G860" s="57" t="str">
        <f>IF(Associates_Call_List_PQ!G860="","",Associates_Call_List_PQ!G860)</f>
        <v>https://docket.images.azcc.gov/E000046710.pdf</v>
      </c>
      <c r="H860" s="59" t="str">
        <f>IF(Associates_Call_List_PQ!H860="","",Associates_Call_List_PQ!H860)</f>
        <v xml:space="preserve">4078611000 </v>
      </c>
      <c r="I860" s="57" t="str">
        <f>IF(Associates_Call_List_PQ!I860="","",Associates_Call_List_PQ!I860)</f>
        <v>R-XS</v>
      </c>
      <c r="J860" s="57" t="str">
        <f>IF(Associates_Call_List_PQ!J860="","",Associates_Call_List_PQ!J860)</f>
        <v>No</v>
      </c>
      <c r="K860" s="57" t="str">
        <f>IF(Associates_Call_List_PQ!K860="","",Associates_Call_List_PQ!K860)</f>
        <v>No</v>
      </c>
      <c r="L860" s="57" t="str">
        <f>IF(Associates_Call_List_PQ!L860="","",Associates_Call_List_PQ!L860)</f>
        <v>Not eligible</v>
      </c>
      <c r="M860" s="57" t="str">
        <f>IF(Associates_Call_List_PQ!M860="","",Associates_Call_List_PQ!M860)</f>
        <v>No</v>
      </c>
      <c r="N860" s="57" t="str">
        <f>IF(Associates_Call_List_PQ!N860="","",Associates_Call_List_PQ!N860)</f>
        <v>No</v>
      </c>
      <c r="O860" s="57" t="str">
        <f>IF(Associates_Call_List_PQ!O860="","",Associates_Call_List_PQ!O860)</f>
        <v>Yes</v>
      </c>
      <c r="P860" s="57" t="str">
        <f>IF(Associates_Call_List_PQ!P860="","",Associates_Call_List_PQ!P860)</f>
        <v>N</v>
      </c>
      <c r="Q860" s="57">
        <f>IF(Associates_Call_List_PQ!Q860="","",Associates_Call_List_PQ!Q860)</f>
        <v>45960</v>
      </c>
      <c r="R860" s="57" t="str">
        <f>IF(Associates_Call_List_PQ!R860="","",Associates_Call_List_PQ!R860)</f>
        <v>Non-AMI customer</v>
      </c>
      <c r="S860" s="57" t="str">
        <f>IF(Associates_Call_List_PQ!S860="","",Associates_Call_List_PQ!S860)</f>
        <v/>
      </c>
      <c r="T860" s="57" t="str">
        <f>IF(Associates_Call_List_PQ!T860="","",Associates_Call_List_PQ!T860)</f>
        <v/>
      </c>
      <c r="U860" s="57" t="str">
        <f>IF(Associates_Call_List_PQ!U860="","",Associates_Call_List_PQ!U860)</f>
        <v/>
      </c>
      <c r="V860" s="68" t="s">
        <v>5433</v>
      </c>
      <c r="W860" s="68">
        <v>46053</v>
      </c>
      <c r="X860" s="68" t="s">
        <v>5434</v>
      </c>
      <c r="Y860" s="68"/>
      <c r="Z860" s="72" t="s">
        <v>5599</v>
      </c>
    </row>
    <row r="861" spans="1:26">
      <c r="A861" s="71">
        <f>IFERROR(Associates_Call_List_PQ!A861,"")</f>
        <v>45930</v>
      </c>
      <c r="B861" s="57" t="str">
        <f>IF(Associates_Call_List_PQ!B861="","",Associates_Call_List_PQ!B861)</f>
        <v>Morales</v>
      </c>
      <c r="C861" s="57" t="str">
        <f>IF(Associates_Call_List_PQ!C861="","",Associates_Call_List_PQ!C861)</f>
        <v>Linnette</v>
      </c>
      <c r="D861" s="57" t="str">
        <f>IF(Associates_Call_List_PQ!D861="","",Associates_Call_List_PQ!D861)</f>
        <v>Peoria</v>
      </c>
      <c r="E861" s="58">
        <f>IF(Associates_Call_List_PQ!E861="","",Associates_Call_List_PQ!E861)</f>
        <v>85345</v>
      </c>
      <c r="F861" s="57" t="str">
        <f>IF(Associates_Call_List_PQ!F861="","",Associates_Call_List_PQ!F861)</f>
        <v>Form letter</v>
      </c>
      <c r="G861" s="57" t="str">
        <f>IF(Associates_Call_List_PQ!G861="","",Associates_Call_List_PQ!G861)</f>
        <v>https://docket.images.azcc.gov/E000046710.pdf</v>
      </c>
      <c r="H861" s="59" t="str">
        <f>IF(Associates_Call_List_PQ!H861="","",Associates_Call_List_PQ!H861)</f>
        <v xml:space="preserve">7903115868 </v>
      </c>
      <c r="I861" s="57" t="str">
        <f>IF(Associates_Call_List_PQ!I861="","",Associates_Call_List_PQ!I861)</f>
        <v>RTOUE47</v>
      </c>
      <c r="J861" s="57" t="str">
        <f>IF(Associates_Call_List_PQ!J861="","",Associates_Call_List_PQ!J861)</f>
        <v>No</v>
      </c>
      <c r="K861" s="57" t="str">
        <f>IF(Associates_Call_List_PQ!K861="","",Associates_Call_List_PQ!K861)</f>
        <v>No</v>
      </c>
      <c r="L861" s="57" t="str">
        <f>IF(Associates_Call_List_PQ!L861="","",Associates_Call_List_PQ!L861)</f>
        <v>No MEP R-XS(143.13)</v>
      </c>
      <c r="M861" s="57" t="str">
        <f>IF(Associates_Call_List_PQ!M861="","",Associates_Call_List_PQ!M861)</f>
        <v>No</v>
      </c>
      <c r="N861" s="57" t="str">
        <f>IF(Associates_Call_List_PQ!N861="","",Associates_Call_List_PQ!N861)</f>
        <v>No</v>
      </c>
      <c r="O861" s="57" t="str">
        <f>IF(Associates_Call_List_PQ!O861="","",Associates_Call_List_PQ!O861)</f>
        <v>Yes</v>
      </c>
      <c r="P861" s="57">
        <f>IF(Associates_Call_List_PQ!P861="","",Associates_Call_List_PQ!P861)</f>
        <v>45940</v>
      </c>
      <c r="Q861" s="57">
        <f>IF(Associates_Call_List_PQ!Q861="","",Associates_Call_List_PQ!Q861)</f>
        <v>45960</v>
      </c>
      <c r="R861" s="57" t="str">
        <f>IF(Associates_Call_List_PQ!R861="","",Associates_Call_List_PQ!R861)</f>
        <v xml:space="preserve">Cor is satisfied with her current service plan </v>
      </c>
      <c r="S861" s="57" t="str">
        <f>IF(Associates_Call_List_PQ!S861="","",Associates_Call_List_PQ!S861)</f>
        <v/>
      </c>
      <c r="T861" s="57" t="str">
        <f>IF(Associates_Call_List_PQ!T861="","",Associates_Call_List_PQ!T861)</f>
        <v/>
      </c>
      <c r="U861" s="57" t="str">
        <f>IF(Associates_Call_List_PQ!U861="","",Associates_Call_List_PQ!U861)</f>
        <v/>
      </c>
      <c r="V861" s="68" t="s">
        <v>5433</v>
      </c>
      <c r="W861" s="68">
        <v>46053</v>
      </c>
      <c r="X861" s="68" t="s">
        <v>5434</v>
      </c>
      <c r="Y861" s="68"/>
      <c r="Z861" s="72" t="s">
        <v>5599</v>
      </c>
    </row>
    <row r="862" spans="1:26">
      <c r="A862" s="71">
        <f>IFERROR(Associates_Call_List_PQ!A862,"")</f>
        <v>45930</v>
      </c>
      <c r="B862" s="57" t="str">
        <f>IF(Associates_Call_List_PQ!B862="","",Associates_Call_List_PQ!B862)</f>
        <v>Kapolas</v>
      </c>
      <c r="C862" s="57" t="str">
        <f>IF(Associates_Call_List_PQ!C862="","",Associates_Call_List_PQ!C862)</f>
        <v>Linda</v>
      </c>
      <c r="D862" s="57" t="str">
        <f>IF(Associates_Call_List_PQ!D862="","",Associates_Call_List_PQ!D862)</f>
        <v>Goodyear</v>
      </c>
      <c r="E862" s="58">
        <f>IF(Associates_Call_List_PQ!E862="","",Associates_Call_List_PQ!E862)</f>
        <v>85395</v>
      </c>
      <c r="F862" s="57" t="str">
        <f>IF(Associates_Call_List_PQ!F862="","",Associates_Call_List_PQ!F862)</f>
        <v>From letter</v>
      </c>
      <c r="G862" s="57" t="str">
        <f>IF(Associates_Call_List_PQ!G862="","",Associates_Call_List_PQ!G862)</f>
        <v>https://docket.images.azcc.gov/E000046710.pdf</v>
      </c>
      <c r="H862" s="59" t="str">
        <f>IF(Associates_Call_List_PQ!H862="","",Associates_Call_List_PQ!H862)</f>
        <v xml:space="preserve">5307870697 </v>
      </c>
      <c r="I862" s="57" t="str">
        <f>IF(Associates_Call_List_PQ!I862="","",Associates_Call_List_PQ!I862)</f>
        <v>RCPw/RTOUE47</v>
      </c>
      <c r="J862" s="57" t="str">
        <f>IF(Associates_Call_List_PQ!J862="","",Associates_Call_List_PQ!J862)</f>
        <v>No</v>
      </c>
      <c r="K862" s="57" t="str">
        <f>IF(Associates_Call_List_PQ!K862="","",Associates_Call_List_PQ!K862)</f>
        <v>No</v>
      </c>
      <c r="L862" s="57" t="str">
        <f>IF(Associates_Call_List_PQ!L862="","",Associates_Call_List_PQ!L862)</f>
        <v>No MEP R3-47(7.05)</v>
      </c>
      <c r="M862" s="57" t="str">
        <f>IF(Associates_Call_List_PQ!M862="","",Associates_Call_List_PQ!M862)</f>
        <v>No</v>
      </c>
      <c r="N862" s="57" t="str">
        <f>IF(Associates_Call_List_PQ!N862="","",Associates_Call_List_PQ!N862)</f>
        <v>No</v>
      </c>
      <c r="O862" s="57" t="str">
        <f>IF(Associates_Call_List_PQ!O862="","",Associates_Call_List_PQ!O862)</f>
        <v>Yes</v>
      </c>
      <c r="P862" s="57" t="str">
        <f>IF(Associates_Call_List_PQ!P862="","",Associates_Call_List_PQ!P862)</f>
        <v>N</v>
      </c>
      <c r="Q862" s="57">
        <f>IF(Associates_Call_List_PQ!Q862="","",Associates_Call_List_PQ!Q862)</f>
        <v>45960</v>
      </c>
      <c r="R862" s="57" t="str">
        <f>IF(Associates_Call_List_PQ!R862="","",Associates_Call_List_PQ!R862)</f>
        <v/>
      </c>
      <c r="S862" s="57" t="str">
        <f>IF(Associates_Call_List_PQ!S862="","",Associates_Call_List_PQ!S862)</f>
        <v/>
      </c>
      <c r="T862" s="57" t="str">
        <f>IF(Associates_Call_List_PQ!T862="","",Associates_Call_List_PQ!T862)</f>
        <v/>
      </c>
      <c r="U862" s="57" t="str">
        <f>IF(Associates_Call_List_PQ!U862="","",Associates_Call_List_PQ!U862)</f>
        <v/>
      </c>
      <c r="V862" s="68" t="s">
        <v>5433</v>
      </c>
      <c r="W862" s="68">
        <v>46053</v>
      </c>
      <c r="X862" s="68" t="s">
        <v>5405</v>
      </c>
      <c r="Y862" s="68" t="s">
        <v>5461</v>
      </c>
      <c r="Z862" s="72"/>
    </row>
    <row r="863" spans="1:26">
      <c r="A863" s="71">
        <f>IFERROR(Associates_Call_List_PQ!A863,"")</f>
        <v>45930</v>
      </c>
      <c r="B863" s="57" t="str">
        <f>IF(Associates_Call_List_PQ!B863="","",Associates_Call_List_PQ!B863)</f>
        <v>Eskew</v>
      </c>
      <c r="C863" s="57" t="str">
        <f>IF(Associates_Call_List_PQ!C863="","",Associates_Call_List_PQ!C863)</f>
        <v>Kendall</v>
      </c>
      <c r="D863" s="57" t="str">
        <f>IF(Associates_Call_List_PQ!D863="","",Associates_Call_List_PQ!D863)</f>
        <v>Buckeye</v>
      </c>
      <c r="E863" s="58">
        <f>IF(Associates_Call_List_PQ!E863="","",Associates_Call_List_PQ!E863)</f>
        <v>85396</v>
      </c>
      <c r="F863" s="57" t="str">
        <f>IF(Associates_Call_List_PQ!F863="","",Associates_Call_List_PQ!F863)</f>
        <v>Opposed- Solar customers are to shoulder the financial burden</v>
      </c>
      <c r="G863" s="57" t="str">
        <f>IF(Associates_Call_List_PQ!G863="","",Associates_Call_List_PQ!G863)</f>
        <v>https://docket.images.azcc.gov/E000046709.pdf</v>
      </c>
      <c r="H863" s="59" t="str">
        <f>IF(Associates_Call_List_PQ!H863="","",Associates_Call_List_PQ!H863)</f>
        <v xml:space="preserve">9738841000 </v>
      </c>
      <c r="I863" s="57" t="str">
        <f>IF(Associates_Call_List_PQ!I863="","",Associates_Call_List_PQ!I863)</f>
        <v>REV47</v>
      </c>
      <c r="J863" s="57" t="str">
        <f>IF(Associates_Call_List_PQ!J863="","",Associates_Call_List_PQ!J863)</f>
        <v>No</v>
      </c>
      <c r="K863" s="57" t="str">
        <f>IF(Associates_Call_List_PQ!K863="","",Associates_Call_List_PQ!K863)</f>
        <v>No</v>
      </c>
      <c r="L863" s="57" t="str">
        <f>IF(Associates_Call_List_PQ!L863="","",Associates_Call_List_PQ!L863)</f>
        <v>No MEP R3-47(23.91)</v>
      </c>
      <c r="M863" s="57" t="str">
        <f>IF(Associates_Call_List_PQ!M863="","",Associates_Call_List_PQ!M863)</f>
        <v>No</v>
      </c>
      <c r="N863" s="57" t="str">
        <f>IF(Associates_Call_List_PQ!N863="","",Associates_Call_List_PQ!N863)</f>
        <v>No</v>
      </c>
      <c r="O863" s="57" t="str">
        <f>IF(Associates_Call_List_PQ!O863="","",Associates_Call_List_PQ!O863)</f>
        <v>Yes</v>
      </c>
      <c r="P863" s="57" t="str">
        <f>IF(Associates_Call_List_PQ!P863="","",Associates_Call_List_PQ!P863)</f>
        <v>N</v>
      </c>
      <c r="Q863" s="57">
        <f>IF(Associates_Call_List_PQ!Q863="","",Associates_Call_List_PQ!Q863)</f>
        <v>45960</v>
      </c>
      <c r="R863" s="57" t="str">
        <f>IF(Associates_Call_List_PQ!R863="","",Associates_Call_List_PQ!R863)</f>
        <v/>
      </c>
      <c r="S863" s="57" t="str">
        <f>IF(Associates_Call_List_PQ!S863="","",Associates_Call_List_PQ!S863)</f>
        <v/>
      </c>
      <c r="T863" s="57" t="str">
        <f>IF(Associates_Call_List_PQ!T863="","",Associates_Call_List_PQ!T863)</f>
        <v/>
      </c>
      <c r="U863" s="57" t="str">
        <f>IF(Associates_Call_List_PQ!U863="","",Associates_Call_List_PQ!U863)</f>
        <v/>
      </c>
      <c r="V863" s="68" t="s">
        <v>5433</v>
      </c>
      <c r="W863" s="68">
        <v>46053</v>
      </c>
      <c r="X863" s="68" t="s">
        <v>5405</v>
      </c>
      <c r="Y863" s="68" t="s">
        <v>5461</v>
      </c>
      <c r="Z863" s="72" t="s">
        <v>5503</v>
      </c>
    </row>
    <row r="864" spans="1:26">
      <c r="A864" s="71">
        <f>IFERROR(Associates_Call_List_PQ!A864,"")</f>
        <v>45932</v>
      </c>
      <c r="B864" s="57" t="str">
        <f>IF(Associates_Call_List_PQ!B864="","",Associates_Call_List_PQ!B864)</f>
        <v>Lynch</v>
      </c>
      <c r="C864" s="57" t="str">
        <f>IF(Associates_Call_List_PQ!C864="","",Associates_Call_List_PQ!C864)</f>
        <v>Blake</v>
      </c>
      <c r="D864" s="57" t="str">
        <f>IF(Associates_Call_List_PQ!D864="","",Associates_Call_List_PQ!D864)</f>
        <v>Unknown</v>
      </c>
      <c r="E864" s="58" t="str">
        <f>IF(Associates_Call_List_PQ!E864="","",Associates_Call_List_PQ!E864)</f>
        <v>Unknown</v>
      </c>
      <c r="F864" s="57" t="str">
        <f>IF(Associates_Call_List_PQ!F864="","",Associates_Call_List_PQ!F864)</f>
        <v xml:space="preserve">Opposed-Why are you letting aps increase their rates </v>
      </c>
      <c r="G864" s="57" t="str">
        <f>IF(Associates_Call_List_PQ!G864="","",Associates_Call_List_PQ!G864)</f>
        <v>https://docket.images.azcc.gov/E000046791.pdf</v>
      </c>
      <c r="H864" s="59" t="str">
        <f>IF(Associates_Call_List_PQ!H864="","",Associates_Call_List_PQ!H864)</f>
        <v xml:space="preserve">6829562710 </v>
      </c>
      <c r="I864" s="57" t="str">
        <f>IF(Associates_Call_List_PQ!I864="","",Associates_Call_List_PQ!I864)</f>
        <v>R-2</v>
      </c>
      <c r="J864" s="57" t="str">
        <f>IF(Associates_Call_List_PQ!J864="","",Associates_Call_List_PQ!J864)</f>
        <v>No</v>
      </c>
      <c r="K864" s="57" t="str">
        <f>IF(Associates_Call_List_PQ!K864="","",Associates_Call_List_PQ!K864)</f>
        <v>No</v>
      </c>
      <c r="L864" s="57" t="str">
        <f>IF(Associates_Call_List_PQ!L864="","",Associates_Call_List_PQ!L864)</f>
        <v>Frozen Rate</v>
      </c>
      <c r="M864" s="57" t="str">
        <f>IF(Associates_Call_List_PQ!M864="","",Associates_Call_List_PQ!M864)</f>
        <v>Yes</v>
      </c>
      <c r="N864" s="57">
        <f>IF(Associates_Call_List_PQ!N864="","",Associates_Call_List_PQ!N864)</f>
        <v>170.45</v>
      </c>
      <c r="O864" s="57" t="str">
        <f>IF(Associates_Call_List_PQ!O864="","",Associates_Call_List_PQ!O864)</f>
        <v>Yes</v>
      </c>
      <c r="P864" s="57" t="str">
        <f>IF(Associates_Call_List_PQ!P864="","",Associates_Call_List_PQ!P864)</f>
        <v>N</v>
      </c>
      <c r="Q864" s="57">
        <f>IF(Associates_Call_List_PQ!Q864="","",Associates_Call_List_PQ!Q864)</f>
        <v>45960</v>
      </c>
      <c r="R864" s="57" t="str">
        <f>IF(Associates_Call_List_PQ!R864="","",Associates_Call_List_PQ!R864)</f>
        <v/>
      </c>
      <c r="S864" s="57" t="str">
        <f>IF(Associates_Call_List_PQ!S864="","",Associates_Call_List_PQ!S864)</f>
        <v/>
      </c>
      <c r="T864" s="57" t="str">
        <f>IF(Associates_Call_List_PQ!T864="","",Associates_Call_List_PQ!T864)</f>
        <v/>
      </c>
      <c r="U864" s="57" t="str">
        <f>IF(Associates_Call_List_PQ!U864="","",Associates_Call_List_PQ!U864)</f>
        <v/>
      </c>
      <c r="V864" s="68" t="s">
        <v>5433</v>
      </c>
      <c r="W864" s="68">
        <v>46032</v>
      </c>
      <c r="X864" s="68" t="s">
        <v>5434</v>
      </c>
      <c r="Y864" s="68"/>
      <c r="Z864" s="72" t="s">
        <v>5503</v>
      </c>
    </row>
    <row r="865" spans="1:26">
      <c r="A865" s="71">
        <f>IFERROR(Associates_Call_List_PQ!A865,"")</f>
        <v>45932</v>
      </c>
      <c r="B865" s="57" t="str">
        <f>IF(Associates_Call_List_PQ!B865="","",Associates_Call_List_PQ!B865)</f>
        <v>Kozerski</v>
      </c>
      <c r="C865" s="57" t="str">
        <f>IF(Associates_Call_List_PQ!C865="","",Associates_Call_List_PQ!C865)</f>
        <v>Alaxandra</v>
      </c>
      <c r="D865" s="57" t="str">
        <f>IF(Associates_Call_List_PQ!D865="","",Associates_Call_List_PQ!D865)</f>
        <v>Gilbert</v>
      </c>
      <c r="E865" s="58">
        <f>IF(Associates_Call_List_PQ!E865="","",Associates_Call_List_PQ!E865)</f>
        <v>85233</v>
      </c>
      <c r="F865" s="57" t="str">
        <f>IF(Associates_Call_List_PQ!F865="","",Associates_Call_List_PQ!F865)</f>
        <v>Form letter</v>
      </c>
      <c r="G865" s="57" t="str">
        <f>IF(Associates_Call_List_PQ!G865="","",Associates_Call_List_PQ!G865)</f>
        <v>https://edocket.azcc.gov/search/document-search/item-detail/448293</v>
      </c>
      <c r="H865" s="59" t="str">
        <f>IF(Associates_Call_List_PQ!H865="","",Associates_Call_List_PQ!H865)</f>
        <v xml:space="preserve">7789171149 </v>
      </c>
      <c r="I865" s="57" t="str">
        <f>IF(Associates_Call_List_PQ!I865="","",Associates_Call_List_PQ!I865)</f>
        <v>EPR-6w/E-12</v>
      </c>
      <c r="J865" s="57" t="str">
        <f>IF(Associates_Call_List_PQ!J865="","",Associates_Call_List_PQ!J865)</f>
        <v>No</v>
      </c>
      <c r="K865" s="57" t="str">
        <f>IF(Associates_Call_List_PQ!K865="","",Associates_Call_List_PQ!K865)</f>
        <v>No</v>
      </c>
      <c r="L865" s="57" t="str">
        <f>IF(Associates_Call_List_PQ!L865="","",Associates_Call_List_PQ!L865)</f>
        <v>Frozen Rate</v>
      </c>
      <c r="M865" s="57" t="str">
        <f>IF(Associates_Call_List_PQ!M865="","",Associates_Call_List_PQ!M865)</f>
        <v>No</v>
      </c>
      <c r="N865" s="57" t="str">
        <f>IF(Associates_Call_List_PQ!N865="","",Associates_Call_List_PQ!N865)</f>
        <v>No</v>
      </c>
      <c r="O865" s="57" t="str">
        <f>IF(Associates_Call_List_PQ!O865="","",Associates_Call_List_PQ!O865)</f>
        <v>Yes</v>
      </c>
      <c r="P865" s="57" t="str">
        <f>IF(Associates_Call_List_PQ!P865="","",Associates_Call_List_PQ!P865)</f>
        <v>N</v>
      </c>
      <c r="Q865" s="57">
        <f>IF(Associates_Call_List_PQ!Q865="","",Associates_Call_List_PQ!Q865)</f>
        <v>45960</v>
      </c>
      <c r="R865" s="57" t="str">
        <f>IF(Associates_Call_List_PQ!R865="","",Associates_Call_List_PQ!R865)</f>
        <v/>
      </c>
      <c r="S865" s="57" t="str">
        <f>IF(Associates_Call_List_PQ!S865="","",Associates_Call_List_PQ!S865)</f>
        <v/>
      </c>
      <c r="T865" s="57" t="str">
        <f>IF(Associates_Call_List_PQ!T865="","",Associates_Call_List_PQ!T865)</f>
        <v/>
      </c>
      <c r="U865" s="57" t="str">
        <f>IF(Associates_Call_List_PQ!U865="","",Associates_Call_List_PQ!U865)</f>
        <v/>
      </c>
      <c r="V865" s="68"/>
      <c r="W865" s="68" t="s">
        <v>5432</v>
      </c>
      <c r="X865" s="68"/>
      <c r="Y865" s="68"/>
      <c r="Z865" s="72"/>
    </row>
    <row r="866" spans="1:26">
      <c r="A866" s="71">
        <f>IFERROR(Associates_Call_List_PQ!A866,"")</f>
        <v>45932</v>
      </c>
      <c r="B866" s="57" t="str">
        <f>IF(Associates_Call_List_PQ!B866="","",Associates_Call_List_PQ!B866)</f>
        <v>Simpson</v>
      </c>
      <c r="C866" s="57" t="str">
        <f>IF(Associates_Call_List_PQ!C866="","",Associates_Call_List_PQ!C866)</f>
        <v>Elliot</v>
      </c>
      <c r="D866" s="57" t="str">
        <f>IF(Associates_Call_List_PQ!D866="","",Associates_Call_List_PQ!D866)</f>
        <v>Phoenix</v>
      </c>
      <c r="E866" s="58">
        <f>IF(Associates_Call_List_PQ!E866="","",Associates_Call_List_PQ!E866)</f>
        <v>85085</v>
      </c>
      <c r="F866" s="57" t="str">
        <f>IF(Associates_Call_List_PQ!F866="","",Associates_Call_List_PQ!F866)</f>
        <v>Respectfully Opposed-already financially strained</v>
      </c>
      <c r="G866" s="57" t="str">
        <f>IF(Associates_Call_List_PQ!G866="","",Associates_Call_List_PQ!G866)</f>
        <v>https://edocket.azcc.gov/search/document-search/item-detail/448293</v>
      </c>
      <c r="H866" s="59" t="str">
        <f>IF(Associates_Call_List_PQ!H866="","",Associates_Call_List_PQ!H866)</f>
        <v xml:space="preserve">9539410000 </v>
      </c>
      <c r="I866" s="57" t="str">
        <f>IF(Associates_Call_List_PQ!I866="","",Associates_Call_List_PQ!I866)</f>
        <v>REV47</v>
      </c>
      <c r="J866" s="57" t="str">
        <f>IF(Associates_Call_List_PQ!J866="","",Associates_Call_List_PQ!J866)</f>
        <v>No</v>
      </c>
      <c r="K866" s="57" t="str">
        <f>IF(Associates_Call_List_PQ!K866="","",Associates_Call_List_PQ!K866)</f>
        <v>No</v>
      </c>
      <c r="L866" s="57" t="str">
        <f>IF(Associates_Call_List_PQ!L866="","",Associates_Call_List_PQ!L866)</f>
        <v>Not eligible yet (needs 3 months)</v>
      </c>
      <c r="M866" s="57" t="str">
        <f>IF(Associates_Call_List_PQ!M866="","",Associates_Call_List_PQ!M866)</f>
        <v>No</v>
      </c>
      <c r="N866" s="57" t="str">
        <f>IF(Associates_Call_List_PQ!N866="","",Associates_Call_List_PQ!N866)</f>
        <v>No</v>
      </c>
      <c r="O866" s="57" t="str">
        <f>IF(Associates_Call_List_PQ!O866="","",Associates_Call_List_PQ!O866)</f>
        <v>Yes</v>
      </c>
      <c r="P866" s="57" t="str">
        <f>IF(Associates_Call_List_PQ!P866="","",Associates_Call_List_PQ!P866)</f>
        <v>N</v>
      </c>
      <c r="Q866" s="57">
        <f>IF(Associates_Call_List_PQ!Q866="","",Associates_Call_List_PQ!Q866)</f>
        <v>45960</v>
      </c>
      <c r="R866" s="57" t="str">
        <f>IF(Associates_Call_List_PQ!R866="","",Associates_Call_List_PQ!R866)</f>
        <v>Recently changed from Basic to R-EV</v>
      </c>
      <c r="S866" s="57" t="str">
        <f>IF(Associates_Call_List_PQ!S866="","",Associates_Call_List_PQ!S866)</f>
        <v/>
      </c>
      <c r="T866" s="57" t="str">
        <f>IF(Associates_Call_List_PQ!T866="","",Associates_Call_List_PQ!T866)</f>
        <v/>
      </c>
      <c r="U866" s="57" t="str">
        <f>IF(Associates_Call_List_PQ!U866="","",Associates_Call_List_PQ!U866)</f>
        <v/>
      </c>
      <c r="V866" s="68" t="s">
        <v>5433</v>
      </c>
      <c r="W866" s="68">
        <v>46053</v>
      </c>
      <c r="X866" s="68" t="s">
        <v>5405</v>
      </c>
      <c r="Y866" s="68" t="s">
        <v>5461</v>
      </c>
      <c r="Z866" s="72"/>
    </row>
    <row r="867" spans="1:26">
      <c r="A867" s="71">
        <f>IFERROR(Associates_Call_List_PQ!A867,"")</f>
        <v>45933</v>
      </c>
      <c r="B867" s="57" t="str">
        <f>IF(Associates_Call_List_PQ!B867="","",Associates_Call_List_PQ!B867)</f>
        <v>Amoroso</v>
      </c>
      <c r="C867" s="57" t="str">
        <f>IF(Associates_Call_List_PQ!C867="","",Associates_Call_List_PQ!C867)</f>
        <v>Terri</v>
      </c>
      <c r="D867" s="57" t="str">
        <f>IF(Associates_Call_List_PQ!D867="","",Associates_Call_List_PQ!D867)</f>
        <v>Unknown</v>
      </c>
      <c r="E867" s="58" t="str">
        <f>IF(Associates_Call_List_PQ!E867="","",Associates_Call_List_PQ!E867)</f>
        <v>Unknown</v>
      </c>
      <c r="F867" s="57" t="str">
        <f>IF(Associates_Call_List_PQ!F867="","",Associates_Call_List_PQ!F867)</f>
        <v>Opposed-Phoenix families are struggling</v>
      </c>
      <c r="G867" s="57" t="str">
        <f>IF(Associates_Call_List_PQ!G867="","",Associates_Call_List_PQ!G867)</f>
        <v>https://docket.images.azcc.gov/E000046833.pdf</v>
      </c>
      <c r="H867" s="59" t="str">
        <f>IF(Associates_Call_List_PQ!H867="","",Associates_Call_List_PQ!H867)</f>
        <v xml:space="preserve">4949150000 </v>
      </c>
      <c r="I867" s="57" t="str">
        <f>IF(Associates_Call_List_PQ!I867="","",Associates_Call_List_PQ!I867)</f>
        <v>R-XS</v>
      </c>
      <c r="J867" s="57" t="str">
        <f>IF(Associates_Call_List_PQ!J867="","",Associates_Call_List_PQ!J867)</f>
        <v>No</v>
      </c>
      <c r="K867" s="57" t="str">
        <f>IF(Associates_Call_List_PQ!K867="","",Associates_Call_List_PQ!K867)</f>
        <v>No</v>
      </c>
      <c r="L867" s="57" t="str">
        <f>IF(Associates_Call_List_PQ!L867="","",Associates_Call_List_PQ!L867)</f>
        <v>Yes</v>
      </c>
      <c r="M867" s="57" t="str">
        <f>IF(Associates_Call_List_PQ!M867="","",Associates_Call_List_PQ!M867)</f>
        <v>No</v>
      </c>
      <c r="N867" s="57" t="str">
        <f>IF(Associates_Call_List_PQ!N867="","",Associates_Call_List_PQ!N867)</f>
        <v>No</v>
      </c>
      <c r="O867" s="57" t="str">
        <f>IF(Associates_Call_List_PQ!O867="","",Associates_Call_List_PQ!O867)</f>
        <v>Yes</v>
      </c>
      <c r="P867" s="57" t="str">
        <f>IF(Associates_Call_List_PQ!P867="","",Associates_Call_List_PQ!P867)</f>
        <v>N</v>
      </c>
      <c r="Q867" s="57">
        <f>IF(Associates_Call_List_PQ!Q867="","",Associates_Call_List_PQ!Q867)</f>
        <v>45960</v>
      </c>
      <c r="R867" s="57" t="str">
        <f>IF(Associates_Call_List_PQ!R867="","",Associates_Call_List_PQ!R867)</f>
        <v/>
      </c>
      <c r="S867" s="57" t="str">
        <f>IF(Associates_Call_List_PQ!S867="","",Associates_Call_List_PQ!S867)</f>
        <v/>
      </c>
      <c r="T867" s="57" t="str">
        <f>IF(Associates_Call_List_PQ!T867="","",Associates_Call_List_PQ!T867)</f>
        <v/>
      </c>
      <c r="U867" s="57" t="str">
        <f>IF(Associates_Call_List_PQ!U867="","",Associates_Call_List_PQ!U867)</f>
        <v/>
      </c>
      <c r="V867" s="68"/>
      <c r="W867" s="68" t="s">
        <v>5432</v>
      </c>
      <c r="X867" s="68"/>
      <c r="Y867" s="68"/>
      <c r="Z867" s="72"/>
    </row>
    <row r="868" spans="1:26">
      <c r="A868" s="71">
        <f>IFERROR(Associates_Call_List_PQ!A868,"")</f>
        <v>45933</v>
      </c>
      <c r="B868" s="57" t="str">
        <f>IF(Associates_Call_List_PQ!B868="","",Associates_Call_List_PQ!B868)</f>
        <v>Hellring</v>
      </c>
      <c r="C868" s="57" t="str">
        <f>IF(Associates_Call_List_PQ!C868="","",Associates_Call_List_PQ!C868)</f>
        <v>Bruce</v>
      </c>
      <c r="D868" s="57" t="str">
        <f>IF(Associates_Call_List_PQ!D868="","",Associates_Call_List_PQ!D868)</f>
        <v>Cave Creek</v>
      </c>
      <c r="E868" s="58">
        <f>IF(Associates_Call_List_PQ!E868="","",Associates_Call_List_PQ!E868)</f>
        <v>85331</v>
      </c>
      <c r="F868" s="57" t="str">
        <f>IF(Associates_Call_List_PQ!F868="","",Associates_Call_List_PQ!F868)</f>
        <v>Opposed-no salary has seen an equivalent increase</v>
      </c>
      <c r="G868" s="57" t="str">
        <f>IF(Associates_Call_List_PQ!G868="","",Associates_Call_List_PQ!G868)</f>
        <v>https://docket.images.azcc.gov/E000046843.pdf</v>
      </c>
      <c r="H868" s="59" t="str">
        <f>IF(Associates_Call_List_PQ!H868="","",Associates_Call_List_PQ!H868)</f>
        <v xml:space="preserve">8072751000 </v>
      </c>
      <c r="I868" s="57" t="str">
        <f>IF(Associates_Call_List_PQ!I868="","",Associates_Call_List_PQ!I868)</f>
        <v>R3-47</v>
      </c>
      <c r="J868" s="57" t="str">
        <f>IF(Associates_Call_List_PQ!J868="","",Associates_Call_List_PQ!J868)</f>
        <v>No</v>
      </c>
      <c r="K868" s="57" t="str">
        <f>IF(Associates_Call_List_PQ!K868="","",Associates_Call_List_PQ!K868)</f>
        <v>No</v>
      </c>
      <c r="L868" s="57" t="str">
        <f>IF(Associates_Call_List_PQ!L868="","",Associates_Call_List_PQ!L868)</f>
        <v>Yes</v>
      </c>
      <c r="M868" s="57" t="str">
        <f>IF(Associates_Call_List_PQ!M868="","",Associates_Call_List_PQ!M868)</f>
        <v>No</v>
      </c>
      <c r="N868" s="57" t="str">
        <f>IF(Associates_Call_List_PQ!N868="","",Associates_Call_List_PQ!N868)</f>
        <v>No</v>
      </c>
      <c r="O868" s="57" t="str">
        <f>IF(Associates_Call_List_PQ!O868="","",Associates_Call_List_PQ!O868)</f>
        <v>Yes</v>
      </c>
      <c r="P868" s="57" t="str">
        <f>IF(Associates_Call_List_PQ!P868="","",Associates_Call_List_PQ!P868)</f>
        <v>N</v>
      </c>
      <c r="Q868" s="57">
        <f>IF(Associates_Call_List_PQ!Q868="","",Associates_Call_List_PQ!Q868)</f>
        <v>45960</v>
      </c>
      <c r="R868" s="57" t="str">
        <f>IF(Associates_Call_List_PQ!R868="","",Associates_Call_List_PQ!R868)</f>
        <v/>
      </c>
      <c r="S868" s="57" t="str">
        <f>IF(Associates_Call_List_PQ!S868="","",Associates_Call_List_PQ!S868)</f>
        <v/>
      </c>
      <c r="T868" s="57" t="str">
        <f>IF(Associates_Call_List_PQ!T868="","",Associates_Call_List_PQ!T868)</f>
        <v/>
      </c>
      <c r="U868" s="57" t="str">
        <f>IF(Associates_Call_List_PQ!U868="","",Associates_Call_List_PQ!U868)</f>
        <v/>
      </c>
      <c r="V868" s="68" t="s">
        <v>5433</v>
      </c>
      <c r="W868" s="68">
        <v>46074</v>
      </c>
      <c r="X868" s="68" t="s">
        <v>5405</v>
      </c>
      <c r="Y868" s="68" t="s">
        <v>5463</v>
      </c>
      <c r="Z868" s="72" t="s">
        <v>5638</v>
      </c>
    </row>
    <row r="869" spans="1:26">
      <c r="A869" s="71">
        <f>IFERROR(Associates_Call_List_PQ!A869,"")</f>
        <v>45934</v>
      </c>
      <c r="B869" s="57" t="str">
        <f>IF(Associates_Call_List_PQ!B869="","",Associates_Call_List_PQ!B869)</f>
        <v>Moffat</v>
      </c>
      <c r="C869" s="57" t="str">
        <f>IF(Associates_Call_List_PQ!C869="","",Associates_Call_List_PQ!C869)</f>
        <v>Jennifer</v>
      </c>
      <c r="D869" s="57" t="str">
        <f>IF(Associates_Call_List_PQ!D869="","",Associates_Call_List_PQ!D869)</f>
        <v>Phoenix</v>
      </c>
      <c r="E869" s="58">
        <f>IF(Associates_Call_List_PQ!E869="","",Associates_Call_List_PQ!E869)</f>
        <v>85032</v>
      </c>
      <c r="F869" s="57" t="str">
        <f>IF(Associates_Call_List_PQ!F869="","",Associates_Call_List_PQ!F869)</f>
        <v xml:space="preserve">Opposed-I find it appalling </v>
      </c>
      <c r="G869" s="57" t="str">
        <f>IF(Associates_Call_List_PQ!G869="","",Associates_Call_List_PQ!G869)</f>
        <v>https://docket.images.azcc.gov/E000046876.pdf</v>
      </c>
      <c r="H869" s="59" t="str">
        <f>IF(Associates_Call_List_PQ!H869="","",Associates_Call_List_PQ!H869)</f>
        <v xml:space="preserve">9524460000 </v>
      </c>
      <c r="I869" s="57" t="str">
        <f>IF(Associates_Call_List_PQ!I869="","",Associates_Call_List_PQ!I869)</f>
        <v>R3-47</v>
      </c>
      <c r="J869" s="57" t="str">
        <f>IF(Associates_Call_List_PQ!J869="","",Associates_Call_List_PQ!J869)</f>
        <v>Yes</v>
      </c>
      <c r="K869" s="57" t="str">
        <f>IF(Associates_Call_List_PQ!K869="","",Associates_Call_List_PQ!K869)</f>
        <v>No</v>
      </c>
      <c r="L869" s="57" t="str">
        <f>IF(Associates_Call_List_PQ!L869="","",Associates_Call_List_PQ!L869)</f>
        <v>Yes</v>
      </c>
      <c r="M869" s="57" t="str">
        <f>IF(Associates_Call_List_PQ!M869="","",Associates_Call_List_PQ!M869)</f>
        <v>No</v>
      </c>
      <c r="N869" s="57" t="str">
        <f>IF(Associates_Call_List_PQ!N869="","",Associates_Call_List_PQ!N869)</f>
        <v>No</v>
      </c>
      <c r="O869" s="57" t="str">
        <f>IF(Associates_Call_List_PQ!O869="","",Associates_Call_List_PQ!O869)</f>
        <v>Yes</v>
      </c>
      <c r="P869" s="57" t="str">
        <f>IF(Associates_Call_List_PQ!P869="","",Associates_Call_List_PQ!P869)</f>
        <v>N</v>
      </c>
      <c r="Q869" s="57">
        <f>IF(Associates_Call_List_PQ!Q869="","",Associates_Call_List_PQ!Q869)</f>
        <v>45954</v>
      </c>
      <c r="R869" s="57" t="str">
        <f>IF(Associates_Call_List_PQ!R869="","",Associates_Call_List_PQ!R869)</f>
        <v/>
      </c>
      <c r="S869" s="57" t="str">
        <f>IF(Associates_Call_List_PQ!S869="","",Associates_Call_List_PQ!S869)</f>
        <v/>
      </c>
      <c r="T869" s="57" t="str">
        <f>IF(Associates_Call_List_PQ!T869="","",Associates_Call_List_PQ!T869)</f>
        <v/>
      </c>
      <c r="U869" s="57" t="str">
        <f>IF(Associates_Call_List_PQ!U869="","",Associates_Call_List_PQ!U869)</f>
        <v/>
      </c>
      <c r="V869" s="68"/>
      <c r="W869" s="68" t="s">
        <v>5432</v>
      </c>
      <c r="X869" s="68"/>
      <c r="Y869" s="68"/>
      <c r="Z869" s="72"/>
    </row>
    <row r="870" spans="1:26">
      <c r="A870" s="71">
        <f>IFERROR(Associates_Call_List_PQ!A870,"")</f>
        <v>45934</v>
      </c>
      <c r="B870" s="57" t="str">
        <f>IF(Associates_Call_List_PQ!B870="","",Associates_Call_List_PQ!B870)</f>
        <v>Rae</v>
      </c>
      <c r="C870" s="57" t="str">
        <f>IF(Associates_Call_List_PQ!C870="","",Associates_Call_List_PQ!C870)</f>
        <v>Linda</v>
      </c>
      <c r="D870" s="57" t="str">
        <f>IF(Associates_Call_List_PQ!D870="","",Associates_Call_List_PQ!D870)</f>
        <v>Prescott Valley</v>
      </c>
      <c r="E870" s="58">
        <f>IF(Associates_Call_List_PQ!E870="","",Associates_Call_List_PQ!E870)</f>
        <v>86314</v>
      </c>
      <c r="F870" s="57" t="str">
        <f>IF(Associates_Call_List_PQ!F870="","",Associates_Call_List_PQ!F870)</f>
        <v>Retiree, increase will cause hardship</v>
      </c>
      <c r="G870" s="57" t="str">
        <f>IF(Associates_Call_List_PQ!G870="","",Associates_Call_List_PQ!G870)</f>
        <v>https://docket.images.azcc.gov/E000046876.pdf</v>
      </c>
      <c r="H870" s="59" t="str">
        <f>IF(Associates_Call_List_PQ!H870="","",Associates_Call_List_PQ!H870)</f>
        <v xml:space="preserve">6543951000 </v>
      </c>
      <c r="I870" s="57" t="str">
        <f>IF(Associates_Call_List_PQ!I870="","",Associates_Call_List_PQ!I870)</f>
        <v>RTOUE47</v>
      </c>
      <c r="J870" s="57" t="str">
        <f>IF(Associates_Call_List_PQ!J870="","",Associates_Call_List_PQ!J870)</f>
        <v>No</v>
      </c>
      <c r="K870" s="57" t="str">
        <f>IF(Associates_Call_List_PQ!K870="","",Associates_Call_List_PQ!K870)</f>
        <v>No</v>
      </c>
      <c r="L870" s="57" t="str">
        <f>IF(Associates_Call_List_PQ!L870="","",Associates_Call_List_PQ!L870)</f>
        <v>No MEP R-BASIC(90.00)</v>
      </c>
      <c r="M870" s="57" t="str">
        <f>IF(Associates_Call_List_PQ!M870="","",Associates_Call_List_PQ!M870)</f>
        <v>No</v>
      </c>
      <c r="N870" s="57" t="str">
        <f>IF(Associates_Call_List_PQ!N870="","",Associates_Call_List_PQ!N870)</f>
        <v>No</v>
      </c>
      <c r="O870" s="57" t="str">
        <f>IF(Associates_Call_List_PQ!O870="","",Associates_Call_List_PQ!O870)</f>
        <v>Yes</v>
      </c>
      <c r="P870" s="57" t="str">
        <f>IF(Associates_Call_List_PQ!P870="","",Associates_Call_List_PQ!P870)</f>
        <v>N</v>
      </c>
      <c r="Q870" s="57">
        <f>IF(Associates_Call_List_PQ!Q870="","",Associates_Call_List_PQ!Q870)</f>
        <v>45954</v>
      </c>
      <c r="R870" s="57" t="str">
        <f>IF(Associates_Call_List_PQ!R870="","",Associates_Call_List_PQ!R870)</f>
        <v/>
      </c>
      <c r="S870" s="57" t="str">
        <f>IF(Associates_Call_List_PQ!S870="","",Associates_Call_List_PQ!S870)</f>
        <v/>
      </c>
      <c r="T870" s="57" t="str">
        <f>IF(Associates_Call_List_PQ!T870="","",Associates_Call_List_PQ!T870)</f>
        <v/>
      </c>
      <c r="U870" s="57" t="str">
        <f>IF(Associates_Call_List_PQ!U870="","",Associates_Call_List_PQ!U870)</f>
        <v/>
      </c>
      <c r="V870" s="68" t="s">
        <v>5433</v>
      </c>
      <c r="W870" s="68">
        <v>46053</v>
      </c>
      <c r="X870" s="68" t="s">
        <v>5434</v>
      </c>
      <c r="Y870" s="68"/>
      <c r="Z870" s="72" t="s">
        <v>5599</v>
      </c>
    </row>
    <row r="871" spans="1:26">
      <c r="A871" s="71">
        <f>IFERROR(Associates_Call_List_PQ!A871,"")</f>
        <v>45935</v>
      </c>
      <c r="B871" s="57" t="str">
        <f>IF(Associates_Call_List_PQ!B871="","",Associates_Call_List_PQ!B871)</f>
        <v>Faulkner</v>
      </c>
      <c r="C871" s="57" t="str">
        <f>IF(Associates_Call_List_PQ!C871="","",Associates_Call_List_PQ!C871)</f>
        <v>Stephen</v>
      </c>
      <c r="D871" s="57" t="str">
        <f>IF(Associates_Call_List_PQ!D871="","",Associates_Call_List_PQ!D871)</f>
        <v>Cottonwood</v>
      </c>
      <c r="E871" s="58">
        <f>IF(Associates_Call_List_PQ!E871="","",Associates_Call_List_PQ!E871)</f>
        <v>86326</v>
      </c>
      <c r="F871" s="57" t="str">
        <f>IF(Associates_Call_List_PQ!F871="","",Associates_Call_List_PQ!F871)</f>
        <v>Totally inappropriate</v>
      </c>
      <c r="G871" s="57" t="str">
        <f>IF(Associates_Call_List_PQ!G871="","",Associates_Call_List_PQ!G871)</f>
        <v>https://docket.images.azcc.gov/E000046876.pdf</v>
      </c>
      <c r="H871" s="59" t="str">
        <f>IF(Associates_Call_List_PQ!H871="","",Associates_Call_List_PQ!H871)</f>
        <v xml:space="preserve">0770620000 </v>
      </c>
      <c r="I871" s="57" t="str">
        <f>IF(Associates_Call_List_PQ!I871="","",Associates_Call_List_PQ!I871)</f>
        <v>EPR-6w/E-12</v>
      </c>
      <c r="J871" s="57" t="str">
        <f>IF(Associates_Call_List_PQ!J871="","",Associates_Call_List_PQ!J871)</f>
        <v>No</v>
      </c>
      <c r="K871" s="57" t="str">
        <f>IF(Associates_Call_List_PQ!K871="","",Associates_Call_List_PQ!K871)</f>
        <v>No</v>
      </c>
      <c r="L871" s="57" t="str">
        <f>IF(Associates_Call_List_PQ!L871="","",Associates_Call_List_PQ!L871)</f>
        <v>Frozen Rate</v>
      </c>
      <c r="M871" s="57" t="str">
        <f>IF(Associates_Call_List_PQ!M871="","",Associates_Call_List_PQ!M871)</f>
        <v>No</v>
      </c>
      <c r="N871" s="57" t="str">
        <f>IF(Associates_Call_List_PQ!N871="","",Associates_Call_List_PQ!N871)</f>
        <v>No</v>
      </c>
      <c r="O871" s="57" t="str">
        <f>IF(Associates_Call_List_PQ!O871="","",Associates_Call_List_PQ!O871)</f>
        <v>Yes</v>
      </c>
      <c r="P871" s="57" t="str">
        <f>IF(Associates_Call_List_PQ!P871="","",Associates_Call_List_PQ!P871)</f>
        <v>N</v>
      </c>
      <c r="Q871" s="57">
        <f>IF(Associates_Call_List_PQ!Q871="","",Associates_Call_List_PQ!Q871)</f>
        <v>45954</v>
      </c>
      <c r="R871" s="57" t="str">
        <f>IF(Associates_Call_List_PQ!R871="","",Associates_Call_List_PQ!R871)</f>
        <v/>
      </c>
      <c r="S871" s="57" t="str">
        <f>IF(Associates_Call_List_PQ!S871="","",Associates_Call_List_PQ!S871)</f>
        <v/>
      </c>
      <c r="T871" s="57" t="str">
        <f>IF(Associates_Call_List_PQ!T871="","",Associates_Call_List_PQ!T871)</f>
        <v/>
      </c>
      <c r="U871" s="57" t="str">
        <f>IF(Associates_Call_List_PQ!U871="","",Associates_Call_List_PQ!U871)</f>
        <v/>
      </c>
      <c r="V871" s="68"/>
      <c r="W871" s="68" t="s">
        <v>5432</v>
      </c>
      <c r="X871" s="68"/>
      <c r="Y871" s="68"/>
      <c r="Z871" s="72"/>
    </row>
    <row r="872" spans="1:26">
      <c r="A872" s="71">
        <f>IFERROR(Associates_Call_List_PQ!A872,"")</f>
        <v>45935</v>
      </c>
      <c r="B872" s="57" t="str">
        <f>IF(Associates_Call_List_PQ!B872="","",Associates_Call_List_PQ!B872)</f>
        <v>Whitmore</v>
      </c>
      <c r="C872" s="57" t="str">
        <f>IF(Associates_Call_List_PQ!C872="","",Associates_Call_List_PQ!C872)</f>
        <v>Donna</v>
      </c>
      <c r="D872" s="57" t="str">
        <f>IF(Associates_Call_List_PQ!D872="","",Associates_Call_List_PQ!D872)</f>
        <v>Clarkdale</v>
      </c>
      <c r="E872" s="58">
        <f>IF(Associates_Call_List_PQ!E872="","",Associates_Call_List_PQ!E872)</f>
        <v>86324</v>
      </c>
      <c r="F872" s="57" t="str">
        <f>IF(Associates_Call_List_PQ!F872="","",Associates_Call_List_PQ!F872)</f>
        <v>Opposed</v>
      </c>
      <c r="G872" s="57" t="str">
        <f>IF(Associates_Call_List_PQ!G872="","",Associates_Call_List_PQ!G872)</f>
        <v>https://docket.images.azcc.gov/E000046876.pdf</v>
      </c>
      <c r="H872" s="59" t="str">
        <f>IF(Associates_Call_List_PQ!H872="","",Associates_Call_List_PQ!H872)</f>
        <v xml:space="preserve">1471520000 </v>
      </c>
      <c r="I872" s="57" t="str">
        <f>IF(Associates_Call_List_PQ!I872="","",Associates_Call_List_PQ!I872)</f>
        <v>R-XS</v>
      </c>
      <c r="J872" s="57" t="str">
        <f>IF(Associates_Call_List_PQ!J872="","",Associates_Call_List_PQ!J872)</f>
        <v>No</v>
      </c>
      <c r="K872" s="57" t="str">
        <f>IF(Associates_Call_List_PQ!K872="","",Associates_Call_List_PQ!K872)</f>
        <v>No</v>
      </c>
      <c r="L872" s="57" t="str">
        <f>IF(Associates_Call_List_PQ!L872="","",Associates_Call_List_PQ!L872)</f>
        <v>Yes</v>
      </c>
      <c r="M872" s="57" t="str">
        <f>IF(Associates_Call_List_PQ!M872="","",Associates_Call_List_PQ!M872)</f>
        <v>No</v>
      </c>
      <c r="N872" s="57" t="str">
        <f>IF(Associates_Call_List_PQ!N872="","",Associates_Call_List_PQ!N872)</f>
        <v>No</v>
      </c>
      <c r="O872" s="57" t="str">
        <f>IF(Associates_Call_List_PQ!O872="","",Associates_Call_List_PQ!O872)</f>
        <v>Yes</v>
      </c>
      <c r="P872" s="57" t="str">
        <f>IF(Associates_Call_List_PQ!P872="","",Associates_Call_List_PQ!P872)</f>
        <v>N</v>
      </c>
      <c r="Q872" s="57">
        <f>IF(Associates_Call_List_PQ!Q872="","",Associates_Call_List_PQ!Q872)</f>
        <v>45954</v>
      </c>
      <c r="R872" s="57" t="str">
        <f>IF(Associates_Call_List_PQ!R872="","",Associates_Call_List_PQ!R872)</f>
        <v>Non-AMI customer</v>
      </c>
      <c r="S872" s="57" t="str">
        <f>IF(Associates_Call_List_PQ!S872="","",Associates_Call_List_PQ!S872)</f>
        <v/>
      </c>
      <c r="T872" s="57" t="str">
        <f>IF(Associates_Call_List_PQ!T872="","",Associates_Call_List_PQ!T872)</f>
        <v/>
      </c>
      <c r="U872" s="57" t="str">
        <f>IF(Associates_Call_List_PQ!U872="","",Associates_Call_List_PQ!U872)</f>
        <v/>
      </c>
      <c r="V872" s="68" t="s">
        <v>5433</v>
      </c>
      <c r="W872" s="68">
        <v>46074</v>
      </c>
      <c r="X872" s="68" t="s">
        <v>5434</v>
      </c>
      <c r="Y872" s="68"/>
      <c r="Z872" s="72" t="s">
        <v>5547</v>
      </c>
    </row>
    <row r="873" spans="1:26">
      <c r="A873" s="71">
        <f>IFERROR(Associates_Call_List_PQ!A873,"")</f>
        <v>45937</v>
      </c>
      <c r="B873" s="57" t="str">
        <f>IF(Associates_Call_List_PQ!B873="","",Associates_Call_List_PQ!B873)</f>
        <v>Pavlov</v>
      </c>
      <c r="C873" s="57" t="str">
        <f>IF(Associates_Call_List_PQ!C873="","",Associates_Call_List_PQ!C873)</f>
        <v>David&amp;Tiffany</v>
      </c>
      <c r="D873" s="57" t="str">
        <f>IF(Associates_Call_List_PQ!D873="","",Associates_Call_List_PQ!D873)</f>
        <v>Goodyear</v>
      </c>
      <c r="E873" s="58">
        <f>IF(Associates_Call_List_PQ!E873="","",Associates_Call_List_PQ!E873)</f>
        <v>85338</v>
      </c>
      <c r="F873" s="57" t="str">
        <f>IF(Associates_Call_List_PQ!F873="","",Associates_Call_List_PQ!F873)</f>
        <v>Opposed- unaffordable</v>
      </c>
      <c r="G873" s="57" t="str">
        <f>IF(Associates_Call_List_PQ!G873="","",Associates_Call_List_PQ!G873)</f>
        <v>https://docket.images.azcc.gov/E000046876.pdf</v>
      </c>
      <c r="H873" s="59" t="str">
        <f>IF(Associates_Call_List_PQ!H873="","",Associates_Call_List_PQ!H873)</f>
        <v xml:space="preserve">4195950000 </v>
      </c>
      <c r="I873" s="57" t="str">
        <f>IF(Associates_Call_List_PQ!I873="","",Associates_Call_List_PQ!I873)</f>
        <v>R-2</v>
      </c>
      <c r="J873" s="57" t="str">
        <f>IF(Associates_Call_List_PQ!J873="","",Associates_Call_List_PQ!J873)</f>
        <v>Yes</v>
      </c>
      <c r="K873" s="57" t="str">
        <f>IF(Associates_Call_List_PQ!K873="","",Associates_Call_List_PQ!K873)</f>
        <v>No</v>
      </c>
      <c r="L873" s="57" t="str">
        <f>IF(Associates_Call_List_PQ!L873="","",Associates_Call_List_PQ!L873)</f>
        <v>Frozen Rate</v>
      </c>
      <c r="M873" s="57" t="str">
        <f>IF(Associates_Call_List_PQ!M873="","",Associates_Call_List_PQ!M873)</f>
        <v>No</v>
      </c>
      <c r="N873" s="57" t="str">
        <f>IF(Associates_Call_List_PQ!N873="","",Associates_Call_List_PQ!N873)</f>
        <v>No</v>
      </c>
      <c r="O873" s="57" t="str">
        <f>IF(Associates_Call_List_PQ!O873="","",Associates_Call_List_PQ!O873)</f>
        <v>Yes</v>
      </c>
      <c r="P873" s="57" t="str">
        <f>IF(Associates_Call_List_PQ!P873="","",Associates_Call_List_PQ!P873)</f>
        <v>N</v>
      </c>
      <c r="Q873" s="57">
        <f>IF(Associates_Call_List_PQ!Q873="","",Associates_Call_List_PQ!Q873)</f>
        <v>45954</v>
      </c>
      <c r="R873" s="57" t="str">
        <f>IF(Associates_Call_List_PQ!R873="","",Associates_Call_List_PQ!R873)</f>
        <v/>
      </c>
      <c r="S873" s="57" t="str">
        <f>IF(Associates_Call_List_PQ!S873="","",Associates_Call_List_PQ!S873)</f>
        <v/>
      </c>
      <c r="T873" s="57" t="str">
        <f>IF(Associates_Call_List_PQ!T873="","",Associates_Call_List_PQ!T873)</f>
        <v/>
      </c>
      <c r="U873" s="57" t="str">
        <f>IF(Associates_Call_List_PQ!U873="","",Associates_Call_List_PQ!U873)</f>
        <v/>
      </c>
      <c r="V873" s="68"/>
      <c r="W873" s="68" t="s">
        <v>5432</v>
      </c>
      <c r="X873" s="68"/>
      <c r="Y873" s="68"/>
      <c r="Z873" s="72"/>
    </row>
    <row r="874" spans="1:26">
      <c r="A874" s="71">
        <f>IFERROR(Associates_Call_List_PQ!A874,"")</f>
        <v>45938</v>
      </c>
      <c r="B874" s="57" t="str">
        <f>IF(Associates_Call_List_PQ!B874="","",Associates_Call_List_PQ!B874)</f>
        <v>Yoon</v>
      </c>
      <c r="C874" s="57" t="str">
        <f>IF(Associates_Call_List_PQ!C874="","",Associates_Call_List_PQ!C874)</f>
        <v>Eunice</v>
      </c>
      <c r="D874" s="57" t="str">
        <f>IF(Associates_Call_List_PQ!D874="","",Associates_Call_List_PQ!D874)</f>
        <v>Scottsdale</v>
      </c>
      <c r="E874" s="58">
        <f>IF(Associates_Call_List_PQ!E874="","",Associates_Call_List_PQ!E874)</f>
        <v>85258</v>
      </c>
      <c r="F874" s="57" t="str">
        <f>IF(Associates_Call_List_PQ!F874="","",Associates_Call_List_PQ!F874)</f>
        <v>Opposed-Prioritize cost control</v>
      </c>
      <c r="G874" s="57" t="str">
        <f>IF(Associates_Call_List_PQ!G874="","",Associates_Call_List_PQ!G874)</f>
        <v>https://docket.images.azcc.gov/E000046900.pdf</v>
      </c>
      <c r="H874" s="59" t="str">
        <f>IF(Associates_Call_List_PQ!H874="","",Associates_Call_List_PQ!H874)</f>
        <v xml:space="preserve">6232280000 </v>
      </c>
      <c r="I874" s="57" t="str">
        <f>IF(Associates_Call_List_PQ!I874="","",Associates_Call_List_PQ!I874)</f>
        <v>R3-47</v>
      </c>
      <c r="J874" s="57" t="str">
        <f>IF(Associates_Call_List_PQ!J874="","",Associates_Call_List_PQ!J874)</f>
        <v>No</v>
      </c>
      <c r="K874" s="57" t="str">
        <f>IF(Associates_Call_List_PQ!K874="","",Associates_Call_List_PQ!K874)</f>
        <v>No</v>
      </c>
      <c r="L874" s="57" t="str">
        <f>IF(Associates_Call_List_PQ!L874="","",Associates_Call_List_PQ!L874)</f>
        <v>Yes</v>
      </c>
      <c r="M874" s="57" t="str">
        <f>IF(Associates_Call_List_PQ!M874="","",Associates_Call_List_PQ!M874)</f>
        <v>No</v>
      </c>
      <c r="N874" s="57" t="str">
        <f>IF(Associates_Call_List_PQ!N874="","",Associates_Call_List_PQ!N874)</f>
        <v>No</v>
      </c>
      <c r="O874" s="57" t="str">
        <f>IF(Associates_Call_List_PQ!O874="","",Associates_Call_List_PQ!O874)</f>
        <v>Yes</v>
      </c>
      <c r="P874" s="57" t="str">
        <f>IF(Associates_Call_List_PQ!P874="","",Associates_Call_List_PQ!P874)</f>
        <v>N</v>
      </c>
      <c r="Q874" s="57">
        <f>IF(Associates_Call_List_PQ!Q874="","",Associates_Call_List_PQ!Q874)</f>
        <v>45954</v>
      </c>
      <c r="R874" s="57" t="str">
        <f>IF(Associates_Call_List_PQ!R874="","",Associates_Call_List_PQ!R874)</f>
        <v/>
      </c>
      <c r="S874" s="57" t="str">
        <f>IF(Associates_Call_List_PQ!S874="","",Associates_Call_List_PQ!S874)</f>
        <v/>
      </c>
      <c r="T874" s="57" t="str">
        <f>IF(Associates_Call_List_PQ!T874="","",Associates_Call_List_PQ!T874)</f>
        <v/>
      </c>
      <c r="U874" s="57" t="str">
        <f>IF(Associates_Call_List_PQ!U874="","",Associates_Call_List_PQ!U874)</f>
        <v/>
      </c>
      <c r="V874" s="68" t="s">
        <v>5433</v>
      </c>
      <c r="W874" s="68">
        <v>46074</v>
      </c>
      <c r="X874" s="68" t="s">
        <v>5434</v>
      </c>
      <c r="Y874" s="68"/>
      <c r="Z874" s="72" t="s">
        <v>5547</v>
      </c>
    </row>
    <row r="875" spans="1:26">
      <c r="A875" s="71">
        <f>IFERROR(Associates_Call_List_PQ!A875,"")</f>
        <v>45938</v>
      </c>
      <c r="B875" s="57" t="str">
        <f>IF(Associates_Call_List_PQ!B875="","",Associates_Call_List_PQ!B875)</f>
        <v>Tornetta</v>
      </c>
      <c r="C875" s="57" t="str">
        <f>IF(Associates_Call_List_PQ!C875="","",Associates_Call_List_PQ!C875)</f>
        <v>Cynthia</v>
      </c>
      <c r="D875" s="57" t="str">
        <f>IF(Associates_Call_List_PQ!D875="","",Associates_Call_List_PQ!D875)</f>
        <v>Unknown</v>
      </c>
      <c r="E875" s="58" t="str">
        <f>IF(Associates_Call_List_PQ!E875="","",Associates_Call_List_PQ!E875)</f>
        <v>Unknown</v>
      </c>
      <c r="F875" s="57" t="str">
        <f>IF(Associates_Call_List_PQ!F875="","",Associates_Call_List_PQ!F875)</f>
        <v>Opposed-please consider seniors,families,fixed income</v>
      </c>
      <c r="G875" s="57" t="str">
        <f>IF(Associates_Call_List_PQ!G875="","",Associates_Call_List_PQ!G875)</f>
        <v>https://docket.images.azcc.gov/E000046900.pdf</v>
      </c>
      <c r="H875" s="59" t="str">
        <f>IF(Associates_Call_List_PQ!H875="","",Associates_Call_List_PQ!H875)</f>
        <v xml:space="preserve">4762621000 </v>
      </c>
      <c r="I875" s="57" t="str">
        <f>IF(Associates_Call_List_PQ!I875="","",Associates_Call_List_PQ!I875)</f>
        <v>R-BASICL</v>
      </c>
      <c r="J875" s="57" t="str">
        <f>IF(Associates_Call_List_PQ!J875="","",Associates_Call_List_PQ!J875)</f>
        <v>No</v>
      </c>
      <c r="K875" s="57" t="str">
        <f>IF(Associates_Call_List_PQ!K875="","",Associates_Call_List_PQ!K875)</f>
        <v>No</v>
      </c>
      <c r="L875" s="57" t="str">
        <f>IF(Associates_Call_List_PQ!L875="","",Associates_Call_List_PQ!L875)</f>
        <v>No MEP R3-47(68.47)</v>
      </c>
      <c r="M875" s="57" t="str">
        <f>IF(Associates_Call_List_PQ!M875="","",Associates_Call_List_PQ!M875)</f>
        <v>No</v>
      </c>
      <c r="N875" s="57" t="str">
        <f>IF(Associates_Call_List_PQ!N875="","",Associates_Call_List_PQ!N875)</f>
        <v>No</v>
      </c>
      <c r="O875" s="57" t="str">
        <f>IF(Associates_Call_List_PQ!O875="","",Associates_Call_List_PQ!O875)</f>
        <v>Yes</v>
      </c>
      <c r="P875" s="57" t="str">
        <f>IF(Associates_Call_List_PQ!P875="","",Associates_Call_List_PQ!P875)</f>
        <v>N</v>
      </c>
      <c r="Q875" s="57">
        <f>IF(Associates_Call_List_PQ!Q875="","",Associates_Call_List_PQ!Q875)</f>
        <v>45954</v>
      </c>
      <c r="R875" s="57" t="str">
        <f>IF(Associates_Call_List_PQ!R875="","",Associates_Call_List_PQ!R875)</f>
        <v/>
      </c>
      <c r="S875" s="57" t="str">
        <f>IF(Associates_Call_List_PQ!S875="","",Associates_Call_List_PQ!S875)</f>
        <v/>
      </c>
      <c r="T875" s="57" t="str">
        <f>IF(Associates_Call_List_PQ!T875="","",Associates_Call_List_PQ!T875)</f>
        <v/>
      </c>
      <c r="U875" s="57" t="str">
        <f>IF(Associates_Call_List_PQ!U875="","",Associates_Call_List_PQ!U875)</f>
        <v/>
      </c>
      <c r="V875" s="68" t="s">
        <v>5433</v>
      </c>
      <c r="W875" s="68">
        <v>46053</v>
      </c>
      <c r="X875" s="68" t="s">
        <v>5434</v>
      </c>
      <c r="Y875" s="68"/>
      <c r="Z875" s="72" t="s">
        <v>5599</v>
      </c>
    </row>
    <row r="876" spans="1:26">
      <c r="A876" s="71">
        <f>IFERROR(Associates_Call_List_PQ!A876,"")</f>
        <v>45938</v>
      </c>
      <c r="B876" s="57" t="str">
        <f>IF(Associates_Call_List_PQ!B876="","",Associates_Call_List_PQ!B876)</f>
        <v>Vallabhaneni</v>
      </c>
      <c r="C876" s="57" t="str">
        <f>IF(Associates_Call_List_PQ!C876="","",Associates_Call_List_PQ!C876)</f>
        <v>Kamala</v>
      </c>
      <c r="D876" s="57" t="str">
        <f>IF(Associates_Call_List_PQ!D876="","",Associates_Call_List_PQ!D876)</f>
        <v>Scottsdale</v>
      </c>
      <c r="E876" s="58">
        <f>IF(Associates_Call_List_PQ!E876="","",Associates_Call_List_PQ!E876)</f>
        <v>85258</v>
      </c>
      <c r="F876" s="57" t="str">
        <f>IF(Associates_Call_List_PQ!F876="","",Associates_Call_List_PQ!F876)</f>
        <v>Opposed-Simply too much</v>
      </c>
      <c r="G876" s="57" t="str">
        <f>IF(Associates_Call_List_PQ!G876="","",Associates_Call_List_PQ!G876)</f>
        <v>https://docket.images.azcc.gov/E000046911.pdf</v>
      </c>
      <c r="H876" s="59" t="str">
        <f>IF(Associates_Call_List_PQ!H876="","",Associates_Call_List_PQ!H876)</f>
        <v>0857783306</v>
      </c>
      <c r="I876" s="57" t="str">
        <f>IF(Associates_Call_List_PQ!I876="","",Associates_Call_List_PQ!I876)</f>
        <v>R3-47</v>
      </c>
      <c r="J876" s="57" t="str">
        <f>IF(Associates_Call_List_PQ!J876="","",Associates_Call_List_PQ!J876)</f>
        <v>No</v>
      </c>
      <c r="K876" s="57" t="str">
        <f>IF(Associates_Call_List_PQ!K876="","",Associates_Call_List_PQ!K876)</f>
        <v>No</v>
      </c>
      <c r="L876" s="57" t="str">
        <f>IF(Associates_Call_List_PQ!L876="","",Associates_Call_List_PQ!L876)</f>
        <v>Yes</v>
      </c>
      <c r="M876" s="57" t="str">
        <f>IF(Associates_Call_List_PQ!M876="","",Associates_Call_List_PQ!M876)</f>
        <v>No</v>
      </c>
      <c r="N876" s="57" t="str">
        <f>IF(Associates_Call_List_PQ!N876="","",Associates_Call_List_PQ!N876)</f>
        <v>No</v>
      </c>
      <c r="O876" s="57" t="str">
        <f>IF(Associates_Call_List_PQ!O876="","",Associates_Call_List_PQ!O876)</f>
        <v>Yes</v>
      </c>
      <c r="P876" s="57" t="str">
        <f>IF(Associates_Call_List_PQ!P876="","",Associates_Call_List_PQ!P876)</f>
        <v>N</v>
      </c>
      <c r="Q876" s="57">
        <f>IF(Associates_Call_List_PQ!Q876="","",Associates_Call_List_PQ!Q876)</f>
        <v>45954</v>
      </c>
      <c r="R876" s="57" t="str">
        <f>IF(Associates_Call_List_PQ!R876="","",Associates_Call_List_PQ!R876)</f>
        <v/>
      </c>
      <c r="S876" s="57" t="str">
        <f>IF(Associates_Call_List_PQ!S876="","",Associates_Call_List_PQ!S876)</f>
        <v/>
      </c>
      <c r="T876" s="57" t="str">
        <f>IF(Associates_Call_List_PQ!T876="","",Associates_Call_List_PQ!T876)</f>
        <v/>
      </c>
      <c r="U876" s="57" t="str">
        <f>IF(Associates_Call_List_PQ!U876="","",Associates_Call_List_PQ!U876)</f>
        <v/>
      </c>
      <c r="V876" s="68" t="s">
        <v>5433</v>
      </c>
      <c r="W876" s="68">
        <v>46074</v>
      </c>
      <c r="X876" s="68" t="s">
        <v>5434</v>
      </c>
      <c r="Y876" s="68"/>
      <c r="Z876" s="72" t="s">
        <v>5547</v>
      </c>
    </row>
    <row r="877" spans="1:26">
      <c r="A877" s="71">
        <f>IFERROR(Associates_Call_List_PQ!A877,"")</f>
        <v>45938</v>
      </c>
      <c r="B877" s="57" t="str">
        <f>IF(Associates_Call_List_PQ!B877="","",Associates_Call_List_PQ!B877)</f>
        <v>Rogers</v>
      </c>
      <c r="C877" s="57" t="str">
        <f>IF(Associates_Call_List_PQ!C877="","",Associates_Call_List_PQ!C877)</f>
        <v>Arthur</v>
      </c>
      <c r="D877" s="57" t="str">
        <f>IF(Associates_Call_List_PQ!D877="","",Associates_Call_List_PQ!D877)</f>
        <v>Star Valley</v>
      </c>
      <c r="E877" s="58">
        <f>IF(Associates_Call_List_PQ!E877="","",Associates_Call_List_PQ!E877)</f>
        <v>85541</v>
      </c>
      <c r="F877" s="57" t="str">
        <f>IF(Associates_Call_List_PQ!F877="","",Associates_Call_List_PQ!F877)</f>
        <v>Opposed-APS is attempting to influence legislature</v>
      </c>
      <c r="G877" s="57" t="str">
        <f>IF(Associates_Call_List_PQ!G877="","",Associates_Call_List_PQ!G877)</f>
        <v>https://docket.images.azcc.gov/E000046911.pdf</v>
      </c>
      <c r="H877" s="59" t="str">
        <f>IF(Associates_Call_List_PQ!H877="","",Associates_Call_List_PQ!H877)</f>
        <v xml:space="preserve">3480611000 </v>
      </c>
      <c r="I877" s="57" t="str">
        <f>IF(Associates_Call_List_PQ!I877="","",Associates_Call_List_PQ!I877)</f>
        <v>R-XS</v>
      </c>
      <c r="J877" s="57" t="str">
        <f>IF(Associates_Call_List_PQ!J877="","",Associates_Call_List_PQ!J877)</f>
        <v>No</v>
      </c>
      <c r="K877" s="57" t="str">
        <f>IF(Associates_Call_List_PQ!K877="","",Associates_Call_List_PQ!K877)</f>
        <v>No</v>
      </c>
      <c r="L877" s="57" t="str">
        <f>IF(Associates_Call_List_PQ!L877="","",Associates_Call_List_PQ!L877)</f>
        <v>Yes</v>
      </c>
      <c r="M877" s="57" t="str">
        <f>IF(Associates_Call_List_PQ!M877="","",Associates_Call_List_PQ!M877)</f>
        <v>No</v>
      </c>
      <c r="N877" s="57" t="str">
        <f>IF(Associates_Call_List_PQ!N877="","",Associates_Call_List_PQ!N877)</f>
        <v>No</v>
      </c>
      <c r="O877" s="57" t="str">
        <f>IF(Associates_Call_List_PQ!O877="","",Associates_Call_List_PQ!O877)</f>
        <v>Yes</v>
      </c>
      <c r="P877" s="57" t="str">
        <f>IF(Associates_Call_List_PQ!P877="","",Associates_Call_List_PQ!P877)</f>
        <v>N</v>
      </c>
      <c r="Q877" s="57">
        <f>IF(Associates_Call_List_PQ!Q877="","",Associates_Call_List_PQ!Q877)</f>
        <v>45954</v>
      </c>
      <c r="R877" s="57" t="str">
        <f>IF(Associates_Call_List_PQ!R877="","",Associates_Call_List_PQ!R877)</f>
        <v/>
      </c>
      <c r="S877" s="57" t="str">
        <f>IF(Associates_Call_List_PQ!S877="","",Associates_Call_List_PQ!S877)</f>
        <v/>
      </c>
      <c r="T877" s="57" t="str">
        <f>IF(Associates_Call_List_PQ!T877="","",Associates_Call_List_PQ!T877)</f>
        <v/>
      </c>
      <c r="U877" s="57" t="str">
        <f>IF(Associates_Call_List_PQ!U877="","",Associates_Call_List_PQ!U877)</f>
        <v/>
      </c>
      <c r="V877" s="68"/>
      <c r="W877" s="68" t="s">
        <v>5432</v>
      </c>
      <c r="X877" s="68"/>
      <c r="Y877" s="68"/>
      <c r="Z877" s="72"/>
    </row>
    <row r="878" spans="1:26">
      <c r="A878" s="71">
        <f>IFERROR(Associates_Call_List_PQ!A878,"")</f>
        <v>45939</v>
      </c>
      <c r="B878" s="57" t="str">
        <f>IF(Associates_Call_List_PQ!B878="","",Associates_Call_List_PQ!B878)</f>
        <v>Rademacher</v>
      </c>
      <c r="C878" s="57" t="str">
        <f>IF(Associates_Call_List_PQ!C878="","",Associates_Call_List_PQ!C878)</f>
        <v>Judy</v>
      </c>
      <c r="D878" s="57" t="str">
        <f>IF(Associates_Call_List_PQ!D878="","",Associates_Call_List_PQ!D878)</f>
        <v>Peoria</v>
      </c>
      <c r="E878" s="58">
        <f>IF(Associates_Call_List_PQ!E878="","",Associates_Call_List_PQ!E878)</f>
        <v>85382</v>
      </c>
      <c r="F878" s="57" t="str">
        <f>IF(Associates_Call_List_PQ!F878="","",Associates_Call_List_PQ!F878)</f>
        <v>Opposed-Fixed Income</v>
      </c>
      <c r="G878" s="57" t="str">
        <f>IF(Associates_Call_List_PQ!G878="","",Associates_Call_List_PQ!G878)</f>
        <v>https://docket.images.azcc.gov/E000046911.pdf</v>
      </c>
      <c r="H878" s="59" t="str">
        <f>IF(Associates_Call_List_PQ!H878="","",Associates_Call_List_PQ!H878)</f>
        <v xml:space="preserve">2713960000 </v>
      </c>
      <c r="I878" s="57" t="str">
        <f>IF(Associates_Call_List_PQ!I878="","",Associates_Call_List_PQ!I878)</f>
        <v>R3-47</v>
      </c>
      <c r="J878" s="57" t="str">
        <f>IF(Associates_Call_List_PQ!J878="","",Associates_Call_List_PQ!J878)</f>
        <v>No</v>
      </c>
      <c r="K878" s="57" t="str">
        <f>IF(Associates_Call_List_PQ!K878="","",Associates_Call_List_PQ!K878)</f>
        <v>No</v>
      </c>
      <c r="L878" s="57" t="str">
        <f>IF(Associates_Call_List_PQ!L878="","",Associates_Call_List_PQ!L878)</f>
        <v>Yes</v>
      </c>
      <c r="M878" s="57" t="str">
        <f>IF(Associates_Call_List_PQ!M878="","",Associates_Call_List_PQ!M878)</f>
        <v>No</v>
      </c>
      <c r="N878" s="57" t="str">
        <f>IF(Associates_Call_List_PQ!N878="","",Associates_Call_List_PQ!N878)</f>
        <v>No</v>
      </c>
      <c r="O878" s="57" t="str">
        <f>IF(Associates_Call_List_PQ!O878="","",Associates_Call_List_PQ!O878)</f>
        <v>Yes</v>
      </c>
      <c r="P878" s="57" t="str">
        <f>IF(Associates_Call_List_PQ!P878="","",Associates_Call_List_PQ!P878)</f>
        <v>N</v>
      </c>
      <c r="Q878" s="57">
        <f>IF(Associates_Call_List_PQ!Q878="","",Associates_Call_List_PQ!Q878)</f>
        <v>45954</v>
      </c>
      <c r="R878" s="57" t="str">
        <f>IF(Associates_Call_List_PQ!R878="","",Associates_Call_List_PQ!R878)</f>
        <v/>
      </c>
      <c r="S878" s="57" t="str">
        <f>IF(Associates_Call_List_PQ!S878="","",Associates_Call_List_PQ!S878)</f>
        <v/>
      </c>
      <c r="T878" s="57" t="str">
        <f>IF(Associates_Call_List_PQ!T878="","",Associates_Call_List_PQ!T878)</f>
        <v/>
      </c>
      <c r="U878" s="57" t="str">
        <f>IF(Associates_Call_List_PQ!U878="","",Associates_Call_List_PQ!U878)</f>
        <v/>
      </c>
      <c r="V878" s="68" t="s">
        <v>5433</v>
      </c>
      <c r="W878" s="68">
        <v>46074</v>
      </c>
      <c r="X878" s="68" t="s">
        <v>5434</v>
      </c>
      <c r="Y878" s="68"/>
      <c r="Z878" s="72" t="s">
        <v>5547</v>
      </c>
    </row>
    <row r="879" spans="1:26">
      <c r="A879" s="71">
        <f>IFERROR(Associates_Call_List_PQ!A879,"")</f>
        <v>45940</v>
      </c>
      <c r="B879" s="57" t="str">
        <f>IF(Associates_Call_List_PQ!B879="","",Associates_Call_List_PQ!B879)</f>
        <v>Shroyer</v>
      </c>
      <c r="C879" s="57" t="str">
        <f>IF(Associates_Call_List_PQ!C879="","",Associates_Call_List_PQ!C879)</f>
        <v>Mary Lynee</v>
      </c>
      <c r="D879" s="57" t="str">
        <f>IF(Associates_Call_List_PQ!D879="","",Associates_Call_List_PQ!D879)</f>
        <v>Sun City</v>
      </c>
      <c r="E879" s="58">
        <f>IF(Associates_Call_List_PQ!E879="","",Associates_Call_List_PQ!E879)</f>
        <v>85351</v>
      </c>
      <c r="F879" s="57" t="str">
        <f>IF(Associates_Call_List_PQ!F879="","",Associates_Call_List_PQ!F879)</f>
        <v>Urging you all to vote no on the APS request</v>
      </c>
      <c r="G879" s="57" t="str">
        <f>IF(Associates_Call_List_PQ!G879="","",Associates_Call_List_PQ!G879)</f>
        <v>https://docket.images.azcc.gov/E000046970.pdf</v>
      </c>
      <c r="H879" s="59" t="str">
        <f>IF(Associates_Call_List_PQ!H879="","",Associates_Call_List_PQ!H879)</f>
        <v>1163301000</v>
      </c>
      <c r="I879" s="57" t="str">
        <f>IF(Associates_Call_List_PQ!I879="","",Associates_Call_List_PQ!I879)</f>
        <v>R-XS</v>
      </c>
      <c r="J879" s="57" t="str">
        <f>IF(Associates_Call_List_PQ!J879="","",Associates_Call_List_PQ!J879)</f>
        <v>No</v>
      </c>
      <c r="K879" s="57" t="str">
        <f>IF(Associates_Call_List_PQ!K879="","",Associates_Call_List_PQ!K879)</f>
        <v>No</v>
      </c>
      <c r="L879" s="57" t="str">
        <f>IF(Associates_Call_List_PQ!L879="","",Associates_Call_List_PQ!L879)</f>
        <v>Yes</v>
      </c>
      <c r="M879" s="57" t="str">
        <f>IF(Associates_Call_List_PQ!M879="","",Associates_Call_List_PQ!M879)</f>
        <v>No</v>
      </c>
      <c r="N879" s="57" t="str">
        <f>IF(Associates_Call_List_PQ!N879="","",Associates_Call_List_PQ!N879)</f>
        <v>No</v>
      </c>
      <c r="O879" s="57" t="str">
        <f>IF(Associates_Call_List_PQ!O879="","",Associates_Call_List_PQ!O879)</f>
        <v>Yes</v>
      </c>
      <c r="P879" s="57" t="str">
        <f>IF(Associates_Call_List_PQ!P879="","",Associates_Call_List_PQ!P879)</f>
        <v>N</v>
      </c>
      <c r="Q879" s="57">
        <f>IF(Associates_Call_List_PQ!Q879="","",Associates_Call_List_PQ!Q879)</f>
        <v>45954</v>
      </c>
      <c r="R879" s="57" t="str">
        <f>IF(Associates_Call_List_PQ!R879="","",Associates_Call_List_PQ!R879)</f>
        <v xml:space="preserve">2 SAs </v>
      </c>
      <c r="S879" s="57" t="str">
        <f>IF(Associates_Call_List_PQ!S879="","",Associates_Call_List_PQ!S879)</f>
        <v/>
      </c>
      <c r="T879" s="57" t="str">
        <f>IF(Associates_Call_List_PQ!T879="","",Associates_Call_List_PQ!T879)</f>
        <v/>
      </c>
      <c r="U879" s="57" t="str">
        <f>IF(Associates_Call_List_PQ!U879="","",Associates_Call_List_PQ!U879)</f>
        <v/>
      </c>
      <c r="V879" s="68"/>
      <c r="W879" s="68" t="s">
        <v>5432</v>
      </c>
      <c r="X879" s="68"/>
      <c r="Y879" s="68"/>
      <c r="Z879" s="72"/>
    </row>
    <row r="880" spans="1:26">
      <c r="A880" s="71">
        <f>IFERROR(Associates_Call_List_PQ!A880,"")</f>
        <v>45940</v>
      </c>
      <c r="B880" s="57" t="str">
        <f>IF(Associates_Call_List_PQ!B880="","",Associates_Call_List_PQ!B880)</f>
        <v>Spencer</v>
      </c>
      <c r="C880" s="57" t="str">
        <f>IF(Associates_Call_List_PQ!C880="","",Associates_Call_List_PQ!C880)</f>
        <v>Delaney</v>
      </c>
      <c r="D880" s="57" t="str">
        <f>IF(Associates_Call_List_PQ!D880="","",Associates_Call_List_PQ!D880)</f>
        <v>Florence</v>
      </c>
      <c r="E880" s="58">
        <f>IF(Associates_Call_List_PQ!E880="","",Associates_Call_List_PQ!E880)</f>
        <v>85132</v>
      </c>
      <c r="F880" s="57" t="str">
        <f>IF(Associates_Call_List_PQ!F880="","",Associates_Call_List_PQ!F880)</f>
        <v>Unreasonable ever-increasing rates</v>
      </c>
      <c r="G880" s="57" t="str">
        <f>IF(Associates_Call_List_PQ!G880="","",Associates_Call_List_PQ!G880)</f>
        <v>https://docket.images.azcc.gov/E000046970.pdf</v>
      </c>
      <c r="H880" s="59" t="str">
        <f>IF(Associates_Call_List_PQ!H880="","",Associates_Call_List_PQ!H880)</f>
        <v>1790274066</v>
      </c>
      <c r="I880" s="57" t="str">
        <f>IF(Associates_Call_List_PQ!I880="","",Associates_Call_List_PQ!I880)</f>
        <v>RCPw/R3-47</v>
      </c>
      <c r="J880" s="57" t="str">
        <f>IF(Associates_Call_List_PQ!J880="","",Associates_Call_List_PQ!J880)</f>
        <v>No</v>
      </c>
      <c r="K880" s="57" t="str">
        <f>IF(Associates_Call_List_PQ!K880="","",Associates_Call_List_PQ!K880)</f>
        <v>No</v>
      </c>
      <c r="L880" s="57" t="str">
        <f>IF(Associates_Call_List_PQ!L880="","",Associates_Call_List_PQ!L880)</f>
        <v>Yes</v>
      </c>
      <c r="M880" s="57" t="str">
        <f>IF(Associates_Call_List_PQ!M880="","",Associates_Call_List_PQ!M880)</f>
        <v>No</v>
      </c>
      <c r="N880" s="57" t="str">
        <f>IF(Associates_Call_List_PQ!N880="","",Associates_Call_List_PQ!N880)</f>
        <v>No</v>
      </c>
      <c r="O880" s="57" t="str">
        <f>IF(Associates_Call_List_PQ!O880="","",Associates_Call_List_PQ!O880)</f>
        <v>Yes</v>
      </c>
      <c r="P880" s="57" t="str">
        <f>IF(Associates_Call_List_PQ!P880="","",Associates_Call_List_PQ!P880)</f>
        <v>N</v>
      </c>
      <c r="Q880" s="57">
        <f>IF(Associates_Call_List_PQ!Q880="","",Associates_Call_List_PQ!Q880)</f>
        <v>45954</v>
      </c>
      <c r="R880" s="57" t="str">
        <f>IF(Associates_Call_List_PQ!R880="","",Associates_Call_List_PQ!R880)</f>
        <v/>
      </c>
      <c r="S880" s="57" t="str">
        <f>IF(Associates_Call_List_PQ!S880="","",Associates_Call_List_PQ!S880)</f>
        <v/>
      </c>
      <c r="T880" s="57" t="str">
        <f>IF(Associates_Call_List_PQ!T880="","",Associates_Call_List_PQ!T880)</f>
        <v/>
      </c>
      <c r="U880" s="57" t="str">
        <f>IF(Associates_Call_List_PQ!U880="","",Associates_Call_List_PQ!U880)</f>
        <v/>
      </c>
      <c r="V880" s="68" t="s">
        <v>5433</v>
      </c>
      <c r="W880" s="68">
        <v>46074</v>
      </c>
      <c r="X880" s="68" t="s">
        <v>5405</v>
      </c>
      <c r="Y880" s="68" t="s">
        <v>5461</v>
      </c>
      <c r="Z880" s="72" t="s">
        <v>5658</v>
      </c>
    </row>
    <row r="881" spans="1:26">
      <c r="A881" s="71">
        <f>IFERROR(Associates_Call_List_PQ!A881,"")</f>
        <v>45940</v>
      </c>
      <c r="B881" s="57" t="str">
        <f>IF(Associates_Call_List_PQ!B881="","",Associates_Call_List_PQ!B881)</f>
        <v>Eason</v>
      </c>
      <c r="C881" s="57" t="str">
        <f>IF(Associates_Call_List_PQ!C881="","",Associates_Call_List_PQ!C881)</f>
        <v>Ashley</v>
      </c>
      <c r="D881" s="57" t="str">
        <f>IF(Associates_Call_List_PQ!D881="","",Associates_Call_List_PQ!D881)</f>
        <v>Casa Grande</v>
      </c>
      <c r="E881" s="58">
        <f>IF(Associates_Call_List_PQ!E881="","",Associates_Call_List_PQ!E881)</f>
        <v>85122</v>
      </c>
      <c r="F881" s="57" t="str">
        <f>IF(Associates_Call_List_PQ!F881="","",Associates_Call_List_PQ!F881)</f>
        <v>This rate hike would be deeply burdensome to families, seniors and working individuals</v>
      </c>
      <c r="G881" s="57" t="str">
        <f>IF(Associates_Call_List_PQ!G881="","",Associates_Call_List_PQ!G881)</f>
        <v>https://docket.images.azcc.gov/E000046970.pdf</v>
      </c>
      <c r="H881" s="59" t="str">
        <f>IF(Associates_Call_List_PQ!H881="","",Associates_Call_List_PQ!H881)</f>
        <v>3317467505</v>
      </c>
      <c r="I881" s="57" t="str">
        <f>IF(Associates_Call_List_PQ!I881="","",Associates_Call_List_PQ!I881)</f>
        <v>R3-47</v>
      </c>
      <c r="J881" s="57" t="str">
        <f>IF(Associates_Call_List_PQ!J881="","",Associates_Call_List_PQ!J881)</f>
        <v>No</v>
      </c>
      <c r="K881" s="57" t="str">
        <f>IF(Associates_Call_List_PQ!K881="","",Associates_Call_List_PQ!K881)</f>
        <v>No</v>
      </c>
      <c r="L881" s="57" t="str">
        <f>IF(Associates_Call_List_PQ!L881="","",Associates_Call_List_PQ!L881)</f>
        <v>Yes</v>
      </c>
      <c r="M881" s="57" t="str">
        <f>IF(Associates_Call_List_PQ!M881="","",Associates_Call_List_PQ!M881)</f>
        <v>No</v>
      </c>
      <c r="N881" s="57" t="str">
        <f>IF(Associates_Call_List_PQ!N881="","",Associates_Call_List_PQ!N881)</f>
        <v>No</v>
      </c>
      <c r="O881" s="57" t="str">
        <f>IF(Associates_Call_List_PQ!O881="","",Associates_Call_List_PQ!O881)</f>
        <v>Yes</v>
      </c>
      <c r="P881" s="57" t="str">
        <f>IF(Associates_Call_List_PQ!P881="","",Associates_Call_List_PQ!P881)</f>
        <v>N</v>
      </c>
      <c r="Q881" s="57">
        <f>IF(Associates_Call_List_PQ!Q881="","",Associates_Call_List_PQ!Q881)</f>
        <v>45954</v>
      </c>
      <c r="R881" s="57" t="str">
        <f>IF(Associates_Call_List_PQ!R881="","",Associates_Call_List_PQ!R881)</f>
        <v>Solar Communities</v>
      </c>
      <c r="S881" s="57" t="str">
        <f>IF(Associates_Call_List_PQ!S881="","",Associates_Call_List_PQ!S881)</f>
        <v/>
      </c>
      <c r="T881" s="57" t="str">
        <f>IF(Associates_Call_List_PQ!T881="","",Associates_Call_List_PQ!T881)</f>
        <v/>
      </c>
      <c r="U881" s="57" t="str">
        <f>IF(Associates_Call_List_PQ!U881="","",Associates_Call_List_PQ!U881)</f>
        <v/>
      </c>
      <c r="V881" s="68" t="s">
        <v>5433</v>
      </c>
      <c r="W881" s="68">
        <v>46074</v>
      </c>
      <c r="X881" s="68" t="s">
        <v>5405</v>
      </c>
      <c r="Y881" s="68" t="s">
        <v>5461</v>
      </c>
      <c r="Z881" s="72" t="s">
        <v>5658</v>
      </c>
    </row>
    <row r="882" spans="1:26">
      <c r="A882" s="71">
        <f>IFERROR(Associates_Call_List_PQ!A882,"")</f>
        <v>45940</v>
      </c>
      <c r="B882" s="57" t="str">
        <f>IF(Associates_Call_List_PQ!B882="","",Associates_Call_List_PQ!B882)</f>
        <v>Eason</v>
      </c>
      <c r="C882" s="57" t="str">
        <f>IF(Associates_Call_List_PQ!C882="","",Associates_Call_List_PQ!C882)</f>
        <v>Robert</v>
      </c>
      <c r="D882" s="57" t="str">
        <f>IF(Associates_Call_List_PQ!D882="","",Associates_Call_List_PQ!D882)</f>
        <v>Casa Grande</v>
      </c>
      <c r="E882" s="58">
        <f>IF(Associates_Call_List_PQ!E882="","",Associates_Call_List_PQ!E882)</f>
        <v>85122</v>
      </c>
      <c r="F882" s="57" t="str">
        <f>IF(Associates_Call_List_PQ!F882="","",Associates_Call_List_PQ!F882)</f>
        <v>unreasonable, unjustified, and harmful to Arizona families, schools, and small businesses.</v>
      </c>
      <c r="G882" s="57" t="str">
        <f>IF(Associates_Call_List_PQ!G882="","",Associates_Call_List_PQ!G882)</f>
        <v>https://docket.images.azcc.gov/E000046970.pdf</v>
      </c>
      <c r="H882" s="59" t="str">
        <f>IF(Associates_Call_List_PQ!H882="","",Associates_Call_List_PQ!H882)</f>
        <v>3317467505</v>
      </c>
      <c r="I882" s="57" t="str">
        <f>IF(Associates_Call_List_PQ!I882="","",Associates_Call_List_PQ!I882)</f>
        <v>R3-47</v>
      </c>
      <c r="J882" s="57" t="str">
        <f>IF(Associates_Call_List_PQ!J882="","",Associates_Call_List_PQ!J882)</f>
        <v>No</v>
      </c>
      <c r="K882" s="57" t="str">
        <f>IF(Associates_Call_List_PQ!K882="","",Associates_Call_List_PQ!K882)</f>
        <v>No</v>
      </c>
      <c r="L882" s="57" t="str">
        <f>IF(Associates_Call_List_PQ!L882="","",Associates_Call_List_PQ!L882)</f>
        <v>Yes</v>
      </c>
      <c r="M882" s="57" t="str">
        <f>IF(Associates_Call_List_PQ!M882="","",Associates_Call_List_PQ!M882)</f>
        <v>No</v>
      </c>
      <c r="N882" s="57" t="str">
        <f>IF(Associates_Call_List_PQ!N882="","",Associates_Call_List_PQ!N882)</f>
        <v>No</v>
      </c>
      <c r="O882" s="57" t="str">
        <f>IF(Associates_Call_List_PQ!O882="","",Associates_Call_List_PQ!O882)</f>
        <v>Yes</v>
      </c>
      <c r="P882" s="57" t="str">
        <f>IF(Associates_Call_List_PQ!P882="","",Associates_Call_List_PQ!P882)</f>
        <v>N</v>
      </c>
      <c r="Q882" s="57">
        <f>IF(Associates_Call_List_PQ!Q882="","",Associates_Call_List_PQ!Q882)</f>
        <v>45954</v>
      </c>
      <c r="R882" s="57" t="str">
        <f>IF(Associates_Call_List_PQ!R882="","",Associates_Call_List_PQ!R882)</f>
        <v>Solar Communities</v>
      </c>
      <c r="S882" s="57" t="str">
        <f>IF(Associates_Call_List_PQ!S882="","",Associates_Call_List_PQ!S882)</f>
        <v/>
      </c>
      <c r="T882" s="57" t="str">
        <f>IF(Associates_Call_List_PQ!T882="","",Associates_Call_List_PQ!T882)</f>
        <v/>
      </c>
      <c r="U882" s="57" t="str">
        <f>IF(Associates_Call_List_PQ!U882="","",Associates_Call_List_PQ!U882)</f>
        <v/>
      </c>
      <c r="V882" s="68" t="s">
        <v>5433</v>
      </c>
      <c r="W882" s="68">
        <v>46074</v>
      </c>
      <c r="X882" s="68" t="s">
        <v>5405</v>
      </c>
      <c r="Y882" s="68" t="s">
        <v>5461</v>
      </c>
      <c r="Z882" s="72" t="s">
        <v>5658</v>
      </c>
    </row>
    <row r="883" spans="1:26">
      <c r="A883" s="71">
        <f>IFERROR(Associates_Call_List_PQ!A883,"")</f>
        <v>45942</v>
      </c>
      <c r="B883" s="57" t="str">
        <f>IF(Associates_Call_List_PQ!B883="","",Associates_Call_List_PQ!B883)</f>
        <v>Hall</v>
      </c>
      <c r="C883" s="57" t="str">
        <f>IF(Associates_Call_List_PQ!C883="","",Associates_Call_List_PQ!C883)</f>
        <v>Steven</v>
      </c>
      <c r="D883" s="57" t="str">
        <f>IF(Associates_Call_List_PQ!D883="","",Associates_Call_List_PQ!D883)</f>
        <v>Casa Grande</v>
      </c>
      <c r="E883" s="58">
        <f>IF(Associates_Call_List_PQ!E883="","",Associates_Call_List_PQ!E883)</f>
        <v>85122</v>
      </c>
      <c r="F883" s="57" t="str">
        <f>IF(Associates_Call_List_PQ!F883="","",Associates_Call_List_PQ!F883)</f>
        <v>Rate hike would place an even heavier financial burden on families, seniors, and small businesses across our state.</v>
      </c>
      <c r="G883" s="57" t="str">
        <f>IF(Associates_Call_List_PQ!G883="","",Associates_Call_List_PQ!G883)</f>
        <v>https://docket.images.azcc.gov/E000046970.pdf</v>
      </c>
      <c r="H883" s="59" t="str">
        <f>IF(Associates_Call_List_PQ!H883="","",Associates_Call_List_PQ!H883)</f>
        <v>9713723488</v>
      </c>
      <c r="I883" s="57" t="str">
        <f>IF(Associates_Call_List_PQ!I883="","",Associates_Call_List_PQ!I883)</f>
        <v>R3-47</v>
      </c>
      <c r="J883" s="57" t="str">
        <f>IF(Associates_Call_List_PQ!J883="","",Associates_Call_List_PQ!J883)</f>
        <v>No</v>
      </c>
      <c r="K883" s="57" t="str">
        <f>IF(Associates_Call_List_PQ!K883="","",Associates_Call_List_PQ!K883)</f>
        <v>No</v>
      </c>
      <c r="L883" s="57" t="str">
        <f>IF(Associates_Call_List_PQ!L883="","",Associates_Call_List_PQ!L883)</f>
        <v>Yes</v>
      </c>
      <c r="M883" s="57" t="str">
        <f>IF(Associates_Call_List_PQ!M883="","",Associates_Call_List_PQ!M883)</f>
        <v>No</v>
      </c>
      <c r="N883" s="57" t="str">
        <f>IF(Associates_Call_List_PQ!N883="","",Associates_Call_List_PQ!N883)</f>
        <v>No</v>
      </c>
      <c r="O883" s="57" t="str">
        <f>IF(Associates_Call_List_PQ!O883="","",Associates_Call_List_PQ!O883)</f>
        <v>Yes</v>
      </c>
      <c r="P883" s="57" t="str">
        <f>IF(Associates_Call_List_PQ!P883="","",Associates_Call_List_PQ!P883)</f>
        <v>N</v>
      </c>
      <c r="Q883" s="57">
        <f>IF(Associates_Call_List_PQ!Q883="","",Associates_Call_List_PQ!Q883)</f>
        <v>45954</v>
      </c>
      <c r="R883" s="57" t="str">
        <f>IF(Associates_Call_List_PQ!R883="","",Associates_Call_List_PQ!R883)</f>
        <v/>
      </c>
      <c r="S883" s="57" t="str">
        <f>IF(Associates_Call_List_PQ!S883="","",Associates_Call_List_PQ!S883)</f>
        <v/>
      </c>
      <c r="T883" s="57" t="str">
        <f>IF(Associates_Call_List_PQ!T883="","",Associates_Call_List_PQ!T883)</f>
        <v/>
      </c>
      <c r="U883" s="57" t="str">
        <f>IF(Associates_Call_List_PQ!U883="","",Associates_Call_List_PQ!U883)</f>
        <v/>
      </c>
      <c r="V883" s="68"/>
      <c r="W883" s="68" t="s">
        <v>5432</v>
      </c>
      <c r="X883" s="68"/>
      <c r="Y883" s="68"/>
      <c r="Z883" s="72"/>
    </row>
    <row r="884" spans="1:26">
      <c r="A884" s="71">
        <f>IFERROR(Associates_Call_List_PQ!A884,"")</f>
        <v>45939</v>
      </c>
      <c r="B884" s="57" t="str">
        <f>IF(Associates_Call_List_PQ!B884="","",Associates_Call_List_PQ!B884)</f>
        <v>Quinte</v>
      </c>
      <c r="C884" s="57" t="str">
        <f>IF(Associates_Call_List_PQ!C884="","",Associates_Call_List_PQ!C884)</f>
        <v>Roger</v>
      </c>
      <c r="D884" s="57" t="str">
        <f>IF(Associates_Call_List_PQ!D884="","",Associates_Call_List_PQ!D884)</f>
        <v>Phoenix</v>
      </c>
      <c r="E884" s="58">
        <f>IF(Associates_Call_List_PQ!E884="","",Associates_Call_List_PQ!E884)</f>
        <v>85050</v>
      </c>
      <c r="F884" s="57" t="str">
        <f>IF(Associates_Call_List_PQ!F884="","",Associates_Call_List_PQ!F884)</f>
        <v>Form Letter: Enough is enough! You must reject the latest 14% rate hikes by APS and TEP</v>
      </c>
      <c r="G884" s="57" t="str">
        <f>IF(Associates_Call_List_PQ!G884="","",Associates_Call_List_PQ!G884)</f>
        <v>https://docket.images.azcc.gov/E000046970.pdf</v>
      </c>
      <c r="H884" s="59" t="str">
        <f>IF(Associates_Call_List_PQ!H884="","",Associates_Call_List_PQ!H884)</f>
        <v>2707161000</v>
      </c>
      <c r="I884" s="57" t="str">
        <f>IF(Associates_Call_List_PQ!I884="","",Associates_Call_List_PQ!I884)</f>
        <v>EPR-6w/ECT-2</v>
      </c>
      <c r="J884" s="57" t="str">
        <f>IF(Associates_Call_List_PQ!J884="","",Associates_Call_List_PQ!J884)</f>
        <v>No</v>
      </c>
      <c r="K884" s="57" t="str">
        <f>IF(Associates_Call_List_PQ!K884="","",Associates_Call_List_PQ!K884)</f>
        <v>No</v>
      </c>
      <c r="L884" s="57" t="str">
        <f>IF(Associates_Call_List_PQ!L884="","",Associates_Call_List_PQ!L884)</f>
        <v>Frozen Rate</v>
      </c>
      <c r="M884" s="57" t="str">
        <f>IF(Associates_Call_List_PQ!M884="","",Associates_Call_List_PQ!M884)</f>
        <v>No</v>
      </c>
      <c r="N884" s="57" t="str">
        <f>IF(Associates_Call_List_PQ!N884="","",Associates_Call_List_PQ!N884)</f>
        <v>No</v>
      </c>
      <c r="O884" s="57" t="str">
        <f>IF(Associates_Call_List_PQ!O884="","",Associates_Call_List_PQ!O884)</f>
        <v>Yes</v>
      </c>
      <c r="P884" s="57" t="str">
        <f>IF(Associates_Call_List_PQ!P884="","",Associates_Call_List_PQ!P884)</f>
        <v>N</v>
      </c>
      <c r="Q884" s="57">
        <f>IF(Associates_Call_List_PQ!Q884="","",Associates_Call_List_PQ!Q884)</f>
        <v>45954</v>
      </c>
      <c r="R884" s="57" t="str">
        <f>IF(Associates_Call_List_PQ!R884="","",Associates_Call_List_PQ!R884)</f>
        <v/>
      </c>
      <c r="S884" s="57" t="str">
        <f>IF(Associates_Call_List_PQ!S884="","",Associates_Call_List_PQ!S884)</f>
        <v/>
      </c>
      <c r="T884" s="57" t="str">
        <f>IF(Associates_Call_List_PQ!T884="","",Associates_Call_List_PQ!T884)</f>
        <v/>
      </c>
      <c r="U884" s="57" t="str">
        <f>IF(Associates_Call_List_PQ!U884="","",Associates_Call_List_PQ!U884)</f>
        <v/>
      </c>
      <c r="V884" s="68" t="s">
        <v>5433</v>
      </c>
      <c r="W884" s="68">
        <v>46074</v>
      </c>
      <c r="X884" s="68" t="s">
        <v>5405</v>
      </c>
      <c r="Y884" s="68" t="s">
        <v>5461</v>
      </c>
      <c r="Z884" s="72" t="s">
        <v>5658</v>
      </c>
    </row>
    <row r="885" spans="1:26">
      <c r="A885" s="71">
        <f>IFERROR(Associates_Call_List_PQ!A885,"")</f>
        <v>45940</v>
      </c>
      <c r="B885" s="57" t="str">
        <f>IF(Associates_Call_List_PQ!B885="","",Associates_Call_List_PQ!B885)</f>
        <v>Ratner</v>
      </c>
      <c r="C885" s="57" t="str">
        <f>IF(Associates_Call_List_PQ!C885="","",Associates_Call_List_PQ!C885)</f>
        <v>Sherry</v>
      </c>
      <c r="D885" s="57" t="str">
        <f>IF(Associates_Call_List_PQ!D885="","",Associates_Call_List_PQ!D885)</f>
        <v>Cornville</v>
      </c>
      <c r="E885" s="58">
        <f>IF(Associates_Call_List_PQ!E885="","",Associates_Call_List_PQ!E885)</f>
        <v>86325</v>
      </c>
      <c r="F885" s="57" t="str">
        <f>IF(Associates_Call_List_PQ!F885="","",Associates_Call_List_PQ!F885)</f>
        <v>Low fixed income cannot afford such huge rate increases</v>
      </c>
      <c r="G885" s="57" t="str">
        <f>IF(Associates_Call_List_PQ!G885="","",Associates_Call_List_PQ!G885)</f>
        <v>https://docket.images.azcc.gov/E000046970.pdf</v>
      </c>
      <c r="H885" s="59" t="str">
        <f>IF(Associates_Call_List_PQ!H885="","",Associates_Call_List_PQ!H885)</f>
        <v>4322390000</v>
      </c>
      <c r="I885" s="57" t="str">
        <f>IF(Associates_Call_List_PQ!I885="","",Associates_Call_List_PQ!I885)</f>
        <v>R-XS</v>
      </c>
      <c r="J885" s="57" t="str">
        <f>IF(Associates_Call_List_PQ!J885="","",Associates_Call_List_PQ!J885)</f>
        <v>Yes</v>
      </c>
      <c r="K885" s="57" t="str">
        <f>IF(Associates_Call_List_PQ!K885="","",Associates_Call_List_PQ!K885)</f>
        <v>No</v>
      </c>
      <c r="L885" s="57" t="str">
        <f>IF(Associates_Call_List_PQ!L885="","",Associates_Call_List_PQ!L885)</f>
        <v>NA</v>
      </c>
      <c r="M885" s="57" t="str">
        <f>IF(Associates_Call_List_PQ!M885="","",Associates_Call_List_PQ!M885)</f>
        <v>No</v>
      </c>
      <c r="N885" s="57" t="str">
        <f>IF(Associates_Call_List_PQ!N885="","",Associates_Call_List_PQ!N885)</f>
        <v>No</v>
      </c>
      <c r="O885" s="57" t="str">
        <f>IF(Associates_Call_List_PQ!O885="","",Associates_Call_List_PQ!O885)</f>
        <v>Yes</v>
      </c>
      <c r="P885" s="57" t="str">
        <f>IF(Associates_Call_List_PQ!P885="","",Associates_Call_List_PQ!P885)</f>
        <v>N</v>
      </c>
      <c r="Q885" s="57">
        <f>IF(Associates_Call_List_PQ!Q885="","",Associates_Call_List_PQ!Q885)</f>
        <v>45954</v>
      </c>
      <c r="R885" s="57" t="str">
        <f>IF(Associates_Call_List_PQ!R885="","",Associates_Call_List_PQ!R885)</f>
        <v>Non-AMI customer, has filed multiple ACC complaints and rate case comments over the years</v>
      </c>
      <c r="S885" s="57" t="str">
        <f>IF(Associates_Call_List_PQ!S885="","",Associates_Call_List_PQ!S885)</f>
        <v/>
      </c>
      <c r="T885" s="57" t="str">
        <f>IF(Associates_Call_List_PQ!T885="","",Associates_Call_List_PQ!T885)</f>
        <v/>
      </c>
      <c r="U885" s="57" t="str">
        <f>IF(Associates_Call_List_PQ!U885="","",Associates_Call_List_PQ!U885)</f>
        <v/>
      </c>
      <c r="V885" s="68"/>
      <c r="W885" s="68" t="s">
        <v>5432</v>
      </c>
      <c r="X885" s="68"/>
      <c r="Y885" s="68"/>
      <c r="Z885" s="72"/>
    </row>
    <row r="886" spans="1:26">
      <c r="A886" s="71">
        <f>IFERROR(Associates_Call_List_PQ!A886,"")</f>
        <v>45940</v>
      </c>
      <c r="B886" s="57" t="str">
        <f>IF(Associates_Call_List_PQ!B886="","",Associates_Call_List_PQ!B886)</f>
        <v>Arbizu</v>
      </c>
      <c r="C886" s="57" t="str">
        <f>IF(Associates_Call_List_PQ!C886="","",Associates_Call_List_PQ!C886)</f>
        <v>Angelina</v>
      </c>
      <c r="D886" s="57" t="str">
        <f>IF(Associates_Call_List_PQ!D886="","",Associates_Call_List_PQ!D886)</f>
        <v>Phoenix</v>
      </c>
      <c r="E886" s="58">
        <f>IF(Associates_Call_List_PQ!E886="","",Associates_Call_List_PQ!E886)</f>
        <v>85029</v>
      </c>
      <c r="F886" s="57" t="str">
        <f>IF(Associates_Call_List_PQ!F886="","",Associates_Call_List_PQ!F886)</f>
        <v>Form Letter: Enough is enough! You must reject the latest 14% rate hikes by APS and TEP</v>
      </c>
      <c r="G886" s="57" t="str">
        <f>IF(Associates_Call_List_PQ!G886="","",Associates_Call_List_PQ!G886)</f>
        <v>https://docket.images.azcc.gov/E000046970.pdf</v>
      </c>
      <c r="H886" s="59" t="str">
        <f>IF(Associates_Call_List_PQ!H886="","",Associates_Call_List_PQ!H886)</f>
        <v>9543902054</v>
      </c>
      <c r="I886" s="57" t="str">
        <f>IF(Associates_Call_List_PQ!I886="","",Associates_Call_List_PQ!I886)</f>
        <v>EPR-6w/ET-2</v>
      </c>
      <c r="J886" s="57" t="str">
        <f>IF(Associates_Call_List_PQ!J886="","",Associates_Call_List_PQ!J886)</f>
        <v>No</v>
      </c>
      <c r="K886" s="57" t="str">
        <f>IF(Associates_Call_List_PQ!K886="","",Associates_Call_List_PQ!K886)</f>
        <v>No</v>
      </c>
      <c r="L886" s="57" t="str">
        <f>IF(Associates_Call_List_PQ!L886="","",Associates_Call_List_PQ!L886)</f>
        <v>Frozen Rate</v>
      </c>
      <c r="M886" s="57" t="str">
        <f>IF(Associates_Call_List_PQ!M886="","",Associates_Call_List_PQ!M886)</f>
        <v>Yes</v>
      </c>
      <c r="N886" s="57">
        <f>IF(Associates_Call_List_PQ!N886="","",Associates_Call_List_PQ!N886)</f>
        <v>288.29000000000002</v>
      </c>
      <c r="O886" s="57" t="str">
        <f>IF(Associates_Call_List_PQ!O886="","",Associates_Call_List_PQ!O886)</f>
        <v>Yes</v>
      </c>
      <c r="P886" s="57" t="str">
        <f>IF(Associates_Call_List_PQ!P886="","",Associates_Call_List_PQ!P886)</f>
        <v>N</v>
      </c>
      <c r="Q886" s="57">
        <f>IF(Associates_Call_List_PQ!Q886="","",Associates_Call_List_PQ!Q886)</f>
        <v>45954</v>
      </c>
      <c r="R886" s="57" t="str">
        <f>IF(Associates_Call_List_PQ!R886="","",Associates_Call_List_PQ!R886)</f>
        <v/>
      </c>
      <c r="S886" s="57" t="str">
        <f>IF(Associates_Call_List_PQ!S886="","",Associates_Call_List_PQ!S886)</f>
        <v/>
      </c>
      <c r="T886" s="57" t="str">
        <f>IF(Associates_Call_List_PQ!T886="","",Associates_Call_List_PQ!T886)</f>
        <v/>
      </c>
      <c r="U886" s="57" t="str">
        <f>IF(Associates_Call_List_PQ!U886="","",Associates_Call_List_PQ!U886)</f>
        <v/>
      </c>
      <c r="V886" s="68" t="s">
        <v>5433</v>
      </c>
      <c r="W886" s="68">
        <v>45997</v>
      </c>
      <c r="X886" s="68" t="s">
        <v>5434</v>
      </c>
      <c r="Y886" s="68"/>
      <c r="Z886" s="72" t="s">
        <v>5503</v>
      </c>
    </row>
    <row r="887" spans="1:26">
      <c r="A887" s="71">
        <f>IFERROR(Associates_Call_List_PQ!A887,"")</f>
        <v>45940</v>
      </c>
      <c r="B887" s="57" t="str">
        <f>IF(Associates_Call_List_PQ!B887="","",Associates_Call_List_PQ!B887)</f>
        <v>Myers</v>
      </c>
      <c r="C887" s="57" t="str">
        <f>IF(Associates_Call_List_PQ!C887="","",Associates_Call_List_PQ!C887)</f>
        <v>Brenda</v>
      </c>
      <c r="D887" s="57" t="str">
        <f>IF(Associates_Call_List_PQ!D887="","",Associates_Call_List_PQ!D887)</f>
        <v>Sun City</v>
      </c>
      <c r="E887" s="58">
        <f>IF(Associates_Call_List_PQ!E887="","",Associates_Call_List_PQ!E887)</f>
        <v>85373</v>
      </c>
      <c r="F887" s="57" t="str">
        <f>IF(Associates_Call_List_PQ!F887="","",Associates_Call_List_PQ!F887)</f>
        <v>Form Letter: Enough is enough! You must reject the latest 14% rate hikes by APS and TEP</v>
      </c>
      <c r="G887" s="57" t="str">
        <f>IF(Associates_Call_List_PQ!G887="","",Associates_Call_List_PQ!G887)</f>
        <v>https://docket.images.azcc.gov/E000046970.pdf</v>
      </c>
      <c r="H887" s="59" t="str">
        <f>IF(Associates_Call_List_PQ!H887="","",Associates_Call_List_PQ!H887)</f>
        <v>4057076823</v>
      </c>
      <c r="I887" s="57" t="str">
        <f>IF(Associates_Call_List_PQ!I887="","",Associates_Call_List_PQ!I887)</f>
        <v>R-BASICL</v>
      </c>
      <c r="J887" s="57" t="str">
        <f>IF(Associates_Call_List_PQ!J887="","",Associates_Call_List_PQ!J887)</f>
        <v>Yes</v>
      </c>
      <c r="K887" s="57" t="str">
        <f>IF(Associates_Call_List_PQ!K887="","",Associates_Call_List_PQ!K887)</f>
        <v>No</v>
      </c>
      <c r="L887" s="57" t="str">
        <f>IF(Associates_Call_List_PQ!L887="","",Associates_Call_List_PQ!L887)</f>
        <v xml:space="preserve">No MEP R3-47 ($272.50) </v>
      </c>
      <c r="M887" s="57" t="str">
        <f>IF(Associates_Call_List_PQ!M887="","",Associates_Call_List_PQ!M887)</f>
        <v>No</v>
      </c>
      <c r="N887" s="57" t="str">
        <f>IF(Associates_Call_List_PQ!N887="","",Associates_Call_List_PQ!N887)</f>
        <v>No</v>
      </c>
      <c r="O887" s="57" t="str">
        <f>IF(Associates_Call_List_PQ!O887="","",Associates_Call_List_PQ!O887)</f>
        <v>Yes</v>
      </c>
      <c r="P887" s="57">
        <f>IF(Associates_Call_List_PQ!P887="","",Associates_Call_List_PQ!P887)</f>
        <v>45945</v>
      </c>
      <c r="Q887" s="57">
        <f>IF(Associates_Call_List_PQ!Q887="","",Associates_Call_List_PQ!Q887)</f>
        <v>45954</v>
      </c>
      <c r="R887" s="57" t="str">
        <f>IF(Associates_Call_List_PQ!R887="","",Associates_Call_List_PQ!R887)</f>
        <v>10/15 Left VM</v>
      </c>
      <c r="S887" s="57" t="str">
        <f>IF(Associates_Call_List_PQ!S887="","",Associates_Call_List_PQ!S887)</f>
        <v/>
      </c>
      <c r="T887" s="57" t="str">
        <f>IF(Associates_Call_List_PQ!T887="","",Associates_Call_List_PQ!T887)</f>
        <v/>
      </c>
      <c r="U887" s="57" t="str">
        <f>IF(Associates_Call_List_PQ!U887="","",Associates_Call_List_PQ!U887)</f>
        <v/>
      </c>
      <c r="V887" s="68" t="s">
        <v>5433</v>
      </c>
      <c r="W887" s="68">
        <v>46032</v>
      </c>
      <c r="X887" s="68" t="s">
        <v>5434</v>
      </c>
      <c r="Y887" s="68"/>
      <c r="Z887" s="72" t="s">
        <v>5449</v>
      </c>
    </row>
    <row r="888" spans="1:26">
      <c r="A888" s="71">
        <f>IFERROR(Associates_Call_List_PQ!A888,"")</f>
        <v>45940</v>
      </c>
      <c r="B888" s="57" t="str">
        <f>IF(Associates_Call_List_PQ!B888="","",Associates_Call_List_PQ!B888)</f>
        <v>Holcombe</v>
      </c>
      <c r="C888" s="57" t="str">
        <f>IF(Associates_Call_List_PQ!C888="","",Associates_Call_List_PQ!C888)</f>
        <v>Gene</v>
      </c>
      <c r="D888" s="57" t="str">
        <f>IF(Associates_Call_List_PQ!D888="","",Associates_Call_List_PQ!D888)</f>
        <v>Cave Creek</v>
      </c>
      <c r="E888" s="58">
        <f>IF(Associates_Call_List_PQ!E888="","",Associates_Call_List_PQ!E888)</f>
        <v>85331</v>
      </c>
      <c r="F888" s="57" t="str">
        <f>IF(Associates_Call_List_PQ!F888="","",Associates_Call_List_PQ!F888)</f>
        <v>Form Letter: Enough is enough! You must reject the latest 14% rate hikes by APS and TEP</v>
      </c>
      <c r="G888" s="57" t="str">
        <f>IF(Associates_Call_List_PQ!G888="","",Associates_Call_List_PQ!G888)</f>
        <v>https://docket.images.azcc.gov/E000046970.pdf</v>
      </c>
      <c r="H888" s="59" t="str">
        <f>IF(Associates_Call_List_PQ!H888="","",Associates_Call_List_PQ!H888)</f>
        <v>2725650087</v>
      </c>
      <c r="I888" s="57" t="str">
        <f>IF(Associates_Call_List_PQ!I888="","",Associates_Call_List_PQ!I888)</f>
        <v>RCPw/RTOUE47</v>
      </c>
      <c r="J888" s="57" t="str">
        <f>IF(Associates_Call_List_PQ!J888="","",Associates_Call_List_PQ!J888)</f>
        <v>No</v>
      </c>
      <c r="K888" s="57" t="str">
        <f>IF(Associates_Call_List_PQ!K888="","",Associates_Call_List_PQ!K888)</f>
        <v>No</v>
      </c>
      <c r="L888" s="57" t="str">
        <f>IF(Associates_Call_List_PQ!L888="","",Associates_Call_List_PQ!L888)</f>
        <v>Not eligible yet (needs 3 months)</v>
      </c>
      <c r="M888" s="57" t="str">
        <f>IF(Associates_Call_List_PQ!M888="","",Associates_Call_List_PQ!M888)</f>
        <v>No</v>
      </c>
      <c r="N888" s="57" t="str">
        <f>IF(Associates_Call_List_PQ!N888="","",Associates_Call_List_PQ!N888)</f>
        <v>No</v>
      </c>
      <c r="O888" s="57" t="str">
        <f>IF(Associates_Call_List_PQ!O888="","",Associates_Call_List_PQ!O888)</f>
        <v>Yes</v>
      </c>
      <c r="P888" s="57" t="str">
        <f>IF(Associates_Call_List_PQ!P888="","",Associates_Call_List_PQ!P888)</f>
        <v>N</v>
      </c>
      <c r="Q888" s="57">
        <f>IF(Associates_Call_List_PQ!Q888="","",Associates_Call_List_PQ!Q888)</f>
        <v>45954</v>
      </c>
      <c r="R888" s="57" t="str">
        <f>IF(Associates_Call_List_PQ!R888="","",Associates_Call_List_PQ!R888)</f>
        <v>Only 3  months in new location and 2 months since solar was installed. Requested rate online 10/8 - moving to R3-47</v>
      </c>
      <c r="S888" s="57" t="str">
        <f>IF(Associates_Call_List_PQ!S888="","",Associates_Call_List_PQ!S888)</f>
        <v/>
      </c>
      <c r="T888" s="57" t="str">
        <f>IF(Associates_Call_List_PQ!T888="","",Associates_Call_List_PQ!T888)</f>
        <v/>
      </c>
      <c r="U888" s="57" t="str">
        <f>IF(Associates_Call_List_PQ!U888="","",Associates_Call_List_PQ!U888)</f>
        <v/>
      </c>
      <c r="V888" s="68" t="s">
        <v>5433</v>
      </c>
      <c r="W888" s="68">
        <v>46053</v>
      </c>
      <c r="X888" s="68" t="s">
        <v>5405</v>
      </c>
      <c r="Y888" s="68" t="s">
        <v>5461</v>
      </c>
      <c r="Z888" s="72"/>
    </row>
    <row r="889" spans="1:26">
      <c r="A889" s="71">
        <f>IFERROR(Associates_Call_List_PQ!A889,"")</f>
        <v>45940</v>
      </c>
      <c r="B889" s="57" t="str">
        <f>IF(Associates_Call_List_PQ!B889="","",Associates_Call_List_PQ!B889)</f>
        <v>Ogledzinski</v>
      </c>
      <c r="C889" s="57" t="str">
        <f>IF(Associates_Call_List_PQ!C889="","",Associates_Call_List_PQ!C889)</f>
        <v>Debra</v>
      </c>
      <c r="D889" s="57" t="str">
        <f>IF(Associates_Call_List_PQ!D889="","",Associates_Call_List_PQ!D889)</f>
        <v>Phoenix</v>
      </c>
      <c r="E889" s="58">
        <f>IF(Associates_Call_List_PQ!E889="","",Associates_Call_List_PQ!E889)</f>
        <v>85050</v>
      </c>
      <c r="F889" s="57" t="str">
        <f>IF(Associates_Call_List_PQ!F889="","",Associates_Call_List_PQ!F889)</f>
        <v>Form Letter: Enough is enough! You must reject the latest 14% rate hikes by APS and TEP</v>
      </c>
      <c r="G889" s="57" t="str">
        <f>IF(Associates_Call_List_PQ!G889="","",Associates_Call_List_PQ!G889)</f>
        <v>https://docket.images.azcc.gov/E000046970.pdf</v>
      </c>
      <c r="H889" s="59" t="str">
        <f>IF(Associates_Call_List_PQ!H889="","",Associates_Call_List_PQ!H889)</f>
        <v>9804331000</v>
      </c>
      <c r="I889" s="57" t="str">
        <f>IF(Associates_Call_List_PQ!I889="","",Associates_Call_List_PQ!I889)</f>
        <v>R-2</v>
      </c>
      <c r="J889" s="57" t="str">
        <f>IF(Associates_Call_List_PQ!J889="","",Associates_Call_List_PQ!J889)</f>
        <v>No</v>
      </c>
      <c r="K889" s="57" t="str">
        <f>IF(Associates_Call_List_PQ!K889="","",Associates_Call_List_PQ!K889)</f>
        <v>No</v>
      </c>
      <c r="L889" s="57" t="str">
        <f>IF(Associates_Call_List_PQ!L889="","",Associates_Call_List_PQ!L889)</f>
        <v>Frozen Rate</v>
      </c>
      <c r="M889" s="57" t="str">
        <f>IF(Associates_Call_List_PQ!M889="","",Associates_Call_List_PQ!M889)</f>
        <v>No</v>
      </c>
      <c r="N889" s="57" t="str">
        <f>IF(Associates_Call_List_PQ!N889="","",Associates_Call_List_PQ!N889)</f>
        <v>No</v>
      </c>
      <c r="O889" s="57" t="str">
        <f>IF(Associates_Call_List_PQ!O889="","",Associates_Call_List_PQ!O889)</f>
        <v>Yes</v>
      </c>
      <c r="P889" s="57" t="str">
        <f>IF(Associates_Call_List_PQ!P889="","",Associates_Call_List_PQ!P889)</f>
        <v>N</v>
      </c>
      <c r="Q889" s="57">
        <f>IF(Associates_Call_List_PQ!Q889="","",Associates_Call_List_PQ!Q889)</f>
        <v>45954</v>
      </c>
      <c r="R889" s="57" t="str">
        <f>IF(Associates_Call_List_PQ!R889="","",Associates_Call_List_PQ!R889)</f>
        <v/>
      </c>
      <c r="S889" s="57" t="str">
        <f>IF(Associates_Call_List_PQ!S889="","",Associates_Call_List_PQ!S889)</f>
        <v/>
      </c>
      <c r="T889" s="57" t="str">
        <f>IF(Associates_Call_List_PQ!T889="","",Associates_Call_List_PQ!T889)</f>
        <v/>
      </c>
      <c r="U889" s="57" t="str">
        <f>IF(Associates_Call_List_PQ!U889="","",Associates_Call_List_PQ!U889)</f>
        <v/>
      </c>
      <c r="V889" s="68"/>
      <c r="W889" s="68" t="s">
        <v>5432</v>
      </c>
      <c r="X889" s="68"/>
      <c r="Y889" s="68"/>
      <c r="Z889" s="72"/>
    </row>
    <row r="890" spans="1:26">
      <c r="A890" s="71">
        <f>IFERROR(Associates_Call_List_PQ!A890,"")</f>
        <v>45940</v>
      </c>
      <c r="B890" s="57" t="str">
        <f>IF(Associates_Call_List_PQ!B890="","",Associates_Call_List_PQ!B890)</f>
        <v>Youngker</v>
      </c>
      <c r="C890" s="57" t="str">
        <f>IF(Associates_Call_List_PQ!C890="","",Associates_Call_List_PQ!C890)</f>
        <v>Virginia</v>
      </c>
      <c r="D890" s="57" t="str">
        <f>IF(Associates_Call_List_PQ!D890="","",Associates_Call_List_PQ!D890)</f>
        <v>Scottsdale</v>
      </c>
      <c r="E890" s="58">
        <f>IF(Associates_Call_List_PQ!E890="","",Associates_Call_List_PQ!E890)</f>
        <v>85254</v>
      </c>
      <c r="F890" s="57" t="str">
        <f>IF(Associates_Call_List_PQ!F890="","",Associates_Call_List_PQ!F890)</f>
        <v>Form Letter: Enough is enough! You must reject the latest 14% rate hikes by APS and TEP</v>
      </c>
      <c r="G890" s="57" t="str">
        <f>IF(Associates_Call_List_PQ!G890="","",Associates_Call_List_PQ!G890)</f>
        <v>https://docket.images.azcc.gov/E000046970.pdf</v>
      </c>
      <c r="H890" s="59" t="str">
        <f>IF(Associates_Call_List_PQ!H890="","",Associates_Call_List_PQ!H890)</f>
        <v>5596059869</v>
      </c>
      <c r="I890" s="57" t="str">
        <f>IF(Associates_Call_List_PQ!I890="","",Associates_Call_List_PQ!I890)</f>
        <v>RTOUE47</v>
      </c>
      <c r="J890" s="57" t="str">
        <f>IF(Associates_Call_List_PQ!J890="","",Associates_Call_List_PQ!J890)</f>
        <v>No</v>
      </c>
      <c r="K890" s="57" t="str">
        <f>IF(Associates_Call_List_PQ!K890="","",Associates_Call_List_PQ!K890)</f>
        <v>No</v>
      </c>
      <c r="L890" s="57" t="str">
        <f>IF(Associates_Call_List_PQ!L890="","",Associates_Call_List_PQ!L890)</f>
        <v>No MEP R3-47 ($991.58)</v>
      </c>
      <c r="M890" s="57" t="str">
        <f>IF(Associates_Call_List_PQ!M890="","",Associates_Call_List_PQ!M890)</f>
        <v>Yes</v>
      </c>
      <c r="N890" s="57">
        <f>IF(Associates_Call_List_PQ!N890="","",Associates_Call_List_PQ!N890)</f>
        <v>2463.12</v>
      </c>
      <c r="O890" s="57" t="str">
        <f>IF(Associates_Call_List_PQ!O890="","",Associates_Call_List_PQ!O890)</f>
        <v>Yes</v>
      </c>
      <c r="P890" s="57">
        <f>IF(Associates_Call_List_PQ!P890="","",Associates_Call_List_PQ!P890)</f>
        <v>45945</v>
      </c>
      <c r="Q890" s="57">
        <f>IF(Associates_Call_List_PQ!Q890="","",Associates_Call_List_PQ!Q890)</f>
        <v>45954</v>
      </c>
      <c r="R890" s="57" t="str">
        <f>IF(Associates_Call_List_PQ!R890="","",Associates_Call_List_PQ!R890)</f>
        <v>10/15 Left VM, payment history shows several missed payments and broken PAs</v>
      </c>
      <c r="S890" s="57" t="str">
        <f>IF(Associates_Call_List_PQ!S890="","",Associates_Call_List_PQ!S890)</f>
        <v/>
      </c>
      <c r="T890" s="57" t="str">
        <f>IF(Associates_Call_List_PQ!T890="","",Associates_Call_List_PQ!T890)</f>
        <v/>
      </c>
      <c r="U890" s="57" t="str">
        <f>IF(Associates_Call_List_PQ!U890="","",Associates_Call_List_PQ!U890)</f>
        <v/>
      </c>
      <c r="V890" s="68" t="s">
        <v>5433</v>
      </c>
      <c r="W890" s="68">
        <v>46032</v>
      </c>
      <c r="X890" s="68"/>
      <c r="Y890" s="68" t="s">
        <v>5463</v>
      </c>
      <c r="Z890" s="72" t="s">
        <v>5638</v>
      </c>
    </row>
    <row r="891" spans="1:26">
      <c r="A891" s="71">
        <f>IFERROR(Associates_Call_List_PQ!A891,"")</f>
        <v>45944</v>
      </c>
      <c r="B891" s="57" t="str">
        <f>IF(Associates_Call_List_PQ!B891="","",Associates_Call_List_PQ!B891)</f>
        <v>Hartley</v>
      </c>
      <c r="C891" s="57" t="str">
        <f>IF(Associates_Call_List_PQ!C891="","",Associates_Call_List_PQ!C891)</f>
        <v>Collene</v>
      </c>
      <c r="D891" s="57" t="str">
        <f>IF(Associates_Call_List_PQ!D891="","",Associates_Call_List_PQ!D891)</f>
        <v>Phoenix</v>
      </c>
      <c r="E891" s="58">
        <f>IF(Associates_Call_List_PQ!E891="","",Associates_Call_List_PQ!E891)</f>
        <v>85032</v>
      </c>
      <c r="F891" s="57" t="str">
        <f>IF(Associates_Call_List_PQ!F891="","",Associates_Call_List_PQ!F891)</f>
        <v>Form Letter: Enough is enough! You must reject the latest 14% rate hikes by APS and TEP</v>
      </c>
      <c r="G891" s="57" t="str">
        <f>IF(Associates_Call_List_PQ!G891="","",Associates_Call_List_PQ!G891)</f>
        <v>https://docket.images.azcc.gov/E000046988.pdf</v>
      </c>
      <c r="H891" s="59" t="str">
        <f>IF(Associates_Call_List_PQ!H891="","",Associates_Call_List_PQ!H891)</f>
        <v>5687941000</v>
      </c>
      <c r="I891" s="57" t="str">
        <f>IF(Associates_Call_List_PQ!I891="","",Associates_Call_List_PQ!I891)</f>
        <v>R3-47</v>
      </c>
      <c r="J891" s="57" t="str">
        <f>IF(Associates_Call_List_PQ!J891="","",Associates_Call_List_PQ!J891)</f>
        <v>No</v>
      </c>
      <c r="K891" s="57" t="str">
        <f>IF(Associates_Call_List_PQ!K891="","",Associates_Call_List_PQ!K891)</f>
        <v>No</v>
      </c>
      <c r="L891" s="57" t="str">
        <f>IF(Associates_Call_List_PQ!L891="","",Associates_Call_List_PQ!L891)</f>
        <v>Y</v>
      </c>
      <c r="M891" s="57" t="str">
        <f>IF(Associates_Call_List_PQ!M891="","",Associates_Call_List_PQ!M891)</f>
        <v>No</v>
      </c>
      <c r="N891" s="57" t="str">
        <f>IF(Associates_Call_List_PQ!N891="","",Associates_Call_List_PQ!N891)</f>
        <v>No</v>
      </c>
      <c r="O891" s="57" t="str">
        <f>IF(Associates_Call_List_PQ!O891="","",Associates_Call_List_PQ!O891)</f>
        <v>Yes</v>
      </c>
      <c r="P891" s="57" t="str">
        <f>IF(Associates_Call_List_PQ!P891="","",Associates_Call_List_PQ!P891)</f>
        <v>N</v>
      </c>
      <c r="Q891" s="57">
        <f>IF(Associates_Call_List_PQ!Q891="","",Associates_Call_List_PQ!Q891)</f>
        <v>45954</v>
      </c>
      <c r="R891" s="57" t="str">
        <f>IF(Associates_Call_List_PQ!R891="","",Associates_Call_List_PQ!R891)</f>
        <v/>
      </c>
      <c r="S891" s="57" t="str">
        <f>IF(Associates_Call_List_PQ!S891="","",Associates_Call_List_PQ!S891)</f>
        <v/>
      </c>
      <c r="T891" s="57" t="str">
        <f>IF(Associates_Call_List_PQ!T891="","",Associates_Call_List_PQ!T891)</f>
        <v/>
      </c>
      <c r="U891" s="57" t="str">
        <f>IF(Associates_Call_List_PQ!U891="","",Associates_Call_List_PQ!U891)</f>
        <v/>
      </c>
      <c r="V891" s="68"/>
      <c r="W891" s="68" t="s">
        <v>5432</v>
      </c>
      <c r="X891" s="68"/>
      <c r="Y891" s="68"/>
      <c r="Z891" s="72"/>
    </row>
    <row r="892" spans="1:26">
      <c r="A892" s="71">
        <f>IFERROR(Associates_Call_List_PQ!A892,"")</f>
        <v>45944</v>
      </c>
      <c r="B892" s="57" t="str">
        <f>IF(Associates_Call_List_PQ!B892="","",Associates_Call_List_PQ!B892)</f>
        <v>Warnecke</v>
      </c>
      <c r="C892" s="57" t="str">
        <f>IF(Associates_Call_List_PQ!C892="","",Associates_Call_List_PQ!C892)</f>
        <v>Kristi</v>
      </c>
      <c r="D892" s="57" t="str">
        <f>IF(Associates_Call_List_PQ!D892="","",Associates_Call_List_PQ!D892)</f>
        <v>Sun City</v>
      </c>
      <c r="E892" s="58">
        <f>IF(Associates_Call_List_PQ!E892="","",Associates_Call_List_PQ!E892)</f>
        <v>85351</v>
      </c>
      <c r="F892" s="57" t="str">
        <f>IF(Associates_Call_List_PQ!F892="","",Associates_Call_List_PQ!F892)</f>
        <v>Senior on fixed income, could be choosing between air conditioning and medicine</v>
      </c>
      <c r="G892" s="57" t="str">
        <f>IF(Associates_Call_List_PQ!G892="","",Associates_Call_List_PQ!G892)</f>
        <v>https://docket.images.azcc.gov/E000046988.pdf</v>
      </c>
      <c r="H892" s="59" t="str">
        <f>IF(Associates_Call_List_PQ!H892="","",Associates_Call_List_PQ!H892)</f>
        <v>4095570000</v>
      </c>
      <c r="I892" s="57" t="str">
        <f>IF(Associates_Call_List_PQ!I892="","",Associates_Call_List_PQ!I892)</f>
        <v>R3-47</v>
      </c>
      <c r="J892" s="57" t="str">
        <f>IF(Associates_Call_List_PQ!J892="","",Associates_Call_List_PQ!J892)</f>
        <v>No</v>
      </c>
      <c r="K892" s="57" t="str">
        <f>IF(Associates_Call_List_PQ!K892="","",Associates_Call_List_PQ!K892)</f>
        <v>No</v>
      </c>
      <c r="L892" s="57" t="str">
        <f>IF(Associates_Call_List_PQ!L892="","",Associates_Call_List_PQ!L892)</f>
        <v>Y</v>
      </c>
      <c r="M892" s="57" t="str">
        <f>IF(Associates_Call_List_PQ!M892="","",Associates_Call_List_PQ!M892)</f>
        <v>No</v>
      </c>
      <c r="N892" s="57" t="str">
        <f>IF(Associates_Call_List_PQ!N892="","",Associates_Call_List_PQ!N892)</f>
        <v>No</v>
      </c>
      <c r="O892" s="57" t="str">
        <f>IF(Associates_Call_List_PQ!O892="","",Associates_Call_List_PQ!O892)</f>
        <v>Yes</v>
      </c>
      <c r="P892" s="57" t="str">
        <f>IF(Associates_Call_List_PQ!P892="","",Associates_Call_List_PQ!P892)</f>
        <v>N</v>
      </c>
      <c r="Q892" s="57">
        <f>IF(Associates_Call_List_PQ!Q892="","",Associates_Call_List_PQ!Q892)</f>
        <v>45954</v>
      </c>
      <c r="R892" s="57" t="str">
        <f>IF(Associates_Call_List_PQ!R892="","",Associates_Call_List_PQ!R892)</f>
        <v/>
      </c>
      <c r="S892" s="57" t="str">
        <f>IF(Associates_Call_List_PQ!S892="","",Associates_Call_List_PQ!S892)</f>
        <v/>
      </c>
      <c r="T892" s="57" t="str">
        <f>IF(Associates_Call_List_PQ!T892="","",Associates_Call_List_PQ!T892)</f>
        <v/>
      </c>
      <c r="U892" s="57" t="str">
        <f>IF(Associates_Call_List_PQ!U892="","",Associates_Call_List_PQ!U892)</f>
        <v/>
      </c>
      <c r="V892" s="68" t="s">
        <v>5433</v>
      </c>
      <c r="W892" s="68">
        <v>46067</v>
      </c>
      <c r="X892" s="68" t="s">
        <v>5405</v>
      </c>
      <c r="Y892" s="68"/>
      <c r="Z892" s="72" t="s">
        <v>5638</v>
      </c>
    </row>
    <row r="893" spans="1:26">
      <c r="A893" s="71">
        <f>IFERROR(Associates_Call_List_PQ!A893,"")</f>
        <v>45944</v>
      </c>
      <c r="B893" s="57" t="str">
        <f>IF(Associates_Call_List_PQ!B893="","",Associates_Call_List_PQ!B893)</f>
        <v>Noffsinger</v>
      </c>
      <c r="C893" s="57" t="str">
        <f>IF(Associates_Call_List_PQ!C893="","",Associates_Call_List_PQ!C893)</f>
        <v>Jerry</v>
      </c>
      <c r="D893" s="57" t="str">
        <f>IF(Associates_Call_List_PQ!D893="","",Associates_Call_List_PQ!D893)</f>
        <v>Sun City</v>
      </c>
      <c r="E893" s="58">
        <f>IF(Associates_Call_List_PQ!E893="","",Associates_Call_List_PQ!E893)</f>
        <v>85351</v>
      </c>
      <c r="F893" s="57" t="str">
        <f>IF(Associates_Call_List_PQ!F893="","",Associates_Call_List_PQ!F893)</f>
        <v>Senior on fixed income, could be choosing between air conditioning and medicine</v>
      </c>
      <c r="G893" s="57" t="str">
        <f>IF(Associates_Call_List_PQ!G893="","",Associates_Call_List_PQ!G893)</f>
        <v>https://docket.images.azcc.gov/E000046988.pdf</v>
      </c>
      <c r="H893" s="59" t="str">
        <f>IF(Associates_Call_List_PQ!H893="","",Associates_Call_List_PQ!H893)</f>
        <v>4095570000</v>
      </c>
      <c r="I893" s="57" t="str">
        <f>IF(Associates_Call_List_PQ!I893="","",Associates_Call_List_PQ!I893)</f>
        <v>R3-47</v>
      </c>
      <c r="J893" s="57" t="str">
        <f>IF(Associates_Call_List_PQ!J893="","",Associates_Call_List_PQ!J893)</f>
        <v>No</v>
      </c>
      <c r="K893" s="57" t="str">
        <f>IF(Associates_Call_List_PQ!K893="","",Associates_Call_List_PQ!K893)</f>
        <v>No</v>
      </c>
      <c r="L893" s="57" t="str">
        <f>IF(Associates_Call_List_PQ!L893="","",Associates_Call_List_PQ!L893)</f>
        <v>Y</v>
      </c>
      <c r="M893" s="57" t="str">
        <f>IF(Associates_Call_List_PQ!M893="","",Associates_Call_List_PQ!M893)</f>
        <v>No</v>
      </c>
      <c r="N893" s="57" t="str">
        <f>IF(Associates_Call_List_PQ!N893="","",Associates_Call_List_PQ!N893)</f>
        <v>No</v>
      </c>
      <c r="O893" s="57" t="str">
        <f>IF(Associates_Call_List_PQ!O893="","",Associates_Call_List_PQ!O893)</f>
        <v>Yes</v>
      </c>
      <c r="P893" s="57" t="str">
        <f>IF(Associates_Call_List_PQ!P893="","",Associates_Call_List_PQ!P893)</f>
        <v>N</v>
      </c>
      <c r="Q893" s="57">
        <f>IF(Associates_Call_List_PQ!Q893="","",Associates_Call_List_PQ!Q893)</f>
        <v>45954</v>
      </c>
      <c r="R893" s="57" t="str">
        <f>IF(Associates_Call_List_PQ!R893="","",Associates_Call_List_PQ!R893)</f>
        <v/>
      </c>
      <c r="S893" s="57" t="str">
        <f>IF(Associates_Call_List_PQ!S893="","",Associates_Call_List_PQ!S893)</f>
        <v/>
      </c>
      <c r="T893" s="57" t="str">
        <f>IF(Associates_Call_List_PQ!T893="","",Associates_Call_List_PQ!T893)</f>
        <v/>
      </c>
      <c r="U893" s="57" t="str">
        <f>IF(Associates_Call_List_PQ!U893="","",Associates_Call_List_PQ!U893)</f>
        <v/>
      </c>
      <c r="V893" s="68" t="s">
        <v>5433</v>
      </c>
      <c r="W893" s="68">
        <v>46067</v>
      </c>
      <c r="X893" s="68" t="s">
        <v>5405</v>
      </c>
      <c r="Y893" s="68" t="s">
        <v>5461</v>
      </c>
      <c r="Z893" s="72" t="s">
        <v>5660</v>
      </c>
    </row>
    <row r="894" spans="1:26">
      <c r="A894" s="71">
        <f>IFERROR(Associates_Call_List_PQ!A894,"")</f>
        <v>45944</v>
      </c>
      <c r="B894" s="57" t="str">
        <f>IF(Associates_Call_List_PQ!B894="","",Associates_Call_List_PQ!B894)</f>
        <v>Ratner</v>
      </c>
      <c r="C894" s="57" t="str">
        <f>IF(Associates_Call_List_PQ!C894="","",Associates_Call_List_PQ!C894)</f>
        <v>Sherry</v>
      </c>
      <c r="D894" s="57" t="str">
        <f>IF(Associates_Call_List_PQ!D894="","",Associates_Call_List_PQ!D894)</f>
        <v>Cornville</v>
      </c>
      <c r="E894" s="58">
        <f>IF(Associates_Call_List_PQ!E894="","",Associates_Call_List_PQ!E894)</f>
        <v>86325</v>
      </c>
      <c r="F894" s="57" t="str">
        <f>IF(Associates_Call_List_PQ!F894="","",Associates_Call_List_PQ!F894)</f>
        <v>Exempt 25% energy discount program customers from proposed rate increase</v>
      </c>
      <c r="G894" s="57" t="str">
        <f>IF(Associates_Call_List_PQ!G894="","",Associates_Call_List_PQ!G894)</f>
        <v>https://docket.images.azcc.gov/E000046988.pdf</v>
      </c>
      <c r="H894" s="59" t="str">
        <f>IF(Associates_Call_List_PQ!H894="","",Associates_Call_List_PQ!H894)</f>
        <v>4322390000</v>
      </c>
      <c r="I894" s="57" t="str">
        <f>IF(Associates_Call_List_PQ!I894="","",Associates_Call_List_PQ!I894)</f>
        <v>R-XS</v>
      </c>
      <c r="J894" s="57" t="str">
        <f>IF(Associates_Call_List_PQ!J894="","",Associates_Call_List_PQ!J894)</f>
        <v>Yes</v>
      </c>
      <c r="K894" s="57" t="str">
        <f>IF(Associates_Call_List_PQ!K894="","",Associates_Call_List_PQ!K894)</f>
        <v>No</v>
      </c>
      <c r="L894" s="57" t="str">
        <f>IF(Associates_Call_List_PQ!L894="","",Associates_Call_List_PQ!L894)</f>
        <v>NA</v>
      </c>
      <c r="M894" s="57" t="str">
        <f>IF(Associates_Call_List_PQ!M894="","",Associates_Call_List_PQ!M894)</f>
        <v>No</v>
      </c>
      <c r="N894" s="57" t="str">
        <f>IF(Associates_Call_List_PQ!N894="","",Associates_Call_List_PQ!N894)</f>
        <v>No</v>
      </c>
      <c r="O894" s="57" t="str">
        <f>IF(Associates_Call_List_PQ!O894="","",Associates_Call_List_PQ!O894)</f>
        <v>Yes</v>
      </c>
      <c r="P894" s="57" t="str">
        <f>IF(Associates_Call_List_PQ!P894="","",Associates_Call_List_PQ!P894)</f>
        <v>N</v>
      </c>
      <c r="Q894" s="57">
        <f>IF(Associates_Call_List_PQ!Q894="","",Associates_Call_List_PQ!Q894)</f>
        <v>45954</v>
      </c>
      <c r="R894" s="57" t="str">
        <f>IF(Associates_Call_List_PQ!R894="","",Associates_Call_List_PQ!R894)</f>
        <v>Non-AMI customer, has filed multiple ACC complaints and rate case comments over the years</v>
      </c>
      <c r="S894" s="57" t="str">
        <f>IF(Associates_Call_List_PQ!S894="","",Associates_Call_List_PQ!S894)</f>
        <v/>
      </c>
      <c r="T894" s="57" t="str">
        <f>IF(Associates_Call_List_PQ!T894="","",Associates_Call_List_PQ!T894)</f>
        <v/>
      </c>
      <c r="U894" s="57" t="str">
        <f>IF(Associates_Call_List_PQ!U894="","",Associates_Call_List_PQ!U894)</f>
        <v/>
      </c>
      <c r="V894" s="68" t="s">
        <v>5433</v>
      </c>
      <c r="W894" s="68">
        <v>46067</v>
      </c>
      <c r="X894" s="68" t="s">
        <v>5405</v>
      </c>
      <c r="Y894" s="68" t="s">
        <v>5461</v>
      </c>
      <c r="Z894" s="72"/>
    </row>
    <row r="895" spans="1:26">
      <c r="A895" s="71">
        <f>IFERROR(Associates_Call_List_PQ!A895,"")</f>
        <v>45945</v>
      </c>
      <c r="B895" s="57" t="str">
        <f>IF(Associates_Call_List_PQ!B895="","",Associates_Call_List_PQ!B895)</f>
        <v>Foti</v>
      </c>
      <c r="C895" s="57" t="str">
        <f>IF(Associates_Call_List_PQ!C895="","",Associates_Call_List_PQ!C895)</f>
        <v>Danielle</v>
      </c>
      <c r="D895" s="57" t="str">
        <f>IF(Associates_Call_List_PQ!D895="","",Associates_Call_List_PQ!D895)</f>
        <v>Bisbee</v>
      </c>
      <c r="E895" s="58">
        <f>IF(Associates_Call_List_PQ!E895="","",Associates_Call_List_PQ!E895)</f>
        <v>85603</v>
      </c>
      <c r="F895" s="57" t="str">
        <f>IF(Associates_Call_List_PQ!F895="","",Associates_Call_List_PQ!F895)</f>
        <v>Opposed - Arizonans are already struggling with inflation</v>
      </c>
      <c r="G895" s="57" t="str">
        <f>IF(Associates_Call_List_PQ!G895="","",Associates_Call_List_PQ!G895)</f>
        <v>https://docket.images.azcc.gov/E000047024.pdf</v>
      </c>
      <c r="H895" s="59" t="str">
        <f>IF(Associates_Call_List_PQ!H895="","",Associates_Call_List_PQ!H895)</f>
        <v>5427869471</v>
      </c>
      <c r="I895" s="57" t="str">
        <f>IF(Associates_Call_List_PQ!I895="","",Associates_Call_List_PQ!I895)</f>
        <v>RTOUE47</v>
      </c>
      <c r="J895" s="57" t="str">
        <f>IF(Associates_Call_List_PQ!J895="","",Associates_Call_List_PQ!J895)</f>
        <v>No</v>
      </c>
      <c r="K895" s="57" t="str">
        <f>IF(Associates_Call_List_PQ!K895="","",Associates_Call_List_PQ!K895)</f>
        <v>No</v>
      </c>
      <c r="L895" s="57" t="str">
        <f>IF(Associates_Call_List_PQ!L895="","",Associates_Call_List_PQ!L895)</f>
        <v>No MEP R-XS ($108.43)</v>
      </c>
      <c r="M895" s="57" t="str">
        <f>IF(Associates_Call_List_PQ!M895="","",Associates_Call_List_PQ!M895)</f>
        <v>No</v>
      </c>
      <c r="N895" s="57" t="str">
        <f>IF(Associates_Call_List_PQ!N895="","",Associates_Call_List_PQ!N895)</f>
        <v>No</v>
      </c>
      <c r="O895" s="57" t="str">
        <f>IF(Associates_Call_List_PQ!O895="","",Associates_Call_List_PQ!O895)</f>
        <v>Yes</v>
      </c>
      <c r="P895" s="57">
        <f>IF(Associates_Call_List_PQ!P895="","",Associates_Call_List_PQ!P895)</f>
        <v>45947</v>
      </c>
      <c r="Q895" s="57">
        <f>IF(Associates_Call_List_PQ!Q895="","",Associates_Call_List_PQ!Q895)</f>
        <v>45954</v>
      </c>
      <c r="R895" s="57" t="str">
        <f>IF(Associates_Call_List_PQ!R895="","",Associates_Call_List_PQ!R895)</f>
        <v>10/17 Left VM</v>
      </c>
      <c r="S895" s="57" t="str">
        <f>IF(Associates_Call_List_PQ!S895="","",Associates_Call_List_PQ!S895)</f>
        <v/>
      </c>
      <c r="T895" s="57" t="str">
        <f>IF(Associates_Call_List_PQ!T895="","",Associates_Call_List_PQ!T895)</f>
        <v/>
      </c>
      <c r="U895" s="57" t="str">
        <f>IF(Associates_Call_List_PQ!U895="","",Associates_Call_List_PQ!U895)</f>
        <v/>
      </c>
      <c r="V895" s="68" t="s">
        <v>5433</v>
      </c>
      <c r="W895" s="68">
        <v>46032</v>
      </c>
      <c r="X895" s="68" t="s">
        <v>5434</v>
      </c>
      <c r="Y895" s="68"/>
      <c r="Z895" s="72" t="s">
        <v>5661</v>
      </c>
    </row>
    <row r="896" spans="1:26">
      <c r="A896" s="71">
        <f>IFERROR(Associates_Call_List_PQ!A896,"")</f>
        <v>45944</v>
      </c>
      <c r="B896" s="57" t="str">
        <f>IF(Associates_Call_List_PQ!B896="","",Associates_Call_List_PQ!B896)</f>
        <v>Haden</v>
      </c>
      <c r="C896" s="57" t="str">
        <f>IF(Associates_Call_List_PQ!C896="","",Associates_Call_List_PQ!C896)</f>
        <v>Scott</v>
      </c>
      <c r="D896" s="57" t="str">
        <f>IF(Associates_Call_List_PQ!D896="","",Associates_Call_List_PQ!D896)</f>
        <v>Phoenix</v>
      </c>
      <c r="E896" s="58">
        <f>IF(Associates_Call_List_PQ!E896="","",Associates_Call_List_PQ!E896)</f>
        <v>85032</v>
      </c>
      <c r="F896" s="57" t="str">
        <f>IF(Associates_Call_List_PQ!F896="","",Associates_Call_List_PQ!F896)</f>
        <v>Form Letter: Enough is enough! You must reject the latest 14% rate hikes by APS and TEP</v>
      </c>
      <c r="G896" s="57" t="str">
        <f>IF(Associates_Call_List_PQ!G896="","",Associates_Call_List_PQ!G896)</f>
        <v>https://docket.images.azcc.gov/E000046996.pdf</v>
      </c>
      <c r="H896" s="59" t="str">
        <f>IF(Associates_Call_List_PQ!H896="","",Associates_Call_List_PQ!H896)</f>
        <v>6013821000</v>
      </c>
      <c r="I896" s="57" t="str">
        <f>IF(Associates_Call_List_PQ!I896="","",Associates_Call_List_PQ!I896)</f>
        <v>RTOUE47</v>
      </c>
      <c r="J896" s="57" t="str">
        <f>IF(Associates_Call_List_PQ!J896="","",Associates_Call_List_PQ!J896)</f>
        <v>No</v>
      </c>
      <c r="K896" s="57" t="str">
        <f>IF(Associates_Call_List_PQ!K896="","",Associates_Call_List_PQ!K896)</f>
        <v/>
      </c>
      <c r="L896" s="57" t="str">
        <f>IF(Associates_Call_List_PQ!L896="","",Associates_Call_List_PQ!L896)</f>
        <v>No MEP R3-47 ($43.09)</v>
      </c>
      <c r="M896" s="57" t="str">
        <f>IF(Associates_Call_List_PQ!M896="","",Associates_Call_List_PQ!M896)</f>
        <v/>
      </c>
      <c r="N896" s="57" t="str">
        <f>IF(Associates_Call_List_PQ!N896="","",Associates_Call_List_PQ!N896)</f>
        <v/>
      </c>
      <c r="O896" s="57" t="str">
        <f>IF(Associates_Call_List_PQ!O896="","",Associates_Call_List_PQ!O896)</f>
        <v>Yes</v>
      </c>
      <c r="P896" s="57" t="str">
        <f>IF(Associates_Call_List_PQ!P896="","",Associates_Call_List_PQ!P896)</f>
        <v>N</v>
      </c>
      <c r="Q896" s="57" t="str">
        <f>IF(Associates_Call_List_PQ!Q896="","",Associates_Call_List_PQ!Q896)</f>
        <v/>
      </c>
      <c r="R896" s="57" t="str">
        <f>IF(Associates_Call_List_PQ!R896="","",Associates_Call_List_PQ!R896)</f>
        <v>Signed petition 8</v>
      </c>
      <c r="S896" s="57" t="str">
        <f>IF(Associates_Call_List_PQ!S896="","",Associates_Call_List_PQ!S896)</f>
        <v/>
      </c>
      <c r="T896" s="57" t="str">
        <f>IF(Associates_Call_List_PQ!T896="","",Associates_Call_List_PQ!T896)</f>
        <v/>
      </c>
      <c r="U896" s="57" t="str">
        <f>IF(Associates_Call_List_PQ!U896="","",Associates_Call_List_PQ!U896)</f>
        <v/>
      </c>
      <c r="V896" s="68" t="s">
        <v>5433</v>
      </c>
      <c r="W896" s="68">
        <v>46032</v>
      </c>
      <c r="X896" s="68" t="s">
        <v>5434</v>
      </c>
      <c r="Y896" s="68"/>
      <c r="Z896" s="72" t="s">
        <v>5661</v>
      </c>
    </row>
    <row r="897" spans="1:26">
      <c r="A897" s="71">
        <f>IFERROR(Associates_Call_List_PQ!A897,"")</f>
        <v>45944</v>
      </c>
      <c r="B897" s="57" t="str">
        <f>IF(Associates_Call_List_PQ!B897="","",Associates_Call_List_PQ!B897)</f>
        <v>Grimwood</v>
      </c>
      <c r="C897" s="57" t="str">
        <f>IF(Associates_Call_List_PQ!C897="","",Associates_Call_List_PQ!C897)</f>
        <v>Jaime</v>
      </c>
      <c r="D897" s="57" t="str">
        <f>IF(Associates_Call_List_PQ!D897="","",Associates_Call_List_PQ!D897)</f>
        <v>Phoenix</v>
      </c>
      <c r="E897" s="58">
        <f>IF(Associates_Call_List_PQ!E897="","",Associates_Call_List_PQ!E897)</f>
        <v>85015</v>
      </c>
      <c r="F897" s="57" t="str">
        <f>IF(Associates_Call_List_PQ!F897="","",Associates_Call_List_PQ!F897)</f>
        <v>Form Letter: Enough is enough! You must reject the latest 14% rate hikes by APS and TEP</v>
      </c>
      <c r="G897" s="57" t="str">
        <f>IF(Associates_Call_List_PQ!G897="","",Associates_Call_List_PQ!G897)</f>
        <v>https://docket.images.azcc.gov/E000046996.pdf</v>
      </c>
      <c r="H897" s="59" t="str">
        <f>IF(Associates_Call_List_PQ!H897="","",Associates_Call_List_PQ!H897)</f>
        <v>4855301000</v>
      </c>
      <c r="I897" s="57" t="str">
        <f>IF(Associates_Call_List_PQ!I897="","",Associates_Call_List_PQ!I897)</f>
        <v>R-BASICL</v>
      </c>
      <c r="J897" s="57" t="str">
        <f>IF(Associates_Call_List_PQ!J897="","",Associates_Call_List_PQ!J897)</f>
        <v>No</v>
      </c>
      <c r="K897" s="57" t="str">
        <f>IF(Associates_Call_List_PQ!K897="","",Associates_Call_List_PQ!K897)</f>
        <v>No</v>
      </c>
      <c r="L897" s="57" t="str">
        <f>IF(Associates_Call_List_PQ!L897="","",Associates_Call_List_PQ!L897)</f>
        <v>No MEP R3-47 ($437.04)</v>
      </c>
      <c r="M897" s="57" t="str">
        <f>IF(Associates_Call_List_PQ!M897="","",Associates_Call_List_PQ!M897)</f>
        <v>No</v>
      </c>
      <c r="N897" s="57" t="str">
        <f>IF(Associates_Call_List_PQ!N897="","",Associates_Call_List_PQ!N897)</f>
        <v>No</v>
      </c>
      <c r="O897" s="57" t="str">
        <f>IF(Associates_Call_List_PQ!O897="","",Associates_Call_List_PQ!O897)</f>
        <v>Yes</v>
      </c>
      <c r="P897" s="57">
        <f>IF(Associates_Call_List_PQ!P897="","",Associates_Call_List_PQ!P897)</f>
        <v>45947</v>
      </c>
      <c r="Q897" s="57">
        <f>IF(Associates_Call_List_PQ!Q897="","",Associates_Call_List_PQ!Q897)</f>
        <v>45954</v>
      </c>
      <c r="R897" s="57" t="str">
        <f>IF(Associates_Call_List_PQ!R897="","",Associates_Call_List_PQ!R897)</f>
        <v>Signed petition 8 - 10/17 Left VM</v>
      </c>
      <c r="S897" s="57" t="str">
        <f>IF(Associates_Call_List_PQ!S897="","",Associates_Call_List_PQ!S897)</f>
        <v/>
      </c>
      <c r="T897" s="57" t="str">
        <f>IF(Associates_Call_List_PQ!T897="","",Associates_Call_List_PQ!T897)</f>
        <v/>
      </c>
      <c r="U897" s="57" t="str">
        <f>IF(Associates_Call_List_PQ!U897="","",Associates_Call_List_PQ!U897)</f>
        <v/>
      </c>
      <c r="V897" s="68" t="s">
        <v>5433</v>
      </c>
      <c r="W897" s="68">
        <v>46032</v>
      </c>
      <c r="X897" s="68"/>
      <c r="Y897" s="68" t="s">
        <v>5461</v>
      </c>
      <c r="Z897" s="72" t="s">
        <v>5449</v>
      </c>
    </row>
    <row r="898" spans="1:26">
      <c r="A898" s="71">
        <f>IFERROR(Associates_Call_List_PQ!A898,"")</f>
        <v>45944</v>
      </c>
      <c r="B898" s="57" t="str">
        <f>IF(Associates_Call_List_PQ!B898="","",Associates_Call_List_PQ!B898)</f>
        <v>Pollock</v>
      </c>
      <c r="C898" s="57" t="str">
        <f>IF(Associates_Call_List_PQ!C898="","",Associates_Call_List_PQ!C898)</f>
        <v>James</v>
      </c>
      <c r="D898" s="57" t="str">
        <f>IF(Associates_Call_List_PQ!D898="","",Associates_Call_List_PQ!D898)</f>
        <v>Phoenix</v>
      </c>
      <c r="E898" s="58">
        <f>IF(Associates_Call_List_PQ!E898="","",Associates_Call_List_PQ!E898)</f>
        <v>85032</v>
      </c>
      <c r="F898" s="57" t="str">
        <f>IF(Associates_Call_List_PQ!F898="","",Associates_Call_List_PQ!F898)</f>
        <v>Form Letter: Enough is enough! You must reject the latest 14% rate hikes by APS and TEP</v>
      </c>
      <c r="G898" s="57" t="str">
        <f>IF(Associates_Call_List_PQ!G898="","",Associates_Call_List_PQ!G898)</f>
        <v>https://docket.images.azcc.gov/E000046996.pdf</v>
      </c>
      <c r="H898" s="59" t="str">
        <f>IF(Associates_Call_List_PQ!H898="","",Associates_Call_List_PQ!H898)</f>
        <v>6922736019</v>
      </c>
      <c r="I898" s="57" t="str">
        <f>IF(Associates_Call_List_PQ!I898="","",Associates_Call_List_PQ!I898)</f>
        <v>RCPw/RTOUE47</v>
      </c>
      <c r="J898" s="57" t="str">
        <f>IF(Associates_Call_List_PQ!J898="","",Associates_Call_List_PQ!J898)</f>
        <v>No</v>
      </c>
      <c r="K898" s="57" t="str">
        <f>IF(Associates_Call_List_PQ!K898="","",Associates_Call_List_PQ!K898)</f>
        <v>No</v>
      </c>
      <c r="L898" s="57" t="str">
        <f>IF(Associates_Call_List_PQ!L898="","",Associates_Call_List_PQ!L898)</f>
        <v>Y</v>
      </c>
      <c r="M898" s="57" t="str">
        <f>IF(Associates_Call_List_PQ!M898="","",Associates_Call_List_PQ!M898)</f>
        <v>No</v>
      </c>
      <c r="N898" s="57" t="str">
        <f>IF(Associates_Call_List_PQ!N898="","",Associates_Call_List_PQ!N898)</f>
        <v>No</v>
      </c>
      <c r="O898" s="57" t="str">
        <f>IF(Associates_Call_List_PQ!O898="","",Associates_Call_List_PQ!O898)</f>
        <v>Yes</v>
      </c>
      <c r="P898" s="57" t="str">
        <f>IF(Associates_Call_List_PQ!P898="","",Associates_Call_List_PQ!P898)</f>
        <v>N</v>
      </c>
      <c r="Q898" s="57">
        <f>IF(Associates_Call_List_PQ!Q898="","",Associates_Call_List_PQ!Q898)</f>
        <v>45954</v>
      </c>
      <c r="R898" s="57" t="str">
        <f>IF(Associates_Call_List_PQ!R898="","",Associates_Call_List_PQ!R898)</f>
        <v>Signed petition 8 - Filed same letter again on 10/27</v>
      </c>
      <c r="S898" s="57" t="str">
        <f>IF(Associates_Call_List_PQ!S898="","",Associates_Call_List_PQ!S898)</f>
        <v/>
      </c>
      <c r="T898" s="57" t="str">
        <f>IF(Associates_Call_List_PQ!T898="","",Associates_Call_List_PQ!T898)</f>
        <v/>
      </c>
      <c r="U898" s="57" t="str">
        <f>IF(Associates_Call_List_PQ!U898="","",Associates_Call_List_PQ!U898)</f>
        <v/>
      </c>
      <c r="V898" s="68" t="s">
        <v>5433</v>
      </c>
      <c r="W898" s="68">
        <v>46067</v>
      </c>
      <c r="X898" s="68" t="s">
        <v>5434</v>
      </c>
      <c r="Y898" s="68"/>
      <c r="Z898" s="72" t="s">
        <v>5446</v>
      </c>
    </row>
    <row r="899" spans="1:26">
      <c r="A899" s="71">
        <f>IFERROR(Associates_Call_List_PQ!A899,"")</f>
        <v>45944</v>
      </c>
      <c r="B899" s="57" t="str">
        <f>IF(Associates_Call_List_PQ!B899="","",Associates_Call_List_PQ!B899)</f>
        <v>Miller</v>
      </c>
      <c r="C899" s="57" t="str">
        <f>IF(Associates_Call_List_PQ!C899="","",Associates_Call_List_PQ!C899)</f>
        <v>Shem</v>
      </c>
      <c r="D899" s="57" t="str">
        <f>IF(Associates_Call_List_PQ!D899="","",Associates_Call_List_PQ!D899)</f>
        <v>Phoenix</v>
      </c>
      <c r="E899" s="58">
        <f>IF(Associates_Call_List_PQ!E899="","",Associates_Call_List_PQ!E899)</f>
        <v>85007</v>
      </c>
      <c r="F899" s="57" t="str">
        <f>IF(Associates_Call_List_PQ!F899="","",Associates_Call_List_PQ!F899)</f>
        <v>Form Letter: Enough is enough! You must reject the latest 14% rate hikes by APS and TEP</v>
      </c>
      <c r="G899" s="57" t="str">
        <f>IF(Associates_Call_List_PQ!G899="","",Associates_Call_List_PQ!G899)</f>
        <v>https://docket.images.azcc.gov/E000046996.pdf</v>
      </c>
      <c r="H899" s="59" t="str">
        <f>IF(Associates_Call_List_PQ!H899="","",Associates_Call_List_PQ!H899)</f>
        <v>0370184572</v>
      </c>
      <c r="I899" s="57" t="str">
        <f>IF(Associates_Call_List_PQ!I899="","",Associates_Call_List_PQ!I899)</f>
        <v>R3-47</v>
      </c>
      <c r="J899" s="57" t="str">
        <f>IF(Associates_Call_List_PQ!J899="","",Associates_Call_List_PQ!J899)</f>
        <v>No</v>
      </c>
      <c r="K899" s="57" t="str">
        <f>IF(Associates_Call_List_PQ!K899="","",Associates_Call_List_PQ!K899)</f>
        <v>No</v>
      </c>
      <c r="L899" s="57" t="str">
        <f>IF(Associates_Call_List_PQ!L899="","",Associates_Call_List_PQ!L899)</f>
        <v>Y</v>
      </c>
      <c r="M899" s="57" t="str">
        <f>IF(Associates_Call_List_PQ!M899="","",Associates_Call_List_PQ!M899)</f>
        <v>No</v>
      </c>
      <c r="N899" s="57" t="str">
        <f>IF(Associates_Call_List_PQ!N899="","",Associates_Call_List_PQ!N899)</f>
        <v>No</v>
      </c>
      <c r="O899" s="57" t="str">
        <f>IF(Associates_Call_List_PQ!O899="","",Associates_Call_List_PQ!O899)</f>
        <v>Yes</v>
      </c>
      <c r="P899" s="57" t="str">
        <f>IF(Associates_Call_List_PQ!P899="","",Associates_Call_List_PQ!P899)</f>
        <v>N</v>
      </c>
      <c r="Q899" s="57">
        <f>IF(Associates_Call_List_PQ!Q899="","",Associates_Call_List_PQ!Q899)</f>
        <v>45954</v>
      </c>
      <c r="R899" s="57" t="str">
        <f>IF(Associates_Call_List_PQ!R899="","",Associates_Call_List_PQ!R899)</f>
        <v>Signed petition 8</v>
      </c>
      <c r="S899" s="57" t="str">
        <f>IF(Associates_Call_List_PQ!S899="","",Associates_Call_List_PQ!S899)</f>
        <v/>
      </c>
      <c r="T899" s="57" t="str">
        <f>IF(Associates_Call_List_PQ!T899="","",Associates_Call_List_PQ!T899)</f>
        <v/>
      </c>
      <c r="U899" s="57" t="str">
        <f>IF(Associates_Call_List_PQ!U899="","",Associates_Call_List_PQ!U899)</f>
        <v/>
      </c>
      <c r="V899" s="68"/>
      <c r="W899" s="68" t="s">
        <v>5432</v>
      </c>
      <c r="X899" s="68"/>
      <c r="Y899" s="68"/>
      <c r="Z899" s="72"/>
    </row>
    <row r="900" spans="1:26">
      <c r="A900" s="71">
        <f>IFERROR(Associates_Call_List_PQ!A900,"")</f>
        <v>45945</v>
      </c>
      <c r="B900" s="57" t="str">
        <f>IF(Associates_Call_List_PQ!B900="","",Associates_Call_List_PQ!B900)</f>
        <v>Yarber</v>
      </c>
      <c r="C900" s="57" t="str">
        <f>IF(Associates_Call_List_PQ!C900="","",Associates_Call_List_PQ!C900)</f>
        <v>Catherine</v>
      </c>
      <c r="D900" s="57" t="str">
        <f>IF(Associates_Call_List_PQ!D900="","",Associates_Call_List_PQ!D900)</f>
        <v>Seligman</v>
      </c>
      <c r="E900" s="58">
        <f>IF(Associates_Call_List_PQ!E900="","",Associates_Call_List_PQ!E900)</f>
        <v>86337</v>
      </c>
      <c r="F900" s="57" t="str">
        <f>IF(Associates_Call_List_PQ!F900="","",Associates_Call_List_PQ!F900)</f>
        <v>Do not allow APS to constantly raise their rates</v>
      </c>
      <c r="G900" s="57" t="str">
        <f>IF(Associates_Call_List_PQ!G900="","",Associates_Call_List_PQ!G900)</f>
        <v>https://docket.images.azcc.gov/E000047007.pdf</v>
      </c>
      <c r="H900" s="59" t="str">
        <f>IF(Associates_Call_List_PQ!H900="","",Associates_Call_List_PQ!H900)</f>
        <v>9297010000</v>
      </c>
      <c r="I900" s="57" t="str">
        <f>IF(Associates_Call_List_PQ!I900="","",Associates_Call_List_PQ!I900)</f>
        <v>EPR-6w/ET-2</v>
      </c>
      <c r="J900" s="57" t="str">
        <f>IF(Associates_Call_List_PQ!J900="","",Associates_Call_List_PQ!J900)</f>
        <v>No</v>
      </c>
      <c r="K900" s="57" t="str">
        <f>IF(Associates_Call_List_PQ!K900="","",Associates_Call_List_PQ!K900)</f>
        <v>No</v>
      </c>
      <c r="L900" s="57" t="str">
        <f>IF(Associates_Call_List_PQ!L900="","",Associates_Call_List_PQ!L900)</f>
        <v>Frozen Rate</v>
      </c>
      <c r="M900" s="57" t="str">
        <f>IF(Associates_Call_List_PQ!M900="","",Associates_Call_List_PQ!M900)</f>
        <v>No</v>
      </c>
      <c r="N900" s="57" t="str">
        <f>IF(Associates_Call_List_PQ!N900="","",Associates_Call_List_PQ!N900)</f>
        <v>No</v>
      </c>
      <c r="O900" s="57" t="str">
        <f>IF(Associates_Call_List_PQ!O900="","",Associates_Call_List_PQ!O900)</f>
        <v>Yes</v>
      </c>
      <c r="P900" s="57" t="str">
        <f>IF(Associates_Call_List_PQ!P900="","",Associates_Call_List_PQ!P900)</f>
        <v>N</v>
      </c>
      <c r="Q900" s="57">
        <f>IF(Associates_Call_List_PQ!Q900="","",Associates_Call_List_PQ!Q900)</f>
        <v>45954</v>
      </c>
      <c r="R900" s="57" t="str">
        <f>IF(Associates_Call_List_PQ!R900="","",Associates_Call_List_PQ!R900)</f>
        <v/>
      </c>
      <c r="S900" s="57" t="str">
        <f>IF(Associates_Call_List_PQ!S900="","",Associates_Call_List_PQ!S900)</f>
        <v/>
      </c>
      <c r="T900" s="57" t="str">
        <f>IF(Associates_Call_List_PQ!T900="","",Associates_Call_List_PQ!T900)</f>
        <v/>
      </c>
      <c r="U900" s="57" t="str">
        <f>IF(Associates_Call_List_PQ!U900="","",Associates_Call_List_PQ!U900)</f>
        <v/>
      </c>
      <c r="V900" s="68" t="s">
        <v>5433</v>
      </c>
      <c r="W900" s="68">
        <v>46067</v>
      </c>
      <c r="X900" s="68" t="s">
        <v>5405</v>
      </c>
      <c r="Y900" s="68" t="s">
        <v>5455</v>
      </c>
      <c r="Z900" s="72" t="s">
        <v>5618</v>
      </c>
    </row>
    <row r="901" spans="1:26">
      <c r="A901" s="71">
        <f>IFERROR(Associates_Call_List_PQ!A901,"")</f>
        <v>45945</v>
      </c>
      <c r="B901" s="57" t="str">
        <f>IF(Associates_Call_List_PQ!B901="","",Associates_Call_List_PQ!B901)</f>
        <v>Robnett</v>
      </c>
      <c r="C901" s="57" t="str">
        <f>IF(Associates_Call_List_PQ!C901="","",Associates_Call_List_PQ!C901)</f>
        <v>Dawn</v>
      </c>
      <c r="D901" s="57" t="str">
        <f>IF(Associates_Call_List_PQ!D901="","",Associates_Call_List_PQ!D901)</f>
        <v>Sierra Vista</v>
      </c>
      <c r="E901" s="58">
        <f>IF(Associates_Call_List_PQ!E901="","",Associates_Call_List_PQ!E901)</f>
        <v>85650</v>
      </c>
      <c r="F901" s="57" t="str">
        <f>IF(Associates_Call_List_PQ!F901="","",Associates_Call_List_PQ!F901)</f>
        <v>What are you doing to stop this from happening?</v>
      </c>
      <c r="G901" s="57" t="str">
        <f>IF(Associates_Call_List_PQ!G901="","",Associates_Call_List_PQ!G901)</f>
        <v>https://docket.images.azcc.gov/E000047007.pdf</v>
      </c>
      <c r="H901" s="59" t="str">
        <f>IF(Associates_Call_List_PQ!H901="","",Associates_Call_List_PQ!H901)</f>
        <v>7395790000</v>
      </c>
      <c r="I901" s="57" t="str">
        <f>IF(Associates_Call_List_PQ!I901="","",Associates_Call_List_PQ!I901)</f>
        <v>R3-47</v>
      </c>
      <c r="J901" s="57" t="str">
        <f>IF(Associates_Call_List_PQ!J901="","",Associates_Call_List_PQ!J901)</f>
        <v>No</v>
      </c>
      <c r="K901" s="57" t="str">
        <f>IF(Associates_Call_List_PQ!K901="","",Associates_Call_List_PQ!K901)</f>
        <v>No</v>
      </c>
      <c r="L901" s="57" t="str">
        <f>IF(Associates_Call_List_PQ!L901="","",Associates_Call_List_PQ!L901)</f>
        <v>Y</v>
      </c>
      <c r="M901" s="57" t="str">
        <f>IF(Associates_Call_List_PQ!M901="","",Associates_Call_List_PQ!M901)</f>
        <v>No</v>
      </c>
      <c r="N901" s="57" t="str">
        <f>IF(Associates_Call_List_PQ!N901="","",Associates_Call_List_PQ!N901)</f>
        <v>No</v>
      </c>
      <c r="O901" s="57" t="str">
        <f>IF(Associates_Call_List_PQ!O901="","",Associates_Call_List_PQ!O901)</f>
        <v>Yes</v>
      </c>
      <c r="P901" s="57" t="str">
        <f>IF(Associates_Call_List_PQ!P901="","",Associates_Call_List_PQ!P901)</f>
        <v>N</v>
      </c>
      <c r="Q901" s="57">
        <f>IF(Associates_Call_List_PQ!Q901="","",Associates_Call_List_PQ!Q901)</f>
        <v>45954</v>
      </c>
      <c r="R901" s="57" t="str">
        <f>IF(Associates_Call_List_PQ!R901="","",Associates_Call_List_PQ!R901)</f>
        <v/>
      </c>
      <c r="S901" s="57" t="str">
        <f>IF(Associates_Call_List_PQ!S901="","",Associates_Call_List_PQ!S901)</f>
        <v/>
      </c>
      <c r="T901" s="57" t="str">
        <f>IF(Associates_Call_List_PQ!T901="","",Associates_Call_List_PQ!T901)</f>
        <v/>
      </c>
      <c r="U901" s="57" t="str">
        <f>IF(Associates_Call_List_PQ!U901="","",Associates_Call_List_PQ!U901)</f>
        <v/>
      </c>
      <c r="V901" s="68"/>
      <c r="W901" s="68" t="s">
        <v>5432</v>
      </c>
      <c r="X901" s="68"/>
      <c r="Y901" s="68"/>
      <c r="Z901" s="72"/>
    </row>
    <row r="902" spans="1:26">
      <c r="A902" s="71">
        <f>IFERROR(Associates_Call_List_PQ!A902,"")</f>
        <v>45946</v>
      </c>
      <c r="B902" s="57" t="str">
        <f>IF(Associates_Call_List_PQ!B902="","",Associates_Call_List_PQ!B902)</f>
        <v>Settje</v>
      </c>
      <c r="C902" s="57" t="str">
        <f>IF(Associates_Call_List_PQ!C902="","",Associates_Call_List_PQ!C902)</f>
        <v>Scott</v>
      </c>
      <c r="D902" s="57" t="str">
        <f>IF(Associates_Call_List_PQ!D902="","",Associates_Call_List_PQ!D902)</f>
        <v>Tonto Basin</v>
      </c>
      <c r="E902" s="58">
        <f>IF(Associates_Call_List_PQ!E902="","",Associates_Call_List_PQ!E902)</f>
        <v>85553</v>
      </c>
      <c r="F902" s="57" t="str">
        <f>IF(Associates_Call_List_PQ!F902="","",Associates_Call_List_PQ!F902)</f>
        <v>Off-peak/demand income and demand charges after outages</v>
      </c>
      <c r="G902" s="57" t="str">
        <f>IF(Associates_Call_List_PQ!G902="","",Associates_Call_List_PQ!G902)</f>
        <v>https://docket.images.azcc.gov/E000047034.pdf</v>
      </c>
      <c r="H902" s="59" t="str">
        <f>IF(Associates_Call_List_PQ!H902="","",Associates_Call_List_PQ!H902)</f>
        <v>9988610610</v>
      </c>
      <c r="I902" s="57" t="str">
        <f>IF(Associates_Call_List_PQ!I902="","",Associates_Call_List_PQ!I902)</f>
        <v>R-2</v>
      </c>
      <c r="J902" s="57" t="str">
        <f>IF(Associates_Call_List_PQ!J902="","",Associates_Call_List_PQ!J902)</f>
        <v>No</v>
      </c>
      <c r="K902" s="57" t="str">
        <f>IF(Associates_Call_List_PQ!K902="","",Associates_Call_List_PQ!K902)</f>
        <v>No</v>
      </c>
      <c r="L902" s="57" t="str">
        <f>IF(Associates_Call_List_PQ!L902="","",Associates_Call_List_PQ!L902)</f>
        <v>Frozen Rate</v>
      </c>
      <c r="M902" s="57" t="str">
        <f>IF(Associates_Call_List_PQ!M902="","",Associates_Call_List_PQ!M902)</f>
        <v>No</v>
      </c>
      <c r="N902" s="57" t="str">
        <f>IF(Associates_Call_List_PQ!N902="","",Associates_Call_List_PQ!N902)</f>
        <v>No</v>
      </c>
      <c r="O902" s="57" t="str">
        <f>IF(Associates_Call_List_PQ!O902="","",Associates_Call_List_PQ!O902)</f>
        <v>Yes</v>
      </c>
      <c r="P902" s="57" t="str">
        <f>IF(Associates_Call_List_PQ!P902="","",Associates_Call_List_PQ!P902)</f>
        <v>N</v>
      </c>
      <c r="Q902" s="57">
        <f>IF(Associates_Call_List_PQ!Q902="","",Associates_Call_List_PQ!Q902)</f>
        <v>45954</v>
      </c>
      <c r="R902" s="57" t="str">
        <f>IF(Associates_Call_List_PQ!R902="","",Associates_Call_List_PQ!R902)</f>
        <v/>
      </c>
      <c r="S902" s="57" t="str">
        <f>IF(Associates_Call_List_PQ!S902="","",Associates_Call_List_PQ!S902)</f>
        <v/>
      </c>
      <c r="T902" s="57" t="str">
        <f>IF(Associates_Call_List_PQ!T902="","",Associates_Call_List_PQ!T902)</f>
        <v/>
      </c>
      <c r="U902" s="57" t="str">
        <f>IF(Associates_Call_List_PQ!U902="","",Associates_Call_List_PQ!U902)</f>
        <v/>
      </c>
      <c r="V902" s="68" t="s">
        <v>5433</v>
      </c>
      <c r="W902" s="68">
        <v>46067</v>
      </c>
      <c r="X902" s="68" t="s">
        <v>5434</v>
      </c>
      <c r="Y902" s="68"/>
      <c r="Z902" s="72" t="s">
        <v>5446</v>
      </c>
    </row>
    <row r="903" spans="1:26">
      <c r="A903" s="71">
        <f>IFERROR(Associates_Call_List_PQ!A903,"")</f>
        <v>45946</v>
      </c>
      <c r="B903" s="57" t="str">
        <f>IF(Associates_Call_List_PQ!B903="","",Associates_Call_List_PQ!B903)</f>
        <v>Cunningham</v>
      </c>
      <c r="C903" s="57" t="str">
        <f>IF(Associates_Call_List_PQ!C903="","",Associates_Call_List_PQ!C903)</f>
        <v>Terrie</v>
      </c>
      <c r="D903" s="57" t="str">
        <f>IF(Associates_Call_List_PQ!D903="","",Associates_Call_List_PQ!D903)</f>
        <v>Phoenix</v>
      </c>
      <c r="E903" s="58">
        <f>IF(Associates_Call_List_PQ!E903="","",Associates_Call_List_PQ!E903)</f>
        <v>85024</v>
      </c>
      <c r="F903" s="57" t="str">
        <f>IF(Associates_Call_List_PQ!F903="","",Associates_Call_List_PQ!F903)</f>
        <v>Opposed, significant burden, especially when cost of living continued to rise</v>
      </c>
      <c r="G903" s="57" t="str">
        <f>IF(Associates_Call_List_PQ!G903="","",Associates_Call_List_PQ!G903)</f>
        <v>https://docket.images.azcc.gov/E000047053.pdf</v>
      </c>
      <c r="H903" s="59" t="str">
        <f>IF(Associates_Call_List_PQ!H903="","",Associates_Call_List_PQ!H903)</f>
        <v>7948393933</v>
      </c>
      <c r="I903" s="57" t="str">
        <f>IF(Associates_Call_List_PQ!I903="","",Associates_Call_List_PQ!I903)</f>
        <v>R3-47</v>
      </c>
      <c r="J903" s="57" t="str">
        <f>IF(Associates_Call_List_PQ!J903="","",Associates_Call_List_PQ!J903)</f>
        <v>No</v>
      </c>
      <c r="K903" s="57" t="str">
        <f>IF(Associates_Call_List_PQ!K903="","",Associates_Call_List_PQ!K903)</f>
        <v>No</v>
      </c>
      <c r="L903" s="57" t="str">
        <f>IF(Associates_Call_List_PQ!L903="","",Associates_Call_List_PQ!L903)</f>
        <v>Y</v>
      </c>
      <c r="M903" s="57" t="str">
        <f>IF(Associates_Call_List_PQ!M903="","",Associates_Call_List_PQ!M903)</f>
        <v>No</v>
      </c>
      <c r="N903" s="57" t="str">
        <f>IF(Associates_Call_List_PQ!N903="","",Associates_Call_List_PQ!N903)</f>
        <v>No</v>
      </c>
      <c r="O903" s="57" t="str">
        <f>IF(Associates_Call_List_PQ!O903="","",Associates_Call_List_PQ!O903)</f>
        <v>Yes</v>
      </c>
      <c r="P903" s="57" t="str">
        <f>IF(Associates_Call_List_PQ!P903="","",Associates_Call_List_PQ!P903)</f>
        <v>N</v>
      </c>
      <c r="Q903" s="57">
        <f>IF(Associates_Call_List_PQ!Q903="","",Associates_Call_List_PQ!Q903)</f>
        <v>45954</v>
      </c>
      <c r="R903" s="57" t="str">
        <f>IF(Associates_Call_List_PQ!R903="","",Associates_Call_List_PQ!R903)</f>
        <v/>
      </c>
      <c r="S903" s="57" t="str">
        <f>IF(Associates_Call_List_PQ!S903="","",Associates_Call_List_PQ!S903)</f>
        <v/>
      </c>
      <c r="T903" s="57" t="str">
        <f>IF(Associates_Call_List_PQ!T903="","",Associates_Call_List_PQ!T903)</f>
        <v/>
      </c>
      <c r="U903" s="57" t="str">
        <f>IF(Associates_Call_List_PQ!U903="","",Associates_Call_List_PQ!U903)</f>
        <v/>
      </c>
      <c r="V903" s="68"/>
      <c r="W903" s="68" t="s">
        <v>5432</v>
      </c>
      <c r="X903" s="68"/>
      <c r="Y903" s="68"/>
      <c r="Z903" s="72"/>
    </row>
    <row r="904" spans="1:26">
      <c r="A904" s="71">
        <f>IFERROR(Associates_Call_List_PQ!A904,"")</f>
        <v>45946</v>
      </c>
      <c r="B904" s="57" t="str">
        <f>IF(Associates_Call_List_PQ!B904="","",Associates_Call_List_PQ!B904)</f>
        <v>Hughes</v>
      </c>
      <c r="C904" s="57" t="str">
        <f>IF(Associates_Call_List_PQ!C904="","",Associates_Call_List_PQ!C904)</f>
        <v>Brent</v>
      </c>
      <c r="D904" s="57" t="str">
        <f>IF(Associates_Call_List_PQ!D904="","",Associates_Call_List_PQ!D904)</f>
        <v>Prescott</v>
      </c>
      <c r="E904" s="58">
        <f>IF(Associates_Call_List_PQ!E904="","",Associates_Call_List_PQ!E904)</f>
        <v>86301</v>
      </c>
      <c r="F904" s="57" t="str">
        <f>IF(Associates_Call_List_PQ!F904="","",Associates_Call_List_PQ!F904)</f>
        <v>Opposed, vote for something more reasonable</v>
      </c>
      <c r="G904" s="57" t="str">
        <f>IF(Associates_Call_List_PQ!G904="","",Associates_Call_List_PQ!G904)</f>
        <v>https://docket.images.azcc.gov/E000047091.pdf</v>
      </c>
      <c r="H904" s="59" t="str">
        <f>IF(Associates_Call_List_PQ!H904="","",Associates_Call_List_PQ!H904)</f>
        <v>8909137526</v>
      </c>
      <c r="I904" s="57" t="str">
        <f>IF(Associates_Call_List_PQ!I904="","",Associates_Call_List_PQ!I904)</f>
        <v>R3-47</v>
      </c>
      <c r="J904" s="57" t="str">
        <f>IF(Associates_Call_List_PQ!J904="","",Associates_Call_List_PQ!J904)</f>
        <v>No</v>
      </c>
      <c r="K904" s="57" t="str">
        <f>IF(Associates_Call_List_PQ!K904="","",Associates_Call_List_PQ!K904)</f>
        <v>No</v>
      </c>
      <c r="L904" s="57" t="str">
        <f>IF(Associates_Call_List_PQ!L904="","",Associates_Call_List_PQ!L904)</f>
        <v>Y</v>
      </c>
      <c r="M904" s="57" t="str">
        <f>IF(Associates_Call_List_PQ!M904="","",Associates_Call_List_PQ!M904)</f>
        <v>No</v>
      </c>
      <c r="N904" s="57" t="str">
        <f>IF(Associates_Call_List_PQ!N904="","",Associates_Call_List_PQ!N904)</f>
        <v>No</v>
      </c>
      <c r="O904" s="57" t="str">
        <f>IF(Associates_Call_List_PQ!O904="","",Associates_Call_List_PQ!O904)</f>
        <v>Yes</v>
      </c>
      <c r="P904" s="57" t="str">
        <f>IF(Associates_Call_List_PQ!P904="","",Associates_Call_List_PQ!P904)</f>
        <v>N</v>
      </c>
      <c r="Q904" s="57">
        <f>IF(Associates_Call_List_PQ!Q904="","",Associates_Call_List_PQ!Q904)</f>
        <v>45954</v>
      </c>
      <c r="R904" s="57" t="str">
        <f>IF(Associates_Call_List_PQ!R904="","",Associates_Call_List_PQ!R904)</f>
        <v/>
      </c>
      <c r="S904" s="57" t="str">
        <f>IF(Associates_Call_List_PQ!S904="","",Associates_Call_List_PQ!S904)</f>
        <v/>
      </c>
      <c r="T904" s="57" t="str">
        <f>IF(Associates_Call_List_PQ!T904="","",Associates_Call_List_PQ!T904)</f>
        <v/>
      </c>
      <c r="U904" s="57" t="str">
        <f>IF(Associates_Call_List_PQ!U904="","",Associates_Call_List_PQ!U904)</f>
        <v/>
      </c>
      <c r="V904" s="68" t="s">
        <v>5433</v>
      </c>
      <c r="W904" s="68">
        <v>46067</v>
      </c>
      <c r="X904" s="68" t="s">
        <v>5434</v>
      </c>
      <c r="Y904" s="68"/>
      <c r="Z904" s="72" t="s">
        <v>5446</v>
      </c>
    </row>
    <row r="905" spans="1:26">
      <c r="A905" s="71">
        <f>IFERROR(Associates_Call_List_PQ!A905,"")</f>
        <v>45946</v>
      </c>
      <c r="B905" s="57" t="str">
        <f>IF(Associates_Call_List_PQ!B905="","",Associates_Call_List_PQ!B905)</f>
        <v>Terranova</v>
      </c>
      <c r="C905" s="57" t="str">
        <f>IF(Associates_Call_List_PQ!C905="","",Associates_Call_List_PQ!C905)</f>
        <v>Joseph</v>
      </c>
      <c r="D905" s="57" t="str">
        <f>IF(Associates_Call_List_PQ!D905="","",Associates_Call_List_PQ!D905)</f>
        <v>Yuma</v>
      </c>
      <c r="E905" s="58">
        <f>IF(Associates_Call_List_PQ!E905="","",Associates_Call_List_PQ!E905)</f>
        <v>85364</v>
      </c>
      <c r="F905" s="57" t="str">
        <f>IF(Associates_Call_List_PQ!F905="","",Associates_Call_List_PQ!F905)</f>
        <v>belt-tightening needed here</v>
      </c>
      <c r="G905" s="57" t="str">
        <f>IF(Associates_Call_List_PQ!G905="","",Associates_Call_List_PQ!G905)</f>
        <v>https://docket.images.azcc.gov/E000047091.pdf</v>
      </c>
      <c r="H905" s="59" t="str">
        <f>IF(Associates_Call_List_PQ!H905="","",Associates_Call_List_PQ!H905)</f>
        <v>4797590000</v>
      </c>
      <c r="I905" s="57" t="str">
        <f>IF(Associates_Call_List_PQ!I905="","",Associates_Call_List_PQ!I905)</f>
        <v>RCPw/RTOUE47</v>
      </c>
      <c r="J905" s="57" t="str">
        <f>IF(Associates_Call_List_PQ!J905="","",Associates_Call_List_PQ!J905)</f>
        <v>No</v>
      </c>
      <c r="K905" s="57" t="str">
        <f>IF(Associates_Call_List_PQ!K905="","",Associates_Call_List_PQ!K905)</f>
        <v>No</v>
      </c>
      <c r="L905" s="57" t="str">
        <f>IF(Associates_Call_List_PQ!L905="","",Associates_Call_List_PQ!L905)</f>
        <v>No MEP R3-47 ($42.77)</v>
      </c>
      <c r="M905" s="57" t="str">
        <f>IF(Associates_Call_List_PQ!M905="","",Associates_Call_List_PQ!M905)</f>
        <v>No</v>
      </c>
      <c r="N905" s="57" t="str">
        <f>IF(Associates_Call_List_PQ!N905="","",Associates_Call_List_PQ!N905)</f>
        <v>No</v>
      </c>
      <c r="O905" s="57" t="str">
        <f>IF(Associates_Call_List_PQ!O905="","",Associates_Call_List_PQ!O905)</f>
        <v>Yes</v>
      </c>
      <c r="P905" s="57" t="str">
        <f>IF(Associates_Call_List_PQ!P905="","",Associates_Call_List_PQ!P905)</f>
        <v>N</v>
      </c>
      <c r="Q905" s="57">
        <f>IF(Associates_Call_List_PQ!Q905="","",Associates_Call_List_PQ!Q905)</f>
        <v>45954</v>
      </c>
      <c r="R905" s="57" t="str">
        <f>IF(Associates_Call_List_PQ!R905="","",Associates_Call_List_PQ!R905)</f>
        <v>Mr. Terranova filed a separate ACC complaint on 9/30 regarding the price he sells back his solar. Beth spoke with him.</v>
      </c>
      <c r="S905" s="57" t="str">
        <f>IF(Associates_Call_List_PQ!S905="","",Associates_Call_List_PQ!S905)</f>
        <v/>
      </c>
      <c r="T905" s="57" t="str">
        <f>IF(Associates_Call_List_PQ!T905="","",Associates_Call_List_PQ!T905)</f>
        <v/>
      </c>
      <c r="U905" s="57" t="str">
        <f>IF(Associates_Call_List_PQ!U905="","",Associates_Call_List_PQ!U905)</f>
        <v/>
      </c>
      <c r="V905" s="68" t="s">
        <v>5433</v>
      </c>
      <c r="W905" s="68">
        <v>46039</v>
      </c>
      <c r="X905" s="68" t="s">
        <v>5434</v>
      </c>
      <c r="Y905" s="68"/>
      <c r="Z905" s="72" t="s">
        <v>5503</v>
      </c>
    </row>
    <row r="906" spans="1:26">
      <c r="A906" s="71">
        <f>IFERROR(Associates_Call_List_PQ!A906,"")</f>
        <v>45946</v>
      </c>
      <c r="B906" s="57" t="str">
        <f>IF(Associates_Call_List_PQ!B906="","",Associates_Call_List_PQ!B906)</f>
        <v>Smith</v>
      </c>
      <c r="C906" s="57" t="str">
        <f>IF(Associates_Call_List_PQ!C906="","",Associates_Call_List_PQ!C906)</f>
        <v>Barbara</v>
      </c>
      <c r="D906" s="57" t="str">
        <f>IF(Associates_Call_List_PQ!D906="","",Associates_Call_List_PQ!D906)</f>
        <v>Phoenix</v>
      </c>
      <c r="E906" s="58">
        <f>IF(Associates_Call_List_PQ!E906="","",Associates_Call_List_PQ!E906)</f>
        <v>85006</v>
      </c>
      <c r="F906" s="57" t="str">
        <f>IF(Associates_Call_List_PQ!F906="","",Associates_Call_List_PQ!F906)</f>
        <v xml:space="preserve">Form letter </v>
      </c>
      <c r="G906" s="57" t="str">
        <f>IF(Associates_Call_List_PQ!G906="","",Associates_Call_List_PQ!G906)</f>
        <v>https://docket.images.azcc.gov/E000047091.pdf</v>
      </c>
      <c r="H906" s="59" t="str">
        <f>IF(Associates_Call_List_PQ!H906="","",Associates_Call_List_PQ!H906)</f>
        <v>6641580000</v>
      </c>
      <c r="I906" s="57" t="str">
        <f>IF(Associates_Call_List_PQ!I906="","",Associates_Call_List_PQ!I906)</f>
        <v>R-2</v>
      </c>
      <c r="J906" s="57" t="str">
        <f>IF(Associates_Call_List_PQ!J906="","",Associates_Call_List_PQ!J906)</f>
        <v>No</v>
      </c>
      <c r="K906" s="57" t="str">
        <f>IF(Associates_Call_List_PQ!K906="","",Associates_Call_List_PQ!K906)</f>
        <v>No</v>
      </c>
      <c r="L906" s="57" t="str">
        <f>IF(Associates_Call_List_PQ!L906="","",Associates_Call_List_PQ!L906)</f>
        <v>Frozen Rate</v>
      </c>
      <c r="M906" s="57" t="str">
        <f>IF(Associates_Call_List_PQ!M906="","",Associates_Call_List_PQ!M906)</f>
        <v>No</v>
      </c>
      <c r="N906" s="57" t="str">
        <f>IF(Associates_Call_List_PQ!N906="","",Associates_Call_List_PQ!N906)</f>
        <v>No</v>
      </c>
      <c r="O906" s="57" t="str">
        <f>IF(Associates_Call_List_PQ!O906="","",Associates_Call_List_PQ!O906)</f>
        <v>Yes</v>
      </c>
      <c r="P906" s="57" t="str">
        <f>IF(Associates_Call_List_PQ!P906="","",Associates_Call_List_PQ!P906)</f>
        <v>N</v>
      </c>
      <c r="Q906" s="57">
        <f>IF(Associates_Call_List_PQ!Q906="","",Associates_Call_List_PQ!Q906)</f>
        <v>45954</v>
      </c>
      <c r="R906" s="57" t="str">
        <f>IF(Associates_Call_List_PQ!R906="","",Associates_Call_List_PQ!R906)</f>
        <v/>
      </c>
      <c r="S906" s="57" t="str">
        <f>IF(Associates_Call_List_PQ!S906="","",Associates_Call_List_PQ!S906)</f>
        <v/>
      </c>
      <c r="T906" s="57" t="str">
        <f>IF(Associates_Call_List_PQ!T906="","",Associates_Call_List_PQ!T906)</f>
        <v/>
      </c>
      <c r="U906" s="57" t="str">
        <f>IF(Associates_Call_List_PQ!U906="","",Associates_Call_List_PQ!U906)</f>
        <v/>
      </c>
      <c r="V906" s="68" t="s">
        <v>5433</v>
      </c>
      <c r="W906" s="68">
        <v>46067</v>
      </c>
      <c r="X906" s="68" t="s">
        <v>5434</v>
      </c>
      <c r="Y906" s="68"/>
      <c r="Z906" s="72" t="s">
        <v>5446</v>
      </c>
    </row>
    <row r="907" spans="1:26">
      <c r="A907" s="71">
        <f>IFERROR(Associates_Call_List_PQ!A907,"")</f>
        <v>45946</v>
      </c>
      <c r="B907" s="57" t="str">
        <f>IF(Associates_Call_List_PQ!B907="","",Associates_Call_List_PQ!B907)</f>
        <v>VanCleave</v>
      </c>
      <c r="C907" s="57" t="str">
        <f>IF(Associates_Call_List_PQ!C907="","",Associates_Call_List_PQ!C907)</f>
        <v>Magi</v>
      </c>
      <c r="D907" s="57" t="str">
        <f>IF(Associates_Call_List_PQ!D907="","",Associates_Call_List_PQ!D907)</f>
        <v>Flagstaff</v>
      </c>
      <c r="E907" s="58">
        <f>IF(Associates_Call_List_PQ!E907="","",Associates_Call_List_PQ!E907)</f>
        <v>86005</v>
      </c>
      <c r="F907" s="57" t="str">
        <f>IF(Associates_Call_List_PQ!F907="","",Associates_Call_List_PQ!F907)</f>
        <v>Pad corporate profits at the expense of AZ consumers</v>
      </c>
      <c r="G907" s="57" t="str">
        <f>IF(Associates_Call_List_PQ!G907="","",Associates_Call_List_PQ!G907)</f>
        <v>https://docket.images.azcc.gov/E000047091.pdf</v>
      </c>
      <c r="H907" s="59" t="str">
        <f>IF(Associates_Call_List_PQ!H907="","",Associates_Call_List_PQ!H907)</f>
        <v>8253620000</v>
      </c>
      <c r="I907" s="57" t="str">
        <f>IF(Associates_Call_List_PQ!I907="","",Associates_Call_List_PQ!I907)</f>
        <v>R-BASIC</v>
      </c>
      <c r="J907" s="57" t="str">
        <f>IF(Associates_Call_List_PQ!J907="","",Associates_Call_List_PQ!J907)</f>
        <v>No</v>
      </c>
      <c r="K907" s="57" t="str">
        <f>IF(Associates_Call_List_PQ!K907="","",Associates_Call_List_PQ!K907)</f>
        <v>No</v>
      </c>
      <c r="L907" s="57" t="str">
        <f>IF(Associates_Call_List_PQ!L907="","",Associates_Call_List_PQ!L907)</f>
        <v>No MEP TOUE ($29.42)</v>
      </c>
      <c r="M907" s="57" t="str">
        <f>IF(Associates_Call_List_PQ!M907="","",Associates_Call_List_PQ!M907)</f>
        <v>No</v>
      </c>
      <c r="N907" s="57" t="str">
        <f>IF(Associates_Call_List_PQ!N907="","",Associates_Call_List_PQ!N907)</f>
        <v>No</v>
      </c>
      <c r="O907" s="57" t="str">
        <f>IF(Associates_Call_List_PQ!O907="","",Associates_Call_List_PQ!O907)</f>
        <v>Yes</v>
      </c>
      <c r="P907" s="57" t="str">
        <f>IF(Associates_Call_List_PQ!P907="","",Associates_Call_List_PQ!P907)</f>
        <v>N</v>
      </c>
      <c r="Q907" s="57">
        <f>IF(Associates_Call_List_PQ!Q907="","",Associates_Call_List_PQ!Q907)</f>
        <v>45954</v>
      </c>
      <c r="R907" s="57" t="str">
        <f>IF(Associates_Call_List_PQ!R907="","",Associates_Call_List_PQ!R907)</f>
        <v/>
      </c>
      <c r="S907" s="57" t="str">
        <f>IF(Associates_Call_List_PQ!S907="","",Associates_Call_List_PQ!S907)</f>
        <v/>
      </c>
      <c r="T907" s="57" t="str">
        <f>IF(Associates_Call_List_PQ!T907="","",Associates_Call_List_PQ!T907)</f>
        <v/>
      </c>
      <c r="U907" s="57" t="str">
        <f>IF(Associates_Call_List_PQ!U907="","",Associates_Call_List_PQ!U907)</f>
        <v/>
      </c>
      <c r="V907" s="68" t="s">
        <v>5433</v>
      </c>
      <c r="W907" s="68">
        <v>45997</v>
      </c>
      <c r="X907" s="68" t="s">
        <v>5434</v>
      </c>
      <c r="Y907" s="68"/>
      <c r="Z907" s="72" t="s">
        <v>5662</v>
      </c>
    </row>
    <row r="908" spans="1:26">
      <c r="A908" s="71">
        <f>IFERROR(Associates_Call_List_PQ!A908,"")</f>
        <v>45946</v>
      </c>
      <c r="B908" s="57" t="str">
        <f>IF(Associates_Call_List_PQ!B908="","",Associates_Call_List_PQ!B908)</f>
        <v>Flores</v>
      </c>
      <c r="C908" s="57" t="str">
        <f>IF(Associates_Call_List_PQ!C908="","",Associates_Call_List_PQ!C908)</f>
        <v>Ariana</v>
      </c>
      <c r="D908" s="57" t="str">
        <f>IF(Associates_Call_List_PQ!D908="","",Associates_Call_List_PQ!D908)</f>
        <v>Phoenix</v>
      </c>
      <c r="E908" s="58">
        <f>IF(Associates_Call_List_PQ!E908="","",Associates_Call_List_PQ!E908)</f>
        <v>85029</v>
      </c>
      <c r="F908" s="57" t="str">
        <f>IF(Associates_Call_List_PQ!F908="","",Associates_Call_List_PQ!F908)</f>
        <v>Against the proposed rate increase</v>
      </c>
      <c r="G908" s="57" t="str">
        <f>IF(Associates_Call_List_PQ!G908="","",Associates_Call_List_PQ!G908)</f>
        <v>https://docket.images.azcc.gov/E000047091.pdf</v>
      </c>
      <c r="H908" s="59" t="str">
        <f>IF(Associates_Call_List_PQ!H908="","",Associates_Call_List_PQ!H908)</f>
        <v>1460051272</v>
      </c>
      <c r="I908" s="57" t="str">
        <f>IF(Associates_Call_List_PQ!I908="","",Associates_Call_List_PQ!I908)</f>
        <v>R-BASIC</v>
      </c>
      <c r="J908" s="57" t="str">
        <f>IF(Associates_Call_List_PQ!J908="","",Associates_Call_List_PQ!J908)</f>
        <v>No</v>
      </c>
      <c r="K908" s="57" t="str">
        <f>IF(Associates_Call_List_PQ!K908="","",Associates_Call_List_PQ!K908)</f>
        <v>No</v>
      </c>
      <c r="L908" s="57" t="str">
        <f>IF(Associates_Call_List_PQ!L908="","",Associates_Call_List_PQ!L908)</f>
        <v>Y</v>
      </c>
      <c r="M908" s="57" t="str">
        <f>IF(Associates_Call_List_PQ!M908="","",Associates_Call_List_PQ!M908)</f>
        <v>No</v>
      </c>
      <c r="N908" s="57" t="str">
        <f>IF(Associates_Call_List_PQ!N908="","",Associates_Call_List_PQ!N908)</f>
        <v>No</v>
      </c>
      <c r="O908" s="57" t="str">
        <f>IF(Associates_Call_List_PQ!O908="","",Associates_Call_List_PQ!O908)</f>
        <v>Yes</v>
      </c>
      <c r="P908" s="57" t="str">
        <f>IF(Associates_Call_List_PQ!P908="","",Associates_Call_List_PQ!P908)</f>
        <v>N</v>
      </c>
      <c r="Q908" s="57">
        <f>IF(Associates_Call_List_PQ!Q908="","",Associates_Call_List_PQ!Q908)</f>
        <v>45954</v>
      </c>
      <c r="R908" s="57" t="str">
        <f>IF(Associates_Call_List_PQ!R908="","",Associates_Call_List_PQ!R908)</f>
        <v/>
      </c>
      <c r="S908" s="57" t="str">
        <f>IF(Associates_Call_List_PQ!S908="","",Associates_Call_List_PQ!S908)</f>
        <v/>
      </c>
      <c r="T908" s="57" t="str">
        <f>IF(Associates_Call_List_PQ!T908="","",Associates_Call_List_PQ!T908)</f>
        <v/>
      </c>
      <c r="U908" s="57" t="str">
        <f>IF(Associates_Call_List_PQ!U908="","",Associates_Call_List_PQ!U908)</f>
        <v/>
      </c>
      <c r="V908" s="68" t="s">
        <v>5433</v>
      </c>
      <c r="W908" s="68">
        <v>46067</v>
      </c>
      <c r="X908" s="68" t="s">
        <v>5405</v>
      </c>
      <c r="Y908" s="68" t="s">
        <v>5461</v>
      </c>
      <c r="Z908" s="72"/>
    </row>
    <row r="909" spans="1:26">
      <c r="A909" s="71">
        <f>IFERROR(Associates_Call_List_PQ!A909,"")</f>
        <v>45947</v>
      </c>
      <c r="B909" s="57" t="str">
        <f>IF(Associates_Call_List_PQ!B909="","",Associates_Call_List_PQ!B909)</f>
        <v>Paulsen</v>
      </c>
      <c r="C909" s="57" t="str">
        <f>IF(Associates_Call_List_PQ!C909="","",Associates_Call_List_PQ!C909)</f>
        <v>Jodi</v>
      </c>
      <c r="D909" s="57" t="str">
        <f>IF(Associates_Call_List_PQ!D909="","",Associates_Call_List_PQ!D909)</f>
        <v>Scottsdale</v>
      </c>
      <c r="E909" s="58">
        <f>IF(Associates_Call_List_PQ!E909="","",Associates_Call_List_PQ!E909)</f>
        <v>85254</v>
      </c>
      <c r="F909" s="57" t="str">
        <f>IF(Associates_Call_List_PQ!F909="","",Associates_Call_List_PQ!F909)</f>
        <v>Punishing for having solar</v>
      </c>
      <c r="G909" s="57" t="str">
        <f>IF(Associates_Call_List_PQ!G909="","",Associates_Call_List_PQ!G909)</f>
        <v>https://docket.images.azcc.gov/E000047066.pdf</v>
      </c>
      <c r="H909" s="59" t="str">
        <f>IF(Associates_Call_List_PQ!H909="","",Associates_Call_List_PQ!H909)</f>
        <v>7938430000</v>
      </c>
      <c r="I909" s="57" t="str">
        <f>IF(Associates_Call_List_PQ!I909="","",Associates_Call_List_PQ!I909)</f>
        <v>EPR-6w/ET-1</v>
      </c>
      <c r="J909" s="57" t="str">
        <f>IF(Associates_Call_List_PQ!J909="","",Associates_Call_List_PQ!J909)</f>
        <v>No</v>
      </c>
      <c r="K909" s="57" t="str">
        <f>IF(Associates_Call_List_PQ!K909="","",Associates_Call_List_PQ!K909)</f>
        <v>No</v>
      </c>
      <c r="L909" s="57" t="str">
        <f>IF(Associates_Call_List_PQ!L909="","",Associates_Call_List_PQ!L909)</f>
        <v>Frozen Rate</v>
      </c>
      <c r="M909" s="57" t="str">
        <f>IF(Associates_Call_List_PQ!M909="","",Associates_Call_List_PQ!M909)</f>
        <v>No</v>
      </c>
      <c r="N909" s="57" t="str">
        <f>IF(Associates_Call_List_PQ!N909="","",Associates_Call_List_PQ!N909)</f>
        <v>No</v>
      </c>
      <c r="O909" s="57" t="str">
        <f>IF(Associates_Call_List_PQ!O909="","",Associates_Call_List_PQ!O909)</f>
        <v>Yes</v>
      </c>
      <c r="P909" s="57" t="str">
        <f>IF(Associates_Call_List_PQ!P909="","",Associates_Call_List_PQ!P909)</f>
        <v>N</v>
      </c>
      <c r="Q909" s="57">
        <f>IF(Associates_Call_List_PQ!Q909="","",Associates_Call_List_PQ!Q909)</f>
        <v>45954</v>
      </c>
      <c r="R909" s="57" t="str">
        <f>IF(Associates_Call_List_PQ!R909="","",Associates_Call_List_PQ!R909)</f>
        <v>Filed 2x</v>
      </c>
      <c r="S909" s="57" t="str">
        <f>IF(Associates_Call_List_PQ!S909="","",Associates_Call_List_PQ!S909)</f>
        <v/>
      </c>
      <c r="T909" s="57" t="str">
        <f>IF(Associates_Call_List_PQ!T909="","",Associates_Call_List_PQ!T909)</f>
        <v/>
      </c>
      <c r="U909" s="57" t="str">
        <f>IF(Associates_Call_List_PQ!U909="","",Associates_Call_List_PQ!U909)</f>
        <v/>
      </c>
      <c r="V909" s="68"/>
      <c r="W909" s="68" t="s">
        <v>5432</v>
      </c>
      <c r="X909" s="68"/>
      <c r="Y909" s="68"/>
      <c r="Z909" s="72"/>
    </row>
    <row r="910" spans="1:26">
      <c r="A910" s="71">
        <f>IFERROR(Associates_Call_List_PQ!A910,"")</f>
        <v>45947</v>
      </c>
      <c r="B910" s="57" t="str">
        <f>IF(Associates_Call_List_PQ!B910="","",Associates_Call_List_PQ!B910)</f>
        <v>Wittie</v>
      </c>
      <c r="C910" s="57" t="str">
        <f>IF(Associates_Call_List_PQ!C910="","",Associates_Call_List_PQ!C910)</f>
        <v>Steve</v>
      </c>
      <c r="D910" s="57" t="str">
        <f>IF(Associates_Call_List_PQ!D910="","",Associates_Call_List_PQ!D910)</f>
        <v>Scottsdale</v>
      </c>
      <c r="E910" s="58">
        <f>IF(Associates_Call_List_PQ!E910="","",Associates_Call_List_PQ!E910)</f>
        <v>85254</v>
      </c>
      <c r="F910" s="57" t="str">
        <f>IF(Associates_Call_List_PQ!F910="","",Associates_Call_List_PQ!F910)</f>
        <v>Please do not vote for the APS rate increase</v>
      </c>
      <c r="G910" s="57" t="str">
        <f>IF(Associates_Call_List_PQ!G910="","",Associates_Call_List_PQ!G910)</f>
        <v>https://docket.images.azcc.gov/E000047066.pdf</v>
      </c>
      <c r="H910" s="59" t="str">
        <f>IF(Associates_Call_List_PQ!H910="","",Associates_Call_List_PQ!H910)</f>
        <v>0474852117</v>
      </c>
      <c r="I910" s="57" t="str">
        <f>IF(Associates_Call_List_PQ!I910="","",Associates_Call_List_PQ!I910)</f>
        <v>R-XS</v>
      </c>
      <c r="J910" s="57" t="str">
        <f>IF(Associates_Call_List_PQ!J910="","",Associates_Call_List_PQ!J910)</f>
        <v>No</v>
      </c>
      <c r="K910" s="57" t="str">
        <f>IF(Associates_Call_List_PQ!K910="","",Associates_Call_List_PQ!K910)</f>
        <v>No</v>
      </c>
      <c r="L910" s="57" t="str">
        <f>IF(Associates_Call_List_PQ!L910="","",Associates_Call_List_PQ!L910)</f>
        <v>Y</v>
      </c>
      <c r="M910" s="57" t="str">
        <f>IF(Associates_Call_List_PQ!M910="","",Associates_Call_List_PQ!M910)</f>
        <v>No</v>
      </c>
      <c r="N910" s="57" t="str">
        <f>IF(Associates_Call_List_PQ!N910="","",Associates_Call_List_PQ!N910)</f>
        <v>No</v>
      </c>
      <c r="O910" s="57" t="str">
        <f>IF(Associates_Call_List_PQ!O910="","",Associates_Call_List_PQ!O910)</f>
        <v>Yes</v>
      </c>
      <c r="P910" s="57" t="str">
        <f>IF(Associates_Call_List_PQ!P910="","",Associates_Call_List_PQ!P910)</f>
        <v>N</v>
      </c>
      <c r="Q910" s="57">
        <f>IF(Associates_Call_List_PQ!Q910="","",Associates_Call_List_PQ!Q910)</f>
        <v>45954</v>
      </c>
      <c r="R910" s="57" t="str">
        <f>IF(Associates_Call_List_PQ!R910="","",Associates_Call_List_PQ!R910)</f>
        <v/>
      </c>
      <c r="S910" s="57" t="str">
        <f>IF(Associates_Call_List_PQ!S910="","",Associates_Call_List_PQ!S910)</f>
        <v/>
      </c>
      <c r="T910" s="57" t="str">
        <f>IF(Associates_Call_List_PQ!T910="","",Associates_Call_List_PQ!T910)</f>
        <v/>
      </c>
      <c r="U910" s="57" t="str">
        <f>IF(Associates_Call_List_PQ!U910="","",Associates_Call_List_PQ!U910)</f>
        <v/>
      </c>
      <c r="V910" s="68" t="s">
        <v>5433</v>
      </c>
      <c r="W910" s="68">
        <v>46067</v>
      </c>
      <c r="X910" s="68" t="s">
        <v>5434</v>
      </c>
      <c r="Y910" s="68"/>
      <c r="Z910" s="72" t="s">
        <v>5446</v>
      </c>
    </row>
    <row r="911" spans="1:26">
      <c r="A911" s="71">
        <f>IFERROR(Associates_Call_List_PQ!A911,"")</f>
        <v>45951</v>
      </c>
      <c r="B911" s="57" t="str">
        <f>IF(Associates_Call_List_PQ!B911="","",Associates_Call_List_PQ!B911)</f>
        <v>Margolis</v>
      </c>
      <c r="C911" s="57" t="str">
        <f>IF(Associates_Call_List_PQ!C911="","",Associates_Call_List_PQ!C911)</f>
        <v>Bruce</v>
      </c>
      <c r="D911" s="57" t="str">
        <f>IF(Associates_Call_List_PQ!D911="","",Associates_Call_List_PQ!D911)</f>
        <v>Parker</v>
      </c>
      <c r="E911" s="58">
        <f>IF(Associates_Call_List_PQ!E911="","",Associates_Call_List_PQ!E911)</f>
        <v>85344</v>
      </c>
      <c r="F911" s="57" t="str">
        <f>IF(Associates_Call_List_PQ!F911="","",Associates_Call_List_PQ!F911)</f>
        <v>Express my frustration and disappointment regarding the recent rate increases</v>
      </c>
      <c r="G911" s="57" t="str">
        <f>IF(Associates_Call_List_PQ!G911="","",Associates_Call_List_PQ!G911)</f>
        <v>https://docket.images.azcc.gov/E000047089.pdf</v>
      </c>
      <c r="H911" s="59" t="str">
        <f>IF(Associates_Call_List_PQ!H911="","",Associates_Call_List_PQ!H911)</f>
        <v>0352210000</v>
      </c>
      <c r="I911" s="57" t="str">
        <f>IF(Associates_Call_List_PQ!I911="","",Associates_Call_List_PQ!I911)</f>
        <v>R-BASIC</v>
      </c>
      <c r="J911" s="57" t="str">
        <f>IF(Associates_Call_List_PQ!J911="","",Associates_Call_List_PQ!J911)</f>
        <v>No</v>
      </c>
      <c r="K911" s="57" t="str">
        <f>IF(Associates_Call_List_PQ!K911="","",Associates_Call_List_PQ!K911)</f>
        <v>No</v>
      </c>
      <c r="L911" s="57" t="str">
        <f>IF(Associates_Call_List_PQ!L911="","",Associates_Call_List_PQ!L911)</f>
        <v/>
      </c>
      <c r="M911" s="57" t="str">
        <f>IF(Associates_Call_List_PQ!M911="","",Associates_Call_List_PQ!M911)</f>
        <v>No</v>
      </c>
      <c r="N911" s="57" t="str">
        <f>IF(Associates_Call_List_PQ!N911="","",Associates_Call_List_PQ!N911)</f>
        <v>No</v>
      </c>
      <c r="O911" s="57" t="str">
        <f>IF(Associates_Call_List_PQ!O911="","",Associates_Call_List_PQ!O911)</f>
        <v>Yes</v>
      </c>
      <c r="P911" s="57" t="str">
        <f>IF(Associates_Call_List_PQ!P911="","",Associates_Call_List_PQ!P911)</f>
        <v>N</v>
      </c>
      <c r="Q911" s="57">
        <f>IF(Associates_Call_List_PQ!Q911="","",Associates_Call_List_PQ!Q911)</f>
        <v>45954</v>
      </c>
      <c r="R911" s="57" t="str">
        <f>IF(Associates_Call_List_PQ!R911="","",Associates_Call_List_PQ!R911)</f>
        <v>Moving to R-XS</v>
      </c>
      <c r="S911" s="57" t="str">
        <f>IF(Associates_Call_List_PQ!S911="","",Associates_Call_List_PQ!S911)</f>
        <v/>
      </c>
      <c r="T911" s="57" t="str">
        <f>IF(Associates_Call_List_PQ!T911="","",Associates_Call_List_PQ!T911)</f>
        <v/>
      </c>
      <c r="U911" s="57" t="str">
        <f>IF(Associates_Call_List_PQ!U911="","",Associates_Call_List_PQ!U911)</f>
        <v/>
      </c>
      <c r="V911" s="68"/>
      <c r="W911" s="68" t="s">
        <v>5432</v>
      </c>
      <c r="X911" s="68"/>
      <c r="Y911" s="68"/>
      <c r="Z911" s="72"/>
    </row>
    <row r="912" spans="1:26">
      <c r="A912" s="71">
        <f>IFERROR(Associates_Call_List_PQ!A912,"")</f>
        <v>45951</v>
      </c>
      <c r="B912" s="57" t="str">
        <f>IF(Associates_Call_List_PQ!B912="","",Associates_Call_List_PQ!B912)</f>
        <v>Lagerquist</v>
      </c>
      <c r="C912" s="57" t="str">
        <f>IF(Associates_Call_List_PQ!C912="","",Associates_Call_List_PQ!C912)</f>
        <v>Adam</v>
      </c>
      <c r="D912" s="57" t="str">
        <f>IF(Associates_Call_List_PQ!D912="","",Associates_Call_List_PQ!D912)</f>
        <v>Peoria</v>
      </c>
      <c r="E912" s="58">
        <f>IF(Associates_Call_List_PQ!E912="","",Associates_Call_List_PQ!E912)</f>
        <v>85383</v>
      </c>
      <c r="F912" s="57" t="str">
        <f>IF(Associates_Call_List_PQ!F912="","",Associates_Call_List_PQ!F912)</f>
        <v>That's not a reasonable increase!</v>
      </c>
      <c r="G912" s="57" t="str">
        <f>IF(Associates_Call_List_PQ!G912="","",Associates_Call_List_PQ!G912)</f>
        <v>https://docket.images.azcc.gov/E000047105.pdf</v>
      </c>
      <c r="H912" s="59" t="str">
        <f>IF(Associates_Call_List_PQ!H912="","",Associates_Call_List_PQ!H912)</f>
        <v>6253965494</v>
      </c>
      <c r="I912" s="57" t="str">
        <f>IF(Associates_Call_List_PQ!I912="","",Associates_Call_List_PQ!I912)</f>
        <v>R3-47</v>
      </c>
      <c r="J912" s="57" t="str">
        <f>IF(Associates_Call_List_PQ!J912="","",Associates_Call_List_PQ!J912)</f>
        <v>No</v>
      </c>
      <c r="K912" s="57" t="str">
        <f>IF(Associates_Call_List_PQ!K912="","",Associates_Call_List_PQ!K912)</f>
        <v>No</v>
      </c>
      <c r="L912" s="57" t="str">
        <f>IF(Associates_Call_List_PQ!L912="","",Associates_Call_List_PQ!L912)</f>
        <v>Y</v>
      </c>
      <c r="M912" s="57" t="str">
        <f>IF(Associates_Call_List_PQ!M912="","",Associates_Call_List_PQ!M912)</f>
        <v>No</v>
      </c>
      <c r="N912" s="57" t="str">
        <f>IF(Associates_Call_List_PQ!N912="","",Associates_Call_List_PQ!N912)</f>
        <v>No</v>
      </c>
      <c r="O912" s="57" t="str">
        <f>IF(Associates_Call_List_PQ!O912="","",Associates_Call_List_PQ!O912)</f>
        <v>Yes</v>
      </c>
      <c r="P912" s="57" t="str">
        <f>IF(Associates_Call_List_PQ!P912="","",Associates_Call_List_PQ!P912)</f>
        <v>N</v>
      </c>
      <c r="Q912" s="57">
        <f>IF(Associates_Call_List_PQ!Q912="","",Associates_Call_List_PQ!Q912)</f>
        <v>45954</v>
      </c>
      <c r="R912" s="57" t="str">
        <f>IF(Associates_Call_List_PQ!R912="","",Associates_Call_List_PQ!R912)</f>
        <v/>
      </c>
      <c r="S912" s="57" t="str">
        <f>IF(Associates_Call_List_PQ!S912="","",Associates_Call_List_PQ!S912)</f>
        <v/>
      </c>
      <c r="T912" s="57" t="str">
        <f>IF(Associates_Call_List_PQ!T912="","",Associates_Call_List_PQ!T912)</f>
        <v/>
      </c>
      <c r="U912" s="57" t="str">
        <f>IF(Associates_Call_List_PQ!U912="","",Associates_Call_List_PQ!U912)</f>
        <v/>
      </c>
      <c r="V912" s="68" t="s">
        <v>5433</v>
      </c>
      <c r="W912" s="68">
        <v>46067</v>
      </c>
      <c r="X912" s="68" t="s">
        <v>5405</v>
      </c>
      <c r="Y912" s="68" t="s">
        <v>5463</v>
      </c>
      <c r="Z912" s="72" t="s">
        <v>5663</v>
      </c>
    </row>
    <row r="913" spans="1:26">
      <c r="A913" s="71">
        <f>IFERROR(Associates_Call_List_PQ!A913,"")</f>
        <v>45951</v>
      </c>
      <c r="B913" s="57" t="str">
        <f>IF(Associates_Call_List_PQ!B913="","",Associates_Call_List_PQ!B913)</f>
        <v>Rudy</v>
      </c>
      <c r="C913" s="57" t="str">
        <f>IF(Associates_Call_List_PQ!C913="","",Associates_Call_List_PQ!C913)</f>
        <v>Robert</v>
      </c>
      <c r="D913" s="57" t="str">
        <f>IF(Associates_Call_List_PQ!D913="","",Associates_Call_List_PQ!D913)</f>
        <v>Goodyear</v>
      </c>
      <c r="E913" s="58">
        <f>IF(Associates_Call_List_PQ!E913="","",Associates_Call_List_PQ!E913)</f>
        <v>85338</v>
      </c>
      <c r="F913" s="57" t="str">
        <f>IF(Associates_Call_List_PQ!F913="","",Associates_Call_List_PQ!F913)</f>
        <v>Major hardship for my family. My solar benefits APS</v>
      </c>
      <c r="G913" s="57" t="str">
        <f>IF(Associates_Call_List_PQ!G913="","",Associates_Call_List_PQ!G913)</f>
        <v>https://docket.images.azcc.gov/E000047105.pdf</v>
      </c>
      <c r="H913" s="59" t="str">
        <f>IF(Associates_Call_List_PQ!H913="","",Associates_Call_List_PQ!H913)</f>
        <v>5084150000</v>
      </c>
      <c r="I913" s="57" t="str">
        <f>IF(Associates_Call_List_PQ!I913="","",Associates_Call_List_PQ!I913)</f>
        <v>EPR-6w/ET-2</v>
      </c>
      <c r="J913" s="57" t="str">
        <f>IF(Associates_Call_List_PQ!J913="","",Associates_Call_List_PQ!J913)</f>
        <v>No</v>
      </c>
      <c r="K913" s="57" t="str">
        <f>IF(Associates_Call_List_PQ!K913="","",Associates_Call_List_PQ!K913)</f>
        <v>No</v>
      </c>
      <c r="L913" s="57" t="str">
        <f>IF(Associates_Call_List_PQ!L913="","",Associates_Call_List_PQ!L913)</f>
        <v>Frozen Rate</v>
      </c>
      <c r="M913" s="57" t="str">
        <f>IF(Associates_Call_List_PQ!M913="","",Associates_Call_List_PQ!M913)</f>
        <v>No</v>
      </c>
      <c r="N913" s="57" t="str">
        <f>IF(Associates_Call_List_PQ!N913="","",Associates_Call_List_PQ!N913)</f>
        <v>No</v>
      </c>
      <c r="O913" s="57" t="str">
        <f>IF(Associates_Call_List_PQ!O913="","",Associates_Call_List_PQ!O913)</f>
        <v>Yes</v>
      </c>
      <c r="P913" s="57" t="str">
        <f>IF(Associates_Call_List_PQ!P913="","",Associates_Call_List_PQ!P913)</f>
        <v>N</v>
      </c>
      <c r="Q913" s="57">
        <f>IF(Associates_Call_List_PQ!Q913="","",Associates_Call_List_PQ!Q913)</f>
        <v>45954</v>
      </c>
      <c r="R913" s="57" t="str">
        <f>IF(Associates_Call_List_PQ!R913="","",Associates_Call_List_PQ!R913)</f>
        <v/>
      </c>
      <c r="S913" s="57" t="str">
        <f>IF(Associates_Call_List_PQ!S913="","",Associates_Call_List_PQ!S913)</f>
        <v/>
      </c>
      <c r="T913" s="57" t="str">
        <f>IF(Associates_Call_List_PQ!T913="","",Associates_Call_List_PQ!T913)</f>
        <v/>
      </c>
      <c r="U913" s="57" t="str">
        <f>IF(Associates_Call_List_PQ!U913="","",Associates_Call_List_PQ!U913)</f>
        <v/>
      </c>
      <c r="V913" s="68"/>
      <c r="W913" s="68" t="s">
        <v>5432</v>
      </c>
      <c r="X913" s="68"/>
      <c r="Y913" s="68"/>
      <c r="Z913" s="72"/>
    </row>
    <row r="914" spans="1:26">
      <c r="A914" s="71">
        <f>IFERROR(Associates_Call_List_PQ!A914,"")</f>
        <v>45952</v>
      </c>
      <c r="B914" s="57" t="str">
        <f>IF(Associates_Call_List_PQ!B914="","",Associates_Call_List_PQ!B914)</f>
        <v>Davenport</v>
      </c>
      <c r="C914" s="57" t="str">
        <f>IF(Associates_Call_List_PQ!C914="","",Associates_Call_List_PQ!C914)</f>
        <v>Preston</v>
      </c>
      <c r="D914" s="57" t="str">
        <f>IF(Associates_Call_List_PQ!D914="","",Associates_Call_List_PQ!D914)</f>
        <v>Phoenix</v>
      </c>
      <c r="E914" s="58">
        <f>IF(Associates_Call_List_PQ!E914="","",Associates_Call_List_PQ!E914)</f>
        <v>85012</v>
      </c>
      <c r="F914" s="57" t="str">
        <f>IF(Associates_Call_List_PQ!F914="","",Associates_Call_List_PQ!F914)</f>
        <v>Rate hike would make it harder for working residents - concerned that this appears to subsidize data centers</v>
      </c>
      <c r="G914" s="57" t="str">
        <f>IF(Associates_Call_List_PQ!G914="","",Associates_Call_List_PQ!G914)</f>
        <v>https://docket.images.azcc.gov/E000047136.pdf</v>
      </c>
      <c r="H914" s="59" t="str">
        <f>IF(Associates_Call_List_PQ!H914="","",Associates_Call_List_PQ!H914)</f>
        <v>1507948531</v>
      </c>
      <c r="I914" s="57" t="str">
        <f>IF(Associates_Call_List_PQ!I914="","",Associates_Call_List_PQ!I914)</f>
        <v>R-XS</v>
      </c>
      <c r="J914" s="57" t="str">
        <f>IF(Associates_Call_List_PQ!J914="","",Associates_Call_List_PQ!J914)</f>
        <v>No</v>
      </c>
      <c r="K914" s="57" t="str">
        <f>IF(Associates_Call_List_PQ!K914="","",Associates_Call_List_PQ!K914)</f>
        <v>No</v>
      </c>
      <c r="L914" s="57" t="str">
        <f>IF(Associates_Call_List_PQ!L914="","",Associates_Call_List_PQ!L914)</f>
        <v>No MEP R3-47 ($84.40)</v>
      </c>
      <c r="M914" s="57" t="str">
        <f>IF(Associates_Call_List_PQ!M914="","",Associates_Call_List_PQ!M914)</f>
        <v>No</v>
      </c>
      <c r="N914" s="57" t="str">
        <f>IF(Associates_Call_List_PQ!N914="","",Associates_Call_List_PQ!N914)</f>
        <v>No</v>
      </c>
      <c r="O914" s="57" t="str">
        <f>IF(Associates_Call_List_PQ!O914="","",Associates_Call_List_PQ!O914)</f>
        <v>Yes</v>
      </c>
      <c r="P914" s="57" t="str">
        <f>IF(Associates_Call_List_PQ!P914="","",Associates_Call_List_PQ!P914)</f>
        <v>N</v>
      </c>
      <c r="Q914" s="57">
        <f>IF(Associates_Call_List_PQ!Q914="","",Associates_Call_List_PQ!Q914)</f>
        <v>45954</v>
      </c>
      <c r="R914" s="57" t="str">
        <f>IF(Associates_Call_List_PQ!R914="","",Associates_Call_List_PQ!R914)</f>
        <v/>
      </c>
      <c r="S914" s="57" t="str">
        <f>IF(Associates_Call_List_PQ!S914="","",Associates_Call_List_PQ!S914)</f>
        <v/>
      </c>
      <c r="T914" s="57" t="str">
        <f>IF(Associates_Call_List_PQ!T914="","",Associates_Call_List_PQ!T914)</f>
        <v/>
      </c>
      <c r="U914" s="57" t="str">
        <f>IF(Associates_Call_List_PQ!U914="","",Associates_Call_List_PQ!U914)</f>
        <v/>
      </c>
      <c r="V914" s="68" t="s">
        <v>5433</v>
      </c>
      <c r="W914" s="68">
        <v>46039</v>
      </c>
      <c r="X914" s="68" t="s">
        <v>5434</v>
      </c>
      <c r="Y914" s="68"/>
      <c r="Z914" s="72" t="s">
        <v>5662</v>
      </c>
    </row>
    <row r="915" spans="1:26">
      <c r="A915" s="71">
        <f>IFERROR(Associates_Call_List_PQ!A915,"")</f>
        <v>45952</v>
      </c>
      <c r="B915" s="57" t="str">
        <f>IF(Associates_Call_List_PQ!B915="","",Associates_Call_List_PQ!B915)</f>
        <v>Koval</v>
      </c>
      <c r="C915" s="57" t="str">
        <f>IF(Associates_Call_List_PQ!C915="","",Associates_Call_List_PQ!C915)</f>
        <v>Jane</v>
      </c>
      <c r="D915" s="57" t="str">
        <f>IF(Associates_Call_List_PQ!D915="","",Associates_Call_List_PQ!D915)</f>
        <v>Phoenix</v>
      </c>
      <c r="E915" s="58">
        <f>IF(Associates_Call_List_PQ!E915="","",Associates_Call_List_PQ!E915)</f>
        <v>85023</v>
      </c>
      <c r="F915" s="57" t="str">
        <f>IF(Associates_Call_List_PQ!F915="","",Associates_Call_List_PQ!F915)</f>
        <v>Supports the expansion and updates for energy infrastructure</v>
      </c>
      <c r="G915" s="57" t="str">
        <f>IF(Associates_Call_List_PQ!G915="","",Associates_Call_List_PQ!G915)</f>
        <v>https://docket.images.azcc.gov/E000047140.pdf</v>
      </c>
      <c r="H915" s="59" t="str">
        <f>IF(Associates_Call_List_PQ!H915="","",Associates_Call_List_PQ!H915)</f>
        <v>1189841000</v>
      </c>
      <c r="I915" s="57" t="str">
        <f>IF(Associates_Call_List_PQ!I915="","",Associates_Call_List_PQ!I915)</f>
        <v>R3-47</v>
      </c>
      <c r="J915" s="57" t="str">
        <f>IF(Associates_Call_List_PQ!J915="","",Associates_Call_List_PQ!J915)</f>
        <v>No</v>
      </c>
      <c r="K915" s="57" t="str">
        <f>IF(Associates_Call_List_PQ!K915="","",Associates_Call_List_PQ!K915)</f>
        <v>Yes</v>
      </c>
      <c r="L915" s="57" t="str">
        <f>IF(Associates_Call_List_PQ!L915="","",Associates_Call_List_PQ!L915)</f>
        <v>Y</v>
      </c>
      <c r="M915" s="57" t="str">
        <f>IF(Associates_Call_List_PQ!M915="","",Associates_Call_List_PQ!M915)</f>
        <v>No</v>
      </c>
      <c r="N915" s="57" t="str">
        <f>IF(Associates_Call_List_PQ!N915="","",Associates_Call_List_PQ!N915)</f>
        <v>No</v>
      </c>
      <c r="O915" s="57" t="str">
        <f>IF(Associates_Call_List_PQ!O915="","",Associates_Call_List_PQ!O915)</f>
        <v>Yes</v>
      </c>
      <c r="P915" s="57" t="str">
        <f>IF(Associates_Call_List_PQ!P915="","",Associates_Call_List_PQ!P915)</f>
        <v>N</v>
      </c>
      <c r="Q915" s="57">
        <f>IF(Associates_Call_List_PQ!Q915="","",Associates_Call_List_PQ!Q915)</f>
        <v>45954</v>
      </c>
      <c r="R915" s="57" t="str">
        <f>IF(Associates_Call_List_PQ!R915="","",Associates_Call_List_PQ!R915)</f>
        <v/>
      </c>
      <c r="S915" s="57" t="str">
        <f>IF(Associates_Call_List_PQ!S915="","",Associates_Call_List_PQ!S915)</f>
        <v/>
      </c>
      <c r="T915" s="57" t="str">
        <f>IF(Associates_Call_List_PQ!T915="","",Associates_Call_List_PQ!T915)</f>
        <v/>
      </c>
      <c r="U915" s="57" t="str">
        <f>IF(Associates_Call_List_PQ!U915="","",Associates_Call_List_PQ!U915)</f>
        <v/>
      </c>
      <c r="V915" s="68"/>
      <c r="W915" s="68" t="s">
        <v>5432</v>
      </c>
      <c r="X915" s="68"/>
      <c r="Y915" s="68"/>
      <c r="Z915" s="72"/>
    </row>
    <row r="916" spans="1:26">
      <c r="A916" s="71">
        <f>IFERROR(Associates_Call_List_PQ!A916,"")</f>
        <v>45952</v>
      </c>
      <c r="B916" s="57" t="str">
        <f>IF(Associates_Call_List_PQ!B916="","",Associates_Call_List_PQ!B916)</f>
        <v>Bennett</v>
      </c>
      <c r="C916" s="57" t="str">
        <f>IF(Associates_Call_List_PQ!C916="","",Associates_Call_List_PQ!C916)</f>
        <v>Laura</v>
      </c>
      <c r="D916" s="57" t="str">
        <f>IF(Associates_Call_List_PQ!D916="","",Associates_Call_List_PQ!D916)</f>
        <v>Buckeye</v>
      </c>
      <c r="E916" s="58">
        <f>IF(Associates_Call_List_PQ!E916="","",Associates_Call_List_PQ!E916)</f>
        <v>85396</v>
      </c>
      <c r="F916" s="57" t="str">
        <f>IF(Associates_Call_List_PQ!F916="","",Associates_Call_List_PQ!F916)</f>
        <v>Too many rate increases</v>
      </c>
      <c r="G916" s="57" t="str">
        <f>IF(Associates_Call_List_PQ!G916="","",Associates_Call_List_PQ!G916)</f>
        <v>https://docket.images.azcc.gov/E000047139.pdf</v>
      </c>
      <c r="H916" s="59" t="str">
        <f>IF(Associates_Call_List_PQ!H916="","",Associates_Call_List_PQ!H916)</f>
        <v>2616411000 </v>
      </c>
      <c r="I916" s="57" t="str">
        <f>IF(Associates_Call_List_PQ!I916="","",Associates_Call_List_PQ!I916)</f>
        <v>EPR-6w/ET-1</v>
      </c>
      <c r="J916" s="57" t="str">
        <f>IF(Associates_Call_List_PQ!J916="","",Associates_Call_List_PQ!J916)</f>
        <v>No</v>
      </c>
      <c r="K916" s="57" t="str">
        <f>IF(Associates_Call_List_PQ!K916="","",Associates_Call_List_PQ!K916)</f>
        <v>No</v>
      </c>
      <c r="L916" s="57" t="str">
        <f>IF(Associates_Call_List_PQ!L916="","",Associates_Call_List_PQ!L916)</f>
        <v>Frozen Rate</v>
      </c>
      <c r="M916" s="57" t="str">
        <f>IF(Associates_Call_List_PQ!M916="","",Associates_Call_List_PQ!M916)</f>
        <v>No</v>
      </c>
      <c r="N916" s="57" t="str">
        <f>IF(Associates_Call_List_PQ!N916="","",Associates_Call_List_PQ!N916)</f>
        <v>No</v>
      </c>
      <c r="O916" s="57" t="str">
        <f>IF(Associates_Call_List_PQ!O916="","",Associates_Call_List_PQ!O916)</f>
        <v>Yes</v>
      </c>
      <c r="P916" s="57" t="str">
        <f>IF(Associates_Call_List_PQ!P916="","",Associates_Call_List_PQ!P916)</f>
        <v>N</v>
      </c>
      <c r="Q916" s="57">
        <f>IF(Associates_Call_List_PQ!Q916="","",Associates_Call_List_PQ!Q916)</f>
        <v>45954</v>
      </c>
      <c r="R916" s="57" t="str">
        <f>IF(Associates_Call_List_PQ!R916="","",Associates_Call_List_PQ!R916)</f>
        <v/>
      </c>
      <c r="S916" s="57" t="str">
        <f>IF(Associates_Call_List_PQ!S916="","",Associates_Call_List_PQ!S916)</f>
        <v/>
      </c>
      <c r="T916" s="57" t="str">
        <f>IF(Associates_Call_List_PQ!T916="","",Associates_Call_List_PQ!T916)</f>
        <v/>
      </c>
      <c r="U916" s="57" t="str">
        <f>IF(Associates_Call_List_PQ!U916="","",Associates_Call_List_PQ!U916)</f>
        <v/>
      </c>
      <c r="V916" s="68" t="s">
        <v>5433</v>
      </c>
      <c r="W916" s="68">
        <v>46067</v>
      </c>
      <c r="X916" s="68" t="s">
        <v>5405</v>
      </c>
      <c r="Y916" s="68" t="s">
        <v>5455</v>
      </c>
      <c r="Z916" s="72" t="s">
        <v>5618</v>
      </c>
    </row>
    <row r="917" spans="1:26">
      <c r="A917" s="71">
        <f>IFERROR(Associates_Call_List_PQ!A917,"")</f>
        <v>45954</v>
      </c>
      <c r="B917" s="57" t="str">
        <f>IF(Associates_Call_List_PQ!B917="","",Associates_Call_List_PQ!B917)</f>
        <v>Toro</v>
      </c>
      <c r="C917" s="57" t="str">
        <f>IF(Associates_Call_List_PQ!C917="","",Associates_Call_List_PQ!C917)</f>
        <v>Petty</v>
      </c>
      <c r="D917" s="57" t="str">
        <f>IF(Associates_Call_List_PQ!D917="","",Associates_Call_List_PQ!D917)</f>
        <v>Buckeye</v>
      </c>
      <c r="E917" s="58">
        <f>IF(Associates_Call_List_PQ!E917="","",Associates_Call_List_PQ!E917)</f>
        <v>85326</v>
      </c>
      <c r="F917" s="57" t="str">
        <f>IF(Associates_Call_List_PQ!F917="","",Associates_Call_List_PQ!F917)</f>
        <v>I object to this rate increase due to the excessive executive pay</v>
      </c>
      <c r="G917" s="57" t="str">
        <f>IF(Associates_Call_List_PQ!G917="","",Associates_Call_List_PQ!G917)</f>
        <v>https://docket.images.azcc.gov/E000047175.pdf</v>
      </c>
      <c r="H917" s="59" t="str">
        <f>IF(Associates_Call_List_PQ!H917="","",Associates_Call_List_PQ!H917)</f>
        <v>8709456718</v>
      </c>
      <c r="I917" s="57" t="str">
        <f>IF(Associates_Call_List_PQ!I917="","",Associates_Call_List_PQ!I917)</f>
        <v>RCPw/RTOUE47</v>
      </c>
      <c r="J917" s="57" t="str">
        <f>IF(Associates_Call_List_PQ!J917="","",Associates_Call_List_PQ!J917)</f>
        <v>No</v>
      </c>
      <c r="K917" s="57" t="str">
        <f>IF(Associates_Call_List_PQ!K917="","",Associates_Call_List_PQ!K917)</f>
        <v>No</v>
      </c>
      <c r="L917" s="57" t="str">
        <f>IF(Associates_Call_List_PQ!L917="","",Associates_Call_List_PQ!L917)</f>
        <v>Y</v>
      </c>
      <c r="M917" s="57" t="str">
        <f>IF(Associates_Call_List_PQ!M917="","",Associates_Call_List_PQ!M917)</f>
        <v>Yes</v>
      </c>
      <c r="N917" s="57">
        <f>IF(Associates_Call_List_PQ!N917="","",Associates_Call_List_PQ!N917)</f>
        <v>384.67</v>
      </c>
      <c r="O917" s="57" t="str">
        <f>IF(Associates_Call_List_PQ!O917="","",Associates_Call_List_PQ!O917)</f>
        <v>Yes</v>
      </c>
      <c r="P917" s="57" t="str">
        <f>IF(Associates_Call_List_PQ!P917="","",Associates_Call_List_PQ!P917)</f>
        <v>N</v>
      </c>
      <c r="Q917" s="57">
        <f>IF(Associates_Call_List_PQ!Q917="","",Associates_Call_List_PQ!Q917)</f>
        <v>45960</v>
      </c>
      <c r="R917" s="57" t="str">
        <f>IF(Associates_Call_List_PQ!R917="","",Associates_Call_List_PQ!R917)</f>
        <v/>
      </c>
      <c r="S917" s="57" t="str">
        <f>IF(Associates_Call_List_PQ!S917="","",Associates_Call_List_PQ!S917)</f>
        <v/>
      </c>
      <c r="T917" s="57" t="str">
        <f>IF(Associates_Call_List_PQ!T917="","",Associates_Call_List_PQ!T917)</f>
        <v/>
      </c>
      <c r="U917" s="57" t="str">
        <f>IF(Associates_Call_List_PQ!U917="","",Associates_Call_List_PQ!U917)</f>
        <v/>
      </c>
      <c r="V917" s="68" t="s">
        <v>5433</v>
      </c>
      <c r="W917" s="68">
        <v>46032</v>
      </c>
      <c r="X917" s="68"/>
      <c r="Y917" s="68" t="s">
        <v>5461</v>
      </c>
      <c r="Z917" s="72" t="s">
        <v>5664</v>
      </c>
    </row>
    <row r="918" spans="1:26">
      <c r="A918" s="71">
        <f>IFERROR(Associates_Call_List_PQ!A918,"")</f>
        <v>45954</v>
      </c>
      <c r="B918" s="57" t="str">
        <f>IF(Associates_Call_List_PQ!B918="","",Associates_Call_List_PQ!B918)</f>
        <v>Hagen</v>
      </c>
      <c r="C918" s="57" t="str">
        <f>IF(Associates_Call_List_PQ!C918="","",Associates_Call_List_PQ!C918)</f>
        <v>Nicholas</v>
      </c>
      <c r="D918" s="57" t="str">
        <f>IF(Associates_Call_List_PQ!D918="","",Associates_Call_List_PQ!D918)</f>
        <v>Peoria</v>
      </c>
      <c r="E918" s="58">
        <f>IF(Associates_Call_List_PQ!E918="","",Associates_Call_List_PQ!E918)</f>
        <v>85383</v>
      </c>
      <c r="F918" s="57" t="str">
        <f>IF(Associates_Call_List_PQ!F918="","",Associates_Call_List_PQ!F918)</f>
        <v>Rates are already too high and lack of competition</v>
      </c>
      <c r="G918" s="57" t="str">
        <f>IF(Associates_Call_List_PQ!G918="","",Associates_Call_List_PQ!G918)</f>
        <v>https://docket.images.azcc.gov/E000047175.pdf</v>
      </c>
      <c r="H918" s="59" t="str">
        <f>IF(Associates_Call_List_PQ!H918="","",Associates_Call_List_PQ!H918)</f>
        <v>4263668163</v>
      </c>
      <c r="I918" s="57" t="str">
        <f>IF(Associates_Call_List_PQ!I918="","",Associates_Call_List_PQ!I918)</f>
        <v>R3-47</v>
      </c>
      <c r="J918" s="57" t="str">
        <f>IF(Associates_Call_List_PQ!J918="","",Associates_Call_List_PQ!J918)</f>
        <v>No</v>
      </c>
      <c r="K918" s="57" t="str">
        <f>IF(Associates_Call_List_PQ!K918="","",Associates_Call_List_PQ!K918)</f>
        <v>No</v>
      </c>
      <c r="L918" s="57" t="str">
        <f>IF(Associates_Call_List_PQ!L918="","",Associates_Call_List_PQ!L918)</f>
        <v>Y</v>
      </c>
      <c r="M918" s="57" t="str">
        <f>IF(Associates_Call_List_PQ!M918="","",Associates_Call_List_PQ!M918)</f>
        <v>No</v>
      </c>
      <c r="N918" s="57" t="str">
        <f>IF(Associates_Call_List_PQ!N918="","",Associates_Call_List_PQ!N918)</f>
        <v>No</v>
      </c>
      <c r="O918" s="57" t="str">
        <f>IF(Associates_Call_List_PQ!O918="","",Associates_Call_List_PQ!O918)</f>
        <v>Yes</v>
      </c>
      <c r="P918" s="57" t="str">
        <f>IF(Associates_Call_List_PQ!P918="","",Associates_Call_List_PQ!P918)</f>
        <v>N</v>
      </c>
      <c r="Q918" s="57">
        <f>IF(Associates_Call_List_PQ!Q918="","",Associates_Call_List_PQ!Q918)</f>
        <v>45960</v>
      </c>
      <c r="R918" s="57" t="str">
        <f>IF(Associates_Call_List_PQ!R918="","",Associates_Call_List_PQ!R918)</f>
        <v/>
      </c>
      <c r="S918" s="57" t="str">
        <f>IF(Associates_Call_List_PQ!S918="","",Associates_Call_List_PQ!S918)</f>
        <v/>
      </c>
      <c r="T918" s="57" t="str">
        <f>IF(Associates_Call_List_PQ!T918="","",Associates_Call_List_PQ!T918)</f>
        <v/>
      </c>
      <c r="U918" s="57" t="str">
        <f>IF(Associates_Call_List_PQ!U918="","",Associates_Call_List_PQ!U918)</f>
        <v/>
      </c>
      <c r="V918" s="68" t="s">
        <v>5433</v>
      </c>
      <c r="W918" s="68">
        <v>46067</v>
      </c>
      <c r="X918" s="68" t="s">
        <v>5405</v>
      </c>
      <c r="Y918" s="68" t="s">
        <v>5463</v>
      </c>
      <c r="Z918" s="72" t="s">
        <v>5665</v>
      </c>
    </row>
    <row r="919" spans="1:26">
      <c r="A919" s="71">
        <f>IFERROR(Associates_Call_List_PQ!A919,"")</f>
        <v>45954</v>
      </c>
      <c r="B919" s="57" t="str">
        <f>IF(Associates_Call_List_PQ!B919="","",Associates_Call_List_PQ!B919)</f>
        <v>Dayton</v>
      </c>
      <c r="C919" s="57" t="str">
        <f>IF(Associates_Call_List_PQ!C919="","",Associates_Call_List_PQ!C919)</f>
        <v>Michael</v>
      </c>
      <c r="D919" s="57" t="str">
        <f>IF(Associates_Call_List_PQ!D919="","",Associates_Call_List_PQ!D919)</f>
        <v>Goodyear</v>
      </c>
      <c r="E919" s="58">
        <f>IF(Associates_Call_List_PQ!E919="","",Associates_Call_List_PQ!E919)</f>
        <v>85395</v>
      </c>
      <c r="F919" s="57" t="str">
        <f>IF(Associates_Call_List_PQ!F919="","",Associates_Call_List_PQ!F919)</f>
        <v>For families like mine, the continued rise in utility costs presents a significant burden.</v>
      </c>
      <c r="G919" s="57" t="str">
        <f>IF(Associates_Call_List_PQ!G919="","",Associates_Call_List_PQ!G919)</f>
        <v>https://docket.images.azcc.gov/E000047175.pdf</v>
      </c>
      <c r="H919" s="59" t="str">
        <f>IF(Associates_Call_List_PQ!H919="","",Associates_Call_List_PQ!H919)</f>
        <v>6573080097</v>
      </c>
      <c r="I919" s="57" t="str">
        <f>IF(Associates_Call_List_PQ!I919="","",Associates_Call_List_PQ!I919)</f>
        <v>EPR-6w/ET-2</v>
      </c>
      <c r="J919" s="57" t="str">
        <f>IF(Associates_Call_List_PQ!J919="","",Associates_Call_List_PQ!J919)</f>
        <v>No</v>
      </c>
      <c r="K919" s="57" t="str">
        <f>IF(Associates_Call_List_PQ!K919="","",Associates_Call_List_PQ!K919)</f>
        <v>No</v>
      </c>
      <c r="L919" s="57" t="str">
        <f>IF(Associates_Call_List_PQ!L919="","",Associates_Call_List_PQ!L919)</f>
        <v>Frozen Rate</v>
      </c>
      <c r="M919" s="57" t="str">
        <f>IF(Associates_Call_List_PQ!M919="","",Associates_Call_List_PQ!M919)</f>
        <v>No</v>
      </c>
      <c r="N919" s="57" t="str">
        <f>IF(Associates_Call_List_PQ!N919="","",Associates_Call_List_PQ!N919)</f>
        <v>No</v>
      </c>
      <c r="O919" s="57" t="str">
        <f>IF(Associates_Call_List_PQ!O919="","",Associates_Call_List_PQ!O919)</f>
        <v>Yes</v>
      </c>
      <c r="P919" s="57" t="str">
        <f>IF(Associates_Call_List_PQ!P919="","",Associates_Call_List_PQ!P919)</f>
        <v>N</v>
      </c>
      <c r="Q919" s="57">
        <f>IF(Associates_Call_List_PQ!Q919="","",Associates_Call_List_PQ!Q919)</f>
        <v>45960</v>
      </c>
      <c r="R919" s="57" t="str">
        <f>IF(Associates_Call_List_PQ!R919="","",Associates_Call_List_PQ!R919)</f>
        <v/>
      </c>
      <c r="S919" s="57" t="str">
        <f>IF(Associates_Call_List_PQ!S919="","",Associates_Call_List_PQ!S919)</f>
        <v/>
      </c>
      <c r="T919" s="57" t="str">
        <f>IF(Associates_Call_List_PQ!T919="","",Associates_Call_List_PQ!T919)</f>
        <v/>
      </c>
      <c r="U919" s="57" t="str">
        <f>IF(Associates_Call_List_PQ!U919="","",Associates_Call_List_PQ!U919)</f>
        <v/>
      </c>
      <c r="V919" s="68"/>
      <c r="W919" s="68" t="s">
        <v>5432</v>
      </c>
      <c r="X919" s="68"/>
      <c r="Y919" s="68"/>
      <c r="Z919" s="72"/>
    </row>
    <row r="920" spans="1:26">
      <c r="A920" s="71">
        <f>IFERROR(Associates_Call_List_PQ!A920,"")</f>
        <v>45954</v>
      </c>
      <c r="B920" s="57" t="str">
        <f>IF(Associates_Call_List_PQ!B920="","",Associates_Call_List_PQ!B920)</f>
        <v>Summons</v>
      </c>
      <c r="C920" s="57" t="str">
        <f>IF(Associates_Call_List_PQ!C920="","",Associates_Call_List_PQ!C920)</f>
        <v>Miranda</v>
      </c>
      <c r="D920" s="57" t="str">
        <f>IF(Associates_Call_List_PQ!D920="","",Associates_Call_List_PQ!D920)</f>
        <v>Phoenix</v>
      </c>
      <c r="E920" s="58">
        <f>IF(Associates_Call_List_PQ!E920="","",Associates_Call_List_PQ!E920)</f>
        <v>85003</v>
      </c>
      <c r="F920" s="57" t="str">
        <f>IF(Associates_Call_List_PQ!F920="","",Associates_Call_List_PQ!F920)</f>
        <v>I am against the rate increase</v>
      </c>
      <c r="G920" s="57" t="str">
        <f>IF(Associates_Call_List_PQ!G920="","",Associates_Call_List_PQ!G920)</f>
        <v>https://docket.images.azcc.gov/E000047191.pdf</v>
      </c>
      <c r="H920" s="59" t="str">
        <f>IF(Associates_Call_List_PQ!H920="","",Associates_Call_List_PQ!H920)</f>
        <v>1205900735</v>
      </c>
      <c r="I920" s="57" t="str">
        <f>IF(Associates_Call_List_PQ!I920="","",Associates_Call_List_PQ!I920)</f>
        <v>R-BASIC</v>
      </c>
      <c r="J920" s="57" t="str">
        <f>IF(Associates_Call_List_PQ!J920="","",Associates_Call_List_PQ!J920)</f>
        <v>No</v>
      </c>
      <c r="K920" s="57" t="str">
        <f>IF(Associates_Call_List_PQ!K920="","",Associates_Call_List_PQ!K920)</f>
        <v>No</v>
      </c>
      <c r="L920" s="57" t="str">
        <f>IF(Associates_Call_List_PQ!L920="","",Associates_Call_List_PQ!L920)</f>
        <v>No MEP R3-47 ($3.61)</v>
      </c>
      <c r="M920" s="57" t="str">
        <f>IF(Associates_Call_List_PQ!M920="","",Associates_Call_List_PQ!M920)</f>
        <v>Yes</v>
      </c>
      <c r="N920" s="57">
        <f>IF(Associates_Call_List_PQ!N920="","",Associates_Call_List_PQ!N920)</f>
        <v>398.69</v>
      </c>
      <c r="O920" s="57" t="str">
        <f>IF(Associates_Call_List_PQ!O920="","",Associates_Call_List_PQ!O920)</f>
        <v>Yes</v>
      </c>
      <c r="P920" s="57" t="str">
        <f>IF(Associates_Call_List_PQ!P920="","",Associates_Call_List_PQ!P920)</f>
        <v>N</v>
      </c>
      <c r="Q920" s="57">
        <f>IF(Associates_Call_List_PQ!Q920="","",Associates_Call_List_PQ!Q920)</f>
        <v>45960</v>
      </c>
      <c r="R920" s="57" t="str">
        <f>IF(Associates_Call_List_PQ!R920="","",Associates_Call_List_PQ!R920)</f>
        <v/>
      </c>
      <c r="S920" s="57" t="str">
        <f>IF(Associates_Call_List_PQ!S920="","",Associates_Call_List_PQ!S920)</f>
        <v/>
      </c>
      <c r="T920" s="57" t="str">
        <f>IF(Associates_Call_List_PQ!T920="","",Associates_Call_List_PQ!T920)</f>
        <v/>
      </c>
      <c r="U920" s="57" t="str">
        <f>IF(Associates_Call_List_PQ!U920="","",Associates_Call_List_PQ!U920)</f>
        <v/>
      </c>
      <c r="V920" s="68" t="s">
        <v>5433</v>
      </c>
      <c r="W920" s="68">
        <v>46032</v>
      </c>
      <c r="X920" s="68" t="s">
        <v>5434</v>
      </c>
      <c r="Y920" s="68"/>
      <c r="Z920" s="72" t="s">
        <v>5446</v>
      </c>
    </row>
    <row r="921" spans="1:26">
      <c r="A921" s="71">
        <f>IFERROR(Associates_Call_List_PQ!A921,"")</f>
        <v>45959</v>
      </c>
      <c r="B921" s="57" t="str">
        <f>IF(Associates_Call_List_PQ!B921="","",Associates_Call_List_PQ!B921)</f>
        <v>Byman</v>
      </c>
      <c r="C921" s="57" t="str">
        <f>IF(Associates_Call_List_PQ!C921="","",Associates_Call_List_PQ!C921)</f>
        <v>Rachel</v>
      </c>
      <c r="D921" s="57" t="str">
        <f>IF(Associates_Call_List_PQ!D921="","",Associates_Call_List_PQ!D921)</f>
        <v>Phoenix</v>
      </c>
      <c r="E921" s="58">
        <f>IF(Associates_Call_List_PQ!E921="","",Associates_Call_List_PQ!E921)</f>
        <v>85086</v>
      </c>
      <c r="F921" s="57" t="str">
        <f>IF(Associates_Call_List_PQ!F921="","",Associates_Call_List_PQ!F921)</f>
        <v>Form Letter: Enough is enough! You must reject the latest 14% rate hikes by APS and TEP</v>
      </c>
      <c r="G921" s="57" t="str">
        <f>IF(Associates_Call_List_PQ!G921="","",Associates_Call_List_PQ!G921)</f>
        <v>https://docket.images.azcc.gov/E000047270.pdf</v>
      </c>
      <c r="H921" s="59" t="str">
        <f>IF(Associates_Call_List_PQ!H921="","",Associates_Call_List_PQ!H921)</f>
        <v>1039090000</v>
      </c>
      <c r="I921" s="57" t="str">
        <f>IF(Associates_Call_List_PQ!I921="","",Associates_Call_List_PQ!I921)</f>
        <v>R3-47</v>
      </c>
      <c r="J921" s="57" t="str">
        <f>IF(Associates_Call_List_PQ!J921="","",Associates_Call_List_PQ!J921)</f>
        <v>Yes</v>
      </c>
      <c r="K921" s="57" t="str">
        <f>IF(Associates_Call_List_PQ!K921="","",Associates_Call_List_PQ!K921)</f>
        <v>No</v>
      </c>
      <c r="L921" s="57" t="str">
        <f>IF(Associates_Call_List_PQ!L921="","",Associates_Call_List_PQ!L921)</f>
        <v>No MEP RTOUE ($1.30)</v>
      </c>
      <c r="M921" s="57" t="str">
        <f>IF(Associates_Call_List_PQ!M921="","",Associates_Call_List_PQ!M921)</f>
        <v>Yes</v>
      </c>
      <c r="N921" s="57">
        <f>IF(Associates_Call_List_PQ!N921="","",Associates_Call_List_PQ!N921)</f>
        <v>318.62</v>
      </c>
      <c r="O921" s="57" t="str">
        <f>IF(Associates_Call_List_PQ!O921="","",Associates_Call_List_PQ!O921)</f>
        <v>Yes</v>
      </c>
      <c r="P921" s="57" t="str">
        <f>IF(Associates_Call_List_PQ!P921="","",Associates_Call_List_PQ!P921)</f>
        <v>N</v>
      </c>
      <c r="Q921" s="57">
        <f>IF(Associates_Call_List_PQ!Q921="","",Associates_Call_List_PQ!Q921)</f>
        <v>45960</v>
      </c>
      <c r="R921" s="57" t="str">
        <f>IF(Associates_Call_List_PQ!R921="","",Associates_Call_List_PQ!R921)</f>
        <v>Petition</v>
      </c>
      <c r="S921" s="57" t="str">
        <f>IF(Associates_Call_List_PQ!S921="","",Associates_Call_List_PQ!S921)</f>
        <v/>
      </c>
      <c r="T921" s="57" t="str">
        <f>IF(Associates_Call_List_PQ!T921="","",Associates_Call_List_PQ!T921)</f>
        <v/>
      </c>
      <c r="U921" s="57" t="str">
        <f>IF(Associates_Call_List_PQ!U921="","",Associates_Call_List_PQ!U921)</f>
        <v/>
      </c>
      <c r="V921" s="68" t="s">
        <v>5433</v>
      </c>
      <c r="W921" s="68">
        <v>46032</v>
      </c>
      <c r="X921" s="68" t="s">
        <v>5434</v>
      </c>
      <c r="Y921" s="68"/>
      <c r="Z921" s="72" t="s">
        <v>5446</v>
      </c>
    </row>
    <row r="922" spans="1:26">
      <c r="A922" s="71">
        <f>IFERROR(Associates_Call_List_PQ!A922,"")</f>
        <v>45959</v>
      </c>
      <c r="B922" s="57" t="str">
        <f>IF(Associates_Call_List_PQ!B922="","",Associates_Call_List_PQ!B922)</f>
        <v>Lawson</v>
      </c>
      <c r="C922" s="57" t="str">
        <f>IF(Associates_Call_List_PQ!C922="","",Associates_Call_List_PQ!C922)</f>
        <v>Kourtney</v>
      </c>
      <c r="D922" s="57" t="str">
        <f>IF(Associates_Call_List_PQ!D922="","",Associates_Call_List_PQ!D922)</f>
        <v>Buckeye</v>
      </c>
      <c r="E922" s="58">
        <f>IF(Associates_Call_List_PQ!E922="","",Associates_Call_List_PQ!E922)</f>
        <v>85396</v>
      </c>
      <c r="F922" s="57" t="str">
        <f>IF(Associates_Call_List_PQ!F922="","",Associates_Call_List_PQ!F922)</f>
        <v>Form Letter: Enough is enough! You must reject the latest 14% rate hikes by APS and TEP</v>
      </c>
      <c r="G922" s="57" t="str">
        <f>IF(Associates_Call_List_PQ!G922="","",Associates_Call_List_PQ!G922)</f>
        <v>https://docket.images.azcc.gov/E000047270.pdf</v>
      </c>
      <c r="H922" s="59" t="str">
        <f>IF(Associates_Call_List_PQ!H922="","",Associates_Call_List_PQ!H922)</f>
        <v>1754570000</v>
      </c>
      <c r="I922" s="57" t="str">
        <f>IF(Associates_Call_List_PQ!I922="","",Associates_Call_List_PQ!I922)</f>
        <v>R3-47</v>
      </c>
      <c r="J922" s="57" t="str">
        <f>IF(Associates_Call_List_PQ!J922="","",Associates_Call_List_PQ!J922)</f>
        <v>No</v>
      </c>
      <c r="K922" s="57" t="str">
        <f>IF(Associates_Call_List_PQ!K922="","",Associates_Call_List_PQ!K922)</f>
        <v>No</v>
      </c>
      <c r="L922" s="57" t="str">
        <f>IF(Associates_Call_List_PQ!L922="","",Associates_Call_List_PQ!L922)</f>
        <v>Y</v>
      </c>
      <c r="M922" s="57" t="str">
        <f>IF(Associates_Call_List_PQ!M922="","",Associates_Call_List_PQ!M922)</f>
        <v>No</v>
      </c>
      <c r="N922" s="57" t="str">
        <f>IF(Associates_Call_List_PQ!N922="","",Associates_Call_List_PQ!N922)</f>
        <v>No</v>
      </c>
      <c r="O922" s="57" t="str">
        <f>IF(Associates_Call_List_PQ!O922="","",Associates_Call_List_PQ!O922)</f>
        <v>Yes</v>
      </c>
      <c r="P922" s="57" t="str">
        <f>IF(Associates_Call_List_PQ!P922="","",Associates_Call_List_PQ!P922)</f>
        <v>N</v>
      </c>
      <c r="Q922" s="57">
        <f>IF(Associates_Call_List_PQ!Q922="","",Associates_Call_List_PQ!Q922)</f>
        <v>45960</v>
      </c>
      <c r="R922" s="57" t="str">
        <f>IF(Associates_Call_List_PQ!R922="","",Associates_Call_List_PQ!R922)</f>
        <v>Petition</v>
      </c>
      <c r="S922" s="57" t="str">
        <f>IF(Associates_Call_List_PQ!S922="","",Associates_Call_List_PQ!S922)</f>
        <v/>
      </c>
      <c r="T922" s="57" t="str">
        <f>IF(Associates_Call_List_PQ!T922="","",Associates_Call_List_PQ!T922)</f>
        <v/>
      </c>
      <c r="U922" s="57" t="str">
        <f>IF(Associates_Call_List_PQ!U922="","",Associates_Call_List_PQ!U922)</f>
        <v/>
      </c>
      <c r="V922" s="68" t="s">
        <v>5433</v>
      </c>
      <c r="W922" s="68">
        <v>46067</v>
      </c>
      <c r="X922" s="68" t="s">
        <v>5434</v>
      </c>
      <c r="Y922" s="68"/>
      <c r="Z922" s="72" t="s">
        <v>5446</v>
      </c>
    </row>
    <row r="923" spans="1:26">
      <c r="A923" s="71">
        <f>IFERROR(Associates_Call_List_PQ!A923,"")</f>
        <v>45959</v>
      </c>
      <c r="B923" s="57" t="str">
        <f>IF(Associates_Call_List_PQ!B923="","",Associates_Call_List_PQ!B923)</f>
        <v>Gaietto</v>
      </c>
      <c r="C923" s="57" t="str">
        <f>IF(Associates_Call_List_PQ!C923="","",Associates_Call_List_PQ!C923)</f>
        <v>Vince</v>
      </c>
      <c r="D923" s="57" t="str">
        <f>IF(Associates_Call_List_PQ!D923="","",Associates_Call_List_PQ!D923)</f>
        <v>Surprise</v>
      </c>
      <c r="E923" s="58">
        <f>IF(Associates_Call_List_PQ!E923="","",Associates_Call_List_PQ!E923)</f>
        <v>85387</v>
      </c>
      <c r="F923" s="57" t="str">
        <f>IF(Associates_Call_List_PQ!F923="","",Associates_Call_List_PQ!F923)</f>
        <v>Form Letter: Enough is enough! You must reject the latest 14% rate hikes by APS and TEP</v>
      </c>
      <c r="G923" s="57" t="str">
        <f>IF(Associates_Call_List_PQ!G923="","",Associates_Call_List_PQ!G923)</f>
        <v>https://docket.images.azcc.gov/E000047270.pdf</v>
      </c>
      <c r="H923" s="59" t="str">
        <f>IF(Associates_Call_List_PQ!H923="","",Associates_Call_List_PQ!H923)</f>
        <v>1383444423</v>
      </c>
      <c r="I923" s="57" t="str">
        <f>IF(Associates_Call_List_PQ!I923="","",Associates_Call_List_PQ!I923)</f>
        <v>R3-47</v>
      </c>
      <c r="J923" s="57" t="str">
        <f>IF(Associates_Call_List_PQ!J923="","",Associates_Call_List_PQ!J923)</f>
        <v>No</v>
      </c>
      <c r="K923" s="57" t="str">
        <f>IF(Associates_Call_List_PQ!K923="","",Associates_Call_List_PQ!K923)</f>
        <v>No</v>
      </c>
      <c r="L923" s="57" t="str">
        <f>IF(Associates_Call_List_PQ!L923="","",Associates_Call_List_PQ!L923)</f>
        <v>Y</v>
      </c>
      <c r="M923" s="57" t="str">
        <f>IF(Associates_Call_List_PQ!M923="","",Associates_Call_List_PQ!M923)</f>
        <v>No</v>
      </c>
      <c r="N923" s="57" t="str">
        <f>IF(Associates_Call_List_PQ!N923="","",Associates_Call_List_PQ!N923)</f>
        <v>No</v>
      </c>
      <c r="O923" s="57" t="str">
        <f>IF(Associates_Call_List_PQ!O923="","",Associates_Call_List_PQ!O923)</f>
        <v>Yes</v>
      </c>
      <c r="P923" s="57" t="str">
        <f>IF(Associates_Call_List_PQ!P923="","",Associates_Call_List_PQ!P923)</f>
        <v>N</v>
      </c>
      <c r="Q923" s="57">
        <f>IF(Associates_Call_List_PQ!Q923="","",Associates_Call_List_PQ!Q923)</f>
        <v>45960</v>
      </c>
      <c r="R923" s="57" t="str">
        <f>IF(Associates_Call_List_PQ!R923="","",Associates_Call_List_PQ!R923)</f>
        <v>Petition</v>
      </c>
      <c r="S923" s="57" t="str">
        <f>IF(Associates_Call_List_PQ!S923="","",Associates_Call_List_PQ!S923)</f>
        <v/>
      </c>
      <c r="T923" s="57" t="str">
        <f>IF(Associates_Call_List_PQ!T923="","",Associates_Call_List_PQ!T923)</f>
        <v/>
      </c>
      <c r="U923" s="57" t="str">
        <f>IF(Associates_Call_List_PQ!U923="","",Associates_Call_List_PQ!U923)</f>
        <v/>
      </c>
      <c r="V923" s="68"/>
      <c r="W923" s="68" t="s">
        <v>5432</v>
      </c>
      <c r="X923" s="68"/>
      <c r="Y923" s="68"/>
      <c r="Z923" s="72"/>
    </row>
    <row r="924" spans="1:26">
      <c r="A924" s="71">
        <f>IFERROR(Associates_Call_List_PQ!A924,"")</f>
        <v>45959</v>
      </c>
      <c r="B924" s="57" t="str">
        <f>IF(Associates_Call_List_PQ!B924="","",Associates_Call_List_PQ!B924)</f>
        <v>Cantore</v>
      </c>
      <c r="C924" s="57" t="str">
        <f>IF(Associates_Call_List_PQ!C924="","",Associates_Call_List_PQ!C924)</f>
        <v>Xiomara</v>
      </c>
      <c r="D924" s="57" t="str">
        <f>IF(Associates_Call_List_PQ!D924="","",Associates_Call_List_PQ!D924)</f>
        <v>Surprise</v>
      </c>
      <c r="E924" s="58">
        <f>IF(Associates_Call_List_PQ!E924="","",Associates_Call_List_PQ!E924)</f>
        <v>85379</v>
      </c>
      <c r="F924" s="57" t="str">
        <f>IF(Associates_Call_List_PQ!F924="","",Associates_Call_List_PQ!F924)</f>
        <v>Form Letter: Enough is enough! You must reject the latest 14% rate hikes by APS and TEP</v>
      </c>
      <c r="G924" s="57" t="str">
        <f>IF(Associates_Call_List_PQ!G924="","",Associates_Call_List_PQ!G924)</f>
        <v>https://docket.images.azcc.gov/E000047270.pdf</v>
      </c>
      <c r="H924" s="59" t="str">
        <f>IF(Associates_Call_List_PQ!H924="","",Associates_Call_List_PQ!H924)</f>
        <v>5816055793</v>
      </c>
      <c r="I924" s="57" t="str">
        <f>IF(Associates_Call_List_PQ!I924="","",Associates_Call_List_PQ!I924)</f>
        <v>RTOUE47</v>
      </c>
      <c r="J924" s="57" t="str">
        <f>IF(Associates_Call_List_PQ!J924="","",Associates_Call_List_PQ!J924)</f>
        <v>No</v>
      </c>
      <c r="K924" s="57" t="str">
        <f>IF(Associates_Call_List_PQ!K924="","",Associates_Call_List_PQ!K924)</f>
        <v>No</v>
      </c>
      <c r="L924" s="57" t="str">
        <f>IF(Associates_Call_List_PQ!L924="","",Associates_Call_List_PQ!L924)</f>
        <v>No MEP RBASIC ($65.01)</v>
      </c>
      <c r="M924" s="57" t="str">
        <f>IF(Associates_Call_List_PQ!M924="","",Associates_Call_List_PQ!M924)</f>
        <v>No</v>
      </c>
      <c r="N924" s="57" t="str">
        <f>IF(Associates_Call_List_PQ!N924="","",Associates_Call_List_PQ!N924)</f>
        <v>No</v>
      </c>
      <c r="O924" s="57" t="str">
        <f>IF(Associates_Call_List_PQ!O924="","",Associates_Call_List_PQ!O924)</f>
        <v>Yes</v>
      </c>
      <c r="P924" s="57" t="str">
        <f>IF(Associates_Call_List_PQ!P924="","",Associates_Call_List_PQ!P924)</f>
        <v>N</v>
      </c>
      <c r="Q924" s="57">
        <f>IF(Associates_Call_List_PQ!Q924="","",Associates_Call_List_PQ!Q924)</f>
        <v>45960</v>
      </c>
      <c r="R924" s="57" t="str">
        <f>IF(Associates_Call_List_PQ!R924="","",Associates_Call_List_PQ!R924)</f>
        <v>Petition</v>
      </c>
      <c r="S924" s="57" t="str">
        <f>IF(Associates_Call_List_PQ!S924="","",Associates_Call_List_PQ!S924)</f>
        <v/>
      </c>
      <c r="T924" s="57" t="str">
        <f>IF(Associates_Call_List_PQ!T924="","",Associates_Call_List_PQ!T924)</f>
        <v/>
      </c>
      <c r="U924" s="57" t="str">
        <f>IF(Associates_Call_List_PQ!U924="","",Associates_Call_List_PQ!U924)</f>
        <v/>
      </c>
      <c r="V924" s="68" t="s">
        <v>5433</v>
      </c>
      <c r="W924" s="68">
        <v>46032</v>
      </c>
      <c r="X924" s="68" t="s">
        <v>5434</v>
      </c>
      <c r="Y924" s="68"/>
      <c r="Z924" s="72" t="s">
        <v>5634</v>
      </c>
    </row>
    <row r="925" spans="1:26">
      <c r="A925" s="71">
        <f>IFERROR(Associates_Call_List_PQ!A925,"")</f>
        <v>45959</v>
      </c>
      <c r="B925" s="57" t="str">
        <f>IF(Associates_Call_List_PQ!B925="","",Associates_Call_List_PQ!B925)</f>
        <v>Marino</v>
      </c>
      <c r="C925" s="57" t="str">
        <f>IF(Associates_Call_List_PQ!C925="","",Associates_Call_List_PQ!C925)</f>
        <v>Susie</v>
      </c>
      <c r="D925" s="57" t="str">
        <f>IF(Associates_Call_List_PQ!D925="","",Associates_Call_List_PQ!D925)</f>
        <v>Surprise</v>
      </c>
      <c r="E925" s="58">
        <f>IF(Associates_Call_List_PQ!E925="","",Associates_Call_List_PQ!E925)</f>
        <v>85379</v>
      </c>
      <c r="F925" s="57" t="str">
        <f>IF(Associates_Call_List_PQ!F925="","",Associates_Call_List_PQ!F925)</f>
        <v>Form Letter: Enough is enough! You must reject the latest 14% rate hikes by APS and TEP</v>
      </c>
      <c r="G925" s="57" t="str">
        <f>IF(Associates_Call_List_PQ!G925="","",Associates_Call_List_PQ!G925)</f>
        <v>https://docket.images.azcc.gov/E000047270.pdf</v>
      </c>
      <c r="H925" s="59" t="str">
        <f>IF(Associates_Call_List_PQ!H925="","",Associates_Call_List_PQ!H925)</f>
        <v>8510901315</v>
      </c>
      <c r="I925" s="57" t="str">
        <f>IF(Associates_Call_List_PQ!I925="","",Associates_Call_List_PQ!I925)</f>
        <v>R-2</v>
      </c>
      <c r="J925" s="57" t="str">
        <f>IF(Associates_Call_List_PQ!J925="","",Associates_Call_List_PQ!J925)</f>
        <v>No</v>
      </c>
      <c r="K925" s="57" t="str">
        <f>IF(Associates_Call_List_PQ!K925="","",Associates_Call_List_PQ!K925)</f>
        <v>No</v>
      </c>
      <c r="L925" s="57" t="str">
        <f>IF(Associates_Call_List_PQ!L925="","",Associates_Call_List_PQ!L925)</f>
        <v>Frozen Rate</v>
      </c>
      <c r="M925" s="57" t="str">
        <f>IF(Associates_Call_List_PQ!M925="","",Associates_Call_List_PQ!M925)</f>
        <v>No</v>
      </c>
      <c r="N925" s="57" t="str">
        <f>IF(Associates_Call_List_PQ!N925="","",Associates_Call_List_PQ!N925)</f>
        <v>No</v>
      </c>
      <c r="O925" s="57" t="str">
        <f>IF(Associates_Call_List_PQ!O925="","",Associates_Call_List_PQ!O925)</f>
        <v>Yes</v>
      </c>
      <c r="P925" s="57" t="str">
        <f>IF(Associates_Call_List_PQ!P925="","",Associates_Call_List_PQ!P925)</f>
        <v>N</v>
      </c>
      <c r="Q925" s="57">
        <f>IF(Associates_Call_List_PQ!Q925="","",Associates_Call_List_PQ!Q925)</f>
        <v>45960</v>
      </c>
      <c r="R925" s="57" t="str">
        <f>IF(Associates_Call_List_PQ!R925="","",Associates_Call_List_PQ!R925)</f>
        <v>Petition</v>
      </c>
      <c r="S925" s="57" t="str">
        <f>IF(Associates_Call_List_PQ!S925="","",Associates_Call_List_PQ!S925)</f>
        <v/>
      </c>
      <c r="T925" s="57" t="str">
        <f>IF(Associates_Call_List_PQ!T925="","",Associates_Call_List_PQ!T925)</f>
        <v/>
      </c>
      <c r="U925" s="57" t="str">
        <f>IF(Associates_Call_List_PQ!U925="","",Associates_Call_List_PQ!U925)</f>
        <v/>
      </c>
      <c r="V925" s="68"/>
      <c r="W925" s="68" t="s">
        <v>5432</v>
      </c>
      <c r="X925" s="68"/>
      <c r="Y925" s="68"/>
      <c r="Z925" s="72"/>
    </row>
    <row r="926" spans="1:26">
      <c r="A926" s="71">
        <f>IFERROR(Associates_Call_List_PQ!A926,"")</f>
        <v>45959</v>
      </c>
      <c r="B926" s="57" t="str">
        <f>IF(Associates_Call_List_PQ!B926="","",Associates_Call_List_PQ!B926)</f>
        <v>Hughes</v>
      </c>
      <c r="C926" s="57" t="str">
        <f>IF(Associates_Call_List_PQ!C926="","",Associates_Call_List_PQ!C926)</f>
        <v>Kristen</v>
      </c>
      <c r="D926" s="57" t="str">
        <f>IF(Associates_Call_List_PQ!D926="","",Associates_Call_List_PQ!D926)</f>
        <v>Phoenix</v>
      </c>
      <c r="E926" s="58">
        <f>IF(Associates_Call_List_PQ!E926="","",Associates_Call_List_PQ!E926)</f>
        <v>85020</v>
      </c>
      <c r="F926" s="57" t="str">
        <f>IF(Associates_Call_List_PQ!F926="","",Associates_Call_List_PQ!F926)</f>
        <v>Form Letter: Enough is enough! You must reject the latest 14% rate hikes by APS and TEP</v>
      </c>
      <c r="G926" s="57" t="str">
        <f>IF(Associates_Call_List_PQ!G926="","",Associates_Call_List_PQ!G926)</f>
        <v>https://docket.images.azcc.gov/E000047255.pdf</v>
      </c>
      <c r="H926" s="59" t="str">
        <f>IF(Associates_Call_List_PQ!H926="","",Associates_Call_List_PQ!H926)</f>
        <v>4077484827</v>
      </c>
      <c r="I926" s="57" t="str">
        <f>IF(Associates_Call_List_PQ!I926="","",Associates_Call_List_PQ!I926)</f>
        <v>R-XS</v>
      </c>
      <c r="J926" s="57" t="str">
        <f>IF(Associates_Call_List_PQ!J926="","",Associates_Call_List_PQ!J926)</f>
        <v>No</v>
      </c>
      <c r="K926" s="57" t="str">
        <f>IF(Associates_Call_List_PQ!K926="","",Associates_Call_List_PQ!K926)</f>
        <v>No</v>
      </c>
      <c r="L926" s="57" t="str">
        <f>IF(Associates_Call_List_PQ!L926="","",Associates_Call_List_PQ!L926)</f>
        <v>Y</v>
      </c>
      <c r="M926" s="57" t="str">
        <f>IF(Associates_Call_List_PQ!M926="","",Associates_Call_List_PQ!M926)</f>
        <v>No</v>
      </c>
      <c r="N926" s="57" t="str">
        <f>IF(Associates_Call_List_PQ!N926="","",Associates_Call_List_PQ!N926)</f>
        <v>No</v>
      </c>
      <c r="O926" s="57" t="str">
        <f>IF(Associates_Call_List_PQ!O926="","",Associates_Call_List_PQ!O926)</f>
        <v>Yes</v>
      </c>
      <c r="P926" s="57" t="str">
        <f>IF(Associates_Call_List_PQ!P926="","",Associates_Call_List_PQ!P926)</f>
        <v>N</v>
      </c>
      <c r="Q926" s="57">
        <f>IF(Associates_Call_List_PQ!Q926="","",Associates_Call_List_PQ!Q926)</f>
        <v>45960</v>
      </c>
      <c r="R926" s="57" t="str">
        <f>IF(Associates_Call_List_PQ!R926="","",Associates_Call_List_PQ!R926)</f>
        <v/>
      </c>
      <c r="S926" s="57" t="str">
        <f>IF(Associates_Call_List_PQ!S926="","",Associates_Call_List_PQ!S926)</f>
        <v/>
      </c>
      <c r="T926" s="57" t="str">
        <f>IF(Associates_Call_List_PQ!T926="","",Associates_Call_List_PQ!T926)</f>
        <v/>
      </c>
      <c r="U926" s="57" t="str">
        <f>IF(Associates_Call_List_PQ!U926="","",Associates_Call_List_PQ!U926)</f>
        <v/>
      </c>
      <c r="V926" s="68" t="s">
        <v>5433</v>
      </c>
      <c r="W926" s="68">
        <v>46067</v>
      </c>
      <c r="X926" s="68" t="s">
        <v>5405</v>
      </c>
      <c r="Y926" s="68"/>
      <c r="Z926" s="72" t="s">
        <v>5620</v>
      </c>
    </row>
    <row r="927" spans="1:26">
      <c r="A927" s="71">
        <f>IFERROR(Associates_Call_List_PQ!A927,"")</f>
        <v>45959</v>
      </c>
      <c r="B927" s="57" t="str">
        <f>IF(Associates_Call_List_PQ!B927="","",Associates_Call_List_PQ!B927)</f>
        <v>Jaffe</v>
      </c>
      <c r="C927" s="57" t="str">
        <f>IF(Associates_Call_List_PQ!C927="","",Associates_Call_List_PQ!C927)</f>
        <v>Russell</v>
      </c>
      <c r="D927" s="57" t="str">
        <f>IF(Associates_Call_List_PQ!D927="","",Associates_Call_List_PQ!D927)</f>
        <v>Buckeye</v>
      </c>
      <c r="E927" s="58">
        <f>IF(Associates_Call_List_PQ!E927="","",Associates_Call_List_PQ!E927)</f>
        <v>85396</v>
      </c>
      <c r="F927" s="57" t="str">
        <f>IF(Associates_Call_List_PQ!F927="","",Associates_Call_List_PQ!F927)</f>
        <v>This is an insane request in these challenging times</v>
      </c>
      <c r="G927" s="57" t="str">
        <f>IF(Associates_Call_List_PQ!G927="","",Associates_Call_List_PQ!G927)</f>
        <v>https://docket.images.azcc.gov/E000047250.pdf</v>
      </c>
      <c r="H927" s="59" t="str">
        <f>IF(Associates_Call_List_PQ!H927="","",Associates_Call_List_PQ!H927)</f>
        <v>1946751000</v>
      </c>
      <c r="I927" s="57" t="str">
        <f>IF(Associates_Call_List_PQ!I927="","",Associates_Call_List_PQ!I927)</f>
        <v>R3-47</v>
      </c>
      <c r="J927" s="57" t="str">
        <f>IF(Associates_Call_List_PQ!J927="","",Associates_Call_List_PQ!J927)</f>
        <v>No</v>
      </c>
      <c r="K927" s="57" t="str">
        <f>IF(Associates_Call_List_PQ!K927="","",Associates_Call_List_PQ!K927)</f>
        <v>No</v>
      </c>
      <c r="L927" s="57" t="str">
        <f>IF(Associates_Call_List_PQ!L927="","",Associates_Call_List_PQ!L927)</f>
        <v>Y</v>
      </c>
      <c r="M927" s="57" t="str">
        <f>IF(Associates_Call_List_PQ!M927="","",Associates_Call_List_PQ!M927)</f>
        <v>No</v>
      </c>
      <c r="N927" s="57" t="str">
        <f>IF(Associates_Call_List_PQ!N927="","",Associates_Call_List_PQ!N927)</f>
        <v>No</v>
      </c>
      <c r="O927" s="57" t="str">
        <f>IF(Associates_Call_List_PQ!O927="","",Associates_Call_List_PQ!O927)</f>
        <v>Yes</v>
      </c>
      <c r="P927" s="57" t="str">
        <f>IF(Associates_Call_List_PQ!P927="","",Associates_Call_List_PQ!P927)</f>
        <v>N</v>
      </c>
      <c r="Q927" s="57">
        <f>IF(Associates_Call_List_PQ!Q927="","",Associates_Call_List_PQ!Q927)</f>
        <v>45960</v>
      </c>
      <c r="R927" s="57" t="str">
        <f>IF(Associates_Call_List_PQ!R927="","",Associates_Call_List_PQ!R927)</f>
        <v/>
      </c>
      <c r="S927" s="57" t="str">
        <f>IF(Associates_Call_List_PQ!S927="","",Associates_Call_List_PQ!S927)</f>
        <v/>
      </c>
      <c r="T927" s="57" t="str">
        <f>IF(Associates_Call_List_PQ!T927="","",Associates_Call_List_PQ!T927)</f>
        <v/>
      </c>
      <c r="U927" s="57" t="str">
        <f>IF(Associates_Call_List_PQ!U927="","",Associates_Call_List_PQ!U927)</f>
        <v/>
      </c>
      <c r="V927" s="68"/>
      <c r="W927" s="68" t="s">
        <v>5432</v>
      </c>
      <c r="X927" s="68"/>
      <c r="Y927" s="68"/>
      <c r="Z927" s="72"/>
    </row>
    <row r="928" spans="1:26">
      <c r="A928" s="71">
        <f>IFERROR(Associates_Call_List_PQ!A928,"")</f>
        <v>45961</v>
      </c>
      <c r="B928" s="57" t="str">
        <f>IF(Associates_Call_List_PQ!B928="","",Associates_Call_List_PQ!B928)</f>
        <v>Allen</v>
      </c>
      <c r="C928" s="57" t="str">
        <f>IF(Associates_Call_List_PQ!C928="","",Associates_Call_List_PQ!C928)</f>
        <v>Katie</v>
      </c>
      <c r="D928" s="57" t="str">
        <f>IF(Associates_Call_List_PQ!D928="","",Associates_Call_List_PQ!D928)</f>
        <v>Phoenix</v>
      </c>
      <c r="E928" s="58">
        <f>IF(Associates_Call_List_PQ!E928="","",Associates_Call_List_PQ!E928)</f>
        <v>85083</v>
      </c>
      <c r="F928" s="57" t="str">
        <f>IF(Associates_Call_List_PQ!F928="","",Associates_Call_List_PQ!F928)</f>
        <v>Form Letter: Enough is enough! You must reject the latest 14% rate hikes by APS and TEP</v>
      </c>
      <c r="G928" s="57" t="str">
        <f>IF(Associates_Call_List_PQ!G928="","",Associates_Call_List_PQ!G928)</f>
        <v>https://docket.images.azcc.gov/E000047297.pdf</v>
      </c>
      <c r="H928" s="59" t="str">
        <f>IF(Associates_Call_List_PQ!H928="","",Associates_Call_List_PQ!H928)</f>
        <v>7591331000</v>
      </c>
      <c r="I928" s="57" t="str">
        <f>IF(Associates_Call_List_PQ!I928="","",Associates_Call_List_PQ!I928)</f>
        <v>EPR-6w/E-12</v>
      </c>
      <c r="J928" s="57" t="str">
        <f>IF(Associates_Call_List_PQ!J928="","",Associates_Call_List_PQ!J928)</f>
        <v>No</v>
      </c>
      <c r="K928" s="57" t="str">
        <f>IF(Associates_Call_List_PQ!K928="","",Associates_Call_List_PQ!K928)</f>
        <v>No</v>
      </c>
      <c r="L928" s="57" t="str">
        <f>IF(Associates_Call_List_PQ!L928="","",Associates_Call_List_PQ!L928)</f>
        <v>Frozen Rate</v>
      </c>
      <c r="M928" s="57" t="str">
        <f>IF(Associates_Call_List_PQ!M928="","",Associates_Call_List_PQ!M928)</f>
        <v>No</v>
      </c>
      <c r="N928" s="57" t="str">
        <f>IF(Associates_Call_List_PQ!N928="","",Associates_Call_List_PQ!N928)</f>
        <v>No</v>
      </c>
      <c r="O928" s="57" t="str">
        <f>IF(Associates_Call_List_PQ!O928="","",Associates_Call_List_PQ!O928)</f>
        <v>Yes</v>
      </c>
      <c r="P928" s="57" t="str">
        <f>IF(Associates_Call_List_PQ!P928="","",Associates_Call_List_PQ!P928)</f>
        <v>N</v>
      </c>
      <c r="Q928" s="57">
        <f>IF(Associates_Call_List_PQ!Q928="","",Associates_Call_List_PQ!Q928)</f>
        <v>45961</v>
      </c>
      <c r="R928" s="57" t="str">
        <f>IF(Associates_Call_List_PQ!R928="","",Associates_Call_List_PQ!R928)</f>
        <v>Petition</v>
      </c>
      <c r="S928" s="57" t="str">
        <f>IF(Associates_Call_List_PQ!S928="","",Associates_Call_List_PQ!S928)</f>
        <v/>
      </c>
      <c r="T928" s="57" t="str">
        <f>IF(Associates_Call_List_PQ!T928="","",Associates_Call_List_PQ!T928)</f>
        <v/>
      </c>
      <c r="U928" s="57" t="str">
        <f>IF(Associates_Call_List_PQ!U928="","",Associates_Call_List_PQ!U928)</f>
        <v/>
      </c>
      <c r="V928" s="68" t="s">
        <v>5433</v>
      </c>
      <c r="W928" s="68">
        <v>46067</v>
      </c>
      <c r="X928" s="68" t="s">
        <v>5434</v>
      </c>
      <c r="Y928" s="68"/>
      <c r="Z928" s="72" t="s">
        <v>5446</v>
      </c>
    </row>
    <row r="929" spans="1:26">
      <c r="A929" s="71">
        <f>IFERROR(Associates_Call_List_PQ!A929,"")</f>
        <v>45961</v>
      </c>
      <c r="B929" s="57" t="str">
        <f>IF(Associates_Call_List_PQ!B929="","",Associates_Call_List_PQ!B929)</f>
        <v>Anderson</v>
      </c>
      <c r="C929" s="57" t="str">
        <f>IF(Associates_Call_List_PQ!C929="","",Associates_Call_List_PQ!C929)</f>
        <v>Felicia</v>
      </c>
      <c r="D929" s="57" t="str">
        <f>IF(Associates_Call_List_PQ!D929="","",Associates_Call_List_PQ!D929)</f>
        <v>Coolidge</v>
      </c>
      <c r="E929" s="58">
        <f>IF(Associates_Call_List_PQ!E929="","",Associates_Call_List_PQ!E929)</f>
        <v>85128</v>
      </c>
      <c r="F929" s="57" t="str">
        <f>IF(Associates_Call_List_PQ!F929="","",Associates_Call_List_PQ!F929)</f>
        <v>Form Letter: Enough is enough! You must reject the latest 14% rate hikes by APS and TEP</v>
      </c>
      <c r="G929" s="57" t="str">
        <f>IF(Associates_Call_List_PQ!G929="","",Associates_Call_List_PQ!G929)</f>
        <v>https://docket.images.azcc.gov/E000047297.pdf</v>
      </c>
      <c r="H929" s="59" t="str">
        <f>IF(Associates_Call_List_PQ!H929="","",Associates_Call_List_PQ!H929)</f>
        <v>6818845467</v>
      </c>
      <c r="I929" s="57" t="str">
        <f>IF(Associates_Call_List_PQ!I929="","",Associates_Call_List_PQ!I929)</f>
        <v>R3-47</v>
      </c>
      <c r="J929" s="57" t="str">
        <f>IF(Associates_Call_List_PQ!J929="","",Associates_Call_List_PQ!J929)</f>
        <v>No</v>
      </c>
      <c r="K929" s="57" t="str">
        <f>IF(Associates_Call_List_PQ!K929="","",Associates_Call_List_PQ!K929)</f>
        <v>No</v>
      </c>
      <c r="L929" s="57" t="str">
        <f>IF(Associates_Call_List_PQ!L929="","",Associates_Call_List_PQ!L929)</f>
        <v>Y</v>
      </c>
      <c r="M929" s="57" t="str">
        <f>IF(Associates_Call_List_PQ!M929="","",Associates_Call_List_PQ!M929)</f>
        <v>No</v>
      </c>
      <c r="N929" s="57" t="str">
        <f>IF(Associates_Call_List_PQ!N929="","",Associates_Call_List_PQ!N929)</f>
        <v>No</v>
      </c>
      <c r="O929" s="57" t="str">
        <f>IF(Associates_Call_List_PQ!O929="","",Associates_Call_List_PQ!O929)</f>
        <v>Yes</v>
      </c>
      <c r="P929" s="57" t="str">
        <f>IF(Associates_Call_List_PQ!P929="","",Associates_Call_List_PQ!P929)</f>
        <v>N</v>
      </c>
      <c r="Q929" s="57">
        <f>IF(Associates_Call_List_PQ!Q929="","",Associates_Call_List_PQ!Q929)</f>
        <v>45961</v>
      </c>
      <c r="R929" s="57" t="str">
        <f>IF(Associates_Call_List_PQ!R929="","",Associates_Call_List_PQ!R929)</f>
        <v>Petition</v>
      </c>
      <c r="S929" s="57" t="str">
        <f>IF(Associates_Call_List_PQ!S929="","",Associates_Call_List_PQ!S929)</f>
        <v/>
      </c>
      <c r="T929" s="57" t="str">
        <f>IF(Associates_Call_List_PQ!T929="","",Associates_Call_List_PQ!T929)</f>
        <v/>
      </c>
      <c r="U929" s="57" t="str">
        <f>IF(Associates_Call_List_PQ!U929="","",Associates_Call_List_PQ!U929)</f>
        <v/>
      </c>
      <c r="V929" s="68"/>
      <c r="W929" s="68" t="s">
        <v>5432</v>
      </c>
      <c r="X929" s="68"/>
      <c r="Y929" s="68"/>
      <c r="Z929" s="72"/>
    </row>
    <row r="930" spans="1:26">
      <c r="A930" s="71">
        <f>IFERROR(Associates_Call_List_PQ!A930,"")</f>
        <v>45961</v>
      </c>
      <c r="B930" s="57" t="str">
        <f>IF(Associates_Call_List_PQ!B930="","",Associates_Call_List_PQ!B930)</f>
        <v>Johnson</v>
      </c>
      <c r="C930" s="57" t="str">
        <f>IF(Associates_Call_List_PQ!C930="","",Associates_Call_List_PQ!C930)</f>
        <v>Madison</v>
      </c>
      <c r="D930" s="57" t="str">
        <f>IF(Associates_Call_List_PQ!D930="","",Associates_Call_List_PQ!D930)</f>
        <v>Peoria</v>
      </c>
      <c r="E930" s="58">
        <f>IF(Associates_Call_List_PQ!E930="","",Associates_Call_List_PQ!E930)</f>
        <v>85382</v>
      </c>
      <c r="F930" s="57" t="str">
        <f>IF(Associates_Call_List_PQ!F930="","",Associates_Call_List_PQ!F930)</f>
        <v>Form Letter: Enough is enough! You must reject the latest 14% rate hikes by APS and TEP</v>
      </c>
      <c r="G930" s="57" t="str">
        <f>IF(Associates_Call_List_PQ!G930="","",Associates_Call_List_PQ!G930)</f>
        <v>https://docket.images.azcc.gov/E000047297.pdf</v>
      </c>
      <c r="H930" s="59" t="str">
        <f>IF(Associates_Call_List_PQ!H930="","",Associates_Call_List_PQ!H930)</f>
        <v>3806613194</v>
      </c>
      <c r="I930" s="57" t="str">
        <f>IF(Associates_Call_List_PQ!I930="","",Associates_Call_List_PQ!I930)</f>
        <v>R3-47</v>
      </c>
      <c r="J930" s="57" t="str">
        <f>IF(Associates_Call_List_PQ!J930="","",Associates_Call_List_PQ!J930)</f>
        <v>No</v>
      </c>
      <c r="K930" s="57" t="str">
        <f>IF(Associates_Call_List_PQ!K930="","",Associates_Call_List_PQ!K930)</f>
        <v>No</v>
      </c>
      <c r="L930" s="57" t="str">
        <f>IF(Associates_Call_List_PQ!L930="","",Associates_Call_List_PQ!L930)</f>
        <v>Y</v>
      </c>
      <c r="M930" s="57" t="str">
        <f>IF(Associates_Call_List_PQ!M930="","",Associates_Call_List_PQ!M930)</f>
        <v>No</v>
      </c>
      <c r="N930" s="57" t="str">
        <f>IF(Associates_Call_List_PQ!N930="","",Associates_Call_List_PQ!N930)</f>
        <v>No</v>
      </c>
      <c r="O930" s="57" t="str">
        <f>IF(Associates_Call_List_PQ!O930="","",Associates_Call_List_PQ!O930)</f>
        <v>Yes</v>
      </c>
      <c r="P930" s="57" t="str">
        <f>IF(Associates_Call_List_PQ!P930="","",Associates_Call_List_PQ!P930)</f>
        <v>N</v>
      </c>
      <c r="Q930" s="57">
        <f>IF(Associates_Call_List_PQ!Q930="","",Associates_Call_List_PQ!Q930)</f>
        <v>45961</v>
      </c>
      <c r="R930" s="57" t="str">
        <f>IF(Associates_Call_List_PQ!R930="","",Associates_Call_List_PQ!R930)</f>
        <v>Petition</v>
      </c>
      <c r="S930" s="57" t="str">
        <f>IF(Associates_Call_List_PQ!S930="","",Associates_Call_List_PQ!S930)</f>
        <v/>
      </c>
      <c r="T930" s="57" t="str">
        <f>IF(Associates_Call_List_PQ!T930="","",Associates_Call_List_PQ!T930)</f>
        <v/>
      </c>
      <c r="U930" s="57" t="str">
        <f>IF(Associates_Call_List_PQ!U930="","",Associates_Call_List_PQ!U930)</f>
        <v/>
      </c>
      <c r="V930" s="68" t="s">
        <v>5433</v>
      </c>
      <c r="W930" s="68">
        <v>46067</v>
      </c>
      <c r="X930" s="68" t="s">
        <v>5434</v>
      </c>
      <c r="Y930" s="68"/>
      <c r="Z930" s="72" t="s">
        <v>5446</v>
      </c>
    </row>
    <row r="931" spans="1:26">
      <c r="A931" s="71">
        <f>IFERROR(Associates_Call_List_PQ!A931,"")</f>
        <v>45961</v>
      </c>
      <c r="B931" s="57" t="str">
        <f>IF(Associates_Call_List_PQ!B931="","",Associates_Call_List_PQ!B931)</f>
        <v>Medina</v>
      </c>
      <c r="C931" s="57" t="str">
        <f>IF(Associates_Call_List_PQ!C931="","",Associates_Call_List_PQ!C931)</f>
        <v>Alexandria</v>
      </c>
      <c r="D931" s="57" t="str">
        <f>IF(Associates_Call_List_PQ!D931="","",Associates_Call_List_PQ!D931)</f>
        <v>Buckeye</v>
      </c>
      <c r="E931" s="58">
        <f>IF(Associates_Call_List_PQ!E931="","",Associates_Call_List_PQ!E931)</f>
        <v>85326</v>
      </c>
      <c r="F931" s="57" t="str">
        <f>IF(Associates_Call_List_PQ!F931="","",Associates_Call_List_PQ!F931)</f>
        <v>Form Letter: Enough is enough! You must reject the latest 14% rate hikes by APS and TEP</v>
      </c>
      <c r="G931" s="57" t="str">
        <f>IF(Associates_Call_List_PQ!G931="","",Associates_Call_List_PQ!G931)</f>
        <v>https://docket.images.azcc.gov/E000047297.pdf</v>
      </c>
      <c r="H931" s="59" t="str">
        <f>IF(Associates_Call_List_PQ!H931="","",Associates_Call_List_PQ!H931)</f>
        <v>3297731000</v>
      </c>
      <c r="I931" s="57" t="str">
        <f>IF(Associates_Call_List_PQ!I931="","",Associates_Call_List_PQ!I931)</f>
        <v>ER-6w/ET-2</v>
      </c>
      <c r="J931" s="57" t="str">
        <f>IF(Associates_Call_List_PQ!J931="","",Associates_Call_List_PQ!J931)</f>
        <v>Yes</v>
      </c>
      <c r="K931" s="57" t="str">
        <f>IF(Associates_Call_List_PQ!K931="","",Associates_Call_List_PQ!K931)</f>
        <v>No</v>
      </c>
      <c r="L931" s="57" t="str">
        <f>IF(Associates_Call_List_PQ!L931="","",Associates_Call_List_PQ!L931)</f>
        <v>Frozen Rate</v>
      </c>
      <c r="M931" s="57" t="str">
        <f>IF(Associates_Call_List_PQ!M931="","",Associates_Call_List_PQ!M931)</f>
        <v>No</v>
      </c>
      <c r="N931" s="57" t="str">
        <f>IF(Associates_Call_List_PQ!N931="","",Associates_Call_List_PQ!N931)</f>
        <v>No</v>
      </c>
      <c r="O931" s="57" t="str">
        <f>IF(Associates_Call_List_PQ!O931="","",Associates_Call_List_PQ!O931)</f>
        <v>Yes</v>
      </c>
      <c r="P931" s="57" t="str">
        <f>IF(Associates_Call_List_PQ!P931="","",Associates_Call_List_PQ!P931)</f>
        <v>N</v>
      </c>
      <c r="Q931" s="57">
        <f>IF(Associates_Call_List_PQ!Q931="","",Associates_Call_List_PQ!Q931)</f>
        <v>45961</v>
      </c>
      <c r="R931" s="57" t="str">
        <f>IF(Associates_Call_List_PQ!R931="","",Associates_Call_List_PQ!R931)</f>
        <v>Petition</v>
      </c>
      <c r="S931" s="57" t="str">
        <f>IF(Associates_Call_List_PQ!S931="","",Associates_Call_List_PQ!S931)</f>
        <v/>
      </c>
      <c r="T931" s="57" t="str">
        <f>IF(Associates_Call_List_PQ!T931="","",Associates_Call_List_PQ!T931)</f>
        <v/>
      </c>
      <c r="U931" s="57" t="str">
        <f>IF(Associates_Call_List_PQ!U931="","",Associates_Call_List_PQ!U931)</f>
        <v/>
      </c>
      <c r="V931" s="68"/>
      <c r="W931" s="68" t="s">
        <v>5432</v>
      </c>
      <c r="X931" s="68"/>
      <c r="Y931" s="68"/>
      <c r="Z931" s="72"/>
    </row>
    <row r="932" spans="1:26">
      <c r="A932" s="71">
        <f>IFERROR(Associates_Call_List_PQ!A932,"")</f>
        <v>45959</v>
      </c>
      <c r="B932" s="57" t="str">
        <f>IF(Associates_Call_List_PQ!B932="","",Associates_Call_List_PQ!B932)</f>
        <v>Ponce</v>
      </c>
      <c r="C932" s="57" t="str">
        <f>IF(Associates_Call_List_PQ!C932="","",Associates_Call_List_PQ!C932)</f>
        <v>Joi</v>
      </c>
      <c r="D932" s="57" t="str">
        <f>IF(Associates_Call_List_PQ!D932="","",Associates_Call_List_PQ!D932)</f>
        <v>Phoenix</v>
      </c>
      <c r="E932" s="58">
        <f>IF(Associates_Call_List_PQ!E932="","",Associates_Call_List_PQ!E932)</f>
        <v>85032</v>
      </c>
      <c r="F932" s="57" t="str">
        <f>IF(Associates_Call_List_PQ!F932="","",Associates_Call_List_PQ!F932)</f>
        <v>Form Letter: For families like mine this is simply too much</v>
      </c>
      <c r="G932" s="57" t="str">
        <f>IF(Associates_Call_List_PQ!G932="","",Associates_Call_List_PQ!G932)</f>
        <v>https://docket.images.azcc.gov/E000047324.pdf</v>
      </c>
      <c r="H932" s="59" t="str">
        <f>IF(Associates_Call_List_PQ!H932="","",Associates_Call_List_PQ!H932)</f>
        <v>2271888532</v>
      </c>
      <c r="I932" s="57" t="str">
        <f>IF(Associates_Call_List_PQ!I932="","",Associates_Call_List_PQ!I932)</f>
        <v>R-BASIC</v>
      </c>
      <c r="J932" s="57" t="str">
        <f>IF(Associates_Call_List_PQ!J932="","",Associates_Call_List_PQ!J932)</f>
        <v>No</v>
      </c>
      <c r="K932" s="57" t="str">
        <f>IF(Associates_Call_List_PQ!K932="","",Associates_Call_List_PQ!K932)</f>
        <v>No</v>
      </c>
      <c r="L932" s="57" t="str">
        <f>IF(Associates_Call_List_PQ!L932="","",Associates_Call_List_PQ!L932)</f>
        <v>Not eligible yet (needs 3 months)</v>
      </c>
      <c r="M932" s="57" t="str">
        <f>IF(Associates_Call_List_PQ!M932="","",Associates_Call_List_PQ!M932)</f>
        <v>No</v>
      </c>
      <c r="N932" s="57" t="str">
        <f>IF(Associates_Call_List_PQ!N932="","",Associates_Call_List_PQ!N932)</f>
        <v>No</v>
      </c>
      <c r="O932" s="57" t="str">
        <f>IF(Associates_Call_List_PQ!O932="","",Associates_Call_List_PQ!O932)</f>
        <v>Yes</v>
      </c>
      <c r="P932" s="57" t="str">
        <f>IF(Associates_Call_List_PQ!P932="","",Associates_Call_List_PQ!P932)</f>
        <v>N</v>
      </c>
      <c r="Q932" s="57">
        <f>IF(Associates_Call_List_PQ!Q932="","",Associates_Call_List_PQ!Q932)</f>
        <v>45964</v>
      </c>
      <c r="R932" s="57" t="str">
        <f>IF(Associates_Call_List_PQ!R932="","",Associates_Call_List_PQ!R932)</f>
        <v/>
      </c>
      <c r="S932" s="57" t="str">
        <f>IF(Associates_Call_List_PQ!S932="","",Associates_Call_List_PQ!S932)</f>
        <v/>
      </c>
      <c r="T932" s="57" t="str">
        <f>IF(Associates_Call_List_PQ!T932="","",Associates_Call_List_PQ!T932)</f>
        <v/>
      </c>
      <c r="U932" s="57" t="str">
        <f>IF(Associates_Call_List_PQ!U932="","",Associates_Call_List_PQ!U932)</f>
        <v/>
      </c>
      <c r="V932" s="68" t="s">
        <v>5433</v>
      </c>
      <c r="W932" s="68">
        <v>46053</v>
      </c>
      <c r="X932" s="68" t="s">
        <v>5405</v>
      </c>
      <c r="Y932" s="68" t="s">
        <v>5461</v>
      </c>
      <c r="Z932" s="72" t="s">
        <v>5666</v>
      </c>
    </row>
    <row r="933" spans="1:26">
      <c r="A933" s="71">
        <f>IFERROR(Associates_Call_List_PQ!A933,"")</f>
        <v>45961</v>
      </c>
      <c r="B933" s="57" t="str">
        <f>IF(Associates_Call_List_PQ!B933="","",Associates_Call_List_PQ!B933)</f>
        <v>Ortiz</v>
      </c>
      <c r="C933" s="57" t="str">
        <f>IF(Associates_Call_List_PQ!C933="","",Associates_Call_List_PQ!C933)</f>
        <v>Noel</v>
      </c>
      <c r="D933" s="57" t="str">
        <f>IF(Associates_Call_List_PQ!D933="","",Associates_Call_List_PQ!D933)</f>
        <v>Phoenix</v>
      </c>
      <c r="E933" s="58">
        <f>IF(Associates_Call_List_PQ!E933="","",Associates_Call_List_PQ!E933)</f>
        <v>85050</v>
      </c>
      <c r="F933" s="57" t="str">
        <f>IF(Associates_Call_List_PQ!F933="","",Associates_Call_List_PQ!F933)</f>
        <v>Form Letter: Enough is enough! You must reject the latest 14% rate hikes by APS and TEP</v>
      </c>
      <c r="G933" s="57" t="str">
        <f>IF(Associates_Call_List_PQ!G933="","",Associates_Call_List_PQ!G933)</f>
        <v>https://docket.images.azcc.gov/E000047324.pdf</v>
      </c>
      <c r="H933" s="59" t="str">
        <f>IF(Associates_Call_List_PQ!H933="","",Associates_Call_List_PQ!H933)</f>
        <v>6473321000</v>
      </c>
      <c r="I933" s="57" t="str">
        <f>IF(Associates_Call_List_PQ!I933="","",Associates_Call_List_PQ!I933)</f>
        <v>R-BASIC</v>
      </c>
      <c r="J933" s="57" t="str">
        <f>IF(Associates_Call_List_PQ!J933="","",Associates_Call_List_PQ!J933)</f>
        <v>No</v>
      </c>
      <c r="K933" s="57" t="str">
        <f>IF(Associates_Call_List_PQ!K933="","",Associates_Call_List_PQ!K933)</f>
        <v>No</v>
      </c>
      <c r="L933" s="57" t="str">
        <f>IF(Associates_Call_List_PQ!L933="","",Associates_Call_List_PQ!L933)</f>
        <v>Yes</v>
      </c>
      <c r="M933" s="57" t="str">
        <f>IF(Associates_Call_List_PQ!M933="","",Associates_Call_List_PQ!M933)</f>
        <v>Yes</v>
      </c>
      <c r="N933" s="57">
        <f>IF(Associates_Call_List_PQ!N933="","",Associates_Call_List_PQ!N933)</f>
        <v>302.06</v>
      </c>
      <c r="O933" s="57" t="str">
        <f>IF(Associates_Call_List_PQ!O933="","",Associates_Call_List_PQ!O933)</f>
        <v>Yes</v>
      </c>
      <c r="P933" s="57" t="str">
        <f>IF(Associates_Call_List_PQ!P933="","",Associates_Call_List_PQ!P933)</f>
        <v>N</v>
      </c>
      <c r="Q933" s="57">
        <f>IF(Associates_Call_List_PQ!Q933="","",Associates_Call_List_PQ!Q933)</f>
        <v>45964</v>
      </c>
      <c r="R933" s="57" t="str">
        <f>IF(Associates_Call_List_PQ!R933="","",Associates_Call_List_PQ!R933)</f>
        <v/>
      </c>
      <c r="S933" s="57" t="str">
        <f>IF(Associates_Call_List_PQ!S933="","",Associates_Call_List_PQ!S933)</f>
        <v/>
      </c>
      <c r="T933" s="57" t="str">
        <f>IF(Associates_Call_List_PQ!T933="","",Associates_Call_List_PQ!T933)</f>
        <v/>
      </c>
      <c r="U933" s="57" t="str">
        <f>IF(Associates_Call_List_PQ!U933="","",Associates_Call_List_PQ!U933)</f>
        <v/>
      </c>
      <c r="V933" s="68" t="s">
        <v>5433</v>
      </c>
      <c r="W933" s="68">
        <v>46039</v>
      </c>
      <c r="X933" s="68" t="s">
        <v>5434</v>
      </c>
      <c r="Y933" s="68"/>
      <c r="Z933" s="72" t="s">
        <v>5667</v>
      </c>
    </row>
    <row r="934" spans="1:26">
      <c r="A934" s="71">
        <f>IFERROR(Associates_Call_List_PQ!A934,"")</f>
        <v>45959</v>
      </c>
      <c r="B934" s="57" t="str">
        <f>IF(Associates_Call_List_PQ!B934="","",Associates_Call_List_PQ!B934)</f>
        <v>Willeford</v>
      </c>
      <c r="C934" s="57" t="str">
        <f>IF(Associates_Call_List_PQ!C934="","",Associates_Call_List_PQ!C934)</f>
        <v>Nolan</v>
      </c>
      <c r="D934" s="57" t="str">
        <f>IF(Associates_Call_List_PQ!D934="","",Associates_Call_List_PQ!D934)</f>
        <v>Phoenix</v>
      </c>
      <c r="E934" s="58">
        <f>IF(Associates_Call_List_PQ!E934="","",Associates_Call_List_PQ!E934)</f>
        <v>85032</v>
      </c>
      <c r="F934" s="57" t="str">
        <f>IF(Associates_Call_List_PQ!F934="","",Associates_Call_List_PQ!F934)</f>
        <v>Form Letter: For families like mine this is simply too much</v>
      </c>
      <c r="G934" s="57" t="str">
        <f>IF(Associates_Call_List_PQ!G934="","",Associates_Call_List_PQ!G934)</f>
        <v>https://docket.images.azcc.gov/E000047324.pdf</v>
      </c>
      <c r="H934" s="59" t="str">
        <f>IF(Associates_Call_List_PQ!H934="","",Associates_Call_List_PQ!H934)</f>
        <v>2271888532</v>
      </c>
      <c r="I934" s="57" t="str">
        <f>IF(Associates_Call_List_PQ!I934="","",Associates_Call_List_PQ!I934)</f>
        <v>R-BASIC</v>
      </c>
      <c r="J934" s="57" t="str">
        <f>IF(Associates_Call_List_PQ!J934="","",Associates_Call_List_PQ!J934)</f>
        <v>No</v>
      </c>
      <c r="K934" s="57" t="str">
        <f>IF(Associates_Call_List_PQ!K934="","",Associates_Call_List_PQ!K934)</f>
        <v>No</v>
      </c>
      <c r="L934" s="57" t="str">
        <f>IF(Associates_Call_List_PQ!L934="","",Associates_Call_List_PQ!L934)</f>
        <v>Not eligible yet (needs 3 months)</v>
      </c>
      <c r="M934" s="57" t="str">
        <f>IF(Associates_Call_List_PQ!M934="","",Associates_Call_List_PQ!M934)</f>
        <v>No</v>
      </c>
      <c r="N934" s="57" t="str">
        <f>IF(Associates_Call_List_PQ!N934="","",Associates_Call_List_PQ!N934)</f>
        <v>No</v>
      </c>
      <c r="O934" s="57" t="str">
        <f>IF(Associates_Call_List_PQ!O934="","",Associates_Call_List_PQ!O934)</f>
        <v>Yes</v>
      </c>
      <c r="P934" s="57" t="str">
        <f>IF(Associates_Call_List_PQ!P934="","",Associates_Call_List_PQ!P934)</f>
        <v>N</v>
      </c>
      <c r="Q934" s="57">
        <f>IF(Associates_Call_List_PQ!Q934="","",Associates_Call_List_PQ!Q934)</f>
        <v>45964</v>
      </c>
      <c r="R934" s="57" t="str">
        <f>IF(Associates_Call_List_PQ!R934="","",Associates_Call_List_PQ!R934)</f>
        <v/>
      </c>
      <c r="S934" s="57" t="str">
        <f>IF(Associates_Call_List_PQ!S934="","",Associates_Call_List_PQ!S934)</f>
        <v/>
      </c>
      <c r="T934" s="57" t="str">
        <f>IF(Associates_Call_List_PQ!T934="","",Associates_Call_List_PQ!T934)</f>
        <v/>
      </c>
      <c r="U934" s="57" t="str">
        <f>IF(Associates_Call_List_PQ!U934="","",Associates_Call_List_PQ!U934)</f>
        <v/>
      </c>
      <c r="V934" s="68" t="s">
        <v>5433</v>
      </c>
      <c r="W934" s="68">
        <v>46053</v>
      </c>
      <c r="X934" s="68" t="s">
        <v>5405</v>
      </c>
      <c r="Y934" s="68" t="s">
        <v>5461</v>
      </c>
      <c r="Z934" s="72" t="s">
        <v>5668</v>
      </c>
    </row>
    <row r="935" spans="1:26">
      <c r="A935" s="71">
        <f>IFERROR(Associates_Call_List_PQ!A935,"")</f>
        <v>45959</v>
      </c>
      <c r="B935" s="57" t="str">
        <f>IF(Associates_Call_List_PQ!B935="","",Associates_Call_List_PQ!B935)</f>
        <v>Hobson</v>
      </c>
      <c r="C935" s="57" t="str">
        <f>IF(Associates_Call_List_PQ!C935="","",Associates_Call_List_PQ!C935)</f>
        <v>Lisa</v>
      </c>
      <c r="D935" s="57" t="str">
        <f>IF(Associates_Call_List_PQ!D935="","",Associates_Call_List_PQ!D935)</f>
        <v>Sedona</v>
      </c>
      <c r="E935" s="58">
        <f>IF(Associates_Call_List_PQ!E935="","",Associates_Call_List_PQ!E935)</f>
        <v>86351</v>
      </c>
      <c r="F935" s="57" t="str">
        <f>IF(Associates_Call_List_PQ!F935="","",Associates_Call_List_PQ!F935)</f>
        <v>That is an unacceptable increase</v>
      </c>
      <c r="G935" s="57" t="str">
        <f>IF(Associates_Call_List_PQ!G935="","",Associates_Call_List_PQ!G935)</f>
        <v>https://docket.images.azcc.gov/E000047324.pdf</v>
      </c>
      <c r="H935" s="59" t="str">
        <f>IF(Associates_Call_List_PQ!H935="","",Associates_Call_List_PQ!H935)</f>
        <v>9549931000</v>
      </c>
      <c r="I935" s="57" t="str">
        <f>IF(Associates_Call_List_PQ!I935="","",Associates_Call_List_PQ!I935)</f>
        <v>R-BASICL</v>
      </c>
      <c r="J935" s="57" t="str">
        <f>IF(Associates_Call_List_PQ!J935="","",Associates_Call_List_PQ!J935)</f>
        <v>No</v>
      </c>
      <c r="K935" s="57" t="str">
        <f>IF(Associates_Call_List_PQ!K935="","",Associates_Call_List_PQ!K935)</f>
        <v>No</v>
      </c>
      <c r="L935" s="57" t="str">
        <f>IF(Associates_Call_List_PQ!L935="","",Associates_Call_List_PQ!L935)</f>
        <v>No MEP R3-47 ($482.61)</v>
      </c>
      <c r="M935" s="57" t="str">
        <f>IF(Associates_Call_List_PQ!M935="","",Associates_Call_List_PQ!M935)</f>
        <v>No</v>
      </c>
      <c r="N935" s="57" t="str">
        <f>IF(Associates_Call_List_PQ!N935="","",Associates_Call_List_PQ!N935)</f>
        <v>No</v>
      </c>
      <c r="O935" s="57" t="str">
        <f>IF(Associates_Call_List_PQ!O935="","",Associates_Call_List_PQ!O935)</f>
        <v>Yes</v>
      </c>
      <c r="P935" s="57">
        <f>IF(Associates_Call_List_PQ!P935="","",Associates_Call_List_PQ!P935)</f>
        <v>45971</v>
      </c>
      <c r="Q935" s="57">
        <f>IF(Associates_Call_List_PQ!Q935="","",Associates_Call_List_PQ!Q935)</f>
        <v>45964</v>
      </c>
      <c r="R935" s="57" t="str">
        <f>IF(Associates_Call_List_PQ!R935="","",Associates_Call_List_PQ!R935)</f>
        <v>11/10 Left VM regarding MEP</v>
      </c>
      <c r="S935" s="57" t="str">
        <f>IF(Associates_Call_List_PQ!S935="","",Associates_Call_List_PQ!S935)</f>
        <v/>
      </c>
      <c r="T935" s="57" t="str">
        <f>IF(Associates_Call_List_PQ!T935="","",Associates_Call_List_PQ!T935)</f>
        <v/>
      </c>
      <c r="U935" s="57" t="str">
        <f>IF(Associates_Call_List_PQ!U935="","",Associates_Call_List_PQ!U935)</f>
        <v/>
      </c>
      <c r="V935" s="68" t="s">
        <v>5433</v>
      </c>
      <c r="W935" s="68">
        <v>46025</v>
      </c>
      <c r="X935" s="68" t="s">
        <v>5434</v>
      </c>
      <c r="Y935" s="68"/>
      <c r="Z935" s="72" t="s">
        <v>5669</v>
      </c>
    </row>
    <row r="936" spans="1:26">
      <c r="A936" s="71">
        <f>IFERROR(Associates_Call_List_PQ!A936,"")</f>
        <v>45959</v>
      </c>
      <c r="B936" s="57" t="str">
        <f>IF(Associates_Call_List_PQ!B936="","",Associates_Call_List_PQ!B936)</f>
        <v>Fisher</v>
      </c>
      <c r="C936" s="57" t="str">
        <f>IF(Associates_Call_List_PQ!C936="","",Associates_Call_List_PQ!C936)</f>
        <v>Nathan</v>
      </c>
      <c r="D936" s="57" t="str">
        <f>IF(Associates_Call_List_PQ!D936="","",Associates_Call_List_PQ!D936)</f>
        <v>Phoenix</v>
      </c>
      <c r="E936" s="58">
        <f>IF(Associates_Call_List_PQ!E936="","",Associates_Call_List_PQ!E936)</f>
        <v>85085</v>
      </c>
      <c r="F936" s="57" t="str">
        <f>IF(Associates_Call_List_PQ!F936="","",Associates_Call_List_PQ!F936)</f>
        <v>16% increase is egregious</v>
      </c>
      <c r="G936" s="57" t="str">
        <f>IF(Associates_Call_List_PQ!G936="","",Associates_Call_List_PQ!G936)</f>
        <v>https://docket.images.azcc.gov/E000047324.pdf</v>
      </c>
      <c r="H936" s="59" t="str">
        <f>IF(Associates_Call_List_PQ!H936="","",Associates_Call_List_PQ!H936)</f>
        <v>3214901000</v>
      </c>
      <c r="I936" s="57" t="str">
        <f>IF(Associates_Call_List_PQ!I936="","",Associates_Call_List_PQ!I936)</f>
        <v>R3-47</v>
      </c>
      <c r="J936" s="57" t="str">
        <f>IF(Associates_Call_List_PQ!J936="","",Associates_Call_List_PQ!J936)</f>
        <v>No</v>
      </c>
      <c r="K936" s="57" t="str">
        <f>IF(Associates_Call_List_PQ!K936="","",Associates_Call_List_PQ!K936)</f>
        <v>No</v>
      </c>
      <c r="L936" s="57" t="str">
        <f>IF(Associates_Call_List_PQ!L936="","",Associates_Call_List_PQ!L936)</f>
        <v>Yes</v>
      </c>
      <c r="M936" s="57" t="str">
        <f>IF(Associates_Call_List_PQ!M936="","",Associates_Call_List_PQ!M936)</f>
        <v>No</v>
      </c>
      <c r="N936" s="57" t="str">
        <f>IF(Associates_Call_List_PQ!N936="","",Associates_Call_List_PQ!N936)</f>
        <v>No</v>
      </c>
      <c r="O936" s="57" t="str">
        <f>IF(Associates_Call_List_PQ!O936="","",Associates_Call_List_PQ!O936)</f>
        <v>Yes</v>
      </c>
      <c r="P936" s="57" t="str">
        <f>IF(Associates_Call_List_PQ!P936="","",Associates_Call_List_PQ!P936)</f>
        <v>N</v>
      </c>
      <c r="Q936" s="57">
        <f>IF(Associates_Call_List_PQ!Q936="","",Associates_Call_List_PQ!Q936)</f>
        <v>45964</v>
      </c>
      <c r="R936" s="57" t="str">
        <f>IF(Associates_Call_List_PQ!R936="","",Associates_Call_List_PQ!R936)</f>
        <v/>
      </c>
      <c r="S936" s="57" t="str">
        <f>IF(Associates_Call_List_PQ!S936="","",Associates_Call_List_PQ!S936)</f>
        <v/>
      </c>
      <c r="T936" s="57" t="str">
        <f>IF(Associates_Call_List_PQ!T936="","",Associates_Call_List_PQ!T936)</f>
        <v/>
      </c>
      <c r="U936" s="57" t="str">
        <f>IF(Associates_Call_List_PQ!U936="","",Associates_Call_List_PQ!U936)</f>
        <v/>
      </c>
      <c r="V936" s="68" t="s">
        <v>5433</v>
      </c>
      <c r="W936" s="68">
        <v>46067</v>
      </c>
      <c r="X936" s="68" t="s">
        <v>5434</v>
      </c>
      <c r="Y936" s="68"/>
      <c r="Z936" s="72" t="s">
        <v>5446</v>
      </c>
    </row>
    <row r="937" spans="1:26">
      <c r="A937" s="71">
        <f>IFERROR(Associates_Call_List_PQ!A937,"")</f>
        <v>45961</v>
      </c>
      <c r="B937" s="57" t="str">
        <f>IF(Associates_Call_List_PQ!B937="","",Associates_Call_List_PQ!B937)</f>
        <v>Sundell</v>
      </c>
      <c r="C937" s="57" t="str">
        <f>IF(Associates_Call_List_PQ!C937="","",Associates_Call_List_PQ!C937)</f>
        <v>Michael</v>
      </c>
      <c r="D937" s="57" t="str">
        <f>IF(Associates_Call_List_PQ!D937="","",Associates_Call_List_PQ!D937)</f>
        <v>Sun City West</v>
      </c>
      <c r="E937" s="58">
        <f>IF(Associates_Call_List_PQ!E937="","",Associates_Call_List_PQ!E937)</f>
        <v>85375</v>
      </c>
      <c r="F937" s="57" t="str">
        <f>IF(Associates_Call_List_PQ!F937="","",Associates_Call_List_PQ!F937)</f>
        <v>As a senior citizen, this rate increase request will directly affect my financial situation.</v>
      </c>
      <c r="G937" s="57" t="str">
        <f>IF(Associates_Call_List_PQ!G937="","",Associates_Call_List_PQ!G937)</f>
        <v>https://docket.images.azcc.gov/0000215502.pdf</v>
      </c>
      <c r="H937" s="59" t="str">
        <f>IF(Associates_Call_List_PQ!H937="","",Associates_Call_List_PQ!H937)</f>
        <v>1150201000</v>
      </c>
      <c r="I937" s="57" t="str">
        <f>IF(Associates_Call_List_PQ!I937="","",Associates_Call_List_PQ!I937)</f>
        <v>R-2</v>
      </c>
      <c r="J937" s="57" t="str">
        <f>IF(Associates_Call_List_PQ!J937="","",Associates_Call_List_PQ!J937)</f>
        <v>No</v>
      </c>
      <c r="K937" s="57" t="str">
        <f>IF(Associates_Call_List_PQ!K937="","",Associates_Call_List_PQ!K937)</f>
        <v>No</v>
      </c>
      <c r="L937" s="57" t="str">
        <f>IF(Associates_Call_List_PQ!L937="","",Associates_Call_List_PQ!L937)</f>
        <v>Frozen Rate</v>
      </c>
      <c r="M937" s="57" t="str">
        <f>IF(Associates_Call_List_PQ!M937="","",Associates_Call_List_PQ!M937)</f>
        <v>No</v>
      </c>
      <c r="N937" s="57" t="str">
        <f>IF(Associates_Call_List_PQ!N937="","",Associates_Call_List_PQ!N937)</f>
        <v>No</v>
      </c>
      <c r="O937" s="57" t="str">
        <f>IF(Associates_Call_List_PQ!O937="","",Associates_Call_List_PQ!O937)</f>
        <v>Yes</v>
      </c>
      <c r="P937" s="57" t="str">
        <f>IF(Associates_Call_List_PQ!P937="","",Associates_Call_List_PQ!P937)</f>
        <v>N</v>
      </c>
      <c r="Q937" s="57">
        <f>IF(Associates_Call_List_PQ!Q937="","",Associates_Call_List_PQ!Q937)</f>
        <v>45964</v>
      </c>
      <c r="R937" s="57" t="str">
        <f>IF(Associates_Call_List_PQ!R937="","",Associates_Call_List_PQ!R937)</f>
        <v>Previously filed two different ACC Complaints in 2021 and 2024</v>
      </c>
      <c r="S937" s="57" t="str">
        <f>IF(Associates_Call_List_PQ!S937="","",Associates_Call_List_PQ!S937)</f>
        <v/>
      </c>
      <c r="T937" s="57" t="str">
        <f>IF(Associates_Call_List_PQ!T937="","",Associates_Call_List_PQ!T937)</f>
        <v/>
      </c>
      <c r="U937" s="57" t="str">
        <f>IF(Associates_Call_List_PQ!U937="","",Associates_Call_List_PQ!U937)</f>
        <v/>
      </c>
      <c r="V937" s="68"/>
      <c r="W937" s="68" t="s">
        <v>5432</v>
      </c>
      <c r="X937" s="68"/>
      <c r="Y937" s="68"/>
      <c r="Z937" s="72"/>
    </row>
    <row r="938" spans="1:26">
      <c r="A938" s="71">
        <f>IFERROR(Associates_Call_List_PQ!A938,"")</f>
        <v>45961</v>
      </c>
      <c r="B938" s="57" t="str">
        <f>IF(Associates_Call_List_PQ!B938="","",Associates_Call_List_PQ!B938)</f>
        <v>Stines</v>
      </c>
      <c r="C938" s="57" t="str">
        <f>IF(Associates_Call_List_PQ!C938="","",Associates_Call_List_PQ!C938)</f>
        <v>Carol</v>
      </c>
      <c r="D938" s="57" t="str">
        <f>IF(Associates_Call_List_PQ!D938="","",Associates_Call_List_PQ!D938)</f>
        <v>Unknown</v>
      </c>
      <c r="E938" s="58" t="str">
        <f>IF(Associates_Call_List_PQ!E938="","",Associates_Call_List_PQ!E938)</f>
        <v>Unknown</v>
      </c>
      <c r="F938" s="57" t="str">
        <f>IF(Associates_Call_List_PQ!F938="","",Associates_Call_List_PQ!F938)</f>
        <v>Stop net zero plans</v>
      </c>
      <c r="G938" s="57" t="str">
        <f>IF(Associates_Call_List_PQ!G938="","",Associates_Call_List_PQ!G938)</f>
        <v>https://docket.images.azcc.gov/E000047338.pdf</v>
      </c>
      <c r="H938" s="59" t="str">
        <f>IF(Associates_Call_List_PQ!H938="","",Associates_Call_List_PQ!H938)</f>
        <v>9452141000</v>
      </c>
      <c r="I938" s="57" t="str">
        <f>IF(Associates_Call_List_PQ!I938="","",Associates_Call_List_PQ!I938)</f>
        <v>R-BASIC</v>
      </c>
      <c r="J938" s="57" t="str">
        <f>IF(Associates_Call_List_PQ!J938="","",Associates_Call_List_PQ!J938)</f>
        <v>No</v>
      </c>
      <c r="K938" s="57" t="str">
        <f>IF(Associates_Call_List_PQ!K938="","",Associates_Call_List_PQ!K938)</f>
        <v>No</v>
      </c>
      <c r="L938" s="57" t="str">
        <f>IF(Associates_Call_List_PQ!L938="","",Associates_Call_List_PQ!L938)</f>
        <v>Yes</v>
      </c>
      <c r="M938" s="57" t="str">
        <f>IF(Associates_Call_List_PQ!M938="","",Associates_Call_List_PQ!M938)</f>
        <v>No</v>
      </c>
      <c r="N938" s="57" t="str">
        <f>IF(Associates_Call_List_PQ!N938="","",Associates_Call_List_PQ!N938)</f>
        <v>No</v>
      </c>
      <c r="O938" s="57" t="str">
        <f>IF(Associates_Call_List_PQ!O938="","",Associates_Call_List_PQ!O938)</f>
        <v>Yes</v>
      </c>
      <c r="P938" s="57" t="str">
        <f>IF(Associates_Call_List_PQ!P938="","",Associates_Call_List_PQ!P938)</f>
        <v>N</v>
      </c>
      <c r="Q938" s="57">
        <f>IF(Associates_Call_List_PQ!Q938="","",Associates_Call_List_PQ!Q938)</f>
        <v>45965</v>
      </c>
      <c r="R938" s="57" t="str">
        <f>IF(Associates_Call_List_PQ!R938="","",Associates_Call_List_PQ!R938)</f>
        <v/>
      </c>
      <c r="S938" s="57" t="str">
        <f>IF(Associates_Call_List_PQ!S938="","",Associates_Call_List_PQ!S938)</f>
        <v/>
      </c>
      <c r="T938" s="57" t="str">
        <f>IF(Associates_Call_List_PQ!T938="","",Associates_Call_List_PQ!T938)</f>
        <v/>
      </c>
      <c r="U938" s="57" t="str">
        <f>IF(Associates_Call_List_PQ!U938="","",Associates_Call_List_PQ!U938)</f>
        <v/>
      </c>
      <c r="V938" s="68" t="s">
        <v>5433</v>
      </c>
      <c r="W938" s="68">
        <v>46067</v>
      </c>
      <c r="X938" s="68" t="s">
        <v>5405</v>
      </c>
      <c r="Y938" s="68" t="s">
        <v>5461</v>
      </c>
      <c r="Z938" s="72"/>
    </row>
    <row r="939" spans="1:26">
      <c r="A939" s="71">
        <f>IFERROR(Associates_Call_List_PQ!A939,"")</f>
        <v>45961</v>
      </c>
      <c r="B939" s="57" t="str">
        <f>IF(Associates_Call_List_PQ!B939="","",Associates_Call_List_PQ!B939)</f>
        <v>Thompson</v>
      </c>
      <c r="C939" s="57" t="str">
        <f>IF(Associates_Call_List_PQ!C939="","",Associates_Call_List_PQ!C939)</f>
        <v>Greg</v>
      </c>
      <c r="D939" s="57" t="str">
        <f>IF(Associates_Call_List_PQ!D939="","",Associates_Call_List_PQ!D939)</f>
        <v>Glendale</v>
      </c>
      <c r="E939" s="58">
        <f>IF(Associates_Call_List_PQ!E939="","",Associates_Call_List_PQ!E939)</f>
        <v>85310</v>
      </c>
      <c r="F939" s="57" t="str">
        <f>IF(Associates_Call_List_PQ!F939="","",Associates_Call_List_PQ!F939)</f>
        <v>Form Letter: Enough is enough! You must reject the latest 14% rate hikes by APS and TEP</v>
      </c>
      <c r="G939" s="57" t="str">
        <f>IF(Associates_Call_List_PQ!G939="","",Associates_Call_List_PQ!G939)</f>
        <v>https://docket.images.azcc.gov/E000047365.pdf</v>
      </c>
      <c r="H939" s="59" t="str">
        <f>IF(Associates_Call_List_PQ!H939="","",Associates_Call_List_PQ!H939)</f>
        <v>4309031000</v>
      </c>
      <c r="I939" s="57" t="str">
        <f>IF(Associates_Call_List_PQ!I939="","",Associates_Call_List_PQ!I939)</f>
        <v>RCPw/RTOUE47</v>
      </c>
      <c r="J939" s="57" t="str">
        <f>IF(Associates_Call_List_PQ!J939="","",Associates_Call_List_PQ!J939)</f>
        <v>No</v>
      </c>
      <c r="K939" s="57" t="str">
        <f>IF(Associates_Call_List_PQ!K939="","",Associates_Call_List_PQ!K939)</f>
        <v>No</v>
      </c>
      <c r="L939" s="57" t="str">
        <f>IF(Associates_Call_List_PQ!L939="","",Associates_Call_List_PQ!L939)</f>
        <v>Yes</v>
      </c>
      <c r="M939" s="57" t="str">
        <f>IF(Associates_Call_List_PQ!M939="","",Associates_Call_List_PQ!M939)</f>
        <v>No</v>
      </c>
      <c r="N939" s="57" t="str">
        <f>IF(Associates_Call_List_PQ!N939="","",Associates_Call_List_PQ!N939)</f>
        <v>No</v>
      </c>
      <c r="O939" s="57" t="str">
        <f>IF(Associates_Call_List_PQ!O939="","",Associates_Call_List_PQ!O939)</f>
        <v>Yes</v>
      </c>
      <c r="P939" s="57" t="str">
        <f>IF(Associates_Call_List_PQ!P939="","",Associates_Call_List_PQ!P939)</f>
        <v>N</v>
      </c>
      <c r="Q939" s="57">
        <f>IF(Associates_Call_List_PQ!Q939="","",Associates_Call_List_PQ!Q939)</f>
        <v>45965</v>
      </c>
      <c r="R939" s="57" t="str">
        <f>IF(Associates_Call_List_PQ!R939="","",Associates_Call_List_PQ!R939)</f>
        <v/>
      </c>
      <c r="S939" s="57" t="str">
        <f>IF(Associates_Call_List_PQ!S939="","",Associates_Call_List_PQ!S939)</f>
        <v/>
      </c>
      <c r="T939" s="57" t="str">
        <f>IF(Associates_Call_List_PQ!T939="","",Associates_Call_List_PQ!T939)</f>
        <v/>
      </c>
      <c r="U939" s="57" t="str">
        <f>IF(Associates_Call_List_PQ!U939="","",Associates_Call_List_PQ!U939)</f>
        <v/>
      </c>
      <c r="V939" s="68"/>
      <c r="W939" s="68" t="s">
        <v>5432</v>
      </c>
      <c r="X939" s="68"/>
      <c r="Y939" s="68"/>
      <c r="Z939" s="72"/>
    </row>
    <row r="940" spans="1:26">
      <c r="A940" s="71">
        <f>IFERROR(Associates_Call_List_PQ!A940,"")</f>
        <v>45964</v>
      </c>
      <c r="B940" s="57" t="str">
        <f>IF(Associates_Call_List_PQ!B940="","",Associates_Call_List_PQ!B940)</f>
        <v>McGibbon</v>
      </c>
      <c r="C940" s="57" t="str">
        <f>IF(Associates_Call_List_PQ!C940="","",Associates_Call_List_PQ!C940)</f>
        <v>Charles</v>
      </c>
      <c r="D940" s="57" t="str">
        <f>IF(Associates_Call_List_PQ!D940="","",Associates_Call_List_PQ!D940)</f>
        <v>Chino Valley</v>
      </c>
      <c r="E940" s="58">
        <f>IF(Associates_Call_List_PQ!E940="","",Associates_Call_List_PQ!E940)</f>
        <v>86323</v>
      </c>
      <c r="F940" s="57" t="str">
        <f>IF(Associates_Call_List_PQ!F940="","",Associates_Call_List_PQ!F940)</f>
        <v xml:space="preserve">Senior citizen, Opposed to the request for a fourteen percent raise in electrical rates. </v>
      </c>
      <c r="G940" s="57" t="str">
        <f>IF(Associates_Call_List_PQ!G940="","",Associates_Call_List_PQ!G940)</f>
        <v>https://docket.images.azcc.gov/E000047365.pdf</v>
      </c>
      <c r="H940" s="59" t="str">
        <f>IF(Associates_Call_List_PQ!H940="","",Associates_Call_List_PQ!H940)</f>
        <v>4707610000</v>
      </c>
      <c r="I940" s="57" t="str">
        <f>IF(Associates_Call_List_PQ!I940="","",Associates_Call_List_PQ!I940)</f>
        <v>R-XS</v>
      </c>
      <c r="J940" s="57" t="str">
        <f>IF(Associates_Call_List_PQ!J940="","",Associates_Call_List_PQ!J940)</f>
        <v>No</v>
      </c>
      <c r="K940" s="57" t="str">
        <f>IF(Associates_Call_List_PQ!K940="","",Associates_Call_List_PQ!K940)</f>
        <v>No</v>
      </c>
      <c r="L940" s="57" t="str">
        <f>IF(Associates_Call_List_PQ!L940="","",Associates_Call_List_PQ!L940)</f>
        <v>Yes</v>
      </c>
      <c r="M940" s="57" t="str">
        <f>IF(Associates_Call_List_PQ!M940="","",Associates_Call_List_PQ!M940)</f>
        <v>No</v>
      </c>
      <c r="N940" s="57" t="str">
        <f>IF(Associates_Call_List_PQ!N940="","",Associates_Call_List_PQ!N940)</f>
        <v>No</v>
      </c>
      <c r="O940" s="57" t="str">
        <f>IF(Associates_Call_List_PQ!O940="","",Associates_Call_List_PQ!O940)</f>
        <v>Yes</v>
      </c>
      <c r="P940" s="57" t="str">
        <f>IF(Associates_Call_List_PQ!P940="","",Associates_Call_List_PQ!P940)</f>
        <v>N</v>
      </c>
      <c r="Q940" s="57">
        <f>IF(Associates_Call_List_PQ!Q940="","",Associates_Call_List_PQ!Q940)</f>
        <v>45965</v>
      </c>
      <c r="R940" s="57" t="str">
        <f>IF(Associates_Call_List_PQ!R940="","",Associates_Call_List_PQ!R940)</f>
        <v/>
      </c>
      <c r="S940" s="57" t="str">
        <f>IF(Associates_Call_List_PQ!S940="","",Associates_Call_List_PQ!S940)</f>
        <v/>
      </c>
      <c r="T940" s="57" t="str">
        <f>IF(Associates_Call_List_PQ!T940="","",Associates_Call_List_PQ!T940)</f>
        <v/>
      </c>
      <c r="U940" s="57" t="str">
        <f>IF(Associates_Call_List_PQ!U940="","",Associates_Call_List_PQ!U940)</f>
        <v/>
      </c>
      <c r="V940" s="68" t="s">
        <v>5433</v>
      </c>
      <c r="W940" s="68">
        <v>46067</v>
      </c>
      <c r="X940" s="68" t="s">
        <v>5434</v>
      </c>
      <c r="Y940" s="68"/>
      <c r="Z940" s="72" t="s">
        <v>5446</v>
      </c>
    </row>
    <row r="941" spans="1:26">
      <c r="A941" s="71">
        <f>IFERROR(Associates_Call_List_PQ!A941,"")</f>
        <v>45961</v>
      </c>
      <c r="B941" s="57" t="str">
        <f>IF(Associates_Call_List_PQ!B941="","",Associates_Call_List_PQ!B941)</f>
        <v>Hernandez</v>
      </c>
      <c r="C941" s="57" t="str">
        <f>IF(Associates_Call_List_PQ!C941="","",Associates_Call_List_PQ!C941)</f>
        <v>Maria</v>
      </c>
      <c r="D941" s="57" t="str">
        <f>IF(Associates_Call_List_PQ!D941="","",Associates_Call_List_PQ!D941)</f>
        <v>Youngtown</v>
      </c>
      <c r="E941" s="58">
        <f>IF(Associates_Call_List_PQ!E941="","",Associates_Call_List_PQ!E941)</f>
        <v>85363</v>
      </c>
      <c r="F941" s="57" t="str">
        <f>IF(Associates_Call_List_PQ!F941="","",Associates_Call_List_PQ!F941)</f>
        <v>Form Letter: Enough is enough! You must reject the latest 14% rate hikes by APS and TEP</v>
      </c>
      <c r="G941" s="57" t="str">
        <f>IF(Associates_Call_List_PQ!G941="","",Associates_Call_List_PQ!G941)</f>
        <v>https://docket.images.azcc.gov/E000047365.pdf</v>
      </c>
      <c r="H941" s="59" t="str">
        <f>IF(Associates_Call_List_PQ!H941="","",Associates_Call_List_PQ!H941)</f>
        <v>6003957639</v>
      </c>
      <c r="I941" s="57" t="str">
        <f>IF(Associates_Call_List_PQ!I941="","",Associates_Call_List_PQ!I941)</f>
        <v>RTOUE47</v>
      </c>
      <c r="J941" s="57" t="str">
        <f>IF(Associates_Call_List_PQ!J941="","",Associates_Call_List_PQ!J941)</f>
        <v>No</v>
      </c>
      <c r="K941" s="57" t="str">
        <f>IF(Associates_Call_List_PQ!K941="","",Associates_Call_List_PQ!K941)</f>
        <v>No</v>
      </c>
      <c r="L941" s="57" t="str">
        <f>IF(Associates_Call_List_PQ!L941="","",Associates_Call_List_PQ!L941)</f>
        <v>No MEP R3-47 ($62.21)</v>
      </c>
      <c r="M941" s="57" t="str">
        <f>IF(Associates_Call_List_PQ!M941="","",Associates_Call_List_PQ!M941)</f>
        <v>Yes</v>
      </c>
      <c r="N941" s="57">
        <f>IF(Associates_Call_List_PQ!N941="","",Associates_Call_List_PQ!N941)</f>
        <v>1482.25</v>
      </c>
      <c r="O941" s="57" t="str">
        <f>IF(Associates_Call_List_PQ!O941="","",Associates_Call_List_PQ!O941)</f>
        <v>Yes</v>
      </c>
      <c r="P941" s="57" t="str">
        <f>IF(Associates_Call_List_PQ!P941="","",Associates_Call_List_PQ!P941)</f>
        <v/>
      </c>
      <c r="Q941" s="57">
        <f>IF(Associates_Call_List_PQ!Q941="","",Associates_Call_List_PQ!Q941)</f>
        <v>45965</v>
      </c>
      <c r="R941" s="57" t="str">
        <f>IF(Associates_Call_List_PQ!R941="","",Associates_Call_List_PQ!R941)</f>
        <v xml:space="preserve">Assistance? In collections Note: Spanish Bill </v>
      </c>
      <c r="S941" s="57" t="str">
        <f>IF(Associates_Call_List_PQ!S941="","",Associates_Call_List_PQ!S941)</f>
        <v/>
      </c>
      <c r="T941" s="57" t="str">
        <f>IF(Associates_Call_List_PQ!T941="","",Associates_Call_List_PQ!T941)</f>
        <v/>
      </c>
      <c r="U941" s="57" t="str">
        <f>IF(Associates_Call_List_PQ!U941="","",Associates_Call_List_PQ!U941)</f>
        <v/>
      </c>
      <c r="V941" s="68" t="s">
        <v>5433</v>
      </c>
      <c r="W941" s="68">
        <v>46032</v>
      </c>
      <c r="X941" s="68" t="s">
        <v>5434</v>
      </c>
      <c r="Y941" s="68"/>
      <c r="Z941" s="72" t="s">
        <v>5669</v>
      </c>
    </row>
    <row r="942" spans="1:26">
      <c r="A942" s="71">
        <f>IFERROR(Associates_Call_List_PQ!A942,"")</f>
        <v>45962</v>
      </c>
      <c r="B942" s="57" t="str">
        <f>IF(Associates_Call_List_PQ!B942="","",Associates_Call_List_PQ!B942)</f>
        <v>Nacinovich</v>
      </c>
      <c r="C942" s="57" t="str">
        <f>IF(Associates_Call_List_PQ!C942="","",Associates_Call_List_PQ!C942)</f>
        <v>Richard</v>
      </c>
      <c r="D942" s="57" t="str">
        <f>IF(Associates_Call_List_PQ!D942="","",Associates_Call_List_PQ!D942)</f>
        <v>Phoenix</v>
      </c>
      <c r="E942" s="58">
        <f>IF(Associates_Call_List_PQ!E942="","",Associates_Call_List_PQ!E942)</f>
        <v>85029</v>
      </c>
      <c r="F942" s="57" t="str">
        <f>IF(Associates_Call_List_PQ!F942="","",Associates_Call_List_PQ!F942)</f>
        <v>reject this proposed rate increase and to ensure that the financial responsibility for new grid demand falls on the businesses creating i</v>
      </c>
      <c r="G942" s="57" t="str">
        <f>IF(Associates_Call_List_PQ!G942="","",Associates_Call_List_PQ!G942)</f>
        <v>https://docket.images.azcc.gov/E000047365.pdf</v>
      </c>
      <c r="H942" s="59" t="str">
        <f>IF(Associates_Call_List_PQ!H942="","",Associates_Call_List_PQ!H942)</f>
        <v>5470751000</v>
      </c>
      <c r="I942" s="57" t="str">
        <f>IF(Associates_Call_List_PQ!I942="","",Associates_Call_List_PQ!I942)</f>
        <v>R3-47</v>
      </c>
      <c r="J942" s="57" t="str">
        <f>IF(Associates_Call_List_PQ!J942="","",Associates_Call_List_PQ!J942)</f>
        <v>No</v>
      </c>
      <c r="K942" s="57" t="str">
        <f>IF(Associates_Call_List_PQ!K942="","",Associates_Call_List_PQ!K942)</f>
        <v>No</v>
      </c>
      <c r="L942" s="57" t="str">
        <f>IF(Associates_Call_List_PQ!L942="","",Associates_Call_List_PQ!L942)</f>
        <v>Yes</v>
      </c>
      <c r="M942" s="57" t="str">
        <f>IF(Associates_Call_List_PQ!M942="","",Associates_Call_List_PQ!M942)</f>
        <v>No</v>
      </c>
      <c r="N942" s="57" t="str">
        <f>IF(Associates_Call_List_PQ!N942="","",Associates_Call_List_PQ!N942)</f>
        <v>No</v>
      </c>
      <c r="O942" s="57" t="str">
        <f>IF(Associates_Call_List_PQ!O942="","",Associates_Call_List_PQ!O942)</f>
        <v>Yes</v>
      </c>
      <c r="P942" s="57" t="str">
        <f>IF(Associates_Call_List_PQ!P942="","",Associates_Call_List_PQ!P942)</f>
        <v>N</v>
      </c>
      <c r="Q942" s="57">
        <f>IF(Associates_Call_List_PQ!Q942="","",Associates_Call_List_PQ!Q942)</f>
        <v>45965</v>
      </c>
      <c r="R942" s="57" t="str">
        <f>IF(Associates_Call_List_PQ!R942="","",Associates_Call_List_PQ!R942)</f>
        <v/>
      </c>
      <c r="S942" s="57" t="str">
        <f>IF(Associates_Call_List_PQ!S942="","",Associates_Call_List_PQ!S942)</f>
        <v/>
      </c>
      <c r="T942" s="57" t="str">
        <f>IF(Associates_Call_List_PQ!T942="","",Associates_Call_List_PQ!T942)</f>
        <v/>
      </c>
      <c r="U942" s="57" t="str">
        <f>IF(Associates_Call_List_PQ!U942="","",Associates_Call_List_PQ!U942)</f>
        <v/>
      </c>
      <c r="V942" s="68" t="s">
        <v>5433</v>
      </c>
      <c r="W942" s="68">
        <v>46067</v>
      </c>
      <c r="X942" s="68" t="s">
        <v>5434</v>
      </c>
      <c r="Y942" s="68"/>
      <c r="Z942" s="72" t="s">
        <v>5446</v>
      </c>
    </row>
    <row r="943" spans="1:26">
      <c r="A943" s="71">
        <f>IFERROR(Associates_Call_List_PQ!A943,"")</f>
        <v>45963</v>
      </c>
      <c r="B943" s="57" t="str">
        <f>IF(Associates_Call_List_PQ!B943="","",Associates_Call_List_PQ!B943)</f>
        <v>Drobnica</v>
      </c>
      <c r="C943" s="57" t="str">
        <f>IF(Associates_Call_List_PQ!C943="","",Associates_Call_List_PQ!C943)</f>
        <v>John</v>
      </c>
      <c r="D943" s="57" t="str">
        <f>IF(Associates_Call_List_PQ!D943="","",Associates_Call_List_PQ!D943)</f>
        <v>Cottonwood</v>
      </c>
      <c r="E943" s="58">
        <f>IF(Associates_Call_List_PQ!E943="","",Associates_Call_List_PQ!E943)</f>
        <v>86326</v>
      </c>
      <c r="F943" s="57" t="str">
        <f>IF(Associates_Call_List_PQ!F943="","",Associates_Call_List_PQ!F943)</f>
        <v>Many customers are on a fixed income that isn't growing with the rates APS, Focus on providing safe, reliable and affordable energy not corporate philanthropy</v>
      </c>
      <c r="G943" s="57" t="str">
        <f>IF(Associates_Call_List_PQ!G943="","",Associates_Call_List_PQ!G943)</f>
        <v>https://docket.images.azcc.gov/E000047365.pdf</v>
      </c>
      <c r="H943" s="59" t="str">
        <f>IF(Associates_Call_List_PQ!H943="","",Associates_Call_List_PQ!H943)</f>
        <v>9058887734</v>
      </c>
      <c r="I943" s="57" t="str">
        <f>IF(Associates_Call_List_PQ!I943="","",Associates_Call_List_PQ!I943)</f>
        <v>R-2</v>
      </c>
      <c r="J943" s="57" t="str">
        <f>IF(Associates_Call_List_PQ!J943="","",Associates_Call_List_PQ!J943)</f>
        <v>No</v>
      </c>
      <c r="K943" s="57" t="str">
        <f>IF(Associates_Call_List_PQ!K943="","",Associates_Call_List_PQ!K943)</f>
        <v>No</v>
      </c>
      <c r="L943" s="57" t="str">
        <f>IF(Associates_Call_List_PQ!L943="","",Associates_Call_List_PQ!L943)</f>
        <v>Frozen Rate</v>
      </c>
      <c r="M943" s="57" t="str">
        <f>IF(Associates_Call_List_PQ!M943="","",Associates_Call_List_PQ!M943)</f>
        <v>No</v>
      </c>
      <c r="N943" s="57" t="str">
        <f>IF(Associates_Call_List_PQ!N943="","",Associates_Call_List_PQ!N943)</f>
        <v>No</v>
      </c>
      <c r="O943" s="57" t="str">
        <f>IF(Associates_Call_List_PQ!O943="","",Associates_Call_List_PQ!O943)</f>
        <v>Yes</v>
      </c>
      <c r="P943" s="57" t="str">
        <f>IF(Associates_Call_List_PQ!P943="","",Associates_Call_List_PQ!P943)</f>
        <v>N</v>
      </c>
      <c r="Q943" s="57">
        <f>IF(Associates_Call_List_PQ!Q943="","",Associates_Call_List_PQ!Q943)</f>
        <v>45965</v>
      </c>
      <c r="R943" s="57" t="str">
        <f>IF(Associates_Call_List_PQ!R943="","",Associates_Call_List_PQ!R943)</f>
        <v/>
      </c>
      <c r="S943" s="57" t="str">
        <f>IF(Associates_Call_List_PQ!S943="","",Associates_Call_List_PQ!S943)</f>
        <v/>
      </c>
      <c r="T943" s="57" t="str">
        <f>IF(Associates_Call_List_PQ!T943="","",Associates_Call_List_PQ!T943)</f>
        <v/>
      </c>
      <c r="U943" s="57" t="str">
        <f>IF(Associates_Call_List_PQ!U943="","",Associates_Call_List_PQ!U943)</f>
        <v/>
      </c>
      <c r="V943" s="68"/>
      <c r="W943" s="68" t="s">
        <v>5432</v>
      </c>
      <c r="X943" s="68"/>
      <c r="Y943" s="68"/>
      <c r="Z943" s="72"/>
    </row>
    <row r="944" spans="1:26">
      <c r="A944" s="71">
        <f>IFERROR(Associates_Call_List_PQ!A944,"")</f>
        <v>45965</v>
      </c>
      <c r="B944" s="57" t="str">
        <f>IF(Associates_Call_List_PQ!B944="","",Associates_Call_List_PQ!B944)</f>
        <v>Susser</v>
      </c>
      <c r="C944" s="57" t="str">
        <f>IF(Associates_Call_List_PQ!C944="","",Associates_Call_List_PQ!C944)</f>
        <v>Norm</v>
      </c>
      <c r="D944" s="57" t="str">
        <f>IF(Associates_Call_List_PQ!D944="","",Associates_Call_List_PQ!D944)</f>
        <v>Cave Creek</v>
      </c>
      <c r="E944" s="58">
        <f>IF(Associates_Call_List_PQ!E944="","",Associates_Call_List_PQ!E944)</f>
        <v>85331</v>
      </c>
      <c r="F944" s="57" t="str">
        <f>IF(Associates_Call_List_PQ!F944="","",Associates_Call_List_PQ!F944)</f>
        <v>Fees, taxes, surcharges and adjustors seem excessive</v>
      </c>
      <c r="G944" s="57" t="str">
        <f>IF(Associates_Call_List_PQ!G944="","",Associates_Call_List_PQ!G944)</f>
        <v>https://docket.images.azcc.gov/E000047398.pdf</v>
      </c>
      <c r="H944" s="59" t="str">
        <f>IF(Associates_Call_List_PQ!H944="","",Associates_Call_List_PQ!H944)</f>
        <v>3801590000</v>
      </c>
      <c r="I944" s="57" t="str">
        <f>IF(Associates_Call_List_PQ!I944="","",Associates_Call_List_PQ!I944)</f>
        <v>R3-47</v>
      </c>
      <c r="J944" s="57" t="str">
        <f>IF(Associates_Call_List_PQ!J944="","",Associates_Call_List_PQ!J944)</f>
        <v>No</v>
      </c>
      <c r="K944" s="57" t="str">
        <f>IF(Associates_Call_List_PQ!K944="","",Associates_Call_List_PQ!K944)</f>
        <v>No</v>
      </c>
      <c r="L944" s="57" t="str">
        <f>IF(Associates_Call_List_PQ!L944="","",Associates_Call_List_PQ!L944)</f>
        <v>Yes</v>
      </c>
      <c r="M944" s="57" t="str">
        <f>IF(Associates_Call_List_PQ!M944="","",Associates_Call_List_PQ!M944)</f>
        <v>No</v>
      </c>
      <c r="N944" s="57" t="str">
        <f>IF(Associates_Call_List_PQ!N944="","",Associates_Call_List_PQ!N944)</f>
        <v>No</v>
      </c>
      <c r="O944" s="57" t="str">
        <f>IF(Associates_Call_List_PQ!O944="","",Associates_Call_List_PQ!O944)</f>
        <v>Yes</v>
      </c>
      <c r="P944" s="57" t="str">
        <f>IF(Associates_Call_List_PQ!P944="","",Associates_Call_List_PQ!P944)</f>
        <v>N</v>
      </c>
      <c r="Q944" s="57">
        <f>IF(Associates_Call_List_PQ!Q944="","",Associates_Call_List_PQ!Q944)</f>
        <v>45966</v>
      </c>
      <c r="R944" s="57" t="str">
        <f>IF(Associates_Call_List_PQ!R944="","",Associates_Call_List_PQ!R944)</f>
        <v/>
      </c>
      <c r="S944" s="57" t="str">
        <f>IF(Associates_Call_List_PQ!S944="","",Associates_Call_List_PQ!S944)</f>
        <v/>
      </c>
      <c r="T944" s="57" t="str">
        <f>IF(Associates_Call_List_PQ!T944="","",Associates_Call_List_PQ!T944)</f>
        <v/>
      </c>
      <c r="U944" s="57" t="str">
        <f>IF(Associates_Call_List_PQ!U944="","",Associates_Call_List_PQ!U944)</f>
        <v/>
      </c>
      <c r="V944" s="68" t="s">
        <v>5433</v>
      </c>
      <c r="W944" s="68">
        <v>46067</v>
      </c>
      <c r="X944" s="68" t="s">
        <v>5405</v>
      </c>
      <c r="Y944" s="68" t="s">
        <v>5463</v>
      </c>
      <c r="Z944" s="72" t="s">
        <v>5670</v>
      </c>
    </row>
    <row r="945" spans="1:26">
      <c r="A945" s="71">
        <f>IFERROR(Associates_Call_List_PQ!A945,"")</f>
        <v>45906</v>
      </c>
      <c r="B945" s="57" t="str">
        <f>IF(Associates_Call_List_PQ!B945="","",Associates_Call_List_PQ!B945)</f>
        <v>Sellers</v>
      </c>
      <c r="C945" s="57" t="str">
        <f>IF(Associates_Call_List_PQ!C945="","",Associates_Call_List_PQ!C945)</f>
        <v>Jennifer</v>
      </c>
      <c r="D945" s="57" t="str">
        <f>IF(Associates_Call_List_PQ!D945="","",Associates_Call_List_PQ!D945)</f>
        <v>Flagstaff</v>
      </c>
      <c r="E945" s="58">
        <f>IF(Associates_Call_List_PQ!E945="","",Associates_Call_List_PQ!E945)</f>
        <v>86005</v>
      </c>
      <c r="F945" s="57" t="str">
        <f>IF(Associates_Call_List_PQ!F945="","",Associates_Call_List_PQ!F945)</f>
        <v>Form Letter: For families like mine this is simply too much</v>
      </c>
      <c r="G945" s="57" t="str">
        <f>IF(Associates_Call_List_PQ!G945="","",Associates_Call_List_PQ!G945)</f>
        <v>https://docket.images.azcc.gov/E000047398.pdf</v>
      </c>
      <c r="H945" s="59" t="str">
        <f>IF(Associates_Call_List_PQ!H945="","",Associates_Call_List_PQ!H945)</f>
        <v>3505651000</v>
      </c>
      <c r="I945" s="57" t="str">
        <f>IF(Associates_Call_List_PQ!I945="","",Associates_Call_List_PQ!I945)</f>
        <v>Multiple SAs</v>
      </c>
      <c r="J945" s="57" t="str">
        <f>IF(Associates_Call_List_PQ!J945="","",Associates_Call_List_PQ!J945)</f>
        <v>No</v>
      </c>
      <c r="K945" s="57" t="str">
        <f>IF(Associates_Call_List_PQ!K945="","",Associates_Call_List_PQ!K945)</f>
        <v>No</v>
      </c>
      <c r="L945" s="57" t="str">
        <f>IF(Associates_Call_List_PQ!L945="","",Associates_Call_List_PQ!L945)</f>
        <v>No MEP R3-47 ($176.69)</v>
      </c>
      <c r="M945" s="57" t="str">
        <f>IF(Associates_Call_List_PQ!M945="","",Associates_Call_List_PQ!M945)</f>
        <v>No</v>
      </c>
      <c r="N945" s="57" t="str">
        <f>IF(Associates_Call_List_PQ!N945="","",Associates_Call_List_PQ!N945)</f>
        <v>No</v>
      </c>
      <c r="O945" s="57" t="str">
        <f>IF(Associates_Call_List_PQ!O945="","",Associates_Call_List_PQ!O945)</f>
        <v>Yes</v>
      </c>
      <c r="P945" s="57">
        <f>IF(Associates_Call_List_PQ!P945="","",Associates_Call_List_PQ!P945)</f>
        <v>45971</v>
      </c>
      <c r="Q945" s="57">
        <f>IF(Associates_Call_List_PQ!Q945="","",Associates_Call_List_PQ!Q945)</f>
        <v>45966</v>
      </c>
      <c r="R945" s="57" t="str">
        <f>IF(Associates_Call_List_PQ!R945="","",Associates_Call_List_PQ!R945)</f>
        <v>11/10 Left VM regarding MEP at Flagstaff SA</v>
      </c>
      <c r="S945" s="57" t="str">
        <f>IF(Associates_Call_List_PQ!S945="","",Associates_Call_List_PQ!S945)</f>
        <v/>
      </c>
      <c r="T945" s="57" t="str">
        <f>IF(Associates_Call_List_PQ!T945="","",Associates_Call_List_PQ!T945)</f>
        <v/>
      </c>
      <c r="U945" s="57" t="str">
        <f>IF(Associates_Call_List_PQ!U945="","",Associates_Call_List_PQ!U945)</f>
        <v/>
      </c>
      <c r="V945" s="68" t="s">
        <v>5433</v>
      </c>
      <c r="W945" s="68">
        <v>46032</v>
      </c>
      <c r="X945" s="68" t="s">
        <v>5434</v>
      </c>
      <c r="Y945" s="68"/>
      <c r="Z945" s="72" t="s">
        <v>5671</v>
      </c>
    </row>
    <row r="946" spans="1:26">
      <c r="A946" s="71">
        <f>IFERROR(Associates_Call_List_PQ!A946,"")</f>
        <v>45964</v>
      </c>
      <c r="B946" s="57" t="str">
        <f>IF(Associates_Call_List_PQ!B946="","",Associates_Call_List_PQ!B946)</f>
        <v>Dershowitz</v>
      </c>
      <c r="C946" s="57" t="str">
        <f>IF(Associates_Call_List_PQ!C946="","",Associates_Call_List_PQ!C946)</f>
        <v>Mark</v>
      </c>
      <c r="D946" s="57" t="str">
        <f>IF(Associates_Call_List_PQ!D946="","",Associates_Call_List_PQ!D946)</f>
        <v>Scottsdale</v>
      </c>
      <c r="E946" s="58">
        <f>IF(Associates_Call_List_PQ!E946="","",Associates_Call_List_PQ!E946)</f>
        <v>85255</v>
      </c>
      <c r="F946" s="57" t="str">
        <f>IF(Associates_Call_List_PQ!F946="","",Associates_Call_List_PQ!F946)</f>
        <v>SS going up 2.8%, suggest rate increase be limited to the same</v>
      </c>
      <c r="G946" s="57" t="str">
        <f>IF(Associates_Call_List_PQ!G946="","",Associates_Call_List_PQ!G946)</f>
        <v>https://docket.images.azcc.gov/E000047371.pdf</v>
      </c>
      <c r="H946" s="59" t="str">
        <f>IF(Associates_Call_List_PQ!H946="","",Associates_Call_List_PQ!H946)</f>
        <v>2990380000</v>
      </c>
      <c r="I946" s="57" t="str">
        <f>IF(Associates_Call_List_PQ!I946="","",Associates_Call_List_PQ!I946)</f>
        <v>RTOUE47</v>
      </c>
      <c r="J946" s="57" t="str">
        <f>IF(Associates_Call_List_PQ!J946="","",Associates_Call_List_PQ!J946)</f>
        <v>No</v>
      </c>
      <c r="K946" s="57" t="str">
        <f>IF(Associates_Call_List_PQ!K946="","",Associates_Call_List_PQ!K946)</f>
        <v>No</v>
      </c>
      <c r="L946" s="57" t="str">
        <f>IF(Associates_Call_List_PQ!L946="","",Associates_Call_List_PQ!L946)</f>
        <v>No MEP R3-47 ($255.76)</v>
      </c>
      <c r="M946" s="57" t="str">
        <f>IF(Associates_Call_List_PQ!M946="","",Associates_Call_List_PQ!M946)</f>
        <v>No</v>
      </c>
      <c r="N946" s="57" t="str">
        <f>IF(Associates_Call_List_PQ!N946="","",Associates_Call_List_PQ!N946)</f>
        <v>No</v>
      </c>
      <c r="O946" s="57" t="str">
        <f>IF(Associates_Call_List_PQ!O946="","",Associates_Call_List_PQ!O946)</f>
        <v>Yes</v>
      </c>
      <c r="P946" s="57">
        <f>IF(Associates_Call_List_PQ!P946="","",Associates_Call_List_PQ!P946)</f>
        <v>45971</v>
      </c>
      <c r="Q946" s="57">
        <f>IF(Associates_Call_List_PQ!Q946="","",Associates_Call_List_PQ!Q946)</f>
        <v>45966</v>
      </c>
      <c r="R946" s="57" t="str">
        <f>IF(Associates_Call_List_PQ!R946="","",Associates_Call_List_PQ!R946)</f>
        <v xml:space="preserve">11/10 Spoke to customer briefly then he said "leave me alone" and hung up. </v>
      </c>
      <c r="S946" s="57" t="str">
        <f>IF(Associates_Call_List_PQ!S946="","",Associates_Call_List_PQ!S946)</f>
        <v/>
      </c>
      <c r="T946" s="57" t="str">
        <f>IF(Associates_Call_List_PQ!T946="","",Associates_Call_List_PQ!T946)</f>
        <v/>
      </c>
      <c r="U946" s="57" t="str">
        <f>IF(Associates_Call_List_PQ!U946="","",Associates_Call_List_PQ!U946)</f>
        <v/>
      </c>
      <c r="V946" s="68" t="s">
        <v>5433</v>
      </c>
      <c r="W946" s="68">
        <v>46032</v>
      </c>
      <c r="X946" s="68" t="s">
        <v>5434</v>
      </c>
      <c r="Y946" s="68"/>
      <c r="Z946" s="72" t="s">
        <v>5669</v>
      </c>
    </row>
    <row r="947" spans="1:26">
      <c r="A947" s="71">
        <f>IFERROR(Associates_Call_List_PQ!A947,"")</f>
        <v>45966</v>
      </c>
      <c r="B947" s="57" t="str">
        <f>IF(Associates_Call_List_PQ!B947="","",Associates_Call_List_PQ!B947)</f>
        <v>Curds</v>
      </c>
      <c r="C947" s="57" t="str">
        <f>IF(Associates_Call_List_PQ!C947="","",Associates_Call_List_PQ!C947)</f>
        <v>Diana</v>
      </c>
      <c r="D947" s="57" t="str">
        <f>IF(Associates_Call_List_PQ!D947="","",Associates_Call_List_PQ!D947)</f>
        <v>Phoenix</v>
      </c>
      <c r="E947" s="58">
        <f>IF(Associates_Call_List_PQ!E947="","",Associates_Call_List_PQ!E947)</f>
        <v>85022</v>
      </c>
      <c r="F947" s="57" t="str">
        <f>IF(Associates_Call_List_PQ!F947="","",Associates_Call_List_PQ!F947)</f>
        <v>I oppose the rate hike. Bills are high enough. No one can survive paying $650.</v>
      </c>
      <c r="G947" s="57" t="str">
        <f>IF(Associates_Call_List_PQ!G947="","",Associates_Call_List_PQ!G947)</f>
        <v>https://docket.images.azcc.gov/E000047425.pdf</v>
      </c>
      <c r="H947" s="59" t="str">
        <f>IF(Associates_Call_List_PQ!H947="","",Associates_Call_List_PQ!H947)</f>
        <v>3304816868</v>
      </c>
      <c r="I947" s="57" t="str">
        <f>IF(Associates_Call_List_PQ!I947="","",Associates_Call_List_PQ!I947)</f>
        <v>RTOUE47</v>
      </c>
      <c r="J947" s="57" t="str">
        <f>IF(Associates_Call_List_PQ!J947="","",Associates_Call_List_PQ!J947)</f>
        <v>No</v>
      </c>
      <c r="K947" s="57" t="str">
        <f>IF(Associates_Call_List_PQ!K947="","",Associates_Call_List_PQ!K947)</f>
        <v>No</v>
      </c>
      <c r="L947" s="57" t="str">
        <f>IF(Associates_Call_List_PQ!L947="","",Associates_Call_List_PQ!L947)</f>
        <v>No MEP R3-47 ($113.52)</v>
      </c>
      <c r="M947" s="57" t="str">
        <f>IF(Associates_Call_List_PQ!M947="","",Associates_Call_List_PQ!M947)</f>
        <v>Yes</v>
      </c>
      <c r="N947" s="57">
        <f>IF(Associates_Call_List_PQ!N947="","",Associates_Call_List_PQ!N947)</f>
        <v>99.98</v>
      </c>
      <c r="O947" s="57" t="str">
        <f>IF(Associates_Call_List_PQ!O947="","",Associates_Call_List_PQ!O947)</f>
        <v>Yes</v>
      </c>
      <c r="P947" s="57" t="str">
        <f>IF(Associates_Call_List_PQ!P947="","",Associates_Call_List_PQ!P947)</f>
        <v>N</v>
      </c>
      <c r="Q947" s="57">
        <f>IF(Associates_Call_List_PQ!Q947="","",Associates_Call_List_PQ!Q947)</f>
        <v>45967</v>
      </c>
      <c r="R947" s="57" t="str">
        <f>IF(Associates_Call_List_PQ!R947="","",Associates_Call_List_PQ!R947)</f>
        <v>Customer filed an ACC complaint 11/3</v>
      </c>
      <c r="S947" s="57" t="str">
        <f>IF(Associates_Call_List_PQ!S947="","",Associates_Call_List_PQ!S947)</f>
        <v/>
      </c>
      <c r="T947" s="57" t="str">
        <f>IF(Associates_Call_List_PQ!T947="","",Associates_Call_List_PQ!T947)</f>
        <v/>
      </c>
      <c r="U947" s="57" t="str">
        <f>IF(Associates_Call_List_PQ!U947="","",Associates_Call_List_PQ!U947)</f>
        <v/>
      </c>
      <c r="V947" s="68" t="s">
        <v>5433</v>
      </c>
      <c r="W947" s="68">
        <v>46032</v>
      </c>
      <c r="X947" s="68"/>
      <c r="Y947" s="68" t="s">
        <v>5447</v>
      </c>
      <c r="Z947" s="72" t="s">
        <v>5672</v>
      </c>
    </row>
    <row r="948" spans="1:26">
      <c r="A948" s="71">
        <f>IFERROR(Associates_Call_List_PQ!A948,"")</f>
        <v>45966</v>
      </c>
      <c r="B948" s="57" t="str">
        <f>IF(Associates_Call_List_PQ!B948="","",Associates_Call_List_PQ!B948)</f>
        <v>Thome</v>
      </c>
      <c r="C948" s="57" t="str">
        <f>IF(Associates_Call_List_PQ!C948="","",Associates_Call_List_PQ!C948)</f>
        <v>Cari</v>
      </c>
      <c r="D948" s="57" t="str">
        <f>IF(Associates_Call_List_PQ!D948="","",Associates_Call_List_PQ!D948)</f>
        <v>Buckeye</v>
      </c>
      <c r="E948" s="58">
        <f>IF(Associates_Call_List_PQ!E948="","",Associates_Call_List_PQ!E948)</f>
        <v>85326</v>
      </c>
      <c r="F948" s="57" t="str">
        <f>IF(Associates_Call_List_PQ!F948="","",Associates_Call_List_PQ!F948)</f>
        <v>Opposed to another rate hike - they have frequently asked for rate increases</v>
      </c>
      <c r="G948" s="57" t="str">
        <f>IF(Associates_Call_List_PQ!G948="","",Associates_Call_List_PQ!G948)</f>
        <v>https://docket.images.azcc.gov/E000047425.pdf</v>
      </c>
      <c r="H948" s="59" t="str">
        <f>IF(Associates_Call_List_PQ!H948="","",Associates_Call_List_PQ!H948)</f>
        <v>7319203567</v>
      </c>
      <c r="I948" s="57" t="str">
        <f>IF(Associates_Call_List_PQ!I948="","",Associates_Call_List_PQ!I948)</f>
        <v>R3-47</v>
      </c>
      <c r="J948" s="57" t="str">
        <f>IF(Associates_Call_List_PQ!J948="","",Associates_Call_List_PQ!J948)</f>
        <v>No</v>
      </c>
      <c r="K948" s="57" t="str">
        <f>IF(Associates_Call_List_PQ!K948="","",Associates_Call_List_PQ!K948)</f>
        <v>No</v>
      </c>
      <c r="L948" s="57" t="str">
        <f>IF(Associates_Call_List_PQ!L948="","",Associates_Call_List_PQ!L948)</f>
        <v>Yes</v>
      </c>
      <c r="M948" s="57" t="str">
        <f>IF(Associates_Call_List_PQ!M948="","",Associates_Call_List_PQ!M948)</f>
        <v>Yes</v>
      </c>
      <c r="N948" s="57">
        <f>IF(Associates_Call_List_PQ!N948="","",Associates_Call_List_PQ!N948)</f>
        <v>1209</v>
      </c>
      <c r="O948" s="57" t="str">
        <f>IF(Associates_Call_List_PQ!O948="","",Associates_Call_List_PQ!O948)</f>
        <v>Yes</v>
      </c>
      <c r="P948" s="57" t="str">
        <f>IF(Associates_Call_List_PQ!P948="","",Associates_Call_List_PQ!P948)</f>
        <v/>
      </c>
      <c r="Q948" s="57">
        <f>IF(Associates_Call_List_PQ!Q948="","",Associates_Call_List_PQ!Q948)</f>
        <v>45967</v>
      </c>
      <c r="R948" s="57" t="str">
        <f>IF(Associates_Call_List_PQ!R948="","",Associates_Call_List_PQ!R948)</f>
        <v>Assistance?</v>
      </c>
      <c r="S948" s="57" t="str">
        <f>IF(Associates_Call_List_PQ!S948="","",Associates_Call_List_PQ!S948)</f>
        <v/>
      </c>
      <c r="T948" s="57" t="str">
        <f>IF(Associates_Call_List_PQ!T948="","",Associates_Call_List_PQ!T948)</f>
        <v/>
      </c>
      <c r="U948" s="57" t="str">
        <f>IF(Associates_Call_List_PQ!U948="","",Associates_Call_List_PQ!U948)</f>
        <v/>
      </c>
      <c r="V948" s="68" t="s">
        <v>5433</v>
      </c>
      <c r="W948" s="68">
        <v>46032</v>
      </c>
      <c r="X948" s="68"/>
      <c r="Y948" s="68" t="s">
        <v>5602</v>
      </c>
      <c r="Z948" s="72" t="s">
        <v>5673</v>
      </c>
    </row>
    <row r="949" spans="1:26">
      <c r="A949" s="71">
        <f>IFERROR(Associates_Call_List_PQ!A949,"")</f>
        <v>45967</v>
      </c>
      <c r="B949" s="57" t="str">
        <f>IF(Associates_Call_List_PQ!B949="","",Associates_Call_List_PQ!B949)</f>
        <v>Boyd</v>
      </c>
      <c r="C949" s="57" t="str">
        <f>IF(Associates_Call_List_PQ!C949="","",Associates_Call_List_PQ!C949)</f>
        <v>Magan</v>
      </c>
      <c r="D949" s="57" t="str">
        <f>IF(Associates_Call_List_PQ!D949="","",Associates_Call_List_PQ!D949)</f>
        <v>Tonopah</v>
      </c>
      <c r="E949" s="58">
        <f>IF(Associates_Call_List_PQ!E949="","",Associates_Call_List_PQ!E949)</f>
        <v>85354</v>
      </c>
      <c r="F949" s="57" t="str">
        <f>IF(Associates_Call_List_PQ!F949="","",Associates_Call_List_PQ!F949)</f>
        <v>It makes no sense that the rates are higher… Issues with energy water agreements (PV).</v>
      </c>
      <c r="G949" s="57" t="str">
        <f>IF(Associates_Call_List_PQ!G949="","",Associates_Call_List_PQ!G949)</f>
        <v>https://docket.images.azcc.gov/E000047432.pdf</v>
      </c>
      <c r="H949" s="59" t="str">
        <f>IF(Associates_Call_List_PQ!H949="","",Associates_Call_List_PQ!H949)</f>
        <v>3647741244</v>
      </c>
      <c r="I949" s="57" t="str">
        <f>IF(Associates_Call_List_PQ!I949="","",Associates_Call_List_PQ!I949)</f>
        <v>R3-47</v>
      </c>
      <c r="J949" s="57" t="str">
        <f>IF(Associates_Call_List_PQ!J949="","",Associates_Call_List_PQ!J949)</f>
        <v>No</v>
      </c>
      <c r="K949" s="57" t="str">
        <f>IF(Associates_Call_List_PQ!K949="","",Associates_Call_List_PQ!K949)</f>
        <v>No</v>
      </c>
      <c r="L949" s="57" t="str">
        <f>IF(Associates_Call_List_PQ!L949="","",Associates_Call_List_PQ!L949)</f>
        <v>Yes</v>
      </c>
      <c r="M949" s="57" t="str">
        <f>IF(Associates_Call_List_PQ!M949="","",Associates_Call_List_PQ!M949)</f>
        <v>Yes</v>
      </c>
      <c r="N949" s="57">
        <f>IF(Associates_Call_List_PQ!N949="","",Associates_Call_List_PQ!N949)</f>
        <v>347.99</v>
      </c>
      <c r="O949" s="57" t="str">
        <f>IF(Associates_Call_List_PQ!O949="","",Associates_Call_List_PQ!O949)</f>
        <v>Yes</v>
      </c>
      <c r="P949" s="57" t="str">
        <f>IF(Associates_Call_List_PQ!P949="","",Associates_Call_List_PQ!P949)</f>
        <v>N</v>
      </c>
      <c r="Q949" s="57">
        <f>IF(Associates_Call_List_PQ!Q949="","",Associates_Call_List_PQ!Q949)</f>
        <v>45968</v>
      </c>
      <c r="R949" s="57" t="str">
        <f>IF(Associates_Call_List_PQ!R949="","",Associates_Call_List_PQ!R949)</f>
        <v/>
      </c>
      <c r="S949" s="57" t="str">
        <f>IF(Associates_Call_List_PQ!S949="","",Associates_Call_List_PQ!S949)</f>
        <v/>
      </c>
      <c r="T949" s="57" t="str">
        <f>IF(Associates_Call_List_PQ!T949="","",Associates_Call_List_PQ!T949)</f>
        <v/>
      </c>
      <c r="U949" s="57" t="str">
        <f>IF(Associates_Call_List_PQ!U949="","",Associates_Call_List_PQ!U949)</f>
        <v/>
      </c>
      <c r="V949" s="68" t="s">
        <v>5433</v>
      </c>
      <c r="W949" s="68">
        <v>45997</v>
      </c>
      <c r="X949" s="68" t="s">
        <v>5434</v>
      </c>
      <c r="Y949" s="68"/>
      <c r="Z949" s="72"/>
    </row>
    <row r="950" spans="1:26">
      <c r="A950" s="71">
        <f>IFERROR(Associates_Call_List_PQ!A950,"")</f>
        <v>45967</v>
      </c>
      <c r="B950" s="57" t="str">
        <f>IF(Associates_Call_List_PQ!B950="","",Associates_Call_List_PQ!B950)</f>
        <v>Smitt</v>
      </c>
      <c r="C950" s="57" t="str">
        <f>IF(Associates_Call_List_PQ!C950="","",Associates_Call_List_PQ!C950)</f>
        <v>Erik</v>
      </c>
      <c r="D950" s="57" t="str">
        <f>IF(Associates_Call_List_PQ!D950="","",Associates_Call_List_PQ!D950)</f>
        <v>Tucson</v>
      </c>
      <c r="E950" s="58">
        <f>IF(Associates_Call_List_PQ!E950="","",Associates_Call_List_PQ!E950)</f>
        <v>85743</v>
      </c>
      <c r="F950" s="57" t="str">
        <f>IF(Associates_Call_List_PQ!F950="","",Associates_Call_List_PQ!F950)</f>
        <v xml:space="preserve">Do not support green new deal nor the net zero </v>
      </c>
      <c r="G950" s="57" t="str">
        <f>IF(Associates_Call_List_PQ!G950="","",Associates_Call_List_PQ!G950)</f>
        <v>https://docket.images.azcc.gov/E000047432.pdf</v>
      </c>
      <c r="H950" s="59" t="str">
        <f>IF(Associates_Call_List_PQ!H950="","",Associates_Call_List_PQ!H950)</f>
        <v/>
      </c>
      <c r="I950" s="57" t="str">
        <f>IF(Associates_Call_List_PQ!I950="","",Associates_Call_List_PQ!I950)</f>
        <v/>
      </c>
      <c r="J950" s="57" t="str">
        <f>IF(Associates_Call_List_PQ!J950="","",Associates_Call_List_PQ!J950)</f>
        <v/>
      </c>
      <c r="K950" s="57" t="str">
        <f>IF(Associates_Call_List_PQ!K950="","",Associates_Call_List_PQ!K950)</f>
        <v/>
      </c>
      <c r="L950" s="57" t="str">
        <f>IF(Associates_Call_List_PQ!L950="","",Associates_Call_List_PQ!L950)</f>
        <v/>
      </c>
      <c r="M950" s="57" t="str">
        <f>IF(Associates_Call_List_PQ!M950="","",Associates_Call_List_PQ!M950)</f>
        <v/>
      </c>
      <c r="N950" s="57" t="str">
        <f>IF(Associates_Call_List_PQ!N950="","",Associates_Call_List_PQ!N950)</f>
        <v/>
      </c>
      <c r="O950" s="57" t="str">
        <f>IF(Associates_Call_List_PQ!O950="","",Associates_Call_List_PQ!O950)</f>
        <v/>
      </c>
      <c r="P950" s="57" t="str">
        <f>IF(Associates_Call_List_PQ!P950="","",Associates_Call_List_PQ!P950)</f>
        <v/>
      </c>
      <c r="Q950" s="57" t="str">
        <f>IF(Associates_Call_List_PQ!Q950="","",Associates_Call_List_PQ!Q950)</f>
        <v/>
      </c>
      <c r="R950" s="57" t="str">
        <f>IF(Associates_Call_List_PQ!R950="","",Associates_Call_List_PQ!R950)</f>
        <v/>
      </c>
      <c r="S950" s="57" t="str">
        <f>IF(Associates_Call_List_PQ!S950="","",Associates_Call_List_PQ!S950)</f>
        <v/>
      </c>
      <c r="T950" s="57" t="str">
        <f>IF(Associates_Call_List_PQ!T950="","",Associates_Call_List_PQ!T950)</f>
        <v/>
      </c>
      <c r="U950" s="57" t="str">
        <f>IF(Associates_Call_List_PQ!U950="","",Associates_Call_List_PQ!U950)</f>
        <v/>
      </c>
      <c r="V950" s="68" t="s">
        <v>5433</v>
      </c>
      <c r="W950" s="68">
        <v>46067</v>
      </c>
      <c r="X950" s="68" t="s">
        <v>5405</v>
      </c>
      <c r="Y950" s="68" t="s">
        <v>5463</v>
      </c>
      <c r="Z950" s="72" t="s">
        <v>5674</v>
      </c>
    </row>
    <row r="951" spans="1:26">
      <c r="A951" s="71">
        <f>IFERROR(Associates_Call_List_PQ!A951,"")</f>
        <v>45967</v>
      </c>
      <c r="B951" s="57" t="str">
        <f>IF(Associates_Call_List_PQ!B951="","",Associates_Call_List_PQ!B951)</f>
        <v>Arnold</v>
      </c>
      <c r="C951" s="57" t="str">
        <f>IF(Associates_Call_List_PQ!C951="","",Associates_Call_List_PQ!C951)</f>
        <v>Terrence</v>
      </c>
      <c r="D951" s="57" t="str">
        <f>IF(Associates_Call_List_PQ!D951="","",Associates_Call_List_PQ!D951)</f>
        <v>Glendale</v>
      </c>
      <c r="E951" s="58">
        <f>IF(Associates_Call_List_PQ!E951="","",Associates_Call_List_PQ!E951)</f>
        <v>85308</v>
      </c>
      <c r="F951" s="57" t="str">
        <f>IF(Associates_Call_List_PQ!F951="","",Associates_Call_List_PQ!F951)</f>
        <v>The recent APS request to rate increase of 16% is absurd</v>
      </c>
      <c r="G951" s="57" t="str">
        <f>IF(Associates_Call_List_PQ!G951="","",Associates_Call_List_PQ!G951)</f>
        <v>https://docket.images.azcc.gov/E000047432.pdf</v>
      </c>
      <c r="H951" s="59" t="str">
        <f>IF(Associates_Call_List_PQ!H951="","",Associates_Call_List_PQ!H951)</f>
        <v>9909801000</v>
      </c>
      <c r="I951" s="57" t="str">
        <f>IF(Associates_Call_List_PQ!I951="","",Associates_Call_List_PQ!I951)</f>
        <v>R3-47</v>
      </c>
      <c r="J951" s="57" t="str">
        <f>IF(Associates_Call_List_PQ!J951="","",Associates_Call_List_PQ!J951)</f>
        <v>No</v>
      </c>
      <c r="K951" s="57" t="str">
        <f>IF(Associates_Call_List_PQ!K951="","",Associates_Call_List_PQ!K951)</f>
        <v>No</v>
      </c>
      <c r="L951" s="57" t="str">
        <f>IF(Associates_Call_List_PQ!L951="","",Associates_Call_List_PQ!L951)</f>
        <v>Yes</v>
      </c>
      <c r="M951" s="57" t="str">
        <f>IF(Associates_Call_List_PQ!M951="","",Associates_Call_List_PQ!M951)</f>
        <v>No</v>
      </c>
      <c r="N951" s="57" t="str">
        <f>IF(Associates_Call_List_PQ!N951="","",Associates_Call_List_PQ!N951)</f>
        <v>No</v>
      </c>
      <c r="O951" s="57" t="str">
        <f>IF(Associates_Call_List_PQ!O951="","",Associates_Call_List_PQ!O951)</f>
        <v>Yes</v>
      </c>
      <c r="P951" s="57" t="str">
        <f>IF(Associates_Call_List_PQ!P951="","",Associates_Call_List_PQ!P951)</f>
        <v>N</v>
      </c>
      <c r="Q951" s="57">
        <f>IF(Associates_Call_List_PQ!Q951="","",Associates_Call_List_PQ!Q951)</f>
        <v>45968</v>
      </c>
      <c r="R951" s="57" t="str">
        <f>IF(Associates_Call_List_PQ!R951="","",Associates_Call_List_PQ!R951)</f>
        <v/>
      </c>
      <c r="S951" s="57" t="str">
        <f>IF(Associates_Call_List_PQ!S951="","",Associates_Call_List_PQ!S951)</f>
        <v/>
      </c>
      <c r="T951" s="57" t="str">
        <f>IF(Associates_Call_List_PQ!T951="","",Associates_Call_List_PQ!T951)</f>
        <v/>
      </c>
      <c r="U951" s="57" t="str">
        <f>IF(Associates_Call_List_PQ!U951="","",Associates_Call_List_PQ!U951)</f>
        <v/>
      </c>
      <c r="V951" s="68"/>
      <c r="W951" s="68" t="s">
        <v>5432</v>
      </c>
      <c r="X951" s="68"/>
      <c r="Y951" s="68"/>
      <c r="Z951" s="72"/>
    </row>
    <row r="952" spans="1:26">
      <c r="A952" s="71">
        <f>IFERROR(Associates_Call_List_PQ!A952,"")</f>
        <v>45967</v>
      </c>
      <c r="B952" s="57" t="str">
        <f>IF(Associates_Call_List_PQ!B952="","",Associates_Call_List_PQ!B952)</f>
        <v>Jeronimo</v>
      </c>
      <c r="C952" s="57" t="str">
        <f>IF(Associates_Call_List_PQ!C952="","",Associates_Call_List_PQ!C952)</f>
        <v>Esmeralda</v>
      </c>
      <c r="D952" s="57" t="str">
        <f>IF(Associates_Call_List_PQ!D952="","",Associates_Call_List_PQ!D952)</f>
        <v>Phoenix</v>
      </c>
      <c r="E952" s="58">
        <f>IF(Associates_Call_List_PQ!E952="","",Associates_Call_List_PQ!E952)</f>
        <v>850027</v>
      </c>
      <c r="F952" s="57" t="str">
        <f>IF(Associates_Call_List_PQ!F952="","",Associates_Call_List_PQ!F952)</f>
        <v>Form Letter: Enough is enough! You must reject the latest 14% rate hikes by APS lda TEP</v>
      </c>
      <c r="G952" s="57" t="str">
        <f>IF(Associates_Call_List_PQ!G952="","",Associates_Call_List_PQ!G952)</f>
        <v>https://docket.images.azcc.gov/E000047451.pdf</v>
      </c>
      <c r="H952" s="59" t="str">
        <f>IF(Associates_Call_List_PQ!H952="","",Associates_Call_List_PQ!H952)</f>
        <v>4506338330</v>
      </c>
      <c r="I952" s="57" t="str">
        <f>IF(Associates_Call_List_PQ!I952="","",Associates_Call_List_PQ!I952)</f>
        <v>RTOUE47</v>
      </c>
      <c r="J952" s="57" t="str">
        <f>IF(Associates_Call_List_PQ!J952="","",Associates_Call_List_PQ!J952)</f>
        <v>No</v>
      </c>
      <c r="K952" s="57" t="str">
        <f>IF(Associates_Call_List_PQ!K952="","",Associates_Call_List_PQ!K952)</f>
        <v>No</v>
      </c>
      <c r="L952" s="57" t="str">
        <f>IF(Associates_Call_List_PQ!L952="","",Associates_Call_List_PQ!L952)</f>
        <v>Yes</v>
      </c>
      <c r="M952" s="57" t="str">
        <f>IF(Associates_Call_List_PQ!M952="","",Associates_Call_List_PQ!M952)</f>
        <v>Yes</v>
      </c>
      <c r="N952" s="57">
        <f>IF(Associates_Call_List_PQ!N952="","",Associates_Call_List_PQ!N952)</f>
        <v>933.92</v>
      </c>
      <c r="O952" s="57" t="str">
        <f>IF(Associates_Call_List_PQ!O952="","",Associates_Call_List_PQ!O952)</f>
        <v>Yes</v>
      </c>
      <c r="P952" s="57" t="str">
        <f>IF(Associates_Call_List_PQ!P952="","",Associates_Call_List_PQ!P952)</f>
        <v/>
      </c>
      <c r="Q952" s="57">
        <f>IF(Associates_Call_List_PQ!Q952="","",Associates_Call_List_PQ!Q952)</f>
        <v>45968</v>
      </c>
      <c r="R952" s="57" t="str">
        <f>IF(Associates_Call_List_PQ!R952="","",Associates_Call_List_PQ!R952)</f>
        <v>Petition - Assistance?</v>
      </c>
      <c r="S952" s="57" t="str">
        <f>IF(Associates_Call_List_PQ!S952="","",Associates_Call_List_PQ!S952)</f>
        <v/>
      </c>
      <c r="T952" s="57" t="str">
        <f>IF(Associates_Call_List_PQ!T952="","",Associates_Call_List_PQ!T952)</f>
        <v/>
      </c>
      <c r="U952" s="57" t="str">
        <f>IF(Associates_Call_List_PQ!U952="","",Associates_Call_List_PQ!U952)</f>
        <v/>
      </c>
      <c r="V952" s="68" t="s">
        <v>5433</v>
      </c>
      <c r="W952" s="68">
        <v>46032</v>
      </c>
      <c r="X952" s="68" t="s">
        <v>5434</v>
      </c>
      <c r="Y952" s="68"/>
      <c r="Z952" s="72" t="s">
        <v>5675</v>
      </c>
    </row>
    <row r="953" spans="1:26">
      <c r="A953" s="71">
        <f>IFERROR(Associates_Call_List_PQ!A953,"")</f>
        <v>45967</v>
      </c>
      <c r="B953" s="57" t="str">
        <f>IF(Associates_Call_List_PQ!B953="","",Associates_Call_List_PQ!B953)</f>
        <v>McKnight</v>
      </c>
      <c r="C953" s="57" t="str">
        <f>IF(Associates_Call_List_PQ!C953="","",Associates_Call_List_PQ!C953)</f>
        <v>Jasmine</v>
      </c>
      <c r="D953" s="57" t="str">
        <f>IF(Associates_Call_List_PQ!D953="","",Associates_Call_List_PQ!D953)</f>
        <v>Phoenix</v>
      </c>
      <c r="E953" s="58">
        <f>IF(Associates_Call_List_PQ!E953="","",Associates_Call_List_PQ!E953)</f>
        <v>85012</v>
      </c>
      <c r="F953" s="57" t="str">
        <f>IF(Associates_Call_List_PQ!F953="","",Associates_Call_List_PQ!F953)</f>
        <v>Form Letter: Enough is enough! You must reject the latest 14% rate hikes by APS e TEP</v>
      </c>
      <c r="G953" s="57" t="str">
        <f>IF(Associates_Call_List_PQ!G953="","",Associates_Call_List_PQ!G953)</f>
        <v>https://docket.images.azcc.gov/E000047451.pdf</v>
      </c>
      <c r="H953" s="59" t="str">
        <f>IF(Associates_Call_List_PQ!H953="","",Associates_Call_List_PQ!H953)</f>
        <v>4885204722</v>
      </c>
      <c r="I953" s="57" t="str">
        <f>IF(Associates_Call_List_PQ!I953="","",Associates_Call_List_PQ!I953)</f>
        <v>R-BASIC</v>
      </c>
      <c r="J953" s="57" t="str">
        <f>IF(Associates_Call_List_PQ!J953="","",Associates_Call_List_PQ!J953)</f>
        <v>No</v>
      </c>
      <c r="K953" s="57" t="str">
        <f>IF(Associates_Call_List_PQ!K953="","",Associates_Call_List_PQ!K953)</f>
        <v>No</v>
      </c>
      <c r="L953" s="57" t="str">
        <f>IF(Associates_Call_List_PQ!L953="","",Associates_Call_List_PQ!L953)</f>
        <v>Yes</v>
      </c>
      <c r="M953" s="57" t="str">
        <f>IF(Associates_Call_List_PQ!M953="","",Associates_Call_List_PQ!M953)</f>
        <v>No</v>
      </c>
      <c r="N953" s="57" t="str">
        <f>IF(Associates_Call_List_PQ!N953="","",Associates_Call_List_PQ!N953)</f>
        <v>No</v>
      </c>
      <c r="O953" s="57" t="str">
        <f>IF(Associates_Call_List_PQ!O953="","",Associates_Call_List_PQ!O953)</f>
        <v>Yes</v>
      </c>
      <c r="P953" s="57" t="str">
        <f>IF(Associates_Call_List_PQ!P953="","",Associates_Call_List_PQ!P953)</f>
        <v>N</v>
      </c>
      <c r="Q953" s="57">
        <f>IF(Associates_Call_List_PQ!Q953="","",Associates_Call_List_PQ!Q953)</f>
        <v>45968</v>
      </c>
      <c r="R953" s="57" t="str">
        <f>IF(Associates_Call_List_PQ!R953="","",Associates_Call_List_PQ!R953)</f>
        <v>Petition</v>
      </c>
      <c r="S953" s="57" t="str">
        <f>IF(Associates_Call_List_PQ!S953="","",Associates_Call_List_PQ!S953)</f>
        <v/>
      </c>
      <c r="T953" s="57" t="str">
        <f>IF(Associates_Call_List_PQ!T953="","",Associates_Call_List_PQ!T953)</f>
        <v/>
      </c>
      <c r="U953" s="57" t="str">
        <f>IF(Associates_Call_List_PQ!U953="","",Associates_Call_List_PQ!U953)</f>
        <v/>
      </c>
      <c r="V953" s="68"/>
      <c r="W953" s="68" t="s">
        <v>5432</v>
      </c>
      <c r="X953" s="68"/>
      <c r="Y953" s="68"/>
      <c r="Z953" s="72"/>
    </row>
    <row r="954" spans="1:26">
      <c r="A954" s="71">
        <f>IFERROR(Associates_Call_List_PQ!A954,"")</f>
        <v>45974</v>
      </c>
      <c r="B954" s="57" t="str">
        <f>IF(Associates_Call_List_PQ!B954="","",Associates_Call_List_PQ!B954)</f>
        <v>Ellison</v>
      </c>
      <c r="C954" s="57" t="str">
        <f>IF(Associates_Call_List_PQ!C954="","",Associates_Call_List_PQ!C954)</f>
        <v>Sylvia</v>
      </c>
      <c r="D954" s="57" t="str">
        <f>IF(Associates_Call_List_PQ!D954="","",Associates_Call_List_PQ!D954)</f>
        <v>Surprise</v>
      </c>
      <c r="E954" s="58">
        <f>IF(Associates_Call_List_PQ!E954="","",Associates_Call_List_PQ!E954)</f>
        <v>85374</v>
      </c>
      <c r="F954" s="57" t="str">
        <f>IF(Associates_Call_List_PQ!F954="","",Associates_Call_List_PQ!F954)</f>
        <v xml:space="preserve">Opposed: No options other than APS. Senior Citizens, AC is a life saving need. </v>
      </c>
      <c r="G954" s="57" t="str">
        <f>IF(Associates_Call_List_PQ!G954="","",Associates_Call_List_PQ!G954)</f>
        <v>https://docket.images.azcc.gov/E000047554.pdf?i=1763105891311</v>
      </c>
      <c r="H954" s="59" t="s">
        <v>5676</v>
      </c>
      <c r="I954" s="57" t="str">
        <f>IF(Associates_Call_List_PQ!I954="","",Associates_Call_List_PQ!I954)</f>
        <v>R-BASIC</v>
      </c>
      <c r="J954" s="57" t="str">
        <f>IF(Associates_Call_List_PQ!J954="","",Associates_Call_List_PQ!J954)</f>
        <v>No</v>
      </c>
      <c r="K954" s="57" t="str">
        <f>IF(Associates_Call_List_PQ!K954="","",Associates_Call_List_PQ!K954)</f>
        <v>No</v>
      </c>
      <c r="L954" s="57" t="str">
        <f>IF(Associates_Call_List_PQ!L954="","",Associates_Call_List_PQ!L954)</f>
        <v>Yes</v>
      </c>
      <c r="M954" s="57" t="str">
        <f>IF(Associates_Call_List_PQ!M954="","",Associates_Call_List_PQ!M954)</f>
        <v>No</v>
      </c>
      <c r="N954" s="57" t="str">
        <f>IF(Associates_Call_List_PQ!N954="","",Associates_Call_List_PQ!N954)</f>
        <v>No</v>
      </c>
      <c r="O954" s="57" t="str">
        <f>IF(Associates_Call_List_PQ!O954="","",Associates_Call_List_PQ!O954)</f>
        <v>Yes</v>
      </c>
      <c r="P954" s="57" t="str">
        <f>IF(Associates_Call_List_PQ!P954="","",Associates_Call_List_PQ!P954)</f>
        <v>N</v>
      </c>
      <c r="Q954" s="57">
        <f>IF(Associates_Call_List_PQ!Q954="","",Associates_Call_List_PQ!Q954)</f>
        <v>45978</v>
      </c>
      <c r="R954" s="57" t="str">
        <f>IF(Associates_Call_List_PQ!R954="","",Associates_Call_List_PQ!R954)</f>
        <v/>
      </c>
      <c r="S954" s="57" t="str">
        <f>IF(Associates_Call_List_PQ!S954="","",Associates_Call_List_PQ!S954)</f>
        <v/>
      </c>
      <c r="T954" s="57" t="str">
        <f>IF(Associates_Call_List_PQ!T954="","",Associates_Call_List_PQ!T954)</f>
        <v/>
      </c>
      <c r="U954" s="57" t="str">
        <f>IF(Associates_Call_List_PQ!U954="","",Associates_Call_List_PQ!U954)</f>
        <v/>
      </c>
      <c r="V954" s="68" t="s">
        <v>5433</v>
      </c>
      <c r="W954" s="68">
        <v>46067</v>
      </c>
      <c r="X954" s="68" t="s">
        <v>5405</v>
      </c>
      <c r="Y954" s="68" t="s">
        <v>5463</v>
      </c>
      <c r="Z954" s="72" t="s">
        <v>5677</v>
      </c>
    </row>
    <row r="955" spans="1:26">
      <c r="A955" s="71">
        <f>IFERROR(Associates_Call_List_PQ!A955,"")</f>
        <v>45980</v>
      </c>
      <c r="B955" s="57" t="str">
        <f>IF(Associates_Call_List_PQ!B955="","",Associates_Call_List_PQ!B955)</f>
        <v>Krakora</v>
      </c>
      <c r="C955" s="57" t="str">
        <f>IF(Associates_Call_List_PQ!C955="","",Associates_Call_List_PQ!C955)</f>
        <v>George</v>
      </c>
      <c r="D955" s="57" t="str">
        <f>IF(Associates_Call_List_PQ!D955="","",Associates_Call_List_PQ!D955)</f>
        <v>Scottsdale</v>
      </c>
      <c r="E955" s="58">
        <f>IF(Associates_Call_List_PQ!E955="","",Associates_Call_List_PQ!E955)</f>
        <v>85262</v>
      </c>
      <c r="F955" s="57" t="str">
        <f>IF(Associates_Call_List_PQ!F955="","",Associates_Call_List_PQ!F955)</f>
        <v>Opposed, As a retiree with a limited income, and do not qualify for assistance</v>
      </c>
      <c r="G955" s="57" t="str">
        <f>IF(Associates_Call_List_PQ!G955="","",Associates_Call_List_PQ!G955)</f>
        <v>https://docket.images.azcc.gov/E000047658.pdf</v>
      </c>
      <c r="H955" s="59">
        <f>IF(Associates_Call_List_PQ!H955="","",Associates_Call_List_PQ!H955)</f>
        <v>8798080598</v>
      </c>
      <c r="I955" s="57" t="str">
        <f>IF(Associates_Call_List_PQ!I955="","",Associates_Call_List_PQ!I955)</f>
        <v>R3-47</v>
      </c>
      <c r="J955" s="57" t="str">
        <f>IF(Associates_Call_List_PQ!J955="","",Associates_Call_List_PQ!J955)</f>
        <v>No</v>
      </c>
      <c r="K955" s="57" t="str">
        <f>IF(Associates_Call_List_PQ!K955="","",Associates_Call_List_PQ!K955)</f>
        <v>No</v>
      </c>
      <c r="L955" s="57" t="str">
        <f>IF(Associates_Call_List_PQ!L955="","",Associates_Call_List_PQ!L955)</f>
        <v>Yes</v>
      </c>
      <c r="M955" s="57" t="str">
        <f>IF(Associates_Call_List_PQ!M955="","",Associates_Call_List_PQ!M955)</f>
        <v>No</v>
      </c>
      <c r="N955" s="57" t="str">
        <f>IF(Associates_Call_List_PQ!N955="","",Associates_Call_List_PQ!N955)</f>
        <v>No</v>
      </c>
      <c r="O955" s="57" t="str">
        <f>IF(Associates_Call_List_PQ!O955="","",Associates_Call_List_PQ!O955)</f>
        <v>Yes</v>
      </c>
      <c r="P955" s="57" t="str">
        <f>IF(Associates_Call_List_PQ!P955="","",Associates_Call_List_PQ!P955)</f>
        <v>N</v>
      </c>
      <c r="Q955" s="57">
        <f>IF(Associates_Call_List_PQ!Q955="","",Associates_Call_List_PQ!Q955)</f>
        <v>45981</v>
      </c>
      <c r="R955" s="57" t="str">
        <f>IF(Associates_Call_List_PQ!R955="","",Associates_Call_List_PQ!R955)</f>
        <v/>
      </c>
      <c r="S955" s="57" t="str">
        <f>IF(Associates_Call_List_PQ!S955="","",Associates_Call_List_PQ!S955)</f>
        <v/>
      </c>
      <c r="T955" s="57" t="str">
        <f>IF(Associates_Call_List_PQ!T955="","",Associates_Call_List_PQ!T955)</f>
        <v/>
      </c>
      <c r="U955" s="57" t="str">
        <f>IF(Associates_Call_List_PQ!U955="","",Associates_Call_List_PQ!U955)</f>
        <v/>
      </c>
      <c r="V955" s="68"/>
      <c r="W955" s="68" t="s">
        <v>5432</v>
      </c>
      <c r="X955" s="68"/>
      <c r="Y955" s="68"/>
      <c r="Z955" s="72"/>
    </row>
    <row r="956" spans="1:26">
      <c r="A956" s="71">
        <f>IFERROR(Associates_Call_List_PQ!A956,"")</f>
        <v>45980</v>
      </c>
      <c r="B956" s="57" t="str">
        <f>IF(Associates_Call_List_PQ!B956="","",Associates_Call_List_PQ!B956)</f>
        <v>Anand</v>
      </c>
      <c r="C956" s="57" t="str">
        <f>IF(Associates_Call_List_PQ!C956="","",Associates_Call_List_PQ!C956)</f>
        <v>Anupama</v>
      </c>
      <c r="D956" s="57" t="str">
        <f>IF(Associates_Call_List_PQ!D956="","",Associates_Call_List_PQ!D956)</f>
        <v>Scottsdale</v>
      </c>
      <c r="E956" s="58">
        <f>IF(Associates_Call_List_PQ!E956="","",Associates_Call_List_PQ!E956)</f>
        <v>85255</v>
      </c>
      <c r="F956" s="57" t="str">
        <f>IF(Associates_Call_List_PQ!F956="","",Associates_Call_List_PQ!F956)</f>
        <v>Do not approve the proposed rate increase</v>
      </c>
      <c r="G956" s="57" t="str">
        <f>IF(Associates_Call_List_PQ!G956="","",Associates_Call_List_PQ!G956)</f>
        <v>https://docket.images.azcc.gov/E000047665.pdf</v>
      </c>
      <c r="H956" s="59">
        <f>IF(Associates_Call_List_PQ!H956="","",Associates_Call_List_PQ!H956)</f>
        <v>1678080000</v>
      </c>
      <c r="I956" s="57" t="str">
        <f>IF(Associates_Call_List_PQ!I956="","",Associates_Call_List_PQ!I956)</f>
        <v>R3-47</v>
      </c>
      <c r="J956" s="57" t="str">
        <f>IF(Associates_Call_List_PQ!J956="","",Associates_Call_List_PQ!J956)</f>
        <v>No</v>
      </c>
      <c r="K956" s="57" t="str">
        <f>IF(Associates_Call_List_PQ!K956="","",Associates_Call_List_PQ!K956)</f>
        <v>No</v>
      </c>
      <c r="L956" s="57" t="str">
        <f>IF(Associates_Call_List_PQ!L956="","",Associates_Call_List_PQ!L956)</f>
        <v>No MEP RTOU47 ($53.39)</v>
      </c>
      <c r="M956" s="57" t="str">
        <f>IF(Associates_Call_List_PQ!M956="","",Associates_Call_List_PQ!M956)</f>
        <v>No</v>
      </c>
      <c r="N956" s="57" t="str">
        <f>IF(Associates_Call_List_PQ!N956="","",Associates_Call_List_PQ!N956)</f>
        <v>No</v>
      </c>
      <c r="O956" s="57" t="str">
        <f>IF(Associates_Call_List_PQ!O956="","",Associates_Call_List_PQ!O956)</f>
        <v>Yes</v>
      </c>
      <c r="P956" s="57" t="str">
        <f>IF(Associates_Call_List_PQ!P956="","",Associates_Call_List_PQ!P956)</f>
        <v>N</v>
      </c>
      <c r="Q956" s="57">
        <f>IF(Associates_Call_List_PQ!Q956="","",Associates_Call_List_PQ!Q956)</f>
        <v>45985</v>
      </c>
      <c r="R956" s="57" t="str">
        <f>IF(Associates_Call_List_PQ!R956="","",Associates_Call_List_PQ!R956)</f>
        <v/>
      </c>
      <c r="S956" s="57" t="str">
        <f>IF(Associates_Call_List_PQ!S956="","",Associates_Call_List_PQ!S956)</f>
        <v/>
      </c>
      <c r="T956" s="57" t="str">
        <f>IF(Associates_Call_List_PQ!T956="","",Associates_Call_List_PQ!T956)</f>
        <v/>
      </c>
      <c r="U956" s="57" t="str">
        <f>IF(Associates_Call_List_PQ!U956="","",Associates_Call_List_PQ!U956)</f>
        <v/>
      </c>
      <c r="V956" s="68" t="s">
        <v>5433</v>
      </c>
      <c r="W956" s="68">
        <v>46039</v>
      </c>
      <c r="X956" s="68" t="s">
        <v>5434</v>
      </c>
      <c r="Y956" s="68"/>
      <c r="Z956" s="72"/>
    </row>
    <row r="957" spans="1:26">
      <c r="A957" s="71">
        <f>IFERROR(Associates_Call_List_PQ!A957,"")</f>
        <v>45982</v>
      </c>
      <c r="B957" s="57" t="str">
        <f>IF(Associates_Call_List_PQ!B957="","",Associates_Call_List_PQ!B957)</f>
        <v>Oswald</v>
      </c>
      <c r="C957" s="57" t="str">
        <f>IF(Associates_Call_List_PQ!C957="","",Associates_Call_List_PQ!C957)</f>
        <v>Fred</v>
      </c>
      <c r="D957" s="57" t="str">
        <f>IF(Associates_Call_List_PQ!D957="","",Associates_Call_List_PQ!D957)</f>
        <v>Prescott</v>
      </c>
      <c r="E957" s="58">
        <f>IF(Associates_Call_List_PQ!E957="","",Associates_Call_List_PQ!E957)</f>
        <v>86301</v>
      </c>
      <c r="F957" s="57" t="str">
        <f>IF(Associates_Call_List_PQ!F957="","",Associates_Call_List_PQ!F957)</f>
        <v>Rate hike is grossly excessive, oppose formula rates</v>
      </c>
      <c r="G957" s="57" t="str">
        <f>IF(Associates_Call_List_PQ!G957="","",Associates_Call_List_PQ!G957)</f>
        <v>https://docket.images.azcc.gov/E000047735.pdf</v>
      </c>
      <c r="H957" s="59">
        <f>IF(Associates_Call_List_PQ!H957="","",Associates_Call_List_PQ!H957)</f>
        <v>5936601000</v>
      </c>
      <c r="I957" s="57" t="str">
        <f>IF(Associates_Call_List_PQ!I957="","",Associates_Call_List_PQ!I957)</f>
        <v>RCPw/RTOUE47</v>
      </c>
      <c r="J957" s="57" t="str">
        <f>IF(Associates_Call_List_PQ!J957="","",Associates_Call_List_PQ!J957)</f>
        <v>No</v>
      </c>
      <c r="K957" s="57" t="str">
        <f>IF(Associates_Call_List_PQ!K957="","",Associates_Call_List_PQ!K957)</f>
        <v>No</v>
      </c>
      <c r="L957" s="57" t="str">
        <f>IF(Associates_Call_List_PQ!L957="","",Associates_Call_List_PQ!L957)</f>
        <v>Yes</v>
      </c>
      <c r="M957" s="57" t="str">
        <f>IF(Associates_Call_List_PQ!M957="","",Associates_Call_List_PQ!M957)</f>
        <v>No</v>
      </c>
      <c r="N957" s="57" t="str">
        <f>IF(Associates_Call_List_PQ!N957="","",Associates_Call_List_PQ!N957)</f>
        <v>No</v>
      </c>
      <c r="O957" s="57" t="str">
        <f>IF(Associates_Call_List_PQ!O957="","",Associates_Call_List_PQ!O957)</f>
        <v>Yes</v>
      </c>
      <c r="P957" s="57" t="str">
        <f>IF(Associates_Call_List_PQ!P957="","",Associates_Call_List_PQ!P957)</f>
        <v>N</v>
      </c>
      <c r="Q957" s="57">
        <f>IF(Associates_Call_List_PQ!Q957="","",Associates_Call_List_PQ!Q957)</f>
        <v>45985</v>
      </c>
      <c r="R957" s="57" t="str">
        <f>IF(Associates_Call_List_PQ!R957="","",Associates_Call_List_PQ!R957)</f>
        <v/>
      </c>
      <c r="S957" s="57" t="str">
        <f>IF(Associates_Call_List_PQ!S957="","",Associates_Call_List_PQ!S957)</f>
        <v/>
      </c>
      <c r="T957" s="57" t="str">
        <f>IF(Associates_Call_List_PQ!T957="","",Associates_Call_List_PQ!T957)</f>
        <v/>
      </c>
      <c r="U957" s="57" t="str">
        <f>IF(Associates_Call_List_PQ!U957="","",Associates_Call_List_PQ!U957)</f>
        <v/>
      </c>
      <c r="V957" s="68"/>
      <c r="W957" s="68" t="s">
        <v>5432</v>
      </c>
      <c r="X957" s="68"/>
      <c r="Y957" s="68"/>
      <c r="Z957" s="72"/>
    </row>
    <row r="958" spans="1:26">
      <c r="A958" s="71">
        <f>IFERROR(Associates_Call_List_PQ!A958,"")</f>
        <v>45982</v>
      </c>
      <c r="B958" s="57" t="str">
        <f>IF(Associates_Call_List_PQ!B958="","",Associates_Call_List_PQ!B958)</f>
        <v>Leeper</v>
      </c>
      <c r="C958" s="57" t="str">
        <f>IF(Associates_Call_List_PQ!C958="","",Associates_Call_List_PQ!C958)</f>
        <v>Tom and Melissa</v>
      </c>
      <c r="D958" s="57" t="str">
        <f>IF(Associates_Call_List_PQ!D958="","",Associates_Call_List_PQ!D958)</f>
        <v>Gilbert</v>
      </c>
      <c r="E958" s="58">
        <f>IF(Associates_Call_List_PQ!E958="","",Associates_Call_List_PQ!E958)</f>
        <v>85233</v>
      </c>
      <c r="F958" s="57" t="str">
        <f>IF(Associates_Call_List_PQ!F958="","",Associates_Call_List_PQ!F958)</f>
        <v>Stop the proposed rate hikes</v>
      </c>
      <c r="G958" s="57" t="str">
        <f>IF(Associates_Call_List_PQ!G958="","",Associates_Call_List_PQ!G958)</f>
        <v>https://docket.images.azcc.gov/E000047729.pdf</v>
      </c>
      <c r="H958" s="59">
        <f>IF(Associates_Call_List_PQ!H958="","",Associates_Call_List_PQ!H958)</f>
        <v>5931221000</v>
      </c>
      <c r="I958" s="57" t="str">
        <f>IF(Associates_Call_List_PQ!I958="","",Associates_Call_List_PQ!I958)</f>
        <v>EPR6w/ET-1</v>
      </c>
      <c r="J958" s="57" t="str">
        <f>IF(Associates_Call_List_PQ!J958="","",Associates_Call_List_PQ!J958)</f>
        <v>No</v>
      </c>
      <c r="K958" s="57" t="str">
        <f>IF(Associates_Call_List_PQ!K958="","",Associates_Call_List_PQ!K958)</f>
        <v>No</v>
      </c>
      <c r="L958" s="57" t="str">
        <f>IF(Associates_Call_List_PQ!L958="","",Associates_Call_List_PQ!L958)</f>
        <v>Frozen Rate</v>
      </c>
      <c r="M958" s="57" t="str">
        <f>IF(Associates_Call_List_PQ!M958="","",Associates_Call_List_PQ!M958)</f>
        <v>No</v>
      </c>
      <c r="N958" s="57" t="str">
        <f>IF(Associates_Call_List_PQ!N958="","",Associates_Call_List_PQ!N958)</f>
        <v>No</v>
      </c>
      <c r="O958" s="57" t="str">
        <f>IF(Associates_Call_List_PQ!O958="","",Associates_Call_List_PQ!O958)</f>
        <v>Yes</v>
      </c>
      <c r="P958" s="57" t="str">
        <f>IF(Associates_Call_List_PQ!P958="","",Associates_Call_List_PQ!P958)</f>
        <v>N</v>
      </c>
      <c r="Q958" s="57">
        <f>IF(Associates_Call_List_PQ!Q958="","",Associates_Call_List_PQ!Q958)</f>
        <v>45985</v>
      </c>
      <c r="R958" s="57" t="str">
        <f>IF(Associates_Call_List_PQ!R958="","",Associates_Call_List_PQ!R958)</f>
        <v>Filed 2x</v>
      </c>
      <c r="S958" s="57" t="str">
        <f>IF(Associates_Call_List_PQ!S958="","",Associates_Call_List_PQ!S958)</f>
        <v/>
      </c>
      <c r="T958" s="57" t="str">
        <f>IF(Associates_Call_List_PQ!T958="","",Associates_Call_List_PQ!T958)</f>
        <v/>
      </c>
      <c r="U958" s="57" t="str">
        <f>IF(Associates_Call_List_PQ!U958="","",Associates_Call_List_PQ!U958)</f>
        <v/>
      </c>
      <c r="V958" s="68" t="s">
        <v>5433</v>
      </c>
      <c r="W958" s="68">
        <v>46067</v>
      </c>
      <c r="X958" s="68" t="s">
        <v>5434</v>
      </c>
      <c r="Y958" s="68"/>
      <c r="Z958" s="72" t="s">
        <v>5446</v>
      </c>
    </row>
    <row r="959" spans="1:26">
      <c r="A959" s="71">
        <f>IFERROR(Associates_Call_List_PQ!A959,"")</f>
        <v>45985</v>
      </c>
      <c r="B959" s="57" t="str">
        <f>IF(Associates_Call_List_PQ!B959="","",Associates_Call_List_PQ!B959)</f>
        <v>Thomas</v>
      </c>
      <c r="C959" s="57" t="str">
        <f>IF(Associates_Call_List_PQ!C959="","",Associates_Call_List_PQ!C959)</f>
        <v xml:space="preserve">Cheri </v>
      </c>
      <c r="D959" s="57" t="str">
        <f>IF(Associates_Call_List_PQ!D959="","",Associates_Call_List_PQ!D959)</f>
        <v>El Mirage</v>
      </c>
      <c r="E959" s="58">
        <f>IF(Associates_Call_List_PQ!E959="","",Associates_Call_List_PQ!E959)</f>
        <v>85335</v>
      </c>
      <c r="F959" s="57" t="str">
        <f>IF(Associates_Call_List_PQ!F959="","",Associates_Call_List_PQ!F959)</f>
        <v>Opposed: Senior on a fixed income in a mobile home</v>
      </c>
      <c r="G959" s="57" t="str">
        <f>IF(Associates_Call_List_PQ!G959="","",Associates_Call_List_PQ!G959)</f>
        <v>https://docket.images.azcc.gov/E000047757.pdf</v>
      </c>
      <c r="H959" s="59">
        <f>IF(Associates_Call_List_PQ!H959="","",Associates_Call_List_PQ!H959)</f>
        <v>3470156203</v>
      </c>
      <c r="I959" s="57" t="str">
        <f>IF(Associates_Call_List_PQ!I959="","",Associates_Call_List_PQ!I959)</f>
        <v>R-BASIC</v>
      </c>
      <c r="J959" s="57" t="str">
        <f>IF(Associates_Call_List_PQ!J959="","",Associates_Call_List_PQ!J959)</f>
        <v>Yes</v>
      </c>
      <c r="K959" s="57" t="str">
        <f>IF(Associates_Call_List_PQ!K959="","",Associates_Call_List_PQ!K959)</f>
        <v>No</v>
      </c>
      <c r="L959" s="57" t="str">
        <f>IF(Associates_Call_List_PQ!L959="","",Associates_Call_List_PQ!L959)</f>
        <v>No MEP R-XS</v>
      </c>
      <c r="M959" s="57" t="str">
        <f>IF(Associates_Call_List_PQ!M959="","",Associates_Call_List_PQ!M959)</f>
        <v>No</v>
      </c>
      <c r="N959" s="57" t="str">
        <f>IF(Associates_Call_List_PQ!N959="","",Associates_Call_List_PQ!N959)</f>
        <v>No</v>
      </c>
      <c r="O959" s="57" t="str">
        <f>IF(Associates_Call_List_PQ!O959="","",Associates_Call_List_PQ!O959)</f>
        <v>Yes</v>
      </c>
      <c r="P959" s="57" t="str">
        <f>IF(Associates_Call_List_PQ!P959="","",Associates_Call_List_PQ!P959)</f>
        <v>N</v>
      </c>
      <c r="Q959" s="57">
        <f>IF(Associates_Call_List_PQ!Q959="","",Associates_Call_List_PQ!Q959)</f>
        <v>45993</v>
      </c>
      <c r="R959" s="57" t="str">
        <f>IF(Associates_Call_List_PQ!R959="","",Associates_Call_List_PQ!R959)</f>
        <v>Should be automatically reassigned to Tier 1 this month</v>
      </c>
      <c r="S959" s="57" t="str">
        <f>IF(Associates_Call_List_PQ!S959="","",Associates_Call_List_PQ!S959)</f>
        <v/>
      </c>
      <c r="T959" s="57" t="str">
        <f>IF(Associates_Call_List_PQ!T959="","",Associates_Call_List_PQ!T959)</f>
        <v/>
      </c>
      <c r="U959" s="57" t="str">
        <f>IF(Associates_Call_List_PQ!U959="","",Associates_Call_List_PQ!U959)</f>
        <v/>
      </c>
      <c r="V959" s="68" t="s">
        <v>5433</v>
      </c>
      <c r="W959" s="68">
        <v>46053</v>
      </c>
      <c r="X959" s="68" t="s">
        <v>5434</v>
      </c>
      <c r="Y959" s="68"/>
      <c r="Z959" s="72" t="s">
        <v>5599</v>
      </c>
    </row>
    <row r="960" spans="1:26">
      <c r="A960" s="71">
        <f>IFERROR(Associates_Call_List_PQ!A960,"")</f>
        <v>45986</v>
      </c>
      <c r="B960" s="57" t="str">
        <f>IF(Associates_Call_List_PQ!B960="","",Associates_Call_List_PQ!B960)</f>
        <v>Buttler</v>
      </c>
      <c r="C960" s="57" t="str">
        <f>IF(Associates_Call_List_PQ!C960="","",Associates_Call_List_PQ!C960)</f>
        <v>Carol and Alan</v>
      </c>
      <c r="D960" s="57" t="str">
        <f>IF(Associates_Call_List_PQ!D960="","",Associates_Call_List_PQ!D960)</f>
        <v>Wickenburg</v>
      </c>
      <c r="E960" s="58">
        <f>IF(Associates_Call_List_PQ!E960="","",Associates_Call_List_PQ!E960)</f>
        <v>85390</v>
      </c>
      <c r="F960" s="57" t="str">
        <f>IF(Associates_Call_List_PQ!F960="","",Associates_Call_List_PQ!F960)</f>
        <v>ACC has obligation to protect APS customers from consistently high rate increases</v>
      </c>
      <c r="G960" s="57" t="str">
        <f>IF(Associates_Call_List_PQ!G960="","",Associates_Call_List_PQ!G960)</f>
        <v>https://docket.images.azcc.gov/E000047808.pdf</v>
      </c>
      <c r="H960" s="59">
        <f>IF(Associates_Call_List_PQ!H960="","",Associates_Call_List_PQ!H960)</f>
        <v>7004974298</v>
      </c>
      <c r="I960" s="57" t="str">
        <f>IF(Associates_Call_List_PQ!I960="","",Associates_Call_List_PQ!I960)</f>
        <v>RTOUE47</v>
      </c>
      <c r="J960" s="57" t="str">
        <f>IF(Associates_Call_List_PQ!J960="","",Associates_Call_List_PQ!J960)</f>
        <v>No</v>
      </c>
      <c r="K960" s="57" t="str">
        <f>IF(Associates_Call_List_PQ!K960="","",Associates_Call_List_PQ!K960)</f>
        <v>No</v>
      </c>
      <c r="L960" s="57" t="str">
        <f>IF(Associates_Call_List_PQ!L960="","",Associates_Call_List_PQ!L960)</f>
        <v>No MEP R-BASIC ($41.34)</v>
      </c>
      <c r="M960" s="57" t="str">
        <f>IF(Associates_Call_List_PQ!M960="","",Associates_Call_List_PQ!M960)</f>
        <v>No</v>
      </c>
      <c r="N960" s="57" t="str">
        <f>IF(Associates_Call_List_PQ!N960="","",Associates_Call_List_PQ!N960)</f>
        <v>No</v>
      </c>
      <c r="O960" s="57" t="str">
        <f>IF(Associates_Call_List_PQ!O960="","",Associates_Call_List_PQ!O960)</f>
        <v>Yes</v>
      </c>
      <c r="P960" s="57" t="str">
        <f>IF(Associates_Call_List_PQ!P960="","",Associates_Call_List_PQ!P960)</f>
        <v>N</v>
      </c>
      <c r="Q960" s="57">
        <f>IF(Associates_Call_List_PQ!Q960="","",Associates_Call_List_PQ!Q960)</f>
        <v>45993</v>
      </c>
      <c r="R960" s="57" t="str">
        <f>IF(Associates_Call_List_PQ!R960="","",Associates_Call_List_PQ!R960)</f>
        <v/>
      </c>
      <c r="S960" s="57" t="str">
        <f>IF(Associates_Call_List_PQ!S960="","",Associates_Call_List_PQ!S960)</f>
        <v/>
      </c>
      <c r="T960" s="57" t="str">
        <f>IF(Associates_Call_List_PQ!T960="","",Associates_Call_List_PQ!T960)</f>
        <v/>
      </c>
      <c r="U960" s="57" t="str">
        <f>IF(Associates_Call_List_PQ!U960="","",Associates_Call_List_PQ!U960)</f>
        <v/>
      </c>
      <c r="V960" s="68" t="s">
        <v>5433</v>
      </c>
      <c r="W960" s="68">
        <v>45997</v>
      </c>
      <c r="X960" s="68" t="s">
        <v>5405</v>
      </c>
      <c r="Y960" s="68" t="s">
        <v>5461</v>
      </c>
      <c r="Z960" s="72" t="s">
        <v>5678</v>
      </c>
    </row>
    <row r="961" spans="1:26">
      <c r="A961" s="71">
        <f>IFERROR(Associates_Call_List_PQ!A961,"")</f>
        <v>45986</v>
      </c>
      <c r="B961" s="57" t="str">
        <f>IF(Associates_Call_List_PQ!B961="","",Associates_Call_List_PQ!B961)</f>
        <v>Nathan</v>
      </c>
      <c r="C961" s="57" t="str">
        <f>IF(Associates_Call_List_PQ!C961="","",Associates_Call_List_PQ!C961)</f>
        <v>Stephen</v>
      </c>
      <c r="D961" s="57" t="str">
        <f>IF(Associates_Call_List_PQ!D961="","",Associates_Call_List_PQ!D961)</f>
        <v>Goodyear</v>
      </c>
      <c r="E961" s="58">
        <f>IF(Associates_Call_List_PQ!E961="","",Associates_Call_List_PQ!E961)</f>
        <v>85395</v>
      </c>
      <c r="F961" s="57" t="str">
        <f>IF(Associates_Call_List_PQ!F961="","",Associates_Call_List_PQ!F961)</f>
        <v>The proposed rate of increase on seniors is outrageous!</v>
      </c>
      <c r="G961" s="57" t="str">
        <f>IF(Associates_Call_List_PQ!G961="","",Associates_Call_List_PQ!G961)</f>
        <v>https://docket.images.azcc.gov/E000047808.pdf</v>
      </c>
      <c r="H961" s="59">
        <f>IF(Associates_Call_List_PQ!H961="","",Associates_Call_List_PQ!H961)</f>
        <v>2057731000</v>
      </c>
      <c r="I961" s="57" t="str">
        <f>IF(Associates_Call_List_PQ!I961="","",Associates_Call_List_PQ!I961)</f>
        <v>R3-47</v>
      </c>
      <c r="J961" s="57" t="str">
        <f>IF(Associates_Call_List_PQ!J961="","",Associates_Call_List_PQ!J961)</f>
        <v>No</v>
      </c>
      <c r="K961" s="57" t="str">
        <f>IF(Associates_Call_List_PQ!K961="","",Associates_Call_List_PQ!K961)</f>
        <v>No</v>
      </c>
      <c r="L961" s="57" t="str">
        <f>IF(Associates_Call_List_PQ!L961="","",Associates_Call_List_PQ!L961)</f>
        <v>Yes</v>
      </c>
      <c r="M961" s="57" t="str">
        <f>IF(Associates_Call_List_PQ!M961="","",Associates_Call_List_PQ!M961)</f>
        <v>No</v>
      </c>
      <c r="N961" s="57" t="str">
        <f>IF(Associates_Call_List_PQ!N961="","",Associates_Call_List_PQ!N961)</f>
        <v>No</v>
      </c>
      <c r="O961" s="57" t="str">
        <f>IF(Associates_Call_List_PQ!O961="","",Associates_Call_List_PQ!O961)</f>
        <v>Yes</v>
      </c>
      <c r="P961" s="57" t="str">
        <f>IF(Associates_Call_List_PQ!P961="","",Associates_Call_List_PQ!P961)</f>
        <v>N</v>
      </c>
      <c r="Q961" s="57">
        <f>IF(Associates_Call_List_PQ!Q961="","",Associates_Call_List_PQ!Q961)</f>
        <v>45993</v>
      </c>
      <c r="R961" s="57" t="str">
        <f>IF(Associates_Call_List_PQ!R961="","",Associates_Call_List_PQ!R961)</f>
        <v/>
      </c>
      <c r="S961" s="57" t="str">
        <f>IF(Associates_Call_List_PQ!S961="","",Associates_Call_List_PQ!S961)</f>
        <v/>
      </c>
      <c r="T961" s="57" t="str">
        <f>IF(Associates_Call_List_PQ!T961="","",Associates_Call_List_PQ!T961)</f>
        <v/>
      </c>
      <c r="U961" s="57" t="str">
        <f>IF(Associates_Call_List_PQ!U961="","",Associates_Call_List_PQ!U961)</f>
        <v/>
      </c>
      <c r="V961" s="68"/>
      <c r="W961" s="68" t="s">
        <v>5432</v>
      </c>
      <c r="X961" s="68"/>
      <c r="Y961" s="68"/>
      <c r="Z961" s="72"/>
    </row>
    <row r="962" spans="1:26">
      <c r="A962" s="71">
        <f>IFERROR(Associates_Call_List_PQ!A962,"")</f>
        <v>45986</v>
      </c>
      <c r="B962" s="57" t="str">
        <f>IF(Associates_Call_List_PQ!B962="","",Associates_Call_List_PQ!B962)</f>
        <v>Putnam</v>
      </c>
      <c r="C962" s="57" t="str">
        <f>IF(Associates_Call_List_PQ!C962="","",Associates_Call_List_PQ!C962)</f>
        <v>Marla</v>
      </c>
      <c r="D962" s="57" t="str">
        <f>IF(Associates_Call_List_PQ!D962="","",Associates_Call_List_PQ!D962)</f>
        <v>Peoria</v>
      </c>
      <c r="E962" s="58">
        <f>IF(Associates_Call_List_PQ!E962="","",Associates_Call_List_PQ!E962)</f>
        <v>85382</v>
      </c>
      <c r="F962" s="57" t="str">
        <f>IF(Associates_Call_List_PQ!F962="","",Associates_Call_List_PQ!F962)</f>
        <v>The rates have steadily increased</v>
      </c>
      <c r="G962" s="57" t="str">
        <f>IF(Associates_Call_List_PQ!G962="","",Associates_Call_List_PQ!G962)</f>
        <v>https://docket.images.azcc.gov/E000047808.pdf</v>
      </c>
      <c r="H962" s="59">
        <f>IF(Associates_Call_List_PQ!H962="","",Associates_Call_List_PQ!H962)</f>
        <v>5909528621</v>
      </c>
      <c r="I962" s="57" t="str">
        <f>IF(Associates_Call_List_PQ!I962="","",Associates_Call_List_PQ!I962)</f>
        <v>RCPw/TOUE</v>
      </c>
      <c r="J962" s="57" t="str">
        <f>IF(Associates_Call_List_PQ!J962="","",Associates_Call_List_PQ!J962)</f>
        <v>No</v>
      </c>
      <c r="K962" s="57" t="str">
        <f>IF(Associates_Call_List_PQ!K962="","",Associates_Call_List_PQ!K962)</f>
        <v>No</v>
      </c>
      <c r="L962" s="57" t="str">
        <f>IF(Associates_Call_List_PQ!L962="","",Associates_Call_List_PQ!L962)</f>
        <v>Yes</v>
      </c>
      <c r="M962" s="57" t="str">
        <f>IF(Associates_Call_List_PQ!M962="","",Associates_Call_List_PQ!M962)</f>
        <v>No</v>
      </c>
      <c r="N962" s="57" t="str">
        <f>IF(Associates_Call_List_PQ!N962="","",Associates_Call_List_PQ!N962)</f>
        <v>No</v>
      </c>
      <c r="O962" s="57" t="str">
        <f>IF(Associates_Call_List_PQ!O962="","",Associates_Call_List_PQ!O962)</f>
        <v>Yes</v>
      </c>
      <c r="P962" s="57" t="str">
        <f>IF(Associates_Call_List_PQ!P962="","",Associates_Call_List_PQ!P962)</f>
        <v>N</v>
      </c>
      <c r="Q962" s="57">
        <f>IF(Associates_Call_List_PQ!Q962="","",Associates_Call_List_PQ!Q962)</f>
        <v>45993</v>
      </c>
      <c r="R962" s="57" t="str">
        <f>IF(Associates_Call_List_PQ!R962="","",Associates_Call_List_PQ!R962)</f>
        <v/>
      </c>
      <c r="S962" s="57" t="str">
        <f>IF(Associates_Call_List_PQ!S962="","",Associates_Call_List_PQ!S962)</f>
        <v/>
      </c>
      <c r="T962" s="57" t="str">
        <f>IF(Associates_Call_List_PQ!T962="","",Associates_Call_List_PQ!T962)</f>
        <v/>
      </c>
      <c r="U962" s="57" t="str">
        <f>IF(Associates_Call_List_PQ!U962="","",Associates_Call_List_PQ!U962)</f>
        <v/>
      </c>
      <c r="V962" s="68" t="s">
        <v>5433</v>
      </c>
      <c r="W962" s="68">
        <v>46067</v>
      </c>
      <c r="X962" s="68" t="s">
        <v>5434</v>
      </c>
      <c r="Y962" s="68"/>
      <c r="Z962" s="72" t="s">
        <v>5446</v>
      </c>
    </row>
    <row r="963" spans="1:26">
      <c r="A963" s="71">
        <f>IFERROR(Associates_Call_List_PQ!A963,"")</f>
        <v>45987</v>
      </c>
      <c r="B963" s="57" t="str">
        <f>IF(Associates_Call_List_PQ!B963="","",Associates_Call_List_PQ!B963)</f>
        <v>Dowling</v>
      </c>
      <c r="C963" s="57" t="str">
        <f>IF(Associates_Call_List_PQ!C963="","",Associates_Call_List_PQ!C963)</f>
        <v>Melissa</v>
      </c>
      <c r="D963" s="57" t="str">
        <f>IF(Associates_Call_List_PQ!D963="","",Associates_Call_List_PQ!D963)</f>
        <v>Sun City</v>
      </c>
      <c r="E963" s="58">
        <f>IF(Associates_Call_List_PQ!E963="","",Associates_Call_List_PQ!E963)</f>
        <v>85351</v>
      </c>
      <c r="F963" s="57" t="str">
        <f>IF(Associates_Call_List_PQ!F963="","",Associates_Call_List_PQ!F963)</f>
        <v>No more rate hikes</v>
      </c>
      <c r="G963" s="57" t="str">
        <f>IF(Associates_Call_List_PQ!G963="","",Associates_Call_List_PQ!G963)</f>
        <v>https://docket.images.azcc.gov/E000047827.pdf</v>
      </c>
      <c r="H963" s="59">
        <f>IF(Associates_Call_List_PQ!H963="","",Associates_Call_List_PQ!H963)</f>
        <v>5503296768</v>
      </c>
      <c r="I963" s="57" t="str">
        <f>IF(Associates_Call_List_PQ!I963="","",Associates_Call_List_PQ!I963)</f>
        <v>R3-47</v>
      </c>
      <c r="J963" s="57" t="str">
        <f>IF(Associates_Call_List_PQ!J963="","",Associates_Call_List_PQ!J963)</f>
        <v>No</v>
      </c>
      <c r="K963" s="57" t="str">
        <f>IF(Associates_Call_List_PQ!K963="","",Associates_Call_List_PQ!K963)</f>
        <v>No</v>
      </c>
      <c r="L963" s="57" t="str">
        <f>IF(Associates_Call_List_PQ!L963="","",Associates_Call_List_PQ!L963)</f>
        <v>Yes</v>
      </c>
      <c r="M963" s="57" t="str">
        <f>IF(Associates_Call_List_PQ!M963="","",Associates_Call_List_PQ!M963)</f>
        <v>No</v>
      </c>
      <c r="N963" s="57" t="str">
        <f>IF(Associates_Call_List_PQ!N963="","",Associates_Call_List_PQ!N963)</f>
        <v>No</v>
      </c>
      <c r="O963" s="57" t="str">
        <f>IF(Associates_Call_List_PQ!O963="","",Associates_Call_List_PQ!O963)</f>
        <v>Yes</v>
      </c>
      <c r="P963" s="57" t="str">
        <f>IF(Associates_Call_List_PQ!P963="","",Associates_Call_List_PQ!P963)</f>
        <v>N</v>
      </c>
      <c r="Q963" s="57">
        <f>IF(Associates_Call_List_PQ!Q963="","",Associates_Call_List_PQ!Q963)</f>
        <v>45993</v>
      </c>
      <c r="R963" s="57" t="str">
        <f>IF(Associates_Call_List_PQ!R963="","",Associates_Call_List_PQ!R963)</f>
        <v/>
      </c>
      <c r="S963" s="57" t="str">
        <f>IF(Associates_Call_List_PQ!S963="","",Associates_Call_List_PQ!S963)</f>
        <v/>
      </c>
      <c r="T963" s="57" t="str">
        <f>IF(Associates_Call_List_PQ!T963="","",Associates_Call_List_PQ!T963)</f>
        <v/>
      </c>
      <c r="U963" s="57" t="str">
        <f>IF(Associates_Call_List_PQ!U963="","",Associates_Call_List_PQ!U963)</f>
        <v/>
      </c>
      <c r="V963" s="68"/>
      <c r="W963" s="68" t="s">
        <v>5432</v>
      </c>
      <c r="X963" s="68"/>
      <c r="Y963" s="68"/>
      <c r="Z963" s="72"/>
    </row>
    <row r="964" spans="1:26">
      <c r="A964" s="71">
        <f>IFERROR(Associates_Call_List_PQ!A964,"")</f>
        <v>45987</v>
      </c>
      <c r="B964" s="57" t="str">
        <f>IF(Associates_Call_List_PQ!B964="","",Associates_Call_List_PQ!B964)</f>
        <v>Means</v>
      </c>
      <c r="C964" s="57" t="str">
        <f>IF(Associates_Call_List_PQ!C964="","",Associates_Call_List_PQ!C964)</f>
        <v>Carol</v>
      </c>
      <c r="D964" s="57" t="str">
        <f>IF(Associates_Call_List_PQ!D964="","",Associates_Call_List_PQ!D964)</f>
        <v>Goodyear</v>
      </c>
      <c r="E964" s="58">
        <f>IF(Associates_Call_List_PQ!E964="","",Associates_Call_List_PQ!E964)</f>
        <v>85338</v>
      </c>
      <c r="F964" s="57" t="str">
        <f>IF(Associates_Call_List_PQ!F964="","",Associates_Call_List_PQ!F964)</f>
        <v>Vote no</v>
      </c>
      <c r="G964" s="57" t="str">
        <f>IF(Associates_Call_List_PQ!G964="","",Associates_Call_List_PQ!G964)</f>
        <v>https://docket.images.azcc.gov/E000047828.pdf?i=1764228532333</v>
      </c>
      <c r="H964" s="59">
        <f>IF(Associates_Call_List_PQ!H964="","",Associates_Call_List_PQ!H964)</f>
        <v>8464670000</v>
      </c>
      <c r="I964" s="57" t="str">
        <f>IF(Associates_Call_List_PQ!I964="","",Associates_Call_List_PQ!I964)</f>
        <v>R3-47</v>
      </c>
      <c r="J964" s="57" t="str">
        <f>IF(Associates_Call_List_PQ!J964="","",Associates_Call_List_PQ!J964)</f>
        <v>No</v>
      </c>
      <c r="K964" s="57" t="str">
        <f>IF(Associates_Call_List_PQ!K964="","",Associates_Call_List_PQ!K964)</f>
        <v>No</v>
      </c>
      <c r="L964" s="57" t="str">
        <f>IF(Associates_Call_List_PQ!L964="","",Associates_Call_List_PQ!L964)</f>
        <v>Yes</v>
      </c>
      <c r="M964" s="57" t="str">
        <f>IF(Associates_Call_List_PQ!M964="","",Associates_Call_List_PQ!M964)</f>
        <v>No</v>
      </c>
      <c r="N964" s="57" t="str">
        <f>IF(Associates_Call_List_PQ!N964="","",Associates_Call_List_PQ!N964)</f>
        <v>No</v>
      </c>
      <c r="O964" s="57" t="str">
        <f>IF(Associates_Call_List_PQ!O964="","",Associates_Call_List_PQ!O964)</f>
        <v>Yes</v>
      </c>
      <c r="P964" s="57" t="str">
        <f>IF(Associates_Call_List_PQ!P964="","",Associates_Call_List_PQ!P964)</f>
        <v>N</v>
      </c>
      <c r="Q964" s="57">
        <f>IF(Associates_Call_List_PQ!Q964="","",Associates_Call_List_PQ!Q964)</f>
        <v>45993</v>
      </c>
      <c r="R964" s="57" t="str">
        <f>IF(Associates_Call_List_PQ!R964="","",Associates_Call_List_PQ!R964)</f>
        <v/>
      </c>
      <c r="S964" s="57" t="str">
        <f>IF(Associates_Call_List_PQ!S964="","",Associates_Call_List_PQ!S964)</f>
        <v/>
      </c>
      <c r="T964" s="57" t="str">
        <f>IF(Associates_Call_List_PQ!T964="","",Associates_Call_List_PQ!T964)</f>
        <v/>
      </c>
      <c r="U964" s="57" t="str">
        <f>IF(Associates_Call_List_PQ!U964="","",Associates_Call_List_PQ!U964)</f>
        <v/>
      </c>
      <c r="V964" s="68" t="s">
        <v>5433</v>
      </c>
      <c r="W964" s="68">
        <v>46060</v>
      </c>
      <c r="X964" s="68" t="s">
        <v>5405</v>
      </c>
      <c r="Y964" s="68"/>
      <c r="Z964" s="72" t="s">
        <v>5638</v>
      </c>
    </row>
    <row r="965" spans="1:26">
      <c r="A965" s="71">
        <f>IFERROR(Associates_Call_List_PQ!A965,"")</f>
        <v>45987</v>
      </c>
      <c r="B965" s="57" t="str">
        <f>IF(Associates_Call_List_PQ!B965="","",Associates_Call_List_PQ!B965)</f>
        <v>Boontjer</v>
      </c>
      <c r="C965" s="57" t="str">
        <f>IF(Associates_Call_List_PQ!C965="","",Associates_Call_List_PQ!C965)</f>
        <v>Ken and JoAnn</v>
      </c>
      <c r="D965" s="57" t="str">
        <f>IF(Associates_Call_List_PQ!D965="","",Associates_Call_List_PQ!D965)</f>
        <v>Peoria</v>
      </c>
      <c r="E965" s="58">
        <f>IF(Associates_Call_List_PQ!E965="","",Associates_Call_List_PQ!E965)</f>
        <v>85382</v>
      </c>
      <c r="F965" s="57" t="str">
        <f>IF(Associates_Call_List_PQ!F965="","",Associates_Call_List_PQ!F965)</f>
        <v>Research APS net zero plan, open Cholla</v>
      </c>
      <c r="G965" s="57" t="str">
        <f>IF(Associates_Call_List_PQ!G965="","",Associates_Call_List_PQ!G965)</f>
        <v>https://docket.images.azcc.gov/E000047828.pdf?i=1764228532333</v>
      </c>
      <c r="H965" s="59">
        <f>IF(Associates_Call_List_PQ!H965="","",Associates_Call_List_PQ!H965)</f>
        <v>6932600000</v>
      </c>
      <c r="I965" s="57" t="str">
        <f>IF(Associates_Call_List_PQ!I965="","",Associates_Call_List_PQ!I965)</f>
        <v>EPR6w/E-12</v>
      </c>
      <c r="J965" s="57" t="str">
        <f>IF(Associates_Call_List_PQ!J965="","",Associates_Call_List_PQ!J965)</f>
        <v>No</v>
      </c>
      <c r="K965" s="57" t="str">
        <f>IF(Associates_Call_List_PQ!K965="","",Associates_Call_List_PQ!K965)</f>
        <v>No</v>
      </c>
      <c r="L965" s="57" t="str">
        <f>IF(Associates_Call_List_PQ!L965="","",Associates_Call_List_PQ!L965)</f>
        <v>Frozen Rate</v>
      </c>
      <c r="M965" s="57" t="str">
        <f>IF(Associates_Call_List_PQ!M965="","",Associates_Call_List_PQ!M965)</f>
        <v>No</v>
      </c>
      <c r="N965" s="57" t="str">
        <f>IF(Associates_Call_List_PQ!N965="","",Associates_Call_List_PQ!N965)</f>
        <v>No</v>
      </c>
      <c r="O965" s="57" t="str">
        <f>IF(Associates_Call_List_PQ!O965="","",Associates_Call_List_PQ!O965)</f>
        <v>Yes</v>
      </c>
      <c r="P965" s="57" t="str">
        <f>IF(Associates_Call_List_PQ!P965="","",Associates_Call_List_PQ!P965)</f>
        <v>N</v>
      </c>
      <c r="Q965" s="57">
        <f>IF(Associates_Call_List_PQ!Q965="","",Associates_Call_List_PQ!Q965)</f>
        <v>45993</v>
      </c>
      <c r="R965" s="57" t="str">
        <f>IF(Associates_Call_List_PQ!R965="","",Associates_Call_List_PQ!R965)</f>
        <v/>
      </c>
      <c r="S965" s="57" t="str">
        <f>IF(Associates_Call_List_PQ!S965="","",Associates_Call_List_PQ!S965)</f>
        <v/>
      </c>
      <c r="T965" s="57" t="str">
        <f>IF(Associates_Call_List_PQ!T965="","",Associates_Call_List_PQ!T965)</f>
        <v/>
      </c>
      <c r="U965" s="57" t="str">
        <f>IF(Associates_Call_List_PQ!U965="","",Associates_Call_List_PQ!U965)</f>
        <v/>
      </c>
      <c r="V965" s="68"/>
      <c r="W965" s="68" t="s">
        <v>5432</v>
      </c>
      <c r="X965" s="68"/>
      <c r="Y965" s="68"/>
      <c r="Z965" s="72"/>
    </row>
    <row r="966" spans="1:26">
      <c r="A966" s="71">
        <f>IFERROR(Associates_Call_List_PQ!A966,"")</f>
        <v>45989</v>
      </c>
      <c r="B966" s="57" t="str">
        <f>IF(Associates_Call_List_PQ!B966="","",Associates_Call_List_PQ!B966)</f>
        <v>Kissling</v>
      </c>
      <c r="C966" s="57" t="str">
        <f>IF(Associates_Call_List_PQ!C966="","",Associates_Call_List_PQ!C966)</f>
        <v xml:space="preserve">Shari </v>
      </c>
      <c r="D966" s="57" t="str">
        <f>IF(Associates_Call_List_PQ!D966="","",Associates_Call_List_PQ!D966)</f>
        <v>Surprise</v>
      </c>
      <c r="E966" s="58">
        <f>IF(Associates_Call_List_PQ!E966="","",Associates_Call_List_PQ!E966)</f>
        <v>85387</v>
      </c>
      <c r="F966" s="57" t="str">
        <f>IF(Associates_Call_List_PQ!F966="","",Associates_Call_List_PQ!F966)</f>
        <v>stop approving rate increases</v>
      </c>
      <c r="G966" s="57" t="str">
        <f>IF(Associates_Call_List_PQ!G966="","",Associates_Call_List_PQ!G966)</f>
        <v>https://docket.images.azcc.gov/E000047852.pdf</v>
      </c>
      <c r="H966" s="59">
        <f>IF(Associates_Call_List_PQ!H966="","",Associates_Call_List_PQ!H966)</f>
        <v>6129600993</v>
      </c>
      <c r="I966" s="57" t="str">
        <f>IF(Associates_Call_List_PQ!I966="","",Associates_Call_List_PQ!I966)</f>
        <v>R3-47</v>
      </c>
      <c r="J966" s="57" t="str">
        <f>IF(Associates_Call_List_PQ!J966="","",Associates_Call_List_PQ!J966)</f>
        <v>No</v>
      </c>
      <c r="K966" s="57" t="str">
        <f>IF(Associates_Call_List_PQ!K966="","",Associates_Call_List_PQ!K966)</f>
        <v>No</v>
      </c>
      <c r="L966" s="57" t="str">
        <f>IF(Associates_Call_List_PQ!L966="","",Associates_Call_List_PQ!L966)</f>
        <v>Yes</v>
      </c>
      <c r="M966" s="57" t="str">
        <f>IF(Associates_Call_List_PQ!M966="","",Associates_Call_List_PQ!M966)</f>
        <v>No</v>
      </c>
      <c r="N966" s="57" t="str">
        <f>IF(Associates_Call_List_PQ!N966="","",Associates_Call_List_PQ!N966)</f>
        <v>No</v>
      </c>
      <c r="O966" s="57" t="str">
        <f>IF(Associates_Call_List_PQ!O966="","",Associates_Call_List_PQ!O966)</f>
        <v>Yes</v>
      </c>
      <c r="P966" s="57" t="str">
        <f>IF(Associates_Call_List_PQ!P966="","",Associates_Call_List_PQ!P966)</f>
        <v>N</v>
      </c>
      <c r="Q966" s="57">
        <f>IF(Associates_Call_List_PQ!Q966="","",Associates_Call_List_PQ!Q966)</f>
        <v>45993</v>
      </c>
      <c r="R966" s="57" t="str">
        <f>IF(Associates_Call_List_PQ!R966="","",Associates_Call_List_PQ!R966)</f>
        <v/>
      </c>
      <c r="S966" s="57" t="str">
        <f>IF(Associates_Call_List_PQ!S966="","",Associates_Call_List_PQ!S966)</f>
        <v/>
      </c>
      <c r="T966" s="57" t="str">
        <f>IF(Associates_Call_List_PQ!T966="","",Associates_Call_List_PQ!T966)</f>
        <v/>
      </c>
      <c r="U966" s="57" t="str">
        <f>IF(Associates_Call_List_PQ!U966="","",Associates_Call_List_PQ!U966)</f>
        <v/>
      </c>
      <c r="V966" s="68" t="s">
        <v>5433</v>
      </c>
      <c r="W966" s="68">
        <v>46060</v>
      </c>
      <c r="X966" s="68" t="s">
        <v>5434</v>
      </c>
      <c r="Y966" s="68"/>
      <c r="Z966" s="72" t="s">
        <v>5446</v>
      </c>
    </row>
    <row r="967" spans="1:26">
      <c r="A967" s="71">
        <f>IFERROR(Associates_Call_List_PQ!A967,"")</f>
        <v>45993</v>
      </c>
      <c r="B967" s="57" t="str">
        <f>IF(Associates_Call_List_PQ!B967="","",Associates_Call_List_PQ!B967)</f>
        <v>Logan</v>
      </c>
      <c r="C967" s="57" t="str">
        <f>IF(Associates_Call_List_PQ!C967="","",Associates_Call_List_PQ!C967)</f>
        <v>Justin</v>
      </c>
      <c r="D967" s="57" t="str">
        <f>IF(Associates_Call_List_PQ!D967="","",Associates_Call_List_PQ!D967)</f>
        <v>Surprise</v>
      </c>
      <c r="E967" s="58">
        <f>IF(Associates_Call_List_PQ!E967="","",Associates_Call_List_PQ!E967)</f>
        <v>85379</v>
      </c>
      <c r="F967" s="57" t="str">
        <f>IF(Associates_Call_List_PQ!F967="","",Associates_Call_List_PQ!F967)</f>
        <v>Form Letter: For families like mine this is simply too much</v>
      </c>
      <c r="G967" s="57" t="str">
        <f>IF(Associates_Call_List_PQ!G967="","",Associates_Call_List_PQ!G967)</f>
        <v>https://docket.images.azcc.gov/E000047963.pdf</v>
      </c>
      <c r="H967" s="59">
        <f>IF(Associates_Call_List_PQ!H967="","",Associates_Call_List_PQ!H967)</f>
        <v>1501070000</v>
      </c>
      <c r="I967" s="57" t="str">
        <f>IF(Associates_Call_List_PQ!I967="","",Associates_Call_List_PQ!I967)</f>
        <v>R-2</v>
      </c>
      <c r="J967" s="57" t="str">
        <f>IF(Associates_Call_List_PQ!J967="","",Associates_Call_List_PQ!J967)</f>
        <v>No</v>
      </c>
      <c r="K967" s="57" t="str">
        <f>IF(Associates_Call_List_PQ!K967="","",Associates_Call_List_PQ!K967)</f>
        <v>No</v>
      </c>
      <c r="L967" s="57" t="str">
        <f>IF(Associates_Call_List_PQ!L967="","",Associates_Call_List_PQ!L967)</f>
        <v>Frozen Rate</v>
      </c>
      <c r="M967" s="57" t="str">
        <f>IF(Associates_Call_List_PQ!M967="","",Associates_Call_List_PQ!M967)</f>
        <v>No</v>
      </c>
      <c r="N967" s="57" t="str">
        <f>IF(Associates_Call_List_PQ!N967="","",Associates_Call_List_PQ!N967)</f>
        <v>No</v>
      </c>
      <c r="O967" s="57" t="str">
        <f>IF(Associates_Call_List_PQ!O967="","",Associates_Call_List_PQ!O967)</f>
        <v>Yes</v>
      </c>
      <c r="P967" s="57" t="str">
        <f>IF(Associates_Call_List_PQ!P967="","",Associates_Call_List_PQ!P967)</f>
        <v>N</v>
      </c>
      <c r="Q967" s="57">
        <f>IF(Associates_Call_List_PQ!Q967="","",Associates_Call_List_PQ!Q967)</f>
        <v>45994</v>
      </c>
      <c r="R967" s="57" t="str">
        <f>IF(Associates_Call_List_PQ!R967="","",Associates_Call_List_PQ!R967)</f>
        <v/>
      </c>
      <c r="S967" s="57" t="str">
        <f>IF(Associates_Call_List_PQ!S967="","",Associates_Call_List_PQ!S967)</f>
        <v/>
      </c>
      <c r="T967" s="57" t="str">
        <f>IF(Associates_Call_List_PQ!T967="","",Associates_Call_List_PQ!T967)</f>
        <v/>
      </c>
      <c r="U967" s="57" t="str">
        <f>IF(Associates_Call_List_PQ!U967="","",Associates_Call_List_PQ!U967)</f>
        <v/>
      </c>
      <c r="V967" s="68"/>
      <c r="W967" s="68" t="s">
        <v>5432</v>
      </c>
      <c r="X967" s="68"/>
      <c r="Y967" s="68"/>
      <c r="Z967" s="72"/>
    </row>
    <row r="968" spans="1:26">
      <c r="A968" s="71">
        <f>IFERROR(Associates_Call_List_PQ!A968,"")</f>
        <v>45993</v>
      </c>
      <c r="B968" s="57" t="str">
        <f>IF(Associates_Call_List_PQ!B968="","",Associates_Call_List_PQ!B968)</f>
        <v>Spence</v>
      </c>
      <c r="C968" s="57" t="str">
        <f>IF(Associates_Call_List_PQ!C968="","",Associates_Call_List_PQ!C968)</f>
        <v>Sheri</v>
      </c>
      <c r="D968" s="57" t="str">
        <f>IF(Associates_Call_List_PQ!D968="","",Associates_Call_List_PQ!D968)</f>
        <v>Surprise</v>
      </c>
      <c r="E968" s="58">
        <f>IF(Associates_Call_List_PQ!E968="","",Associates_Call_List_PQ!E968)</f>
        <v>85387</v>
      </c>
      <c r="F968" s="57" t="str">
        <f>IF(Associates_Call_List_PQ!F968="","",Associates_Call_List_PQ!F968)</f>
        <v>Stop the price hike that APS is planning to impose.</v>
      </c>
      <c r="G968" s="57" t="str">
        <f>IF(Associates_Call_List_PQ!G968="","",Associates_Call_List_PQ!G968)</f>
        <v>https://docket.images.azcc.gov/E000047971.pdf</v>
      </c>
      <c r="H968" s="59">
        <f>IF(Associates_Call_List_PQ!H968="","",Associates_Call_List_PQ!H968)</f>
        <v>4773125499</v>
      </c>
      <c r="I968" s="57" t="str">
        <f>IF(Associates_Call_List_PQ!I968="","",Associates_Call_List_PQ!I968)</f>
        <v>R3-47</v>
      </c>
      <c r="J968" s="57" t="str">
        <f>IF(Associates_Call_List_PQ!J968="","",Associates_Call_List_PQ!J968)</f>
        <v>No</v>
      </c>
      <c r="K968" s="57" t="str">
        <f>IF(Associates_Call_List_PQ!K968="","",Associates_Call_List_PQ!K968)</f>
        <v>No</v>
      </c>
      <c r="L968" s="57" t="str">
        <f>IF(Associates_Call_List_PQ!L968="","",Associates_Call_List_PQ!L968)</f>
        <v>Yes</v>
      </c>
      <c r="M968" s="57" t="str">
        <f>IF(Associates_Call_List_PQ!M968="","",Associates_Call_List_PQ!M968)</f>
        <v>No</v>
      </c>
      <c r="N968" s="57" t="str">
        <f>IF(Associates_Call_List_PQ!N968="","",Associates_Call_List_PQ!N968)</f>
        <v>No</v>
      </c>
      <c r="O968" s="57" t="str">
        <f>IF(Associates_Call_List_PQ!O968="","",Associates_Call_List_PQ!O968)</f>
        <v>Yes</v>
      </c>
      <c r="P968" s="57" t="str">
        <f>IF(Associates_Call_List_PQ!P968="","",Associates_Call_List_PQ!P968)</f>
        <v>N</v>
      </c>
      <c r="Q968" s="57">
        <f>IF(Associates_Call_List_PQ!Q968="","",Associates_Call_List_PQ!Q968)</f>
        <v>45994</v>
      </c>
      <c r="R968" s="57" t="str">
        <f>IF(Associates_Call_List_PQ!R968="","",Associates_Call_List_PQ!R968)</f>
        <v/>
      </c>
      <c r="S968" s="57" t="str">
        <f>IF(Associates_Call_List_PQ!S968="","",Associates_Call_List_PQ!S968)</f>
        <v/>
      </c>
      <c r="T968" s="57" t="str">
        <f>IF(Associates_Call_List_PQ!T968="","",Associates_Call_List_PQ!T968)</f>
        <v/>
      </c>
      <c r="U968" s="57" t="str">
        <f>IF(Associates_Call_List_PQ!U968="","",Associates_Call_List_PQ!U968)</f>
        <v/>
      </c>
      <c r="V968" s="68" t="s">
        <v>5433</v>
      </c>
      <c r="W968" s="68">
        <v>46060</v>
      </c>
      <c r="X968" s="68" t="s">
        <v>5405</v>
      </c>
      <c r="Y968" s="68" t="s">
        <v>5461</v>
      </c>
      <c r="Z968" s="72"/>
    </row>
    <row r="969" spans="1:26">
      <c r="A969" s="71">
        <f>IFERROR(Associates_Call_List_PQ!A969,"")</f>
        <v>45993</v>
      </c>
      <c r="B969" s="57" t="str">
        <f>IF(Associates_Call_List_PQ!B969="","",Associates_Call_List_PQ!B969)</f>
        <v>Palomera</v>
      </c>
      <c r="C969" s="57" t="str">
        <f>IF(Associates_Call_List_PQ!C969="","",Associates_Call_List_PQ!C969)</f>
        <v>Stephanie</v>
      </c>
      <c r="D969" s="57" t="str">
        <f>IF(Associates_Call_List_PQ!D969="","",Associates_Call_List_PQ!D969)</f>
        <v>Surprise</v>
      </c>
      <c r="E969" s="58">
        <f>IF(Associates_Call_List_PQ!E969="","",Associates_Call_List_PQ!E969)</f>
        <v>85374</v>
      </c>
      <c r="F969" s="57" t="str">
        <f>IF(Associates_Call_List_PQ!F969="","",Associates_Call_List_PQ!F969)</f>
        <v>Form Letter: For families like mine this is simply too much</v>
      </c>
      <c r="G969" s="57" t="str">
        <f>IF(Associates_Call_List_PQ!G969="","",Associates_Call_List_PQ!G969)</f>
        <v>https://docket.images.azcc.gov/E000047935.pdf</v>
      </c>
      <c r="H969" s="59">
        <f>IF(Associates_Call_List_PQ!H969="","",Associates_Call_List_PQ!H969)</f>
        <v>6238748397</v>
      </c>
      <c r="I969" s="57" t="str">
        <f>IF(Associates_Call_List_PQ!I969="","",Associates_Call_List_PQ!I969)</f>
        <v>R-BASICL</v>
      </c>
      <c r="J969" s="57" t="str">
        <f>IF(Associates_Call_List_PQ!J969="","",Associates_Call_List_PQ!J969)</f>
        <v>No</v>
      </c>
      <c r="K969" s="57" t="str">
        <f>IF(Associates_Call_List_PQ!K969="","",Associates_Call_List_PQ!K969)</f>
        <v>No</v>
      </c>
      <c r="L969" s="57" t="str">
        <f>IF(Associates_Call_List_PQ!L969="","",Associates_Call_List_PQ!L969)</f>
        <v>No MEP R-BASIC ($167.08)</v>
      </c>
      <c r="M969" s="57" t="str">
        <f>IF(Associates_Call_List_PQ!M969="","",Associates_Call_List_PQ!M969)</f>
        <v>No</v>
      </c>
      <c r="N969" s="57" t="str">
        <f>IF(Associates_Call_List_PQ!N969="","",Associates_Call_List_PQ!N969)</f>
        <v>No</v>
      </c>
      <c r="O969" s="57" t="str">
        <f>IF(Associates_Call_List_PQ!O969="","",Associates_Call_List_PQ!O969)</f>
        <v>Yes</v>
      </c>
      <c r="P969" s="57" t="str">
        <f>IF(Associates_Call_List_PQ!P969="","",Associates_Call_List_PQ!P969)</f>
        <v>N</v>
      </c>
      <c r="Q969" s="57">
        <f>IF(Associates_Call_List_PQ!Q969="","",Associates_Call_List_PQ!Q969)</f>
        <v>45995</v>
      </c>
      <c r="R969" s="57" t="str">
        <f>IF(Associates_Call_List_PQ!R969="","",Associates_Call_List_PQ!R969)</f>
        <v/>
      </c>
      <c r="S969" s="57" t="str">
        <f>IF(Associates_Call_List_PQ!S969="","",Associates_Call_List_PQ!S969)</f>
        <v/>
      </c>
      <c r="T969" s="57" t="str">
        <f>IF(Associates_Call_List_PQ!T969="","",Associates_Call_List_PQ!T969)</f>
        <v/>
      </c>
      <c r="U969" s="57" t="str">
        <f>IF(Associates_Call_List_PQ!U969="","",Associates_Call_List_PQ!U969)</f>
        <v/>
      </c>
      <c r="V969" s="68" t="s">
        <v>5433</v>
      </c>
      <c r="W969" s="68">
        <v>45997</v>
      </c>
      <c r="X969" s="68" t="s">
        <v>5405</v>
      </c>
      <c r="Y969" s="68" t="s">
        <v>5447</v>
      </c>
      <c r="Z969" s="72" t="s">
        <v>5448</v>
      </c>
    </row>
    <row r="970" spans="1:26">
      <c r="A970" s="71">
        <f>IFERROR(Associates_Call_List_PQ!A970,"")</f>
        <v>45993</v>
      </c>
      <c r="B970" s="57" t="str">
        <f>IF(Associates_Call_List_PQ!B970="","",Associates_Call_List_PQ!B970)</f>
        <v>Walberg</v>
      </c>
      <c r="C970" s="57" t="str">
        <f>IF(Associates_Call_List_PQ!C970="","",Associates_Call_List_PQ!C970)</f>
        <v>Paige</v>
      </c>
      <c r="D970" s="57" t="str">
        <f>IF(Associates_Call_List_PQ!D970="","",Associates_Call_List_PQ!D970)</f>
        <v>El Mirage</v>
      </c>
      <c r="E970" s="58">
        <f>IF(Associates_Call_List_PQ!E970="","",Associates_Call_List_PQ!E970)</f>
        <v>85335</v>
      </c>
      <c r="F970" s="57" t="str">
        <f>IF(Associates_Call_List_PQ!F970="","",Associates_Call_List_PQ!F970)</f>
        <v xml:space="preserve">I am a middle class single mom on a teacher income. I don't qualilfy for assistance. </v>
      </c>
      <c r="G970" s="57" t="str">
        <f>IF(Associates_Call_List_PQ!G970="","",Associates_Call_List_PQ!G970)</f>
        <v>https://docket.images.azcc.gov/E000047935.pdf</v>
      </c>
      <c r="H970" s="59">
        <f>IF(Associates_Call_List_PQ!H970="","",Associates_Call_List_PQ!H970)</f>
        <v>6780889797</v>
      </c>
      <c r="I970" s="57" t="str">
        <f>IF(Associates_Call_List_PQ!I970="","",Associates_Call_List_PQ!I970)</f>
        <v>EPR6-ET-1</v>
      </c>
      <c r="J970" s="57" t="str">
        <f>IF(Associates_Call_List_PQ!J970="","",Associates_Call_List_PQ!J970)</f>
        <v>Yes</v>
      </c>
      <c r="K970" s="57" t="str">
        <f>IF(Associates_Call_List_PQ!K970="","",Associates_Call_List_PQ!K970)</f>
        <v>No</v>
      </c>
      <c r="L970" s="57" t="str">
        <f>IF(Associates_Call_List_PQ!L970="","",Associates_Call_List_PQ!L970)</f>
        <v>Frozen Rate</v>
      </c>
      <c r="M970" s="57" t="str">
        <f>IF(Associates_Call_List_PQ!M970="","",Associates_Call_List_PQ!M970)</f>
        <v>Yes</v>
      </c>
      <c r="N970" s="57">
        <f>IF(Associates_Call_List_PQ!N970="","",Associates_Call_List_PQ!N970)</f>
        <v>425.23</v>
      </c>
      <c r="O970" s="57" t="str">
        <f>IF(Associates_Call_List_PQ!O970="","",Associates_Call_List_PQ!O970)</f>
        <v>Yes</v>
      </c>
      <c r="P970" s="57" t="str">
        <f>IF(Associates_Call_List_PQ!P970="","",Associates_Call_List_PQ!P970)</f>
        <v>N</v>
      </c>
      <c r="Q970" s="57">
        <f>IF(Associates_Call_List_PQ!Q970="","",Associates_Call_List_PQ!Q970)</f>
        <v>45995</v>
      </c>
      <c r="R970" s="57" t="str">
        <f>IF(Associates_Call_List_PQ!R970="","",Associates_Call_List_PQ!R970)</f>
        <v/>
      </c>
      <c r="S970" s="57" t="str">
        <f>IF(Associates_Call_List_PQ!S970="","",Associates_Call_List_PQ!S970)</f>
        <v/>
      </c>
      <c r="T970" s="57" t="str">
        <f>IF(Associates_Call_List_PQ!T970="","",Associates_Call_List_PQ!T970)</f>
        <v/>
      </c>
      <c r="U970" s="57" t="str">
        <f>IF(Associates_Call_List_PQ!U970="","",Associates_Call_List_PQ!U970)</f>
        <v/>
      </c>
      <c r="V970" s="68" t="s">
        <v>5433</v>
      </c>
      <c r="W970" s="68">
        <v>46060</v>
      </c>
      <c r="X970" s="68" t="s">
        <v>5405</v>
      </c>
      <c r="Y970" s="68" t="s">
        <v>5461</v>
      </c>
      <c r="Z970" s="72" t="s">
        <v>5679</v>
      </c>
    </row>
    <row r="971" spans="1:26">
      <c r="A971" s="71">
        <f>IFERROR(Associates_Call_List_PQ!A971,"")</f>
        <v>45993</v>
      </c>
      <c r="B971" s="57" t="str">
        <f>IF(Associates_Call_List_PQ!B971="","",Associates_Call_List_PQ!B971)</f>
        <v>Jones</v>
      </c>
      <c r="C971" s="57" t="str">
        <f>IF(Associates_Call_List_PQ!C971="","",Associates_Call_List_PQ!C971)</f>
        <v>Charlene</v>
      </c>
      <c r="D971" s="57" t="str">
        <f>IF(Associates_Call_List_PQ!D971="","",Associates_Call_List_PQ!D971)</f>
        <v>El Mirage</v>
      </c>
      <c r="E971" s="58">
        <f>IF(Associates_Call_List_PQ!E971="","",Associates_Call_List_PQ!E971)</f>
        <v>85335</v>
      </c>
      <c r="F971" s="57" t="str">
        <f>IF(Associates_Call_List_PQ!F971="","",Associates_Call_List_PQ!F971)</f>
        <v>No more rate increases. We are struggling to pay already!</v>
      </c>
      <c r="G971" s="57" t="str">
        <f>IF(Associates_Call_List_PQ!G971="","",Associates_Call_List_PQ!G971)</f>
        <v>https://docket.images.azcc.gov/E000047935.pdf</v>
      </c>
      <c r="H971" s="59">
        <f>IF(Associates_Call_List_PQ!H971="","",Associates_Call_List_PQ!H971)</f>
        <v>591010000</v>
      </c>
      <c r="I971" s="57" t="str">
        <f>IF(Associates_Call_List_PQ!I971="","",Associates_Call_List_PQ!I971)</f>
        <v>RTOUE47</v>
      </c>
      <c r="J971" s="57" t="str">
        <f>IF(Associates_Call_List_PQ!J971="","",Associates_Call_List_PQ!J971)</f>
        <v>No</v>
      </c>
      <c r="K971" s="57" t="str">
        <f>IF(Associates_Call_List_PQ!K971="","",Associates_Call_List_PQ!K971)</f>
        <v>No</v>
      </c>
      <c r="L971" s="57" t="str">
        <f>IF(Associates_Call_List_PQ!L971="","",Associates_Call_List_PQ!L971)</f>
        <v>No MEP R3-47 ($295.17)</v>
      </c>
      <c r="M971" s="57" t="str">
        <f>IF(Associates_Call_List_PQ!M971="","",Associates_Call_List_PQ!M971)</f>
        <v>No</v>
      </c>
      <c r="N971" s="57" t="str">
        <f>IF(Associates_Call_List_PQ!N971="","",Associates_Call_List_PQ!N971)</f>
        <v>No</v>
      </c>
      <c r="O971" s="57" t="str">
        <f>IF(Associates_Call_List_PQ!O971="","",Associates_Call_List_PQ!O971)</f>
        <v>Yes</v>
      </c>
      <c r="P971" s="57" t="str">
        <f>IF(Associates_Call_List_PQ!P971="","",Associates_Call_List_PQ!P971)</f>
        <v/>
      </c>
      <c r="Q971" s="57">
        <f>IF(Associates_Call_List_PQ!Q971="","",Associates_Call_List_PQ!Q971)</f>
        <v>45995</v>
      </c>
      <c r="R971" s="57" t="str">
        <f>IF(Associates_Call_List_PQ!R971="","",Associates_Call_List_PQ!R971)</f>
        <v/>
      </c>
      <c r="S971" s="57" t="str">
        <f>IF(Associates_Call_List_PQ!S971="","",Associates_Call_List_PQ!S971)</f>
        <v/>
      </c>
      <c r="T971" s="57" t="str">
        <f>IF(Associates_Call_List_PQ!T971="","",Associates_Call_List_PQ!T971)</f>
        <v/>
      </c>
      <c r="U971" s="57" t="str">
        <f>IF(Associates_Call_List_PQ!U971="","",Associates_Call_List_PQ!U971)</f>
        <v/>
      </c>
      <c r="V971" s="68" t="s">
        <v>5433</v>
      </c>
      <c r="W971" s="68">
        <v>46018</v>
      </c>
      <c r="X971" s="68" t="s">
        <v>5405</v>
      </c>
      <c r="Y971" s="68" t="s">
        <v>5463</v>
      </c>
      <c r="Z971" s="72" t="s">
        <v>5680</v>
      </c>
    </row>
    <row r="972" spans="1:26">
      <c r="A972" s="71">
        <f>IFERROR(Associates_Call_List_PQ!A972,"")</f>
        <v>45993</v>
      </c>
      <c r="B972" s="57" t="str">
        <f>IF(Associates_Call_List_PQ!B972="","",Associates_Call_List_PQ!B972)</f>
        <v>Wallach</v>
      </c>
      <c r="C972" s="57" t="str">
        <f>IF(Associates_Call_List_PQ!C972="","",Associates_Call_List_PQ!C972)</f>
        <v>Kurt</v>
      </c>
      <c r="D972" s="57" t="str">
        <f>IF(Associates_Call_List_PQ!D972="","",Associates_Call_List_PQ!D972)</f>
        <v>Glendale</v>
      </c>
      <c r="E972" s="58">
        <f>IF(Associates_Call_List_PQ!E972="","",Associates_Call_List_PQ!E972)</f>
        <v>85304</v>
      </c>
      <c r="F972" s="57" t="str">
        <f>IF(Associates_Call_List_PQ!F972="","",Associates_Call_List_PQ!F972)</f>
        <v xml:space="preserve">I am voicing concern over repeated rate requests from APS. </v>
      </c>
      <c r="G972" s="57" t="str">
        <f>IF(Associates_Call_List_PQ!G972="","",Associates_Call_List_PQ!G972)</f>
        <v>https://docket.images.azcc.gov/E000047935.pdf</v>
      </c>
      <c r="H972" s="59">
        <f>IF(Associates_Call_List_PQ!H972="","",Associates_Call_List_PQ!H972)</f>
        <v>1370851931</v>
      </c>
      <c r="I972" s="57" t="str">
        <f>IF(Associates_Call_List_PQ!I972="","",Associates_Call_List_PQ!I972)</f>
        <v>RCPw/R3-47</v>
      </c>
      <c r="J972" s="57" t="str">
        <f>IF(Associates_Call_List_PQ!J972="","",Associates_Call_List_PQ!J972)</f>
        <v>No</v>
      </c>
      <c r="K972" s="57" t="str">
        <f>IF(Associates_Call_List_PQ!K972="","",Associates_Call_List_PQ!K972)</f>
        <v>No</v>
      </c>
      <c r="L972" s="57" t="str">
        <f>IF(Associates_Call_List_PQ!L972="","",Associates_Call_List_PQ!L972)</f>
        <v>Yes</v>
      </c>
      <c r="M972" s="57" t="str">
        <f>IF(Associates_Call_List_PQ!M972="","",Associates_Call_List_PQ!M972)</f>
        <v>No</v>
      </c>
      <c r="N972" s="57" t="str">
        <f>IF(Associates_Call_List_PQ!N972="","",Associates_Call_List_PQ!N972)</f>
        <v>No</v>
      </c>
      <c r="O972" s="57" t="str">
        <f>IF(Associates_Call_List_PQ!O972="","",Associates_Call_List_PQ!O972)</f>
        <v>Yes</v>
      </c>
      <c r="P972" s="57" t="str">
        <f>IF(Associates_Call_List_PQ!P972="","",Associates_Call_List_PQ!P972)</f>
        <v>N</v>
      </c>
      <c r="Q972" s="57">
        <f>IF(Associates_Call_List_PQ!Q972="","",Associates_Call_List_PQ!Q972)</f>
        <v>45995</v>
      </c>
      <c r="R972" s="57" t="str">
        <f>IF(Associates_Call_List_PQ!R972="","",Associates_Call_List_PQ!R972)</f>
        <v/>
      </c>
      <c r="S972" s="57" t="str">
        <f>IF(Associates_Call_List_PQ!S972="","",Associates_Call_List_PQ!S972)</f>
        <v/>
      </c>
      <c r="T972" s="57" t="str">
        <f>IF(Associates_Call_List_PQ!T972="","",Associates_Call_List_PQ!T972)</f>
        <v/>
      </c>
      <c r="U972" s="57" t="str">
        <f>IF(Associates_Call_List_PQ!U972="","",Associates_Call_List_PQ!U972)</f>
        <v/>
      </c>
      <c r="V972" s="68" t="s">
        <v>5433</v>
      </c>
      <c r="W972" s="68">
        <v>46067</v>
      </c>
      <c r="X972" s="68" t="s">
        <v>5405</v>
      </c>
      <c r="Y972" s="68" t="s">
        <v>5461</v>
      </c>
      <c r="Z972" s="72"/>
    </row>
    <row r="973" spans="1:26">
      <c r="A973" s="71">
        <f>IFERROR(Associates_Call_List_PQ!A973,"")</f>
        <v>45993</v>
      </c>
      <c r="B973" s="57" t="str">
        <f>IF(Associates_Call_List_PQ!B973="","",Associates_Call_List_PQ!B973)</f>
        <v>Hayes</v>
      </c>
      <c r="C973" s="57" t="str">
        <f>IF(Associates_Call_List_PQ!C973="","",Associates_Call_List_PQ!C973)</f>
        <v>Dawn</v>
      </c>
      <c r="D973" s="57" t="str">
        <f>IF(Associates_Call_List_PQ!D973="","",Associates_Call_List_PQ!D973)</f>
        <v>Surprise</v>
      </c>
      <c r="E973" s="58">
        <f>IF(Associates_Call_List_PQ!E973="","",Associates_Call_List_PQ!E973)</f>
        <v>85387</v>
      </c>
      <c r="F973" s="57" t="str">
        <f>IF(Associates_Call_List_PQ!F973="","",Associates_Call_List_PQ!F973)</f>
        <v>There is no need to increase residential rates. we are already paying an all-time high</v>
      </c>
      <c r="G973" s="57" t="str">
        <f>IF(Associates_Call_List_PQ!G973="","",Associates_Call_List_PQ!G973)</f>
        <v>https://docket.images.azcc.gov/E000047935.pdf</v>
      </c>
      <c r="H973" s="59">
        <f>IF(Associates_Call_List_PQ!H973="","",Associates_Call_List_PQ!H973)</f>
        <v>9983127893</v>
      </c>
      <c r="I973" s="57" t="str">
        <f>IF(Associates_Call_List_PQ!I973="","",Associates_Call_List_PQ!I973)</f>
        <v>R3-47</v>
      </c>
      <c r="J973" s="57" t="str">
        <f>IF(Associates_Call_List_PQ!J973="","",Associates_Call_List_PQ!J973)</f>
        <v>No</v>
      </c>
      <c r="K973" s="57" t="str">
        <f>IF(Associates_Call_List_PQ!K973="","",Associates_Call_List_PQ!K973)</f>
        <v>No</v>
      </c>
      <c r="L973" s="57" t="str">
        <f>IF(Associates_Call_List_PQ!L973="","",Associates_Call_List_PQ!L973)</f>
        <v>Yes</v>
      </c>
      <c r="M973" s="57" t="str">
        <f>IF(Associates_Call_List_PQ!M973="","",Associates_Call_List_PQ!M973)</f>
        <v>No</v>
      </c>
      <c r="N973" s="57" t="str">
        <f>IF(Associates_Call_List_PQ!N973="","",Associates_Call_List_PQ!N973)</f>
        <v>No</v>
      </c>
      <c r="O973" s="57" t="str">
        <f>IF(Associates_Call_List_PQ!O973="","",Associates_Call_List_PQ!O973)</f>
        <v>Yes</v>
      </c>
      <c r="P973" s="57" t="str">
        <f>IF(Associates_Call_List_PQ!P973="","",Associates_Call_List_PQ!P973)</f>
        <v>N</v>
      </c>
      <c r="Q973" s="57">
        <f>IF(Associates_Call_List_PQ!Q973="","",Associates_Call_List_PQ!Q973)</f>
        <v>45995</v>
      </c>
      <c r="R973" s="57" t="str">
        <f>IF(Associates_Call_List_PQ!R973="","",Associates_Call_List_PQ!R973)</f>
        <v/>
      </c>
      <c r="S973" s="57" t="str">
        <f>IF(Associates_Call_List_PQ!S973="","",Associates_Call_List_PQ!S973)</f>
        <v/>
      </c>
      <c r="T973" s="57" t="str">
        <f>IF(Associates_Call_List_PQ!T973="","",Associates_Call_List_PQ!T973)</f>
        <v/>
      </c>
      <c r="U973" s="57" t="str">
        <f>IF(Associates_Call_List_PQ!U973="","",Associates_Call_List_PQ!U973)</f>
        <v/>
      </c>
      <c r="V973" s="68"/>
      <c r="W973" s="68" t="s">
        <v>5432</v>
      </c>
      <c r="X973" s="68"/>
      <c r="Y973" s="68"/>
      <c r="Z973" s="72"/>
    </row>
    <row r="974" spans="1:26">
      <c r="A974" s="71">
        <f>IFERROR(Associates_Call_List_PQ!A974,"")</f>
        <v>45993</v>
      </c>
      <c r="B974" s="57" t="str">
        <f>IF(Associates_Call_List_PQ!B974="","",Associates_Call_List_PQ!B974)</f>
        <v>Barbosa</v>
      </c>
      <c r="C974" s="57" t="str">
        <f>IF(Associates_Call_List_PQ!C974="","",Associates_Call_List_PQ!C974)</f>
        <v>Beatriz</v>
      </c>
      <c r="D974" s="57" t="str">
        <f>IF(Associates_Call_List_PQ!D974="","",Associates_Call_List_PQ!D974)</f>
        <v>Whittmann</v>
      </c>
      <c r="E974" s="58">
        <f>IF(Associates_Call_List_PQ!E974="","",Associates_Call_List_PQ!E974)</f>
        <v>85378</v>
      </c>
      <c r="F974" s="57" t="str">
        <f>IF(Associates_Call_List_PQ!F974="","",Associates_Call_List_PQ!F974)</f>
        <v>Form Letter: For families like mine this is simply too much</v>
      </c>
      <c r="G974" s="57" t="str">
        <f>IF(Associates_Call_List_PQ!G974="","",Associates_Call_List_PQ!G974)</f>
        <v>https://docket.images.azcc.gov/E000047935.pdf</v>
      </c>
      <c r="H974" s="59">
        <f>IF(Associates_Call_List_PQ!H974="","",Associates_Call_List_PQ!H974)</f>
        <v>6711360000</v>
      </c>
      <c r="I974" s="57" t="str">
        <f>IF(Associates_Call_List_PQ!I974="","",Associates_Call_List_PQ!I974)</f>
        <v>R3-47</v>
      </c>
      <c r="J974" s="57" t="str">
        <f>IF(Associates_Call_List_PQ!J974="","",Associates_Call_List_PQ!J974)</f>
        <v>Yes</v>
      </c>
      <c r="K974" s="57" t="str">
        <f>IF(Associates_Call_List_PQ!K974="","",Associates_Call_List_PQ!K974)</f>
        <v>No</v>
      </c>
      <c r="L974" s="57" t="str">
        <f>IF(Associates_Call_List_PQ!L974="","",Associates_Call_List_PQ!L974)</f>
        <v>Not eligible yet (needs 3 months)</v>
      </c>
      <c r="M974" s="57" t="str">
        <f>IF(Associates_Call_List_PQ!M974="","",Associates_Call_List_PQ!M974)</f>
        <v>No</v>
      </c>
      <c r="N974" s="57" t="str">
        <f>IF(Associates_Call_List_PQ!N974="","",Associates_Call_List_PQ!N974)</f>
        <v>No</v>
      </c>
      <c r="O974" s="57" t="str">
        <f>IF(Associates_Call_List_PQ!O974="","",Associates_Call_List_PQ!O974)</f>
        <v>Yes</v>
      </c>
      <c r="P974" s="57" t="str">
        <f>IF(Associates_Call_List_PQ!P974="","",Associates_Call_List_PQ!P974)</f>
        <v>N</v>
      </c>
      <c r="Q974" s="57">
        <f>IF(Associates_Call_List_PQ!Q974="","",Associates_Call_List_PQ!Q974)</f>
        <v>45995</v>
      </c>
      <c r="R974" s="57" t="str">
        <f>IF(Associates_Call_List_PQ!R974="","",Associates_Call_List_PQ!R974)</f>
        <v/>
      </c>
      <c r="S974" s="57" t="str">
        <f>IF(Associates_Call_List_PQ!S974="","",Associates_Call_List_PQ!S974)</f>
        <v/>
      </c>
      <c r="T974" s="57" t="str">
        <f>IF(Associates_Call_List_PQ!T974="","",Associates_Call_List_PQ!T974)</f>
        <v/>
      </c>
      <c r="U974" s="57" t="str">
        <f>IF(Associates_Call_List_PQ!U974="","",Associates_Call_List_PQ!U974)</f>
        <v/>
      </c>
      <c r="V974" s="68" t="s">
        <v>5433</v>
      </c>
      <c r="W974" s="68">
        <v>46053</v>
      </c>
      <c r="X974" s="68" t="s">
        <v>5405</v>
      </c>
      <c r="Y974" s="68" t="s">
        <v>5461</v>
      </c>
      <c r="Z974" s="72" t="s">
        <v>5681</v>
      </c>
    </row>
    <row r="975" spans="1:26">
      <c r="A975" s="71">
        <f>IFERROR(Associates_Call_List_PQ!A975,"")</f>
        <v>45993</v>
      </c>
      <c r="B975" s="57" t="str">
        <f>IF(Associates_Call_List_PQ!B975="","",Associates_Call_List_PQ!B975)</f>
        <v>Jenkins</v>
      </c>
      <c r="C975" s="57" t="str">
        <f>IF(Associates_Call_List_PQ!C975="","",Associates_Call_List_PQ!C975)</f>
        <v>Cassandra</v>
      </c>
      <c r="D975" s="57" t="str">
        <f>IF(Associates_Call_List_PQ!D975="","",Associates_Call_List_PQ!D975)</f>
        <v>Buckeye</v>
      </c>
      <c r="E975" s="58">
        <f>IF(Associates_Call_List_PQ!E975="","",Associates_Call_List_PQ!E975)</f>
        <v>85396</v>
      </c>
      <c r="F975" s="57" t="str">
        <f>IF(Associates_Call_List_PQ!F975="","",Associates_Call_List_PQ!F975)</f>
        <v>Opposed rate hike, increase solar buy back.</v>
      </c>
      <c r="G975" s="57" t="str">
        <f>IF(Associates_Call_List_PQ!G975="","",Associates_Call_List_PQ!G975)</f>
        <v>https://docket.images.azcc.gov/E000047935.pdf</v>
      </c>
      <c r="H975" s="59">
        <f>IF(Associates_Call_List_PQ!H975="","",Associates_Call_List_PQ!H975)</f>
        <v>9411880000</v>
      </c>
      <c r="I975" s="57" t="str">
        <f>IF(Associates_Call_List_PQ!I975="","",Associates_Call_List_PQ!I975)</f>
        <v>RCPw/RTOUE47</v>
      </c>
      <c r="J975" s="57" t="str">
        <f>IF(Associates_Call_List_PQ!J975="","",Associates_Call_List_PQ!J975)</f>
        <v>No</v>
      </c>
      <c r="K975" s="57" t="str">
        <f>IF(Associates_Call_List_PQ!K975="","",Associates_Call_List_PQ!K975)</f>
        <v>No</v>
      </c>
      <c r="L975" s="57" t="str">
        <f>IF(Associates_Call_List_PQ!L975="","",Associates_Call_List_PQ!L975)</f>
        <v>Yes</v>
      </c>
      <c r="M975" s="57" t="str">
        <f>IF(Associates_Call_List_PQ!M975="","",Associates_Call_List_PQ!M975)</f>
        <v>No</v>
      </c>
      <c r="N975" s="57" t="str">
        <f>IF(Associates_Call_List_PQ!N975="","",Associates_Call_List_PQ!N975)</f>
        <v>No</v>
      </c>
      <c r="O975" s="57" t="str">
        <f>IF(Associates_Call_List_PQ!O975="","",Associates_Call_List_PQ!O975)</f>
        <v>Yes</v>
      </c>
      <c r="P975" s="57" t="str">
        <f>IF(Associates_Call_List_PQ!P975="","",Associates_Call_List_PQ!P975)</f>
        <v>N</v>
      </c>
      <c r="Q975" s="57">
        <f>IF(Associates_Call_List_PQ!Q975="","",Associates_Call_List_PQ!Q975)</f>
        <v>45995</v>
      </c>
      <c r="R975" s="57" t="str">
        <f>IF(Associates_Call_List_PQ!R975="","",Associates_Call_List_PQ!R975)</f>
        <v/>
      </c>
      <c r="S975" s="57" t="str">
        <f>IF(Associates_Call_List_PQ!S975="","",Associates_Call_List_PQ!S975)</f>
        <v/>
      </c>
      <c r="T975" s="57" t="str">
        <f>IF(Associates_Call_List_PQ!T975="","",Associates_Call_List_PQ!T975)</f>
        <v/>
      </c>
      <c r="U975" s="57" t="str">
        <f>IF(Associates_Call_List_PQ!U975="","",Associates_Call_List_PQ!U975)</f>
        <v/>
      </c>
      <c r="V975" s="68"/>
      <c r="W975" s="68" t="s">
        <v>5432</v>
      </c>
      <c r="X975" s="68"/>
      <c r="Y975" s="68"/>
      <c r="Z975" s="72"/>
    </row>
    <row r="976" spans="1:26">
      <c r="A976" s="71">
        <f>IFERROR(Associates_Call_List_PQ!A976,"")</f>
        <v>45993</v>
      </c>
      <c r="B976" s="57" t="str">
        <f>IF(Associates_Call_List_PQ!B976="","",Associates_Call_List_PQ!B976)</f>
        <v>Ghiardi</v>
      </c>
      <c r="C976" s="57" t="str">
        <f>IF(Associates_Call_List_PQ!C976="","",Associates_Call_List_PQ!C976)</f>
        <v>Roger</v>
      </c>
      <c r="D976" s="57" t="str">
        <f>IF(Associates_Call_List_PQ!D976="","",Associates_Call_List_PQ!D976)</f>
        <v>El Mirage</v>
      </c>
      <c r="E976" s="58">
        <f>IF(Associates_Call_List_PQ!E976="","",Associates_Call_List_PQ!E976)</f>
        <v>85355</v>
      </c>
      <c r="F976" s="57" t="str">
        <f>IF(Associates_Call_List_PQ!F976="","",Associates_Call_List_PQ!F976)</f>
        <v>Opposed to rate hike and solar fee. Main lines going to data centers</v>
      </c>
      <c r="G976" s="57" t="str">
        <f>IF(Associates_Call_List_PQ!G976="","",Associates_Call_List_PQ!G976)</f>
        <v>https://docket.images.azcc.gov/E000047935.pdf</v>
      </c>
      <c r="H976" s="59">
        <f>IF(Associates_Call_List_PQ!H976="","",Associates_Call_List_PQ!H976)</f>
        <v>4392248810</v>
      </c>
      <c r="I976" s="57" t="str">
        <f>IF(Associates_Call_List_PQ!I976="","",Associates_Call_List_PQ!I976)</f>
        <v>RCPw/RTOUE47</v>
      </c>
      <c r="J976" s="57" t="str">
        <f>IF(Associates_Call_List_PQ!J976="","",Associates_Call_List_PQ!J976)</f>
        <v>No</v>
      </c>
      <c r="K976" s="57" t="str">
        <f>IF(Associates_Call_List_PQ!K976="","",Associates_Call_List_PQ!K976)</f>
        <v>No</v>
      </c>
      <c r="L976" s="57" t="str">
        <f>IF(Associates_Call_List_PQ!L976="","",Associates_Call_List_PQ!L976)</f>
        <v>Yes</v>
      </c>
      <c r="M976" s="57" t="str">
        <f>IF(Associates_Call_List_PQ!M976="","",Associates_Call_List_PQ!M976)</f>
        <v>No</v>
      </c>
      <c r="N976" s="57" t="str">
        <f>IF(Associates_Call_List_PQ!N976="","",Associates_Call_List_PQ!N976)</f>
        <v>No</v>
      </c>
      <c r="O976" s="57" t="str">
        <f>IF(Associates_Call_List_PQ!O976="","",Associates_Call_List_PQ!O976)</f>
        <v>Yes</v>
      </c>
      <c r="P976" s="57" t="str">
        <f>IF(Associates_Call_List_PQ!P976="","",Associates_Call_List_PQ!P976)</f>
        <v>N</v>
      </c>
      <c r="Q976" s="57">
        <f>IF(Associates_Call_List_PQ!Q976="","",Associates_Call_List_PQ!Q976)</f>
        <v>45995</v>
      </c>
      <c r="R976" s="57" t="str">
        <f>IF(Associates_Call_List_PQ!R976="","",Associates_Call_List_PQ!R976)</f>
        <v/>
      </c>
      <c r="S976" s="57" t="str">
        <f>IF(Associates_Call_List_PQ!S976="","",Associates_Call_List_PQ!S976)</f>
        <v/>
      </c>
      <c r="T976" s="57" t="str">
        <f>IF(Associates_Call_List_PQ!T976="","",Associates_Call_List_PQ!T976)</f>
        <v/>
      </c>
      <c r="U976" s="57" t="str">
        <f>IF(Associates_Call_List_PQ!U976="","",Associates_Call_List_PQ!U976)</f>
        <v/>
      </c>
      <c r="V976" s="68" t="s">
        <v>5433</v>
      </c>
      <c r="W976" s="68">
        <v>46067</v>
      </c>
      <c r="X976" s="68" t="s">
        <v>5405</v>
      </c>
      <c r="Y976" s="68" t="s">
        <v>5461</v>
      </c>
      <c r="Z976" s="72"/>
    </row>
    <row r="977" spans="1:26">
      <c r="A977" s="71">
        <f>IFERROR(Associates_Call_List_PQ!A977,"")</f>
        <v>45994</v>
      </c>
      <c r="B977" s="57" t="str">
        <f>IF(Associates_Call_List_PQ!B977="","",Associates_Call_List_PQ!B977)</f>
        <v>Elleray</v>
      </c>
      <c r="C977" s="57" t="str">
        <f>IF(Associates_Call_List_PQ!C977="","",Associates_Call_List_PQ!C977)</f>
        <v>Philip and Vicky</v>
      </c>
      <c r="D977" s="57" t="str">
        <f>IF(Associates_Call_List_PQ!D977="","",Associates_Call_List_PQ!D977)</f>
        <v>Peoria</v>
      </c>
      <c r="E977" s="58">
        <f>IF(Associates_Call_List_PQ!E977="","",Associates_Call_List_PQ!E977)</f>
        <v>85383</v>
      </c>
      <c r="F977" s="57" t="str">
        <f>IF(Associates_Call_List_PQ!F977="","",Associates_Call_List_PQ!F977)</f>
        <v xml:space="preserve"> For a retired person and disabled veteran, that is an excessive rate increase</v>
      </c>
      <c r="G977" s="57" t="str">
        <f>IF(Associates_Call_List_PQ!G977="","",Associates_Call_List_PQ!G977)</f>
        <v>https://docket.images.azcc.gov/E000047995.pdf</v>
      </c>
      <c r="H977" s="59" t="str">
        <f>IF(Associates_Call_List_PQ!H977="","",Associates_Call_List_PQ!H977)</f>
        <v>3762361661</v>
      </c>
      <c r="I977" s="57" t="str">
        <f>IF(Associates_Call_List_PQ!I977="","",Associates_Call_List_PQ!I977)</f>
        <v>R-BASIC</v>
      </c>
      <c r="J977" s="57" t="str">
        <f>IF(Associates_Call_List_PQ!J977="","",Associates_Call_List_PQ!J977)</f>
        <v>No</v>
      </c>
      <c r="K977" s="57" t="str">
        <f>IF(Associates_Call_List_PQ!K977="","",Associates_Call_List_PQ!K977)</f>
        <v>No</v>
      </c>
      <c r="L977" s="57" t="str">
        <f>IF(Associates_Call_List_PQ!L977="","",Associates_Call_List_PQ!L977)</f>
        <v>Yes</v>
      </c>
      <c r="M977" s="57" t="str">
        <f>IF(Associates_Call_List_PQ!M977="","",Associates_Call_List_PQ!M977)</f>
        <v>No</v>
      </c>
      <c r="N977" s="57" t="str">
        <f>IF(Associates_Call_List_PQ!N977="","",Associates_Call_List_PQ!N977)</f>
        <v>No</v>
      </c>
      <c r="O977" s="57" t="str">
        <f>IF(Associates_Call_List_PQ!O977="","",Associates_Call_List_PQ!O977)</f>
        <v>Yes</v>
      </c>
      <c r="P977" s="57" t="str">
        <f>IF(Associates_Call_List_PQ!P977="","",Associates_Call_List_PQ!P977)</f>
        <v>N</v>
      </c>
      <c r="Q977" s="57">
        <f>IF(Associates_Call_List_PQ!Q977="","",Associates_Call_List_PQ!Q977)</f>
        <v>45995</v>
      </c>
      <c r="R977" s="57" t="str">
        <f>IF(Associates_Call_List_PQ!R977="","",Associates_Call_List_PQ!R977)</f>
        <v/>
      </c>
      <c r="S977" s="57" t="str">
        <f>IF(Associates_Call_List_PQ!S977="","",Associates_Call_List_PQ!S977)</f>
        <v/>
      </c>
      <c r="T977" s="57" t="str">
        <f>IF(Associates_Call_List_PQ!T977="","",Associates_Call_List_PQ!T977)</f>
        <v/>
      </c>
      <c r="U977" s="57" t="str">
        <f>IF(Associates_Call_List_PQ!U977="","",Associates_Call_List_PQ!U977)</f>
        <v/>
      </c>
      <c r="V977" s="68"/>
      <c r="W977" s="68" t="s">
        <v>5432</v>
      </c>
      <c r="X977" s="68"/>
      <c r="Y977" s="68"/>
      <c r="Z977" s="72"/>
    </row>
    <row r="978" spans="1:26">
      <c r="A978" s="71">
        <f>IFERROR(Associates_Call_List_PQ!A978,"")</f>
        <v>45994</v>
      </c>
      <c r="B978" s="57" t="str">
        <f>IF(Associates_Call_List_PQ!B978="","",Associates_Call_List_PQ!B978)</f>
        <v>Eriksen</v>
      </c>
      <c r="C978" s="57" t="str">
        <f>IF(Associates_Call_List_PQ!C978="","",Associates_Call_List_PQ!C978)</f>
        <v xml:space="preserve">Maria </v>
      </c>
      <c r="D978" s="57" t="str">
        <f>IF(Associates_Call_List_PQ!D978="","",Associates_Call_List_PQ!D978)</f>
        <v>Phoenix</v>
      </c>
      <c r="E978" s="58">
        <f>IF(Associates_Call_List_PQ!E978="","",Associates_Call_List_PQ!E978)</f>
        <v>85008</v>
      </c>
      <c r="F978" s="57" t="str">
        <f>IF(Associates_Call_List_PQ!F978="","",Associates_Call_List_PQ!F978)</f>
        <v>I would tell APS to stop increasing rates because this will affect our low-income population</v>
      </c>
      <c r="G978" s="57" t="str">
        <f>IF(Associates_Call_List_PQ!G978="","",Associates_Call_List_PQ!G978)</f>
        <v>https://docket.images.azcc.gov/0000215712.pdf</v>
      </c>
      <c r="H978" s="59" t="str">
        <f>IF(Associates_Call_List_PQ!H978="","",Associates_Call_List_PQ!H978)</f>
        <v>5070041000</v>
      </c>
      <c r="I978" s="57" t="str">
        <f>IF(Associates_Call_List_PQ!I978="","",Associates_Call_List_PQ!I978)</f>
        <v>R-BASIC</v>
      </c>
      <c r="J978" s="57" t="str">
        <f>IF(Associates_Call_List_PQ!J978="","",Associates_Call_List_PQ!J978)</f>
        <v>Yes</v>
      </c>
      <c r="K978" s="57" t="str">
        <f>IF(Associates_Call_List_PQ!K978="","",Associates_Call_List_PQ!K978)</f>
        <v>No</v>
      </c>
      <c r="L978" s="57" t="str">
        <f>IF(Associates_Call_List_PQ!L978="","",Associates_Call_List_PQ!L978)</f>
        <v>No MEP R-XS ($51.48)</v>
      </c>
      <c r="M978" s="57" t="str">
        <f>IF(Associates_Call_List_PQ!M978="","",Associates_Call_List_PQ!M978)</f>
        <v>No</v>
      </c>
      <c r="N978" s="57" t="str">
        <f>IF(Associates_Call_List_PQ!N978="","",Associates_Call_List_PQ!N978)</f>
        <v>No</v>
      </c>
      <c r="O978" s="57" t="str">
        <f>IF(Associates_Call_List_PQ!O978="","",Associates_Call_List_PQ!O978)</f>
        <v>Yes</v>
      </c>
      <c r="P978" s="57" t="str">
        <f>IF(Associates_Call_List_PQ!P978="","",Associates_Call_List_PQ!P978)</f>
        <v>N</v>
      </c>
      <c r="Q978" s="57">
        <f>IF(Associates_Call_List_PQ!Q978="","",Associates_Call_List_PQ!Q978)</f>
        <v>46000</v>
      </c>
      <c r="R978" s="57" t="str">
        <f>IF(Associates_Call_List_PQ!R978="","",Associates_Call_List_PQ!R978)</f>
        <v>Spanish letter docketed, Customer should automatically be reassigned to R-XS tier 1</v>
      </c>
      <c r="S978" s="57" t="str">
        <f>IF(Associates_Call_List_PQ!S978="","",Associates_Call_List_PQ!S978)</f>
        <v/>
      </c>
      <c r="T978" s="57" t="str">
        <f>IF(Associates_Call_List_PQ!T978="","",Associates_Call_List_PQ!T978)</f>
        <v/>
      </c>
      <c r="U978" s="57" t="str">
        <f>IF(Associates_Call_List_PQ!U978="","",Associates_Call_List_PQ!U978)</f>
        <v/>
      </c>
      <c r="V978" s="68" t="s">
        <v>5433</v>
      </c>
      <c r="W978" s="68">
        <v>46018</v>
      </c>
      <c r="X978" s="68" t="s">
        <v>5405</v>
      </c>
      <c r="Y978" s="68" t="s">
        <v>5447</v>
      </c>
      <c r="Z978" s="72" t="s">
        <v>5682</v>
      </c>
    </row>
    <row r="979" spans="1:26">
      <c r="A979" s="71">
        <f>IFERROR(Associates_Call_List_PQ!A979,"")</f>
        <v>45994</v>
      </c>
      <c r="B979" s="57" t="str">
        <f>IF(Associates_Call_List_PQ!B979="","",Associates_Call_List_PQ!B979)</f>
        <v>Minnesota</v>
      </c>
      <c r="C979" s="57" t="str">
        <f>IF(Associates_Call_List_PQ!C979="","",Associates_Call_List_PQ!C979)</f>
        <v>Dorothy</v>
      </c>
      <c r="D979" s="57" t="str">
        <f>IF(Associates_Call_List_PQ!D979="","",Associates_Call_List_PQ!D979)</f>
        <v>Surprise</v>
      </c>
      <c r="E979" s="58">
        <f>IF(Associates_Call_List_PQ!E979="","",Associates_Call_List_PQ!E979)</f>
        <v>85387</v>
      </c>
      <c r="F979" s="57" t="str">
        <f>IF(Associates_Call_List_PQ!F979="","",Associates_Call_List_PQ!F979)</f>
        <v>Fixed income, my pay doesn't go up at this rate</v>
      </c>
      <c r="G979" s="57" t="str">
        <f>IF(Associates_Call_List_PQ!G979="","",Associates_Call_List_PQ!G979)</f>
        <v>https://docket.images.azcc.gov/0000215712.pdf</v>
      </c>
      <c r="H979" s="59" t="str">
        <f>IF(Associates_Call_List_PQ!H979="","",Associates_Call_List_PQ!H979)</f>
        <v>0807760000</v>
      </c>
      <c r="I979" s="57" t="str">
        <f>IF(Associates_Call_List_PQ!I979="","",Associates_Call_List_PQ!I979)</f>
        <v>R3-47</v>
      </c>
      <c r="J979" s="57" t="str">
        <f>IF(Associates_Call_List_PQ!J979="","",Associates_Call_List_PQ!J979)</f>
        <v>No</v>
      </c>
      <c r="K979" s="57" t="str">
        <f>IF(Associates_Call_List_PQ!K979="","",Associates_Call_List_PQ!K979)</f>
        <v>No</v>
      </c>
      <c r="L979" s="57" t="str">
        <f>IF(Associates_Call_List_PQ!L979="","",Associates_Call_List_PQ!L979)</f>
        <v>Yes</v>
      </c>
      <c r="M979" s="57" t="str">
        <f>IF(Associates_Call_List_PQ!M979="","",Associates_Call_List_PQ!M979)</f>
        <v>No</v>
      </c>
      <c r="N979" s="57" t="str">
        <f>IF(Associates_Call_List_PQ!N979="","",Associates_Call_List_PQ!N979)</f>
        <v>No</v>
      </c>
      <c r="O979" s="57" t="str">
        <f>IF(Associates_Call_List_PQ!O979="","",Associates_Call_List_PQ!O979)</f>
        <v>Yes</v>
      </c>
      <c r="P979" s="57" t="str">
        <f>IF(Associates_Call_List_PQ!P979="","",Associates_Call_List_PQ!P979)</f>
        <v>N</v>
      </c>
      <c r="Q979" s="57">
        <f>IF(Associates_Call_List_PQ!Q979="","",Associates_Call_List_PQ!Q979)</f>
        <v>46000</v>
      </c>
      <c r="R979" s="57" t="str">
        <f>IF(Associates_Call_List_PQ!R979="","",Associates_Call_List_PQ!R979)</f>
        <v/>
      </c>
      <c r="S979" s="57" t="str">
        <f>IF(Associates_Call_List_PQ!S979="","",Associates_Call_List_PQ!S979)</f>
        <v/>
      </c>
      <c r="T979" s="57" t="str">
        <f>IF(Associates_Call_List_PQ!T979="","",Associates_Call_List_PQ!T979)</f>
        <v/>
      </c>
      <c r="U979" s="57" t="str">
        <f>IF(Associates_Call_List_PQ!U979="","",Associates_Call_List_PQ!U979)</f>
        <v/>
      </c>
      <c r="V979" s="68"/>
      <c r="W979" s="68" t="s">
        <v>5432</v>
      </c>
      <c r="X979" s="68"/>
      <c r="Y979" s="68"/>
      <c r="Z979" s="72"/>
    </row>
    <row r="980" spans="1:26">
      <c r="A980" s="71">
        <f>IFERROR(Associates_Call_List_PQ!A980,"")</f>
        <v>45994</v>
      </c>
      <c r="B980" s="57" t="str">
        <f>IF(Associates_Call_List_PQ!B980="","",Associates_Call_List_PQ!B980)</f>
        <v>Flores</v>
      </c>
      <c r="C980" s="57" t="str">
        <f>IF(Associates_Call_List_PQ!C980="","",Associates_Call_List_PQ!C980)</f>
        <v>Ariana</v>
      </c>
      <c r="D980" s="57" t="str">
        <f>IF(Associates_Call_List_PQ!D980="","",Associates_Call_List_PQ!D980)</f>
        <v>Phoenix</v>
      </c>
      <c r="E980" s="58">
        <f>IF(Associates_Call_List_PQ!E980="","",Associates_Call_List_PQ!E980)</f>
        <v>85029</v>
      </c>
      <c r="F980" s="57" t="str">
        <f>IF(Associates_Call_List_PQ!F980="","",Associates_Call_List_PQ!F980)</f>
        <v>Energy charges are already my 2nd largest expense</v>
      </c>
      <c r="G980" s="57" t="str">
        <f>IF(Associates_Call_List_PQ!G980="","",Associates_Call_List_PQ!G980)</f>
        <v>https://docket.images.azcc.gov/0000215712.pdf</v>
      </c>
      <c r="H980" s="59" t="str">
        <f>IF(Associates_Call_List_PQ!H980="","",Associates_Call_List_PQ!H980)</f>
        <v>1460051272</v>
      </c>
      <c r="I980" s="57" t="str">
        <f>IF(Associates_Call_List_PQ!I980="","",Associates_Call_List_PQ!I980)</f>
        <v>R-BASIC</v>
      </c>
      <c r="J980" s="57" t="str">
        <f>IF(Associates_Call_List_PQ!J980="","",Associates_Call_List_PQ!J980)</f>
        <v>No</v>
      </c>
      <c r="K980" s="57" t="str">
        <f>IF(Associates_Call_List_PQ!K980="","",Associates_Call_List_PQ!K980)</f>
        <v>No</v>
      </c>
      <c r="L980" s="57" t="str">
        <f>IF(Associates_Call_List_PQ!L980="","",Associates_Call_List_PQ!L980)</f>
        <v>Yes</v>
      </c>
      <c r="M980" s="57" t="str">
        <f>IF(Associates_Call_List_PQ!M980="","",Associates_Call_List_PQ!M980)</f>
        <v>No</v>
      </c>
      <c r="N980" s="57" t="str">
        <f>IF(Associates_Call_List_PQ!N980="","",Associates_Call_List_PQ!N980)</f>
        <v>No</v>
      </c>
      <c r="O980" s="57" t="str">
        <f>IF(Associates_Call_List_PQ!O980="","",Associates_Call_List_PQ!O980)</f>
        <v>Yes</v>
      </c>
      <c r="P980" s="57" t="str">
        <f>IF(Associates_Call_List_PQ!P980="","",Associates_Call_List_PQ!P980)</f>
        <v>N</v>
      </c>
      <c r="Q980" s="57">
        <f>IF(Associates_Call_List_PQ!Q980="","",Associates_Call_List_PQ!Q980)</f>
        <v>46000</v>
      </c>
      <c r="R980" s="57" t="str">
        <f>IF(Associates_Call_List_PQ!R980="","",Associates_Call_List_PQ!R980)</f>
        <v/>
      </c>
      <c r="S980" s="57" t="str">
        <f>IF(Associates_Call_List_PQ!S980="","",Associates_Call_List_PQ!S980)</f>
        <v/>
      </c>
      <c r="T980" s="57" t="str">
        <f>IF(Associates_Call_List_PQ!T980="","",Associates_Call_List_PQ!T980)</f>
        <v/>
      </c>
      <c r="U980" s="57" t="str">
        <f>IF(Associates_Call_List_PQ!U980="","",Associates_Call_List_PQ!U980)</f>
        <v/>
      </c>
      <c r="V980" s="68" t="s">
        <v>5433</v>
      </c>
      <c r="W980" s="68">
        <v>46060</v>
      </c>
      <c r="X980" s="68" t="s">
        <v>5405</v>
      </c>
      <c r="Y980" s="68" t="s">
        <v>5461</v>
      </c>
      <c r="Z980" s="72"/>
    </row>
    <row r="981" spans="1:26">
      <c r="A981" s="71">
        <f>IFERROR(Associates_Call_List_PQ!A981,"")</f>
        <v>45994</v>
      </c>
      <c r="B981" s="57" t="str">
        <f>IF(Associates_Call_List_PQ!B981="","",Associates_Call_List_PQ!B981)</f>
        <v>Gomez</v>
      </c>
      <c r="C981" s="57" t="str">
        <f>IF(Associates_Call_List_PQ!C981="","",Associates_Call_List_PQ!C981)</f>
        <v>Marisela</v>
      </c>
      <c r="D981" s="57" t="str">
        <f>IF(Associates_Call_List_PQ!D981="","",Associates_Call_List_PQ!D981)</f>
        <v>Phoenix</v>
      </c>
      <c r="E981" s="58">
        <f>IF(Associates_Call_List_PQ!E981="","",Associates_Call_List_PQ!E981)</f>
        <v>85013</v>
      </c>
      <c r="F981" s="57" t="str">
        <f>IF(Associates_Call_List_PQ!F981="","",Associates_Call_List_PQ!F981)</f>
        <v>Make decisions between buying groceries and cooling down my house</v>
      </c>
      <c r="G981" s="57" t="str">
        <f>IF(Associates_Call_List_PQ!G981="","",Associates_Call_List_PQ!G981)</f>
        <v>https://docket.images.azcc.gov/0000215712.pdf</v>
      </c>
      <c r="H981" s="59">
        <f>IF(Associates_Call_List_PQ!H981="","",Associates_Call_List_PQ!H981)</f>
        <v>5334816770</v>
      </c>
      <c r="I981" s="57" t="str">
        <f>IF(Associates_Call_List_PQ!I981="","",Associates_Call_List_PQ!I981)</f>
        <v>RTOU47</v>
      </c>
      <c r="J981" s="57" t="str">
        <f>IF(Associates_Call_List_PQ!J981="","",Associates_Call_List_PQ!J981)</f>
        <v>No</v>
      </c>
      <c r="K981" s="57" t="str">
        <f>IF(Associates_Call_List_PQ!K981="","",Associates_Call_List_PQ!K981)</f>
        <v>No</v>
      </c>
      <c r="L981" s="57" t="str">
        <f>IF(Associates_Call_List_PQ!L981="","",Associates_Call_List_PQ!L981)</f>
        <v>No MEP R3-47 ($116.16)</v>
      </c>
      <c r="M981" s="57" t="str">
        <f>IF(Associates_Call_List_PQ!M981="","",Associates_Call_List_PQ!M981)</f>
        <v>No</v>
      </c>
      <c r="N981" s="57" t="str">
        <f>IF(Associates_Call_List_PQ!N981="","",Associates_Call_List_PQ!N981)</f>
        <v>No</v>
      </c>
      <c r="O981" s="57" t="str">
        <f>IF(Associates_Call_List_PQ!O981="","",Associates_Call_List_PQ!O981)</f>
        <v>Yes</v>
      </c>
      <c r="P981" s="57" t="str">
        <f>IF(Associates_Call_List_PQ!P981="","",Associates_Call_List_PQ!P981)</f>
        <v/>
      </c>
      <c r="Q981" s="57">
        <f>IF(Associates_Call_List_PQ!Q981="","",Associates_Call_List_PQ!Q981)</f>
        <v>46000</v>
      </c>
      <c r="R981" s="57" t="str">
        <f>IF(Associates_Call_List_PQ!R981="","",Associates_Call_List_PQ!R981)</f>
        <v>Please contact customer regarding plan options</v>
      </c>
      <c r="S981" s="57" t="str">
        <f>IF(Associates_Call_List_PQ!S981="","",Associates_Call_List_PQ!S981)</f>
        <v/>
      </c>
      <c r="T981" s="57" t="str">
        <f>IF(Associates_Call_List_PQ!T981="","",Associates_Call_List_PQ!T981)</f>
        <v/>
      </c>
      <c r="U981" s="57" t="str">
        <f>IF(Associates_Call_List_PQ!U981="","",Associates_Call_List_PQ!U981)</f>
        <v/>
      </c>
      <c r="V981" s="68" t="s">
        <v>5433</v>
      </c>
      <c r="W981" s="68">
        <v>46039</v>
      </c>
      <c r="X981" s="68" t="s">
        <v>5434</v>
      </c>
      <c r="Y981" s="68"/>
      <c r="Z981" s="72" t="s">
        <v>5449</v>
      </c>
    </row>
    <row r="982" spans="1:26">
      <c r="A982" s="71">
        <f>IFERROR(Associates_Call_List_PQ!A982,"")</f>
        <v>45994</v>
      </c>
      <c r="B982" s="57" t="str">
        <f>IF(Associates_Call_List_PQ!B982="","",Associates_Call_List_PQ!B982)</f>
        <v>Ulin</v>
      </c>
      <c r="C982" s="57" t="str">
        <f>IF(Associates_Call_List_PQ!C982="","",Associates_Call_List_PQ!C982)</f>
        <v>Maxwell</v>
      </c>
      <c r="D982" s="57" t="str">
        <f>IF(Associates_Call_List_PQ!D982="","",Associates_Call_List_PQ!D982)</f>
        <v>Phoenix</v>
      </c>
      <c r="E982" s="58">
        <f>IF(Associates_Call_List_PQ!E982="","",Associates_Call_List_PQ!E982)</f>
        <v>85022</v>
      </c>
      <c r="F982" s="57" t="str">
        <f>IF(Associates_Call_List_PQ!F982="","",Associates_Call_List_PQ!F982)</f>
        <v>Unacceptable to me that the ACC would approve such an enormous rate hike</v>
      </c>
      <c r="G982" s="57" t="str">
        <f>IF(Associates_Call_List_PQ!G982="","",Associates_Call_List_PQ!G982)</f>
        <v>https://docket.images.azcc.gov/0000215712.pdf</v>
      </c>
      <c r="H982" s="59" t="str">
        <f>IF(Associates_Call_List_PQ!H982="","",Associates_Call_List_PQ!H982)</f>
        <v>1845644568</v>
      </c>
      <c r="I982" s="57" t="str">
        <f>IF(Associates_Call_List_PQ!I982="","",Associates_Call_List_PQ!I982)</f>
        <v>R-XS</v>
      </c>
      <c r="J982" s="57" t="str">
        <f>IF(Associates_Call_List_PQ!J982="","",Associates_Call_List_PQ!J982)</f>
        <v>No</v>
      </c>
      <c r="K982" s="57" t="str">
        <f>IF(Associates_Call_List_PQ!K982="","",Associates_Call_List_PQ!K982)</f>
        <v>No</v>
      </c>
      <c r="L982" s="57" t="str">
        <f>IF(Associates_Call_List_PQ!L982="","",Associates_Call_List_PQ!L982)</f>
        <v>No MEP R3-47 ($8.47)</v>
      </c>
      <c r="M982" s="57" t="str">
        <f>IF(Associates_Call_List_PQ!M982="","",Associates_Call_List_PQ!M982)</f>
        <v>No</v>
      </c>
      <c r="N982" s="57" t="str">
        <f>IF(Associates_Call_List_PQ!N982="","",Associates_Call_List_PQ!N982)</f>
        <v>No</v>
      </c>
      <c r="O982" s="57" t="str">
        <f>IF(Associates_Call_List_PQ!O982="","",Associates_Call_List_PQ!O982)</f>
        <v>Yes</v>
      </c>
      <c r="P982" s="57" t="str">
        <f>IF(Associates_Call_List_PQ!P982="","",Associates_Call_List_PQ!P982)</f>
        <v>N</v>
      </c>
      <c r="Q982" s="57">
        <f>IF(Associates_Call_List_PQ!Q982="","",Associates_Call_List_PQ!Q982)</f>
        <v>46000</v>
      </c>
      <c r="R982" s="57" t="str">
        <f>IF(Associates_Call_List_PQ!R982="","",Associates_Call_List_PQ!R982)</f>
        <v/>
      </c>
      <c r="S982" s="57" t="str">
        <f>IF(Associates_Call_List_PQ!S982="","",Associates_Call_List_PQ!S982)</f>
        <v/>
      </c>
      <c r="T982" s="57" t="str">
        <f>IF(Associates_Call_List_PQ!T982="","",Associates_Call_List_PQ!T982)</f>
        <v/>
      </c>
      <c r="U982" s="57" t="str">
        <f>IF(Associates_Call_List_PQ!U982="","",Associates_Call_List_PQ!U982)</f>
        <v/>
      </c>
      <c r="V982" s="68" t="s">
        <v>5433</v>
      </c>
      <c r="W982" s="68">
        <v>46018</v>
      </c>
      <c r="X982" s="68" t="s">
        <v>5405</v>
      </c>
      <c r="Y982" s="68" t="s">
        <v>5461</v>
      </c>
      <c r="Z982" s="72" t="s">
        <v>5683</v>
      </c>
    </row>
    <row r="983" spans="1:26">
      <c r="A983" s="71">
        <f>IFERROR(Associates_Call_List_PQ!A983,"")</f>
        <v>45994</v>
      </c>
      <c r="B983" s="57" t="str">
        <f>IF(Associates_Call_List_PQ!B983="","",Associates_Call_List_PQ!B983)</f>
        <v>Ballmann</v>
      </c>
      <c r="C983" s="57" t="str">
        <f>IF(Associates_Call_List_PQ!C983="","",Associates_Call_List_PQ!C983)</f>
        <v>Beth</v>
      </c>
      <c r="D983" s="57" t="str">
        <f>IF(Associates_Call_List_PQ!D983="","",Associates_Call_List_PQ!D983)</f>
        <v>Cave Creek</v>
      </c>
      <c r="E983" s="58" t="str">
        <f>IF(Associates_Call_List_PQ!E983="","",Associates_Call_List_PQ!E983)</f>
        <v/>
      </c>
      <c r="F983" s="57" t="str">
        <f>IF(Associates_Call_List_PQ!F983="","",Associates_Call_List_PQ!F983)</f>
        <v>Seek solutions that will lower rates for all of Arizona</v>
      </c>
      <c r="G983" s="57" t="str">
        <f>IF(Associates_Call_List_PQ!G983="","",Associates_Call_List_PQ!G983)</f>
        <v>https://docket.images.azcc.gov/0000215712.pdf</v>
      </c>
      <c r="H983" s="59" t="str">
        <f>IF(Associates_Call_List_PQ!H983="","",Associates_Call_List_PQ!H983)</f>
        <v>8351131000</v>
      </c>
      <c r="I983" s="57" t="str">
        <f>IF(Associates_Call_List_PQ!I983="","",Associates_Call_List_PQ!I983)</f>
        <v>R3-47</v>
      </c>
      <c r="J983" s="57" t="str">
        <f>IF(Associates_Call_List_PQ!J983="","",Associates_Call_List_PQ!J983)</f>
        <v>No</v>
      </c>
      <c r="K983" s="57" t="str">
        <f>IF(Associates_Call_List_PQ!K983="","",Associates_Call_List_PQ!K983)</f>
        <v>No</v>
      </c>
      <c r="L983" s="57" t="str">
        <f>IF(Associates_Call_List_PQ!L983="","",Associates_Call_List_PQ!L983)</f>
        <v>Yes</v>
      </c>
      <c r="M983" s="57" t="str">
        <f>IF(Associates_Call_List_PQ!M983="","",Associates_Call_List_PQ!M983)</f>
        <v>No</v>
      </c>
      <c r="N983" s="57" t="str">
        <f>IF(Associates_Call_List_PQ!N983="","",Associates_Call_List_PQ!N983)</f>
        <v>No</v>
      </c>
      <c r="O983" s="57" t="str">
        <f>IF(Associates_Call_List_PQ!O983="","",Associates_Call_List_PQ!O983)</f>
        <v>Yes</v>
      </c>
      <c r="P983" s="57" t="str">
        <f>IF(Associates_Call_List_PQ!P983="","",Associates_Call_List_PQ!P983)</f>
        <v>N</v>
      </c>
      <c r="Q983" s="57">
        <f>IF(Associates_Call_List_PQ!Q983="","",Associates_Call_List_PQ!Q983)</f>
        <v>46000</v>
      </c>
      <c r="R983" s="57" t="str">
        <f>IF(Associates_Call_List_PQ!R983="","",Associates_Call_List_PQ!R983)</f>
        <v/>
      </c>
      <c r="S983" s="57" t="str">
        <f>IF(Associates_Call_List_PQ!S983="","",Associates_Call_List_PQ!S983)</f>
        <v/>
      </c>
      <c r="T983" s="57" t="str">
        <f>IF(Associates_Call_List_PQ!T983="","",Associates_Call_List_PQ!T983)</f>
        <v/>
      </c>
      <c r="U983" s="57" t="str">
        <f>IF(Associates_Call_List_PQ!U983="","",Associates_Call_List_PQ!U983)</f>
        <v/>
      </c>
      <c r="V983" s="68"/>
      <c r="W983" s="68" t="s">
        <v>5432</v>
      </c>
      <c r="X983" s="68"/>
      <c r="Y983" s="68"/>
      <c r="Z983" s="72"/>
    </row>
    <row r="984" spans="1:26">
      <c r="A984" s="71">
        <f>IFERROR(Associates_Call_List_PQ!A984,"")</f>
        <v>45994</v>
      </c>
      <c r="B984" s="57" t="str">
        <f>IF(Associates_Call_List_PQ!B984="","",Associates_Call_List_PQ!B984)</f>
        <v>Unknown</v>
      </c>
      <c r="C984" s="57" t="str">
        <f>IF(Associates_Call_List_PQ!C984="","",Associates_Call_List_PQ!C984)</f>
        <v>Elva</v>
      </c>
      <c r="D984" s="57" t="str">
        <f>IF(Associates_Call_List_PQ!D984="","",Associates_Call_List_PQ!D984)</f>
        <v>Unknown</v>
      </c>
      <c r="E984" s="58" t="str">
        <f>IF(Associates_Call_List_PQ!E984="","",Associates_Call_List_PQ!E984)</f>
        <v>Unknown</v>
      </c>
      <c r="F984" s="57" t="str">
        <f>IF(Associates_Call_List_PQ!F984="","",Associates_Call_List_PQ!F984)</f>
        <v/>
      </c>
      <c r="G984" s="57" t="str">
        <f>IF(Associates_Call_List_PQ!G984="","",Associates_Call_List_PQ!G984)</f>
        <v>https://docket.images.azcc.gov/0000215712.pdf</v>
      </c>
      <c r="H984" s="59" t="str">
        <f>IF(Associates_Call_List_PQ!H984="","",Associates_Call_List_PQ!H984)</f>
        <v/>
      </c>
      <c r="I984" s="57" t="str">
        <f>IF(Associates_Call_List_PQ!I984="","",Associates_Call_List_PQ!I984)</f>
        <v/>
      </c>
      <c r="J984" s="57" t="str">
        <f>IF(Associates_Call_List_PQ!J984="","",Associates_Call_List_PQ!J984)</f>
        <v/>
      </c>
      <c r="K984" s="57" t="str">
        <f>IF(Associates_Call_List_PQ!K984="","",Associates_Call_List_PQ!K984)</f>
        <v/>
      </c>
      <c r="L984" s="57" t="str">
        <f>IF(Associates_Call_List_PQ!L984="","",Associates_Call_List_PQ!L984)</f>
        <v/>
      </c>
      <c r="M984" s="57" t="str">
        <f>IF(Associates_Call_List_PQ!M984="","",Associates_Call_List_PQ!M984)</f>
        <v/>
      </c>
      <c r="N984" s="57" t="str">
        <f>IF(Associates_Call_List_PQ!N984="","",Associates_Call_List_PQ!N984)</f>
        <v/>
      </c>
      <c r="O984" s="57" t="str">
        <f>IF(Associates_Call_List_PQ!O984="","",Associates_Call_List_PQ!O984)</f>
        <v/>
      </c>
      <c r="P984" s="57" t="str">
        <f>IF(Associates_Call_List_PQ!P984="","",Associates_Call_List_PQ!P984)</f>
        <v/>
      </c>
      <c r="Q984" s="57" t="str">
        <f>IF(Associates_Call_List_PQ!Q984="","",Associates_Call_List_PQ!Q984)</f>
        <v/>
      </c>
      <c r="R984" s="57" t="str">
        <f>IF(Associates_Call_List_PQ!R984="","",Associates_Call_List_PQ!R984)</f>
        <v/>
      </c>
      <c r="S984" s="57" t="str">
        <f>IF(Associates_Call_List_PQ!S984="","",Associates_Call_List_PQ!S984)</f>
        <v/>
      </c>
      <c r="T984" s="57" t="str">
        <f>IF(Associates_Call_List_PQ!T984="","",Associates_Call_List_PQ!T984)</f>
        <v/>
      </c>
      <c r="U984" s="57" t="str">
        <f>IF(Associates_Call_List_PQ!U984="","",Associates_Call_List_PQ!U984)</f>
        <v/>
      </c>
      <c r="V984" s="68" t="s">
        <v>5433</v>
      </c>
      <c r="W984" s="68">
        <v>46060</v>
      </c>
      <c r="X984" s="68" t="s">
        <v>5405</v>
      </c>
      <c r="Y984" s="68" t="s">
        <v>5463</v>
      </c>
      <c r="Z984" s="72" t="s">
        <v>5684</v>
      </c>
    </row>
    <row r="985" spans="1:26">
      <c r="A985" s="71">
        <f>IFERROR(Associates_Call_List_PQ!A985,"")</f>
        <v>45995</v>
      </c>
      <c r="B985" s="57" t="str">
        <f>IF(Associates_Call_List_PQ!B985="","",Associates_Call_List_PQ!B985)</f>
        <v>Twitchell</v>
      </c>
      <c r="C985" s="57" t="str">
        <f>IF(Associates_Call_List_PQ!C985="","",Associates_Call_List_PQ!C985)</f>
        <v xml:space="preserve">Melissa </v>
      </c>
      <c r="D985" s="57" t="str">
        <f>IF(Associates_Call_List_PQ!D985="","",Associates_Call_List_PQ!D985)</f>
        <v>Surprise</v>
      </c>
      <c r="E985" s="58">
        <f>IF(Associates_Call_List_PQ!E985="","",Associates_Call_List_PQ!E985)</f>
        <v>85379</v>
      </c>
      <c r="F985" s="57" t="str">
        <f>IF(Associates_Call_List_PQ!F985="","",Associates_Call_List_PQ!F985)</f>
        <v>Seems like it would be absolutely crippling if it goes any higher.</v>
      </c>
      <c r="G985" s="57" t="str">
        <f>IF(Associates_Call_List_PQ!G985="","",Associates_Call_List_PQ!G985)</f>
        <v>https://docket.images.azcc.gov/E000048049.pdf</v>
      </c>
      <c r="H985" s="59" t="str">
        <f>IF(Associates_Call_List_PQ!H985="","",Associates_Call_List_PQ!H985)</f>
        <v>Multiple Accts</v>
      </c>
      <c r="I985" s="57" t="str">
        <f>IF(Associates_Call_List_PQ!I985="","",Associates_Call_List_PQ!I985)</f>
        <v>R-XS and EPR6w/ET-2</v>
      </c>
      <c r="J985" s="57" t="str">
        <f>IF(Associates_Call_List_PQ!J985="","",Associates_Call_List_PQ!J985)</f>
        <v>No</v>
      </c>
      <c r="K985" s="57" t="str">
        <f>IF(Associates_Call_List_PQ!K985="","",Associates_Call_List_PQ!K985)</f>
        <v>No</v>
      </c>
      <c r="L985" s="57" t="str">
        <f>IF(Associates_Call_List_PQ!L985="","",Associates_Call_List_PQ!L985)</f>
        <v>Frozen Rate</v>
      </c>
      <c r="M985" s="57" t="str">
        <f>IF(Associates_Call_List_PQ!M985="","",Associates_Call_List_PQ!M985)</f>
        <v>No</v>
      </c>
      <c r="N985" s="57" t="str">
        <f>IF(Associates_Call_List_PQ!N985="","",Associates_Call_List_PQ!N985)</f>
        <v>No</v>
      </c>
      <c r="O985" s="57" t="str">
        <f>IF(Associates_Call_List_PQ!O985="","",Associates_Call_List_PQ!O985)</f>
        <v>Yes</v>
      </c>
      <c r="P985" s="57" t="str">
        <f>IF(Associates_Call_List_PQ!P985="","",Associates_Call_List_PQ!P985)</f>
        <v>N</v>
      </c>
      <c r="Q985" s="57">
        <f>IF(Associates_Call_List_PQ!Q985="","",Associates_Call_List_PQ!Q985)</f>
        <v>46000</v>
      </c>
      <c r="R985" s="57" t="str">
        <f>IF(Associates_Call_List_PQ!R985="","",Associates_Call_List_PQ!R985)</f>
        <v/>
      </c>
      <c r="S985" s="57" t="str">
        <f>IF(Associates_Call_List_PQ!S985="","",Associates_Call_List_PQ!S985)</f>
        <v/>
      </c>
      <c r="T985" s="57" t="str">
        <f>IF(Associates_Call_List_PQ!T985="","",Associates_Call_List_PQ!T985)</f>
        <v/>
      </c>
      <c r="U985" s="57" t="str">
        <f>IF(Associates_Call_List_PQ!U985="","",Associates_Call_List_PQ!U985)</f>
        <v/>
      </c>
      <c r="V985" s="68"/>
      <c r="W985" s="68" t="s">
        <v>5432</v>
      </c>
      <c r="X985" s="68"/>
      <c r="Y985" s="68"/>
      <c r="Z985" s="72"/>
    </row>
    <row r="986" spans="1:26">
      <c r="A986" s="71">
        <f>IFERROR(Associates_Call_List_PQ!A986,"")</f>
        <v>45996</v>
      </c>
      <c r="B986" s="57" t="str">
        <f>IF(Associates_Call_List_PQ!B986="","",Associates_Call_List_PQ!B986)</f>
        <v>Marrapodi</v>
      </c>
      <c r="C986" s="57" t="str">
        <f>IF(Associates_Call_List_PQ!C986="","",Associates_Call_List_PQ!C986)</f>
        <v>Anthony</v>
      </c>
      <c r="D986" s="57" t="str">
        <f>IF(Associates_Call_List_PQ!D986="","",Associates_Call_List_PQ!D986)</f>
        <v>Phoenix</v>
      </c>
      <c r="E986" s="58">
        <f>IF(Associates_Call_List_PQ!E986="","",Associates_Call_List_PQ!E986)</f>
        <v>85032</v>
      </c>
      <c r="F986" s="57" t="str">
        <f>IF(Associates_Call_List_PQ!F986="","",Associates_Call_List_PQ!F986)</f>
        <v>I believe this request is unjustified and harmful to ordinary ratepayers</v>
      </c>
      <c r="G986" s="57" t="str">
        <f>IF(Associates_Call_List_PQ!G986="","",Associates_Call_List_PQ!G986)</f>
        <v>https://docket.images.azcc.gov/E000048069.pdf</v>
      </c>
      <c r="H986" s="59" t="str">
        <f>IF(Associates_Call_List_PQ!H986="","",Associates_Call_List_PQ!H986)</f>
        <v>0895261000</v>
      </c>
      <c r="I986" s="57" t="str">
        <f>IF(Associates_Call_List_PQ!I986="","",Associates_Call_List_PQ!I986)</f>
        <v>R-BASICL</v>
      </c>
      <c r="J986" s="57" t="str">
        <f>IF(Associates_Call_List_PQ!J986="","",Associates_Call_List_PQ!J986)</f>
        <v>No</v>
      </c>
      <c r="K986" s="57" t="str">
        <f>IF(Associates_Call_List_PQ!K986="","",Associates_Call_List_PQ!K986)</f>
        <v>No</v>
      </c>
      <c r="L986" s="57" t="str">
        <f>IF(Associates_Call_List_PQ!L986="","",Associates_Call_List_PQ!L986)</f>
        <v>No MEP R3-47 ($139.25)</v>
      </c>
      <c r="M986" s="57" t="str">
        <f>IF(Associates_Call_List_PQ!M986="","",Associates_Call_List_PQ!M986)</f>
        <v>No</v>
      </c>
      <c r="N986" s="57" t="str">
        <f>IF(Associates_Call_List_PQ!N986="","",Associates_Call_List_PQ!N986)</f>
        <v>No</v>
      </c>
      <c r="O986" s="57" t="str">
        <f>IF(Associates_Call_List_PQ!O986="","",Associates_Call_List_PQ!O986)</f>
        <v>Yes</v>
      </c>
      <c r="P986" s="57" t="str">
        <f>IF(Associates_Call_List_PQ!P986="","",Associates_Call_List_PQ!P986)</f>
        <v/>
      </c>
      <c r="Q986" s="57">
        <f>IF(Associates_Call_List_PQ!Q986="","",Associates_Call_List_PQ!Q986)</f>
        <v>46000</v>
      </c>
      <c r="R986" s="57" t="str">
        <f>IF(Associates_Call_List_PQ!R986="","",Associates_Call_List_PQ!R986)</f>
        <v>Please contact customer regarding plan options</v>
      </c>
      <c r="S986" s="57" t="str">
        <f>IF(Associates_Call_List_PQ!S986="","",Associates_Call_List_PQ!S986)</f>
        <v/>
      </c>
      <c r="T986" s="57" t="str">
        <f>IF(Associates_Call_List_PQ!T986="","",Associates_Call_List_PQ!T986)</f>
        <v/>
      </c>
      <c r="U986" s="57" t="str">
        <f>IF(Associates_Call_List_PQ!U986="","",Associates_Call_List_PQ!U986)</f>
        <v/>
      </c>
      <c r="V986" s="68" t="s">
        <v>5433</v>
      </c>
      <c r="W986" s="68">
        <v>46018</v>
      </c>
      <c r="X986" s="68" t="s">
        <v>5434</v>
      </c>
      <c r="Y986" s="68" t="s">
        <v>5461</v>
      </c>
      <c r="Z986" s="72" t="s">
        <v>5685</v>
      </c>
    </row>
    <row r="987" spans="1:26">
      <c r="A987" s="71">
        <f>IFERROR(Associates_Call_List_PQ!A987,"")</f>
        <v>46003</v>
      </c>
      <c r="B987" s="57" t="str">
        <f>IF(Associates_Call_List_PQ!B987="","",Associates_Call_List_PQ!B987)</f>
        <v>Ranchhod</v>
      </c>
      <c r="C987" s="57" t="str">
        <f>IF(Associates_Call_List_PQ!C987="","",Associates_Call_List_PQ!C987)</f>
        <v>Kamal</v>
      </c>
      <c r="D987" s="57" t="str">
        <f>IF(Associates_Call_List_PQ!D987="","",Associates_Call_List_PQ!D987)</f>
        <v>Buckeye</v>
      </c>
      <c r="E987" s="58">
        <f>IF(Associates_Call_List_PQ!E987="","",Associates_Call_List_PQ!E987)</f>
        <v>85396</v>
      </c>
      <c r="F987" s="57" t="str">
        <f>IF(Associates_Call_List_PQ!F987="","",Associates_Call_List_PQ!F987)</f>
        <v>Opposed: Retired on fixed income</v>
      </c>
      <c r="G987" s="57" t="str">
        <f>IF(Associates_Call_List_PQ!G987="","",Associates_Call_List_PQ!G987)</f>
        <v>https://docket.images.azcc.gov/E000048180.pdf</v>
      </c>
      <c r="H987" s="59" t="str">
        <f>IF(Associates_Call_List_PQ!H987="","",Associates_Call_List_PQ!H987)</f>
        <v>7571491082</v>
      </c>
      <c r="I987" s="57" t="str">
        <f>IF(Associates_Call_List_PQ!I987="","",Associates_Call_List_PQ!I987)</f>
        <v>RCPw/R3-47</v>
      </c>
      <c r="J987" s="57" t="str">
        <f>IF(Associates_Call_List_PQ!J987="","",Associates_Call_List_PQ!J987)</f>
        <v>No</v>
      </c>
      <c r="K987" s="57" t="str">
        <f>IF(Associates_Call_List_PQ!K987="","",Associates_Call_List_PQ!K987)</f>
        <v>No</v>
      </c>
      <c r="L987" s="57" t="str">
        <f>IF(Associates_Call_List_PQ!L987="","",Associates_Call_List_PQ!L987)</f>
        <v>Yes</v>
      </c>
      <c r="M987" s="57" t="str">
        <f>IF(Associates_Call_List_PQ!M987="","",Associates_Call_List_PQ!M987)</f>
        <v>No</v>
      </c>
      <c r="N987" s="57" t="str">
        <f>IF(Associates_Call_List_PQ!N987="","",Associates_Call_List_PQ!N987)</f>
        <v>No</v>
      </c>
      <c r="O987" s="57" t="str">
        <f>IF(Associates_Call_List_PQ!O987="","",Associates_Call_List_PQ!O987)</f>
        <v>Yes</v>
      </c>
      <c r="P987" s="57" t="str">
        <f>IF(Associates_Call_List_PQ!P987="","",Associates_Call_List_PQ!P987)</f>
        <v>N</v>
      </c>
      <c r="Q987" s="57">
        <f>IF(Associates_Call_List_PQ!Q987="","",Associates_Call_List_PQ!Q987)</f>
        <v>46008</v>
      </c>
      <c r="R987" s="57" t="str">
        <f>IF(Associates_Call_List_PQ!R987="","",Associates_Call_List_PQ!R987)</f>
        <v/>
      </c>
      <c r="S987" s="57" t="str">
        <f>IF(Associates_Call_List_PQ!S987="","",Associates_Call_List_PQ!S987)</f>
        <v/>
      </c>
      <c r="T987" s="57" t="str">
        <f>IF(Associates_Call_List_PQ!T987="","",Associates_Call_List_PQ!T987)</f>
        <v/>
      </c>
      <c r="U987" s="57" t="str">
        <f>IF(Associates_Call_List_PQ!U987="","",Associates_Call_List_PQ!U987)</f>
        <v/>
      </c>
      <c r="V987" s="68"/>
      <c r="W987" s="68" t="s">
        <v>5432</v>
      </c>
      <c r="X987" s="68"/>
      <c r="Y987" s="68"/>
      <c r="Z987" s="72"/>
    </row>
    <row r="988" spans="1:26">
      <c r="A988" s="71">
        <f>IFERROR(Associates_Call_List_PQ!A988,"")</f>
        <v>46003</v>
      </c>
      <c r="B988" s="57" t="str">
        <f>IF(Associates_Call_List_PQ!B988="","",Associates_Call_List_PQ!B988)</f>
        <v>Saez</v>
      </c>
      <c r="C988" s="57" t="str">
        <f>IF(Associates_Call_List_PQ!C988="","",Associates_Call_List_PQ!C988)</f>
        <v>Elia</v>
      </c>
      <c r="D988" s="57" t="str">
        <f>IF(Associates_Call_List_PQ!D988="","",Associates_Call_List_PQ!D988)</f>
        <v>Buckeye</v>
      </c>
      <c r="E988" s="58">
        <f>IF(Associates_Call_List_PQ!E988="","",Associates_Call_List_PQ!E988)</f>
        <v>85396</v>
      </c>
      <c r="F988" s="57" t="str">
        <f>IF(Associates_Call_List_PQ!F988="","",Associates_Call_List_PQ!F988)</f>
        <v>We need the ACC to stand up for Arizona households</v>
      </c>
      <c r="G988" s="57" t="str">
        <f>IF(Associates_Call_List_PQ!G988="","",Associates_Call_List_PQ!G988)</f>
        <v>https://docket.images.azcc.gov/E000048180.pdf</v>
      </c>
      <c r="H988" s="59" t="str">
        <f>IF(Associates_Call_List_PQ!H988="","",Associates_Call_List_PQ!H988)</f>
        <v>4776840675</v>
      </c>
      <c r="I988" s="57" t="str">
        <f>IF(Associates_Call_List_PQ!I988="","",Associates_Call_List_PQ!I988)</f>
        <v>RCPw/TOUE-47</v>
      </c>
      <c r="J988" s="57" t="str">
        <f>IF(Associates_Call_List_PQ!J988="","",Associates_Call_List_PQ!J988)</f>
        <v>No</v>
      </c>
      <c r="K988" s="57" t="str">
        <f>IF(Associates_Call_List_PQ!K988="","",Associates_Call_List_PQ!K988)</f>
        <v>No</v>
      </c>
      <c r="L988" s="57" t="str">
        <f>IF(Associates_Call_List_PQ!L988="","",Associates_Call_List_PQ!L988)</f>
        <v>Yes</v>
      </c>
      <c r="M988" s="57" t="str">
        <f>IF(Associates_Call_List_PQ!M988="","",Associates_Call_List_PQ!M988)</f>
        <v>No</v>
      </c>
      <c r="N988" s="57" t="str">
        <f>IF(Associates_Call_List_PQ!N988="","",Associates_Call_List_PQ!N988)</f>
        <v>No</v>
      </c>
      <c r="O988" s="57" t="str">
        <f>IF(Associates_Call_List_PQ!O988="","",Associates_Call_List_PQ!O988)</f>
        <v>Yes</v>
      </c>
      <c r="P988" s="57" t="str">
        <f>IF(Associates_Call_List_PQ!P988="","",Associates_Call_List_PQ!P988)</f>
        <v>N</v>
      </c>
      <c r="Q988" s="57">
        <f>IF(Associates_Call_List_PQ!Q988="","",Associates_Call_List_PQ!Q988)</f>
        <v>46008</v>
      </c>
      <c r="R988" s="57" t="str">
        <f>IF(Associates_Call_List_PQ!R988="","",Associates_Call_List_PQ!R988)</f>
        <v/>
      </c>
      <c r="S988" s="57" t="str">
        <f>IF(Associates_Call_List_PQ!S988="","",Associates_Call_List_PQ!S988)</f>
        <v/>
      </c>
      <c r="T988" s="57" t="str">
        <f>IF(Associates_Call_List_PQ!T988="","",Associates_Call_List_PQ!T988)</f>
        <v/>
      </c>
      <c r="U988" s="57" t="str">
        <f>IF(Associates_Call_List_PQ!U988="","",Associates_Call_List_PQ!U988)</f>
        <v/>
      </c>
      <c r="V988" s="68" t="s">
        <v>5433</v>
      </c>
      <c r="W988" s="68">
        <v>46060</v>
      </c>
      <c r="X988" s="68" t="s">
        <v>5434</v>
      </c>
      <c r="Y988" s="68"/>
      <c r="Z988" s="72" t="s">
        <v>5446</v>
      </c>
    </row>
    <row r="989" spans="1:26">
      <c r="A989" s="71">
        <f>IFERROR(Associates_Call_List_PQ!A989,"")</f>
        <v>46003</v>
      </c>
      <c r="B989" s="57" t="str">
        <f>IF(Associates_Call_List_PQ!B989="","",Associates_Call_List_PQ!B989)</f>
        <v>Barrett</v>
      </c>
      <c r="C989" s="57" t="str">
        <f>IF(Associates_Call_List_PQ!C989="","",Associates_Call_List_PQ!C989)</f>
        <v>Thomas</v>
      </c>
      <c r="D989" s="57" t="str">
        <f>IF(Associates_Call_List_PQ!D989="","",Associates_Call_List_PQ!D989)</f>
        <v>Buckeye</v>
      </c>
      <c r="E989" s="58">
        <f>IF(Associates_Call_List_PQ!E989="","",Associates_Call_List_PQ!E989)</f>
        <v>85396</v>
      </c>
      <c r="F989" s="57" t="str">
        <f>IF(Associates_Call_List_PQ!F989="","",Associates_Call_List_PQ!F989)</f>
        <v>On a fixed income- this rate increase is unjustified</v>
      </c>
      <c r="G989" s="57" t="str">
        <f>IF(Associates_Call_List_PQ!G989="","",Associates_Call_List_PQ!G989)</f>
        <v>https://docket.images.azcc.gov/E000048180.pdf</v>
      </c>
      <c r="H989" s="59" t="str">
        <f>IF(Associates_Call_List_PQ!H989="","",Associates_Call_List_PQ!H989)</f>
        <v>6559521559</v>
      </c>
      <c r="I989" s="57" t="str">
        <f>IF(Associates_Call_List_PQ!I989="","",Associates_Call_List_PQ!I989)</f>
        <v>RCPw/R2</v>
      </c>
      <c r="J989" s="57" t="str">
        <f>IF(Associates_Call_List_PQ!J989="","",Associates_Call_List_PQ!J989)</f>
        <v>No</v>
      </c>
      <c r="K989" s="57" t="str">
        <f>IF(Associates_Call_List_PQ!K989="","",Associates_Call_List_PQ!K989)</f>
        <v>No</v>
      </c>
      <c r="L989" s="57" t="str">
        <f>IF(Associates_Call_List_PQ!L989="","",Associates_Call_List_PQ!L989)</f>
        <v>Frozen Plan</v>
      </c>
      <c r="M989" s="57" t="str">
        <f>IF(Associates_Call_List_PQ!M989="","",Associates_Call_List_PQ!M989)</f>
        <v>No</v>
      </c>
      <c r="N989" s="57" t="str">
        <f>IF(Associates_Call_List_PQ!N989="","",Associates_Call_List_PQ!N989)</f>
        <v>No</v>
      </c>
      <c r="O989" s="57" t="str">
        <f>IF(Associates_Call_List_PQ!O989="","",Associates_Call_List_PQ!O989)</f>
        <v>Yes</v>
      </c>
      <c r="P989" s="57" t="str">
        <f>IF(Associates_Call_List_PQ!P989="","",Associates_Call_List_PQ!P989)</f>
        <v>N</v>
      </c>
      <c r="Q989" s="57">
        <f>IF(Associates_Call_List_PQ!Q989="","",Associates_Call_List_PQ!Q989)</f>
        <v>46008</v>
      </c>
      <c r="R989" s="57" t="str">
        <f>IF(Associates_Call_List_PQ!R989="","",Associates_Call_List_PQ!R989)</f>
        <v/>
      </c>
      <c r="S989" s="57" t="str">
        <f>IF(Associates_Call_List_PQ!S989="","",Associates_Call_List_PQ!S989)</f>
        <v/>
      </c>
      <c r="T989" s="57" t="str">
        <f>IF(Associates_Call_List_PQ!T989="","",Associates_Call_List_PQ!T989)</f>
        <v/>
      </c>
      <c r="U989" s="57" t="str">
        <f>IF(Associates_Call_List_PQ!U989="","",Associates_Call_List_PQ!U989)</f>
        <v/>
      </c>
      <c r="V989" s="68"/>
      <c r="W989" s="68" t="s">
        <v>5432</v>
      </c>
      <c r="X989" s="68"/>
      <c r="Y989" s="68"/>
      <c r="Z989" s="72"/>
    </row>
    <row r="990" spans="1:26">
      <c r="A990" s="71">
        <f>IFERROR(Associates_Call_List_PQ!A990,"")</f>
        <v>46006</v>
      </c>
      <c r="B990" s="57" t="str">
        <f>IF(Associates_Call_List_PQ!B990="","",Associates_Call_List_PQ!B990)</f>
        <v>Jones</v>
      </c>
      <c r="C990" s="57" t="str">
        <f>IF(Associates_Call_List_PQ!C990="","",Associates_Call_List_PQ!C990)</f>
        <v>Michael</v>
      </c>
      <c r="D990" s="57" t="str">
        <f>IF(Associates_Call_List_PQ!D990="","",Associates_Call_List_PQ!D990)</f>
        <v>Chino Valley</v>
      </c>
      <c r="E990" s="58">
        <f>IF(Associates_Call_List_PQ!E990="","",Associates_Call_List_PQ!E990)</f>
        <v>86323</v>
      </c>
      <c r="F990" s="57" t="str">
        <f>IF(Associates_Call_List_PQ!F990="","",Associates_Call_List_PQ!F990)</f>
        <v>Opposed - against solar and wind, only reliable sources are nuclear, hydro-electric, natural gas and coal.</v>
      </c>
      <c r="G990" s="57" t="str">
        <f>IF(Associates_Call_List_PQ!G990="","",Associates_Call_List_PQ!G990)</f>
        <v>https://docket.images.azcc.gov/E000048206.pdf</v>
      </c>
      <c r="H990" s="59" t="str">
        <f>IF(Associates_Call_List_PQ!H990="","",Associates_Call_List_PQ!H990)</f>
        <v>7171143951</v>
      </c>
      <c r="I990" s="57" t="str">
        <f>IF(Associates_Call_List_PQ!I990="","",Associates_Call_List_PQ!I990)</f>
        <v>R-BASIC</v>
      </c>
      <c r="J990" s="57" t="str">
        <f>IF(Associates_Call_List_PQ!J990="","",Associates_Call_List_PQ!J990)</f>
        <v>No</v>
      </c>
      <c r="K990" s="57" t="str">
        <f>IF(Associates_Call_List_PQ!K990="","",Associates_Call_List_PQ!K990)</f>
        <v>No</v>
      </c>
      <c r="L990" s="57" t="str">
        <f>IF(Associates_Call_List_PQ!L990="","",Associates_Call_List_PQ!L990)</f>
        <v>Yes</v>
      </c>
      <c r="M990" s="57" t="str">
        <f>IF(Associates_Call_List_PQ!M990="","",Associates_Call_List_PQ!M990)</f>
        <v>No</v>
      </c>
      <c r="N990" s="57" t="str">
        <f>IF(Associates_Call_List_PQ!N990="","",Associates_Call_List_PQ!N990)</f>
        <v>No</v>
      </c>
      <c r="O990" s="57" t="str">
        <f>IF(Associates_Call_List_PQ!O990="","",Associates_Call_List_PQ!O990)</f>
        <v>Yes</v>
      </c>
      <c r="P990" s="57" t="str">
        <f>IF(Associates_Call_List_PQ!P990="","",Associates_Call_List_PQ!P990)</f>
        <v>N</v>
      </c>
      <c r="Q990" s="57">
        <f>IF(Associates_Call_List_PQ!Q990="","",Associates_Call_List_PQ!Q990)</f>
        <v>46008</v>
      </c>
      <c r="R990" s="57" t="str">
        <f>IF(Associates_Call_List_PQ!R990="","",Associates_Call_List_PQ!R990)</f>
        <v/>
      </c>
      <c r="S990" s="57" t="str">
        <f>IF(Associates_Call_List_PQ!S990="","",Associates_Call_List_PQ!S990)</f>
        <v/>
      </c>
      <c r="T990" s="57" t="str">
        <f>IF(Associates_Call_List_PQ!T990="","",Associates_Call_List_PQ!T990)</f>
        <v/>
      </c>
      <c r="U990" s="57" t="str">
        <f>IF(Associates_Call_List_PQ!U990="","",Associates_Call_List_PQ!U990)</f>
        <v/>
      </c>
      <c r="V990" s="68" t="s">
        <v>5433</v>
      </c>
      <c r="W990" s="68">
        <v>46060</v>
      </c>
      <c r="X990" s="68" t="s">
        <v>5434</v>
      </c>
      <c r="Y990" s="68"/>
      <c r="Z990" s="72" t="s">
        <v>5446</v>
      </c>
    </row>
    <row r="991" spans="1:26">
      <c r="A991" s="71">
        <f>IFERROR(Associates_Call_List_PQ!A991,"")</f>
        <v>46009</v>
      </c>
      <c r="B991" s="57" t="str">
        <f>IF(Associates_Call_List_PQ!B991="","",Associates_Call_List_PQ!B991)</f>
        <v>Hotham</v>
      </c>
      <c r="C991" s="57" t="str">
        <f>IF(Associates_Call_List_PQ!C991="","",Associates_Call_List_PQ!C991)</f>
        <v xml:space="preserve">Sharon </v>
      </c>
      <c r="D991" s="57" t="str">
        <f>IF(Associates_Call_List_PQ!D991="","",Associates_Call_List_PQ!D991)</f>
        <v>Phoenix</v>
      </c>
      <c r="E991" s="58">
        <f>IF(Associates_Call_List_PQ!E991="","",Associates_Call_List_PQ!E991)</f>
        <v>85022</v>
      </c>
      <c r="F991" s="57" t="str">
        <f>IF(Associates_Call_List_PQ!F991="","",Associates_Call_List_PQ!F991)</f>
        <v>Form Letter: Enough is enough! You must reject the latest 14% rate hikes by APS e TEP</v>
      </c>
      <c r="G991" s="57" t="str">
        <f>IF(Associates_Call_List_PQ!G991="","",Associates_Call_List_PQ!G991)</f>
        <v>https://docket.images.azcc.gov/E000048302.pdf</v>
      </c>
      <c r="H991" s="59" t="str">
        <f>IF(Associates_Call_List_PQ!H991="","",Associates_Call_List_PQ!H991)</f>
        <v>6181201000</v>
      </c>
      <c r="I991" s="57" t="str">
        <f>IF(Associates_Call_List_PQ!I991="","",Associates_Call_List_PQ!I991)</f>
        <v>RTOUE47</v>
      </c>
      <c r="J991" s="57" t="str">
        <f>IF(Associates_Call_List_PQ!J991="","",Associates_Call_List_PQ!J991)</f>
        <v>No</v>
      </c>
      <c r="K991" s="57" t="str">
        <f>IF(Associates_Call_List_PQ!K991="","",Associates_Call_List_PQ!K991)</f>
        <v>No</v>
      </c>
      <c r="L991" s="57" t="str">
        <f>IF(Associates_Call_List_PQ!L991="","",Associates_Call_List_PQ!L991)</f>
        <v>No MEP R3-47 ($232.55)</v>
      </c>
      <c r="M991" s="57" t="str">
        <f>IF(Associates_Call_List_PQ!M991="","",Associates_Call_List_PQ!M991)</f>
        <v>No</v>
      </c>
      <c r="N991" s="57" t="str">
        <f>IF(Associates_Call_List_PQ!N991="","",Associates_Call_List_PQ!N991)</f>
        <v>No</v>
      </c>
      <c r="O991" s="57" t="str">
        <f>IF(Associates_Call_List_PQ!O991="","",Associates_Call_List_PQ!O991)</f>
        <v>Yes</v>
      </c>
      <c r="P991" s="57" t="str">
        <f>IF(Associates_Call_List_PQ!P991="","",Associates_Call_List_PQ!P991)</f>
        <v/>
      </c>
      <c r="Q991" s="57">
        <f>IF(Associates_Call_List_PQ!Q991="","",Associates_Call_List_PQ!Q991)</f>
        <v>46015</v>
      </c>
      <c r="R991" s="57" t="str">
        <f>IF(Associates_Call_List_PQ!R991="","",Associates_Call_List_PQ!R991)</f>
        <v>Please contact customer regarding plan options</v>
      </c>
      <c r="S991" s="57" t="str">
        <f>IF(Associates_Call_List_PQ!S991="","",Associates_Call_List_PQ!S991)</f>
        <v/>
      </c>
      <c r="T991" s="57" t="str">
        <f>IF(Associates_Call_List_PQ!T991="","",Associates_Call_List_PQ!T991)</f>
        <v/>
      </c>
      <c r="U991" s="57" t="str">
        <f>IF(Associates_Call_List_PQ!U991="","",Associates_Call_List_PQ!U991)</f>
        <v/>
      </c>
      <c r="V991" s="68" t="s">
        <v>5433</v>
      </c>
      <c r="W991" s="68">
        <v>46018</v>
      </c>
      <c r="X991" s="68" t="s">
        <v>5405</v>
      </c>
      <c r="Y991" s="68" t="s">
        <v>5461</v>
      </c>
      <c r="Z991" s="72" t="s">
        <v>5686</v>
      </c>
    </row>
    <row r="992" spans="1:26">
      <c r="A992" s="71">
        <f>IFERROR(Associates_Call_List_PQ!A992,"")</f>
        <v>46010</v>
      </c>
      <c r="B992" s="57" t="str">
        <f>IF(Associates_Call_List_PQ!B992="","",Associates_Call_List_PQ!B992)</f>
        <v>Posey</v>
      </c>
      <c r="C992" s="57" t="str">
        <f>IF(Associates_Call_List_PQ!C992="","",Associates_Call_List_PQ!C992)</f>
        <v>Michael</v>
      </c>
      <c r="D992" s="57" t="str">
        <f>IF(Associates_Call_List_PQ!D992="","",Associates_Call_List_PQ!D992)</f>
        <v>Buckeye</v>
      </c>
      <c r="E992" s="58">
        <f>IF(Associates_Call_List_PQ!E992="","",Associates_Call_List_PQ!E992)</f>
        <v>85326</v>
      </c>
      <c r="F992" s="57" t="str">
        <f>IF(Associates_Call_List_PQ!F992="","",Associates_Call_List_PQ!F992)</f>
        <v>Form Letter: Enough is enough! You must reject the latest 14% rate hikes by APS e TEP</v>
      </c>
      <c r="G992" s="57" t="str">
        <f>IF(Associates_Call_List_PQ!G992="","",Associates_Call_List_PQ!G992)</f>
        <v>https://docket.images.azcc.gov/E000048311.pdf</v>
      </c>
      <c r="H992" s="59" t="str">
        <f>IF(Associates_Call_List_PQ!H992="","",Associates_Call_List_PQ!H992)</f>
        <v xml:space="preserve">0509660000 </v>
      </c>
      <c r="I992" s="57" t="str">
        <f>IF(Associates_Call_List_PQ!I992="","",Associates_Call_List_PQ!I992)</f>
        <v>RTOUE47</v>
      </c>
      <c r="J992" s="57" t="str">
        <f>IF(Associates_Call_List_PQ!J992="","",Associates_Call_List_PQ!J992)</f>
        <v>No</v>
      </c>
      <c r="K992" s="57" t="str">
        <f>IF(Associates_Call_List_PQ!K992="","",Associates_Call_List_PQ!K992)</f>
        <v>No</v>
      </c>
      <c r="L992" s="57" t="str">
        <f>IF(Associates_Call_List_PQ!L992="","",Associates_Call_List_PQ!L992)</f>
        <v>No MEP R3-47 ($326.27)</v>
      </c>
      <c r="M992" s="57" t="str">
        <f>IF(Associates_Call_List_PQ!M992="","",Associates_Call_List_PQ!M992)</f>
        <v>Yes</v>
      </c>
      <c r="N992" s="57">
        <f>IF(Associates_Call_List_PQ!N992="","",Associates_Call_List_PQ!N992)</f>
        <v>1309.77</v>
      </c>
      <c r="O992" s="57" t="str">
        <f>IF(Associates_Call_List_PQ!O992="","",Associates_Call_List_PQ!O992)</f>
        <v>Yes</v>
      </c>
      <c r="P992" s="57" t="str">
        <f>IF(Associates_Call_List_PQ!P992="","",Associates_Call_List_PQ!P992)</f>
        <v/>
      </c>
      <c r="Q992" s="57">
        <f>IF(Associates_Call_List_PQ!Q992="","",Associates_Call_List_PQ!Q992)</f>
        <v>46015</v>
      </c>
      <c r="R992" s="57" t="str">
        <f>IF(Associates_Call_List_PQ!R992="","",Associates_Call_List_PQ!R992)</f>
        <v>Please contact customer regarding plan options and assistance programs</v>
      </c>
      <c r="S992" s="57" t="str">
        <f>IF(Associates_Call_List_PQ!S992="","",Associates_Call_List_PQ!S992)</f>
        <v/>
      </c>
      <c r="T992" s="57" t="str">
        <f>IF(Associates_Call_List_PQ!T992="","",Associates_Call_List_PQ!T992)</f>
        <v/>
      </c>
      <c r="U992" s="57" t="str">
        <f>IF(Associates_Call_List_PQ!U992="","",Associates_Call_List_PQ!U992)</f>
        <v/>
      </c>
      <c r="V992" s="68" t="s">
        <v>5433</v>
      </c>
      <c r="W992" s="68">
        <v>46018</v>
      </c>
      <c r="X992" s="68" t="s">
        <v>5405</v>
      </c>
      <c r="Y992" s="68" t="s">
        <v>5461</v>
      </c>
      <c r="Z992" s="72"/>
    </row>
    <row r="993" spans="1:26">
      <c r="A993" s="71">
        <f>IFERROR(Associates_Call_List_PQ!A993,"")</f>
        <v>46010</v>
      </c>
      <c r="B993" s="57" t="str">
        <f>IF(Associates_Call_List_PQ!B993="","",Associates_Call_List_PQ!B993)</f>
        <v>Arvizu</v>
      </c>
      <c r="C993" s="57" t="str">
        <f>IF(Associates_Call_List_PQ!C993="","",Associates_Call_List_PQ!C993)</f>
        <v>Marc</v>
      </c>
      <c r="D993" s="57" t="str">
        <f>IF(Associates_Call_List_PQ!D993="","",Associates_Call_List_PQ!D993)</f>
        <v>Phoenix</v>
      </c>
      <c r="E993" s="58">
        <f>IF(Associates_Call_List_PQ!E993="","",Associates_Call_List_PQ!E993)</f>
        <v>85015</v>
      </c>
      <c r="F993" s="57" t="str">
        <f>IF(Associates_Call_List_PQ!F993="","",Associates_Call_List_PQ!F993)</f>
        <v>Form Letter: Enough is enough! You must reject the latest 14% rate hikes by APS e TEP</v>
      </c>
      <c r="G993" s="57" t="str">
        <f>IF(Associates_Call_List_PQ!G993="","",Associates_Call_List_PQ!G993)</f>
        <v>https://docket.images.azcc.gov/E000048311.pdf</v>
      </c>
      <c r="H993" s="59">
        <f>IF(Associates_Call_List_PQ!H993="","",Associates_Call_List_PQ!H993)</f>
        <v>8352070000</v>
      </c>
      <c r="I993" s="57" t="str">
        <f>IF(Associates_Call_List_PQ!I993="","",Associates_Call_List_PQ!I993)</f>
        <v>R-BASIC</v>
      </c>
      <c r="J993" s="57" t="str">
        <f>IF(Associates_Call_List_PQ!J993="","",Associates_Call_List_PQ!J993)</f>
        <v>No</v>
      </c>
      <c r="K993" s="57" t="str">
        <f>IF(Associates_Call_List_PQ!K993="","",Associates_Call_List_PQ!K993)</f>
        <v>No</v>
      </c>
      <c r="L993" s="57" t="str">
        <f>IF(Associates_Call_List_PQ!L993="","",Associates_Call_List_PQ!L993)</f>
        <v>Yes</v>
      </c>
      <c r="M993" s="57" t="str">
        <f>IF(Associates_Call_List_PQ!M993="","",Associates_Call_List_PQ!M993)</f>
        <v>No</v>
      </c>
      <c r="N993" s="57" t="str">
        <f>IF(Associates_Call_List_PQ!N993="","",Associates_Call_List_PQ!N993)</f>
        <v>No</v>
      </c>
      <c r="O993" s="57" t="str">
        <f>IF(Associates_Call_List_PQ!O993="","",Associates_Call_List_PQ!O993)</f>
        <v>Yes</v>
      </c>
      <c r="P993" s="57" t="str">
        <f>IF(Associates_Call_List_PQ!P993="","",Associates_Call_List_PQ!P993)</f>
        <v>N</v>
      </c>
      <c r="Q993" s="57">
        <f>IF(Associates_Call_List_PQ!Q993="","",Associates_Call_List_PQ!Q993)</f>
        <v>46015</v>
      </c>
      <c r="R993" s="57" t="str">
        <f>IF(Associates_Call_List_PQ!R993="","",Associates_Call_List_PQ!R993)</f>
        <v/>
      </c>
      <c r="S993" s="57" t="str">
        <f>IF(Associates_Call_List_PQ!S993="","",Associates_Call_List_PQ!S993)</f>
        <v/>
      </c>
      <c r="T993" s="57" t="str">
        <f>IF(Associates_Call_List_PQ!T993="","",Associates_Call_List_PQ!T993)</f>
        <v/>
      </c>
      <c r="U993" s="57" t="str">
        <f>IF(Associates_Call_List_PQ!U993="","",Associates_Call_List_PQ!U993)</f>
        <v/>
      </c>
      <c r="V993" s="68"/>
      <c r="W993" s="68" t="s">
        <v>5432</v>
      </c>
      <c r="X993" s="68"/>
      <c r="Y993" s="68"/>
      <c r="Z993" s="72"/>
    </row>
    <row r="994" spans="1:26">
      <c r="A994" s="71">
        <f>IFERROR(Associates_Call_List_PQ!A994,"")</f>
        <v>46010</v>
      </c>
      <c r="B994" s="57" t="str">
        <f>IF(Associates_Call_List_PQ!B994="","",Associates_Call_List_PQ!B994)</f>
        <v>Jones</v>
      </c>
      <c r="C994" s="57" t="str">
        <f>IF(Associates_Call_List_PQ!C994="","",Associates_Call_List_PQ!C994)</f>
        <v>Audrey</v>
      </c>
      <c r="D994" s="57" t="str">
        <f>IF(Associates_Call_List_PQ!D994="","",Associates_Call_List_PQ!D994)</f>
        <v>New River</v>
      </c>
      <c r="E994" s="58">
        <f>IF(Associates_Call_List_PQ!E994="","",Associates_Call_List_PQ!E994)</f>
        <v>85087</v>
      </c>
      <c r="F994" s="57" t="str">
        <f>IF(Associates_Call_List_PQ!F994="","",Associates_Call_List_PQ!F994)</f>
        <v>Form Letter: Enough is enough! You must reject the latest 14% rate hikes by APS e TEP</v>
      </c>
      <c r="G994" s="57" t="str">
        <f>IF(Associates_Call_List_PQ!G994="","",Associates_Call_List_PQ!G994)</f>
        <v>https://docket.images.azcc.gov/E000048311.pdf</v>
      </c>
      <c r="H994" s="59" t="str">
        <f>IF(Associates_Call_List_PQ!H994="","",Associates_Call_List_PQ!H994)</f>
        <v>1969900000</v>
      </c>
      <c r="I994" s="57" t="str">
        <f>IF(Associates_Call_List_PQ!I994="","",Associates_Call_List_PQ!I994)</f>
        <v>RCPw/TOUE-47</v>
      </c>
      <c r="J994" s="57" t="str">
        <f>IF(Associates_Call_List_PQ!J994="","",Associates_Call_List_PQ!J994)</f>
        <v>No</v>
      </c>
      <c r="K994" s="57" t="str">
        <f>IF(Associates_Call_List_PQ!K994="","",Associates_Call_List_PQ!K994)</f>
        <v>No</v>
      </c>
      <c r="L994" s="57" t="str">
        <f>IF(Associates_Call_List_PQ!L994="","",Associates_Call_List_PQ!L994)</f>
        <v>Yes</v>
      </c>
      <c r="M994" s="57" t="str">
        <f>IF(Associates_Call_List_PQ!M994="","",Associates_Call_List_PQ!M994)</f>
        <v>No</v>
      </c>
      <c r="N994" s="57" t="str">
        <f>IF(Associates_Call_List_PQ!N994="","",Associates_Call_List_PQ!N994)</f>
        <v>No</v>
      </c>
      <c r="O994" s="57" t="str">
        <f>IF(Associates_Call_List_PQ!O994="","",Associates_Call_List_PQ!O994)</f>
        <v>Yes</v>
      </c>
      <c r="P994" s="57" t="str">
        <f>IF(Associates_Call_List_PQ!P994="","",Associates_Call_List_PQ!P994)</f>
        <v>N</v>
      </c>
      <c r="Q994" s="57">
        <f>IF(Associates_Call_List_PQ!Q994="","",Associates_Call_List_PQ!Q994)</f>
        <v>46015</v>
      </c>
      <c r="R994" s="57" t="str">
        <f>IF(Associates_Call_List_PQ!R994="","",Associates_Call_List_PQ!R994)</f>
        <v/>
      </c>
      <c r="S994" s="57" t="str">
        <f>IF(Associates_Call_List_PQ!S994="","",Associates_Call_List_PQ!S994)</f>
        <v/>
      </c>
      <c r="T994" s="57" t="str">
        <f>IF(Associates_Call_List_PQ!T994="","",Associates_Call_List_PQ!T994)</f>
        <v/>
      </c>
      <c r="U994" s="57" t="str">
        <f>IF(Associates_Call_List_PQ!U994="","",Associates_Call_List_PQ!U994)</f>
        <v/>
      </c>
      <c r="V994" s="68" t="s">
        <v>5433</v>
      </c>
      <c r="W994" s="68">
        <v>46060</v>
      </c>
      <c r="X994" s="68" t="s">
        <v>5434</v>
      </c>
      <c r="Y994" s="68"/>
      <c r="Z994" s="72" t="s">
        <v>5446</v>
      </c>
    </row>
    <row r="995" spans="1:26">
      <c r="A995" s="71">
        <f>IFERROR(Associates_Call_List_PQ!A995,"")</f>
        <v>46010</v>
      </c>
      <c r="B995" s="57" t="str">
        <f>IF(Associates_Call_List_PQ!B995="","",Associates_Call_List_PQ!B995)</f>
        <v>Sanders</v>
      </c>
      <c r="C995" s="57" t="str">
        <f>IF(Associates_Call_List_PQ!C995="","",Associates_Call_List_PQ!C995)</f>
        <v>Marissa</v>
      </c>
      <c r="D995" s="57" t="str">
        <f>IF(Associates_Call_List_PQ!D995="","",Associates_Call_List_PQ!D995)</f>
        <v>Buckeye</v>
      </c>
      <c r="E995" s="58">
        <f>IF(Associates_Call_List_PQ!E995="","",Associates_Call_List_PQ!E995)</f>
        <v>85326</v>
      </c>
      <c r="F995" s="57" t="str">
        <f>IF(Associates_Call_List_PQ!F995="","",Associates_Call_List_PQ!F995)</f>
        <v>Form Letter: Enough is enough! You must reject the latest 14% rate hikes by APS e TEP</v>
      </c>
      <c r="G995" s="57" t="str">
        <f>IF(Associates_Call_List_PQ!G995="","",Associates_Call_List_PQ!G995)</f>
        <v>https://docket.images.azcc.gov/E000048311.pdf</v>
      </c>
      <c r="H995" s="59" t="str">
        <f>IF(Associates_Call_List_PQ!H995="","",Associates_Call_List_PQ!H995)</f>
        <v>7382953794</v>
      </c>
      <c r="I995" s="57" t="str">
        <f>IF(Associates_Call_List_PQ!I995="","",Associates_Call_List_PQ!I995)</f>
        <v>RTOUE47</v>
      </c>
      <c r="J995" s="57" t="str">
        <f>IF(Associates_Call_List_PQ!J995="","",Associates_Call_List_PQ!J995)</f>
        <v>No</v>
      </c>
      <c r="K995" s="57" t="str">
        <f>IF(Associates_Call_List_PQ!K995="","",Associates_Call_List_PQ!K995)</f>
        <v>No</v>
      </c>
      <c r="L995" s="57" t="str">
        <f>IF(Associates_Call_List_PQ!L995="","",Associates_Call_List_PQ!L995)</f>
        <v>No MEP R3-47 ($306.58)</v>
      </c>
      <c r="M995" s="57" t="str">
        <f>IF(Associates_Call_List_PQ!M995="","",Associates_Call_List_PQ!M995)</f>
        <v>No</v>
      </c>
      <c r="N995" s="57" t="str">
        <f>IF(Associates_Call_List_PQ!N995="","",Associates_Call_List_PQ!N995)</f>
        <v>No</v>
      </c>
      <c r="O995" s="57" t="str">
        <f>IF(Associates_Call_List_PQ!O995="","",Associates_Call_List_PQ!O995)</f>
        <v>Yes</v>
      </c>
      <c r="P995" s="57" t="str">
        <f>IF(Associates_Call_List_PQ!P995="","",Associates_Call_List_PQ!P995)</f>
        <v/>
      </c>
      <c r="Q995" s="57">
        <f>IF(Associates_Call_List_PQ!Q995="","",Associates_Call_List_PQ!Q995)</f>
        <v>46015</v>
      </c>
      <c r="R995" s="57" t="str">
        <f>IF(Associates_Call_List_PQ!R995="","",Associates_Call_List_PQ!R995)</f>
        <v>Please contact customer regarding plan options</v>
      </c>
      <c r="S995" s="57" t="str">
        <f>IF(Associates_Call_List_PQ!S995="","",Associates_Call_List_PQ!S995)</f>
        <v/>
      </c>
      <c r="T995" s="57" t="str">
        <f>IF(Associates_Call_List_PQ!T995="","",Associates_Call_List_PQ!T995)</f>
        <v/>
      </c>
      <c r="U995" s="57" t="str">
        <f>IF(Associates_Call_List_PQ!U995="","",Associates_Call_List_PQ!U995)</f>
        <v/>
      </c>
      <c r="V995" s="68" t="s">
        <v>5433</v>
      </c>
      <c r="W995" s="68">
        <v>46018</v>
      </c>
      <c r="X995" s="68" t="s">
        <v>5434</v>
      </c>
      <c r="Y995" s="68"/>
      <c r="Z995" s="72" t="s">
        <v>5446</v>
      </c>
    </row>
    <row r="996" spans="1:26">
      <c r="A996" s="71"/>
      <c r="W996" s="68" t="s">
        <v>5432</v>
      </c>
      <c r="Z996" s="73"/>
    </row>
    <row r="997" spans="1:26">
      <c r="A997" s="71"/>
      <c r="W997" s="68" t="s">
        <v>5432</v>
      </c>
      <c r="Z997" s="73"/>
    </row>
    <row r="998" spans="1:26">
      <c r="A998" s="71"/>
      <c r="W998" s="68" t="s">
        <v>5432</v>
      </c>
      <c r="Z998" s="73"/>
    </row>
    <row r="999" spans="1:26">
      <c r="A999" s="71"/>
      <c r="W999" s="68" t="s">
        <v>5432</v>
      </c>
      <c r="Z999" s="73"/>
    </row>
    <row r="1000" spans="1:26">
      <c r="A1000" s="71"/>
      <c r="W1000" s="68" t="s">
        <v>5432</v>
      </c>
      <c r="Z1000" s="73"/>
    </row>
    <row r="1001" spans="1:26">
      <c r="A1001" s="71"/>
      <c r="W1001" s="68" t="s">
        <v>5432</v>
      </c>
      <c r="Z1001" s="73"/>
    </row>
    <row r="1002" spans="1:26">
      <c r="A1002" s="71"/>
      <c r="W1002" s="68" t="s">
        <v>5432</v>
      </c>
      <c r="Z1002" s="73"/>
    </row>
    <row r="1003" spans="1:26">
      <c r="A1003" s="71"/>
      <c r="W1003" s="68" t="s">
        <v>5432</v>
      </c>
      <c r="Z1003" s="73"/>
    </row>
    <row r="1004" spans="1:26">
      <c r="A1004" s="71"/>
      <c r="W1004" s="68" t="s">
        <v>5432</v>
      </c>
      <c r="Z1004" s="73"/>
    </row>
    <row r="1005" spans="1:26">
      <c r="A1005" s="71"/>
      <c r="W1005" s="68" t="s">
        <v>5432</v>
      </c>
      <c r="Z1005" s="73"/>
    </row>
    <row r="1006" spans="1:26">
      <c r="A1006" s="71"/>
      <c r="W1006" s="68" t="s">
        <v>5432</v>
      </c>
      <c r="Z1006" s="73"/>
    </row>
    <row r="1007" spans="1:26">
      <c r="A1007" s="71"/>
      <c r="W1007" s="68" t="s">
        <v>5432</v>
      </c>
      <c r="Z1007" s="73"/>
    </row>
    <row r="1008" spans="1:26">
      <c r="A1008" s="71"/>
      <c r="W1008" s="68" t="s">
        <v>5432</v>
      </c>
      <c r="Z1008" s="73"/>
    </row>
    <row r="1009" spans="1:26">
      <c r="A1009" s="71"/>
      <c r="W1009" s="68" t="s">
        <v>5432</v>
      </c>
      <c r="Z1009" s="73"/>
    </row>
    <row r="1010" spans="1:26">
      <c r="A1010" s="71"/>
      <c r="W1010" s="68" t="s">
        <v>5432</v>
      </c>
      <c r="Z1010" s="73"/>
    </row>
    <row r="1011" spans="1:26">
      <c r="A1011" s="71"/>
      <c r="W1011" s="68" t="s">
        <v>5432</v>
      </c>
      <c r="Z1011" s="73"/>
    </row>
    <row r="1012" spans="1:26">
      <c r="A1012" s="71"/>
      <c r="W1012" s="68" t="s">
        <v>5432</v>
      </c>
      <c r="Z1012" s="73"/>
    </row>
    <row r="1013" spans="1:26">
      <c r="A1013" s="71"/>
      <c r="W1013" s="68" t="s">
        <v>5432</v>
      </c>
      <c r="Z1013" s="73"/>
    </row>
    <row r="1014" spans="1:26">
      <c r="A1014" s="71"/>
      <c r="W1014" s="68" t="s">
        <v>5432</v>
      </c>
      <c r="Z1014" s="73"/>
    </row>
    <row r="1015" spans="1:26">
      <c r="A1015" s="71"/>
      <c r="W1015" s="68" t="s">
        <v>5432</v>
      </c>
      <c r="Z1015" s="73"/>
    </row>
    <row r="1016" spans="1:26">
      <c r="A1016" s="71"/>
      <c r="W1016" s="68" t="s">
        <v>5432</v>
      </c>
      <c r="Z1016" s="73"/>
    </row>
    <row r="1017" spans="1:26">
      <c r="A1017" s="71"/>
      <c r="W1017" s="68" t="s">
        <v>5432</v>
      </c>
      <c r="Z1017" s="73"/>
    </row>
    <row r="1018" spans="1:26">
      <c r="A1018" s="71"/>
      <c r="W1018" s="68" t="s">
        <v>5432</v>
      </c>
      <c r="Z1018" s="73"/>
    </row>
    <row r="1019" spans="1:26">
      <c r="A1019" s="71"/>
      <c r="W1019" s="68" t="s">
        <v>5432</v>
      </c>
      <c r="Z1019" s="73"/>
    </row>
    <row r="1020" spans="1:26">
      <c r="A1020" s="71"/>
      <c r="W1020" s="68" t="s">
        <v>5432</v>
      </c>
      <c r="Z1020" s="73"/>
    </row>
    <row r="1021" spans="1:26">
      <c r="A1021" s="71"/>
      <c r="W1021" s="68" t="s">
        <v>5432</v>
      </c>
      <c r="Z1021" s="73"/>
    </row>
    <row r="1022" spans="1:26">
      <c r="A1022" s="71"/>
      <c r="W1022" s="68" t="s">
        <v>5432</v>
      </c>
      <c r="Z1022" s="73"/>
    </row>
    <row r="1023" spans="1:26">
      <c r="A1023" s="71"/>
      <c r="W1023" s="68" t="s">
        <v>5432</v>
      </c>
      <c r="Z1023" s="73"/>
    </row>
    <row r="1024" spans="1:26">
      <c r="A1024" s="71"/>
      <c r="W1024" s="68" t="s">
        <v>5432</v>
      </c>
      <c r="Z1024" s="73"/>
    </row>
    <row r="1025" spans="1:26">
      <c r="A1025" s="71"/>
      <c r="W1025" s="68" t="s">
        <v>5432</v>
      </c>
      <c r="Z1025" s="73"/>
    </row>
    <row r="1026" spans="1:26">
      <c r="A1026" s="71"/>
      <c r="W1026" s="68" t="s">
        <v>5432</v>
      </c>
      <c r="Z1026" s="73"/>
    </row>
    <row r="1027" spans="1:26">
      <c r="A1027" s="71"/>
      <c r="W1027" s="68" t="s">
        <v>5432</v>
      </c>
      <c r="Z1027" s="73"/>
    </row>
    <row r="1028" spans="1:26">
      <c r="A1028" s="71"/>
      <c r="W1028" s="68" t="s">
        <v>5432</v>
      </c>
      <c r="Z1028" s="73"/>
    </row>
    <row r="1029" spans="1:26">
      <c r="A1029" s="71"/>
      <c r="W1029" s="68" t="s">
        <v>5432</v>
      </c>
      <c r="Z1029" s="73"/>
    </row>
    <row r="1030" spans="1:26">
      <c r="A1030" s="71"/>
      <c r="W1030" s="68" t="s">
        <v>5432</v>
      </c>
      <c r="Z1030" s="73"/>
    </row>
    <row r="1031" spans="1:26">
      <c r="A1031" s="71"/>
      <c r="W1031" s="68" t="s">
        <v>5432</v>
      </c>
      <c r="Z1031" s="73"/>
    </row>
    <row r="1032" spans="1:26">
      <c r="A1032" s="71"/>
      <c r="W1032" s="68" t="s">
        <v>5432</v>
      </c>
      <c r="Z1032" s="73"/>
    </row>
    <row r="1033" spans="1:26">
      <c r="A1033" s="71"/>
      <c r="W1033" s="68" t="s">
        <v>5432</v>
      </c>
      <c r="Z1033" s="73"/>
    </row>
    <row r="1034" spans="1:26">
      <c r="A1034" s="71"/>
      <c r="W1034" s="68" t="s">
        <v>5432</v>
      </c>
      <c r="Z1034" s="73"/>
    </row>
    <row r="1035" spans="1:26">
      <c r="A1035" s="71"/>
      <c r="W1035" s="68" t="s">
        <v>5432</v>
      </c>
      <c r="Z1035" s="73"/>
    </row>
    <row r="1036" spans="1:26">
      <c r="A1036" s="71"/>
      <c r="W1036" s="68" t="s">
        <v>5432</v>
      </c>
      <c r="Z1036" s="73"/>
    </row>
    <row r="1037" spans="1:26">
      <c r="A1037" s="71"/>
      <c r="W1037" s="68" t="s">
        <v>5432</v>
      </c>
      <c r="Z1037" s="73"/>
    </row>
    <row r="1038" spans="1:26">
      <c r="A1038" s="71"/>
      <c r="W1038" s="68" t="s">
        <v>5432</v>
      </c>
      <c r="Z1038" s="73"/>
    </row>
    <row r="1039" spans="1:26">
      <c r="A1039" s="71"/>
      <c r="W1039" s="68" t="s">
        <v>5432</v>
      </c>
      <c r="Z1039" s="73"/>
    </row>
    <row r="1040" spans="1:26">
      <c r="A1040" s="71"/>
      <c r="W1040" s="68" t="s">
        <v>5432</v>
      </c>
      <c r="Z1040" s="73"/>
    </row>
    <row r="1041" spans="1:26">
      <c r="A1041" s="71"/>
      <c r="W1041" s="68" t="s">
        <v>5432</v>
      </c>
      <c r="Z1041" s="73"/>
    </row>
    <row r="1042" spans="1:26">
      <c r="A1042" s="71"/>
      <c r="W1042" s="68" t="s">
        <v>5432</v>
      </c>
      <c r="Z1042" s="73"/>
    </row>
    <row r="1043" spans="1:26">
      <c r="A1043" s="71"/>
      <c r="W1043" s="68" t="s">
        <v>5432</v>
      </c>
      <c r="Z1043" s="73"/>
    </row>
    <row r="1044" spans="1:26">
      <c r="A1044" s="71"/>
      <c r="W1044" s="68" t="s">
        <v>5432</v>
      </c>
      <c r="Z1044" s="73"/>
    </row>
    <row r="1045" spans="1:26">
      <c r="A1045" s="71"/>
      <c r="W1045" s="68" t="s">
        <v>5432</v>
      </c>
      <c r="Z1045" s="73"/>
    </row>
    <row r="1046" spans="1:26">
      <c r="A1046" s="71"/>
      <c r="W1046" s="68" t="s">
        <v>5432</v>
      </c>
      <c r="Z1046" s="73"/>
    </row>
    <row r="1047" spans="1:26">
      <c r="A1047" s="71"/>
      <c r="W1047" s="68" t="s">
        <v>5432</v>
      </c>
      <c r="Z1047" s="73"/>
    </row>
    <row r="1048" spans="1:26">
      <c r="A1048" s="71"/>
      <c r="W1048" s="68" t="s">
        <v>5432</v>
      </c>
      <c r="Z1048" s="73"/>
    </row>
    <row r="1049" spans="1:26">
      <c r="A1049" s="71"/>
      <c r="W1049" s="68" t="s">
        <v>5432</v>
      </c>
      <c r="Z1049" s="73"/>
    </row>
    <row r="1050" spans="1:26">
      <c r="A1050" s="71"/>
      <c r="W1050" s="68" t="s">
        <v>5432</v>
      </c>
      <c r="Z1050" s="73"/>
    </row>
    <row r="1051" spans="1:26">
      <c r="A1051" s="71"/>
      <c r="W1051" s="68" t="s">
        <v>5432</v>
      </c>
      <c r="Z1051" s="73"/>
    </row>
    <row r="1052" spans="1:26">
      <c r="A1052" s="71"/>
      <c r="W1052" s="68" t="s">
        <v>5432</v>
      </c>
      <c r="Z1052" s="73"/>
    </row>
    <row r="1053" spans="1:26">
      <c r="A1053" s="71"/>
      <c r="W1053" s="68" t="s">
        <v>5432</v>
      </c>
      <c r="Z1053" s="73"/>
    </row>
    <row r="1054" spans="1:26">
      <c r="A1054" s="71"/>
      <c r="W1054" s="68" t="s">
        <v>5432</v>
      </c>
      <c r="Z1054" s="73"/>
    </row>
    <row r="1055" spans="1:26">
      <c r="A1055" s="71"/>
      <c r="W1055" s="68" t="s">
        <v>5432</v>
      </c>
      <c r="Z1055" s="73"/>
    </row>
    <row r="1056" spans="1:26">
      <c r="A1056" s="71"/>
      <c r="W1056" s="68" t="s">
        <v>5432</v>
      </c>
      <c r="Z1056" s="73"/>
    </row>
    <row r="1057" spans="1:26">
      <c r="A1057" s="71"/>
      <c r="W1057" s="68" t="s">
        <v>5432</v>
      </c>
      <c r="Z1057" s="73"/>
    </row>
    <row r="1058" spans="1:26">
      <c r="A1058" s="71"/>
      <c r="W1058" s="68" t="s">
        <v>5432</v>
      </c>
      <c r="Z1058" s="73"/>
    </row>
    <row r="1059" spans="1:26">
      <c r="A1059" s="71"/>
      <c r="W1059" s="68" t="s">
        <v>5432</v>
      </c>
      <c r="Z1059" s="73"/>
    </row>
    <row r="1060" spans="1:26">
      <c r="A1060" s="71"/>
      <c r="W1060" s="68" t="s">
        <v>5432</v>
      </c>
      <c r="Z1060" s="73"/>
    </row>
    <row r="1061" spans="1:26">
      <c r="A1061" s="71"/>
      <c r="W1061" s="68" t="s">
        <v>5432</v>
      </c>
      <c r="Z1061" s="73"/>
    </row>
    <row r="1062" spans="1:26">
      <c r="A1062" s="71"/>
      <c r="W1062" s="68" t="s">
        <v>5432</v>
      </c>
      <c r="Z1062" s="73"/>
    </row>
    <row r="1063" spans="1:26">
      <c r="A1063" s="71"/>
      <c r="W1063" s="68" t="s">
        <v>5432</v>
      </c>
      <c r="Z1063" s="73"/>
    </row>
    <row r="1064" spans="1:26">
      <c r="A1064" s="71"/>
      <c r="W1064" s="68" t="s">
        <v>5432</v>
      </c>
      <c r="Z1064" s="73"/>
    </row>
    <row r="1065" spans="1:26">
      <c r="A1065" s="71"/>
      <c r="W1065" s="68" t="s">
        <v>5432</v>
      </c>
      <c r="Z1065" s="73"/>
    </row>
    <row r="1066" spans="1:26">
      <c r="A1066" s="71"/>
      <c r="W1066" s="68" t="s">
        <v>5432</v>
      </c>
      <c r="Z1066" s="73"/>
    </row>
    <row r="1067" spans="1:26">
      <c r="A1067" s="71"/>
      <c r="W1067" s="68" t="s">
        <v>5432</v>
      </c>
      <c r="Z1067" s="73"/>
    </row>
    <row r="1068" spans="1:26">
      <c r="A1068" s="71"/>
      <c r="W1068" s="68" t="s">
        <v>5432</v>
      </c>
      <c r="Z1068" s="73"/>
    </row>
    <row r="1069" spans="1:26">
      <c r="A1069" s="71"/>
      <c r="W1069" s="68" t="s">
        <v>5432</v>
      </c>
      <c r="Z1069" s="73"/>
    </row>
    <row r="1070" spans="1:26">
      <c r="A1070" s="71"/>
      <c r="W1070" s="68" t="s">
        <v>5432</v>
      </c>
      <c r="Z1070" s="73"/>
    </row>
    <row r="1071" spans="1:26">
      <c r="A1071" s="71"/>
      <c r="W1071" s="68" t="s">
        <v>5432</v>
      </c>
      <c r="Z1071" s="73"/>
    </row>
    <row r="1072" spans="1:26">
      <c r="A1072" s="71"/>
      <c r="W1072" s="68" t="s">
        <v>5432</v>
      </c>
      <c r="Z1072" s="73"/>
    </row>
    <row r="1073" spans="1:26">
      <c r="A1073" s="71"/>
      <c r="W1073" s="68" t="s">
        <v>5432</v>
      </c>
      <c r="Z1073" s="73"/>
    </row>
    <row r="1074" spans="1:26">
      <c r="A1074" s="71"/>
      <c r="W1074" s="68" t="s">
        <v>5432</v>
      </c>
      <c r="Z1074" s="73"/>
    </row>
    <row r="1075" spans="1:26">
      <c r="A1075" s="71"/>
      <c r="W1075" s="68" t="s">
        <v>5432</v>
      </c>
      <c r="Z1075" s="73"/>
    </row>
    <row r="1076" spans="1:26">
      <c r="A1076" s="71"/>
      <c r="W1076" s="68" t="s">
        <v>5432</v>
      </c>
      <c r="Z1076" s="73"/>
    </row>
    <row r="1077" spans="1:26">
      <c r="A1077" s="71"/>
      <c r="W1077" s="68" t="s">
        <v>5432</v>
      </c>
      <c r="Z1077" s="73"/>
    </row>
    <row r="1078" spans="1:26">
      <c r="A1078" s="71"/>
      <c r="W1078" s="68" t="s">
        <v>5432</v>
      </c>
      <c r="Z1078" s="73"/>
    </row>
    <row r="1079" spans="1:26">
      <c r="A1079" s="71"/>
      <c r="W1079" s="68" t="s">
        <v>5432</v>
      </c>
      <c r="Z1079" s="73"/>
    </row>
    <row r="1080" spans="1:26">
      <c r="A1080" s="71"/>
      <c r="W1080" s="68" t="s">
        <v>5432</v>
      </c>
      <c r="Z1080" s="73"/>
    </row>
    <row r="1081" spans="1:26">
      <c r="A1081" s="71"/>
      <c r="W1081" s="68" t="s">
        <v>5432</v>
      </c>
      <c r="Z1081" s="73"/>
    </row>
    <row r="1082" spans="1:26">
      <c r="A1082" s="71"/>
      <c r="W1082" s="68" t="s">
        <v>5432</v>
      </c>
      <c r="Z1082" s="73"/>
    </row>
    <row r="1083" spans="1:26">
      <c r="A1083" s="71"/>
      <c r="W1083" s="68" t="s">
        <v>5432</v>
      </c>
      <c r="Z1083" s="73"/>
    </row>
    <row r="1084" spans="1:26">
      <c r="A1084" s="71"/>
      <c r="W1084" s="68" t="s">
        <v>5432</v>
      </c>
      <c r="Z1084" s="73"/>
    </row>
    <row r="1085" spans="1:26">
      <c r="A1085" s="71"/>
      <c r="W1085" s="68" t="s">
        <v>5432</v>
      </c>
      <c r="Z1085" s="73"/>
    </row>
    <row r="1086" spans="1:26">
      <c r="A1086" s="71"/>
      <c r="W1086" s="68" t="s">
        <v>5432</v>
      </c>
      <c r="Z1086" s="73"/>
    </row>
    <row r="1087" spans="1:26">
      <c r="A1087" s="71"/>
      <c r="W1087" s="68" t="s">
        <v>5432</v>
      </c>
      <c r="Z1087" s="73"/>
    </row>
    <row r="1088" spans="1:26">
      <c r="A1088" s="71"/>
      <c r="W1088" s="68" t="s">
        <v>5432</v>
      </c>
      <c r="Z1088" s="73"/>
    </row>
    <row r="1089" spans="1:26">
      <c r="A1089" s="71"/>
      <c r="W1089" s="68" t="s">
        <v>5432</v>
      </c>
      <c r="Z1089" s="73"/>
    </row>
    <row r="1090" spans="1:26">
      <c r="A1090" s="71"/>
      <c r="W1090" s="68" t="s">
        <v>5432</v>
      </c>
      <c r="Z1090" s="73"/>
    </row>
    <row r="1091" spans="1:26">
      <c r="A1091" s="71"/>
      <c r="W1091" s="68" t="s">
        <v>5432</v>
      </c>
      <c r="Z1091" s="73"/>
    </row>
    <row r="1092" spans="1:26">
      <c r="A1092" s="71"/>
      <c r="W1092" s="68" t="s">
        <v>5432</v>
      </c>
      <c r="Z1092" s="73"/>
    </row>
    <row r="1093" spans="1:26">
      <c r="A1093" s="71"/>
      <c r="W1093" s="68" t="s">
        <v>5432</v>
      </c>
      <c r="Z1093" s="73"/>
    </row>
    <row r="1094" spans="1:26">
      <c r="A1094" s="71"/>
      <c r="W1094" s="68" t="s">
        <v>5432</v>
      </c>
      <c r="Z1094" s="73"/>
    </row>
    <row r="1095" spans="1:26">
      <c r="A1095" s="71"/>
      <c r="W1095" s="68" t="s">
        <v>5432</v>
      </c>
      <c r="Z1095" s="73"/>
    </row>
    <row r="1096" spans="1:26">
      <c r="A1096" s="71"/>
      <c r="W1096" s="68" t="s">
        <v>5432</v>
      </c>
      <c r="Z1096" s="73"/>
    </row>
    <row r="1097" spans="1:26">
      <c r="A1097" s="71"/>
      <c r="W1097" s="68" t="s">
        <v>5432</v>
      </c>
      <c r="Z1097" s="73"/>
    </row>
    <row r="1098" spans="1:26">
      <c r="A1098" s="71"/>
      <c r="W1098" s="68" t="s">
        <v>5432</v>
      </c>
      <c r="Z1098" s="73"/>
    </row>
    <row r="1099" spans="1:26">
      <c r="A1099" s="71"/>
      <c r="W1099" s="68" t="s">
        <v>5432</v>
      </c>
      <c r="Z1099" s="73"/>
    </row>
    <row r="1100" spans="1:26">
      <c r="A1100" s="71"/>
      <c r="W1100" s="68" t="s">
        <v>5432</v>
      </c>
      <c r="Z1100" s="73"/>
    </row>
    <row r="1101" spans="1:26">
      <c r="A1101" s="71"/>
      <c r="W1101" s="68" t="s">
        <v>5432</v>
      </c>
      <c r="Z1101" s="73"/>
    </row>
    <row r="1102" spans="1:26">
      <c r="A1102" s="71"/>
      <c r="W1102" s="68" t="s">
        <v>5432</v>
      </c>
      <c r="Z1102" s="73"/>
    </row>
    <row r="1103" spans="1:26">
      <c r="A1103" s="71"/>
      <c r="W1103" s="68" t="s">
        <v>5432</v>
      </c>
      <c r="Z1103" s="73"/>
    </row>
    <row r="1104" spans="1:26">
      <c r="A1104" s="71"/>
      <c r="W1104" s="68" t="s">
        <v>5432</v>
      </c>
      <c r="Z1104" s="73"/>
    </row>
    <row r="1105" spans="1:26">
      <c r="A1105" s="71"/>
      <c r="W1105" s="68" t="s">
        <v>5432</v>
      </c>
      <c r="Z1105" s="73"/>
    </row>
    <row r="1106" spans="1:26">
      <c r="A1106" s="71"/>
      <c r="W1106" s="68" t="s">
        <v>5432</v>
      </c>
      <c r="Z1106" s="73"/>
    </row>
    <row r="1107" spans="1:26">
      <c r="A1107" s="71"/>
      <c r="W1107" s="68" t="s">
        <v>5432</v>
      </c>
      <c r="Z1107" s="73"/>
    </row>
    <row r="1108" spans="1:26">
      <c r="A1108" s="71"/>
      <c r="W1108" s="68" t="s">
        <v>5432</v>
      </c>
      <c r="Z1108" s="73"/>
    </row>
    <row r="1109" spans="1:26">
      <c r="A1109" s="71"/>
      <c r="W1109" s="68" t="s">
        <v>5432</v>
      </c>
      <c r="Z1109" s="73"/>
    </row>
    <row r="1110" spans="1:26">
      <c r="A1110" s="71"/>
      <c r="W1110" s="68" t="s">
        <v>5432</v>
      </c>
      <c r="Z1110" s="73"/>
    </row>
    <row r="1111" spans="1:26">
      <c r="A1111" s="71"/>
      <c r="W1111" s="68" t="s">
        <v>5432</v>
      </c>
      <c r="Z1111" s="73"/>
    </row>
    <row r="1112" spans="1:26">
      <c r="A1112" s="71"/>
      <c r="W1112" s="68" t="s">
        <v>5432</v>
      </c>
      <c r="Z1112" s="73"/>
    </row>
    <row r="1113" spans="1:26">
      <c r="A1113" s="71"/>
      <c r="W1113" s="68" t="s">
        <v>5432</v>
      </c>
      <c r="Z1113" s="73"/>
    </row>
    <row r="1114" spans="1:26">
      <c r="A1114" s="71"/>
      <c r="W1114" s="68" t="s">
        <v>5432</v>
      </c>
      <c r="Z1114" s="73"/>
    </row>
    <row r="1115" spans="1:26">
      <c r="A1115" s="71"/>
      <c r="W1115" s="68" t="s">
        <v>5432</v>
      </c>
      <c r="Z1115" s="73"/>
    </row>
    <row r="1116" spans="1:26">
      <c r="A1116" s="71"/>
      <c r="W1116" s="68" t="s">
        <v>5432</v>
      </c>
      <c r="Z1116" s="73"/>
    </row>
    <row r="1117" spans="1:26">
      <c r="A1117" s="71"/>
      <c r="W1117" s="68" t="s">
        <v>5432</v>
      </c>
      <c r="Z1117" s="73"/>
    </row>
    <row r="1118" spans="1:26">
      <c r="A1118" s="71"/>
      <c r="W1118" s="68" t="s">
        <v>5432</v>
      </c>
      <c r="Z1118" s="73"/>
    </row>
    <row r="1119" spans="1:26">
      <c r="A1119" s="71"/>
      <c r="W1119" s="68" t="s">
        <v>5432</v>
      </c>
      <c r="Z1119" s="73"/>
    </row>
    <row r="1120" spans="1:26">
      <c r="A1120" s="71"/>
      <c r="W1120" s="68" t="s">
        <v>5432</v>
      </c>
      <c r="Z1120" s="73"/>
    </row>
    <row r="1121" spans="1:26">
      <c r="A1121" s="71"/>
      <c r="W1121" s="68" t="s">
        <v>5432</v>
      </c>
      <c r="Z1121" s="73"/>
    </row>
    <row r="1122" spans="1:26">
      <c r="A1122" s="71"/>
      <c r="W1122" s="68" t="s">
        <v>5432</v>
      </c>
      <c r="Z1122" s="73"/>
    </row>
    <row r="1123" spans="1:26">
      <c r="A1123" s="71"/>
      <c r="W1123" s="68" t="s">
        <v>5432</v>
      </c>
      <c r="Z1123" s="73"/>
    </row>
    <row r="1124" spans="1:26">
      <c r="A1124" s="71"/>
      <c r="W1124" s="68" t="s">
        <v>5432</v>
      </c>
      <c r="Z1124" s="73"/>
    </row>
    <row r="1125" spans="1:26">
      <c r="A1125" s="71"/>
      <c r="W1125" s="68" t="s">
        <v>5432</v>
      </c>
      <c r="Z1125" s="73"/>
    </row>
    <row r="1126" spans="1:26">
      <c r="A1126" s="71"/>
      <c r="W1126" s="68" t="s">
        <v>5432</v>
      </c>
      <c r="Z1126" s="73"/>
    </row>
    <row r="1127" spans="1:26">
      <c r="A1127" s="71"/>
      <c r="W1127" s="68" t="s">
        <v>5432</v>
      </c>
      <c r="Z1127" s="73"/>
    </row>
    <row r="1128" spans="1:26">
      <c r="A1128" s="71"/>
      <c r="W1128" s="68" t="s">
        <v>5432</v>
      </c>
      <c r="Z1128" s="73"/>
    </row>
    <row r="1129" spans="1:26">
      <c r="A1129" s="71"/>
      <c r="W1129" s="68" t="s">
        <v>5432</v>
      </c>
      <c r="Z1129" s="73"/>
    </row>
    <row r="1130" spans="1:26">
      <c r="A1130" s="71"/>
      <c r="W1130" s="68" t="s">
        <v>5432</v>
      </c>
      <c r="Z1130" s="73"/>
    </row>
    <row r="1131" spans="1:26">
      <c r="A1131" s="71"/>
      <c r="W1131" s="68" t="s">
        <v>5432</v>
      </c>
      <c r="Z1131" s="73"/>
    </row>
    <row r="1132" spans="1:26">
      <c r="A1132" s="71"/>
      <c r="W1132" s="68" t="s">
        <v>5432</v>
      </c>
      <c r="Z1132" s="73"/>
    </row>
    <row r="1133" spans="1:26">
      <c r="A1133" s="71"/>
      <c r="W1133" s="68" t="s">
        <v>5432</v>
      </c>
      <c r="Z1133" s="73"/>
    </row>
    <row r="1134" spans="1:26">
      <c r="A1134" s="71"/>
      <c r="W1134" s="68" t="s">
        <v>5432</v>
      </c>
      <c r="Z1134" s="73"/>
    </row>
    <row r="1135" spans="1:26">
      <c r="A1135" s="71"/>
      <c r="W1135" s="68" t="s">
        <v>5432</v>
      </c>
      <c r="Z1135" s="73"/>
    </row>
    <row r="1136" spans="1:26">
      <c r="A1136" s="71"/>
      <c r="W1136" s="68" t="s">
        <v>5432</v>
      </c>
      <c r="Z1136" s="73"/>
    </row>
    <row r="1137" spans="1:26">
      <c r="A1137" s="71"/>
      <c r="W1137" s="68" t="s">
        <v>5432</v>
      </c>
      <c r="Z1137" s="73"/>
    </row>
    <row r="1138" spans="1:26">
      <c r="A1138" s="71"/>
      <c r="W1138" s="68" t="s">
        <v>5432</v>
      </c>
      <c r="Z1138" s="73"/>
    </row>
    <row r="1139" spans="1:26">
      <c r="A1139" s="71"/>
      <c r="W1139" s="68" t="s">
        <v>5432</v>
      </c>
      <c r="Z1139" s="73"/>
    </row>
    <row r="1140" spans="1:26">
      <c r="A1140" s="71"/>
      <c r="W1140" s="68" t="s">
        <v>5432</v>
      </c>
      <c r="Z1140" s="73"/>
    </row>
    <row r="1141" spans="1:26">
      <c r="A1141" s="71"/>
      <c r="W1141" s="68" t="s">
        <v>5432</v>
      </c>
      <c r="Z1141" s="73"/>
    </row>
    <row r="1142" spans="1:26">
      <c r="A1142" s="71"/>
      <c r="W1142" s="68" t="s">
        <v>5432</v>
      </c>
      <c r="Z1142" s="73"/>
    </row>
    <row r="1143" spans="1:26">
      <c r="A1143" s="71"/>
      <c r="W1143" s="68" t="s">
        <v>5432</v>
      </c>
      <c r="Z1143" s="73"/>
    </row>
    <row r="1144" spans="1:26">
      <c r="A1144" s="71"/>
      <c r="W1144" s="68" t="s">
        <v>5432</v>
      </c>
      <c r="Z1144" s="73"/>
    </row>
    <row r="1145" spans="1:26">
      <c r="A1145" s="71"/>
      <c r="W1145" s="68" t="s">
        <v>5432</v>
      </c>
      <c r="Z1145" s="73"/>
    </row>
    <row r="1146" spans="1:26">
      <c r="A1146" s="71"/>
      <c r="W1146" s="68" t="s">
        <v>5432</v>
      </c>
      <c r="Z1146" s="73"/>
    </row>
    <row r="1147" spans="1:26">
      <c r="A1147" s="74"/>
      <c r="B1147" s="75"/>
      <c r="C1147" s="75"/>
      <c r="D1147" s="75"/>
      <c r="E1147" s="76"/>
      <c r="F1147" s="75"/>
      <c r="G1147" s="75"/>
      <c r="H1147" s="77"/>
      <c r="I1147" s="75"/>
      <c r="J1147" s="75"/>
      <c r="K1147" s="75"/>
      <c r="L1147" s="75"/>
      <c r="M1147" s="75"/>
      <c r="N1147" s="75"/>
      <c r="O1147" s="75"/>
      <c r="P1147" s="78"/>
      <c r="Q1147" s="78"/>
      <c r="R1147" s="75"/>
      <c r="S1147" s="75"/>
      <c r="T1147" s="75"/>
      <c r="U1147" s="75"/>
      <c r="V1147" s="79"/>
      <c r="W1147" s="80" t="s">
        <v>5432</v>
      </c>
      <c r="X1147" s="79"/>
      <c r="Y1147" s="79"/>
      <c r="Z1147" s="81"/>
    </row>
  </sheetData>
  <conditionalFormatting sqref="AA2:XFD994 A996:XFD1046666 A1:XFD1">
    <cfRule type="expression" dxfId="40" priority="5">
      <formula>AND(ISNUMBER($N2), $N2&lt;&gt;0)</formula>
    </cfRule>
  </conditionalFormatting>
  <conditionalFormatting sqref="A2:Z791 A840:Y840 A841:Z995 A793:Z839 A792:Y792">
    <cfRule type="expression" dxfId="39" priority="4">
      <formula>ISNUMBER(#REF!)</formula>
    </cfRule>
  </conditionalFormatting>
  <conditionalFormatting sqref="A2:Z791 A842:Z995 A840:Y841 A793:Z839 A792:Y792">
    <cfRule type="expression" dxfId="38" priority="2">
      <formula>OR(    AND(ISNUMBER($N2), $N2&lt;&gt;0),    ISNUMBER(SEARCH("$", $L2)) )</formula>
    </cfRule>
    <cfRule type="expression" dxfId="37" priority="3">
      <formula>ISNUMBER(SEARCH("no",$L2))</formula>
    </cfRule>
  </conditionalFormatting>
  <conditionalFormatting sqref="A2:Z791 A842:Z995 A840:Y841 A793:Z839 A792:Y792">
    <cfRule type="expression" dxfId="36" priority="1">
      <formula>$V2&lt;&gt;""</formula>
    </cfRule>
  </conditionalFormatting>
  <conditionalFormatting sqref="A1046667:XFD1048576">
    <cfRule type="expression" dxfId="35" priority="6">
      <formula>AND(ISNUMBER($N1), $N1&lt;&gt;0)</formula>
    </cfRule>
  </conditionalFormatting>
  <conditionalFormatting sqref="AA995:XFD995">
    <cfRule type="expression" dxfId="34" priority="10">
      <formula>AND(ISNUMBER(#REF!), #REF!&lt;&gt;0)</formula>
    </cfRule>
  </conditionalFormatting>
  <conditionalFormatting sqref="Z841">
    <cfRule type="expression" dxfId="33" priority="15">
      <formula>OR(    AND(ISNUMBER($N840), $N840&lt;&gt;0),    ISNUMBER(SEARCH("$", $L840)) )</formula>
    </cfRule>
    <cfRule type="expression" dxfId="32" priority="16">
      <formula>ISNUMBER(SEARCH("no",$L840))</formula>
    </cfRule>
  </conditionalFormatting>
  <conditionalFormatting sqref="Z841">
    <cfRule type="expression" dxfId="31" priority="18">
      <formula>$V840&lt;&gt;""</formula>
    </cfRule>
  </conditionalFormatting>
  <dataValidations count="4">
    <dataValidation type="list" allowBlank="1" showInputMessage="1" showErrorMessage="1" sqref="X1 X996:X1048576" xr:uid="{6122457B-003C-4E99-AE0D-419C98EEDF3D}">
      <formula1>"Yes,No"</formula1>
    </dataValidation>
    <dataValidation type="list" allowBlank="1" showInputMessage="1" showErrorMessage="1" sqref="X2:X995" xr:uid="{18891E82-F2FA-4DE3-ADA8-9B8F7CFB348E}">
      <formula1>"YES,NO"</formula1>
    </dataValidation>
    <dataValidation type="list" allowBlank="1" showInputMessage="1" showErrorMessage="1" sqref="Y2:Y995" xr:uid="{0FDBE723-2935-435A-83A1-48D6884B9210}">
      <formula1>"Updated/New PA,Utility Assistance,E3/E4,Rate Change,General Education,Other (fill in)"</formula1>
    </dataValidation>
    <dataValidation type="list" allowBlank="1" showInputMessage="1" showErrorMessage="1" sqref="V1:V1048576" xr:uid="{5301A9B1-8E44-4CC0-914E-16EE0093F967}">
      <formula1>"Michelle,Joaquin"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56AD5-41D1-4D4E-B1EF-F251580D972B}">
  <dimension ref="A1:P14"/>
  <sheetViews>
    <sheetView workbookViewId="0">
      <selection activeCell="I4" sqref="I4"/>
    </sheetView>
  </sheetViews>
  <sheetFormatPr defaultRowHeight="15"/>
  <cols>
    <col min="1" max="1" width="11.140625" bestFit="1" customWidth="1"/>
    <col min="2" max="2" width="26.28515625" bestFit="1" customWidth="1"/>
    <col min="5" max="5" width="14.28515625" bestFit="1" customWidth="1"/>
    <col min="6" max="6" width="12.7109375" bestFit="1" customWidth="1"/>
    <col min="9" max="9" width="20" bestFit="1" customWidth="1"/>
    <col min="10" max="10" width="20.28515625" bestFit="1" customWidth="1"/>
    <col min="11" max="11" width="7.5703125" bestFit="1" customWidth="1"/>
    <col min="12" max="12" width="15.5703125" bestFit="1" customWidth="1"/>
    <col min="13" max="13" width="21.85546875" bestFit="1" customWidth="1"/>
    <col min="14" max="14" width="14.42578125" bestFit="1" customWidth="1"/>
    <col min="16" max="16" width="26.140625" bestFit="1" customWidth="1"/>
  </cols>
  <sheetData>
    <row r="1" spans="1:16" ht="24">
      <c r="A1" s="60" t="s">
        <v>0</v>
      </c>
      <c r="B1" s="61" t="s">
        <v>5687</v>
      </c>
      <c r="C1" s="61" t="s">
        <v>5688</v>
      </c>
      <c r="D1" s="62"/>
      <c r="E1" s="61" t="s">
        <v>117</v>
      </c>
      <c r="F1" s="61" t="s">
        <v>5433</v>
      </c>
      <c r="G1" s="62"/>
      <c r="I1" s="63" t="s">
        <v>5538</v>
      </c>
      <c r="J1" s="63" t="s">
        <v>5602</v>
      </c>
      <c r="K1" s="63" t="s">
        <v>5455</v>
      </c>
      <c r="L1" s="63" t="s">
        <v>5447</v>
      </c>
      <c r="M1" s="63" t="s">
        <v>5461</v>
      </c>
      <c r="N1" s="63" t="s">
        <v>5463</v>
      </c>
      <c r="P1" s="70" t="s">
        <v>5689</v>
      </c>
    </row>
    <row r="2" spans="1:16" ht="15.75">
      <c r="A2" s="64" cm="1">
        <f t="array" ref="A2:A14">_xlfn._xlws.SORT(_xlfn.UNIQUE(_xlfn._xlws.FILTER(Associates!W2:W10000, Associates!W2:W10000&lt;&gt;"")))</f>
        <v>45660</v>
      </c>
      <c r="B2" s="66">
        <f>IF(A2="","",
COUNTIFS(
  Associates!$W:$W, "&gt;="&amp;A2,
  Associates!$W:$W, "&lt;"&amp;A2+1
))</f>
        <v>1</v>
      </c>
      <c r="C2" s="66">
        <f>IF(A2="","",
COUNTIFS(
  Associates!$W:$W, "&gt;="&amp;A2,
  Associates!$W:$W, "&lt;"&amp;A2+1,
  Associates!$X:$X, "Yes"
))</f>
        <v>1</v>
      </c>
      <c r="D2" s="66"/>
      <c r="E2" s="66">
        <f>IF(A2="","",
COUNTIFS(
  Associates!$W:$W, "&gt;="&amp;A2,
  Associates!$W:$W, "&lt;"&amp;A2+1,
  Associates!$V:$V, "Michelle"
))</f>
        <v>0</v>
      </c>
      <c r="F2" s="66">
        <f>IF(A2="","",
COUNTIFS(
  Associates!$W:$W, "&gt;="&amp;A2,
  Associates!$W:$W, "&lt;"&amp;A2+1,
  Associates!$V:$V, "Joaquin"
))</f>
        <v>1</v>
      </c>
      <c r="G2" s="66"/>
      <c r="I2" s="67">
        <f>IF($A2="","",
COUNTIFS(
  Associates!$W:$W, "&gt;="&amp;$A2,
  Associates!$W:$W, "&lt;"&amp;$A2+1,
  Associates!$Y:$Y, "Updated/New PA"
))</f>
        <v>0</v>
      </c>
      <c r="J2" s="67">
        <f>IF($A2="","",
COUNTIFS(
  Associates!$W:$W, "&gt;="&amp;$A2,
  Associates!$W:$W, "&lt;"&amp;$A2+1,
  Associates!$Y:$Y, "Utility Assistance"
))</f>
        <v>0</v>
      </c>
      <c r="K2" s="67">
        <f>IF($A2="","",
COUNTIFS(
  Associates!$W:$W, "&gt;="&amp;$A2,
  Associates!$W:$W, "&lt;"&amp;$A2+1,
  Associates!$Y:$Y, "E3/E4"
))</f>
        <v>0</v>
      </c>
      <c r="L2" s="67">
        <f>IF($A2="","",
COUNTIFS(
  Associates!$W:$W, "&gt;="&amp;$A2,
  Associates!$W:$W, "&lt;"&amp;$A2+1,
  Associates!$Y:$Y, "Rate Change"
))</f>
        <v>0</v>
      </c>
      <c r="M2" s="67">
        <f>IF($A2="","",
COUNTIFS(
  Associates!$W:$W, "&gt;="&amp;$A2,
  Associates!$W:$W, "&lt;"&amp;$A2+1,
  Associates!$Y:$Y, "General Education"
))</f>
        <v>0</v>
      </c>
      <c r="N2" s="67">
        <f>IF($A2="","",
COUNTIFS(
  Associates!$W:$W, "&gt;="&amp;$A2,
  Associates!$W:$W, "&lt;"&amp;$A2+1,
  Associates!$Y:$Y, "Other (fill in)"
))</f>
        <v>0</v>
      </c>
      <c r="P2" s="56">
        <f>COUNTIFS(
  Associates!$H:$H,"&lt;&gt;",
  Associates!$Y:$Y,""
)</f>
        <v>867</v>
      </c>
    </row>
    <row r="3" spans="1:16" ht="15.75">
      <c r="A3" s="65">
        <v>45997</v>
      </c>
      <c r="B3" s="66">
        <f>IF(A3="","",
COUNTIFS(
  Associates!$W:$W, "&gt;="&amp;A3,
  Associates!$W:$W, "&lt;"&amp;A3+1
))</f>
        <v>50</v>
      </c>
      <c r="C3" s="66">
        <f>IF(A3="","",
COUNTIFS(
  Associates!$W:$W, "&gt;="&amp;A3,
  Associates!$W:$W, "&lt;"&amp;A3+1,
  Associates!$X:$X, "Yes"
))</f>
        <v>29</v>
      </c>
      <c r="D3" s="66"/>
      <c r="E3" s="66">
        <f>IF(A3="","",
COUNTIFS(
  Associates!$W:$W, "&gt;="&amp;A3,
  Associates!$W:$W, "&lt;"&amp;A3+1,
  Associates!$V:$V, "Michelle"
))</f>
        <v>17</v>
      </c>
      <c r="F3" s="66">
        <f>IF(A3="","",
COUNTIFS(
  Associates!$W:$W, "&gt;="&amp;A3,
  Associates!$W:$W, "&lt;"&amp;A3+1,
  Associates!$V:$V, "Joaquin"
))</f>
        <v>33</v>
      </c>
      <c r="G3" s="66"/>
      <c r="I3" s="67">
        <f>IF($A3="","",
COUNTIFS(
  Associates!$W:$W, "&gt;="&amp;$A3,
  Associates!$W:$W, "&lt;"&amp;$A3+1,
  Associates!$Y:$Y, "Updated/New PA"
))</f>
        <v>0</v>
      </c>
      <c r="J3" s="67">
        <f>IF($A3="","",
COUNTIFS(
  Associates!$W:$W, "&gt;="&amp;$A3,
  Associates!$W:$W, "&lt;"&amp;$A3+1,
  Associates!$Y:$Y, "Utility Assistance"
))</f>
        <v>0</v>
      </c>
      <c r="K3" s="67">
        <f>IF($A3="","",
COUNTIFS(
  Associates!$W:$W, "&gt;="&amp;$A3,
  Associates!$W:$W, "&lt;"&amp;$A3+1,
  Associates!$Y:$Y, "E3/E4"
))</f>
        <v>0</v>
      </c>
      <c r="L3" s="67">
        <f>IF($A3="","",
COUNTIFS(
  Associates!$W:$W, "&gt;="&amp;$A3,
  Associates!$W:$W, "&lt;"&amp;$A3+1,
  Associates!$Y:$Y, "Rate Change"
))</f>
        <v>1</v>
      </c>
      <c r="M3" s="67">
        <f>IF($A3="","",
COUNTIFS(
  Associates!$W:$W, "&gt;="&amp;$A3,
  Associates!$W:$W, "&lt;"&amp;$A3+1,
  Associates!$Y:$Y, "General Education"
))</f>
        <v>1</v>
      </c>
      <c r="N3" s="67">
        <f>IF($A3="","",
COUNTIFS(
  Associates!$W:$W, "&gt;="&amp;$A3,
  Associates!$W:$W, "&lt;"&amp;$A3+1,
  Associates!$Y:$Y, "Other (fill in)"
))</f>
        <v>0</v>
      </c>
    </row>
    <row r="4" spans="1:16" ht="15.75">
      <c r="A4" s="65">
        <v>46011</v>
      </c>
      <c r="B4" s="66">
        <f>IF(A4="","",
COUNTIFS(
  Associates!$W:$W, "&gt;="&amp;A4,
  Associates!$W:$W, "&lt;"&amp;A4+1
))</f>
        <v>27</v>
      </c>
      <c r="C4" s="66">
        <f>IF(A4="","",
COUNTIFS(
  Associates!$W:$W, "&gt;="&amp;A4,
  Associates!$W:$W, "&lt;"&amp;A4+1,
  Associates!$X:$X, "Yes"
))</f>
        <v>20</v>
      </c>
      <c r="D4" s="66"/>
      <c r="E4" s="66">
        <f>IF(A4="","",
COUNTIFS(
  Associates!$W:$W, "&gt;="&amp;A4,
  Associates!$W:$W, "&lt;"&amp;A4+1,
  Associates!$V:$V, "Michelle"
))</f>
        <v>0</v>
      </c>
      <c r="F4" s="66">
        <f>IF(A4="","",
COUNTIFS(
  Associates!$W:$W, "&gt;="&amp;A4,
  Associates!$W:$W, "&lt;"&amp;A4+1,
  Associates!$V:$V, "Joaquin"
))</f>
        <v>27</v>
      </c>
      <c r="G4" s="66"/>
      <c r="I4" s="67">
        <f>IF($A4="","",
COUNTIFS(
  Associates!$W:$W, "&gt;="&amp;$A4,
  Associates!$W:$W, "&lt;"&amp;$A4+1,
  Associates!$Y:$Y, "Updated/New PA"
))</f>
        <v>0</v>
      </c>
      <c r="J4" s="67">
        <f>IF($A4="","",
COUNTIFS(
  Associates!$W:$W, "&gt;="&amp;$A4,
  Associates!$W:$W, "&lt;"&amp;$A4+1,
  Associates!$Y:$Y, "Utility Assistance"
))</f>
        <v>0</v>
      </c>
      <c r="K4" s="67">
        <f>IF($A4="","",
COUNTIFS(
  Associates!$W:$W, "&gt;="&amp;$A4,
  Associates!$W:$W, "&lt;"&amp;$A4+1,
  Associates!$Y:$Y, "E3/E4"
))</f>
        <v>1</v>
      </c>
      <c r="L4" s="67">
        <f>IF($A4="","",
COUNTIFS(
  Associates!$W:$W, "&gt;="&amp;$A4,
  Associates!$W:$W, "&lt;"&amp;$A4+1,
  Associates!$Y:$Y, "Rate Change"
))</f>
        <v>2</v>
      </c>
      <c r="M4" s="67">
        <f>IF($A4="","",
COUNTIFS(
  Associates!$W:$W, "&gt;="&amp;$A4,
  Associates!$W:$W, "&lt;"&amp;$A4+1,
  Associates!$Y:$Y, "General Education"
))</f>
        <v>1</v>
      </c>
      <c r="N4" s="67">
        <f>IF($A4="","",
COUNTIFS(
  Associates!$W:$W, "&gt;="&amp;$A4,
  Associates!$W:$W, "&lt;"&amp;$A4+1,
  Associates!$Y:$Y, "Other (fill in)"
))</f>
        <v>1</v>
      </c>
    </row>
    <row r="5" spans="1:16" ht="15.75">
      <c r="A5" s="65">
        <v>46018</v>
      </c>
      <c r="B5" s="66">
        <f>IF(A5="","",
COUNTIFS(
  Associates!$W:$W, "&gt;="&amp;A5,
  Associates!$W:$W, "&lt;"&amp;A5+1
))</f>
        <v>14</v>
      </c>
      <c r="C5" s="66">
        <f>IF(A5="","",
COUNTIFS(
  Associates!$W:$W, "&gt;="&amp;A5,
  Associates!$W:$W, "&lt;"&amp;A5+1,
  Associates!$X:$X, "Yes"
))</f>
        <v>7</v>
      </c>
      <c r="D5" s="66"/>
      <c r="E5" s="66">
        <f>IF(A5="","",
COUNTIFS(
  Associates!$W:$W, "&gt;="&amp;A5,
  Associates!$W:$W, "&lt;"&amp;A5+1,
  Associates!$V:$V, "Michelle"
))</f>
        <v>5</v>
      </c>
      <c r="F5" s="66">
        <f>IF(A5="","",
COUNTIFS(
  Associates!$W:$W, "&gt;="&amp;A5,
  Associates!$W:$W, "&lt;"&amp;A5+1,
  Associates!$V:$V, "Joaquin"
))</f>
        <v>9</v>
      </c>
      <c r="G5" s="66"/>
      <c r="I5" s="67">
        <f>IF($A5="","",
COUNTIFS(
  Associates!$W:$W, "&gt;="&amp;$A5,
  Associates!$W:$W, "&lt;"&amp;$A5+1,
  Associates!$Y:$Y, "Updated/New PA"
))</f>
        <v>0</v>
      </c>
      <c r="J5" s="67">
        <f>IF($A5="","",
COUNTIFS(
  Associates!$W:$W, "&gt;="&amp;$A5,
  Associates!$W:$W, "&lt;"&amp;$A5+1,
  Associates!$Y:$Y, "Utility Assistance"
))</f>
        <v>0</v>
      </c>
      <c r="K5" s="67">
        <f>IF($A5="","",
COUNTIFS(
  Associates!$W:$W, "&gt;="&amp;$A5,
  Associates!$W:$W, "&lt;"&amp;$A5+1,
  Associates!$Y:$Y, "E3/E4"
))</f>
        <v>0</v>
      </c>
      <c r="L5" s="67">
        <f>IF($A5="","",
COUNTIFS(
  Associates!$W:$W, "&gt;="&amp;$A5,
  Associates!$W:$W, "&lt;"&amp;$A5+1,
  Associates!$Y:$Y, "Rate Change"
))</f>
        <v>1</v>
      </c>
      <c r="M5" s="67">
        <f>IF($A5="","",
COUNTIFS(
  Associates!$W:$W, "&gt;="&amp;$A5,
  Associates!$W:$W, "&lt;"&amp;$A5+1,
  Associates!$Y:$Y, "General Education"
))</f>
        <v>4</v>
      </c>
      <c r="N5" s="67">
        <f>IF($A5="","",
COUNTIFS(
  Associates!$W:$W, "&gt;="&amp;$A5,
  Associates!$W:$W, "&lt;"&amp;$A5+1,
  Associates!$Y:$Y, "Other (fill in)"
))</f>
        <v>1</v>
      </c>
    </row>
    <row r="6" spans="1:16" ht="15.75">
      <c r="A6" s="65">
        <v>46025</v>
      </c>
      <c r="B6" s="66">
        <f>IF(A6="","",
COUNTIFS(
  Associates!$W:$W, "&gt;="&amp;A6,
  Associates!$W:$W, "&lt;"&amp;A6+1
))</f>
        <v>54</v>
      </c>
      <c r="C6" s="66">
        <f>IF(A6="","",
COUNTIFS(
  Associates!$W:$W, "&gt;="&amp;A6,
  Associates!$W:$W, "&lt;"&amp;A6+1,
  Associates!$X:$X, "Yes"
))</f>
        <v>37</v>
      </c>
      <c r="D6" s="66"/>
      <c r="E6" s="66">
        <f>IF(A6="","",
COUNTIFS(
  Associates!$W:$W, "&gt;="&amp;A6,
  Associates!$W:$W, "&lt;"&amp;A6+1,
  Associates!$V:$V, "Michelle"
))</f>
        <v>16</v>
      </c>
      <c r="F6" s="66">
        <f>IF(A6="","",
COUNTIFS(
  Associates!$W:$W, "&gt;="&amp;A6,
  Associates!$W:$W, "&lt;"&amp;A6+1,
  Associates!$V:$V, "Joaquin"
))</f>
        <v>38</v>
      </c>
      <c r="G6" s="66"/>
      <c r="I6" s="67">
        <f>IF($A6="","",
COUNTIFS(
  Associates!$W:$W, "&gt;="&amp;$A6,
  Associates!$W:$W, "&lt;"&amp;$A6+1,
  Associates!$Y:$Y, "Updated/New PA"
))</f>
        <v>0</v>
      </c>
      <c r="J6" s="67">
        <f>IF($A6="","",
COUNTIFS(
  Associates!$W:$W, "&gt;="&amp;$A6,
  Associates!$W:$W, "&lt;"&amp;$A6+1,
  Associates!$Y:$Y, "Utility Assistance"
))</f>
        <v>0</v>
      </c>
      <c r="K6" s="67">
        <f>IF($A6="","",
COUNTIFS(
  Associates!$W:$W, "&gt;="&amp;$A6,
  Associates!$W:$W, "&lt;"&amp;$A6+1,
  Associates!$Y:$Y, "E3/E4"
))</f>
        <v>0</v>
      </c>
      <c r="L6" s="67">
        <f>IF($A6="","",
COUNTIFS(
  Associates!$W:$W, "&gt;="&amp;$A6,
  Associates!$W:$W, "&lt;"&amp;$A6+1,
  Associates!$Y:$Y, "Rate Change"
))</f>
        <v>0</v>
      </c>
      <c r="M6" s="67">
        <f>IF($A6="","",
COUNTIFS(
  Associates!$W:$W, "&gt;="&amp;$A6,
  Associates!$W:$W, "&lt;"&amp;$A6+1,
  Associates!$Y:$Y, "General Education"
))</f>
        <v>6</v>
      </c>
      <c r="N6" s="67">
        <f>IF($A6="","",
COUNTIFS(
  Associates!$W:$W, "&gt;="&amp;$A6,
  Associates!$W:$W, "&lt;"&amp;$A6+1,
  Associates!$Y:$Y, "Other (fill in)"
))</f>
        <v>0</v>
      </c>
    </row>
    <row r="7" spans="1:16" ht="15.75">
      <c r="A7" s="65">
        <v>46032</v>
      </c>
      <c r="B7" s="66">
        <f>IF(A7="","",
COUNTIFS(
  Associates!$W:$W, "&gt;="&amp;A7,
  Associates!$W:$W, "&lt;"&amp;A7+1
))</f>
        <v>31</v>
      </c>
      <c r="C7" s="66">
        <f>IF(A7="","",
COUNTIFS(
  Associates!$W:$W, "&gt;="&amp;A7,
  Associates!$W:$W, "&lt;"&amp;A7+1,
  Associates!$X:$X, "Yes"
))</f>
        <v>22</v>
      </c>
      <c r="D7" s="66"/>
      <c r="E7" s="66">
        <f>IF(A7="","",
COUNTIFS(
  Associates!$W:$W, "&gt;="&amp;A7,
  Associates!$W:$W, "&lt;"&amp;A7+1,
  Associates!$V:$V, "Michelle"
))</f>
        <v>15</v>
      </c>
      <c r="F7" s="66">
        <f>IF(A7="","",
COUNTIFS(
  Associates!$W:$W, "&gt;="&amp;A7,
  Associates!$W:$W, "&lt;"&amp;A7+1,
  Associates!$V:$V, "Joaquin"
))</f>
        <v>16</v>
      </c>
      <c r="G7" s="66"/>
      <c r="I7" s="67">
        <f>IF($A7="","",
COUNTIFS(
  Associates!$W:$W, "&gt;="&amp;$A7,
  Associates!$W:$W, "&lt;"&amp;$A7+1,
  Associates!$Y:$Y, "Updated/New PA"
))</f>
        <v>0</v>
      </c>
      <c r="J7" s="67">
        <f>IF($A7="","",
COUNTIFS(
  Associates!$W:$W, "&gt;="&amp;$A7,
  Associates!$W:$W, "&lt;"&amp;$A7+1,
  Associates!$Y:$Y, "Utility Assistance"
))</f>
        <v>1</v>
      </c>
      <c r="K7" s="67">
        <f>IF($A7="","",
COUNTIFS(
  Associates!$W:$W, "&gt;="&amp;$A7,
  Associates!$W:$W, "&lt;"&amp;$A7+1,
  Associates!$Y:$Y, "E3/E4"
))</f>
        <v>0</v>
      </c>
      <c r="L7" s="67">
        <f>IF($A7="","",
COUNTIFS(
  Associates!$W:$W, "&gt;="&amp;$A7,
  Associates!$W:$W, "&lt;"&amp;$A7+1,
  Associates!$Y:$Y, "Rate Change"
))</f>
        <v>1</v>
      </c>
      <c r="M7" s="67">
        <f>IF($A7="","",
COUNTIFS(
  Associates!$W:$W, "&gt;="&amp;$A7,
  Associates!$W:$W, "&lt;"&amp;$A7+1,
  Associates!$Y:$Y, "General Education"
))</f>
        <v>3</v>
      </c>
      <c r="N7" s="67">
        <f>IF($A7="","",
COUNTIFS(
  Associates!$W:$W, "&gt;="&amp;$A7,
  Associates!$W:$W, "&lt;"&amp;$A7+1,
  Associates!$Y:$Y, "Other (fill in)"
))</f>
        <v>2</v>
      </c>
    </row>
    <row r="8" spans="1:16" ht="15.75">
      <c r="A8" s="65">
        <v>46039</v>
      </c>
      <c r="B8" s="66">
        <f>IF(A8="","",
COUNTIFS(
  Associates!$W:$W, "&gt;="&amp;A8,
  Associates!$W:$W, "&lt;"&amp;A8+1
))</f>
        <v>34</v>
      </c>
      <c r="C8" s="66">
        <f>IF(A8="","",
COUNTIFS(
  Associates!$W:$W, "&gt;="&amp;A8,
  Associates!$W:$W, "&lt;"&amp;A8+1,
  Associates!$X:$X, "Yes"
))</f>
        <v>22</v>
      </c>
      <c r="D8" s="66"/>
      <c r="E8" s="66">
        <f>IF(A8="","",
COUNTIFS(
  Associates!$W:$W, "&gt;="&amp;A8,
  Associates!$W:$W, "&lt;"&amp;A8+1,
  Associates!$V:$V, "Michelle"
))</f>
        <v>12</v>
      </c>
      <c r="F8" s="66">
        <f>IF(A8="","",
COUNTIFS(
  Associates!$W:$W, "&gt;="&amp;A8,
  Associates!$W:$W, "&lt;"&amp;A8+1,
  Associates!$V:$V, "Joaquin"
))</f>
        <v>22</v>
      </c>
      <c r="G8" s="66"/>
      <c r="I8" s="67">
        <f>IF($A8="","",
COUNTIFS(
  Associates!$W:$W, "&gt;="&amp;$A8,
  Associates!$W:$W, "&lt;"&amp;$A8+1,
  Associates!$Y:$Y, "Updated/New PA"
))</f>
        <v>0</v>
      </c>
      <c r="J8" s="67">
        <f>IF($A8="","",
COUNTIFS(
  Associates!$W:$W, "&gt;="&amp;$A8,
  Associates!$W:$W, "&lt;"&amp;$A8+1,
  Associates!$Y:$Y, "Utility Assistance"
))</f>
        <v>0</v>
      </c>
      <c r="K8" s="67">
        <f>IF($A8="","",
COUNTIFS(
  Associates!$W:$W, "&gt;="&amp;$A8,
  Associates!$W:$W, "&lt;"&amp;$A8+1,
  Associates!$Y:$Y, "E3/E4"
))</f>
        <v>5</v>
      </c>
      <c r="L8" s="67">
        <f>IF($A8="","",
COUNTIFS(
  Associates!$W:$W, "&gt;="&amp;$A8,
  Associates!$W:$W, "&lt;"&amp;$A8+1,
  Associates!$Y:$Y, "Rate Change"
))</f>
        <v>0</v>
      </c>
      <c r="M8" s="67">
        <f>IF($A8="","",
COUNTIFS(
  Associates!$W:$W, "&gt;="&amp;$A8,
  Associates!$W:$W, "&lt;"&amp;$A8+1,
  Associates!$Y:$Y, "General Education"
))</f>
        <v>5</v>
      </c>
      <c r="N8" s="67">
        <f>IF($A8="","",
COUNTIFS(
  Associates!$W:$W, "&gt;="&amp;$A8,
  Associates!$W:$W, "&lt;"&amp;$A8+1,
  Associates!$Y:$Y, "Other (fill in)"
))</f>
        <v>0</v>
      </c>
    </row>
    <row r="9" spans="1:16" ht="15.75">
      <c r="A9" s="65">
        <v>46046</v>
      </c>
      <c r="B9" s="66">
        <f>IF(A9="","",
COUNTIFS(
  Associates!$W:$W, "&gt;="&amp;A9,
  Associates!$W:$W, "&lt;"&amp;A9+1
))</f>
        <v>51</v>
      </c>
      <c r="C9" s="66">
        <f>IF(A9="","",
COUNTIFS(
  Associates!$W:$W, "&gt;="&amp;A9,
  Associates!$W:$W, "&lt;"&amp;A9+1,
  Associates!$X:$X, "Yes"
))</f>
        <v>31</v>
      </c>
      <c r="D9" s="66"/>
      <c r="E9" s="66">
        <f>IF(A9="","",
COUNTIFS(
  Associates!$W:$W, "&gt;="&amp;A9,
  Associates!$W:$W, "&lt;"&amp;A9+1,
  Associates!$V:$V, "Michelle"
))</f>
        <v>17</v>
      </c>
      <c r="F9" s="66">
        <f>IF(A9="","",
COUNTIFS(
  Associates!$W:$W, "&gt;="&amp;A9,
  Associates!$W:$W, "&lt;"&amp;A9+1,
  Associates!$V:$V, "Joaquin"
))</f>
        <v>34</v>
      </c>
      <c r="G9" s="66"/>
      <c r="I9" s="67">
        <f>IF($A9="","",
COUNTIFS(
  Associates!$W:$W, "&gt;="&amp;$A9,
  Associates!$W:$W, "&lt;"&amp;$A9+1,
  Associates!$Y:$Y, "Updated/New PA"
))</f>
        <v>0</v>
      </c>
      <c r="J9" s="67">
        <f>IF($A9="","",
COUNTIFS(
  Associates!$W:$W, "&gt;="&amp;$A9,
  Associates!$W:$W, "&lt;"&amp;$A9+1,
  Associates!$Y:$Y, "Utility Assistance"
))</f>
        <v>2</v>
      </c>
      <c r="K9" s="67">
        <f>IF($A9="","",
COUNTIFS(
  Associates!$W:$W, "&gt;="&amp;$A9,
  Associates!$W:$W, "&lt;"&amp;$A9+1,
  Associates!$Y:$Y, "E3/E4"
))</f>
        <v>1</v>
      </c>
      <c r="L9" s="67">
        <f>IF($A9="","",
COUNTIFS(
  Associates!$W:$W, "&gt;="&amp;$A9,
  Associates!$W:$W, "&lt;"&amp;$A9+1,
  Associates!$Y:$Y, "Rate Change"
))</f>
        <v>4</v>
      </c>
      <c r="M9" s="67">
        <f>IF($A9="","",
COUNTIFS(
  Associates!$W:$W, "&gt;="&amp;$A9,
  Associates!$W:$W, "&lt;"&amp;$A9+1,
  Associates!$Y:$Y, "General Education"
))</f>
        <v>10</v>
      </c>
      <c r="N9" s="67">
        <f>IF($A9="","",
COUNTIFS(
  Associates!$W:$W, "&gt;="&amp;$A9,
  Associates!$W:$W, "&lt;"&amp;$A9+1,
  Associates!$Y:$Y, "Other (fill in)"
))</f>
        <v>0</v>
      </c>
    </row>
    <row r="10" spans="1:16" ht="15.75">
      <c r="A10" s="65">
        <v>46053</v>
      </c>
      <c r="B10" s="66">
        <f>IF(A10="","",
COUNTIFS(
  Associates!$W:$W, "&gt;="&amp;A10,
  Associates!$W:$W, "&lt;"&amp;A10+1
))</f>
        <v>44</v>
      </c>
      <c r="C10" s="66">
        <f>IF(A10="","",
COUNTIFS(
  Associates!$W:$W, "&gt;="&amp;A10,
  Associates!$W:$W, "&lt;"&amp;A10+1,
  Associates!$X:$X, "Yes"
))</f>
        <v>25</v>
      </c>
      <c r="D10" s="66"/>
      <c r="E10" s="66">
        <f>IF(A10="","",
COUNTIFS(
  Associates!$W:$W, "&gt;="&amp;A10,
  Associates!$W:$W, "&lt;"&amp;A10+1,
  Associates!$V:$V, "Michelle"
))</f>
        <v>14</v>
      </c>
      <c r="F10" s="66">
        <f>IF(A10="","",
COUNTIFS(
  Associates!$W:$W, "&gt;="&amp;A10,
  Associates!$W:$W, "&lt;"&amp;A10+1,
  Associates!$V:$V, "Joaquin"
))</f>
        <v>30</v>
      </c>
      <c r="G10" s="66"/>
      <c r="I10" s="67">
        <f>IF($A10="","",
COUNTIFS(
  Associates!$W:$W, "&gt;="&amp;$A10,
  Associates!$W:$W, "&lt;"&amp;$A10+1,
  Associates!$Y:$Y, "Updated/New PA"
))</f>
        <v>0</v>
      </c>
      <c r="J10" s="67">
        <f>IF($A10="","",
COUNTIFS(
  Associates!$W:$W, "&gt;="&amp;$A10,
  Associates!$W:$W, "&lt;"&amp;$A10+1,
  Associates!$Y:$Y, "Utility Assistance"
))</f>
        <v>0</v>
      </c>
      <c r="K10" s="67">
        <f>IF($A10="","",
COUNTIFS(
  Associates!$W:$W, "&gt;="&amp;$A10,
  Associates!$W:$W, "&lt;"&amp;$A10+1,
  Associates!$Y:$Y, "E3/E4"
))</f>
        <v>0</v>
      </c>
      <c r="L10" s="67">
        <f>IF($A10="","",
COUNTIFS(
  Associates!$W:$W, "&gt;="&amp;$A10,
  Associates!$W:$W, "&lt;"&amp;$A10+1,
  Associates!$Y:$Y, "Rate Change"
))</f>
        <v>2</v>
      </c>
      <c r="M10" s="67">
        <f>IF($A10="","",
COUNTIFS(
  Associates!$W:$W, "&gt;="&amp;$A10,
  Associates!$W:$W, "&lt;"&amp;$A10+1,
  Associates!$Y:$Y, "General Education"
))</f>
        <v>14</v>
      </c>
      <c r="N10" s="67">
        <f>IF($A10="","",
COUNTIFS(
  Associates!$W:$W, "&gt;="&amp;$A10,
  Associates!$W:$W, "&lt;"&amp;$A10+1,
  Associates!$Y:$Y, "Other (fill in)"
))</f>
        <v>0</v>
      </c>
    </row>
    <row r="11" spans="1:16" ht="15.75">
      <c r="A11" s="65">
        <v>46060</v>
      </c>
      <c r="B11" s="66">
        <f>IF(A11="","",
COUNTIFS(
  Associates!$W:$W, "&gt;="&amp;A11,
  Associates!$W:$W, "&lt;"&amp;A11+1
))</f>
        <v>47</v>
      </c>
      <c r="C11" s="66">
        <f>IF(A11="","",
COUNTIFS(
  Associates!$W:$W, "&gt;="&amp;A11,
  Associates!$W:$W, "&lt;"&amp;A11+1,
  Associates!$X:$X, "Yes"
))</f>
        <v>26</v>
      </c>
      <c r="D11" s="66"/>
      <c r="E11" s="66">
        <f>IF(A11="","",
COUNTIFS(
  Associates!$W:$W, "&gt;="&amp;A11,
  Associates!$W:$W, "&lt;"&amp;A11+1,
  Associates!$V:$V, "Michelle"
))</f>
        <v>16</v>
      </c>
      <c r="F11" s="66">
        <f>IF(A11="","",
COUNTIFS(
  Associates!$W:$W, "&gt;="&amp;A11,
  Associates!$W:$W, "&lt;"&amp;A11+1,
  Associates!$V:$V, "Joaquin"
))</f>
        <v>31</v>
      </c>
      <c r="G11" s="66"/>
      <c r="I11" s="67">
        <f>IF($A11="","",
COUNTIFS(
  Associates!$W:$W, "&gt;="&amp;$A11,
  Associates!$W:$W, "&lt;"&amp;$A11+1,
  Associates!$Y:$Y, "Updated/New PA"
))</f>
        <v>0</v>
      </c>
      <c r="J11" s="67">
        <f>IF($A11="","",
COUNTIFS(
  Associates!$W:$W, "&gt;="&amp;$A11,
  Associates!$W:$W, "&lt;"&amp;$A11+1,
  Associates!$Y:$Y, "Utility Assistance"
))</f>
        <v>0</v>
      </c>
      <c r="K11" s="67">
        <f>IF($A11="","",
COUNTIFS(
  Associates!$W:$W, "&gt;="&amp;$A11,
  Associates!$W:$W, "&lt;"&amp;$A11+1,
  Associates!$Y:$Y, "E3/E4"
))</f>
        <v>1</v>
      </c>
      <c r="L11" s="67">
        <f>IF($A11="","",
COUNTIFS(
  Associates!$W:$W, "&gt;="&amp;$A11,
  Associates!$W:$W, "&lt;"&amp;$A11+1,
  Associates!$Y:$Y, "Rate Change"
))</f>
        <v>0</v>
      </c>
      <c r="M11" s="67">
        <f>IF($A11="","",
COUNTIFS(
  Associates!$W:$W, "&gt;="&amp;$A11,
  Associates!$W:$W, "&lt;"&amp;$A11+1,
  Associates!$Y:$Y, "General Education"
))</f>
        <v>10</v>
      </c>
      <c r="N11" s="67">
        <f>IF($A11="","",
COUNTIFS(
  Associates!$W:$W, "&gt;="&amp;$A11,
  Associates!$W:$W, "&lt;"&amp;$A11+1,
  Associates!$Y:$Y, "Other (fill in)"
))</f>
        <v>1</v>
      </c>
    </row>
    <row r="12" spans="1:16" ht="15.75">
      <c r="A12" s="65">
        <v>46067</v>
      </c>
      <c r="B12" s="66">
        <f>IF(A12="","",
COUNTIFS(
  Associates!$W:$W, "&gt;="&amp;A12,
  Associates!$W:$W, "&lt;"&amp;A12+1
))</f>
        <v>50</v>
      </c>
      <c r="C12" s="66">
        <f>IF(A12="","",
COUNTIFS(
  Associates!$W:$W, "&gt;="&amp;A12,
  Associates!$W:$W, "&lt;"&amp;A12+1,
  Associates!$X:$X, "Yes"
))</f>
        <v>28</v>
      </c>
      <c r="D12" s="66"/>
      <c r="E12" s="66">
        <f>IF(A12="","",
COUNTIFS(
  Associates!$W:$W, "&gt;="&amp;A12,
  Associates!$W:$W, "&lt;"&amp;A12+1,
  Associates!$V:$V, "Michelle"
))</f>
        <v>22</v>
      </c>
      <c r="F12" s="66">
        <f>IF(A12="","",
COUNTIFS(
  Associates!$W:$W, "&gt;="&amp;A12,
  Associates!$W:$W, "&lt;"&amp;A12+1,
  Associates!$V:$V, "Joaquin"
))</f>
        <v>28</v>
      </c>
      <c r="G12" s="66"/>
      <c r="I12" s="67">
        <f>IF($A12="","",
COUNTIFS(
  Associates!$W:$W, "&gt;="&amp;$A12,
  Associates!$W:$W, "&lt;"&amp;$A12+1,
  Associates!$Y:$Y, "Updated/New PA"
))</f>
        <v>0</v>
      </c>
      <c r="J12" s="67">
        <f>IF($A12="","",
COUNTIFS(
  Associates!$W:$W, "&gt;="&amp;$A12,
  Associates!$W:$W, "&lt;"&amp;$A12+1,
  Associates!$Y:$Y, "Utility Assistance"
))</f>
        <v>0</v>
      </c>
      <c r="K12" s="67">
        <f>IF($A12="","",
COUNTIFS(
  Associates!$W:$W, "&gt;="&amp;$A12,
  Associates!$W:$W, "&lt;"&amp;$A12+1,
  Associates!$Y:$Y, "E3/E4"
))</f>
        <v>2</v>
      </c>
      <c r="L12" s="67">
        <f>IF($A12="","",
COUNTIFS(
  Associates!$W:$W, "&gt;="&amp;$A12,
  Associates!$W:$W, "&lt;"&amp;$A12+1,
  Associates!$Y:$Y, "Rate Change"
))</f>
        <v>0</v>
      </c>
      <c r="M12" s="67">
        <f>IF($A12="","",
COUNTIFS(
  Associates!$W:$W, "&gt;="&amp;$A12,
  Associates!$W:$W, "&lt;"&amp;$A12+1,
  Associates!$Y:$Y, "General Education"
))</f>
        <v>8</v>
      </c>
      <c r="N12" s="67">
        <f>IF($A12="","",
COUNTIFS(
  Associates!$W:$W, "&gt;="&amp;$A12,
  Associates!$W:$W, "&lt;"&amp;$A12+1,
  Associates!$Y:$Y, "Other (fill in)"
))</f>
        <v>5</v>
      </c>
    </row>
    <row r="13" spans="1:16" ht="15.75">
      <c r="A13" s="65">
        <v>46074</v>
      </c>
      <c r="B13" s="66">
        <f>IF(A13="","",
COUNTIFS(
  Associates!$W:$W, "&gt;="&amp;A13,
  Associates!$W:$W, "&lt;"&amp;A13+1
))</f>
        <v>48</v>
      </c>
      <c r="C13" s="66">
        <f>IF(A13="","",
COUNTIFS(
  Associates!$W:$W, "&gt;="&amp;A13,
  Associates!$W:$W, "&lt;"&amp;A13+1,
  Associates!$X:$X, "Yes"
))</f>
        <v>31</v>
      </c>
      <c r="D13" s="66"/>
      <c r="E13" s="66">
        <f>IF(A13="","",
COUNTIFS(
  Associates!$W:$W, "&gt;="&amp;A13,
  Associates!$W:$W, "&lt;"&amp;A13+1,
  Associates!$V:$V, "Michelle"
))</f>
        <v>20</v>
      </c>
      <c r="F13" s="66">
        <f>IF(A13="","",
COUNTIFS(
  Associates!$W:$W, "&gt;="&amp;A13,
  Associates!$W:$W, "&lt;"&amp;A13+1,
  Associates!$V:$V, "Joaquin"
))</f>
        <v>28</v>
      </c>
      <c r="G13" s="66"/>
      <c r="I13" s="67">
        <f>IF($A13="","",
COUNTIFS(
  Associates!$W:$W, "&gt;="&amp;$A13,
  Associates!$W:$W, "&lt;"&amp;$A13+1,
  Associates!$Y:$Y, "Updated/New PA"
))</f>
        <v>1</v>
      </c>
      <c r="J13" s="67">
        <f>IF($A13="","",
COUNTIFS(
  Associates!$W:$W, "&gt;="&amp;$A13,
  Associates!$W:$W, "&lt;"&amp;$A13+1,
  Associates!$Y:$Y, "Utility Assistance"
))</f>
        <v>0</v>
      </c>
      <c r="K13" s="67">
        <f>IF($A13="","",
COUNTIFS(
  Associates!$W:$W, "&gt;="&amp;$A13,
  Associates!$W:$W, "&lt;"&amp;$A13+1,
  Associates!$Y:$Y, "E3/E4"
))</f>
        <v>0</v>
      </c>
      <c r="L13" s="67">
        <f>IF($A13="","",
COUNTIFS(
  Associates!$W:$W, "&gt;="&amp;$A13,
  Associates!$W:$W, "&lt;"&amp;$A13+1,
  Associates!$Y:$Y, "Rate Change"
))</f>
        <v>0</v>
      </c>
      <c r="M13" s="67">
        <f>IF($A13="","",
COUNTIFS(
  Associates!$W:$W, "&gt;="&amp;$A13,
  Associates!$W:$W, "&lt;"&amp;$A13+1,
  Associates!$Y:$Y, "General Education"
))</f>
        <v>11</v>
      </c>
      <c r="N13" s="67">
        <f>IF($A13="","",
COUNTIFS(
  Associates!$W:$W, "&gt;="&amp;$A13,
  Associates!$W:$W, "&lt;"&amp;$A13+1,
  Associates!$Y:$Y, "Other (fill in)"
))</f>
        <v>1</v>
      </c>
    </row>
    <row r="14" spans="1:16">
      <c r="A14">
        <v>46081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EDAA739A2274C40A31BE1DF67F2D411" ma:contentTypeVersion="3" ma:contentTypeDescription="Create a new document." ma:contentTypeScope="" ma:versionID="678e8f9f027e4377cda38ffb960c96b0">
  <xsd:schema xmlns:xsd="http://www.w3.org/2001/XMLSchema" xmlns:xs="http://www.w3.org/2001/XMLSchema" xmlns:p="http://schemas.microsoft.com/office/2006/metadata/properties" xmlns:ns2="fe49a302-7637-4812-975f-03f711f2c4e3" targetNamespace="http://schemas.microsoft.com/office/2006/metadata/properties" ma:root="true" ma:fieldsID="60b4c4a8e1e2ce691742be26293900b4" ns2:_="">
    <xsd:import namespace="fe49a302-7637-4812-975f-03f711f2c4e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e49a302-7637-4812-975f-03f711f2c4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107A7D00-3BFD-495E-8D8E-34880A35571E}"/>
</file>

<file path=customXml/itemProps2.xml><?xml version="1.0" encoding="utf-8"?>
<ds:datastoreItem xmlns:ds="http://schemas.openxmlformats.org/officeDocument/2006/customXml" ds:itemID="{591CE0A0-C951-4A7E-921B-E2506F18E082}"/>
</file>

<file path=customXml/itemProps3.xml><?xml version="1.0" encoding="utf-8"?>
<ds:datastoreItem xmlns:ds="http://schemas.openxmlformats.org/officeDocument/2006/customXml" ds:itemID="{AB2B07AC-1E2B-4EF5-9811-2D5CA0FA235E}"/>
</file>

<file path=customXml/itemProps4.xml><?xml version="1.0" encoding="utf-8"?>
<ds:datastoreItem xmlns:ds="http://schemas.openxmlformats.org/officeDocument/2006/customXml" ds:itemID="{1B8C5660-0C93-4171-9641-08D356A7CC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Knight, Scott</dc:creator>
  <cp:keywords/>
  <dc:description/>
  <cp:lastModifiedBy>Evans, Danielle</cp:lastModifiedBy>
  <cp:revision/>
  <dcterms:created xsi:type="dcterms:W3CDTF">2025-12-29T16:48:47Z</dcterms:created>
  <dcterms:modified xsi:type="dcterms:W3CDTF">2026-03-02T21:51:53Z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0x010100DEDAA739A2274C40A31BE1DF67F2D411</vt:lpwstr>
  </property>
</Properties>
</file>